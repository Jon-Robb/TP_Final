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fif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_Y\TP_final\"/>
    </mc:Choice>
  </mc:AlternateContent>
  <xr:revisionPtr revIDLastSave="0" documentId="13_ncr:1_{CE878D5E-02F9-4F27-9F43-218E4480E1D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euille1" sheetId="1" r:id="rId1"/>
    <sheet name="Feuil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3" i="1" l="1"/>
  <c r="B300" i="3"/>
  <c r="C24" i="1" l="1"/>
  <c r="B284" i="1"/>
  <c r="D284" i="1" s="1"/>
  <c r="B285" i="1"/>
  <c r="A310" i="1"/>
  <c r="B301" i="3" s="1"/>
  <c r="E309" i="1"/>
  <c r="G309" i="1"/>
  <c r="F309" i="1"/>
  <c r="B309" i="1"/>
  <c r="C300" i="3" s="1"/>
  <c r="C309" i="1"/>
  <c r="D300" i="3" s="1"/>
  <c r="D309" i="1"/>
  <c r="C42" i="1"/>
  <c r="C31" i="1"/>
  <c r="C32" i="1" s="1"/>
  <c r="C22" i="1"/>
  <c r="B286" i="1"/>
  <c r="G286" i="1" s="1"/>
  <c r="B287" i="1"/>
  <c r="H287" i="1" s="1"/>
  <c r="B288" i="1"/>
  <c r="H288" i="1" s="1"/>
  <c r="B289" i="1"/>
  <c r="B290" i="1"/>
  <c r="B291" i="1"/>
  <c r="H291" i="1" s="1"/>
  <c r="B292" i="1"/>
  <c r="G292" i="1" s="1"/>
  <c r="B293" i="1"/>
  <c r="B294" i="1"/>
  <c r="B295" i="1"/>
  <c r="H295" i="1" s="1"/>
  <c r="B296" i="1"/>
  <c r="G296" i="1" s="1"/>
  <c r="B297" i="1"/>
  <c r="B298" i="1"/>
  <c r="B299" i="1"/>
  <c r="B300" i="1"/>
  <c r="H300" i="1" s="1"/>
  <c r="B301" i="1"/>
  <c r="B302" i="1"/>
  <c r="B303" i="1"/>
  <c r="B304" i="1"/>
  <c r="H304" i="1" s="1"/>
  <c r="D287" i="1" l="1"/>
  <c r="C310" i="1"/>
  <c r="G300" i="1"/>
  <c r="H296" i="1"/>
  <c r="H292" i="1"/>
  <c r="A311" i="1"/>
  <c r="J284" i="1"/>
  <c r="J285" i="1"/>
  <c r="K284" i="1"/>
  <c r="K293" i="1"/>
  <c r="G304" i="1"/>
  <c r="K304" i="1"/>
  <c r="J293" i="1"/>
  <c r="D303" i="1"/>
  <c r="H303" i="1"/>
  <c r="K301" i="1"/>
  <c r="K292" i="1"/>
  <c r="J297" i="1"/>
  <c r="K285" i="1"/>
  <c r="K296" i="1"/>
  <c r="D299" i="1"/>
  <c r="J301" i="1"/>
  <c r="K289" i="1"/>
  <c r="J291" i="1"/>
  <c r="D295" i="1"/>
  <c r="K300" i="1"/>
  <c r="J289" i="1"/>
  <c r="G285" i="1"/>
  <c r="D291" i="1"/>
  <c r="H299" i="1"/>
  <c r="G288" i="1"/>
  <c r="K297" i="1"/>
  <c r="K288" i="1"/>
  <c r="E302" i="1"/>
  <c r="E294" i="1"/>
  <c r="D298" i="1"/>
  <c r="D286" i="1"/>
  <c r="E301" i="1"/>
  <c r="E297" i="1"/>
  <c r="E293" i="1"/>
  <c r="E289" i="1"/>
  <c r="E285" i="1"/>
  <c r="G303" i="1"/>
  <c r="G299" i="1"/>
  <c r="G295" i="1"/>
  <c r="G291" i="1"/>
  <c r="G287" i="1"/>
  <c r="J304" i="1"/>
  <c r="J300" i="1"/>
  <c r="J296" i="1"/>
  <c r="J292" i="1"/>
  <c r="J288" i="1"/>
  <c r="E298" i="1"/>
  <c r="E284" i="1"/>
  <c r="D301" i="1"/>
  <c r="D297" i="1"/>
  <c r="D293" i="1"/>
  <c r="D289" i="1"/>
  <c r="D285" i="1"/>
  <c r="H302" i="1"/>
  <c r="H298" i="1"/>
  <c r="H294" i="1"/>
  <c r="H290" i="1"/>
  <c r="H286" i="1"/>
  <c r="K303" i="1"/>
  <c r="K299" i="1"/>
  <c r="K295" i="1"/>
  <c r="K291" i="1"/>
  <c r="K287" i="1"/>
  <c r="E290" i="1"/>
  <c r="D302" i="1"/>
  <c r="D294" i="1"/>
  <c r="E304" i="1"/>
  <c r="E296" i="1"/>
  <c r="E288" i="1"/>
  <c r="G298" i="1"/>
  <c r="G290" i="1"/>
  <c r="J303" i="1"/>
  <c r="J295" i="1"/>
  <c r="J287" i="1"/>
  <c r="D304" i="1"/>
  <c r="D300" i="1"/>
  <c r="D296" i="1"/>
  <c r="D292" i="1"/>
  <c r="D288" i="1"/>
  <c r="G284" i="1"/>
  <c r="H301" i="1"/>
  <c r="H297" i="1"/>
  <c r="H293" i="1"/>
  <c r="H289" i="1"/>
  <c r="H285" i="1"/>
  <c r="K302" i="1"/>
  <c r="K298" i="1"/>
  <c r="K294" i="1"/>
  <c r="K290" i="1"/>
  <c r="K286" i="1"/>
  <c r="E286" i="1"/>
  <c r="D290" i="1"/>
  <c r="E300" i="1"/>
  <c r="E292" i="1"/>
  <c r="G302" i="1"/>
  <c r="G294" i="1"/>
  <c r="J299" i="1"/>
  <c r="E303" i="1"/>
  <c r="E299" i="1"/>
  <c r="E295" i="1"/>
  <c r="E291" i="1"/>
  <c r="E287" i="1"/>
  <c r="H284" i="1"/>
  <c r="G301" i="1"/>
  <c r="G297" i="1"/>
  <c r="G293" i="1"/>
  <c r="G289" i="1"/>
  <c r="J302" i="1"/>
  <c r="J298" i="1"/>
  <c r="J294" i="1"/>
  <c r="J290" i="1"/>
  <c r="J286" i="1"/>
  <c r="E310" i="1"/>
  <c r="D310" i="1"/>
  <c r="B310" i="1"/>
  <c r="C301" i="3" s="1"/>
  <c r="C40" i="1"/>
  <c r="C41" i="1" s="1"/>
  <c r="C33" i="1"/>
  <c r="I310" i="1" l="1"/>
  <c r="D301" i="3"/>
  <c r="A312" i="1"/>
  <c r="B302" i="3"/>
  <c r="O310" i="1"/>
  <c r="N310" i="1"/>
  <c r="H310" i="1"/>
  <c r="K310" i="1"/>
  <c r="L310" i="1"/>
  <c r="J310" i="1" l="1"/>
  <c r="A313" i="1"/>
  <c r="B303" i="3"/>
  <c r="P310" i="1"/>
  <c r="M310" i="1"/>
  <c r="A314" i="1" l="1"/>
  <c r="B304" i="3"/>
  <c r="G310" i="1"/>
  <c r="C311" i="1" s="1"/>
  <c r="F310" i="1"/>
  <c r="B311" i="1" s="1"/>
  <c r="A315" i="1" l="1"/>
  <c r="B305" i="3"/>
  <c r="K311" i="1"/>
  <c r="C302" i="3"/>
  <c r="O311" i="1"/>
  <c r="D302" i="3"/>
  <c r="I311" i="1"/>
  <c r="L311" i="1"/>
  <c r="E311" i="1"/>
  <c r="D311" i="1"/>
  <c r="N311" i="1"/>
  <c r="H311" i="1"/>
  <c r="A316" i="1" l="1"/>
  <c r="B306" i="3"/>
  <c r="P311" i="1"/>
  <c r="M311" i="1"/>
  <c r="J311" i="1"/>
  <c r="A317" i="1" l="1"/>
  <c r="B307" i="3"/>
  <c r="G311" i="1"/>
  <c r="C312" i="1" s="1"/>
  <c r="D303" i="3" s="1"/>
  <c r="F311" i="1"/>
  <c r="B312" i="1" s="1"/>
  <c r="A318" i="1" l="1"/>
  <c r="B308" i="3"/>
  <c r="E312" i="1"/>
  <c r="K312" i="1"/>
  <c r="C303" i="3"/>
  <c r="H312" i="1"/>
  <c r="N312" i="1"/>
  <c r="D312" i="1"/>
  <c r="L312" i="1"/>
  <c r="O312" i="1"/>
  <c r="I312" i="1"/>
  <c r="A319" i="1" l="1"/>
  <c r="B309" i="3"/>
  <c r="M312" i="1"/>
  <c r="J312" i="1"/>
  <c r="P312" i="1"/>
  <c r="A320" i="1" l="1"/>
  <c r="B310" i="3"/>
  <c r="F312" i="1"/>
  <c r="B313" i="1" s="1"/>
  <c r="G312" i="1"/>
  <c r="E313" i="1" s="1"/>
  <c r="A321" i="1" l="1"/>
  <c r="B311" i="3"/>
  <c r="N313" i="1"/>
  <c r="C304" i="3"/>
  <c r="K313" i="1"/>
  <c r="H313" i="1"/>
  <c r="D313" i="1"/>
  <c r="C313" i="1"/>
  <c r="A322" i="1" l="1"/>
  <c r="B312" i="3"/>
  <c r="L313" i="1"/>
  <c r="M313" i="1" s="1"/>
  <c r="D304" i="3"/>
  <c r="I313" i="1"/>
  <c r="J313" i="1" s="1"/>
  <c r="O313" i="1"/>
  <c r="P313" i="1" s="1"/>
  <c r="A323" i="1" l="1"/>
  <c r="B313" i="3"/>
  <c r="F313" i="1"/>
  <c r="D314" i="1" s="1"/>
  <c r="G313" i="1"/>
  <c r="E314" i="1" s="1"/>
  <c r="A324" i="1" l="1"/>
  <c r="B314" i="3"/>
  <c r="B314" i="1"/>
  <c r="C314" i="1"/>
  <c r="A325" i="1" l="1"/>
  <c r="B315" i="3"/>
  <c r="L314" i="1"/>
  <c r="D305" i="3"/>
  <c r="N314" i="1"/>
  <c r="C305" i="3"/>
  <c r="K314" i="1"/>
  <c r="H314" i="1"/>
  <c r="O314" i="1"/>
  <c r="I314" i="1"/>
  <c r="A326" i="1" l="1"/>
  <c r="B316" i="3"/>
  <c r="M314" i="1"/>
  <c r="P314" i="1"/>
  <c r="J314" i="1"/>
  <c r="A327" i="1" l="1"/>
  <c r="B317" i="3"/>
  <c r="F314" i="1"/>
  <c r="D315" i="1" s="1"/>
  <c r="G314" i="1"/>
  <c r="E315" i="1" s="1"/>
  <c r="A328" i="1" l="1"/>
  <c r="B318" i="3"/>
  <c r="B315" i="1"/>
  <c r="H315" i="1" s="1"/>
  <c r="C315" i="1"/>
  <c r="A329" i="1" l="1"/>
  <c r="B319" i="3"/>
  <c r="C306" i="3"/>
  <c r="K315" i="1"/>
  <c r="N315" i="1"/>
  <c r="O315" i="1"/>
  <c r="D306" i="3"/>
  <c r="I315" i="1"/>
  <c r="J315" i="1" s="1"/>
  <c r="L315" i="1"/>
  <c r="A330" i="1" l="1"/>
  <c r="B320" i="3"/>
  <c r="P315" i="1"/>
  <c r="M315" i="1"/>
  <c r="A331" i="1" l="1"/>
  <c r="B321" i="3"/>
  <c r="F315" i="1"/>
  <c r="D316" i="1" s="1"/>
  <c r="G315" i="1"/>
  <c r="C316" i="1" s="1"/>
  <c r="D307" i="3" s="1"/>
  <c r="A332" i="1" l="1"/>
  <c r="B322" i="3"/>
  <c r="B316" i="1"/>
  <c r="N316" i="1" s="1"/>
  <c r="L316" i="1"/>
  <c r="I316" i="1"/>
  <c r="O316" i="1"/>
  <c r="E316" i="1"/>
  <c r="A333" i="1" l="1"/>
  <c r="B323" i="3"/>
  <c r="P316" i="1"/>
  <c r="H316" i="1"/>
  <c r="J316" i="1" s="1"/>
  <c r="K316" i="1"/>
  <c r="M316" i="1" s="1"/>
  <c r="C307" i="3"/>
  <c r="A334" i="1" l="1"/>
  <c r="B324" i="3"/>
  <c r="G316" i="1"/>
  <c r="E317" i="1" s="1"/>
  <c r="F316" i="1"/>
  <c r="B317" i="1" s="1"/>
  <c r="H317" i="1" s="1"/>
  <c r="A335" i="1" l="1"/>
  <c r="B325" i="3"/>
  <c r="C317" i="1"/>
  <c r="I317" i="1" s="1"/>
  <c r="J317" i="1" s="1"/>
  <c r="K317" i="1"/>
  <c r="D317" i="1"/>
  <c r="N317" i="1"/>
  <c r="C308" i="3"/>
  <c r="A336" i="1" l="1"/>
  <c r="B326" i="3"/>
  <c r="O317" i="1"/>
  <c r="P317" i="1" s="1"/>
  <c r="L317" i="1"/>
  <c r="M317" i="1" s="1"/>
  <c r="D308" i="3"/>
  <c r="A337" i="1" l="1"/>
  <c r="B327" i="3"/>
  <c r="F317" i="1"/>
  <c r="B318" i="1" s="1"/>
  <c r="C309" i="3" s="1"/>
  <c r="G317" i="1"/>
  <c r="E318" i="1" s="1"/>
  <c r="A338" i="1" l="1"/>
  <c r="B328" i="3"/>
  <c r="H318" i="1"/>
  <c r="N318" i="1"/>
  <c r="D318" i="1"/>
  <c r="K318" i="1"/>
  <c r="C318" i="1"/>
  <c r="D309" i="3" s="1"/>
  <c r="A339" i="1" l="1"/>
  <c r="B329" i="3"/>
  <c r="I318" i="1"/>
  <c r="J318" i="1" s="1"/>
  <c r="O318" i="1"/>
  <c r="P318" i="1" s="1"/>
  <c r="L318" i="1"/>
  <c r="M318" i="1" s="1"/>
  <c r="A340" i="1" l="1"/>
  <c r="B330" i="3"/>
  <c r="F318" i="1"/>
  <c r="D319" i="1" s="1"/>
  <c r="G318" i="1"/>
  <c r="A341" i="1" l="1"/>
  <c r="B331" i="3"/>
  <c r="B319" i="1"/>
  <c r="C310" i="3" s="1"/>
  <c r="E319" i="1"/>
  <c r="C319" i="1"/>
  <c r="D310" i="3" s="1"/>
  <c r="A342" i="1" l="1"/>
  <c r="B332" i="3"/>
  <c r="H319" i="1"/>
  <c r="N319" i="1"/>
  <c r="K319" i="1"/>
  <c r="L319" i="1"/>
  <c r="O319" i="1"/>
  <c r="I319" i="1"/>
  <c r="A343" i="1" l="1"/>
  <c r="B333" i="3"/>
  <c r="M319" i="1"/>
  <c r="P319" i="1"/>
  <c r="J319" i="1"/>
  <c r="A344" i="1" l="1"/>
  <c r="B334" i="3"/>
  <c r="F319" i="1"/>
  <c r="B320" i="1" s="1"/>
  <c r="C311" i="3" s="1"/>
  <c r="G319" i="1"/>
  <c r="A345" i="1" l="1"/>
  <c r="B335" i="3"/>
  <c r="D320" i="1"/>
  <c r="E320" i="1"/>
  <c r="C320" i="1"/>
  <c r="D311" i="3" s="1"/>
  <c r="K320" i="1"/>
  <c r="N320" i="1"/>
  <c r="H320" i="1"/>
  <c r="A346" i="1" l="1"/>
  <c r="B336" i="3"/>
  <c r="L320" i="1"/>
  <c r="M320" i="1" s="1"/>
  <c r="O320" i="1"/>
  <c r="P320" i="1" s="1"/>
  <c r="I320" i="1"/>
  <c r="A347" i="1" l="1"/>
  <c r="B337" i="3"/>
  <c r="J320" i="1"/>
  <c r="F320" i="1" s="1"/>
  <c r="A348" i="1" l="1"/>
  <c r="B338" i="3"/>
  <c r="D321" i="1"/>
  <c r="B321" i="1"/>
  <c r="C312" i="3" s="1"/>
  <c r="G320" i="1"/>
  <c r="A349" i="1" l="1"/>
  <c r="B339" i="3"/>
  <c r="E321" i="1"/>
  <c r="C321" i="1"/>
  <c r="D312" i="3" s="1"/>
  <c r="N321" i="1"/>
  <c r="H321" i="1"/>
  <c r="K321" i="1"/>
  <c r="A350" i="1" l="1"/>
  <c r="B340" i="3"/>
  <c r="L321" i="1"/>
  <c r="M321" i="1" s="1"/>
  <c r="O321" i="1"/>
  <c r="P321" i="1" s="1"/>
  <c r="I321" i="1"/>
  <c r="A351" i="1" l="1"/>
  <c r="B341" i="3"/>
  <c r="J321" i="1"/>
  <c r="F321" i="1" s="1"/>
  <c r="A352" i="1" l="1"/>
  <c r="B342" i="3"/>
  <c r="B322" i="1"/>
  <c r="C313" i="3" s="1"/>
  <c r="D322" i="1"/>
  <c r="G321" i="1"/>
  <c r="A353" i="1" l="1"/>
  <c r="B343" i="3"/>
  <c r="E322" i="1"/>
  <c r="C322" i="1"/>
  <c r="D313" i="3" s="1"/>
  <c r="N322" i="1"/>
  <c r="H322" i="1"/>
  <c r="K322" i="1"/>
  <c r="A354" i="1" l="1"/>
  <c r="B344" i="3"/>
  <c r="O322" i="1"/>
  <c r="P322" i="1" s="1"/>
  <c r="L322" i="1"/>
  <c r="M322" i="1" s="1"/>
  <c r="I322" i="1"/>
  <c r="A355" i="1" l="1"/>
  <c r="B345" i="3"/>
  <c r="J322" i="1"/>
  <c r="F322" i="1" s="1"/>
  <c r="A356" i="1" l="1"/>
  <c r="B346" i="3"/>
  <c r="D323" i="1"/>
  <c r="B323" i="1"/>
  <c r="C314" i="3" s="1"/>
  <c r="G322" i="1"/>
  <c r="A357" i="1" l="1"/>
  <c r="B347" i="3"/>
  <c r="E323" i="1"/>
  <c r="C323" i="1"/>
  <c r="D314" i="3" s="1"/>
  <c r="N323" i="1"/>
  <c r="H323" i="1"/>
  <c r="K323" i="1"/>
  <c r="A358" i="1" l="1"/>
  <c r="B348" i="3"/>
  <c r="O323" i="1"/>
  <c r="P323" i="1" s="1"/>
  <c r="I323" i="1"/>
  <c r="L323" i="1"/>
  <c r="M323" i="1" s="1"/>
  <c r="A359" i="1" l="1"/>
  <c r="B349" i="3"/>
  <c r="J323" i="1"/>
  <c r="F323" i="1" s="1"/>
  <c r="A360" i="1" l="1"/>
  <c r="B350" i="3"/>
  <c r="B324" i="1"/>
  <c r="C315" i="3" s="1"/>
  <c r="D324" i="1"/>
  <c r="G323" i="1"/>
  <c r="A361" i="1" l="1"/>
  <c r="B351" i="3"/>
  <c r="E324" i="1"/>
  <c r="C324" i="1"/>
  <c r="D315" i="3" s="1"/>
  <c r="H324" i="1"/>
  <c r="K324" i="1"/>
  <c r="N324" i="1"/>
  <c r="A362" i="1" l="1"/>
  <c r="B352" i="3"/>
  <c r="O324" i="1"/>
  <c r="P324" i="1" s="1"/>
  <c r="I324" i="1"/>
  <c r="L324" i="1"/>
  <c r="M324" i="1" s="1"/>
  <c r="A363" i="1" l="1"/>
  <c r="B353" i="3"/>
  <c r="J324" i="1"/>
  <c r="F324" i="1" s="1"/>
  <c r="A364" i="1" l="1"/>
  <c r="B354" i="3"/>
  <c r="D325" i="1"/>
  <c r="B325" i="1"/>
  <c r="C316" i="3" s="1"/>
  <c r="G324" i="1"/>
  <c r="A365" i="1" l="1"/>
  <c r="B355" i="3"/>
  <c r="E325" i="1"/>
  <c r="C325" i="1"/>
  <c r="D316" i="3" s="1"/>
  <c r="H325" i="1"/>
  <c r="K325" i="1"/>
  <c r="N325" i="1"/>
  <c r="A366" i="1" l="1"/>
  <c r="B356" i="3"/>
  <c r="I325" i="1"/>
  <c r="L325" i="1"/>
  <c r="M325" i="1" s="1"/>
  <c r="O325" i="1"/>
  <c r="P325" i="1" s="1"/>
  <c r="A367" i="1" l="1"/>
  <c r="B357" i="3"/>
  <c r="J325" i="1"/>
  <c r="F325" i="1" s="1"/>
  <c r="A368" i="1" l="1"/>
  <c r="B358" i="3"/>
  <c r="B326" i="1"/>
  <c r="C317" i="3" s="1"/>
  <c r="D326" i="1"/>
  <c r="G325" i="1"/>
  <c r="A369" i="1" l="1"/>
  <c r="B359" i="3"/>
  <c r="E326" i="1"/>
  <c r="C326" i="1"/>
  <c r="D317" i="3" s="1"/>
  <c r="K326" i="1"/>
  <c r="N326" i="1"/>
  <c r="H326" i="1"/>
  <c r="A370" i="1" l="1"/>
  <c r="B360" i="3"/>
  <c r="I326" i="1"/>
  <c r="L326" i="1"/>
  <c r="M326" i="1" s="1"/>
  <c r="O326" i="1"/>
  <c r="P326" i="1" s="1"/>
  <c r="A371" i="1" l="1"/>
  <c r="B361" i="3"/>
  <c r="J326" i="1"/>
  <c r="F326" i="1" s="1"/>
  <c r="A372" i="1" l="1"/>
  <c r="B362" i="3"/>
  <c r="D327" i="1"/>
  <c r="B327" i="1"/>
  <c r="C318" i="3" s="1"/>
  <c r="G326" i="1"/>
  <c r="A373" i="1" l="1"/>
  <c r="B363" i="3"/>
  <c r="E327" i="1"/>
  <c r="C327" i="1"/>
  <c r="D318" i="3" s="1"/>
  <c r="K327" i="1"/>
  <c r="H327" i="1"/>
  <c r="N327" i="1"/>
  <c r="A374" i="1" l="1"/>
  <c r="B364" i="3"/>
  <c r="L327" i="1"/>
  <c r="M327" i="1" s="1"/>
  <c r="O327" i="1"/>
  <c r="P327" i="1" s="1"/>
  <c r="I327" i="1"/>
  <c r="A375" i="1" l="1"/>
  <c r="B365" i="3"/>
  <c r="J327" i="1"/>
  <c r="F327" i="1" s="1"/>
  <c r="A376" i="1" l="1"/>
  <c r="B366" i="3"/>
  <c r="B328" i="1"/>
  <c r="C319" i="3" s="1"/>
  <c r="D328" i="1"/>
  <c r="G327" i="1"/>
  <c r="A377" i="1" l="1"/>
  <c r="B367" i="3"/>
  <c r="E328" i="1"/>
  <c r="C328" i="1"/>
  <c r="D319" i="3" s="1"/>
  <c r="K328" i="1"/>
  <c r="N328" i="1"/>
  <c r="H328" i="1"/>
  <c r="A378" i="1" l="1"/>
  <c r="B368" i="3"/>
  <c r="L328" i="1"/>
  <c r="M328" i="1" s="1"/>
  <c r="I328" i="1"/>
  <c r="O328" i="1"/>
  <c r="P328" i="1" s="1"/>
  <c r="A379" i="1" l="1"/>
  <c r="B369" i="3"/>
  <c r="J328" i="1"/>
  <c r="F328" i="1" s="1"/>
  <c r="A380" i="1" l="1"/>
  <c r="B370" i="3"/>
  <c r="D329" i="1"/>
  <c r="B329" i="1"/>
  <c r="C320" i="3" s="1"/>
  <c r="G328" i="1"/>
  <c r="A381" i="1" l="1"/>
  <c r="B371" i="3"/>
  <c r="E329" i="1"/>
  <c r="C329" i="1"/>
  <c r="D320" i="3" s="1"/>
  <c r="N329" i="1"/>
  <c r="K329" i="1"/>
  <c r="H329" i="1"/>
  <c r="A382" i="1" l="1"/>
  <c r="B372" i="3"/>
  <c r="L329" i="1"/>
  <c r="M329" i="1" s="1"/>
  <c r="O329" i="1"/>
  <c r="P329" i="1" s="1"/>
  <c r="I329" i="1"/>
  <c r="A383" i="1" l="1"/>
  <c r="B373" i="3"/>
  <c r="J329" i="1"/>
  <c r="F329" i="1" s="1"/>
  <c r="A384" i="1" l="1"/>
  <c r="B374" i="3"/>
  <c r="B330" i="1"/>
  <c r="C321" i="3" s="1"/>
  <c r="D330" i="1"/>
  <c r="G329" i="1"/>
  <c r="A385" i="1" l="1"/>
  <c r="B375" i="3"/>
  <c r="E330" i="1"/>
  <c r="C330" i="1"/>
  <c r="D321" i="3" s="1"/>
  <c r="N330" i="1"/>
  <c r="H330" i="1"/>
  <c r="K330" i="1"/>
  <c r="A386" i="1" l="1"/>
  <c r="B376" i="3"/>
  <c r="O330" i="1"/>
  <c r="P330" i="1" s="1"/>
  <c r="I330" i="1"/>
  <c r="L330" i="1"/>
  <c r="M330" i="1" s="1"/>
  <c r="A387" i="1" l="1"/>
  <c r="B377" i="3"/>
  <c r="J330" i="1"/>
  <c r="F330" i="1" s="1"/>
  <c r="A388" i="1" l="1"/>
  <c r="B378" i="3"/>
  <c r="D331" i="1"/>
  <c r="B331" i="1"/>
  <c r="C322" i="3" s="1"/>
  <c r="G330" i="1"/>
  <c r="A389" i="1" l="1"/>
  <c r="B379" i="3"/>
  <c r="E331" i="1"/>
  <c r="C331" i="1"/>
  <c r="D322" i="3" s="1"/>
  <c r="N331" i="1"/>
  <c r="H331" i="1"/>
  <c r="K331" i="1"/>
  <c r="A390" i="1" l="1"/>
  <c r="B380" i="3"/>
  <c r="O331" i="1"/>
  <c r="P331" i="1" s="1"/>
  <c r="I331" i="1"/>
  <c r="L331" i="1"/>
  <c r="M331" i="1" s="1"/>
  <c r="A391" i="1" l="1"/>
  <c r="B381" i="3"/>
  <c r="J331" i="1"/>
  <c r="F331" i="1" s="1"/>
  <c r="A392" i="1" l="1"/>
  <c r="B382" i="3"/>
  <c r="B332" i="1"/>
  <c r="C323" i="3" s="1"/>
  <c r="D332" i="1"/>
  <c r="G331" i="1"/>
  <c r="A393" i="1" l="1"/>
  <c r="B383" i="3"/>
  <c r="E332" i="1"/>
  <c r="C332" i="1"/>
  <c r="D323" i="3" s="1"/>
  <c r="H332" i="1"/>
  <c r="K332" i="1"/>
  <c r="N332" i="1"/>
  <c r="A394" i="1" l="1"/>
  <c r="B384" i="3"/>
  <c r="O332" i="1"/>
  <c r="P332" i="1" s="1"/>
  <c r="I332" i="1"/>
  <c r="L332" i="1"/>
  <c r="M332" i="1" s="1"/>
  <c r="A395" i="1" l="1"/>
  <c r="B385" i="3"/>
  <c r="J332" i="1"/>
  <c r="F332" i="1" s="1"/>
  <c r="A396" i="1" l="1"/>
  <c r="B386" i="3"/>
  <c r="D333" i="1"/>
  <c r="B333" i="1"/>
  <c r="C324" i="3" s="1"/>
  <c r="G332" i="1"/>
  <c r="A397" i="1" l="1"/>
  <c r="B387" i="3"/>
  <c r="E333" i="1"/>
  <c r="C333" i="1"/>
  <c r="D324" i="3" s="1"/>
  <c r="H333" i="1"/>
  <c r="K333" i="1"/>
  <c r="N333" i="1"/>
  <c r="A398" i="1" l="1"/>
  <c r="B388" i="3"/>
  <c r="I333" i="1"/>
  <c r="O333" i="1"/>
  <c r="P333" i="1" s="1"/>
  <c r="L333" i="1"/>
  <c r="M333" i="1" s="1"/>
  <c r="A399" i="1" l="1"/>
  <c r="B389" i="3"/>
  <c r="J333" i="1"/>
  <c r="F333" i="1" s="1"/>
  <c r="A400" i="1" l="1"/>
  <c r="B390" i="3"/>
  <c r="B334" i="1"/>
  <c r="C325" i="3" s="1"/>
  <c r="D334" i="1"/>
  <c r="G333" i="1"/>
  <c r="A401" i="1" l="1"/>
  <c r="B391" i="3"/>
  <c r="E334" i="1"/>
  <c r="C334" i="1"/>
  <c r="D325" i="3" s="1"/>
  <c r="K334" i="1"/>
  <c r="N334" i="1"/>
  <c r="H334" i="1"/>
  <c r="A402" i="1" l="1"/>
  <c r="B392" i="3"/>
  <c r="I334" i="1"/>
  <c r="L334" i="1"/>
  <c r="M334" i="1" s="1"/>
  <c r="O334" i="1"/>
  <c r="P334" i="1" s="1"/>
  <c r="A403" i="1" l="1"/>
  <c r="B393" i="3"/>
  <c r="J334" i="1"/>
  <c r="F334" i="1" s="1"/>
  <c r="A404" i="1" l="1"/>
  <c r="B394" i="3"/>
  <c r="D335" i="1"/>
  <c r="B335" i="1"/>
  <c r="C326" i="3" s="1"/>
  <c r="G334" i="1"/>
  <c r="A405" i="1" l="1"/>
  <c r="B395" i="3"/>
  <c r="E335" i="1"/>
  <c r="C335" i="1"/>
  <c r="D326" i="3" s="1"/>
  <c r="K335" i="1"/>
  <c r="H335" i="1"/>
  <c r="N335" i="1"/>
  <c r="A406" i="1" l="1"/>
  <c r="B396" i="3"/>
  <c r="L335" i="1"/>
  <c r="M335" i="1" s="1"/>
  <c r="O335" i="1"/>
  <c r="P335" i="1" s="1"/>
  <c r="I335" i="1"/>
  <c r="A407" i="1" l="1"/>
  <c r="B397" i="3"/>
  <c r="J335" i="1"/>
  <c r="F335" i="1" s="1"/>
  <c r="A408" i="1" l="1"/>
  <c r="B398" i="3"/>
  <c r="B336" i="1"/>
  <c r="C327" i="3" s="1"/>
  <c r="D336" i="1"/>
  <c r="G335" i="1"/>
  <c r="A409" i="1" l="1"/>
  <c r="B399" i="3"/>
  <c r="E336" i="1"/>
  <c r="C336" i="1"/>
  <c r="D327" i="3" s="1"/>
  <c r="K336" i="1"/>
  <c r="N336" i="1"/>
  <c r="H336" i="1"/>
  <c r="A410" i="1" l="1"/>
  <c r="B400" i="3"/>
  <c r="L336" i="1"/>
  <c r="M336" i="1" s="1"/>
  <c r="O336" i="1"/>
  <c r="P336" i="1" s="1"/>
  <c r="I336" i="1"/>
  <c r="A411" i="1" l="1"/>
  <c r="B401" i="3"/>
  <c r="J336" i="1"/>
  <c r="F336" i="1" s="1"/>
  <c r="A412" i="1" l="1"/>
  <c r="B402" i="3"/>
  <c r="D337" i="1"/>
  <c r="B337" i="1"/>
  <c r="C328" i="3" s="1"/>
  <c r="G336" i="1"/>
  <c r="A413" i="1" l="1"/>
  <c r="B403" i="3"/>
  <c r="E337" i="1"/>
  <c r="C337" i="1"/>
  <c r="D328" i="3" s="1"/>
  <c r="N337" i="1"/>
  <c r="H337" i="1"/>
  <c r="K337" i="1"/>
  <c r="A414" i="1" l="1"/>
  <c r="B404" i="3"/>
  <c r="L337" i="1"/>
  <c r="M337" i="1" s="1"/>
  <c r="O337" i="1"/>
  <c r="P337" i="1" s="1"/>
  <c r="I337" i="1"/>
  <c r="A415" i="1" l="1"/>
  <c r="B405" i="3"/>
  <c r="J337" i="1"/>
  <c r="F337" i="1" s="1"/>
  <c r="A416" i="1" l="1"/>
  <c r="B406" i="3"/>
  <c r="B338" i="1"/>
  <c r="C329" i="3" s="1"/>
  <c r="D338" i="1"/>
  <c r="G337" i="1"/>
  <c r="A417" i="1" l="1"/>
  <c r="B407" i="3"/>
  <c r="E338" i="1"/>
  <c r="C338" i="1"/>
  <c r="D329" i="3" s="1"/>
  <c r="N338" i="1"/>
  <c r="H338" i="1"/>
  <c r="K338" i="1"/>
  <c r="A418" i="1" l="1"/>
  <c r="B408" i="3"/>
  <c r="O338" i="1"/>
  <c r="P338" i="1" s="1"/>
  <c r="I338" i="1"/>
  <c r="L338" i="1"/>
  <c r="M338" i="1" s="1"/>
  <c r="A419" i="1" l="1"/>
  <c r="B409" i="3"/>
  <c r="J338" i="1"/>
  <c r="F338" i="1" s="1"/>
  <c r="B339" i="1" s="1"/>
  <c r="C330" i="3" s="1"/>
  <c r="A420" i="1" l="1"/>
  <c r="B410" i="3"/>
  <c r="D339" i="1"/>
  <c r="G338" i="1"/>
  <c r="A421" i="1" l="1"/>
  <c r="B411" i="3"/>
  <c r="E339" i="1"/>
  <c r="C339" i="1"/>
  <c r="D330" i="3" s="1"/>
  <c r="N339" i="1"/>
  <c r="H339" i="1"/>
  <c r="K339" i="1"/>
  <c r="A422" i="1" l="1"/>
  <c r="B412" i="3"/>
  <c r="O339" i="1"/>
  <c r="P339" i="1" s="1"/>
  <c r="I339" i="1"/>
  <c r="L339" i="1"/>
  <c r="M339" i="1" s="1"/>
  <c r="A423" i="1" l="1"/>
  <c r="B413" i="3"/>
  <c r="J339" i="1"/>
  <c r="F339" i="1" s="1"/>
  <c r="A424" i="1" l="1"/>
  <c r="B414" i="3"/>
  <c r="B340" i="1"/>
  <c r="C331" i="3" s="1"/>
  <c r="D340" i="1"/>
  <c r="G339" i="1"/>
  <c r="A425" i="1" l="1"/>
  <c r="B415" i="3"/>
  <c r="E340" i="1"/>
  <c r="C340" i="1"/>
  <c r="D331" i="3" s="1"/>
  <c r="H340" i="1"/>
  <c r="K340" i="1"/>
  <c r="N340" i="1"/>
  <c r="A426" i="1" l="1"/>
  <c r="B416" i="3"/>
  <c r="O340" i="1"/>
  <c r="P340" i="1" s="1"/>
  <c r="I340" i="1"/>
  <c r="L340" i="1"/>
  <c r="M340" i="1" s="1"/>
  <c r="A427" i="1" l="1"/>
  <c r="B417" i="3"/>
  <c r="J340" i="1"/>
  <c r="F340" i="1" s="1"/>
  <c r="A428" i="1" l="1"/>
  <c r="B418" i="3"/>
  <c r="D341" i="1"/>
  <c r="B341" i="1"/>
  <c r="C332" i="3" s="1"/>
  <c r="G340" i="1"/>
  <c r="A429" i="1" l="1"/>
  <c r="B419" i="3"/>
  <c r="E341" i="1"/>
  <c r="C341" i="1"/>
  <c r="D332" i="3" s="1"/>
  <c r="H341" i="1"/>
  <c r="K341" i="1"/>
  <c r="N341" i="1"/>
  <c r="A430" i="1" l="1"/>
  <c r="B420" i="3"/>
  <c r="I341" i="1"/>
  <c r="L341" i="1"/>
  <c r="M341" i="1" s="1"/>
  <c r="O341" i="1"/>
  <c r="P341" i="1" s="1"/>
  <c r="A431" i="1" l="1"/>
  <c r="B421" i="3"/>
  <c r="J341" i="1"/>
  <c r="F341" i="1" s="1"/>
  <c r="A432" i="1" l="1"/>
  <c r="B422" i="3"/>
  <c r="B342" i="1"/>
  <c r="C333" i="3" s="1"/>
  <c r="D342" i="1"/>
  <c r="G341" i="1"/>
  <c r="A433" i="1" l="1"/>
  <c r="B423" i="3"/>
  <c r="E342" i="1"/>
  <c r="C342" i="1"/>
  <c r="D333" i="3" s="1"/>
  <c r="K342" i="1"/>
  <c r="N342" i="1"/>
  <c r="H342" i="1"/>
  <c r="A434" i="1" l="1"/>
  <c r="B424" i="3"/>
  <c r="I342" i="1"/>
  <c r="L342" i="1"/>
  <c r="M342" i="1" s="1"/>
  <c r="O342" i="1"/>
  <c r="P342" i="1" s="1"/>
  <c r="A435" i="1" l="1"/>
  <c r="B425" i="3"/>
  <c r="J342" i="1"/>
  <c r="F342" i="1" s="1"/>
  <c r="A436" i="1" l="1"/>
  <c r="B426" i="3"/>
  <c r="D343" i="1"/>
  <c r="B343" i="1"/>
  <c r="C334" i="3" s="1"/>
  <c r="G342" i="1"/>
  <c r="A437" i="1" l="1"/>
  <c r="B427" i="3"/>
  <c r="E343" i="1"/>
  <c r="C343" i="1"/>
  <c r="D334" i="3" s="1"/>
  <c r="K343" i="1"/>
  <c r="H343" i="1"/>
  <c r="N343" i="1"/>
  <c r="A438" i="1" l="1"/>
  <c r="B428" i="3"/>
  <c r="L343" i="1"/>
  <c r="M343" i="1" s="1"/>
  <c r="O343" i="1"/>
  <c r="P343" i="1" s="1"/>
  <c r="I343" i="1"/>
  <c r="A439" i="1" l="1"/>
  <c r="B429" i="3"/>
  <c r="J343" i="1"/>
  <c r="F343" i="1" s="1"/>
  <c r="A440" i="1" l="1"/>
  <c r="B430" i="3"/>
  <c r="B344" i="1"/>
  <c r="C335" i="3" s="1"/>
  <c r="D344" i="1"/>
  <c r="G343" i="1"/>
  <c r="A441" i="1" l="1"/>
  <c r="B431" i="3"/>
  <c r="E344" i="1"/>
  <c r="C344" i="1"/>
  <c r="D335" i="3" s="1"/>
  <c r="K344" i="1"/>
  <c r="N344" i="1"/>
  <c r="H344" i="1"/>
  <c r="A442" i="1" l="1"/>
  <c r="B432" i="3"/>
  <c r="L344" i="1"/>
  <c r="M344" i="1" s="1"/>
  <c r="I344" i="1"/>
  <c r="O344" i="1"/>
  <c r="P344" i="1" s="1"/>
  <c r="A443" i="1" l="1"/>
  <c r="B433" i="3"/>
  <c r="J344" i="1"/>
  <c r="F344" i="1" s="1"/>
  <c r="A444" i="1" l="1"/>
  <c r="B434" i="3"/>
  <c r="D345" i="1"/>
  <c r="B345" i="1"/>
  <c r="C336" i="3" s="1"/>
  <c r="G344" i="1"/>
  <c r="A445" i="1" l="1"/>
  <c r="B435" i="3"/>
  <c r="E345" i="1"/>
  <c r="C345" i="1"/>
  <c r="D336" i="3" s="1"/>
  <c r="N345" i="1"/>
  <c r="H345" i="1"/>
  <c r="K345" i="1"/>
  <c r="A446" i="1" l="1"/>
  <c r="B436" i="3"/>
  <c r="L345" i="1"/>
  <c r="M345" i="1" s="1"/>
  <c r="O345" i="1"/>
  <c r="P345" i="1" s="1"/>
  <c r="I345" i="1"/>
  <c r="A447" i="1" l="1"/>
  <c r="B437" i="3"/>
  <c r="J345" i="1"/>
  <c r="F345" i="1" s="1"/>
  <c r="A448" i="1" l="1"/>
  <c r="B438" i="3"/>
  <c r="B346" i="1"/>
  <c r="C337" i="3" s="1"/>
  <c r="D346" i="1"/>
  <c r="G345" i="1"/>
  <c r="A449" i="1" l="1"/>
  <c r="B439" i="3"/>
  <c r="E346" i="1"/>
  <c r="C346" i="1"/>
  <c r="D337" i="3" s="1"/>
  <c r="N346" i="1"/>
  <c r="H346" i="1"/>
  <c r="K346" i="1"/>
  <c r="A450" i="1" l="1"/>
  <c r="B440" i="3"/>
  <c r="O346" i="1"/>
  <c r="P346" i="1" s="1"/>
  <c r="L346" i="1"/>
  <c r="M346" i="1" s="1"/>
  <c r="I346" i="1"/>
  <c r="A451" i="1" l="1"/>
  <c r="B441" i="3"/>
  <c r="J346" i="1"/>
  <c r="F346" i="1" s="1"/>
  <c r="A452" i="1" l="1"/>
  <c r="B442" i="3"/>
  <c r="D347" i="1"/>
  <c r="B347" i="1"/>
  <c r="C338" i="3" s="1"/>
  <c r="G346" i="1"/>
  <c r="A453" i="1" l="1"/>
  <c r="B443" i="3"/>
  <c r="E347" i="1"/>
  <c r="C347" i="1"/>
  <c r="D338" i="3" s="1"/>
  <c r="N347" i="1"/>
  <c r="H347" i="1"/>
  <c r="K347" i="1"/>
  <c r="A454" i="1" l="1"/>
  <c r="B444" i="3"/>
  <c r="O347" i="1"/>
  <c r="P347" i="1" s="1"/>
  <c r="I347" i="1"/>
  <c r="L347" i="1"/>
  <c r="M347" i="1" s="1"/>
  <c r="A455" i="1" l="1"/>
  <c r="B445" i="3"/>
  <c r="J347" i="1"/>
  <c r="F347" i="1" s="1"/>
  <c r="A456" i="1" l="1"/>
  <c r="B446" i="3"/>
  <c r="B348" i="1"/>
  <c r="C339" i="3" s="1"/>
  <c r="D348" i="1"/>
  <c r="G347" i="1"/>
  <c r="A457" i="1" l="1"/>
  <c r="B447" i="3"/>
  <c r="E348" i="1"/>
  <c r="C348" i="1"/>
  <c r="D339" i="3" s="1"/>
  <c r="H348" i="1"/>
  <c r="K348" i="1"/>
  <c r="N348" i="1"/>
  <c r="A458" i="1" l="1"/>
  <c r="B448" i="3"/>
  <c r="O348" i="1"/>
  <c r="P348" i="1" s="1"/>
  <c r="I348" i="1"/>
  <c r="L348" i="1"/>
  <c r="M348" i="1" s="1"/>
  <c r="A459" i="1" l="1"/>
  <c r="B449" i="3"/>
  <c r="J348" i="1"/>
  <c r="F348" i="1" s="1"/>
  <c r="A460" i="1" l="1"/>
  <c r="B450" i="3"/>
  <c r="D349" i="1"/>
  <c r="B349" i="1"/>
  <c r="C340" i="3" s="1"/>
  <c r="G348" i="1"/>
  <c r="A461" i="1" l="1"/>
  <c r="B451" i="3"/>
  <c r="E349" i="1"/>
  <c r="C349" i="1"/>
  <c r="D340" i="3" s="1"/>
  <c r="H349" i="1"/>
  <c r="K349" i="1"/>
  <c r="N349" i="1"/>
  <c r="A462" i="1" l="1"/>
  <c r="B452" i="3"/>
  <c r="I349" i="1"/>
  <c r="L349" i="1"/>
  <c r="M349" i="1" s="1"/>
  <c r="O349" i="1"/>
  <c r="P349" i="1" s="1"/>
  <c r="A463" i="1" l="1"/>
  <c r="B453" i="3"/>
  <c r="J349" i="1"/>
  <c r="F349" i="1" s="1"/>
  <c r="A464" i="1" l="1"/>
  <c r="B454" i="3"/>
  <c r="B350" i="1"/>
  <c r="C341" i="3" s="1"/>
  <c r="D350" i="1"/>
  <c r="G349" i="1"/>
  <c r="A465" i="1" l="1"/>
  <c r="B455" i="3"/>
  <c r="E350" i="1"/>
  <c r="C350" i="1"/>
  <c r="D341" i="3" s="1"/>
  <c r="K350" i="1"/>
  <c r="N350" i="1"/>
  <c r="H350" i="1"/>
  <c r="A466" i="1" l="1"/>
  <c r="B456" i="3"/>
  <c r="I350" i="1"/>
  <c r="L350" i="1"/>
  <c r="M350" i="1" s="1"/>
  <c r="O350" i="1"/>
  <c r="P350" i="1" s="1"/>
  <c r="A467" i="1" l="1"/>
  <c r="B457" i="3"/>
  <c r="J350" i="1"/>
  <c r="F350" i="1" s="1"/>
  <c r="A468" i="1" l="1"/>
  <c r="B458" i="3"/>
  <c r="D351" i="1"/>
  <c r="B351" i="1"/>
  <c r="C342" i="3" s="1"/>
  <c r="G350" i="1"/>
  <c r="A469" i="1" l="1"/>
  <c r="B459" i="3"/>
  <c r="E351" i="1"/>
  <c r="C351" i="1"/>
  <c r="D342" i="3" s="1"/>
  <c r="K351" i="1"/>
  <c r="H351" i="1"/>
  <c r="N351" i="1"/>
  <c r="A470" i="1" l="1"/>
  <c r="B460" i="3"/>
  <c r="L351" i="1"/>
  <c r="M351" i="1" s="1"/>
  <c r="O351" i="1"/>
  <c r="P351" i="1" s="1"/>
  <c r="I351" i="1"/>
  <c r="A471" i="1" l="1"/>
  <c r="B461" i="3"/>
  <c r="J351" i="1"/>
  <c r="F351" i="1" s="1"/>
  <c r="A472" i="1" l="1"/>
  <c r="B462" i="3"/>
  <c r="D352" i="1"/>
  <c r="B352" i="1"/>
  <c r="C343" i="3" s="1"/>
  <c r="G351" i="1"/>
  <c r="A473" i="1" l="1"/>
  <c r="B463" i="3"/>
  <c r="E352" i="1"/>
  <c r="C352" i="1"/>
  <c r="D343" i="3" s="1"/>
  <c r="K352" i="1"/>
  <c r="N352" i="1"/>
  <c r="H352" i="1"/>
  <c r="A474" i="1" l="1"/>
  <c r="B464" i="3"/>
  <c r="L352" i="1"/>
  <c r="M352" i="1" s="1"/>
  <c r="I352" i="1"/>
  <c r="O352" i="1"/>
  <c r="P352" i="1" s="1"/>
  <c r="A475" i="1" l="1"/>
  <c r="B465" i="3"/>
  <c r="J352" i="1"/>
  <c r="F352" i="1" s="1"/>
  <c r="A476" i="1" l="1"/>
  <c r="B466" i="3"/>
  <c r="G352" i="1"/>
  <c r="E353" i="1" s="1"/>
  <c r="D353" i="1"/>
  <c r="B353" i="1"/>
  <c r="C344" i="3" s="1"/>
  <c r="A477" i="1" l="1"/>
  <c r="B467" i="3"/>
  <c r="C353" i="1"/>
  <c r="N353" i="1"/>
  <c r="H353" i="1"/>
  <c r="K353" i="1"/>
  <c r="A478" i="1" l="1"/>
  <c r="B468" i="3"/>
  <c r="L353" i="1"/>
  <c r="M353" i="1" s="1"/>
  <c r="D344" i="3"/>
  <c r="O353" i="1"/>
  <c r="P353" i="1" s="1"/>
  <c r="I353" i="1"/>
  <c r="J353" i="1" s="1"/>
  <c r="A479" i="1" l="1"/>
  <c r="B469" i="3"/>
  <c r="F353" i="1"/>
  <c r="D354" i="1" s="1"/>
  <c r="G353" i="1"/>
  <c r="E354" i="1" s="1"/>
  <c r="A480" i="1" l="1"/>
  <c r="B470" i="3"/>
  <c r="B354" i="1"/>
  <c r="C354" i="1"/>
  <c r="A481" i="1" l="1"/>
  <c r="B471" i="3"/>
  <c r="O354" i="1"/>
  <c r="D345" i="3"/>
  <c r="H354" i="1"/>
  <c r="C345" i="3"/>
  <c r="K354" i="1"/>
  <c r="N354" i="1"/>
  <c r="L354" i="1"/>
  <c r="I354" i="1"/>
  <c r="A482" i="1" l="1"/>
  <c r="B472" i="3"/>
  <c r="J354" i="1"/>
  <c r="P354" i="1"/>
  <c r="M354" i="1"/>
  <c r="A483" i="1" l="1"/>
  <c r="B473" i="3"/>
  <c r="F354" i="1"/>
  <c r="D355" i="1" s="1"/>
  <c r="G354" i="1"/>
  <c r="E355" i="1" s="1"/>
  <c r="A484" i="1" l="1"/>
  <c r="B474" i="3"/>
  <c r="B355" i="1"/>
  <c r="H355" i="1" s="1"/>
  <c r="C355" i="1"/>
  <c r="A485" i="1" l="1"/>
  <c r="B475" i="3"/>
  <c r="K355" i="1"/>
  <c r="N355" i="1"/>
  <c r="C346" i="3"/>
  <c r="O355" i="1"/>
  <c r="D346" i="3"/>
  <c r="I355" i="1"/>
  <c r="J355" i="1" s="1"/>
  <c r="L355" i="1"/>
  <c r="P355" i="1" l="1"/>
  <c r="A486" i="1"/>
  <c r="B476" i="3"/>
  <c r="M355" i="1"/>
  <c r="F355" i="1" l="1"/>
  <c r="B356" i="1" s="1"/>
  <c r="C347" i="3" s="1"/>
  <c r="A487" i="1"/>
  <c r="B477" i="3"/>
  <c r="G355" i="1"/>
  <c r="E356" i="1" s="1"/>
  <c r="K356" i="1" l="1"/>
  <c r="N356" i="1"/>
  <c r="H356" i="1"/>
  <c r="D356" i="1"/>
  <c r="A488" i="1"/>
  <c r="B478" i="3"/>
  <c r="C356" i="1"/>
  <c r="D347" i="3" s="1"/>
  <c r="A489" i="1" l="1"/>
  <c r="B479" i="3"/>
  <c r="O356" i="1"/>
  <c r="P356" i="1" s="1"/>
  <c r="L356" i="1"/>
  <c r="M356" i="1" s="1"/>
  <c r="I356" i="1"/>
  <c r="J356" i="1" s="1"/>
  <c r="F356" i="1" s="1"/>
  <c r="A490" i="1" l="1"/>
  <c r="B480" i="3"/>
  <c r="D357" i="1"/>
  <c r="B357" i="1"/>
  <c r="C348" i="3" s="1"/>
  <c r="G356" i="1"/>
  <c r="A491" i="1" l="1"/>
  <c r="B481" i="3"/>
  <c r="E357" i="1"/>
  <c r="C357" i="1"/>
  <c r="D348" i="3" s="1"/>
  <c r="H357" i="1"/>
  <c r="N357" i="1"/>
  <c r="K357" i="1"/>
  <c r="A492" i="1" l="1"/>
  <c r="B482" i="3"/>
  <c r="O357" i="1"/>
  <c r="P357" i="1" s="1"/>
  <c r="I357" i="1"/>
  <c r="L357" i="1"/>
  <c r="M357" i="1" s="1"/>
  <c r="A493" i="1" l="1"/>
  <c r="B483" i="3"/>
  <c r="J357" i="1"/>
  <c r="F357" i="1" s="1"/>
  <c r="A494" i="1" l="1"/>
  <c r="B484" i="3"/>
  <c r="B358" i="1"/>
  <c r="C349" i="3" s="1"/>
  <c r="D358" i="1"/>
  <c r="G357" i="1"/>
  <c r="A495" i="1" l="1"/>
  <c r="B485" i="3"/>
  <c r="E358" i="1"/>
  <c r="C358" i="1"/>
  <c r="D349" i="3" s="1"/>
  <c r="H358" i="1"/>
  <c r="K358" i="1"/>
  <c r="N358" i="1"/>
  <c r="A496" i="1" l="1"/>
  <c r="B486" i="3"/>
  <c r="I358" i="1"/>
  <c r="J358" i="1" s="1"/>
  <c r="L358" i="1"/>
  <c r="M358" i="1" s="1"/>
  <c r="O358" i="1"/>
  <c r="P358" i="1" s="1"/>
  <c r="A497" i="1" l="1"/>
  <c r="B487" i="3"/>
  <c r="F358" i="1"/>
  <c r="D359" i="1" s="1"/>
  <c r="G358" i="1"/>
  <c r="A498" i="1" l="1"/>
  <c r="B488" i="3"/>
  <c r="B359" i="1"/>
  <c r="E359" i="1"/>
  <c r="C359" i="1"/>
  <c r="D350" i="3" s="1"/>
  <c r="A499" i="1" l="1"/>
  <c r="B489" i="3"/>
  <c r="K359" i="1"/>
  <c r="C350" i="3"/>
  <c r="N359" i="1"/>
  <c r="H359" i="1"/>
  <c r="I359" i="1"/>
  <c r="L359" i="1"/>
  <c r="O359" i="1"/>
  <c r="A500" i="1" l="1"/>
  <c r="B490" i="3"/>
  <c r="M359" i="1"/>
  <c r="J359" i="1"/>
  <c r="P359" i="1"/>
  <c r="A501" i="1" l="1"/>
  <c r="B491" i="3"/>
  <c r="F359" i="1"/>
  <c r="B360" i="1" s="1"/>
  <c r="G359" i="1"/>
  <c r="C360" i="1" s="1"/>
  <c r="D351" i="3" s="1"/>
  <c r="A502" i="1" l="1"/>
  <c r="B492" i="3"/>
  <c r="K360" i="1"/>
  <c r="C351" i="3"/>
  <c r="H360" i="1"/>
  <c r="N360" i="1"/>
  <c r="D360" i="1"/>
  <c r="E360" i="1"/>
  <c r="L360" i="1"/>
  <c r="O360" i="1"/>
  <c r="I360" i="1"/>
  <c r="A503" i="1" l="1"/>
  <c r="B493" i="3"/>
  <c r="P360" i="1"/>
  <c r="M360" i="1"/>
  <c r="J360" i="1"/>
  <c r="A504" i="1" l="1"/>
  <c r="B494" i="3"/>
  <c r="F360" i="1"/>
  <c r="D361" i="1" s="1"/>
  <c r="G360" i="1"/>
  <c r="A505" i="1" l="1"/>
  <c r="B495" i="3"/>
  <c r="B361" i="1"/>
  <c r="C352" i="3" s="1"/>
  <c r="E361" i="1"/>
  <c r="C361" i="1"/>
  <c r="D352" i="3" s="1"/>
  <c r="A506" i="1" l="1"/>
  <c r="B496" i="3"/>
  <c r="N361" i="1"/>
  <c r="K361" i="1"/>
  <c r="H361" i="1"/>
  <c r="L361" i="1"/>
  <c r="M361" i="1" s="1"/>
  <c r="I361" i="1"/>
  <c r="O361" i="1"/>
  <c r="A507" i="1" l="1"/>
  <c r="B497" i="3"/>
  <c r="P361" i="1"/>
  <c r="J361" i="1"/>
  <c r="F361" i="1" s="1"/>
  <c r="A508" i="1" l="1"/>
  <c r="B498" i="3"/>
  <c r="B362" i="1"/>
  <c r="C353" i="3" s="1"/>
  <c r="D362" i="1"/>
  <c r="G361" i="1"/>
  <c r="A509" i="1" l="1"/>
  <c r="B499" i="3"/>
  <c r="E362" i="1"/>
  <c r="C362" i="1"/>
  <c r="D353" i="3" s="1"/>
  <c r="N362" i="1"/>
  <c r="H362" i="1"/>
  <c r="K362" i="1"/>
  <c r="A510" i="1" l="1"/>
  <c r="B500" i="3"/>
  <c r="L362" i="1"/>
  <c r="M362" i="1" s="1"/>
  <c r="O362" i="1"/>
  <c r="P362" i="1" s="1"/>
  <c r="I362" i="1"/>
  <c r="A511" i="1" l="1"/>
  <c r="B501" i="3"/>
  <c r="J362" i="1"/>
  <c r="F362" i="1" s="1"/>
  <c r="A512" i="1" l="1"/>
  <c r="B502" i="3"/>
  <c r="D363" i="1"/>
  <c r="B363" i="1"/>
  <c r="C354" i="3" s="1"/>
  <c r="G362" i="1"/>
  <c r="A513" i="1" l="1"/>
  <c r="B503" i="3"/>
  <c r="E363" i="1"/>
  <c r="C363" i="1"/>
  <c r="D354" i="3" s="1"/>
  <c r="N363" i="1"/>
  <c r="H363" i="1"/>
  <c r="K363" i="1"/>
  <c r="A514" i="1" l="1"/>
  <c r="B504" i="3"/>
  <c r="O363" i="1"/>
  <c r="P363" i="1" s="1"/>
  <c r="I363" i="1"/>
  <c r="L363" i="1"/>
  <c r="M363" i="1" s="1"/>
  <c r="A515" i="1" l="1"/>
  <c r="B505" i="3"/>
  <c r="J363" i="1"/>
  <c r="F363" i="1" s="1"/>
  <c r="A516" i="1" l="1"/>
  <c r="B506" i="3"/>
  <c r="D364" i="1"/>
  <c r="B364" i="1"/>
  <c r="C355" i="3" s="1"/>
  <c r="G363" i="1"/>
  <c r="A517" i="1" l="1"/>
  <c r="B507" i="3"/>
  <c r="E364" i="1"/>
  <c r="C364" i="1"/>
  <c r="D355" i="3" s="1"/>
  <c r="N364" i="1"/>
  <c r="H364" i="1"/>
  <c r="K364" i="1"/>
  <c r="A518" i="1" l="1"/>
  <c r="B508" i="3"/>
  <c r="O364" i="1"/>
  <c r="P364" i="1" s="1"/>
  <c r="I364" i="1"/>
  <c r="L364" i="1"/>
  <c r="M364" i="1" s="1"/>
  <c r="A519" i="1" l="1"/>
  <c r="B509" i="3"/>
  <c r="J364" i="1"/>
  <c r="F364" i="1" s="1"/>
  <c r="A520" i="1" l="1"/>
  <c r="B510" i="3"/>
  <c r="B365" i="1"/>
  <c r="C356" i="3" s="1"/>
  <c r="D365" i="1"/>
  <c r="G364" i="1"/>
  <c r="A521" i="1" l="1"/>
  <c r="B511" i="3"/>
  <c r="E365" i="1"/>
  <c r="C365" i="1"/>
  <c r="D356" i="3" s="1"/>
  <c r="H365" i="1"/>
  <c r="K365" i="1"/>
  <c r="N365" i="1"/>
  <c r="A522" i="1" l="1"/>
  <c r="B512" i="3"/>
  <c r="O365" i="1"/>
  <c r="P365" i="1" s="1"/>
  <c r="I365" i="1"/>
  <c r="L365" i="1"/>
  <c r="M365" i="1" s="1"/>
  <c r="A523" i="1" l="1"/>
  <c r="B513" i="3"/>
  <c r="J365" i="1"/>
  <c r="F365" i="1" s="1"/>
  <c r="A524" i="1" l="1"/>
  <c r="B514" i="3"/>
  <c r="D366" i="1"/>
  <c r="B366" i="1"/>
  <c r="C357" i="3" s="1"/>
  <c r="G365" i="1"/>
  <c r="A525" i="1" l="1"/>
  <c r="B515" i="3"/>
  <c r="E366" i="1"/>
  <c r="C366" i="1"/>
  <c r="D357" i="3" s="1"/>
  <c r="H366" i="1"/>
  <c r="K366" i="1"/>
  <c r="N366" i="1"/>
  <c r="A526" i="1" l="1"/>
  <c r="B516" i="3"/>
  <c r="I366" i="1"/>
  <c r="L366" i="1"/>
  <c r="M366" i="1" s="1"/>
  <c r="O366" i="1"/>
  <c r="P366" i="1" s="1"/>
  <c r="A527" i="1" l="1"/>
  <c r="B517" i="3"/>
  <c r="J366" i="1"/>
  <c r="F366" i="1" s="1"/>
  <c r="A528" i="1" l="1"/>
  <c r="B518" i="3"/>
  <c r="B367" i="1"/>
  <c r="C358" i="3" s="1"/>
  <c r="D367" i="1"/>
  <c r="G366" i="1"/>
  <c r="A529" i="1" l="1"/>
  <c r="B519" i="3"/>
  <c r="E367" i="1"/>
  <c r="C367" i="1"/>
  <c r="D358" i="3" s="1"/>
  <c r="K367" i="1"/>
  <c r="N367" i="1"/>
  <c r="H367" i="1"/>
  <c r="A530" i="1" l="1"/>
  <c r="B520" i="3"/>
  <c r="I367" i="1"/>
  <c r="L367" i="1"/>
  <c r="M367" i="1" s="1"/>
  <c r="O367" i="1"/>
  <c r="P367" i="1" s="1"/>
  <c r="A531" i="1" l="1"/>
  <c r="B521" i="3"/>
  <c r="J367" i="1"/>
  <c r="F367" i="1" s="1"/>
  <c r="A532" i="1" l="1"/>
  <c r="B522" i="3"/>
  <c r="D368" i="1"/>
  <c r="B368" i="1"/>
  <c r="C359" i="3" s="1"/>
  <c r="G367" i="1"/>
  <c r="A533" i="1" l="1"/>
  <c r="B523" i="3"/>
  <c r="E368" i="1"/>
  <c r="C368" i="1"/>
  <c r="D359" i="3" s="1"/>
  <c r="K368" i="1"/>
  <c r="H368" i="1"/>
  <c r="N368" i="1"/>
  <c r="A534" i="1" l="1"/>
  <c r="B524" i="3"/>
  <c r="L368" i="1"/>
  <c r="M368" i="1" s="1"/>
  <c r="O368" i="1"/>
  <c r="P368" i="1" s="1"/>
  <c r="I368" i="1"/>
  <c r="A535" i="1" l="1"/>
  <c r="B525" i="3"/>
  <c r="J368" i="1"/>
  <c r="F368" i="1" s="1"/>
  <c r="A536" i="1" l="1"/>
  <c r="B526" i="3"/>
  <c r="B369" i="1"/>
  <c r="C360" i="3" s="1"/>
  <c r="D369" i="1"/>
  <c r="G368" i="1"/>
  <c r="A537" i="1" l="1"/>
  <c r="B527" i="3"/>
  <c r="E369" i="1"/>
  <c r="C369" i="1"/>
  <c r="D360" i="3" s="1"/>
  <c r="K369" i="1"/>
  <c r="N369" i="1"/>
  <c r="H369" i="1"/>
  <c r="A538" i="1" l="1"/>
  <c r="B528" i="3"/>
  <c r="L369" i="1"/>
  <c r="M369" i="1" s="1"/>
  <c r="I369" i="1"/>
  <c r="O369" i="1"/>
  <c r="P369" i="1" s="1"/>
  <c r="A539" i="1" l="1"/>
  <c r="B529" i="3"/>
  <c r="J369" i="1"/>
  <c r="F369" i="1" s="1"/>
  <c r="A540" i="1" l="1"/>
  <c r="B530" i="3"/>
  <c r="D370" i="1"/>
  <c r="B370" i="1"/>
  <c r="C361" i="3" s="1"/>
  <c r="G369" i="1"/>
  <c r="A541" i="1" l="1"/>
  <c r="B531" i="3"/>
  <c r="E370" i="1"/>
  <c r="C370" i="1"/>
  <c r="D361" i="3" s="1"/>
  <c r="N370" i="1"/>
  <c r="K370" i="1"/>
  <c r="H370" i="1"/>
  <c r="A542" i="1" l="1"/>
  <c r="B532" i="3"/>
  <c r="L370" i="1"/>
  <c r="M370" i="1" s="1"/>
  <c r="O370" i="1"/>
  <c r="P370" i="1" s="1"/>
  <c r="I370" i="1"/>
  <c r="A543" i="1" l="1"/>
  <c r="B533" i="3"/>
  <c r="J370" i="1"/>
  <c r="F370" i="1" s="1"/>
  <c r="A544" i="1" l="1"/>
  <c r="B534" i="3"/>
  <c r="B371" i="1"/>
  <c r="C362" i="3" s="1"/>
  <c r="D371" i="1"/>
  <c r="G370" i="1"/>
  <c r="A545" i="1" l="1"/>
  <c r="B535" i="3"/>
  <c r="E371" i="1"/>
  <c r="C371" i="1"/>
  <c r="D362" i="3" s="1"/>
  <c r="N371" i="1"/>
  <c r="H371" i="1"/>
  <c r="K371" i="1"/>
  <c r="A546" i="1" l="1"/>
  <c r="B536" i="3"/>
  <c r="O371" i="1"/>
  <c r="P371" i="1" s="1"/>
  <c r="I371" i="1"/>
  <c r="L371" i="1"/>
  <c r="M371" i="1" s="1"/>
  <c r="A547" i="1" l="1"/>
  <c r="B537" i="3"/>
  <c r="J371" i="1"/>
  <c r="F371" i="1" s="1"/>
  <c r="A548" i="1" l="1"/>
  <c r="B538" i="3"/>
  <c r="D372" i="1"/>
  <c r="B372" i="1"/>
  <c r="C363" i="3" s="1"/>
  <c r="G371" i="1"/>
  <c r="A549" i="1" l="1"/>
  <c r="B539" i="3"/>
  <c r="E372" i="1"/>
  <c r="C372" i="1"/>
  <c r="D363" i="3" s="1"/>
  <c r="N372" i="1"/>
  <c r="H372" i="1"/>
  <c r="K372" i="1"/>
  <c r="A550" i="1" l="1"/>
  <c r="B540" i="3"/>
  <c r="O372" i="1"/>
  <c r="P372" i="1" s="1"/>
  <c r="I372" i="1"/>
  <c r="L372" i="1"/>
  <c r="M372" i="1" s="1"/>
  <c r="A551" i="1" l="1"/>
  <c r="B541" i="3"/>
  <c r="J372" i="1"/>
  <c r="F372" i="1" s="1"/>
  <c r="A552" i="1" l="1"/>
  <c r="B542" i="3"/>
  <c r="B373" i="1"/>
  <c r="C364" i="3" s="1"/>
  <c r="D373" i="1"/>
  <c r="G372" i="1"/>
  <c r="A553" i="1" l="1"/>
  <c r="B543" i="3"/>
  <c r="E373" i="1"/>
  <c r="C373" i="1"/>
  <c r="D364" i="3" s="1"/>
  <c r="H373" i="1"/>
  <c r="K373" i="1"/>
  <c r="N373" i="1"/>
  <c r="A554" i="1" l="1"/>
  <c r="B544" i="3"/>
  <c r="O373" i="1"/>
  <c r="P373" i="1" s="1"/>
  <c r="I373" i="1"/>
  <c r="L373" i="1"/>
  <c r="M373" i="1" s="1"/>
  <c r="A555" i="1" l="1"/>
  <c r="B545" i="3"/>
  <c r="J373" i="1"/>
  <c r="F373" i="1" s="1"/>
  <c r="A556" i="1" l="1"/>
  <c r="B546" i="3"/>
  <c r="D374" i="1"/>
  <c r="B374" i="1"/>
  <c r="C365" i="3" s="1"/>
  <c r="G373" i="1"/>
  <c r="A557" i="1" l="1"/>
  <c r="B547" i="3"/>
  <c r="E374" i="1"/>
  <c r="C374" i="1"/>
  <c r="D365" i="3" s="1"/>
  <c r="H374" i="1"/>
  <c r="K374" i="1"/>
  <c r="N374" i="1"/>
  <c r="A558" i="1" l="1"/>
  <c r="B548" i="3"/>
  <c r="I374" i="1"/>
  <c r="O374" i="1"/>
  <c r="P374" i="1" s="1"/>
  <c r="L374" i="1"/>
  <c r="M374" i="1" s="1"/>
  <c r="A559" i="1" l="1"/>
  <c r="B549" i="3"/>
  <c r="J374" i="1"/>
  <c r="F374" i="1" s="1"/>
  <c r="A560" i="1" l="1"/>
  <c r="B550" i="3"/>
  <c r="B375" i="1"/>
  <c r="C366" i="3" s="1"/>
  <c r="D375" i="1"/>
  <c r="G374" i="1"/>
  <c r="A561" i="1" l="1"/>
  <c r="B551" i="3"/>
  <c r="E375" i="1"/>
  <c r="C375" i="1"/>
  <c r="D366" i="3" s="1"/>
  <c r="K375" i="1"/>
  <c r="N375" i="1"/>
  <c r="H375" i="1"/>
  <c r="A562" i="1" l="1"/>
  <c r="B552" i="3"/>
  <c r="I375" i="1"/>
  <c r="L375" i="1"/>
  <c r="M375" i="1" s="1"/>
  <c r="O375" i="1"/>
  <c r="P375" i="1" s="1"/>
  <c r="A563" i="1" l="1"/>
  <c r="B553" i="3"/>
  <c r="J375" i="1"/>
  <c r="F375" i="1" s="1"/>
  <c r="A564" i="1" l="1"/>
  <c r="B554" i="3"/>
  <c r="D376" i="1"/>
  <c r="B376" i="1"/>
  <c r="C367" i="3" s="1"/>
  <c r="G375" i="1"/>
  <c r="A565" i="1" l="1"/>
  <c r="B555" i="3"/>
  <c r="E376" i="1"/>
  <c r="C376" i="1"/>
  <c r="D367" i="3" s="1"/>
  <c r="K376" i="1"/>
  <c r="H376" i="1"/>
  <c r="N376" i="1"/>
  <c r="A566" i="1" l="1"/>
  <c r="B556" i="3"/>
  <c r="L376" i="1"/>
  <c r="M376" i="1" s="1"/>
  <c r="O376" i="1"/>
  <c r="P376" i="1" s="1"/>
  <c r="I376" i="1"/>
  <c r="A567" i="1" l="1"/>
  <c r="B557" i="3"/>
  <c r="J376" i="1"/>
  <c r="F376" i="1" s="1"/>
  <c r="A568" i="1" l="1"/>
  <c r="B558" i="3"/>
  <c r="D377" i="1"/>
  <c r="B377" i="1"/>
  <c r="C368" i="3" s="1"/>
  <c r="G376" i="1"/>
  <c r="A569" i="1" l="1"/>
  <c r="B559" i="3"/>
  <c r="E377" i="1"/>
  <c r="C377" i="1"/>
  <c r="D368" i="3" s="1"/>
  <c r="K377" i="1"/>
  <c r="N377" i="1"/>
  <c r="H377" i="1"/>
  <c r="A570" i="1" l="1"/>
  <c r="B560" i="3"/>
  <c r="L377" i="1"/>
  <c r="M377" i="1" s="1"/>
  <c r="O377" i="1"/>
  <c r="P377" i="1" s="1"/>
  <c r="I377" i="1"/>
  <c r="A571" i="1" l="1"/>
  <c r="B561" i="3"/>
  <c r="J377" i="1"/>
  <c r="F377" i="1" s="1"/>
  <c r="A572" i="1" l="1"/>
  <c r="B562" i="3"/>
  <c r="B378" i="1"/>
  <c r="C369" i="3" s="1"/>
  <c r="D378" i="1"/>
  <c r="G377" i="1"/>
  <c r="A573" i="1" l="1"/>
  <c r="B563" i="3"/>
  <c r="E378" i="1"/>
  <c r="C378" i="1"/>
  <c r="D369" i="3" s="1"/>
  <c r="N378" i="1"/>
  <c r="H378" i="1"/>
  <c r="K378" i="1"/>
  <c r="A574" i="1" l="1"/>
  <c r="B564" i="3"/>
  <c r="L378" i="1"/>
  <c r="M378" i="1" s="1"/>
  <c r="O378" i="1"/>
  <c r="P378" i="1" s="1"/>
  <c r="I378" i="1"/>
  <c r="A575" i="1" l="1"/>
  <c r="B565" i="3"/>
  <c r="J378" i="1"/>
  <c r="F378" i="1" s="1"/>
  <c r="A576" i="1" l="1"/>
  <c r="B566" i="3"/>
  <c r="D379" i="1"/>
  <c r="B379" i="1"/>
  <c r="C370" i="3" s="1"/>
  <c r="G378" i="1"/>
  <c r="A577" i="1" l="1"/>
  <c r="B567" i="3"/>
  <c r="E379" i="1"/>
  <c r="C379" i="1"/>
  <c r="D370" i="3" s="1"/>
  <c r="N379" i="1"/>
  <c r="H379" i="1"/>
  <c r="K379" i="1"/>
  <c r="A578" i="1" l="1"/>
  <c r="B568" i="3"/>
  <c r="O379" i="1"/>
  <c r="P379" i="1" s="1"/>
  <c r="I379" i="1"/>
  <c r="L379" i="1"/>
  <c r="M379" i="1" s="1"/>
  <c r="A579" i="1" l="1"/>
  <c r="B569" i="3"/>
  <c r="J379" i="1"/>
  <c r="F379" i="1" s="1"/>
  <c r="A580" i="1" l="1"/>
  <c r="B570" i="3"/>
  <c r="B380" i="1"/>
  <c r="C371" i="3" s="1"/>
  <c r="D380" i="1"/>
  <c r="G379" i="1"/>
  <c r="A581" i="1" l="1"/>
  <c r="B571" i="3"/>
  <c r="E380" i="1"/>
  <c r="C380" i="1"/>
  <c r="D371" i="3" s="1"/>
  <c r="N380" i="1"/>
  <c r="H380" i="1"/>
  <c r="K380" i="1"/>
  <c r="A582" i="1" l="1"/>
  <c r="B572" i="3"/>
  <c r="O380" i="1"/>
  <c r="P380" i="1" s="1"/>
  <c r="I380" i="1"/>
  <c r="L380" i="1"/>
  <c r="M380" i="1" s="1"/>
  <c r="A583" i="1" l="1"/>
  <c r="B573" i="3"/>
  <c r="J380" i="1"/>
  <c r="F380" i="1" s="1"/>
  <c r="A584" i="1" l="1"/>
  <c r="B574" i="3"/>
  <c r="D381" i="1"/>
  <c r="B381" i="1"/>
  <c r="C372" i="3" s="1"/>
  <c r="G380" i="1"/>
  <c r="A585" i="1" l="1"/>
  <c r="B575" i="3"/>
  <c r="E381" i="1"/>
  <c r="C381" i="1"/>
  <c r="D372" i="3" s="1"/>
  <c r="H381" i="1"/>
  <c r="K381" i="1"/>
  <c r="N381" i="1"/>
  <c r="A586" i="1" l="1"/>
  <c r="B576" i="3"/>
  <c r="O381" i="1"/>
  <c r="P381" i="1" s="1"/>
  <c r="I381" i="1"/>
  <c r="L381" i="1"/>
  <c r="M381" i="1" s="1"/>
  <c r="A587" i="1" l="1"/>
  <c r="B577" i="3"/>
  <c r="J381" i="1"/>
  <c r="F381" i="1" s="1"/>
  <c r="A588" i="1" l="1"/>
  <c r="B578" i="3"/>
  <c r="B382" i="1"/>
  <c r="C373" i="3" s="1"/>
  <c r="D382" i="1"/>
  <c r="G381" i="1"/>
  <c r="A589" i="1" l="1"/>
  <c r="B579" i="3"/>
  <c r="E382" i="1"/>
  <c r="C382" i="1"/>
  <c r="D373" i="3" s="1"/>
  <c r="H382" i="1"/>
  <c r="K382" i="1"/>
  <c r="N382" i="1"/>
  <c r="A590" i="1" l="1"/>
  <c r="B580" i="3"/>
  <c r="I382" i="1"/>
  <c r="L382" i="1"/>
  <c r="M382" i="1" s="1"/>
  <c r="O382" i="1"/>
  <c r="P382" i="1" s="1"/>
  <c r="A591" i="1" l="1"/>
  <c r="B581" i="3"/>
  <c r="J382" i="1"/>
  <c r="F382" i="1" s="1"/>
  <c r="A592" i="1" l="1"/>
  <c r="B582" i="3"/>
  <c r="D383" i="1"/>
  <c r="B383" i="1"/>
  <c r="C374" i="3" s="1"/>
  <c r="G382" i="1"/>
  <c r="A593" i="1" l="1"/>
  <c r="B583" i="3"/>
  <c r="E383" i="1"/>
  <c r="C383" i="1"/>
  <c r="D374" i="3" s="1"/>
  <c r="K383" i="1"/>
  <c r="N383" i="1"/>
  <c r="H383" i="1"/>
  <c r="A594" i="1" l="1"/>
  <c r="B584" i="3"/>
  <c r="I383" i="1"/>
  <c r="L383" i="1"/>
  <c r="M383" i="1" s="1"/>
  <c r="O383" i="1"/>
  <c r="P383" i="1" s="1"/>
  <c r="A595" i="1" l="1"/>
  <c r="B585" i="3"/>
  <c r="J383" i="1"/>
  <c r="F383" i="1" s="1"/>
  <c r="A596" i="1" l="1"/>
  <c r="B586" i="3"/>
  <c r="B384" i="1"/>
  <c r="C375" i="3" s="1"/>
  <c r="D384" i="1"/>
  <c r="G383" i="1"/>
  <c r="A597" i="1" l="1"/>
  <c r="B587" i="3"/>
  <c r="E384" i="1"/>
  <c r="C384" i="1"/>
  <c r="D375" i="3" s="1"/>
  <c r="K384" i="1"/>
  <c r="H384" i="1"/>
  <c r="N384" i="1"/>
  <c r="A598" i="1" l="1"/>
  <c r="B588" i="3"/>
  <c r="L384" i="1"/>
  <c r="M384" i="1" s="1"/>
  <c r="O384" i="1"/>
  <c r="P384" i="1" s="1"/>
  <c r="I384" i="1"/>
  <c r="A599" i="1" l="1"/>
  <c r="B589" i="3"/>
  <c r="J384" i="1"/>
  <c r="F384" i="1" s="1"/>
  <c r="A600" i="1" l="1"/>
  <c r="B590" i="3"/>
  <c r="D385" i="1"/>
  <c r="B385" i="1"/>
  <c r="C376" i="3" s="1"/>
  <c r="G384" i="1"/>
  <c r="A601" i="1" l="1"/>
  <c r="B591" i="3"/>
  <c r="E385" i="1"/>
  <c r="C385" i="1"/>
  <c r="D376" i="3" s="1"/>
  <c r="K385" i="1"/>
  <c r="N385" i="1"/>
  <c r="H385" i="1"/>
  <c r="A602" i="1" l="1"/>
  <c r="B592" i="3"/>
  <c r="L385" i="1"/>
  <c r="M385" i="1" s="1"/>
  <c r="O385" i="1"/>
  <c r="P385" i="1" s="1"/>
  <c r="I385" i="1"/>
  <c r="A603" i="1" l="1"/>
  <c r="B593" i="3"/>
  <c r="J385" i="1"/>
  <c r="F385" i="1" s="1"/>
  <c r="A604" i="1" l="1"/>
  <c r="B594" i="3"/>
  <c r="D386" i="1"/>
  <c r="B386" i="1"/>
  <c r="C377" i="3" s="1"/>
  <c r="G385" i="1"/>
  <c r="A605" i="1" l="1"/>
  <c r="B595" i="3"/>
  <c r="E386" i="1"/>
  <c r="C386" i="1"/>
  <c r="D377" i="3" s="1"/>
  <c r="N386" i="1"/>
  <c r="H386" i="1"/>
  <c r="K386" i="1"/>
  <c r="A606" i="1" l="1"/>
  <c r="B596" i="3"/>
  <c r="L386" i="1"/>
  <c r="M386" i="1" s="1"/>
  <c r="O386" i="1"/>
  <c r="P386" i="1" s="1"/>
  <c r="I386" i="1"/>
  <c r="A607" i="1" l="1"/>
  <c r="B597" i="3"/>
  <c r="J386" i="1"/>
  <c r="F386" i="1" s="1"/>
  <c r="A608" i="1" l="1"/>
  <c r="B598" i="3"/>
  <c r="B387" i="1"/>
  <c r="C378" i="3" s="1"/>
  <c r="D387" i="1"/>
  <c r="G386" i="1"/>
  <c r="A609" i="1" l="1"/>
  <c r="B599" i="3"/>
  <c r="E387" i="1"/>
  <c r="C387" i="1"/>
  <c r="D378" i="3" s="1"/>
  <c r="N387" i="1"/>
  <c r="H387" i="1"/>
  <c r="K387" i="1"/>
  <c r="A610" i="1" l="1"/>
  <c r="B600" i="3"/>
  <c r="O387" i="1"/>
  <c r="P387" i="1" s="1"/>
  <c r="I387" i="1"/>
  <c r="L387" i="1"/>
  <c r="M387" i="1" s="1"/>
  <c r="A611" i="1" l="1"/>
  <c r="B601" i="3"/>
  <c r="J387" i="1"/>
  <c r="F387" i="1" s="1"/>
  <c r="A612" i="1" l="1"/>
  <c r="B602" i="3"/>
  <c r="D388" i="1"/>
  <c r="B388" i="1"/>
  <c r="C379" i="3" s="1"/>
  <c r="G387" i="1"/>
  <c r="A613" i="1" l="1"/>
  <c r="B603" i="3"/>
  <c r="E388" i="1"/>
  <c r="C388" i="1"/>
  <c r="D379" i="3" s="1"/>
  <c r="N388" i="1"/>
  <c r="H388" i="1"/>
  <c r="K388" i="1"/>
  <c r="A614" i="1" l="1"/>
  <c r="B604" i="3"/>
  <c r="O388" i="1"/>
  <c r="P388" i="1" s="1"/>
  <c r="I388" i="1"/>
  <c r="L388" i="1"/>
  <c r="M388" i="1" s="1"/>
  <c r="A615" i="1" l="1"/>
  <c r="B605" i="3"/>
  <c r="J388" i="1"/>
  <c r="F388" i="1" s="1"/>
  <c r="A616" i="1" l="1"/>
  <c r="B606" i="3"/>
  <c r="B389" i="1"/>
  <c r="C380" i="3" s="1"/>
  <c r="D389" i="1"/>
  <c r="G388" i="1"/>
  <c r="A617" i="1" l="1"/>
  <c r="B607" i="3"/>
  <c r="E389" i="1"/>
  <c r="C389" i="1"/>
  <c r="D380" i="3" s="1"/>
  <c r="H389" i="1"/>
  <c r="K389" i="1"/>
  <c r="N389" i="1"/>
  <c r="A618" i="1" l="1"/>
  <c r="B608" i="3"/>
  <c r="O389" i="1"/>
  <c r="P389" i="1" s="1"/>
  <c r="I389" i="1"/>
  <c r="L389" i="1"/>
  <c r="M389" i="1" s="1"/>
  <c r="A619" i="1" l="1"/>
  <c r="B609" i="3"/>
  <c r="J389" i="1"/>
  <c r="F389" i="1" s="1"/>
  <c r="A620" i="1" l="1"/>
  <c r="B610" i="3"/>
  <c r="D390" i="1"/>
  <c r="B390" i="1"/>
  <c r="C381" i="3" s="1"/>
  <c r="G389" i="1"/>
  <c r="A621" i="1" l="1"/>
  <c r="B611" i="3"/>
  <c r="E390" i="1"/>
  <c r="C390" i="1"/>
  <c r="D381" i="3" s="1"/>
  <c r="H390" i="1"/>
  <c r="K390" i="1"/>
  <c r="N390" i="1"/>
  <c r="A622" i="1" l="1"/>
  <c r="B612" i="3"/>
  <c r="I390" i="1"/>
  <c r="L390" i="1"/>
  <c r="M390" i="1" s="1"/>
  <c r="O390" i="1"/>
  <c r="P390" i="1" s="1"/>
  <c r="A623" i="1" l="1"/>
  <c r="B613" i="3"/>
  <c r="J390" i="1"/>
  <c r="F390" i="1" s="1"/>
  <c r="A624" i="1" l="1"/>
  <c r="B614" i="3"/>
  <c r="B391" i="1"/>
  <c r="C382" i="3" s="1"/>
  <c r="D391" i="1"/>
  <c r="G390" i="1"/>
  <c r="A625" i="1" l="1"/>
  <c r="B615" i="3"/>
  <c r="E391" i="1"/>
  <c r="C391" i="1"/>
  <c r="D382" i="3" s="1"/>
  <c r="K391" i="1"/>
  <c r="N391" i="1"/>
  <c r="H391" i="1"/>
  <c r="A626" i="1" l="1"/>
  <c r="B616" i="3"/>
  <c r="I391" i="1"/>
  <c r="L391" i="1"/>
  <c r="M391" i="1" s="1"/>
  <c r="O391" i="1"/>
  <c r="P391" i="1" s="1"/>
  <c r="A627" i="1" l="1"/>
  <c r="B617" i="3"/>
  <c r="J391" i="1"/>
  <c r="F391" i="1" s="1"/>
  <c r="A628" i="1" l="1"/>
  <c r="B618" i="3"/>
  <c r="D392" i="1"/>
  <c r="B392" i="1"/>
  <c r="C383" i="3" s="1"/>
  <c r="G391" i="1"/>
  <c r="A629" i="1" l="1"/>
  <c r="B619" i="3"/>
  <c r="E392" i="1"/>
  <c r="C392" i="1"/>
  <c r="D383" i="3" s="1"/>
  <c r="K392" i="1"/>
  <c r="N392" i="1"/>
  <c r="H392" i="1"/>
  <c r="A630" i="1" l="1"/>
  <c r="B620" i="3"/>
  <c r="L392" i="1"/>
  <c r="M392" i="1" s="1"/>
  <c r="O392" i="1"/>
  <c r="P392" i="1" s="1"/>
  <c r="I392" i="1"/>
  <c r="A631" i="1" l="1"/>
  <c r="B621" i="3"/>
  <c r="J392" i="1"/>
  <c r="F392" i="1" s="1"/>
  <c r="A632" i="1" l="1"/>
  <c r="B622" i="3"/>
  <c r="B393" i="1"/>
  <c r="C384" i="3" s="1"/>
  <c r="D393" i="1"/>
  <c r="G392" i="1"/>
  <c r="A633" i="1" l="1"/>
  <c r="B623" i="3"/>
  <c r="E393" i="1"/>
  <c r="C393" i="1"/>
  <c r="D384" i="3" s="1"/>
  <c r="K393" i="1"/>
  <c r="N393" i="1"/>
  <c r="H393" i="1"/>
  <c r="A634" i="1" l="1"/>
  <c r="B624" i="3"/>
  <c r="L393" i="1"/>
  <c r="M393" i="1" s="1"/>
  <c r="O393" i="1"/>
  <c r="P393" i="1" s="1"/>
  <c r="I393" i="1"/>
  <c r="A635" i="1" l="1"/>
  <c r="B625" i="3"/>
  <c r="J393" i="1"/>
  <c r="F393" i="1" s="1"/>
  <c r="A636" i="1" l="1"/>
  <c r="B626" i="3"/>
  <c r="D394" i="1"/>
  <c r="B394" i="1"/>
  <c r="C385" i="3" s="1"/>
  <c r="G393" i="1"/>
  <c r="A637" i="1" l="1"/>
  <c r="B627" i="3"/>
  <c r="E394" i="1"/>
  <c r="C394" i="1"/>
  <c r="D385" i="3" s="1"/>
  <c r="N394" i="1"/>
  <c r="H394" i="1"/>
  <c r="K394" i="1"/>
  <c r="A638" i="1" l="1"/>
  <c r="B628" i="3"/>
  <c r="L394" i="1"/>
  <c r="M394" i="1" s="1"/>
  <c r="O394" i="1"/>
  <c r="P394" i="1" s="1"/>
  <c r="I394" i="1"/>
  <c r="A639" i="1" l="1"/>
  <c r="B629" i="3"/>
  <c r="J394" i="1"/>
  <c r="F394" i="1" s="1"/>
  <c r="A640" i="1" l="1"/>
  <c r="B630" i="3"/>
  <c r="B395" i="1"/>
  <c r="C386" i="3" s="1"/>
  <c r="D395" i="1"/>
  <c r="G394" i="1"/>
  <c r="A641" i="1" l="1"/>
  <c r="B631" i="3"/>
  <c r="E395" i="1"/>
  <c r="C395" i="1"/>
  <c r="D386" i="3" s="1"/>
  <c r="N395" i="1"/>
  <c r="H395" i="1"/>
  <c r="K395" i="1"/>
  <c r="A642" i="1" l="1"/>
  <c r="B632" i="3"/>
  <c r="O395" i="1"/>
  <c r="P395" i="1" s="1"/>
  <c r="I395" i="1"/>
  <c r="L395" i="1"/>
  <c r="M395" i="1" s="1"/>
  <c r="A643" i="1" l="1"/>
  <c r="B633" i="3"/>
  <c r="J395" i="1"/>
  <c r="F395" i="1" s="1"/>
  <c r="A644" i="1" l="1"/>
  <c r="B634" i="3"/>
  <c r="D396" i="1"/>
  <c r="B396" i="1"/>
  <c r="C387" i="3" s="1"/>
  <c r="G395" i="1"/>
  <c r="A645" i="1" l="1"/>
  <c r="B635" i="3"/>
  <c r="E396" i="1"/>
  <c r="C396" i="1"/>
  <c r="D387" i="3" s="1"/>
  <c r="N396" i="1"/>
  <c r="H396" i="1"/>
  <c r="K396" i="1"/>
  <c r="A646" i="1" l="1"/>
  <c r="B636" i="3"/>
  <c r="O396" i="1"/>
  <c r="P396" i="1" s="1"/>
  <c r="I396" i="1"/>
  <c r="L396" i="1"/>
  <c r="M396" i="1" s="1"/>
  <c r="A647" i="1" l="1"/>
  <c r="B637" i="3"/>
  <c r="J396" i="1"/>
  <c r="F396" i="1" s="1"/>
  <c r="A648" i="1" l="1"/>
  <c r="B638" i="3"/>
  <c r="B397" i="1"/>
  <c r="C388" i="3" s="1"/>
  <c r="D397" i="1"/>
  <c r="G396" i="1"/>
  <c r="A649" i="1" l="1"/>
  <c r="B639" i="3"/>
  <c r="E397" i="1"/>
  <c r="C397" i="1"/>
  <c r="D388" i="3" s="1"/>
  <c r="H397" i="1"/>
  <c r="K397" i="1"/>
  <c r="N397" i="1"/>
  <c r="A650" i="1" l="1"/>
  <c r="B640" i="3"/>
  <c r="O397" i="1"/>
  <c r="P397" i="1" s="1"/>
  <c r="I397" i="1"/>
  <c r="L397" i="1"/>
  <c r="M397" i="1" s="1"/>
  <c r="A651" i="1" l="1"/>
  <c r="B641" i="3"/>
  <c r="J397" i="1"/>
  <c r="F397" i="1" s="1"/>
  <c r="A652" i="1" l="1"/>
  <c r="B642" i="3"/>
  <c r="D398" i="1"/>
  <c r="B398" i="1"/>
  <c r="C389" i="3" s="1"/>
  <c r="G397" i="1"/>
  <c r="A653" i="1" l="1"/>
  <c r="B643" i="3"/>
  <c r="E398" i="1"/>
  <c r="C398" i="1"/>
  <c r="D389" i="3" s="1"/>
  <c r="H398" i="1"/>
  <c r="K398" i="1"/>
  <c r="N398" i="1"/>
  <c r="A654" i="1" l="1"/>
  <c r="B644" i="3"/>
  <c r="I398" i="1"/>
  <c r="L398" i="1"/>
  <c r="M398" i="1" s="1"/>
  <c r="O398" i="1"/>
  <c r="P398" i="1" s="1"/>
  <c r="A655" i="1" l="1"/>
  <c r="B645" i="3"/>
  <c r="J398" i="1"/>
  <c r="F398" i="1" s="1"/>
  <c r="A656" i="1" l="1"/>
  <c r="B646" i="3"/>
  <c r="B399" i="1"/>
  <c r="C390" i="3" s="1"/>
  <c r="D399" i="1"/>
  <c r="G398" i="1"/>
  <c r="A657" i="1" l="1"/>
  <c r="B647" i="3"/>
  <c r="E399" i="1"/>
  <c r="C399" i="1"/>
  <c r="D390" i="3" s="1"/>
  <c r="K399" i="1"/>
  <c r="N399" i="1"/>
  <c r="H399" i="1"/>
  <c r="A658" i="1" l="1"/>
  <c r="B648" i="3"/>
  <c r="I399" i="1"/>
  <c r="L399" i="1"/>
  <c r="M399" i="1" s="1"/>
  <c r="O399" i="1"/>
  <c r="P399" i="1" s="1"/>
  <c r="A659" i="1" l="1"/>
  <c r="B649" i="3"/>
  <c r="J399" i="1"/>
  <c r="F399" i="1" s="1"/>
  <c r="A660" i="1" l="1"/>
  <c r="B650" i="3"/>
  <c r="D400" i="1"/>
  <c r="B400" i="1"/>
  <c r="C391" i="3" s="1"/>
  <c r="G399" i="1"/>
  <c r="A661" i="1" l="1"/>
  <c r="B651" i="3"/>
  <c r="E400" i="1"/>
  <c r="C400" i="1"/>
  <c r="D391" i="3" s="1"/>
  <c r="K400" i="1"/>
  <c r="N400" i="1"/>
  <c r="H400" i="1"/>
  <c r="A662" i="1" l="1"/>
  <c r="B652" i="3"/>
  <c r="L400" i="1"/>
  <c r="M400" i="1" s="1"/>
  <c r="I400" i="1"/>
  <c r="O400" i="1"/>
  <c r="P400" i="1" s="1"/>
  <c r="A663" i="1" l="1"/>
  <c r="B653" i="3"/>
  <c r="J400" i="1"/>
  <c r="F400" i="1" s="1"/>
  <c r="A664" i="1" l="1"/>
  <c r="B654" i="3"/>
  <c r="B401" i="1"/>
  <c r="C392" i="3" s="1"/>
  <c r="D401" i="1"/>
  <c r="G400" i="1"/>
  <c r="A665" i="1" l="1"/>
  <c r="B655" i="3"/>
  <c r="E401" i="1"/>
  <c r="C401" i="1"/>
  <c r="D392" i="3" s="1"/>
  <c r="K401" i="1"/>
  <c r="N401" i="1"/>
  <c r="H401" i="1"/>
  <c r="A666" i="1" l="1"/>
  <c r="B656" i="3"/>
  <c r="L401" i="1"/>
  <c r="M401" i="1" s="1"/>
  <c r="O401" i="1"/>
  <c r="P401" i="1" s="1"/>
  <c r="I401" i="1"/>
  <c r="A667" i="1" l="1"/>
  <c r="B657" i="3"/>
  <c r="J401" i="1"/>
  <c r="F401" i="1" s="1"/>
  <c r="A668" i="1" l="1"/>
  <c r="B658" i="3"/>
  <c r="D402" i="1"/>
  <c r="B402" i="1"/>
  <c r="C393" i="3" s="1"/>
  <c r="G401" i="1"/>
  <c r="A669" i="1" l="1"/>
  <c r="B659" i="3"/>
  <c r="E402" i="1"/>
  <c r="C402" i="1"/>
  <c r="D393" i="3" s="1"/>
  <c r="N402" i="1"/>
  <c r="H402" i="1"/>
  <c r="K402" i="1"/>
  <c r="A670" i="1" l="1"/>
  <c r="B660" i="3"/>
  <c r="L402" i="1"/>
  <c r="M402" i="1" s="1"/>
  <c r="O402" i="1"/>
  <c r="P402" i="1" s="1"/>
  <c r="I402" i="1"/>
  <c r="A671" i="1" l="1"/>
  <c r="B661" i="3"/>
  <c r="J402" i="1"/>
  <c r="F402" i="1" s="1"/>
  <c r="A672" i="1" l="1"/>
  <c r="B662" i="3"/>
  <c r="D403" i="1"/>
  <c r="B403" i="1"/>
  <c r="C394" i="3" s="1"/>
  <c r="G402" i="1"/>
  <c r="A673" i="1" l="1"/>
  <c r="B663" i="3"/>
  <c r="E403" i="1"/>
  <c r="C403" i="1"/>
  <c r="D394" i="3" s="1"/>
  <c r="N403" i="1"/>
  <c r="H403" i="1"/>
  <c r="K403" i="1"/>
  <c r="A674" i="1" l="1"/>
  <c r="B664" i="3"/>
  <c r="O403" i="1"/>
  <c r="P403" i="1" s="1"/>
  <c r="I403" i="1"/>
  <c r="L403" i="1"/>
  <c r="M403" i="1" s="1"/>
  <c r="A675" i="1" l="1"/>
  <c r="B665" i="3"/>
  <c r="J403" i="1"/>
  <c r="F403" i="1" s="1"/>
  <c r="A676" i="1" l="1"/>
  <c r="B666" i="3"/>
  <c r="B404" i="1"/>
  <c r="C395" i="3" s="1"/>
  <c r="D404" i="1"/>
  <c r="G403" i="1"/>
  <c r="A677" i="1" l="1"/>
  <c r="B667" i="3"/>
  <c r="E404" i="1"/>
  <c r="C404" i="1"/>
  <c r="D395" i="3" s="1"/>
  <c r="N404" i="1"/>
  <c r="H404" i="1"/>
  <c r="K404" i="1"/>
  <c r="A678" i="1" l="1"/>
  <c r="B668" i="3"/>
  <c r="O404" i="1"/>
  <c r="P404" i="1" s="1"/>
  <c r="I404" i="1"/>
  <c r="L404" i="1"/>
  <c r="M404" i="1" s="1"/>
  <c r="A679" i="1" l="1"/>
  <c r="B669" i="3"/>
  <c r="J404" i="1"/>
  <c r="F404" i="1" s="1"/>
  <c r="A680" i="1" l="1"/>
  <c r="B670" i="3"/>
  <c r="D405" i="1"/>
  <c r="B405" i="1"/>
  <c r="C396" i="3" s="1"/>
  <c r="G404" i="1"/>
  <c r="A681" i="1" l="1"/>
  <c r="B671" i="3"/>
  <c r="E405" i="1"/>
  <c r="C405" i="1"/>
  <c r="D396" i="3" s="1"/>
  <c r="H405" i="1"/>
  <c r="K405" i="1"/>
  <c r="N405" i="1"/>
  <c r="A682" i="1" l="1"/>
  <c r="B672" i="3"/>
  <c r="O405" i="1"/>
  <c r="P405" i="1" s="1"/>
  <c r="I405" i="1"/>
  <c r="L405" i="1"/>
  <c r="M405" i="1" s="1"/>
  <c r="A683" i="1" l="1"/>
  <c r="B673" i="3"/>
  <c r="J405" i="1"/>
  <c r="F405" i="1" s="1"/>
  <c r="A684" i="1" l="1"/>
  <c r="B674" i="3"/>
  <c r="B406" i="1"/>
  <c r="C397" i="3" s="1"/>
  <c r="D406" i="1"/>
  <c r="G405" i="1"/>
  <c r="A685" i="1" l="1"/>
  <c r="B675" i="3"/>
  <c r="E406" i="1"/>
  <c r="C406" i="1"/>
  <c r="D397" i="3" s="1"/>
  <c r="H406" i="1"/>
  <c r="K406" i="1"/>
  <c r="N406" i="1"/>
  <c r="A686" i="1" l="1"/>
  <c r="B676" i="3"/>
  <c r="I406" i="1"/>
  <c r="L406" i="1"/>
  <c r="M406" i="1" s="1"/>
  <c r="O406" i="1"/>
  <c r="P406" i="1" s="1"/>
  <c r="A687" i="1" l="1"/>
  <c r="B677" i="3"/>
  <c r="J406" i="1"/>
  <c r="F406" i="1" s="1"/>
  <c r="A688" i="1" l="1"/>
  <c r="B678" i="3"/>
  <c r="D407" i="1"/>
  <c r="B407" i="1"/>
  <c r="C398" i="3" s="1"/>
  <c r="G406" i="1"/>
  <c r="A689" i="1" l="1"/>
  <c r="B679" i="3"/>
  <c r="E407" i="1"/>
  <c r="C407" i="1"/>
  <c r="D398" i="3" s="1"/>
  <c r="K407" i="1"/>
  <c r="N407" i="1"/>
  <c r="H407" i="1"/>
  <c r="A690" i="1" l="1"/>
  <c r="B680" i="3"/>
  <c r="I407" i="1"/>
  <c r="L407" i="1"/>
  <c r="M407" i="1" s="1"/>
  <c r="O407" i="1"/>
  <c r="P407" i="1" s="1"/>
  <c r="A691" i="1" l="1"/>
  <c r="B681" i="3"/>
  <c r="J407" i="1"/>
  <c r="F407" i="1" s="1"/>
  <c r="A692" i="1" l="1"/>
  <c r="B682" i="3"/>
  <c r="B408" i="1"/>
  <c r="C399" i="3" s="1"/>
  <c r="D408" i="1"/>
  <c r="G407" i="1"/>
  <c r="A693" i="1" l="1"/>
  <c r="B683" i="3"/>
  <c r="E408" i="1"/>
  <c r="C408" i="1"/>
  <c r="D399" i="3" s="1"/>
  <c r="K408" i="1"/>
  <c r="N408" i="1"/>
  <c r="H408" i="1"/>
  <c r="A694" i="1" l="1"/>
  <c r="B684" i="3"/>
  <c r="L408" i="1"/>
  <c r="M408" i="1" s="1"/>
  <c r="O408" i="1"/>
  <c r="P408" i="1" s="1"/>
  <c r="I408" i="1"/>
  <c r="A695" i="1" l="1"/>
  <c r="B685" i="3"/>
  <c r="J408" i="1"/>
  <c r="F408" i="1" s="1"/>
  <c r="A696" i="1" l="1"/>
  <c r="B686" i="3"/>
  <c r="D409" i="1"/>
  <c r="B409" i="1"/>
  <c r="C400" i="3" s="1"/>
  <c r="G408" i="1"/>
  <c r="A697" i="1" l="1"/>
  <c r="B687" i="3"/>
  <c r="E409" i="1"/>
  <c r="C409" i="1"/>
  <c r="D400" i="3" s="1"/>
  <c r="K409" i="1"/>
  <c r="N409" i="1"/>
  <c r="H409" i="1"/>
  <c r="A698" i="1" l="1"/>
  <c r="B688" i="3"/>
  <c r="L409" i="1"/>
  <c r="M409" i="1" s="1"/>
  <c r="O409" i="1"/>
  <c r="P409" i="1" s="1"/>
  <c r="I409" i="1"/>
  <c r="A699" i="1" l="1"/>
  <c r="B689" i="3"/>
  <c r="J409" i="1"/>
  <c r="F409" i="1" s="1"/>
  <c r="A700" i="1" l="1"/>
  <c r="B690" i="3"/>
  <c r="D410" i="1"/>
  <c r="B410" i="1"/>
  <c r="C401" i="3" s="1"/>
  <c r="G409" i="1"/>
  <c r="A701" i="1" l="1"/>
  <c r="B691" i="3"/>
  <c r="E410" i="1"/>
  <c r="C410" i="1"/>
  <c r="D401" i="3" s="1"/>
  <c r="N410" i="1"/>
  <c r="H410" i="1"/>
  <c r="K410" i="1"/>
  <c r="A702" i="1" l="1"/>
  <c r="B692" i="3"/>
  <c r="L410" i="1"/>
  <c r="M410" i="1" s="1"/>
  <c r="O410" i="1"/>
  <c r="P410" i="1" s="1"/>
  <c r="I410" i="1"/>
  <c r="A703" i="1" l="1"/>
  <c r="B693" i="3"/>
  <c r="J410" i="1"/>
  <c r="F410" i="1" s="1"/>
  <c r="A704" i="1" l="1"/>
  <c r="B694" i="3"/>
  <c r="B411" i="1"/>
  <c r="C402" i="3" s="1"/>
  <c r="D411" i="1"/>
  <c r="G410" i="1"/>
  <c r="A705" i="1" l="1"/>
  <c r="B695" i="3"/>
  <c r="E411" i="1"/>
  <c r="C411" i="1"/>
  <c r="D402" i="3" s="1"/>
  <c r="N411" i="1"/>
  <c r="H411" i="1"/>
  <c r="K411" i="1"/>
  <c r="A706" i="1" l="1"/>
  <c r="B696" i="3"/>
  <c r="O411" i="1"/>
  <c r="P411" i="1" s="1"/>
  <c r="I411" i="1"/>
  <c r="L411" i="1"/>
  <c r="M411" i="1" s="1"/>
  <c r="A707" i="1" l="1"/>
  <c r="B697" i="3"/>
  <c r="J411" i="1"/>
  <c r="F411" i="1" s="1"/>
  <c r="A708" i="1" l="1"/>
  <c r="B698" i="3"/>
  <c r="D412" i="1"/>
  <c r="B412" i="1"/>
  <c r="C403" i="3" s="1"/>
  <c r="G411" i="1"/>
  <c r="A709" i="1" l="1"/>
  <c r="B699" i="3"/>
  <c r="E412" i="1"/>
  <c r="C412" i="1"/>
  <c r="D403" i="3" s="1"/>
  <c r="N412" i="1"/>
  <c r="H412" i="1"/>
  <c r="K412" i="1"/>
  <c r="A710" i="1" l="1"/>
  <c r="B700" i="3"/>
  <c r="O412" i="1"/>
  <c r="P412" i="1" s="1"/>
  <c r="I412" i="1"/>
  <c r="L412" i="1"/>
  <c r="M412" i="1" s="1"/>
  <c r="A711" i="1" l="1"/>
  <c r="B701" i="3"/>
  <c r="J412" i="1"/>
  <c r="F412" i="1" s="1"/>
  <c r="A712" i="1" l="1"/>
  <c r="B702" i="3"/>
  <c r="B413" i="1"/>
  <c r="C404" i="3" s="1"/>
  <c r="D413" i="1"/>
  <c r="G412" i="1"/>
  <c r="A713" i="1" l="1"/>
  <c r="B703" i="3"/>
  <c r="E413" i="1"/>
  <c r="C413" i="1"/>
  <c r="D404" i="3" s="1"/>
  <c r="H413" i="1"/>
  <c r="K413" i="1"/>
  <c r="N413" i="1"/>
  <c r="A714" i="1" l="1"/>
  <c r="B704" i="3"/>
  <c r="O413" i="1"/>
  <c r="P413" i="1" s="1"/>
  <c r="I413" i="1"/>
  <c r="L413" i="1"/>
  <c r="M413" i="1" s="1"/>
  <c r="A715" i="1" l="1"/>
  <c r="B705" i="3"/>
  <c r="J413" i="1"/>
  <c r="F413" i="1" s="1"/>
  <c r="A716" i="1" l="1"/>
  <c r="B706" i="3"/>
  <c r="D414" i="1"/>
  <c r="B414" i="1"/>
  <c r="C405" i="3" s="1"/>
  <c r="G413" i="1"/>
  <c r="A717" i="1" l="1"/>
  <c r="B707" i="3"/>
  <c r="E414" i="1"/>
  <c r="C414" i="1"/>
  <c r="D405" i="3" s="1"/>
  <c r="H414" i="1"/>
  <c r="K414" i="1"/>
  <c r="N414" i="1"/>
  <c r="A718" i="1" l="1"/>
  <c r="B708" i="3"/>
  <c r="L414" i="1"/>
  <c r="M414" i="1" s="1"/>
  <c r="O414" i="1"/>
  <c r="P414" i="1" s="1"/>
  <c r="I414" i="1"/>
  <c r="A719" i="1" l="1"/>
  <c r="B709" i="3"/>
  <c r="J414" i="1"/>
  <c r="F414" i="1" s="1"/>
  <c r="A720" i="1" l="1"/>
  <c r="B710" i="3"/>
  <c r="B415" i="1"/>
  <c r="C406" i="3" s="1"/>
  <c r="D415" i="1"/>
  <c r="G414" i="1"/>
  <c r="A721" i="1" l="1"/>
  <c r="B711" i="3"/>
  <c r="E415" i="1"/>
  <c r="C415" i="1"/>
  <c r="D406" i="3" s="1"/>
  <c r="H415" i="1"/>
  <c r="K415" i="1"/>
  <c r="N415" i="1"/>
  <c r="A722" i="1" l="1"/>
  <c r="B712" i="3"/>
  <c r="I415" i="1"/>
  <c r="L415" i="1"/>
  <c r="M415" i="1" s="1"/>
  <c r="O415" i="1"/>
  <c r="P415" i="1" s="1"/>
  <c r="A723" i="1" l="1"/>
  <c r="B713" i="3"/>
  <c r="J415" i="1"/>
  <c r="F415" i="1" s="1"/>
  <c r="A724" i="1" l="1"/>
  <c r="B714" i="3"/>
  <c r="D416" i="1"/>
  <c r="B416" i="1"/>
  <c r="C407" i="3" s="1"/>
  <c r="G415" i="1"/>
  <c r="A725" i="1" l="1"/>
  <c r="B715" i="3"/>
  <c r="E416" i="1"/>
  <c r="C416" i="1"/>
  <c r="D407" i="3" s="1"/>
  <c r="H416" i="1"/>
  <c r="N416" i="1"/>
  <c r="K416" i="1"/>
  <c r="A726" i="1" l="1"/>
  <c r="B716" i="3"/>
  <c r="L416" i="1"/>
  <c r="M416" i="1" s="1"/>
  <c r="O416" i="1"/>
  <c r="P416" i="1" s="1"/>
  <c r="I416" i="1"/>
  <c r="A727" i="1" l="1"/>
  <c r="B717" i="3"/>
  <c r="J416" i="1"/>
  <c r="F416" i="1" s="1"/>
  <c r="A728" i="1" l="1"/>
  <c r="B718" i="3"/>
  <c r="B417" i="1"/>
  <c r="C408" i="3" s="1"/>
  <c r="D417" i="1"/>
  <c r="G416" i="1"/>
  <c r="A729" i="1" l="1"/>
  <c r="B719" i="3"/>
  <c r="E417" i="1"/>
  <c r="C417" i="1"/>
  <c r="D408" i="3" s="1"/>
  <c r="N417" i="1"/>
  <c r="H417" i="1"/>
  <c r="K417" i="1"/>
  <c r="A730" i="1" l="1"/>
  <c r="B720" i="3"/>
  <c r="I417" i="1"/>
  <c r="L417" i="1"/>
  <c r="M417" i="1" s="1"/>
  <c r="O417" i="1"/>
  <c r="P417" i="1" s="1"/>
  <c r="A731" i="1" l="1"/>
  <c r="B721" i="3"/>
  <c r="J417" i="1"/>
  <c r="F417" i="1" s="1"/>
  <c r="A732" i="1" l="1"/>
  <c r="B722" i="3"/>
  <c r="D418" i="1"/>
  <c r="B418" i="1"/>
  <c r="C409" i="3" s="1"/>
  <c r="G417" i="1"/>
  <c r="A733" i="1" l="1"/>
  <c r="B723" i="3"/>
  <c r="E418" i="1"/>
  <c r="C418" i="1"/>
  <c r="D409" i="3" s="1"/>
  <c r="N418" i="1"/>
  <c r="K418" i="1"/>
  <c r="H418" i="1"/>
  <c r="A734" i="1" l="1"/>
  <c r="B724" i="3"/>
  <c r="O418" i="1"/>
  <c r="P418" i="1" s="1"/>
  <c r="L418" i="1"/>
  <c r="M418" i="1" s="1"/>
  <c r="I418" i="1"/>
  <c r="A735" i="1" l="1"/>
  <c r="B725" i="3"/>
  <c r="J418" i="1"/>
  <c r="F418" i="1" s="1"/>
  <c r="A736" i="1" l="1"/>
  <c r="B726" i="3"/>
  <c r="B419" i="1"/>
  <c r="C410" i="3" s="1"/>
  <c r="D419" i="1"/>
  <c r="G418" i="1"/>
  <c r="A737" i="1" l="1"/>
  <c r="B727" i="3"/>
  <c r="E419" i="1"/>
  <c r="C419" i="1"/>
  <c r="D410" i="3" s="1"/>
  <c r="K419" i="1"/>
  <c r="H419" i="1"/>
  <c r="N419" i="1"/>
  <c r="A738" i="1" l="1"/>
  <c r="B728" i="3"/>
  <c r="O419" i="1"/>
  <c r="P419" i="1" s="1"/>
  <c r="I419" i="1"/>
  <c r="L419" i="1"/>
  <c r="M419" i="1" s="1"/>
  <c r="A739" i="1" l="1"/>
  <c r="B729" i="3"/>
  <c r="J419" i="1"/>
  <c r="F419" i="1" s="1"/>
  <c r="A740" i="1" l="1"/>
  <c r="B730" i="3"/>
  <c r="D420" i="1"/>
  <c r="B420" i="1"/>
  <c r="C411" i="3" s="1"/>
  <c r="G419" i="1"/>
  <c r="A741" i="1" l="1"/>
  <c r="B731" i="3"/>
  <c r="E420" i="1"/>
  <c r="C420" i="1"/>
  <c r="D411" i="3" s="1"/>
  <c r="H420" i="1"/>
  <c r="K420" i="1"/>
  <c r="N420" i="1"/>
  <c r="A742" i="1" l="1"/>
  <c r="B732" i="3"/>
  <c r="L420" i="1"/>
  <c r="M420" i="1" s="1"/>
  <c r="I420" i="1"/>
  <c r="O420" i="1"/>
  <c r="P420" i="1" s="1"/>
  <c r="A743" i="1" l="1"/>
  <c r="B733" i="3"/>
  <c r="J420" i="1"/>
  <c r="F420" i="1" s="1"/>
  <c r="A744" i="1" l="1"/>
  <c r="B734" i="3"/>
  <c r="B421" i="1"/>
  <c r="C412" i="3" s="1"/>
  <c r="D421" i="1"/>
  <c r="G420" i="1"/>
  <c r="A745" i="1" l="1"/>
  <c r="B735" i="3"/>
  <c r="E421" i="1"/>
  <c r="C421" i="1"/>
  <c r="D412" i="3" s="1"/>
  <c r="H421" i="1"/>
  <c r="K421" i="1"/>
  <c r="N421" i="1"/>
  <c r="A746" i="1" l="1"/>
  <c r="B736" i="3"/>
  <c r="I421" i="1"/>
  <c r="L421" i="1"/>
  <c r="M421" i="1" s="1"/>
  <c r="O421" i="1"/>
  <c r="P421" i="1" s="1"/>
  <c r="A747" i="1" l="1"/>
  <c r="B737" i="3"/>
  <c r="J421" i="1"/>
  <c r="F421" i="1" s="1"/>
  <c r="A748" i="1" l="1"/>
  <c r="B738" i="3"/>
  <c r="D422" i="1"/>
  <c r="B422" i="1"/>
  <c r="C413" i="3" s="1"/>
  <c r="G421" i="1"/>
  <c r="A749" i="1" l="1"/>
  <c r="B739" i="3"/>
  <c r="E422" i="1"/>
  <c r="C422" i="1"/>
  <c r="D413" i="3" s="1"/>
  <c r="N422" i="1"/>
  <c r="K422" i="1"/>
  <c r="H422" i="1"/>
  <c r="A750" i="1" l="1"/>
  <c r="B740" i="3"/>
  <c r="O422" i="1"/>
  <c r="P422" i="1" s="1"/>
  <c r="I422" i="1"/>
  <c r="L422" i="1"/>
  <c r="M422" i="1" s="1"/>
  <c r="A751" i="1" l="1"/>
  <c r="B741" i="3"/>
  <c r="J422" i="1"/>
  <c r="F422" i="1" s="1"/>
  <c r="A752" i="1" l="1"/>
  <c r="B742" i="3"/>
  <c r="B423" i="1"/>
  <c r="C414" i="3" s="1"/>
  <c r="D423" i="1"/>
  <c r="G422" i="1"/>
  <c r="A753" i="1" l="1"/>
  <c r="B743" i="3"/>
  <c r="E423" i="1"/>
  <c r="C423" i="1"/>
  <c r="D414" i="3" s="1"/>
  <c r="K423" i="1"/>
  <c r="N423" i="1"/>
  <c r="H423" i="1"/>
  <c r="A754" i="1" l="1"/>
  <c r="B744" i="3"/>
  <c r="O423" i="1"/>
  <c r="P423" i="1" s="1"/>
  <c r="L423" i="1"/>
  <c r="M423" i="1" s="1"/>
  <c r="I423" i="1"/>
  <c r="A755" i="1" l="1"/>
  <c r="B745" i="3"/>
  <c r="J423" i="1"/>
  <c r="F423" i="1" s="1"/>
  <c r="A756" i="1" l="1"/>
  <c r="B746" i="3"/>
  <c r="D424" i="1"/>
  <c r="B424" i="1"/>
  <c r="C415" i="3" s="1"/>
  <c r="G423" i="1"/>
  <c r="A757" i="1" l="1"/>
  <c r="B747" i="3"/>
  <c r="E424" i="1"/>
  <c r="C424" i="1"/>
  <c r="D415" i="3" s="1"/>
  <c r="H424" i="1"/>
  <c r="K424" i="1"/>
  <c r="N424" i="1"/>
  <c r="A758" i="1" l="1"/>
  <c r="B748" i="3"/>
  <c r="L424" i="1"/>
  <c r="M424" i="1" s="1"/>
  <c r="O424" i="1"/>
  <c r="P424" i="1" s="1"/>
  <c r="I424" i="1"/>
  <c r="A759" i="1" l="1"/>
  <c r="B749" i="3"/>
  <c r="J424" i="1"/>
  <c r="F424" i="1" s="1"/>
  <c r="A760" i="1" l="1"/>
  <c r="B750" i="3"/>
  <c r="B425" i="1"/>
  <c r="C416" i="3" s="1"/>
  <c r="D425" i="1"/>
  <c r="G424" i="1"/>
  <c r="A761" i="1" l="1"/>
  <c r="B751" i="3"/>
  <c r="E425" i="1"/>
  <c r="C425" i="1"/>
  <c r="D416" i="3" s="1"/>
  <c r="N425" i="1"/>
  <c r="H425" i="1"/>
  <c r="K425" i="1"/>
  <c r="A762" i="1" l="1"/>
  <c r="B752" i="3"/>
  <c r="I425" i="1"/>
  <c r="L425" i="1"/>
  <c r="M425" i="1" s="1"/>
  <c r="O425" i="1"/>
  <c r="P425" i="1" s="1"/>
  <c r="A763" i="1" l="1"/>
  <c r="B753" i="3"/>
  <c r="J425" i="1"/>
  <c r="F425" i="1" s="1"/>
  <c r="A764" i="1" l="1"/>
  <c r="B754" i="3"/>
  <c r="D426" i="1"/>
  <c r="B426" i="1"/>
  <c r="C417" i="3" s="1"/>
  <c r="G425" i="1"/>
  <c r="A765" i="1" l="1"/>
  <c r="B755" i="3"/>
  <c r="E426" i="1"/>
  <c r="C426" i="1"/>
  <c r="D417" i="3" s="1"/>
  <c r="N426" i="1"/>
  <c r="H426" i="1"/>
  <c r="K426" i="1"/>
  <c r="A766" i="1" l="1"/>
  <c r="B756" i="3"/>
  <c r="O426" i="1"/>
  <c r="P426" i="1" s="1"/>
  <c r="I426" i="1"/>
  <c r="L426" i="1"/>
  <c r="M426" i="1" s="1"/>
  <c r="A767" i="1" l="1"/>
  <c r="B757" i="3"/>
  <c r="J426" i="1"/>
  <c r="F426" i="1" s="1"/>
  <c r="A768" i="1" l="1"/>
  <c r="B758" i="3"/>
  <c r="B427" i="1"/>
  <c r="C418" i="3" s="1"/>
  <c r="D427" i="1"/>
  <c r="G426" i="1"/>
  <c r="A769" i="1" l="1"/>
  <c r="B759" i="3"/>
  <c r="E427" i="1"/>
  <c r="C427" i="1"/>
  <c r="D418" i="3" s="1"/>
  <c r="K427" i="1"/>
  <c r="H427" i="1"/>
  <c r="N427" i="1"/>
  <c r="A770" i="1" l="1"/>
  <c r="B760" i="3"/>
  <c r="O427" i="1"/>
  <c r="P427" i="1" s="1"/>
  <c r="I427" i="1"/>
  <c r="L427" i="1"/>
  <c r="M427" i="1" s="1"/>
  <c r="A771" i="1" l="1"/>
  <c r="B761" i="3"/>
  <c r="J427" i="1"/>
  <c r="F427" i="1" s="1"/>
  <c r="A772" i="1" l="1"/>
  <c r="B762" i="3"/>
  <c r="D428" i="1"/>
  <c r="B428" i="1"/>
  <c r="C419" i="3" s="1"/>
  <c r="G427" i="1"/>
  <c r="A773" i="1" l="1"/>
  <c r="B763" i="3"/>
  <c r="E428" i="1"/>
  <c r="C428" i="1"/>
  <c r="D419" i="3" s="1"/>
  <c r="H428" i="1"/>
  <c r="N428" i="1"/>
  <c r="K428" i="1"/>
  <c r="A774" i="1" l="1"/>
  <c r="B764" i="3"/>
  <c r="L428" i="1"/>
  <c r="M428" i="1" s="1"/>
  <c r="I428" i="1"/>
  <c r="O428" i="1"/>
  <c r="P428" i="1" s="1"/>
  <c r="A775" i="1" l="1"/>
  <c r="B765" i="3"/>
  <c r="J428" i="1"/>
  <c r="F428" i="1" s="1"/>
  <c r="A776" i="1" l="1"/>
  <c r="B766" i="3"/>
  <c r="B429" i="1"/>
  <c r="C420" i="3" s="1"/>
  <c r="D429" i="1"/>
  <c r="G428" i="1"/>
  <c r="A777" i="1" l="1"/>
  <c r="B767" i="3"/>
  <c r="E429" i="1"/>
  <c r="C429" i="1"/>
  <c r="D420" i="3" s="1"/>
  <c r="N429" i="1"/>
  <c r="H429" i="1"/>
  <c r="K429" i="1"/>
  <c r="A778" i="1" l="1"/>
  <c r="B768" i="3"/>
  <c r="I429" i="1"/>
  <c r="L429" i="1"/>
  <c r="M429" i="1" s="1"/>
  <c r="O429" i="1"/>
  <c r="P429" i="1" s="1"/>
  <c r="A779" i="1" l="1"/>
  <c r="B769" i="3"/>
  <c r="J429" i="1"/>
  <c r="F429" i="1" s="1"/>
  <c r="A780" i="1" l="1"/>
  <c r="B770" i="3"/>
  <c r="D430" i="1"/>
  <c r="B430" i="1"/>
  <c r="C421" i="3" s="1"/>
  <c r="G429" i="1"/>
  <c r="A781" i="1" l="1"/>
  <c r="B771" i="3"/>
  <c r="E430" i="1"/>
  <c r="C430" i="1"/>
  <c r="D421" i="3" s="1"/>
  <c r="N430" i="1"/>
  <c r="K430" i="1"/>
  <c r="H430" i="1"/>
  <c r="A782" i="1" l="1"/>
  <c r="B772" i="3"/>
  <c r="I430" i="1"/>
  <c r="L430" i="1"/>
  <c r="M430" i="1" s="1"/>
  <c r="O430" i="1"/>
  <c r="P430" i="1" s="1"/>
  <c r="A783" i="1" l="1"/>
  <c r="B773" i="3"/>
  <c r="J430" i="1"/>
  <c r="F430" i="1" s="1"/>
  <c r="A784" i="1" l="1"/>
  <c r="B774" i="3"/>
  <c r="B431" i="1"/>
  <c r="C422" i="3" s="1"/>
  <c r="D431" i="1"/>
  <c r="G430" i="1"/>
  <c r="A785" i="1" l="1"/>
  <c r="B775" i="3"/>
  <c r="E431" i="1"/>
  <c r="C431" i="1"/>
  <c r="D422" i="3" s="1"/>
  <c r="K431" i="1"/>
  <c r="H431" i="1"/>
  <c r="N431" i="1"/>
  <c r="A786" i="1" l="1"/>
  <c r="B776" i="3"/>
  <c r="O431" i="1"/>
  <c r="P431" i="1" s="1"/>
  <c r="L431" i="1"/>
  <c r="M431" i="1" s="1"/>
  <c r="I431" i="1"/>
  <c r="A787" i="1" l="1"/>
  <c r="B777" i="3"/>
  <c r="J431" i="1"/>
  <c r="F431" i="1" s="1"/>
  <c r="A788" i="1" l="1"/>
  <c r="B778" i="3"/>
  <c r="D432" i="1"/>
  <c r="B432" i="1"/>
  <c r="C423" i="3" s="1"/>
  <c r="G431" i="1"/>
  <c r="A789" i="1" l="1"/>
  <c r="B779" i="3"/>
  <c r="E432" i="1"/>
  <c r="C432" i="1"/>
  <c r="D423" i="3" s="1"/>
  <c r="H432" i="1"/>
  <c r="K432" i="1"/>
  <c r="N432" i="1"/>
  <c r="A790" i="1" l="1"/>
  <c r="B780" i="3"/>
  <c r="L432" i="1"/>
  <c r="M432" i="1" s="1"/>
  <c r="I432" i="1"/>
  <c r="O432" i="1"/>
  <c r="P432" i="1" s="1"/>
  <c r="A791" i="1" l="1"/>
  <c r="B781" i="3"/>
  <c r="J432" i="1"/>
  <c r="F432" i="1" s="1"/>
  <c r="A792" i="1" l="1"/>
  <c r="B782" i="3"/>
  <c r="B433" i="1"/>
  <c r="C424" i="3" s="1"/>
  <c r="D433" i="1"/>
  <c r="G432" i="1"/>
  <c r="A793" i="1" l="1"/>
  <c r="B783" i="3"/>
  <c r="E433" i="1"/>
  <c r="C433" i="1"/>
  <c r="D424" i="3" s="1"/>
  <c r="N433" i="1"/>
  <c r="H433" i="1"/>
  <c r="K433" i="1"/>
  <c r="A794" i="1" l="1"/>
  <c r="B784" i="3"/>
  <c r="I433" i="1"/>
  <c r="O433" i="1"/>
  <c r="P433" i="1" s="1"/>
  <c r="L433" i="1"/>
  <c r="M433" i="1" s="1"/>
  <c r="A795" i="1" l="1"/>
  <c r="B785" i="3"/>
  <c r="J433" i="1"/>
  <c r="F433" i="1" s="1"/>
  <c r="A796" i="1" l="1"/>
  <c r="B786" i="3"/>
  <c r="D434" i="1"/>
  <c r="B434" i="1"/>
  <c r="C425" i="3" s="1"/>
  <c r="G433" i="1"/>
  <c r="A797" i="1" l="1"/>
  <c r="B787" i="3"/>
  <c r="E434" i="1"/>
  <c r="C434" i="1"/>
  <c r="D425" i="3" s="1"/>
  <c r="N434" i="1"/>
  <c r="H434" i="1"/>
  <c r="K434" i="1"/>
  <c r="A798" i="1" l="1"/>
  <c r="B788" i="3"/>
  <c r="O434" i="1"/>
  <c r="P434" i="1" s="1"/>
  <c r="I434" i="1"/>
  <c r="L434" i="1"/>
  <c r="M434" i="1" s="1"/>
  <c r="A799" i="1" l="1"/>
  <c r="B789" i="3"/>
  <c r="J434" i="1"/>
  <c r="F434" i="1" s="1"/>
  <c r="A800" i="1" l="1"/>
  <c r="B790" i="3"/>
  <c r="B435" i="1"/>
  <c r="C426" i="3" s="1"/>
  <c r="D435" i="1"/>
  <c r="G434" i="1"/>
  <c r="A801" i="1" l="1"/>
  <c r="B791" i="3"/>
  <c r="E435" i="1"/>
  <c r="C435" i="1"/>
  <c r="D426" i="3" s="1"/>
  <c r="K435" i="1"/>
  <c r="H435" i="1"/>
  <c r="N435" i="1"/>
  <c r="A802" i="1" l="1"/>
  <c r="B792" i="3"/>
  <c r="O435" i="1"/>
  <c r="P435" i="1" s="1"/>
  <c r="L435" i="1"/>
  <c r="M435" i="1" s="1"/>
  <c r="I435" i="1"/>
  <c r="A803" i="1" l="1"/>
  <c r="B793" i="3"/>
  <c r="J435" i="1"/>
  <c r="F435" i="1" s="1"/>
  <c r="A804" i="1" l="1"/>
  <c r="B794" i="3"/>
  <c r="D436" i="1"/>
  <c r="B436" i="1"/>
  <c r="C427" i="3" s="1"/>
  <c r="G435" i="1"/>
  <c r="A805" i="1" l="1"/>
  <c r="B795" i="3"/>
  <c r="E436" i="1"/>
  <c r="C436" i="1"/>
  <c r="D427" i="3" s="1"/>
  <c r="H436" i="1"/>
  <c r="K436" i="1"/>
  <c r="N436" i="1"/>
  <c r="A806" i="1" l="1"/>
  <c r="B796" i="3"/>
  <c r="L436" i="1"/>
  <c r="M436" i="1" s="1"/>
  <c r="I436" i="1"/>
  <c r="O436" i="1"/>
  <c r="P436" i="1" s="1"/>
  <c r="A807" i="1" l="1"/>
  <c r="B797" i="3"/>
  <c r="J436" i="1"/>
  <c r="F436" i="1" s="1"/>
  <c r="A808" i="1" l="1"/>
  <c r="B798" i="3"/>
  <c r="B437" i="1"/>
  <c r="C428" i="3" s="1"/>
  <c r="D437" i="1"/>
  <c r="G436" i="1"/>
  <c r="A809" i="1" l="1"/>
  <c r="B799" i="3"/>
  <c r="E437" i="1"/>
  <c r="C437" i="1"/>
  <c r="D428" i="3" s="1"/>
  <c r="H437" i="1"/>
  <c r="K437" i="1"/>
  <c r="N437" i="1"/>
  <c r="A810" i="1" l="1"/>
  <c r="B800" i="3"/>
  <c r="I437" i="1"/>
  <c r="L437" i="1"/>
  <c r="M437" i="1" s="1"/>
  <c r="O437" i="1"/>
  <c r="P437" i="1" s="1"/>
  <c r="A811" i="1" l="1"/>
  <c r="B801" i="3"/>
  <c r="J437" i="1"/>
  <c r="F437" i="1" s="1"/>
  <c r="A812" i="1" l="1"/>
  <c r="B802" i="3"/>
  <c r="D438" i="1"/>
  <c r="B438" i="1"/>
  <c r="C429" i="3" s="1"/>
  <c r="G437" i="1"/>
  <c r="A813" i="1" l="1"/>
  <c r="B803" i="3"/>
  <c r="E438" i="1"/>
  <c r="C438" i="1"/>
  <c r="D429" i="3" s="1"/>
  <c r="N438" i="1"/>
  <c r="K438" i="1"/>
  <c r="H438" i="1"/>
  <c r="A814" i="1" l="1"/>
  <c r="B804" i="3"/>
  <c r="I438" i="1"/>
  <c r="L438" i="1"/>
  <c r="M438" i="1" s="1"/>
  <c r="O438" i="1"/>
  <c r="P438" i="1" s="1"/>
  <c r="A815" i="1" l="1"/>
  <c r="B805" i="3"/>
  <c r="J438" i="1"/>
  <c r="F438" i="1" s="1"/>
  <c r="A816" i="1" l="1"/>
  <c r="B806" i="3"/>
  <c r="B439" i="1"/>
  <c r="C430" i="3" s="1"/>
  <c r="D439" i="1"/>
  <c r="G438" i="1"/>
  <c r="A817" i="1" l="1"/>
  <c r="B807" i="3"/>
  <c r="E439" i="1"/>
  <c r="C439" i="1"/>
  <c r="D430" i="3" s="1"/>
  <c r="K439" i="1"/>
  <c r="N439" i="1"/>
  <c r="H439" i="1"/>
  <c r="A818" i="1" l="1"/>
  <c r="B808" i="3"/>
  <c r="O439" i="1"/>
  <c r="P439" i="1" s="1"/>
  <c r="I439" i="1"/>
  <c r="L439" i="1"/>
  <c r="M439" i="1" s="1"/>
  <c r="A819" i="1" l="1"/>
  <c r="B809" i="3"/>
  <c r="J439" i="1"/>
  <c r="F439" i="1" s="1"/>
  <c r="A820" i="1" l="1"/>
  <c r="B810" i="3"/>
  <c r="D440" i="1"/>
  <c r="B440" i="1"/>
  <c r="C431" i="3" s="1"/>
  <c r="G439" i="1"/>
  <c r="A821" i="1" l="1"/>
  <c r="B811" i="3"/>
  <c r="E440" i="1"/>
  <c r="C440" i="1"/>
  <c r="D431" i="3" s="1"/>
  <c r="H440" i="1"/>
  <c r="K440" i="1"/>
  <c r="N440" i="1"/>
  <c r="A822" i="1" l="1"/>
  <c r="B812" i="3"/>
  <c r="I440" i="1"/>
  <c r="L440" i="1"/>
  <c r="M440" i="1" s="1"/>
  <c r="O440" i="1"/>
  <c r="P440" i="1" s="1"/>
  <c r="A823" i="1" l="1"/>
  <c r="B813" i="3"/>
  <c r="J440" i="1"/>
  <c r="F440" i="1" s="1"/>
  <c r="A824" i="1" l="1"/>
  <c r="B814" i="3"/>
  <c r="B441" i="1"/>
  <c r="C432" i="3" s="1"/>
  <c r="D441" i="1"/>
  <c r="G440" i="1"/>
  <c r="A825" i="1" l="1"/>
  <c r="B815" i="3"/>
  <c r="E441" i="1"/>
  <c r="C441" i="1"/>
  <c r="D432" i="3" s="1"/>
  <c r="N441" i="1"/>
  <c r="H441" i="1"/>
  <c r="K441" i="1"/>
  <c r="A826" i="1" l="1"/>
  <c r="B816" i="3"/>
  <c r="I441" i="1"/>
  <c r="L441" i="1"/>
  <c r="M441" i="1" s="1"/>
  <c r="O441" i="1"/>
  <c r="P441" i="1" s="1"/>
  <c r="A827" i="1" l="1"/>
  <c r="B817" i="3"/>
  <c r="J441" i="1"/>
  <c r="F441" i="1" s="1"/>
  <c r="A828" i="1" l="1"/>
  <c r="B818" i="3"/>
  <c r="D442" i="1"/>
  <c r="B442" i="1"/>
  <c r="C433" i="3" s="1"/>
  <c r="G441" i="1"/>
  <c r="A829" i="1" l="1"/>
  <c r="B819" i="3"/>
  <c r="H442" i="1"/>
  <c r="K442" i="1"/>
  <c r="N442" i="1"/>
  <c r="E442" i="1"/>
  <c r="C442" i="1"/>
  <c r="D433" i="3" s="1"/>
  <c r="A830" i="1" l="1"/>
  <c r="B820" i="3"/>
  <c r="O442" i="1"/>
  <c r="P442" i="1" s="1"/>
  <c r="I442" i="1"/>
  <c r="J442" i="1" s="1"/>
  <c r="L442" i="1"/>
  <c r="M442" i="1" s="1"/>
  <c r="A831" i="1" l="1"/>
  <c r="B821" i="3"/>
  <c r="F442" i="1"/>
  <c r="B443" i="1" s="1"/>
  <c r="C434" i="3" s="1"/>
  <c r="G442" i="1"/>
  <c r="A832" i="1" l="1"/>
  <c r="B822" i="3"/>
  <c r="D443" i="1"/>
  <c r="C443" i="1"/>
  <c r="D434" i="3" s="1"/>
  <c r="E443" i="1"/>
  <c r="K443" i="1"/>
  <c r="N443" i="1"/>
  <c r="H443" i="1"/>
  <c r="A833" i="1" l="1"/>
  <c r="B823" i="3"/>
  <c r="I443" i="1"/>
  <c r="L443" i="1"/>
  <c r="M443" i="1" s="1"/>
  <c r="O443" i="1"/>
  <c r="P443" i="1" s="1"/>
  <c r="A834" i="1" l="1"/>
  <c r="B824" i="3"/>
  <c r="J443" i="1"/>
  <c r="F443" i="1" s="1"/>
  <c r="A835" i="1" l="1"/>
  <c r="B825" i="3"/>
  <c r="D444" i="1"/>
  <c r="B444" i="1"/>
  <c r="C435" i="3" s="1"/>
  <c r="G443" i="1"/>
  <c r="A836" i="1" l="1"/>
  <c r="B826" i="3"/>
  <c r="E444" i="1"/>
  <c r="C444" i="1"/>
  <c r="D435" i="3" s="1"/>
  <c r="N444" i="1"/>
  <c r="H444" i="1"/>
  <c r="K444" i="1"/>
  <c r="A837" i="1" l="1"/>
  <c r="B827" i="3"/>
  <c r="L444" i="1"/>
  <c r="M444" i="1" s="1"/>
  <c r="O444" i="1"/>
  <c r="P444" i="1" s="1"/>
  <c r="I444" i="1"/>
  <c r="A838" i="1" l="1"/>
  <c r="B828" i="3"/>
  <c r="J444" i="1"/>
  <c r="F444" i="1" s="1"/>
  <c r="A839" i="1" l="1"/>
  <c r="B829" i="3"/>
  <c r="B445" i="1"/>
  <c r="C436" i="3" s="1"/>
  <c r="D445" i="1"/>
  <c r="G444" i="1"/>
  <c r="A840" i="1" l="1"/>
  <c r="B830" i="3"/>
  <c r="E445" i="1"/>
  <c r="C445" i="1"/>
  <c r="D436" i="3" s="1"/>
  <c r="N445" i="1"/>
  <c r="H445" i="1"/>
  <c r="K445" i="1"/>
  <c r="A841" i="1" l="1"/>
  <c r="B831" i="3"/>
  <c r="O445" i="1"/>
  <c r="P445" i="1" s="1"/>
  <c r="I445" i="1"/>
  <c r="L445" i="1"/>
  <c r="M445" i="1" s="1"/>
  <c r="A842" i="1" l="1"/>
  <c r="B832" i="3"/>
  <c r="J445" i="1"/>
  <c r="F445" i="1" s="1"/>
  <c r="A843" i="1" l="1"/>
  <c r="B833" i="3"/>
  <c r="D446" i="1"/>
  <c r="B446" i="1"/>
  <c r="C437" i="3" s="1"/>
  <c r="G445" i="1"/>
  <c r="A844" i="1" l="1"/>
  <c r="B834" i="3"/>
  <c r="E446" i="1"/>
  <c r="C446" i="1"/>
  <c r="D437" i="3" s="1"/>
  <c r="H446" i="1"/>
  <c r="K446" i="1"/>
  <c r="N446" i="1"/>
  <c r="A845" i="1" l="1"/>
  <c r="B835" i="3"/>
  <c r="O446" i="1"/>
  <c r="P446" i="1" s="1"/>
  <c r="I446" i="1"/>
  <c r="L446" i="1"/>
  <c r="M446" i="1" s="1"/>
  <c r="A846" i="1" l="1"/>
  <c r="B836" i="3"/>
  <c r="J446" i="1"/>
  <c r="F446" i="1" s="1"/>
  <c r="A847" i="1" l="1"/>
  <c r="B837" i="3"/>
  <c r="B447" i="1"/>
  <c r="C438" i="3" s="1"/>
  <c r="D447" i="1"/>
  <c r="G446" i="1"/>
  <c r="A848" i="1" l="1"/>
  <c r="B838" i="3"/>
  <c r="E447" i="1"/>
  <c r="C447" i="1"/>
  <c r="D438" i="3" s="1"/>
  <c r="H447" i="1"/>
  <c r="K447" i="1"/>
  <c r="N447" i="1"/>
  <c r="A849" i="1" l="1"/>
  <c r="B839" i="3"/>
  <c r="I447" i="1"/>
  <c r="L447" i="1"/>
  <c r="M447" i="1" s="1"/>
  <c r="O447" i="1"/>
  <c r="P447" i="1" s="1"/>
  <c r="A850" i="1" l="1"/>
  <c r="B840" i="3"/>
  <c r="J447" i="1"/>
  <c r="F447" i="1" s="1"/>
  <c r="A851" i="1" l="1"/>
  <c r="B841" i="3"/>
  <c r="D448" i="1"/>
  <c r="B448" i="1"/>
  <c r="C439" i="3" s="1"/>
  <c r="G447" i="1"/>
  <c r="A852" i="1" l="1"/>
  <c r="B842" i="3"/>
  <c r="K448" i="1"/>
  <c r="H448" i="1"/>
  <c r="N448" i="1"/>
  <c r="E448" i="1"/>
  <c r="C448" i="1"/>
  <c r="D439" i="3" s="1"/>
  <c r="A853" i="1" l="1"/>
  <c r="B843" i="3"/>
  <c r="I448" i="1"/>
  <c r="J448" i="1" s="1"/>
  <c r="L448" i="1"/>
  <c r="M448" i="1" s="1"/>
  <c r="O448" i="1"/>
  <c r="P448" i="1" s="1"/>
  <c r="A854" i="1" l="1"/>
  <c r="B844" i="3"/>
  <c r="F448" i="1"/>
  <c r="B449" i="1" s="1"/>
  <c r="C440" i="3" s="1"/>
  <c r="G448" i="1"/>
  <c r="A855" i="1" l="1"/>
  <c r="B845" i="3"/>
  <c r="D449" i="1"/>
  <c r="C449" i="1"/>
  <c r="D440" i="3" s="1"/>
  <c r="E449" i="1"/>
  <c r="K449" i="1"/>
  <c r="N449" i="1"/>
  <c r="H449" i="1"/>
  <c r="A856" i="1" l="1"/>
  <c r="B846" i="3"/>
  <c r="L449" i="1"/>
  <c r="M449" i="1" s="1"/>
  <c r="I449" i="1"/>
  <c r="O449" i="1"/>
  <c r="P449" i="1" s="1"/>
  <c r="A857" i="1" l="1"/>
  <c r="B847" i="3"/>
  <c r="J449" i="1"/>
  <c r="F449" i="1" s="1"/>
  <c r="A858" i="1" l="1"/>
  <c r="B848" i="3"/>
  <c r="D450" i="1"/>
  <c r="B450" i="1"/>
  <c r="C441" i="3" s="1"/>
  <c r="G449" i="1"/>
  <c r="A859" i="1" l="1"/>
  <c r="B849" i="3"/>
  <c r="E450" i="1"/>
  <c r="C450" i="1"/>
  <c r="D441" i="3" s="1"/>
  <c r="K450" i="1"/>
  <c r="N450" i="1"/>
  <c r="H450" i="1"/>
  <c r="A860" i="1" l="1"/>
  <c r="B850" i="3"/>
  <c r="L450" i="1"/>
  <c r="M450" i="1" s="1"/>
  <c r="O450" i="1"/>
  <c r="P450" i="1" s="1"/>
  <c r="I450" i="1"/>
  <c r="A861" i="1" l="1"/>
  <c r="B851" i="3"/>
  <c r="J450" i="1"/>
  <c r="F450" i="1" s="1"/>
  <c r="A862" i="1" l="1"/>
  <c r="B852" i="3"/>
  <c r="B451" i="1"/>
  <c r="C442" i="3" s="1"/>
  <c r="D451" i="1"/>
  <c r="G450" i="1"/>
  <c r="A863" i="1" l="1"/>
  <c r="B853" i="3"/>
  <c r="E451" i="1"/>
  <c r="C451" i="1"/>
  <c r="D442" i="3" s="1"/>
  <c r="H451" i="1"/>
  <c r="K451" i="1"/>
  <c r="N451" i="1"/>
  <c r="A864" i="1" l="1"/>
  <c r="B854" i="3"/>
  <c r="L451" i="1"/>
  <c r="M451" i="1" s="1"/>
  <c r="O451" i="1"/>
  <c r="P451" i="1" s="1"/>
  <c r="I451" i="1"/>
  <c r="A865" i="1" l="1"/>
  <c r="B855" i="3"/>
  <c r="J451" i="1"/>
  <c r="F451" i="1" s="1"/>
  <c r="A866" i="1" l="1"/>
  <c r="B856" i="3"/>
  <c r="D452" i="1"/>
  <c r="B452" i="1"/>
  <c r="C443" i="3" s="1"/>
  <c r="G451" i="1"/>
  <c r="A867" i="1" l="1"/>
  <c r="B857" i="3"/>
  <c r="E452" i="1"/>
  <c r="C452" i="1"/>
  <c r="D443" i="3" s="1"/>
  <c r="N452" i="1"/>
  <c r="H452" i="1"/>
  <c r="K452" i="1"/>
  <c r="A868" i="1" l="1"/>
  <c r="B858" i="3"/>
  <c r="I452" i="1"/>
  <c r="L452" i="1"/>
  <c r="M452" i="1" s="1"/>
  <c r="O452" i="1"/>
  <c r="P452" i="1" s="1"/>
  <c r="A869" i="1" l="1"/>
  <c r="B859" i="3"/>
  <c r="J452" i="1"/>
  <c r="F452" i="1" s="1"/>
  <c r="A870" i="1" l="1"/>
  <c r="B860" i="3"/>
  <c r="B453" i="1"/>
  <c r="C444" i="3" s="1"/>
  <c r="D453" i="1"/>
  <c r="G452" i="1"/>
  <c r="A871" i="1" l="1"/>
  <c r="B861" i="3"/>
  <c r="E453" i="1"/>
  <c r="C453" i="1"/>
  <c r="D444" i="3" s="1"/>
  <c r="N453" i="1"/>
  <c r="K453" i="1"/>
  <c r="H453" i="1"/>
  <c r="A872" i="1" l="1"/>
  <c r="B862" i="3"/>
  <c r="O453" i="1"/>
  <c r="P453" i="1" s="1"/>
  <c r="L453" i="1"/>
  <c r="M453" i="1" s="1"/>
  <c r="I453" i="1"/>
  <c r="A873" i="1" l="1"/>
  <c r="B863" i="3"/>
  <c r="J453" i="1"/>
  <c r="F453" i="1" s="1"/>
  <c r="A874" i="1" l="1"/>
  <c r="B864" i="3"/>
  <c r="D454" i="1"/>
  <c r="B454" i="1"/>
  <c r="C445" i="3" s="1"/>
  <c r="G453" i="1"/>
  <c r="A875" i="1" l="1"/>
  <c r="B865" i="3"/>
  <c r="E454" i="1"/>
  <c r="C454" i="1"/>
  <c r="D445" i="3" s="1"/>
  <c r="H454" i="1"/>
  <c r="K454" i="1"/>
  <c r="N454" i="1"/>
  <c r="A876" i="1" l="1"/>
  <c r="B866" i="3"/>
  <c r="O454" i="1"/>
  <c r="P454" i="1" s="1"/>
  <c r="I454" i="1"/>
  <c r="L454" i="1"/>
  <c r="M454" i="1" s="1"/>
  <c r="A877" i="1" l="1"/>
  <c r="B867" i="3"/>
  <c r="J454" i="1"/>
  <c r="F454" i="1" s="1"/>
  <c r="A878" i="1" l="1"/>
  <c r="B868" i="3"/>
  <c r="B455" i="1"/>
  <c r="C446" i="3" s="1"/>
  <c r="D455" i="1"/>
  <c r="G454" i="1"/>
  <c r="A879" i="1" l="1"/>
  <c r="B869" i="3"/>
  <c r="E455" i="1"/>
  <c r="C455" i="1"/>
  <c r="D446" i="3" s="1"/>
  <c r="H455" i="1"/>
  <c r="K455" i="1"/>
  <c r="N455" i="1"/>
  <c r="A880" i="1" l="1"/>
  <c r="B870" i="3"/>
  <c r="I455" i="1"/>
  <c r="J455" i="1" s="1"/>
  <c r="L455" i="1"/>
  <c r="M455" i="1" s="1"/>
  <c r="O455" i="1"/>
  <c r="P455" i="1" s="1"/>
  <c r="A881" i="1" l="1"/>
  <c r="B871" i="3"/>
  <c r="F455" i="1"/>
  <c r="D456" i="1" s="1"/>
  <c r="G455" i="1"/>
  <c r="A882" i="1" l="1"/>
  <c r="B872" i="3"/>
  <c r="B456" i="1"/>
  <c r="E456" i="1"/>
  <c r="C456" i="1"/>
  <c r="D447" i="3" s="1"/>
  <c r="A883" i="1" l="1"/>
  <c r="B873" i="3"/>
  <c r="H456" i="1"/>
  <c r="C447" i="3"/>
  <c r="K456" i="1"/>
  <c r="N456" i="1"/>
  <c r="I456" i="1"/>
  <c r="L456" i="1"/>
  <c r="O456" i="1"/>
  <c r="A884" i="1" l="1"/>
  <c r="B874" i="3"/>
  <c r="P456" i="1"/>
  <c r="M456" i="1"/>
  <c r="J456" i="1"/>
  <c r="A885" i="1" l="1"/>
  <c r="B875" i="3"/>
  <c r="F456" i="1"/>
  <c r="B457" i="1" s="1"/>
  <c r="C448" i="3" s="1"/>
  <c r="G456" i="1"/>
  <c r="A886" i="1" l="1"/>
  <c r="B876" i="3"/>
  <c r="D457" i="1"/>
  <c r="E457" i="1"/>
  <c r="C457" i="1"/>
  <c r="D448" i="3" s="1"/>
  <c r="K457" i="1"/>
  <c r="N457" i="1"/>
  <c r="H457" i="1"/>
  <c r="A887" i="1" l="1"/>
  <c r="B877" i="3"/>
  <c r="L457" i="1"/>
  <c r="M457" i="1" s="1"/>
  <c r="O457" i="1"/>
  <c r="P457" i="1" s="1"/>
  <c r="I457" i="1"/>
  <c r="A888" i="1" l="1"/>
  <c r="B878" i="3"/>
  <c r="J457" i="1"/>
  <c r="F457" i="1" s="1"/>
  <c r="A889" i="1" l="1"/>
  <c r="B879" i="3"/>
  <c r="D458" i="1"/>
  <c r="B458" i="1"/>
  <c r="C449" i="3" s="1"/>
  <c r="G457" i="1"/>
  <c r="A890" i="1" l="1"/>
  <c r="B880" i="3"/>
  <c r="E458" i="1"/>
  <c r="C458" i="1"/>
  <c r="D449" i="3" s="1"/>
  <c r="K458" i="1"/>
  <c r="N458" i="1"/>
  <c r="H458" i="1"/>
  <c r="A891" i="1" l="1"/>
  <c r="B881" i="3"/>
  <c r="O458" i="1"/>
  <c r="P458" i="1" s="1"/>
  <c r="I458" i="1"/>
  <c r="L458" i="1"/>
  <c r="M458" i="1" s="1"/>
  <c r="A892" i="1" l="1"/>
  <c r="B882" i="3"/>
  <c r="J458" i="1"/>
  <c r="F458" i="1" s="1"/>
  <c r="A893" i="1" l="1"/>
  <c r="B883" i="3"/>
  <c r="B459" i="1"/>
  <c r="C450" i="3" s="1"/>
  <c r="D459" i="1"/>
  <c r="G458" i="1"/>
  <c r="A894" i="1" l="1"/>
  <c r="B884" i="3"/>
  <c r="E459" i="1"/>
  <c r="C459" i="1"/>
  <c r="D450" i="3" s="1"/>
  <c r="H459" i="1"/>
  <c r="K459" i="1"/>
  <c r="N459" i="1"/>
  <c r="A895" i="1" l="1"/>
  <c r="B885" i="3"/>
  <c r="L459" i="1"/>
  <c r="M459" i="1" s="1"/>
  <c r="I459" i="1"/>
  <c r="O459" i="1"/>
  <c r="P459" i="1" s="1"/>
  <c r="A896" i="1" l="1"/>
  <c r="B886" i="3"/>
  <c r="J459" i="1"/>
  <c r="F459" i="1" s="1"/>
  <c r="A897" i="1" l="1"/>
  <c r="B887" i="3"/>
  <c r="D460" i="1"/>
  <c r="B460" i="1"/>
  <c r="C451" i="3" s="1"/>
  <c r="G459" i="1"/>
  <c r="A898" i="1" l="1"/>
  <c r="B888" i="3"/>
  <c r="E460" i="1"/>
  <c r="C460" i="1"/>
  <c r="D451" i="3" s="1"/>
  <c r="K460" i="1"/>
  <c r="N460" i="1"/>
  <c r="H460" i="1"/>
  <c r="A899" i="1" l="1"/>
  <c r="B889" i="3"/>
  <c r="L460" i="1"/>
  <c r="M460" i="1" s="1"/>
  <c r="O460" i="1"/>
  <c r="P460" i="1" s="1"/>
  <c r="I460" i="1"/>
  <c r="A900" i="1" l="1"/>
  <c r="B890" i="3"/>
  <c r="J460" i="1"/>
  <c r="F460" i="1" s="1"/>
  <c r="A901" i="1" l="1"/>
  <c r="B891" i="3"/>
  <c r="B461" i="1"/>
  <c r="C452" i="3" s="1"/>
  <c r="D461" i="1"/>
  <c r="G460" i="1"/>
  <c r="A902" i="1" l="1"/>
  <c r="B892" i="3"/>
  <c r="E461" i="1"/>
  <c r="C461" i="1"/>
  <c r="D452" i="3" s="1"/>
  <c r="N461" i="1"/>
  <c r="H461" i="1"/>
  <c r="K461" i="1"/>
  <c r="A903" i="1" l="1"/>
  <c r="B893" i="3"/>
  <c r="O461" i="1"/>
  <c r="P461" i="1" s="1"/>
  <c r="I461" i="1"/>
  <c r="L461" i="1"/>
  <c r="M461" i="1" s="1"/>
  <c r="A904" i="1" l="1"/>
  <c r="B894" i="3"/>
  <c r="J461" i="1"/>
  <c r="F461" i="1" s="1"/>
  <c r="A905" i="1" l="1"/>
  <c r="B895" i="3"/>
  <c r="D462" i="1"/>
  <c r="B462" i="1"/>
  <c r="C453" i="3" s="1"/>
  <c r="G461" i="1"/>
  <c r="A906" i="1" l="1"/>
  <c r="B896" i="3"/>
  <c r="E462" i="1"/>
  <c r="C462" i="1"/>
  <c r="D453" i="3" s="1"/>
  <c r="K462" i="1"/>
  <c r="N462" i="1"/>
  <c r="H462" i="1"/>
  <c r="A907" i="1" l="1"/>
  <c r="B897" i="3"/>
  <c r="O462" i="1"/>
  <c r="P462" i="1" s="1"/>
  <c r="I462" i="1"/>
  <c r="L462" i="1"/>
  <c r="M462" i="1" s="1"/>
  <c r="A908" i="1" l="1"/>
  <c r="B898" i="3"/>
  <c r="J462" i="1"/>
  <c r="F462" i="1" s="1"/>
  <c r="A909" i="1" l="1"/>
  <c r="B899" i="3"/>
  <c r="B463" i="1"/>
  <c r="C454" i="3" s="1"/>
  <c r="D463" i="1"/>
  <c r="G462" i="1"/>
  <c r="A910" i="1" l="1"/>
  <c r="B900" i="3"/>
  <c r="E463" i="1"/>
  <c r="C463" i="1"/>
  <c r="D454" i="3" s="1"/>
  <c r="H463" i="1"/>
  <c r="N463" i="1"/>
  <c r="K463" i="1"/>
  <c r="A911" i="1" l="1"/>
  <c r="B901" i="3"/>
  <c r="L463" i="1"/>
  <c r="M463" i="1" s="1"/>
  <c r="O463" i="1"/>
  <c r="P463" i="1" s="1"/>
  <c r="I463" i="1"/>
  <c r="A912" i="1" l="1"/>
  <c r="B902" i="3"/>
  <c r="J463" i="1"/>
  <c r="F463" i="1" s="1"/>
  <c r="A913" i="1" l="1"/>
  <c r="B903" i="3"/>
  <c r="D464" i="1"/>
  <c r="B464" i="1"/>
  <c r="C455" i="3" s="1"/>
  <c r="G463" i="1"/>
  <c r="A914" i="1" l="1"/>
  <c r="B904" i="3"/>
  <c r="E464" i="1"/>
  <c r="C464" i="1"/>
  <c r="D455" i="3" s="1"/>
  <c r="N464" i="1"/>
  <c r="H464" i="1"/>
  <c r="K464" i="1"/>
  <c r="A915" i="1" l="1"/>
  <c r="B905" i="3"/>
  <c r="O464" i="1"/>
  <c r="P464" i="1" s="1"/>
  <c r="I464" i="1"/>
  <c r="L464" i="1"/>
  <c r="M464" i="1" s="1"/>
  <c r="A916" i="1" l="1"/>
  <c r="B906" i="3"/>
  <c r="J464" i="1"/>
  <c r="F464" i="1" s="1"/>
  <c r="A917" i="1" l="1"/>
  <c r="B907" i="3"/>
  <c r="B465" i="1"/>
  <c r="C456" i="3" s="1"/>
  <c r="D465" i="1"/>
  <c r="G464" i="1"/>
  <c r="A918" i="1" l="1"/>
  <c r="B908" i="3"/>
  <c r="E465" i="1"/>
  <c r="C465" i="1"/>
  <c r="D456" i="3" s="1"/>
  <c r="N465" i="1"/>
  <c r="H465" i="1"/>
  <c r="K465" i="1"/>
  <c r="A919" i="1" l="1"/>
  <c r="B909" i="3"/>
  <c r="O465" i="1"/>
  <c r="P465" i="1" s="1"/>
  <c r="I465" i="1"/>
  <c r="L465" i="1"/>
  <c r="M465" i="1" s="1"/>
  <c r="A920" i="1" l="1"/>
  <c r="B910" i="3"/>
  <c r="J465" i="1"/>
  <c r="F465" i="1" s="1"/>
  <c r="A921" i="1" l="1"/>
  <c r="B911" i="3"/>
  <c r="D466" i="1"/>
  <c r="B466" i="1"/>
  <c r="C457" i="3" s="1"/>
  <c r="G465" i="1"/>
  <c r="A922" i="1" l="1"/>
  <c r="B912" i="3"/>
  <c r="E466" i="1"/>
  <c r="C466" i="1"/>
  <c r="D457" i="3" s="1"/>
  <c r="H466" i="1"/>
  <c r="K466" i="1"/>
  <c r="N466" i="1"/>
  <c r="A923" i="1" l="1"/>
  <c r="B913" i="3"/>
  <c r="O466" i="1"/>
  <c r="P466" i="1" s="1"/>
  <c r="I466" i="1"/>
  <c r="L466" i="1"/>
  <c r="M466" i="1" s="1"/>
  <c r="A924" i="1" l="1"/>
  <c r="B914" i="3"/>
  <c r="J466" i="1"/>
  <c r="F466" i="1" s="1"/>
  <c r="A925" i="1" l="1"/>
  <c r="B915" i="3"/>
  <c r="B467" i="1"/>
  <c r="C458" i="3" s="1"/>
  <c r="D467" i="1"/>
  <c r="G466" i="1"/>
  <c r="A926" i="1" l="1"/>
  <c r="B916" i="3"/>
  <c r="E467" i="1"/>
  <c r="C467" i="1"/>
  <c r="D458" i="3" s="1"/>
  <c r="H467" i="1"/>
  <c r="K467" i="1"/>
  <c r="N467" i="1"/>
  <c r="A927" i="1" l="1"/>
  <c r="B917" i="3"/>
  <c r="I467" i="1"/>
  <c r="L467" i="1"/>
  <c r="M467" i="1" s="1"/>
  <c r="O467" i="1"/>
  <c r="P467" i="1" s="1"/>
  <c r="A928" i="1" l="1"/>
  <c r="B918" i="3"/>
  <c r="J467" i="1"/>
  <c r="F467" i="1" s="1"/>
  <c r="A929" i="1" l="1"/>
  <c r="B919" i="3"/>
  <c r="D468" i="1"/>
  <c r="B468" i="1"/>
  <c r="C459" i="3" s="1"/>
  <c r="G467" i="1"/>
  <c r="A930" i="1" l="1"/>
  <c r="B920" i="3"/>
  <c r="E468" i="1"/>
  <c r="C468" i="1"/>
  <c r="D459" i="3" s="1"/>
  <c r="K468" i="1"/>
  <c r="H468" i="1"/>
  <c r="N468" i="1"/>
  <c r="A931" i="1" l="1"/>
  <c r="B921" i="3"/>
  <c r="I468" i="1"/>
  <c r="L468" i="1"/>
  <c r="M468" i="1" s="1"/>
  <c r="O468" i="1"/>
  <c r="P468" i="1" s="1"/>
  <c r="A932" i="1" l="1"/>
  <c r="B922" i="3"/>
  <c r="J468" i="1"/>
  <c r="F468" i="1" s="1"/>
  <c r="A933" i="1" l="1"/>
  <c r="B923" i="3"/>
  <c r="B469" i="1"/>
  <c r="C460" i="3" s="1"/>
  <c r="D469" i="1"/>
  <c r="G468" i="1"/>
  <c r="A934" i="1" l="1"/>
  <c r="B924" i="3"/>
  <c r="E469" i="1"/>
  <c r="C469" i="1"/>
  <c r="D460" i="3" s="1"/>
  <c r="K469" i="1"/>
  <c r="N469" i="1"/>
  <c r="H469" i="1"/>
  <c r="A935" i="1" l="1"/>
  <c r="B925" i="3"/>
  <c r="L469" i="1"/>
  <c r="M469" i="1" s="1"/>
  <c r="I469" i="1"/>
  <c r="O469" i="1"/>
  <c r="P469" i="1" s="1"/>
  <c r="A936" i="1" l="1"/>
  <c r="B926" i="3"/>
  <c r="J469" i="1"/>
  <c r="F469" i="1" s="1"/>
  <c r="A937" i="1" l="1"/>
  <c r="B927" i="3"/>
  <c r="D470" i="1"/>
  <c r="B470" i="1"/>
  <c r="C461" i="3" s="1"/>
  <c r="G469" i="1"/>
  <c r="A938" i="1" l="1"/>
  <c r="B928" i="3"/>
  <c r="E470" i="1"/>
  <c r="C470" i="1"/>
  <c r="D461" i="3" s="1"/>
  <c r="K470" i="1"/>
  <c r="N470" i="1"/>
  <c r="H470" i="1"/>
  <c r="A939" i="1" l="1"/>
  <c r="B929" i="3"/>
  <c r="L470" i="1"/>
  <c r="M470" i="1" s="1"/>
  <c r="O470" i="1"/>
  <c r="P470" i="1" s="1"/>
  <c r="I470" i="1"/>
  <c r="A940" i="1" l="1"/>
  <c r="B930" i="3"/>
  <c r="J470" i="1"/>
  <c r="F470" i="1" s="1"/>
  <c r="A941" i="1" l="1"/>
  <c r="B931" i="3"/>
  <c r="B471" i="1"/>
  <c r="C462" i="3" s="1"/>
  <c r="D471" i="1"/>
  <c r="G470" i="1"/>
  <c r="A942" i="1" l="1"/>
  <c r="B932" i="3"/>
  <c r="E471" i="1"/>
  <c r="C471" i="1"/>
  <c r="D462" i="3" s="1"/>
  <c r="N471" i="1"/>
  <c r="H471" i="1"/>
  <c r="K471" i="1"/>
  <c r="A943" i="1" l="1"/>
  <c r="B933" i="3"/>
  <c r="L471" i="1"/>
  <c r="M471" i="1" s="1"/>
  <c r="O471" i="1"/>
  <c r="P471" i="1" s="1"/>
  <c r="I471" i="1"/>
  <c r="A944" i="1" l="1"/>
  <c r="B934" i="3"/>
  <c r="J471" i="1"/>
  <c r="F471" i="1" s="1"/>
  <c r="A945" i="1" l="1"/>
  <c r="B935" i="3"/>
  <c r="D472" i="1"/>
  <c r="B472" i="1"/>
  <c r="C463" i="3" s="1"/>
  <c r="G471" i="1"/>
  <c r="A946" i="1" l="1"/>
  <c r="B936" i="3"/>
  <c r="E472" i="1"/>
  <c r="C472" i="1"/>
  <c r="D463" i="3" s="1"/>
  <c r="N472" i="1"/>
  <c r="H472" i="1"/>
  <c r="K472" i="1"/>
  <c r="A947" i="1" l="1"/>
  <c r="B937" i="3"/>
  <c r="O472" i="1"/>
  <c r="P472" i="1" s="1"/>
  <c r="I472" i="1"/>
  <c r="L472" i="1"/>
  <c r="M472" i="1" s="1"/>
  <c r="A948" i="1" l="1"/>
  <c r="B938" i="3"/>
  <c r="J472" i="1"/>
  <c r="F472" i="1" s="1"/>
  <c r="A949" i="1" l="1"/>
  <c r="B939" i="3"/>
  <c r="B473" i="1"/>
  <c r="C464" i="3" s="1"/>
  <c r="D473" i="1"/>
  <c r="G472" i="1"/>
  <c r="A950" i="1" l="1"/>
  <c r="B940" i="3"/>
  <c r="E473" i="1"/>
  <c r="C473" i="1"/>
  <c r="D464" i="3" s="1"/>
  <c r="N473" i="1"/>
  <c r="H473" i="1"/>
  <c r="K473" i="1"/>
  <c r="A951" i="1" l="1"/>
  <c r="B941" i="3"/>
  <c r="O473" i="1"/>
  <c r="P473" i="1" s="1"/>
  <c r="I473" i="1"/>
  <c r="L473" i="1"/>
  <c r="M473" i="1" s="1"/>
  <c r="A952" i="1" l="1"/>
  <c r="B942" i="3"/>
  <c r="J473" i="1"/>
  <c r="F473" i="1" s="1"/>
  <c r="A953" i="1" l="1"/>
  <c r="B943" i="3"/>
  <c r="D474" i="1"/>
  <c r="B474" i="1"/>
  <c r="C465" i="3" s="1"/>
  <c r="G473" i="1"/>
  <c r="A954" i="1" l="1"/>
  <c r="B944" i="3"/>
  <c r="E474" i="1"/>
  <c r="C474" i="1"/>
  <c r="D465" i="3" s="1"/>
  <c r="H474" i="1"/>
  <c r="K474" i="1"/>
  <c r="N474" i="1"/>
  <c r="A955" i="1" l="1"/>
  <c r="B945" i="3"/>
  <c r="O474" i="1"/>
  <c r="P474" i="1" s="1"/>
  <c r="I474" i="1"/>
  <c r="L474" i="1"/>
  <c r="M474" i="1" s="1"/>
  <c r="A956" i="1" l="1"/>
  <c r="B946" i="3"/>
  <c r="J474" i="1"/>
  <c r="F474" i="1" s="1"/>
  <c r="A957" i="1" l="1"/>
  <c r="B947" i="3"/>
  <c r="B475" i="1"/>
  <c r="C466" i="3" s="1"/>
  <c r="D475" i="1"/>
  <c r="G474" i="1"/>
  <c r="A958" i="1" l="1"/>
  <c r="B948" i="3"/>
  <c r="E475" i="1"/>
  <c r="C475" i="1"/>
  <c r="D466" i="3" s="1"/>
  <c r="H475" i="1"/>
  <c r="K475" i="1"/>
  <c r="N475" i="1"/>
  <c r="A959" i="1" l="1"/>
  <c r="B949" i="3"/>
  <c r="I475" i="1"/>
  <c r="L475" i="1"/>
  <c r="M475" i="1" s="1"/>
  <c r="O475" i="1"/>
  <c r="P475" i="1" s="1"/>
  <c r="A960" i="1" l="1"/>
  <c r="B950" i="3"/>
  <c r="J475" i="1"/>
  <c r="F475" i="1" s="1"/>
  <c r="A961" i="1" l="1"/>
  <c r="B951" i="3"/>
  <c r="D476" i="1"/>
  <c r="B476" i="1"/>
  <c r="C467" i="3" s="1"/>
  <c r="G475" i="1"/>
  <c r="A962" i="1" l="1"/>
  <c r="B952" i="3"/>
  <c r="E476" i="1"/>
  <c r="C476" i="1"/>
  <c r="D467" i="3" s="1"/>
  <c r="K476" i="1"/>
  <c r="H476" i="1"/>
  <c r="N476" i="1"/>
  <c r="A963" i="1" l="1"/>
  <c r="B953" i="3"/>
  <c r="I476" i="1"/>
  <c r="L476" i="1"/>
  <c r="M476" i="1" s="1"/>
  <c r="O476" i="1"/>
  <c r="P476" i="1" s="1"/>
  <c r="A964" i="1" l="1"/>
  <c r="B954" i="3"/>
  <c r="J476" i="1"/>
  <c r="F476" i="1" s="1"/>
  <c r="A965" i="1" l="1"/>
  <c r="B955" i="3"/>
  <c r="B477" i="1"/>
  <c r="C468" i="3" s="1"/>
  <c r="D477" i="1"/>
  <c r="G476" i="1"/>
  <c r="A966" i="1" l="1"/>
  <c r="B956" i="3"/>
  <c r="E477" i="1"/>
  <c r="C477" i="1"/>
  <c r="D468" i="3" s="1"/>
  <c r="K477" i="1"/>
  <c r="N477" i="1"/>
  <c r="H477" i="1"/>
  <c r="A967" i="1" l="1"/>
  <c r="B957" i="3"/>
  <c r="L477" i="1"/>
  <c r="M477" i="1" s="1"/>
  <c r="I477" i="1"/>
  <c r="O477" i="1"/>
  <c r="P477" i="1" s="1"/>
  <c r="A968" i="1" l="1"/>
  <c r="B958" i="3"/>
  <c r="J477" i="1"/>
  <c r="F477" i="1" s="1"/>
  <c r="A969" i="1" l="1"/>
  <c r="B959" i="3"/>
  <c r="D478" i="1"/>
  <c r="B478" i="1"/>
  <c r="C469" i="3" s="1"/>
  <c r="G477" i="1"/>
  <c r="A970" i="1" l="1"/>
  <c r="B960" i="3"/>
  <c r="E478" i="1"/>
  <c r="C478" i="1"/>
  <c r="D469" i="3" s="1"/>
  <c r="K478" i="1"/>
  <c r="N478" i="1"/>
  <c r="H478" i="1"/>
  <c r="A971" i="1" l="1"/>
  <c r="B961" i="3"/>
  <c r="L478" i="1"/>
  <c r="M478" i="1" s="1"/>
  <c r="O478" i="1"/>
  <c r="P478" i="1" s="1"/>
  <c r="I478" i="1"/>
  <c r="A972" i="1" l="1"/>
  <c r="B962" i="3"/>
  <c r="J478" i="1"/>
  <c r="F478" i="1" s="1"/>
  <c r="A973" i="1" l="1"/>
  <c r="B963" i="3"/>
  <c r="B479" i="1"/>
  <c r="C470" i="3" s="1"/>
  <c r="D479" i="1"/>
  <c r="G478" i="1"/>
  <c r="A974" i="1" l="1"/>
  <c r="B964" i="3"/>
  <c r="E479" i="1"/>
  <c r="C479" i="1"/>
  <c r="D470" i="3" s="1"/>
  <c r="N479" i="1"/>
  <c r="H479" i="1"/>
  <c r="K479" i="1"/>
  <c r="A975" i="1" l="1"/>
  <c r="B965" i="3"/>
  <c r="L479" i="1"/>
  <c r="M479" i="1" s="1"/>
  <c r="O479" i="1"/>
  <c r="P479" i="1" s="1"/>
  <c r="I479" i="1"/>
  <c r="A976" i="1" l="1"/>
  <c r="B966" i="3"/>
  <c r="J479" i="1"/>
  <c r="F479" i="1" s="1"/>
  <c r="A977" i="1" l="1"/>
  <c r="B967" i="3"/>
  <c r="D480" i="1"/>
  <c r="B480" i="1"/>
  <c r="C471" i="3" s="1"/>
  <c r="G479" i="1"/>
  <c r="A978" i="1" l="1"/>
  <c r="B968" i="3"/>
  <c r="N480" i="1"/>
  <c r="H480" i="1"/>
  <c r="K480" i="1"/>
  <c r="E480" i="1"/>
  <c r="C480" i="1"/>
  <c r="D471" i="3" s="1"/>
  <c r="A979" i="1" l="1"/>
  <c r="B969" i="3"/>
  <c r="O480" i="1"/>
  <c r="P480" i="1" s="1"/>
  <c r="I480" i="1"/>
  <c r="J480" i="1" s="1"/>
  <c r="L480" i="1"/>
  <c r="M480" i="1" s="1"/>
  <c r="A980" i="1" l="1"/>
  <c r="B970" i="3"/>
  <c r="F480" i="1"/>
  <c r="B481" i="1" s="1"/>
  <c r="C472" i="3" s="1"/>
  <c r="G480" i="1"/>
  <c r="A981" i="1" l="1"/>
  <c r="B971" i="3"/>
  <c r="D481" i="1"/>
  <c r="E481" i="1"/>
  <c r="C481" i="1"/>
  <c r="D472" i="3" s="1"/>
  <c r="N481" i="1"/>
  <c r="H481" i="1"/>
  <c r="K481" i="1"/>
  <c r="A982" i="1" l="1"/>
  <c r="B972" i="3"/>
  <c r="O481" i="1"/>
  <c r="P481" i="1" s="1"/>
  <c r="I481" i="1"/>
  <c r="J481" i="1" s="1"/>
  <c r="L481" i="1"/>
  <c r="M481" i="1" s="1"/>
  <c r="A983" i="1" l="1"/>
  <c r="B973" i="3"/>
  <c r="F481" i="1"/>
  <c r="D482" i="1" s="1"/>
  <c r="G481" i="1"/>
  <c r="A984" i="1" l="1"/>
  <c r="B974" i="3"/>
  <c r="B482" i="1"/>
  <c r="E482" i="1"/>
  <c r="C482" i="1"/>
  <c r="D473" i="3" s="1"/>
  <c r="A985" i="1" l="1"/>
  <c r="B975" i="3"/>
  <c r="H482" i="1"/>
  <c r="C473" i="3"/>
  <c r="K482" i="1"/>
  <c r="N482" i="1"/>
  <c r="O482" i="1"/>
  <c r="I482" i="1"/>
  <c r="L482" i="1"/>
  <c r="A986" i="1" l="1"/>
  <c r="B976" i="3"/>
  <c r="P482" i="1"/>
  <c r="M482" i="1"/>
  <c r="J482" i="1"/>
  <c r="A987" i="1" l="1"/>
  <c r="B977" i="3"/>
  <c r="F482" i="1"/>
  <c r="B483" i="1" s="1"/>
  <c r="C474" i="3" s="1"/>
  <c r="G482" i="1"/>
  <c r="A988" i="1" l="1"/>
  <c r="B978" i="3"/>
  <c r="D483" i="1"/>
  <c r="E483" i="1"/>
  <c r="C483" i="1"/>
  <c r="D474" i="3" s="1"/>
  <c r="H483" i="1"/>
  <c r="K483" i="1"/>
  <c r="N483" i="1"/>
  <c r="A989" i="1" l="1"/>
  <c r="B979" i="3"/>
  <c r="I483" i="1"/>
  <c r="J483" i="1" s="1"/>
  <c r="L483" i="1"/>
  <c r="M483" i="1" s="1"/>
  <c r="O483" i="1"/>
  <c r="P483" i="1" s="1"/>
  <c r="A990" i="1" l="1"/>
  <c r="B980" i="3"/>
  <c r="F483" i="1"/>
  <c r="D484" i="1" s="1"/>
  <c r="G483" i="1"/>
  <c r="A991" i="1" l="1"/>
  <c r="B981" i="3"/>
  <c r="B484" i="1"/>
  <c r="E484" i="1"/>
  <c r="C484" i="1"/>
  <c r="D475" i="3" s="1"/>
  <c r="A992" i="1" l="1"/>
  <c r="B982" i="3"/>
  <c r="K484" i="1"/>
  <c r="C475" i="3"/>
  <c r="H484" i="1"/>
  <c r="N484" i="1"/>
  <c r="I484" i="1"/>
  <c r="L484" i="1"/>
  <c r="O484" i="1"/>
  <c r="P484" i="1" l="1"/>
  <c r="A993" i="1"/>
  <c r="B983" i="3"/>
  <c r="M484" i="1"/>
  <c r="J484" i="1"/>
  <c r="A994" i="1" l="1"/>
  <c r="B984" i="3"/>
  <c r="F484" i="1"/>
  <c r="B485" i="1" s="1"/>
  <c r="C476" i="3" s="1"/>
  <c r="G484" i="1"/>
  <c r="A995" i="1" l="1"/>
  <c r="B985" i="3"/>
  <c r="D485" i="1"/>
  <c r="E485" i="1"/>
  <c r="C485" i="1"/>
  <c r="D476" i="3" s="1"/>
  <c r="K485" i="1"/>
  <c r="N485" i="1"/>
  <c r="H485" i="1"/>
  <c r="A996" i="1" l="1"/>
  <c r="B986" i="3"/>
  <c r="L485" i="1"/>
  <c r="M485" i="1" s="1"/>
  <c r="I485" i="1"/>
  <c r="O485" i="1"/>
  <c r="P485" i="1" s="1"/>
  <c r="A997" i="1" l="1"/>
  <c r="B987" i="3"/>
  <c r="J485" i="1"/>
  <c r="F485" i="1" s="1"/>
  <c r="A998" i="1" l="1"/>
  <c r="B988" i="3"/>
  <c r="D486" i="1"/>
  <c r="B486" i="1"/>
  <c r="C477" i="3" s="1"/>
  <c r="G485" i="1"/>
  <c r="A999" i="1" l="1"/>
  <c r="B989" i="3"/>
  <c r="E486" i="1"/>
  <c r="C486" i="1"/>
  <c r="D477" i="3" s="1"/>
  <c r="K486" i="1"/>
  <c r="N486" i="1"/>
  <c r="H486" i="1"/>
  <c r="A1000" i="1" l="1"/>
  <c r="B990" i="3"/>
  <c r="L486" i="1"/>
  <c r="M486" i="1" s="1"/>
  <c r="O486" i="1"/>
  <c r="P486" i="1" s="1"/>
  <c r="I486" i="1"/>
  <c r="A1001" i="1" l="1"/>
  <c r="B991" i="3"/>
  <c r="J486" i="1"/>
  <c r="F486" i="1" s="1"/>
  <c r="A1002" i="1" l="1"/>
  <c r="B992" i="3"/>
  <c r="D487" i="1"/>
  <c r="B487" i="1"/>
  <c r="C478" i="3" s="1"/>
  <c r="G486" i="1"/>
  <c r="A1003" i="1" l="1"/>
  <c r="B993" i="3"/>
  <c r="E487" i="1"/>
  <c r="C487" i="1"/>
  <c r="D478" i="3" s="1"/>
  <c r="N487" i="1"/>
  <c r="H487" i="1"/>
  <c r="K487" i="1"/>
  <c r="A1004" i="1" l="1"/>
  <c r="B994" i="3"/>
  <c r="L487" i="1"/>
  <c r="M487" i="1" s="1"/>
  <c r="O487" i="1"/>
  <c r="P487" i="1" s="1"/>
  <c r="I487" i="1"/>
  <c r="A1005" i="1" l="1"/>
  <c r="B995" i="3"/>
  <c r="J487" i="1"/>
  <c r="F487" i="1" s="1"/>
  <c r="A1006" i="1" l="1"/>
  <c r="B996" i="3"/>
  <c r="B488" i="1"/>
  <c r="C479" i="3" s="1"/>
  <c r="D488" i="1"/>
  <c r="G487" i="1"/>
  <c r="A1007" i="1" l="1"/>
  <c r="B997" i="3"/>
  <c r="E488" i="1"/>
  <c r="C488" i="1"/>
  <c r="D479" i="3" s="1"/>
  <c r="N488" i="1"/>
  <c r="H488" i="1"/>
  <c r="K488" i="1"/>
  <c r="A1008" i="1" l="1"/>
  <c r="B998" i="3"/>
  <c r="O488" i="1"/>
  <c r="P488" i="1" s="1"/>
  <c r="I488" i="1"/>
  <c r="L488" i="1"/>
  <c r="M488" i="1" s="1"/>
  <c r="A1009" i="1" l="1"/>
  <c r="B999" i="3"/>
  <c r="J488" i="1"/>
  <c r="F488" i="1" s="1"/>
  <c r="A1010" i="1" l="1"/>
  <c r="B1000" i="3"/>
  <c r="D489" i="1"/>
  <c r="B489" i="1"/>
  <c r="C480" i="3" s="1"/>
  <c r="G488" i="1"/>
  <c r="A1011" i="1" l="1"/>
  <c r="B1001" i="3"/>
  <c r="E489" i="1"/>
  <c r="C489" i="1"/>
  <c r="D480" i="3" s="1"/>
  <c r="N489" i="1"/>
  <c r="H489" i="1"/>
  <c r="K489" i="1"/>
  <c r="A1012" i="1" l="1"/>
  <c r="B1002" i="3"/>
  <c r="O489" i="1"/>
  <c r="P489" i="1" s="1"/>
  <c r="I489" i="1"/>
  <c r="L489" i="1"/>
  <c r="M489" i="1" s="1"/>
  <c r="A1013" i="1" l="1"/>
  <c r="B1003" i="3"/>
  <c r="J489" i="1"/>
  <c r="F489" i="1" s="1"/>
  <c r="A1014" i="1" l="1"/>
  <c r="B1004" i="3"/>
  <c r="B490" i="1"/>
  <c r="C481" i="3" s="1"/>
  <c r="D490" i="1"/>
  <c r="G489" i="1"/>
  <c r="A1015" i="1" l="1"/>
  <c r="B1005" i="3"/>
  <c r="E490" i="1"/>
  <c r="C490" i="1"/>
  <c r="D481" i="3" s="1"/>
  <c r="H490" i="1"/>
  <c r="N490" i="1"/>
  <c r="K490" i="1"/>
  <c r="A1016" i="1" l="1"/>
  <c r="B1006" i="3"/>
  <c r="O490" i="1"/>
  <c r="P490" i="1" s="1"/>
  <c r="I490" i="1"/>
  <c r="L490" i="1"/>
  <c r="M490" i="1" s="1"/>
  <c r="A1017" i="1" l="1"/>
  <c r="B1007" i="3"/>
  <c r="J490" i="1"/>
  <c r="F490" i="1" s="1"/>
  <c r="A1018" i="1" l="1"/>
  <c r="B1008" i="3"/>
  <c r="D491" i="1"/>
  <c r="B491" i="1"/>
  <c r="C482" i="3" s="1"/>
  <c r="G490" i="1"/>
  <c r="A1019" i="1" l="1"/>
  <c r="B1009" i="3"/>
  <c r="E491" i="1"/>
  <c r="C491" i="1"/>
  <c r="D482" i="3" s="1"/>
  <c r="K491" i="1"/>
  <c r="N491" i="1"/>
  <c r="H491" i="1"/>
  <c r="A1020" i="1" l="1"/>
  <c r="B1010" i="3"/>
  <c r="O491" i="1"/>
  <c r="P491" i="1" s="1"/>
  <c r="I491" i="1"/>
  <c r="L491" i="1"/>
  <c r="M491" i="1" s="1"/>
  <c r="A1021" i="1" l="1"/>
  <c r="B1011" i="3"/>
  <c r="J491" i="1"/>
  <c r="F491" i="1" s="1"/>
  <c r="A1022" i="1" l="1"/>
  <c r="B1012" i="3"/>
  <c r="B492" i="1"/>
  <c r="C483" i="3" s="1"/>
  <c r="D492" i="1"/>
  <c r="G491" i="1"/>
  <c r="A1023" i="1" l="1"/>
  <c r="B1013" i="3"/>
  <c r="E492" i="1"/>
  <c r="C492" i="1"/>
  <c r="D483" i="3" s="1"/>
  <c r="H492" i="1"/>
  <c r="K492" i="1"/>
  <c r="N492" i="1"/>
  <c r="A1024" i="1" l="1"/>
  <c r="B1014" i="3"/>
  <c r="L492" i="1"/>
  <c r="M492" i="1" s="1"/>
  <c r="O492" i="1"/>
  <c r="P492" i="1" s="1"/>
  <c r="I492" i="1"/>
  <c r="A1025" i="1" l="1"/>
  <c r="B1015" i="3"/>
  <c r="J492" i="1"/>
  <c r="F492" i="1" s="1"/>
  <c r="A1026" i="1" l="1"/>
  <c r="B1016" i="3"/>
  <c r="D493" i="1"/>
  <c r="B493" i="1"/>
  <c r="C484" i="3" s="1"/>
  <c r="G492" i="1"/>
  <c r="A1027" i="1" l="1"/>
  <c r="B1017" i="3"/>
  <c r="E493" i="1"/>
  <c r="C493" i="1"/>
  <c r="D484" i="3" s="1"/>
  <c r="H493" i="1"/>
  <c r="K493" i="1"/>
  <c r="N493" i="1"/>
  <c r="A1028" i="1" l="1"/>
  <c r="B1018" i="3"/>
  <c r="I493" i="1"/>
  <c r="L493" i="1"/>
  <c r="M493" i="1" s="1"/>
  <c r="O493" i="1"/>
  <c r="P493" i="1" s="1"/>
  <c r="A1029" i="1" l="1"/>
  <c r="B1019" i="3"/>
  <c r="J493" i="1"/>
  <c r="F493" i="1" s="1"/>
  <c r="A1030" i="1" l="1"/>
  <c r="B1020" i="3"/>
  <c r="B494" i="1"/>
  <c r="C485" i="3" s="1"/>
  <c r="D494" i="1"/>
  <c r="G493" i="1"/>
  <c r="A1031" i="1" l="1"/>
  <c r="B1021" i="3"/>
  <c r="E494" i="1"/>
  <c r="C494" i="1"/>
  <c r="D485" i="3" s="1"/>
  <c r="N494" i="1"/>
  <c r="K494" i="1"/>
  <c r="H494" i="1"/>
  <c r="A1032" i="1" l="1"/>
  <c r="B1022" i="3"/>
  <c r="I494" i="1"/>
  <c r="L494" i="1"/>
  <c r="M494" i="1" s="1"/>
  <c r="O494" i="1"/>
  <c r="P494" i="1" s="1"/>
  <c r="A1033" i="1" l="1"/>
  <c r="B1023" i="3"/>
  <c r="J494" i="1"/>
  <c r="F494" i="1" s="1"/>
  <c r="A1034" i="1" l="1"/>
  <c r="B1024" i="3"/>
  <c r="D495" i="1"/>
  <c r="B495" i="1"/>
  <c r="C486" i="3" s="1"/>
  <c r="G494" i="1"/>
  <c r="A1035" i="1" l="1"/>
  <c r="B1025" i="3"/>
  <c r="E495" i="1"/>
  <c r="C495" i="1"/>
  <c r="D486" i="3" s="1"/>
  <c r="K495" i="1"/>
  <c r="N495" i="1"/>
  <c r="H495" i="1"/>
  <c r="A1036" i="1" l="1"/>
  <c r="B1026" i="3"/>
  <c r="O495" i="1"/>
  <c r="P495" i="1" s="1"/>
  <c r="L495" i="1"/>
  <c r="M495" i="1" s="1"/>
  <c r="I495" i="1"/>
  <c r="A1037" i="1" l="1"/>
  <c r="B1027" i="3"/>
  <c r="J495" i="1"/>
  <c r="F495" i="1" s="1"/>
  <c r="A1038" i="1" l="1"/>
  <c r="B1028" i="3"/>
  <c r="B496" i="1"/>
  <c r="C487" i="3" s="1"/>
  <c r="D496" i="1"/>
  <c r="G495" i="1"/>
  <c r="A1039" i="1" l="1"/>
  <c r="B1029" i="3"/>
  <c r="E496" i="1"/>
  <c r="C496" i="1"/>
  <c r="D487" i="3" s="1"/>
  <c r="H496" i="1"/>
  <c r="K496" i="1"/>
  <c r="N496" i="1"/>
  <c r="A1040" i="1" l="1"/>
  <c r="B1030" i="3"/>
  <c r="L496" i="1"/>
  <c r="M496" i="1" s="1"/>
  <c r="O496" i="1"/>
  <c r="P496" i="1" s="1"/>
  <c r="I496" i="1"/>
  <c r="A1041" i="1" l="1"/>
  <c r="B1031" i="3"/>
  <c r="J496" i="1"/>
  <c r="F496" i="1" s="1"/>
  <c r="A1042" i="1" l="1"/>
  <c r="B1032" i="3"/>
  <c r="D497" i="1"/>
  <c r="B497" i="1"/>
  <c r="C488" i="3" s="1"/>
  <c r="G496" i="1"/>
  <c r="A1043" i="1" l="1"/>
  <c r="B1033" i="3"/>
  <c r="N497" i="1"/>
  <c r="H497" i="1"/>
  <c r="K497" i="1"/>
  <c r="E497" i="1"/>
  <c r="C497" i="1"/>
  <c r="D488" i="3" s="1"/>
  <c r="A1044" i="1" l="1"/>
  <c r="B1034" i="3"/>
  <c r="I497" i="1"/>
  <c r="J497" i="1" s="1"/>
  <c r="L497" i="1"/>
  <c r="M497" i="1" s="1"/>
  <c r="O497" i="1"/>
  <c r="P497" i="1" s="1"/>
  <c r="A1045" i="1" l="1"/>
  <c r="B1035" i="3"/>
  <c r="F497" i="1"/>
  <c r="G497" i="1"/>
  <c r="A1046" i="1" l="1"/>
  <c r="B1036" i="3"/>
  <c r="E498" i="1"/>
  <c r="C498" i="1"/>
  <c r="D489" i="3" s="1"/>
  <c r="B498" i="1"/>
  <c r="C489" i="3" s="1"/>
  <c r="D498" i="1"/>
  <c r="A1047" i="1" l="1"/>
  <c r="B1037" i="3"/>
  <c r="N498" i="1"/>
  <c r="K498" i="1"/>
  <c r="H498" i="1"/>
  <c r="O498" i="1"/>
  <c r="I498" i="1"/>
  <c r="L498" i="1"/>
  <c r="A1048" i="1" l="1"/>
  <c r="B1038" i="3"/>
  <c r="M498" i="1"/>
  <c r="J498" i="1"/>
  <c r="P498" i="1"/>
  <c r="A1049" i="1" l="1"/>
  <c r="B1039" i="3"/>
  <c r="F498" i="1"/>
  <c r="B499" i="1" s="1"/>
  <c r="C490" i="3" s="1"/>
  <c r="G498" i="1"/>
  <c r="E499" i="1" s="1"/>
  <c r="A1050" i="1" l="1"/>
  <c r="B1040" i="3"/>
  <c r="D499" i="1"/>
  <c r="C499" i="1"/>
  <c r="K499" i="1"/>
  <c r="N499" i="1"/>
  <c r="H499" i="1"/>
  <c r="A1051" i="1" l="1"/>
  <c r="B1041" i="3"/>
  <c r="O499" i="1"/>
  <c r="P499" i="1" s="1"/>
  <c r="D490" i="3"/>
  <c r="L499" i="1"/>
  <c r="M499" i="1" s="1"/>
  <c r="I499" i="1"/>
  <c r="J499" i="1" s="1"/>
  <c r="A1052" i="1" l="1"/>
  <c r="B1042" i="3"/>
  <c r="F499" i="1"/>
  <c r="D500" i="1" s="1"/>
  <c r="G499" i="1"/>
  <c r="A1053" i="1" l="1"/>
  <c r="B1043" i="3"/>
  <c r="B500" i="1"/>
  <c r="C500" i="1"/>
  <c r="D491" i="3" s="1"/>
  <c r="E500" i="1"/>
  <c r="A1054" i="1" l="1"/>
  <c r="B1044" i="3"/>
  <c r="H500" i="1"/>
  <c r="C491" i="3"/>
  <c r="K500" i="1"/>
  <c r="N500" i="1"/>
  <c r="L500" i="1"/>
  <c r="O500" i="1"/>
  <c r="I500" i="1"/>
  <c r="P500" i="1" l="1"/>
  <c r="J500" i="1"/>
  <c r="A1055" i="1"/>
  <c r="B1045" i="3"/>
  <c r="M500" i="1"/>
  <c r="F500" i="1" l="1"/>
  <c r="B501" i="1" s="1"/>
  <c r="C492" i="3" s="1"/>
  <c r="A1056" i="1"/>
  <c r="B1046" i="3"/>
  <c r="G500" i="1"/>
  <c r="C501" i="1" s="1"/>
  <c r="D492" i="3" s="1"/>
  <c r="N501" i="1" l="1"/>
  <c r="H501" i="1"/>
  <c r="K501" i="1"/>
  <c r="D501" i="1"/>
  <c r="A1057" i="1"/>
  <c r="B1047" i="3"/>
  <c r="E501" i="1"/>
  <c r="I501" i="1"/>
  <c r="L501" i="1"/>
  <c r="O501" i="1"/>
  <c r="M501" i="1" l="1"/>
  <c r="P501" i="1"/>
  <c r="A1058" i="1"/>
  <c r="B1048" i="3"/>
  <c r="J501" i="1"/>
  <c r="F501" i="1" l="1"/>
  <c r="B502" i="1" s="1"/>
  <c r="C493" i="3" s="1"/>
  <c r="A1059" i="1"/>
  <c r="B1049" i="3"/>
  <c r="G501" i="1"/>
  <c r="D502" i="1" l="1"/>
  <c r="A1060" i="1"/>
  <c r="B1050" i="3"/>
  <c r="C502" i="1"/>
  <c r="D493" i="3" s="1"/>
  <c r="E502" i="1"/>
  <c r="N502" i="1"/>
  <c r="K502" i="1"/>
  <c r="H502" i="1"/>
  <c r="A1061" i="1" l="1"/>
  <c r="B1051" i="3"/>
  <c r="I502" i="1"/>
  <c r="O502" i="1"/>
  <c r="P502" i="1" s="1"/>
  <c r="L502" i="1"/>
  <c r="M502" i="1" s="1"/>
  <c r="A1062" i="1" l="1"/>
  <c r="B1052" i="3"/>
  <c r="J502" i="1"/>
  <c r="F502" i="1" s="1"/>
  <c r="A1063" i="1" l="1"/>
  <c r="B1053" i="3"/>
  <c r="D503" i="1"/>
  <c r="B503" i="1"/>
  <c r="C494" i="3" s="1"/>
  <c r="G502" i="1"/>
  <c r="A1064" i="1" l="1"/>
  <c r="B1054" i="3"/>
  <c r="K503" i="1"/>
  <c r="N503" i="1"/>
  <c r="H503" i="1"/>
  <c r="E503" i="1"/>
  <c r="C503" i="1"/>
  <c r="D494" i="3" s="1"/>
  <c r="A1065" i="1" l="1"/>
  <c r="B1055" i="3"/>
  <c r="O503" i="1"/>
  <c r="P503" i="1" s="1"/>
  <c r="L503" i="1"/>
  <c r="M503" i="1" s="1"/>
  <c r="I503" i="1"/>
  <c r="A1066" i="1" l="1"/>
  <c r="B1056" i="3"/>
  <c r="J503" i="1"/>
  <c r="F503" i="1" s="1"/>
  <c r="A1067" i="1" l="1"/>
  <c r="B1057" i="3"/>
  <c r="D504" i="1"/>
  <c r="B504" i="1"/>
  <c r="C495" i="3" s="1"/>
  <c r="G503" i="1"/>
  <c r="A1068" i="1" l="1"/>
  <c r="B1058" i="3"/>
  <c r="E504" i="1"/>
  <c r="C504" i="1"/>
  <c r="D495" i="3" s="1"/>
  <c r="H504" i="1"/>
  <c r="K504" i="1"/>
  <c r="N504" i="1"/>
  <c r="A1069" i="1" l="1"/>
  <c r="B1059" i="3"/>
  <c r="L504" i="1"/>
  <c r="M504" i="1" s="1"/>
  <c r="O504" i="1"/>
  <c r="P504" i="1" s="1"/>
  <c r="I504" i="1"/>
  <c r="J504" i="1" s="1"/>
  <c r="A1070" i="1" l="1"/>
  <c r="B1060" i="3"/>
  <c r="F504" i="1"/>
  <c r="D505" i="1" s="1"/>
  <c r="G504" i="1"/>
  <c r="A1071" i="1" l="1"/>
  <c r="B1061" i="3"/>
  <c r="B505" i="1"/>
  <c r="E505" i="1"/>
  <c r="C505" i="1"/>
  <c r="D496" i="3" s="1"/>
  <c r="A1072" i="1" l="1"/>
  <c r="B1062" i="3"/>
  <c r="N505" i="1"/>
  <c r="C496" i="3"/>
  <c r="H505" i="1"/>
  <c r="K505" i="1"/>
  <c r="I505" i="1"/>
  <c r="L505" i="1"/>
  <c r="O505" i="1"/>
  <c r="P505" i="1" l="1"/>
  <c r="A1073" i="1"/>
  <c r="B1063" i="3"/>
  <c r="M505" i="1"/>
  <c r="J505" i="1"/>
  <c r="A1074" i="1" l="1"/>
  <c r="B1064" i="3"/>
  <c r="F505" i="1"/>
  <c r="B506" i="1" s="1"/>
  <c r="C497" i="3" s="1"/>
  <c r="G505" i="1"/>
  <c r="A1075" i="1" l="1"/>
  <c r="B1065" i="3"/>
  <c r="D506" i="1"/>
  <c r="E506" i="1"/>
  <c r="C506" i="1"/>
  <c r="D497" i="3" s="1"/>
  <c r="N506" i="1"/>
  <c r="H506" i="1"/>
  <c r="K506" i="1"/>
  <c r="A1076" i="1" l="1"/>
  <c r="B1066" i="3"/>
  <c r="O506" i="1"/>
  <c r="P506" i="1" s="1"/>
  <c r="I506" i="1"/>
  <c r="J506" i="1" s="1"/>
  <c r="L506" i="1"/>
  <c r="M506" i="1" s="1"/>
  <c r="A1077" i="1" l="1"/>
  <c r="B1067" i="3"/>
  <c r="F506" i="1"/>
  <c r="D507" i="1" s="1"/>
  <c r="G506" i="1"/>
  <c r="A1078" i="1" l="1"/>
  <c r="B1068" i="3"/>
  <c r="B507" i="1"/>
  <c r="E507" i="1"/>
  <c r="C507" i="1"/>
  <c r="D498" i="3" s="1"/>
  <c r="A1079" i="1" l="1"/>
  <c r="B1069" i="3"/>
  <c r="K507" i="1"/>
  <c r="C498" i="3"/>
  <c r="H507" i="1"/>
  <c r="N507" i="1"/>
  <c r="O507" i="1"/>
  <c r="I507" i="1"/>
  <c r="L507" i="1"/>
  <c r="M507" i="1" l="1"/>
  <c r="A1080" i="1"/>
  <c r="B1070" i="3"/>
  <c r="P507" i="1"/>
  <c r="J507" i="1"/>
  <c r="A1081" i="1" l="1"/>
  <c r="B1071" i="3"/>
  <c r="F507" i="1"/>
  <c r="B508" i="1" s="1"/>
  <c r="G507" i="1"/>
  <c r="E508" i="1" s="1"/>
  <c r="A1082" i="1" l="1"/>
  <c r="B1072" i="3"/>
  <c r="H508" i="1"/>
  <c r="C499" i="3"/>
  <c r="N508" i="1"/>
  <c r="K508" i="1"/>
  <c r="D508" i="1"/>
  <c r="C508" i="1"/>
  <c r="A1083" i="1" l="1"/>
  <c r="B1073" i="3"/>
  <c r="L508" i="1"/>
  <c r="M508" i="1" s="1"/>
  <c r="D499" i="3"/>
  <c r="I508" i="1"/>
  <c r="J508" i="1" s="1"/>
  <c r="O508" i="1"/>
  <c r="P508" i="1" s="1"/>
  <c r="A1084" i="1" l="1"/>
  <c r="B1074" i="3"/>
  <c r="F508" i="1"/>
  <c r="B509" i="1" s="1"/>
  <c r="C500" i="3" s="1"/>
  <c r="G508" i="1"/>
  <c r="A1085" i="1" l="1"/>
  <c r="B1075" i="3"/>
  <c r="D509" i="1"/>
  <c r="E509" i="1"/>
  <c r="C509" i="1"/>
  <c r="D500" i="3" s="1"/>
  <c r="H509" i="1"/>
  <c r="N509" i="1"/>
  <c r="K509" i="1"/>
  <c r="A1086" i="1" l="1"/>
  <c r="B1076" i="3"/>
  <c r="I509" i="1"/>
  <c r="L509" i="1"/>
  <c r="M509" i="1" s="1"/>
  <c r="O509" i="1"/>
  <c r="P509" i="1" s="1"/>
  <c r="A1087" i="1" l="1"/>
  <c r="B1077" i="3"/>
  <c r="J509" i="1"/>
  <c r="F509" i="1" s="1"/>
  <c r="A1088" i="1" l="1"/>
  <c r="B1078" i="3"/>
  <c r="B510" i="1"/>
  <c r="C501" i="3" s="1"/>
  <c r="D510" i="1"/>
  <c r="G509" i="1"/>
  <c r="A1089" i="1" l="1"/>
  <c r="B1079" i="3"/>
  <c r="E510" i="1"/>
  <c r="C510" i="1"/>
  <c r="D501" i="3" s="1"/>
  <c r="N510" i="1"/>
  <c r="K510" i="1"/>
  <c r="H510" i="1"/>
  <c r="A1090" i="1" l="1"/>
  <c r="B1080" i="3"/>
  <c r="I510" i="1"/>
  <c r="J510" i="1" s="1"/>
  <c r="L510" i="1"/>
  <c r="M510" i="1" s="1"/>
  <c r="O510" i="1"/>
  <c r="P510" i="1" s="1"/>
  <c r="A1091" i="1" l="1"/>
  <c r="B1081" i="3"/>
  <c r="F510" i="1"/>
  <c r="D511" i="1" s="1"/>
  <c r="G510" i="1"/>
  <c r="A1092" i="1" l="1"/>
  <c r="B1082" i="3"/>
  <c r="B511" i="1"/>
  <c r="E511" i="1"/>
  <c r="C511" i="1"/>
  <c r="D502" i="3" s="1"/>
  <c r="A1093" i="1" l="1"/>
  <c r="B1083" i="3"/>
  <c r="K511" i="1"/>
  <c r="C502" i="3"/>
  <c r="H511" i="1"/>
  <c r="N511" i="1"/>
  <c r="O511" i="1"/>
  <c r="L511" i="1"/>
  <c r="M511" i="1" s="1"/>
  <c r="I511" i="1"/>
  <c r="A1094" i="1" l="1"/>
  <c r="B1084" i="3"/>
  <c r="P511" i="1"/>
  <c r="J511" i="1"/>
  <c r="A1095" i="1" l="1"/>
  <c r="B1085" i="3"/>
  <c r="F511" i="1"/>
  <c r="B512" i="1" s="1"/>
  <c r="C503" i="3" s="1"/>
  <c r="G511" i="1"/>
  <c r="A1096" i="1" l="1"/>
  <c r="B1086" i="3"/>
  <c r="D512" i="1"/>
  <c r="E512" i="1"/>
  <c r="C512" i="1"/>
  <c r="D503" i="3" s="1"/>
  <c r="H512" i="1"/>
  <c r="K512" i="1"/>
  <c r="N512" i="1"/>
  <c r="A1097" i="1" l="1"/>
  <c r="B1087" i="3"/>
  <c r="L512" i="1"/>
  <c r="M512" i="1" s="1"/>
  <c r="O512" i="1"/>
  <c r="P512" i="1" s="1"/>
  <c r="I512" i="1"/>
  <c r="J512" i="1" s="1"/>
  <c r="A1098" i="1" l="1"/>
  <c r="B1088" i="3"/>
  <c r="F512" i="1"/>
  <c r="D513" i="1" s="1"/>
  <c r="G512" i="1"/>
  <c r="A1099" i="1" l="1"/>
  <c r="B1089" i="3"/>
  <c r="B513" i="1"/>
  <c r="E513" i="1"/>
  <c r="C513" i="1"/>
  <c r="D504" i="3" s="1"/>
  <c r="A1100" i="1" l="1"/>
  <c r="B1090" i="3"/>
  <c r="N513" i="1"/>
  <c r="C504" i="3"/>
  <c r="H513" i="1"/>
  <c r="K513" i="1"/>
  <c r="I513" i="1"/>
  <c r="L513" i="1"/>
  <c r="O513" i="1"/>
  <c r="A1101" i="1" l="1"/>
  <c r="B1091" i="3"/>
  <c r="M513" i="1"/>
  <c r="P513" i="1"/>
  <c r="J513" i="1"/>
  <c r="F513" i="1" l="1"/>
  <c r="D514" i="1" s="1"/>
  <c r="A1102" i="1"/>
  <c r="B1092" i="3"/>
  <c r="G513" i="1"/>
  <c r="B514" i="1" l="1"/>
  <c r="C505" i="3" s="1"/>
  <c r="A1103" i="1"/>
  <c r="B1093" i="3"/>
  <c r="E514" i="1"/>
  <c r="C514" i="1"/>
  <c r="D505" i="3" s="1"/>
  <c r="K514" i="1" l="1"/>
  <c r="H514" i="1"/>
  <c r="N514" i="1"/>
  <c r="A1104" i="1"/>
  <c r="B1094" i="3"/>
  <c r="O514" i="1"/>
  <c r="P514" i="1" s="1"/>
  <c r="I514" i="1"/>
  <c r="L514" i="1"/>
  <c r="M514" i="1" l="1"/>
  <c r="A1105" i="1"/>
  <c r="B1095" i="3"/>
  <c r="J514" i="1"/>
  <c r="F514" i="1" l="1"/>
  <c r="D515" i="1" s="1"/>
  <c r="A1106" i="1"/>
  <c r="B1096" i="3"/>
  <c r="G514" i="1"/>
  <c r="B515" i="1" l="1"/>
  <c r="C506" i="3" s="1"/>
  <c r="A1107" i="1"/>
  <c r="B1097" i="3"/>
  <c r="C515" i="1"/>
  <c r="D506" i="3" s="1"/>
  <c r="E515" i="1"/>
  <c r="N515" i="1" l="1"/>
  <c r="H515" i="1"/>
  <c r="K515" i="1"/>
  <c r="A1108" i="1"/>
  <c r="B1098" i="3"/>
  <c r="O515" i="1"/>
  <c r="L515" i="1"/>
  <c r="M515" i="1" s="1"/>
  <c r="I515" i="1"/>
  <c r="J515" i="1" s="1"/>
  <c r="P515" i="1" l="1"/>
  <c r="F515" i="1" s="1"/>
  <c r="A1109" i="1"/>
  <c r="B1099" i="3"/>
  <c r="G515" i="1" l="1"/>
  <c r="E516" i="1" s="1"/>
  <c r="A1110" i="1"/>
  <c r="B1100" i="3"/>
  <c r="B516" i="1"/>
  <c r="C507" i="3" s="1"/>
  <c r="D516" i="1"/>
  <c r="C516" i="1" l="1"/>
  <c r="D507" i="3" s="1"/>
  <c r="A1111" i="1"/>
  <c r="B1101" i="3"/>
  <c r="H516" i="1"/>
  <c r="K516" i="1"/>
  <c r="N516" i="1"/>
  <c r="I516" i="1" l="1"/>
  <c r="J516" i="1" s="1"/>
  <c r="O516" i="1"/>
  <c r="L516" i="1"/>
  <c r="A1112" i="1"/>
  <c r="B1102" i="3"/>
  <c r="M516" i="1"/>
  <c r="P516" i="1"/>
  <c r="A1113" i="1" l="1"/>
  <c r="B1103" i="3"/>
  <c r="G516" i="1"/>
  <c r="C517" i="1" s="1"/>
  <c r="D508" i="3" s="1"/>
  <c r="F516" i="1"/>
  <c r="A1114" i="1" l="1"/>
  <c r="B1104" i="3"/>
  <c r="E517" i="1"/>
  <c r="B517" i="1"/>
  <c r="C508" i="3" s="1"/>
  <c r="D517" i="1"/>
  <c r="I517" i="1"/>
  <c r="L517" i="1"/>
  <c r="O517" i="1"/>
  <c r="A1115" i="1" l="1"/>
  <c r="B1105" i="3"/>
  <c r="H517" i="1"/>
  <c r="K517" i="1"/>
  <c r="M517" i="1" s="1"/>
  <c r="N517" i="1"/>
  <c r="P517" i="1" s="1"/>
  <c r="A1116" i="1" l="1"/>
  <c r="B1106" i="3"/>
  <c r="J517" i="1"/>
  <c r="G517" i="1" s="1"/>
  <c r="A1117" i="1" l="1"/>
  <c r="B1107" i="3"/>
  <c r="F517" i="1"/>
  <c r="D518" i="1" s="1"/>
  <c r="C518" i="1"/>
  <c r="D509" i="3" s="1"/>
  <c r="E518" i="1"/>
  <c r="A1118" i="1" l="1"/>
  <c r="B1108" i="3"/>
  <c r="B518" i="1"/>
  <c r="I518" i="1"/>
  <c r="L518" i="1"/>
  <c r="O518" i="1"/>
  <c r="A1119" i="1" l="1"/>
  <c r="B1109" i="3"/>
  <c r="N518" i="1"/>
  <c r="C509" i="3"/>
  <c r="K518" i="1"/>
  <c r="M518" i="1" s="1"/>
  <c r="H518" i="1"/>
  <c r="J518" i="1" s="1"/>
  <c r="P518" i="1"/>
  <c r="A1120" i="1" l="1"/>
  <c r="B1110" i="3"/>
  <c r="G518" i="1"/>
  <c r="E519" i="1" s="1"/>
  <c r="F518" i="1"/>
  <c r="D519" i="1" s="1"/>
  <c r="A1121" i="1" l="1"/>
  <c r="B1111" i="3"/>
  <c r="C519" i="1"/>
  <c r="B519" i="1"/>
  <c r="A1122" i="1" l="1"/>
  <c r="B1112" i="3"/>
  <c r="K519" i="1"/>
  <c r="C510" i="3"/>
  <c r="L519" i="1"/>
  <c r="D510" i="3"/>
  <c r="I519" i="1"/>
  <c r="O519" i="1"/>
  <c r="H519" i="1"/>
  <c r="N519" i="1"/>
  <c r="M519" i="1" l="1"/>
  <c r="A1123" i="1"/>
  <c r="B1113" i="3"/>
  <c r="P519" i="1"/>
  <c r="J519" i="1"/>
  <c r="A1124" i="1" l="1"/>
  <c r="B1114" i="3"/>
  <c r="G519" i="1"/>
  <c r="C520" i="1" s="1"/>
  <c r="F519" i="1"/>
  <c r="B520" i="1" s="1"/>
  <c r="C511" i="3" s="1"/>
  <c r="A1125" i="1" l="1"/>
  <c r="B1115" i="3"/>
  <c r="O520" i="1"/>
  <c r="D511" i="3"/>
  <c r="L520" i="1"/>
  <c r="I520" i="1"/>
  <c r="E520" i="1"/>
  <c r="D520" i="1"/>
  <c r="H520" i="1"/>
  <c r="K520" i="1"/>
  <c r="N520" i="1"/>
  <c r="P520" i="1" l="1"/>
  <c r="A1126" i="1"/>
  <c r="B1116" i="3"/>
  <c r="M520" i="1"/>
  <c r="J520" i="1"/>
  <c r="A1127" i="1" l="1"/>
  <c r="B1117" i="3"/>
  <c r="G520" i="1"/>
  <c r="E521" i="1" s="1"/>
  <c r="F520" i="1"/>
  <c r="A1128" i="1" l="1"/>
  <c r="B1118" i="3"/>
  <c r="C521" i="1"/>
  <c r="B521" i="1"/>
  <c r="C512" i="3" s="1"/>
  <c r="D521" i="1"/>
  <c r="A1129" i="1" l="1"/>
  <c r="B1119" i="3"/>
  <c r="I521" i="1"/>
  <c r="D512" i="3"/>
  <c r="L521" i="1"/>
  <c r="O521" i="1"/>
  <c r="N521" i="1"/>
  <c r="H521" i="1"/>
  <c r="K521" i="1"/>
  <c r="A1130" i="1" l="1"/>
  <c r="B1120" i="3"/>
  <c r="P521" i="1"/>
  <c r="M521" i="1"/>
  <c r="J521" i="1"/>
  <c r="A1131" i="1" l="1"/>
  <c r="B1121" i="3"/>
  <c r="G521" i="1"/>
  <c r="E522" i="1" s="1"/>
  <c r="F521" i="1"/>
  <c r="A1132" i="1" l="1"/>
  <c r="B1122" i="3"/>
  <c r="C522" i="1"/>
  <c r="D522" i="1"/>
  <c r="B522" i="1"/>
  <c r="C513" i="3" s="1"/>
  <c r="A1133" i="1" l="1"/>
  <c r="B1123" i="3"/>
  <c r="I522" i="1"/>
  <c r="D513" i="3"/>
  <c r="O522" i="1"/>
  <c r="L522" i="1"/>
  <c r="N522" i="1"/>
  <c r="K522" i="1"/>
  <c r="M522" i="1" s="1"/>
  <c r="H522" i="1"/>
  <c r="A1134" i="1" l="1"/>
  <c r="B1124" i="3"/>
  <c r="P522" i="1"/>
  <c r="J522" i="1"/>
  <c r="A1135" i="1" l="1"/>
  <c r="B1125" i="3"/>
  <c r="G522" i="1"/>
  <c r="E523" i="1" s="1"/>
  <c r="F522" i="1"/>
  <c r="A1136" i="1" l="1"/>
  <c r="B1126" i="3"/>
  <c r="C523" i="1"/>
  <c r="D523" i="1"/>
  <c r="B523" i="1"/>
  <c r="C514" i="3" s="1"/>
  <c r="A1137" i="1" l="1"/>
  <c r="B1127" i="3"/>
  <c r="O523" i="1"/>
  <c r="D514" i="3"/>
  <c r="L523" i="1"/>
  <c r="I523" i="1"/>
  <c r="K523" i="1"/>
  <c r="N523" i="1"/>
  <c r="P523" i="1" s="1"/>
  <c r="H523" i="1"/>
  <c r="A1138" i="1" l="1"/>
  <c r="B1128" i="3"/>
  <c r="M523" i="1"/>
  <c r="J523" i="1"/>
  <c r="A1139" i="1" l="1"/>
  <c r="B1129" i="3"/>
  <c r="G523" i="1"/>
  <c r="E524" i="1" s="1"/>
  <c r="F523" i="1"/>
  <c r="A1140" i="1" l="1"/>
  <c r="B1130" i="3"/>
  <c r="C524" i="1"/>
  <c r="D524" i="1"/>
  <c r="B524" i="1"/>
  <c r="C515" i="3" s="1"/>
  <c r="A1141" i="1" l="1"/>
  <c r="B1131" i="3"/>
  <c r="L524" i="1"/>
  <c r="D515" i="3"/>
  <c r="O524" i="1"/>
  <c r="I524" i="1"/>
  <c r="H524" i="1"/>
  <c r="K524" i="1"/>
  <c r="N524" i="1"/>
  <c r="P524" i="1" l="1"/>
  <c r="A1142" i="1"/>
  <c r="B1132" i="3"/>
  <c r="M524" i="1"/>
  <c r="J524" i="1"/>
  <c r="A1143" i="1" l="1"/>
  <c r="B1133" i="3"/>
  <c r="G524" i="1"/>
  <c r="E525" i="1" s="1"/>
  <c r="F524" i="1"/>
  <c r="A1144" i="1" l="1"/>
  <c r="B1134" i="3"/>
  <c r="C525" i="1"/>
  <c r="D516" i="3" s="1"/>
  <c r="D525" i="1"/>
  <c r="B525" i="1"/>
  <c r="C516" i="3" s="1"/>
  <c r="I525" i="1"/>
  <c r="L525" i="1"/>
  <c r="O525" i="1"/>
  <c r="A1145" i="1" l="1"/>
  <c r="B1135" i="3"/>
  <c r="H525" i="1"/>
  <c r="K525" i="1"/>
  <c r="M525" i="1" s="1"/>
  <c r="N525" i="1"/>
  <c r="P525" i="1" s="1"/>
  <c r="A1146" i="1" l="1"/>
  <c r="B1136" i="3"/>
  <c r="J525" i="1"/>
  <c r="G525" i="1" s="1"/>
  <c r="A1147" i="1" l="1"/>
  <c r="B1137" i="3"/>
  <c r="F525" i="1"/>
  <c r="B526" i="1" s="1"/>
  <c r="C517" i="3" s="1"/>
  <c r="C526" i="1"/>
  <c r="D517" i="3" s="1"/>
  <c r="E526" i="1"/>
  <c r="A1148" i="1" l="1"/>
  <c r="B1138" i="3"/>
  <c r="D526" i="1"/>
  <c r="I526" i="1"/>
  <c r="O526" i="1"/>
  <c r="L526" i="1"/>
  <c r="N526" i="1"/>
  <c r="K526" i="1"/>
  <c r="H526" i="1"/>
  <c r="P526" i="1" l="1"/>
  <c r="A1149" i="1"/>
  <c r="B1139" i="3"/>
  <c r="J526" i="1"/>
  <c r="M526" i="1"/>
  <c r="A1150" i="1" l="1"/>
  <c r="B1140" i="3"/>
  <c r="F526" i="1"/>
  <c r="D527" i="1" s="1"/>
  <c r="G526" i="1"/>
  <c r="C527" i="1" s="1"/>
  <c r="D518" i="3" s="1"/>
  <c r="A1151" i="1" l="1"/>
  <c r="B1141" i="3"/>
  <c r="B527" i="1"/>
  <c r="E527" i="1"/>
  <c r="O527" i="1"/>
  <c r="I527" i="1"/>
  <c r="L527" i="1"/>
  <c r="A1152" i="1" l="1"/>
  <c r="B1142" i="3"/>
  <c r="H527" i="1"/>
  <c r="C518" i="3"/>
  <c r="N527" i="1"/>
  <c r="P527" i="1" s="1"/>
  <c r="K527" i="1"/>
  <c r="M527" i="1" s="1"/>
  <c r="J527" i="1"/>
  <c r="A1153" i="1" l="1"/>
  <c r="B1143" i="3"/>
  <c r="G527" i="1"/>
  <c r="C528" i="1" s="1"/>
  <c r="D519" i="3" s="1"/>
  <c r="F527" i="1"/>
  <c r="D528" i="1" s="1"/>
  <c r="A1154" i="1" l="1"/>
  <c r="B1144" i="3"/>
  <c r="E528" i="1"/>
  <c r="B528" i="1"/>
  <c r="O528" i="1"/>
  <c r="I528" i="1"/>
  <c r="L528" i="1"/>
  <c r="A1155" i="1" l="1"/>
  <c r="B1145" i="3"/>
  <c r="H528" i="1"/>
  <c r="C519" i="3"/>
  <c r="N528" i="1"/>
  <c r="P528" i="1" s="1"/>
  <c r="K528" i="1"/>
  <c r="M528" i="1" s="1"/>
  <c r="J528" i="1"/>
  <c r="A1156" i="1" l="1"/>
  <c r="B1146" i="3"/>
  <c r="G528" i="1"/>
  <c r="C529" i="1" s="1"/>
  <c r="D520" i="3" s="1"/>
  <c r="F528" i="1"/>
  <c r="A1157" i="1" l="1"/>
  <c r="B1147" i="3"/>
  <c r="E529" i="1"/>
  <c r="D529" i="1"/>
  <c r="B529" i="1"/>
  <c r="C520" i="3" s="1"/>
  <c r="I529" i="1"/>
  <c r="L529" i="1"/>
  <c r="O529" i="1"/>
  <c r="A1158" i="1" l="1"/>
  <c r="B1148" i="3"/>
  <c r="H529" i="1"/>
  <c r="K529" i="1"/>
  <c r="M529" i="1" s="1"/>
  <c r="N529" i="1"/>
  <c r="P529" i="1" s="1"/>
  <c r="A1159" i="1" l="1"/>
  <c r="B1149" i="3"/>
  <c r="J529" i="1"/>
  <c r="G529" i="1" s="1"/>
  <c r="A1160" i="1" l="1"/>
  <c r="B1150" i="3"/>
  <c r="F529" i="1"/>
  <c r="B530" i="1" s="1"/>
  <c r="C521" i="3" s="1"/>
  <c r="E530" i="1"/>
  <c r="C530" i="1"/>
  <c r="D521" i="3" s="1"/>
  <c r="A1161" i="1" l="1"/>
  <c r="B1151" i="3"/>
  <c r="D530" i="1"/>
  <c r="I530" i="1"/>
  <c r="L530" i="1"/>
  <c r="O530" i="1"/>
  <c r="K530" i="1"/>
  <c r="M530" i="1" s="1"/>
  <c r="N530" i="1"/>
  <c r="H530" i="1"/>
  <c r="A1162" i="1" l="1"/>
  <c r="B1152" i="3"/>
  <c r="J530" i="1"/>
  <c r="P530" i="1"/>
  <c r="A1163" i="1" l="1"/>
  <c r="B1153" i="3"/>
  <c r="F530" i="1"/>
  <c r="D531" i="1" s="1"/>
  <c r="G530" i="1"/>
  <c r="A1164" i="1" l="1"/>
  <c r="B1154" i="3"/>
  <c r="B531" i="1"/>
  <c r="E531" i="1"/>
  <c r="C531" i="1"/>
  <c r="D522" i="3" s="1"/>
  <c r="A1165" i="1" l="1"/>
  <c r="B1155" i="3"/>
  <c r="K531" i="1"/>
  <c r="C522" i="3"/>
  <c r="N531" i="1"/>
  <c r="H531" i="1"/>
  <c r="L531" i="1"/>
  <c r="O531" i="1"/>
  <c r="I531" i="1"/>
  <c r="A1166" i="1" l="1"/>
  <c r="B1156" i="3"/>
  <c r="M531" i="1"/>
  <c r="P531" i="1"/>
  <c r="J531" i="1"/>
  <c r="A1167" i="1" l="1"/>
  <c r="B1157" i="3"/>
  <c r="F531" i="1"/>
  <c r="B532" i="1" s="1"/>
  <c r="C523" i="3" s="1"/>
  <c r="G531" i="1"/>
  <c r="A1168" i="1" l="1"/>
  <c r="B1158" i="3"/>
  <c r="D532" i="1"/>
  <c r="E532" i="1"/>
  <c r="C532" i="1"/>
  <c r="D523" i="3" s="1"/>
  <c r="K532" i="1"/>
  <c r="N532" i="1"/>
  <c r="H532" i="1"/>
  <c r="A1169" i="1" l="1"/>
  <c r="B1159" i="3"/>
  <c r="L532" i="1"/>
  <c r="M532" i="1" s="1"/>
  <c r="O532" i="1"/>
  <c r="P532" i="1" s="1"/>
  <c r="I532" i="1"/>
  <c r="A1170" i="1" l="1"/>
  <c r="B1160" i="3"/>
  <c r="J532" i="1"/>
  <c r="F532" i="1" s="1"/>
  <c r="A1171" i="1" l="1"/>
  <c r="B1161" i="3"/>
  <c r="B533" i="1"/>
  <c r="C524" i="3" s="1"/>
  <c r="D533" i="1"/>
  <c r="G532" i="1"/>
  <c r="A1172" i="1" l="1"/>
  <c r="B1162" i="3"/>
  <c r="E533" i="1"/>
  <c r="C533" i="1"/>
  <c r="D524" i="3" s="1"/>
  <c r="N533" i="1"/>
  <c r="H533" i="1"/>
  <c r="K533" i="1"/>
  <c r="A1173" i="1" l="1"/>
  <c r="B1163" i="3"/>
  <c r="L533" i="1"/>
  <c r="M533" i="1" s="1"/>
  <c r="O533" i="1"/>
  <c r="P533" i="1" s="1"/>
  <c r="I533" i="1"/>
  <c r="A1174" i="1" l="1"/>
  <c r="B1164" i="3"/>
  <c r="J533" i="1"/>
  <c r="F533" i="1" s="1"/>
  <c r="A1175" i="1" l="1"/>
  <c r="B1165" i="3"/>
  <c r="B534" i="1"/>
  <c r="C525" i="3" s="1"/>
  <c r="D534" i="1"/>
  <c r="G533" i="1"/>
  <c r="A1176" i="1" l="1"/>
  <c r="B1166" i="3"/>
  <c r="E534" i="1"/>
  <c r="C534" i="1"/>
  <c r="D525" i="3" s="1"/>
  <c r="N534" i="1"/>
  <c r="H534" i="1"/>
  <c r="K534" i="1"/>
  <c r="A1177" i="1" l="1"/>
  <c r="B1167" i="3"/>
  <c r="O534" i="1"/>
  <c r="P534" i="1" s="1"/>
  <c r="I534" i="1"/>
  <c r="L534" i="1"/>
  <c r="M534" i="1" s="1"/>
  <c r="A1178" i="1" l="1"/>
  <c r="B1168" i="3"/>
  <c r="J534" i="1"/>
  <c r="F534" i="1" s="1"/>
  <c r="A1179" i="1" l="1"/>
  <c r="B1169" i="3"/>
  <c r="B535" i="1"/>
  <c r="C526" i="3" s="1"/>
  <c r="D535" i="1"/>
  <c r="G534" i="1"/>
  <c r="A1180" i="1" l="1"/>
  <c r="B1170" i="3"/>
  <c r="E535" i="1"/>
  <c r="C535" i="1"/>
  <c r="D526" i="3" s="1"/>
  <c r="N535" i="1"/>
  <c r="H535" i="1"/>
  <c r="K535" i="1"/>
  <c r="A1181" i="1" l="1"/>
  <c r="B1171" i="3"/>
  <c r="O535" i="1"/>
  <c r="P535" i="1" s="1"/>
  <c r="I535" i="1"/>
  <c r="L535" i="1"/>
  <c r="M535" i="1" s="1"/>
  <c r="A1182" i="1" l="1"/>
  <c r="B1172" i="3"/>
  <c r="J535" i="1"/>
  <c r="F535" i="1" s="1"/>
  <c r="A1183" i="1" l="1"/>
  <c r="B1173" i="3"/>
  <c r="B536" i="1"/>
  <c r="C527" i="3" s="1"/>
  <c r="D536" i="1"/>
  <c r="G535" i="1"/>
  <c r="A1184" i="1" l="1"/>
  <c r="B1174" i="3"/>
  <c r="E536" i="1"/>
  <c r="C536" i="1"/>
  <c r="D527" i="3" s="1"/>
  <c r="H536" i="1"/>
  <c r="K536" i="1"/>
  <c r="N536" i="1"/>
  <c r="A1185" i="1" l="1"/>
  <c r="B1175" i="3"/>
  <c r="O536" i="1"/>
  <c r="P536" i="1" s="1"/>
  <c r="I536" i="1"/>
  <c r="L536" i="1"/>
  <c r="M536" i="1" s="1"/>
  <c r="A1186" i="1" l="1"/>
  <c r="B1176" i="3"/>
  <c r="J536" i="1"/>
  <c r="F536" i="1" s="1"/>
  <c r="A1187" i="1" l="1"/>
  <c r="B1177" i="3"/>
  <c r="D537" i="1"/>
  <c r="B537" i="1"/>
  <c r="C528" i="3" s="1"/>
  <c r="G536" i="1"/>
  <c r="A1188" i="1" l="1"/>
  <c r="B1178" i="3"/>
  <c r="E537" i="1"/>
  <c r="C537" i="1"/>
  <c r="D528" i="3" s="1"/>
  <c r="H537" i="1"/>
  <c r="K537" i="1"/>
  <c r="N537" i="1"/>
  <c r="A1189" i="1" l="1"/>
  <c r="B1179" i="3"/>
  <c r="I537" i="1"/>
  <c r="L537" i="1"/>
  <c r="M537" i="1" s="1"/>
  <c r="O537" i="1"/>
  <c r="P537" i="1" s="1"/>
  <c r="A1190" i="1" l="1"/>
  <c r="B1180" i="3"/>
  <c r="J537" i="1"/>
  <c r="F537" i="1" s="1"/>
  <c r="A1191" i="1" l="1"/>
  <c r="B1181" i="3"/>
  <c r="B538" i="1"/>
  <c r="C529" i="3" s="1"/>
  <c r="D538" i="1"/>
  <c r="G537" i="1"/>
  <c r="A1192" i="1" l="1"/>
  <c r="B1182" i="3"/>
  <c r="E538" i="1"/>
  <c r="C538" i="1"/>
  <c r="D529" i="3" s="1"/>
  <c r="K538" i="1"/>
  <c r="N538" i="1"/>
  <c r="H538" i="1"/>
  <c r="A1193" i="1" l="1"/>
  <c r="B1183" i="3"/>
  <c r="I538" i="1"/>
  <c r="L538" i="1"/>
  <c r="M538" i="1" s="1"/>
  <c r="O538" i="1"/>
  <c r="P538" i="1" s="1"/>
  <c r="A1194" i="1" l="1"/>
  <c r="B1184" i="3"/>
  <c r="J538" i="1"/>
  <c r="F538" i="1" s="1"/>
  <c r="A1195" i="1" l="1"/>
  <c r="B1185" i="3"/>
  <c r="B539" i="1"/>
  <c r="C530" i="3" s="1"/>
  <c r="D539" i="1"/>
  <c r="G538" i="1"/>
  <c r="A1196" i="1" l="1"/>
  <c r="B1186" i="3"/>
  <c r="E539" i="1"/>
  <c r="C539" i="1"/>
  <c r="D530" i="3" s="1"/>
  <c r="K539" i="1"/>
  <c r="N539" i="1"/>
  <c r="H539" i="1"/>
  <c r="A1197" i="1" l="1"/>
  <c r="B1187" i="3"/>
  <c r="L539" i="1"/>
  <c r="M539" i="1" s="1"/>
  <c r="O539" i="1"/>
  <c r="P539" i="1" s="1"/>
  <c r="I539" i="1"/>
  <c r="A1198" i="1" l="1"/>
  <c r="B1188" i="3"/>
  <c r="J539" i="1"/>
  <c r="F539" i="1" s="1"/>
  <c r="A1199" i="1" l="1"/>
  <c r="B1189" i="3"/>
  <c r="B540" i="1"/>
  <c r="C531" i="3" s="1"/>
  <c r="D540" i="1"/>
  <c r="G539" i="1"/>
  <c r="A1200" i="1" l="1"/>
  <c r="B1190" i="3"/>
  <c r="E540" i="1"/>
  <c r="C540" i="1"/>
  <c r="D531" i="3" s="1"/>
  <c r="K540" i="1"/>
  <c r="N540" i="1"/>
  <c r="H540" i="1"/>
  <c r="A1201" i="1" l="1"/>
  <c r="B1191" i="3"/>
  <c r="L540" i="1"/>
  <c r="M540" i="1" s="1"/>
  <c r="O540" i="1"/>
  <c r="P540" i="1" s="1"/>
  <c r="I540" i="1"/>
  <c r="J540" i="1" s="1"/>
  <c r="A1202" i="1" l="1"/>
  <c r="B1192" i="3"/>
  <c r="F540" i="1"/>
  <c r="G540" i="1"/>
  <c r="A1203" i="1" l="1"/>
  <c r="B1193" i="3"/>
  <c r="E541" i="1"/>
  <c r="C541" i="1"/>
  <c r="D532" i="3" s="1"/>
  <c r="D541" i="1"/>
  <c r="B541" i="1"/>
  <c r="C532" i="3" s="1"/>
  <c r="A1204" i="1" l="1"/>
  <c r="B1194" i="3"/>
  <c r="N541" i="1"/>
  <c r="H541" i="1"/>
  <c r="K541" i="1"/>
  <c r="L541" i="1"/>
  <c r="O541" i="1"/>
  <c r="I541" i="1"/>
  <c r="A1205" i="1" l="1"/>
  <c r="B1195" i="3"/>
  <c r="J541" i="1"/>
  <c r="M541" i="1"/>
  <c r="P541" i="1"/>
  <c r="A1206" i="1" l="1"/>
  <c r="B1196" i="3"/>
  <c r="G541" i="1"/>
  <c r="C542" i="1" s="1"/>
  <c r="D533" i="3" s="1"/>
  <c r="F541" i="1"/>
  <c r="A1207" i="1" l="1"/>
  <c r="B1197" i="3"/>
  <c r="E542" i="1"/>
  <c r="D542" i="1"/>
  <c r="B542" i="1"/>
  <c r="C533" i="3" s="1"/>
  <c r="O542" i="1"/>
  <c r="I542" i="1"/>
  <c r="L542" i="1"/>
  <c r="A1208" i="1" l="1"/>
  <c r="B1198" i="3"/>
  <c r="N542" i="1"/>
  <c r="P542" i="1" s="1"/>
  <c r="H542" i="1"/>
  <c r="K542" i="1"/>
  <c r="M542" i="1" s="1"/>
  <c r="A1209" i="1" l="1"/>
  <c r="B1199" i="3"/>
  <c r="J542" i="1"/>
  <c r="G542" i="1" s="1"/>
  <c r="A1210" i="1" l="1"/>
  <c r="B1200" i="3"/>
  <c r="E543" i="1"/>
  <c r="C543" i="1"/>
  <c r="D534" i="3" s="1"/>
  <c r="F542" i="1"/>
  <c r="A1211" i="1" l="1"/>
  <c r="B1201" i="3"/>
  <c r="B543" i="1"/>
  <c r="C534" i="3" s="1"/>
  <c r="D543" i="1"/>
  <c r="O543" i="1"/>
  <c r="I543" i="1"/>
  <c r="L543" i="1"/>
  <c r="A1212" i="1" l="1"/>
  <c r="B1202" i="3"/>
  <c r="N543" i="1"/>
  <c r="P543" i="1" s="1"/>
  <c r="H543" i="1"/>
  <c r="K543" i="1"/>
  <c r="M543" i="1" s="1"/>
  <c r="A1213" i="1" l="1"/>
  <c r="B1203" i="3"/>
  <c r="J543" i="1"/>
  <c r="G543" i="1" s="1"/>
  <c r="A1214" i="1" l="1"/>
  <c r="B1204" i="3"/>
  <c r="C544" i="1"/>
  <c r="D535" i="3" s="1"/>
  <c r="E544" i="1"/>
  <c r="F543" i="1"/>
  <c r="A1215" i="1" l="1"/>
  <c r="B1205" i="3"/>
  <c r="D544" i="1"/>
  <c r="B544" i="1"/>
  <c r="C535" i="3" s="1"/>
  <c r="O544" i="1"/>
  <c r="I544" i="1"/>
  <c r="L544" i="1"/>
  <c r="A1216" i="1" l="1"/>
  <c r="B1206" i="3"/>
  <c r="H544" i="1"/>
  <c r="K544" i="1"/>
  <c r="M544" i="1" s="1"/>
  <c r="N544" i="1"/>
  <c r="P544" i="1" s="1"/>
  <c r="A1217" i="1" l="1"/>
  <c r="B1207" i="3"/>
  <c r="J544" i="1"/>
  <c r="G544" i="1" s="1"/>
  <c r="A1218" i="1" l="1"/>
  <c r="B1208" i="3"/>
  <c r="F544" i="1"/>
  <c r="B545" i="1" s="1"/>
  <c r="C536" i="3" s="1"/>
  <c r="E545" i="1"/>
  <c r="C545" i="1"/>
  <c r="D536" i="3" s="1"/>
  <c r="A1219" i="1" l="1"/>
  <c r="B1209" i="3"/>
  <c r="D545" i="1"/>
  <c r="H545" i="1"/>
  <c r="K545" i="1"/>
  <c r="N545" i="1"/>
  <c r="I545" i="1"/>
  <c r="L545" i="1"/>
  <c r="O545" i="1"/>
  <c r="A1220" i="1" l="1"/>
  <c r="B1210" i="3"/>
  <c r="P545" i="1"/>
  <c r="M545" i="1"/>
  <c r="J545" i="1"/>
  <c r="A1221" i="1" l="1"/>
  <c r="B1211" i="3"/>
  <c r="F545" i="1"/>
  <c r="B546" i="1" s="1"/>
  <c r="C537" i="3" s="1"/>
  <c r="G545" i="1"/>
  <c r="A1222" i="1" l="1"/>
  <c r="B1212" i="3"/>
  <c r="D546" i="1"/>
  <c r="E546" i="1"/>
  <c r="C546" i="1"/>
  <c r="D537" i="3" s="1"/>
  <c r="K546" i="1"/>
  <c r="N546" i="1"/>
  <c r="H546" i="1"/>
  <c r="A1223" i="1" l="1"/>
  <c r="B1213" i="3"/>
  <c r="I546" i="1"/>
  <c r="L546" i="1"/>
  <c r="M546" i="1" s="1"/>
  <c r="O546" i="1"/>
  <c r="P546" i="1" s="1"/>
  <c r="A1224" i="1" l="1"/>
  <c r="B1214" i="3"/>
  <c r="J546" i="1"/>
  <c r="F546" i="1" s="1"/>
  <c r="A1225" i="1" l="1"/>
  <c r="B1215" i="3"/>
  <c r="D547" i="1"/>
  <c r="B547" i="1"/>
  <c r="C538" i="3" s="1"/>
  <c r="G546" i="1"/>
  <c r="A1226" i="1" l="1"/>
  <c r="B1216" i="3"/>
  <c r="E547" i="1"/>
  <c r="C547" i="1"/>
  <c r="D538" i="3" s="1"/>
  <c r="K547" i="1"/>
  <c r="N547" i="1"/>
  <c r="H547" i="1"/>
  <c r="A1227" i="1" l="1"/>
  <c r="B1217" i="3"/>
  <c r="L547" i="1"/>
  <c r="M547" i="1" s="1"/>
  <c r="O547" i="1"/>
  <c r="P547" i="1" s="1"/>
  <c r="I547" i="1"/>
  <c r="A1228" i="1" l="1"/>
  <c r="B1218" i="3"/>
  <c r="J547" i="1"/>
  <c r="F547" i="1" s="1"/>
  <c r="A1229" i="1" l="1"/>
  <c r="B1219" i="3"/>
  <c r="B548" i="1"/>
  <c r="C539" i="3" s="1"/>
  <c r="D548" i="1"/>
  <c r="G547" i="1"/>
  <c r="A1230" i="1" l="1"/>
  <c r="B1220" i="3"/>
  <c r="E548" i="1"/>
  <c r="C548" i="1"/>
  <c r="D539" i="3" s="1"/>
  <c r="K548" i="1"/>
  <c r="N548" i="1"/>
  <c r="H548" i="1"/>
  <c r="A1231" i="1" l="1"/>
  <c r="B1221" i="3"/>
  <c r="L548" i="1"/>
  <c r="M548" i="1" s="1"/>
  <c r="O548" i="1"/>
  <c r="P548" i="1" s="1"/>
  <c r="I548" i="1"/>
  <c r="A1232" i="1" l="1"/>
  <c r="B1222" i="3"/>
  <c r="J548" i="1"/>
  <c r="F548" i="1" s="1"/>
  <c r="A1233" i="1" l="1"/>
  <c r="B1223" i="3"/>
  <c r="B549" i="1"/>
  <c r="C540" i="3" s="1"/>
  <c r="D549" i="1"/>
  <c r="G548" i="1"/>
  <c r="A1234" i="1" l="1"/>
  <c r="B1224" i="3"/>
  <c r="E549" i="1"/>
  <c r="C549" i="1"/>
  <c r="D540" i="3" s="1"/>
  <c r="N549" i="1"/>
  <c r="H549" i="1"/>
  <c r="K549" i="1"/>
  <c r="A1235" i="1" l="1"/>
  <c r="B1225" i="3"/>
  <c r="L549" i="1"/>
  <c r="M549" i="1" s="1"/>
  <c r="O549" i="1"/>
  <c r="P549" i="1" s="1"/>
  <c r="I549" i="1"/>
  <c r="A1236" i="1" l="1"/>
  <c r="B1226" i="3"/>
  <c r="J549" i="1"/>
  <c r="F549" i="1" s="1"/>
  <c r="A1237" i="1" l="1"/>
  <c r="B1227" i="3"/>
  <c r="B550" i="1"/>
  <c r="C541" i="3" s="1"/>
  <c r="D550" i="1"/>
  <c r="G549" i="1"/>
  <c r="A1238" i="1" l="1"/>
  <c r="B1228" i="3"/>
  <c r="E550" i="1"/>
  <c r="C550" i="1"/>
  <c r="D541" i="3" s="1"/>
  <c r="N550" i="1"/>
  <c r="H550" i="1"/>
  <c r="K550" i="1"/>
  <c r="A1239" i="1" l="1"/>
  <c r="B1229" i="3"/>
  <c r="O550" i="1"/>
  <c r="P550" i="1" s="1"/>
  <c r="I550" i="1"/>
  <c r="L550" i="1"/>
  <c r="M550" i="1" s="1"/>
  <c r="A1240" i="1" l="1"/>
  <c r="B1230" i="3"/>
  <c r="J550" i="1"/>
  <c r="F550" i="1" s="1"/>
  <c r="A1241" i="1" l="1"/>
  <c r="B1231" i="3"/>
  <c r="B551" i="1"/>
  <c r="C542" i="3" s="1"/>
  <c r="D551" i="1"/>
  <c r="G550" i="1"/>
  <c r="A1242" i="1" l="1"/>
  <c r="B1232" i="3"/>
  <c r="E551" i="1"/>
  <c r="C551" i="1"/>
  <c r="D542" i="3" s="1"/>
  <c r="N551" i="1"/>
  <c r="H551" i="1"/>
  <c r="K551" i="1"/>
  <c r="A1243" i="1" l="1"/>
  <c r="B1233" i="3"/>
  <c r="O551" i="1"/>
  <c r="P551" i="1" s="1"/>
  <c r="I551" i="1"/>
  <c r="L551" i="1"/>
  <c r="M551" i="1" s="1"/>
  <c r="A1244" i="1" l="1"/>
  <c r="B1234" i="3"/>
  <c r="J551" i="1"/>
  <c r="F551" i="1" s="1"/>
  <c r="A1245" i="1" l="1"/>
  <c r="B1235" i="3"/>
  <c r="B552" i="1"/>
  <c r="C543" i="3" s="1"/>
  <c r="D552" i="1"/>
  <c r="G551" i="1"/>
  <c r="A1246" i="1" l="1"/>
  <c r="B1236" i="3"/>
  <c r="E552" i="1"/>
  <c r="C552" i="1"/>
  <c r="D543" i="3" s="1"/>
  <c r="H552" i="1"/>
  <c r="K552" i="1"/>
  <c r="N552" i="1"/>
  <c r="A1247" i="1" l="1"/>
  <c r="B1237" i="3"/>
  <c r="O552" i="1"/>
  <c r="P552" i="1" s="1"/>
  <c r="I552" i="1"/>
  <c r="L552" i="1"/>
  <c r="M552" i="1" s="1"/>
  <c r="A1248" i="1" l="1"/>
  <c r="B1238" i="3"/>
  <c r="J552" i="1"/>
  <c r="F552" i="1" s="1"/>
  <c r="A1249" i="1" l="1"/>
  <c r="B1239" i="3"/>
  <c r="D553" i="1"/>
  <c r="B553" i="1"/>
  <c r="C544" i="3" s="1"/>
  <c r="G552" i="1"/>
  <c r="A1250" i="1" l="1"/>
  <c r="B1240" i="3"/>
  <c r="E553" i="1"/>
  <c r="C553" i="1"/>
  <c r="D544" i="3" s="1"/>
  <c r="H553" i="1"/>
  <c r="K553" i="1"/>
  <c r="N553" i="1"/>
  <c r="A1251" i="1" l="1"/>
  <c r="B1241" i="3"/>
  <c r="I553" i="1"/>
  <c r="L553" i="1"/>
  <c r="M553" i="1" s="1"/>
  <c r="O553" i="1"/>
  <c r="P553" i="1" s="1"/>
  <c r="A1252" i="1" l="1"/>
  <c r="B1242" i="3"/>
  <c r="J553" i="1"/>
  <c r="F553" i="1" s="1"/>
  <c r="A1253" i="1" l="1"/>
  <c r="B1243" i="3"/>
  <c r="B554" i="1"/>
  <c r="C545" i="3" s="1"/>
  <c r="D554" i="1"/>
  <c r="G553" i="1"/>
  <c r="A1254" i="1" l="1"/>
  <c r="B1244" i="3"/>
  <c r="E554" i="1"/>
  <c r="C554" i="1"/>
  <c r="D545" i="3" s="1"/>
  <c r="K554" i="1"/>
  <c r="N554" i="1"/>
  <c r="H554" i="1"/>
  <c r="A1255" i="1" l="1"/>
  <c r="B1245" i="3"/>
  <c r="I554" i="1"/>
  <c r="L554" i="1"/>
  <c r="M554" i="1" s="1"/>
  <c r="O554" i="1"/>
  <c r="P554" i="1" s="1"/>
  <c r="A1256" i="1" l="1"/>
  <c r="B1246" i="3"/>
  <c r="J554" i="1"/>
  <c r="F554" i="1" s="1"/>
  <c r="A1257" i="1" l="1"/>
  <c r="B1247" i="3"/>
  <c r="B555" i="1"/>
  <c r="C546" i="3" s="1"/>
  <c r="D555" i="1"/>
  <c r="G554" i="1"/>
  <c r="A1258" i="1" l="1"/>
  <c r="B1248" i="3"/>
  <c r="E555" i="1"/>
  <c r="C555" i="1"/>
  <c r="D546" i="3" s="1"/>
  <c r="K555" i="1"/>
  <c r="N555" i="1"/>
  <c r="H555" i="1"/>
  <c r="A1259" i="1" l="1"/>
  <c r="B1249" i="3"/>
  <c r="L555" i="1"/>
  <c r="M555" i="1" s="1"/>
  <c r="O555" i="1"/>
  <c r="P555" i="1" s="1"/>
  <c r="I555" i="1"/>
  <c r="A1260" i="1" l="1"/>
  <c r="B1250" i="3"/>
  <c r="J555" i="1"/>
  <c r="F555" i="1" s="1"/>
  <c r="A1261" i="1" l="1"/>
  <c r="B1251" i="3"/>
  <c r="B556" i="1"/>
  <c r="C547" i="3" s="1"/>
  <c r="D556" i="1"/>
  <c r="G555" i="1"/>
  <c r="A1262" i="1" l="1"/>
  <c r="B1252" i="3"/>
  <c r="E556" i="1"/>
  <c r="C556" i="1"/>
  <c r="D547" i="3" s="1"/>
  <c r="K556" i="1"/>
  <c r="N556" i="1"/>
  <c r="H556" i="1"/>
  <c r="A1263" i="1" l="1"/>
  <c r="B1253" i="3"/>
  <c r="L556" i="1"/>
  <c r="M556" i="1" s="1"/>
  <c r="O556" i="1"/>
  <c r="P556" i="1" s="1"/>
  <c r="I556" i="1"/>
  <c r="A1264" i="1" l="1"/>
  <c r="B1254" i="3"/>
  <c r="J556" i="1"/>
  <c r="F556" i="1" s="1"/>
  <c r="A1265" i="1" l="1"/>
  <c r="B1255" i="3"/>
  <c r="B557" i="1"/>
  <c r="C548" i="3" s="1"/>
  <c r="D557" i="1"/>
  <c r="G556" i="1"/>
  <c r="A1266" i="1" l="1"/>
  <c r="B1256" i="3"/>
  <c r="E557" i="1"/>
  <c r="C557" i="1"/>
  <c r="D548" i="3" s="1"/>
  <c r="N557" i="1"/>
  <c r="H557" i="1"/>
  <c r="K557" i="1"/>
  <c r="A1267" i="1" l="1"/>
  <c r="B1257" i="3"/>
  <c r="L557" i="1"/>
  <c r="M557" i="1" s="1"/>
  <c r="O557" i="1"/>
  <c r="P557" i="1" s="1"/>
  <c r="I557" i="1"/>
  <c r="A1268" i="1" l="1"/>
  <c r="B1258" i="3"/>
  <c r="J557" i="1"/>
  <c r="F557" i="1" s="1"/>
  <c r="A1269" i="1" l="1"/>
  <c r="B1259" i="3"/>
  <c r="B558" i="1"/>
  <c r="C549" i="3" s="1"/>
  <c r="D558" i="1"/>
  <c r="G557" i="1"/>
  <c r="A1270" i="1" l="1"/>
  <c r="B1260" i="3"/>
  <c r="E558" i="1"/>
  <c r="C558" i="1"/>
  <c r="D549" i="3" s="1"/>
  <c r="N558" i="1"/>
  <c r="H558" i="1"/>
  <c r="K558" i="1"/>
  <c r="A1271" i="1" l="1"/>
  <c r="B1261" i="3"/>
  <c r="O558" i="1"/>
  <c r="P558" i="1" s="1"/>
  <c r="I558" i="1"/>
  <c r="L558" i="1"/>
  <c r="M558" i="1" s="1"/>
  <c r="A1272" i="1" l="1"/>
  <c r="B1262" i="3"/>
  <c r="J558" i="1"/>
  <c r="F558" i="1" s="1"/>
  <c r="A1273" i="1" l="1"/>
  <c r="B1263" i="3"/>
  <c r="B559" i="1"/>
  <c r="C550" i="3" s="1"/>
  <c r="D559" i="1"/>
  <c r="G558" i="1"/>
  <c r="A1274" i="1" l="1"/>
  <c r="B1264" i="3"/>
  <c r="E559" i="1"/>
  <c r="C559" i="1"/>
  <c r="D550" i="3" s="1"/>
  <c r="N559" i="1"/>
  <c r="H559" i="1"/>
  <c r="K559" i="1"/>
  <c r="A1275" i="1" l="1"/>
  <c r="B1265" i="3"/>
  <c r="O559" i="1"/>
  <c r="P559" i="1" s="1"/>
  <c r="I559" i="1"/>
  <c r="L559" i="1"/>
  <c r="M559" i="1" s="1"/>
  <c r="A1276" i="1" l="1"/>
  <c r="B1266" i="3"/>
  <c r="J559" i="1"/>
  <c r="F559" i="1" s="1"/>
  <c r="A1277" i="1" l="1"/>
  <c r="B1267" i="3"/>
  <c r="B560" i="1"/>
  <c r="C551" i="3" s="1"/>
  <c r="D560" i="1"/>
  <c r="G559" i="1"/>
  <c r="A1278" i="1" l="1"/>
  <c r="B1268" i="3"/>
  <c r="E560" i="1"/>
  <c r="C560" i="1"/>
  <c r="D551" i="3" s="1"/>
  <c r="H560" i="1"/>
  <c r="K560" i="1"/>
  <c r="N560" i="1"/>
  <c r="A1279" i="1" l="1"/>
  <c r="B1269" i="3"/>
  <c r="O560" i="1"/>
  <c r="P560" i="1" s="1"/>
  <c r="I560" i="1"/>
  <c r="L560" i="1"/>
  <c r="M560" i="1" s="1"/>
  <c r="A1280" i="1" l="1"/>
  <c r="B1270" i="3"/>
  <c r="J560" i="1"/>
  <c r="F560" i="1" s="1"/>
  <c r="A1281" i="1" l="1"/>
  <c r="B1271" i="3"/>
  <c r="D561" i="1"/>
  <c r="B561" i="1"/>
  <c r="C552" i="3" s="1"/>
  <c r="G560" i="1"/>
  <c r="A1282" i="1" l="1"/>
  <c r="B1272" i="3"/>
  <c r="E561" i="1"/>
  <c r="C561" i="1"/>
  <c r="D552" i="3" s="1"/>
  <c r="H561" i="1"/>
  <c r="K561" i="1"/>
  <c r="N561" i="1"/>
  <c r="A1283" i="1" l="1"/>
  <c r="B1273" i="3"/>
  <c r="I561" i="1"/>
  <c r="L561" i="1"/>
  <c r="M561" i="1" s="1"/>
  <c r="O561" i="1"/>
  <c r="P561" i="1" s="1"/>
  <c r="A1284" i="1" l="1"/>
  <c r="B1274" i="3"/>
  <c r="J561" i="1"/>
  <c r="F561" i="1" s="1"/>
  <c r="A1285" i="1" l="1"/>
  <c r="B1275" i="3"/>
  <c r="B562" i="1"/>
  <c r="C553" i="3" s="1"/>
  <c r="D562" i="1"/>
  <c r="G561" i="1"/>
  <c r="A1286" i="1" l="1"/>
  <c r="B1276" i="3"/>
  <c r="E562" i="1"/>
  <c r="C562" i="1"/>
  <c r="D553" i="3" s="1"/>
  <c r="K562" i="1"/>
  <c r="H562" i="1"/>
  <c r="N562" i="1"/>
  <c r="A1287" i="1" l="1"/>
  <c r="B1277" i="3"/>
  <c r="I562" i="1"/>
  <c r="L562" i="1"/>
  <c r="M562" i="1" s="1"/>
  <c r="O562" i="1"/>
  <c r="P562" i="1" s="1"/>
  <c r="A1288" i="1" l="1"/>
  <c r="B1278" i="3"/>
  <c r="J562" i="1"/>
  <c r="F562" i="1" s="1"/>
  <c r="A1289" i="1" l="1"/>
  <c r="B1279" i="3"/>
  <c r="G562" i="1"/>
  <c r="B563" i="1"/>
  <c r="C554" i="3" s="1"/>
  <c r="D563" i="1"/>
  <c r="A1290" i="1" l="1"/>
  <c r="B1280" i="3"/>
  <c r="K563" i="1"/>
  <c r="N563" i="1"/>
  <c r="H563" i="1"/>
  <c r="E563" i="1"/>
  <c r="C563" i="1"/>
  <c r="D554" i="3" s="1"/>
  <c r="A1291" i="1" l="1"/>
  <c r="B1281" i="3"/>
  <c r="L563" i="1"/>
  <c r="M563" i="1" s="1"/>
  <c r="I563" i="1"/>
  <c r="J563" i="1" s="1"/>
  <c r="O563" i="1"/>
  <c r="P563" i="1" s="1"/>
  <c r="A1292" i="1" l="1"/>
  <c r="B1282" i="3"/>
  <c r="F563" i="1"/>
  <c r="D564" i="1" s="1"/>
  <c r="G563" i="1"/>
  <c r="A1293" i="1" l="1"/>
  <c r="B1283" i="3"/>
  <c r="B564" i="1"/>
  <c r="C564" i="1"/>
  <c r="D555" i="3" s="1"/>
  <c r="E564" i="1"/>
  <c r="A1294" i="1" l="1"/>
  <c r="B1284" i="3"/>
  <c r="K564" i="1"/>
  <c r="C555" i="3"/>
  <c r="H564" i="1"/>
  <c r="N564" i="1"/>
  <c r="L564" i="1"/>
  <c r="O564" i="1"/>
  <c r="I564" i="1"/>
  <c r="M564" i="1" l="1"/>
  <c r="A1295" i="1"/>
  <c r="B1285" i="3"/>
  <c r="P564" i="1"/>
  <c r="J564" i="1"/>
  <c r="A1296" i="1" l="1"/>
  <c r="B1286" i="3"/>
  <c r="F564" i="1"/>
  <c r="B565" i="1" s="1"/>
  <c r="C556" i="3" s="1"/>
  <c r="G564" i="1"/>
  <c r="E565" i="1" s="1"/>
  <c r="A1297" i="1" l="1"/>
  <c r="B1287" i="3"/>
  <c r="D565" i="1"/>
  <c r="C565" i="1"/>
  <c r="N565" i="1"/>
  <c r="H565" i="1"/>
  <c r="K565" i="1"/>
  <c r="A1298" i="1" l="1"/>
  <c r="B1288" i="3"/>
  <c r="L565" i="1"/>
  <c r="D556" i="3"/>
  <c r="I565" i="1"/>
  <c r="J565" i="1" s="1"/>
  <c r="O565" i="1"/>
  <c r="P565" i="1" s="1"/>
  <c r="M565" i="1"/>
  <c r="A1299" i="1" l="1"/>
  <c r="B1289" i="3"/>
  <c r="G565" i="1"/>
  <c r="C566" i="1" s="1"/>
  <c r="D557" i="3" s="1"/>
  <c r="F565" i="1"/>
  <c r="A1300" i="1" l="1"/>
  <c r="B1290" i="3"/>
  <c r="E566" i="1"/>
  <c r="B566" i="1"/>
  <c r="C557" i="3" s="1"/>
  <c r="D566" i="1"/>
  <c r="O566" i="1"/>
  <c r="I566" i="1"/>
  <c r="L566" i="1"/>
  <c r="A1301" i="1" l="1"/>
  <c r="B1291" i="3"/>
  <c r="N566" i="1"/>
  <c r="P566" i="1" s="1"/>
  <c r="H566" i="1"/>
  <c r="K566" i="1"/>
  <c r="M566" i="1" s="1"/>
  <c r="A1302" i="1" l="1"/>
  <c r="B1292" i="3"/>
  <c r="J566" i="1"/>
  <c r="G566" i="1" s="1"/>
  <c r="A1303" i="1" l="1"/>
  <c r="B1293" i="3"/>
  <c r="C567" i="1"/>
  <c r="D558" i="3" s="1"/>
  <c r="E567" i="1"/>
  <c r="F566" i="1"/>
  <c r="A1304" i="1" l="1"/>
  <c r="B1294" i="3"/>
  <c r="D567" i="1"/>
  <c r="B567" i="1"/>
  <c r="C558" i="3" s="1"/>
  <c r="O567" i="1"/>
  <c r="I567" i="1"/>
  <c r="L567" i="1"/>
  <c r="A1305" i="1" l="1"/>
  <c r="B1295" i="3"/>
  <c r="N567" i="1"/>
  <c r="P567" i="1" s="1"/>
  <c r="H567" i="1"/>
  <c r="K567" i="1"/>
  <c r="M567" i="1" s="1"/>
  <c r="A1306" i="1" l="1"/>
  <c r="B1296" i="3"/>
  <c r="J567" i="1"/>
  <c r="G567" i="1" s="1"/>
  <c r="A1307" i="1" l="1"/>
  <c r="B1297" i="3"/>
  <c r="C568" i="1"/>
  <c r="D559" i="3" s="1"/>
  <c r="E568" i="1"/>
  <c r="F567" i="1"/>
  <c r="A1308" i="1" l="1"/>
  <c r="B1298" i="3"/>
  <c r="B568" i="1"/>
  <c r="C559" i="3" s="1"/>
  <c r="D568" i="1"/>
  <c r="O568" i="1"/>
  <c r="I568" i="1"/>
  <c r="L568" i="1"/>
  <c r="A1309" i="1" l="1"/>
  <c r="B1300" i="3" s="1"/>
  <c r="B1299" i="3"/>
  <c r="H568" i="1"/>
  <c r="K568" i="1"/>
  <c r="M568" i="1" s="1"/>
  <c r="N568" i="1"/>
  <c r="P568" i="1" s="1"/>
  <c r="J568" i="1" l="1"/>
  <c r="G568" i="1" s="1"/>
  <c r="F568" i="1" l="1"/>
  <c r="B569" i="1" s="1"/>
  <c r="C560" i="3" s="1"/>
  <c r="C569" i="1"/>
  <c r="D560" i="3" s="1"/>
  <c r="E569" i="1"/>
  <c r="D569" i="1" l="1"/>
  <c r="I569" i="1"/>
  <c r="L569" i="1"/>
  <c r="O569" i="1"/>
  <c r="H569" i="1"/>
  <c r="K569" i="1"/>
  <c r="N569" i="1"/>
  <c r="J569" i="1" l="1"/>
  <c r="P569" i="1"/>
  <c r="M569" i="1"/>
  <c r="G569" i="1" l="1"/>
  <c r="C570" i="1" s="1"/>
  <c r="D561" i="3" s="1"/>
  <c r="F569" i="1"/>
  <c r="D570" i="1" s="1"/>
  <c r="E570" i="1" l="1"/>
  <c r="B570" i="1"/>
  <c r="I570" i="1"/>
  <c r="L570" i="1"/>
  <c r="O570" i="1"/>
  <c r="K570" i="1" l="1"/>
  <c r="M570" i="1" s="1"/>
  <c r="C561" i="3"/>
  <c r="N570" i="1"/>
  <c r="P570" i="1" s="1"/>
  <c r="H570" i="1"/>
  <c r="J570" i="1" s="1"/>
  <c r="F570" i="1" l="1"/>
  <c r="D571" i="1" s="1"/>
  <c r="G570" i="1"/>
  <c r="B571" i="1" l="1"/>
  <c r="C571" i="1"/>
  <c r="D562" i="3" s="1"/>
  <c r="E571" i="1"/>
  <c r="K571" i="1" l="1"/>
  <c r="C562" i="3"/>
  <c r="H571" i="1"/>
  <c r="N571" i="1"/>
  <c r="L571" i="1"/>
  <c r="I571" i="1"/>
  <c r="O571" i="1"/>
  <c r="M571" i="1" l="1"/>
  <c r="P571" i="1"/>
  <c r="J571" i="1"/>
  <c r="F571" i="1" l="1"/>
  <c r="B572" i="1" s="1"/>
  <c r="C563" i="3" s="1"/>
  <c r="G571" i="1"/>
  <c r="D572" i="1" l="1"/>
  <c r="C572" i="1"/>
  <c r="D563" i="3" s="1"/>
  <c r="E572" i="1"/>
  <c r="K572" i="1"/>
  <c r="N572" i="1"/>
  <c r="H572" i="1"/>
  <c r="L572" i="1" l="1"/>
  <c r="M572" i="1" s="1"/>
  <c r="O572" i="1"/>
  <c r="P572" i="1" s="1"/>
  <c r="I572" i="1"/>
  <c r="J572" i="1" s="1"/>
  <c r="F572" i="1" l="1"/>
  <c r="G572" i="1"/>
  <c r="C573" i="1" l="1"/>
  <c r="D564" i="3" s="1"/>
  <c r="E573" i="1"/>
  <c r="B573" i="1"/>
  <c r="C564" i="3" s="1"/>
  <c r="D573" i="1"/>
  <c r="N573" i="1" l="1"/>
  <c r="H573" i="1"/>
  <c r="K573" i="1"/>
  <c r="L573" i="1"/>
  <c r="O573" i="1"/>
  <c r="I573" i="1"/>
  <c r="M573" i="1" l="1"/>
  <c r="J573" i="1"/>
  <c r="P573" i="1"/>
  <c r="G573" i="1" l="1"/>
  <c r="C574" i="1" s="1"/>
  <c r="D565" i="3" s="1"/>
  <c r="F573" i="1"/>
  <c r="E574" i="1" l="1"/>
  <c r="B574" i="1"/>
  <c r="C565" i="3" s="1"/>
  <c r="D574" i="1"/>
  <c r="O574" i="1"/>
  <c r="I574" i="1"/>
  <c r="L574" i="1"/>
  <c r="N574" i="1" l="1"/>
  <c r="P574" i="1" s="1"/>
  <c r="H574" i="1"/>
  <c r="K574" i="1"/>
  <c r="M574" i="1" s="1"/>
  <c r="J574" i="1" l="1"/>
  <c r="G574" i="1" s="1"/>
  <c r="E575" i="1" l="1"/>
  <c r="C575" i="1"/>
  <c r="D566" i="3" s="1"/>
  <c r="F574" i="1"/>
  <c r="D575" i="1" l="1"/>
  <c r="B575" i="1"/>
  <c r="C566" i="3" s="1"/>
  <c r="O575" i="1"/>
  <c r="I575" i="1"/>
  <c r="L575" i="1"/>
  <c r="N575" i="1" l="1"/>
  <c r="P575" i="1" s="1"/>
  <c r="H575" i="1"/>
  <c r="K575" i="1"/>
  <c r="M575" i="1" s="1"/>
  <c r="J575" i="1" l="1"/>
  <c r="G575" i="1" s="1"/>
  <c r="E576" i="1" l="1"/>
  <c r="C576" i="1"/>
  <c r="D567" i="3" s="1"/>
  <c r="F575" i="1"/>
  <c r="B576" i="1" l="1"/>
  <c r="C567" i="3" s="1"/>
  <c r="D576" i="1"/>
  <c r="O576" i="1"/>
  <c r="I576" i="1"/>
  <c r="L576" i="1"/>
  <c r="H576" i="1" l="1"/>
  <c r="K576" i="1"/>
  <c r="M576" i="1" s="1"/>
  <c r="N576" i="1"/>
  <c r="P576" i="1" s="1"/>
  <c r="J576" i="1" l="1"/>
  <c r="G576" i="1" s="1"/>
  <c r="F576" i="1" l="1"/>
  <c r="B577" i="1" s="1"/>
  <c r="C568" i="3" s="1"/>
  <c r="C577" i="1"/>
  <c r="D568" i="3" s="1"/>
  <c r="E577" i="1"/>
  <c r="D577" i="1" l="1"/>
  <c r="I577" i="1"/>
  <c r="L577" i="1"/>
  <c r="O577" i="1"/>
  <c r="H577" i="1"/>
  <c r="K577" i="1"/>
  <c r="N577" i="1"/>
  <c r="J577" i="1" l="1"/>
  <c r="P577" i="1"/>
  <c r="M577" i="1"/>
  <c r="G577" i="1" l="1"/>
  <c r="C578" i="1" s="1"/>
  <c r="D569" i="3" s="1"/>
  <c r="F577" i="1"/>
  <c r="D578" i="1" s="1"/>
  <c r="E578" i="1" l="1"/>
  <c r="B578" i="1"/>
  <c r="I578" i="1"/>
  <c r="L578" i="1"/>
  <c r="O578" i="1"/>
  <c r="K578" i="1" l="1"/>
  <c r="M578" i="1" s="1"/>
  <c r="C569" i="3"/>
  <c r="N578" i="1"/>
  <c r="P578" i="1" s="1"/>
  <c r="H578" i="1"/>
  <c r="J578" i="1" s="1"/>
  <c r="F578" i="1" l="1"/>
  <c r="B579" i="1" s="1"/>
  <c r="C570" i="3" s="1"/>
  <c r="G578" i="1"/>
  <c r="C579" i="1" s="1"/>
  <c r="D570" i="3" s="1"/>
  <c r="E579" i="1" l="1"/>
  <c r="D579" i="1"/>
  <c r="L579" i="1"/>
  <c r="I579" i="1"/>
  <c r="O579" i="1"/>
  <c r="K579" i="1"/>
  <c r="M579" i="1" s="1"/>
  <c r="N579" i="1"/>
  <c r="P579" i="1" s="1"/>
  <c r="H579" i="1"/>
  <c r="J579" i="1" l="1"/>
  <c r="G579" i="1" s="1"/>
  <c r="F579" i="1" l="1"/>
  <c r="D580" i="1" s="1"/>
  <c r="E580" i="1"/>
  <c r="C580" i="1"/>
  <c r="D571" i="3" s="1"/>
  <c r="B580" i="1" l="1"/>
  <c r="L580" i="1"/>
  <c r="O580" i="1"/>
  <c r="I580" i="1"/>
  <c r="K580" i="1" l="1"/>
  <c r="M580" i="1" s="1"/>
  <c r="C571" i="3"/>
  <c r="H580" i="1"/>
  <c r="J580" i="1" s="1"/>
  <c r="N580" i="1"/>
  <c r="P580" i="1" s="1"/>
  <c r="F580" i="1" l="1"/>
  <c r="B581" i="1" s="1"/>
  <c r="C572" i="3" s="1"/>
  <c r="G580" i="1"/>
  <c r="E581" i="1" s="1"/>
  <c r="D581" i="1" l="1"/>
  <c r="C581" i="1"/>
  <c r="N581" i="1"/>
  <c r="H581" i="1"/>
  <c r="K581" i="1"/>
  <c r="L581" i="1" l="1"/>
  <c r="M581" i="1" s="1"/>
  <c r="D572" i="3"/>
  <c r="I581" i="1"/>
  <c r="J581" i="1" s="1"/>
  <c r="O581" i="1"/>
  <c r="P581" i="1" s="1"/>
  <c r="F581" i="1" l="1"/>
  <c r="D582" i="1" s="1"/>
  <c r="G581" i="1"/>
  <c r="B582" i="1" l="1"/>
  <c r="E582" i="1"/>
  <c r="C582" i="1"/>
  <c r="D573" i="3" s="1"/>
  <c r="N582" i="1" l="1"/>
  <c r="C573" i="3"/>
  <c r="H582" i="1"/>
  <c r="K582" i="1"/>
  <c r="O582" i="1"/>
  <c r="I582" i="1"/>
  <c r="L582" i="1"/>
  <c r="M582" i="1" s="1"/>
  <c r="P582" i="1" l="1"/>
  <c r="J582" i="1"/>
  <c r="F582" i="1" l="1"/>
  <c r="B583" i="1" s="1"/>
  <c r="C574" i="3" s="1"/>
  <c r="G582" i="1"/>
  <c r="D583" i="1" l="1"/>
  <c r="E583" i="1"/>
  <c r="C583" i="1"/>
  <c r="D574" i="3" s="1"/>
  <c r="N583" i="1"/>
  <c r="H583" i="1"/>
  <c r="K583" i="1"/>
  <c r="O583" i="1" l="1"/>
  <c r="P583" i="1" s="1"/>
  <c r="I583" i="1"/>
  <c r="L583" i="1"/>
  <c r="M583" i="1" s="1"/>
  <c r="J583" i="1" l="1"/>
  <c r="F583" i="1" s="1"/>
  <c r="B584" i="1" l="1"/>
  <c r="C575" i="3" s="1"/>
  <c r="D584" i="1"/>
  <c r="G583" i="1"/>
  <c r="E584" i="1" l="1"/>
  <c r="C584" i="1"/>
  <c r="D575" i="3" s="1"/>
  <c r="H584" i="1"/>
  <c r="K584" i="1"/>
  <c r="N584" i="1"/>
  <c r="O584" i="1" l="1"/>
  <c r="P584" i="1" s="1"/>
  <c r="I584" i="1"/>
  <c r="L584" i="1"/>
  <c r="M584" i="1" s="1"/>
  <c r="J584" i="1" l="1"/>
  <c r="F584" i="1" s="1"/>
  <c r="B585" i="1" l="1"/>
  <c r="C576" i="3" s="1"/>
  <c r="D585" i="1"/>
  <c r="G584" i="1"/>
  <c r="E585" i="1" l="1"/>
  <c r="C585" i="1"/>
  <c r="D576" i="3" s="1"/>
  <c r="H585" i="1"/>
  <c r="K585" i="1"/>
  <c r="N585" i="1"/>
  <c r="I585" i="1" l="1"/>
  <c r="L585" i="1"/>
  <c r="M585" i="1" s="1"/>
  <c r="O585" i="1"/>
  <c r="P585" i="1" s="1"/>
  <c r="J585" i="1" l="1"/>
  <c r="F585" i="1" s="1"/>
  <c r="B586" i="1" l="1"/>
  <c r="C577" i="3" s="1"/>
  <c r="D586" i="1"/>
  <c r="G585" i="1"/>
  <c r="E586" i="1" l="1"/>
  <c r="C586" i="1"/>
  <c r="D577" i="3" s="1"/>
  <c r="K586" i="1"/>
  <c r="H586" i="1"/>
  <c r="N586" i="1"/>
  <c r="I586" i="1" l="1"/>
  <c r="L586" i="1"/>
  <c r="M586" i="1" s="1"/>
  <c r="O586" i="1"/>
  <c r="P586" i="1" s="1"/>
  <c r="J586" i="1" l="1"/>
  <c r="F586" i="1" s="1"/>
  <c r="B587" i="1" l="1"/>
  <c r="C578" i="3" s="1"/>
  <c r="D587" i="1"/>
  <c r="G586" i="1"/>
  <c r="E587" i="1" l="1"/>
  <c r="C587" i="1"/>
  <c r="D578" i="3" s="1"/>
  <c r="K587" i="1"/>
  <c r="N587" i="1"/>
  <c r="H587" i="1"/>
  <c r="L587" i="1" l="1"/>
  <c r="M587" i="1" s="1"/>
  <c r="I587" i="1"/>
  <c r="O587" i="1"/>
  <c r="P587" i="1" s="1"/>
  <c r="J587" i="1" l="1"/>
  <c r="F587" i="1" s="1"/>
  <c r="B588" i="1" l="1"/>
  <c r="C579" i="3" s="1"/>
  <c r="D588" i="1"/>
  <c r="G587" i="1"/>
  <c r="E588" i="1" l="1"/>
  <c r="C588" i="1"/>
  <c r="D579" i="3" s="1"/>
  <c r="K588" i="1"/>
  <c r="N588" i="1"/>
  <c r="H588" i="1"/>
  <c r="L588" i="1" l="1"/>
  <c r="M588" i="1" s="1"/>
  <c r="O588" i="1"/>
  <c r="P588" i="1" s="1"/>
  <c r="I588" i="1"/>
  <c r="J588" i="1" l="1"/>
  <c r="F588" i="1" s="1"/>
  <c r="B589" i="1" l="1"/>
  <c r="C580" i="3" s="1"/>
  <c r="D589" i="1"/>
  <c r="G588" i="1"/>
  <c r="E589" i="1" l="1"/>
  <c r="C589" i="1"/>
  <c r="D580" i="3" s="1"/>
  <c r="N589" i="1"/>
  <c r="H589" i="1"/>
  <c r="K589" i="1"/>
  <c r="L589" i="1" l="1"/>
  <c r="M589" i="1" s="1"/>
  <c r="O589" i="1"/>
  <c r="P589" i="1" s="1"/>
  <c r="I589" i="1"/>
  <c r="J589" i="1" l="1"/>
  <c r="F589" i="1" s="1"/>
  <c r="B590" i="1" l="1"/>
  <c r="C581" i="3" s="1"/>
  <c r="D590" i="1"/>
  <c r="G589" i="1"/>
  <c r="C590" i="1" l="1"/>
  <c r="D581" i="3" s="1"/>
  <c r="E590" i="1"/>
  <c r="N590" i="1"/>
  <c r="H590" i="1"/>
  <c r="K590" i="1"/>
  <c r="O590" i="1" l="1"/>
  <c r="P590" i="1" s="1"/>
  <c r="I590" i="1"/>
  <c r="L590" i="1"/>
  <c r="M590" i="1" s="1"/>
  <c r="J590" i="1" l="1"/>
  <c r="F590" i="1" s="1"/>
  <c r="B591" i="1" l="1"/>
  <c r="C582" i="3" s="1"/>
  <c r="D591" i="1"/>
  <c r="G590" i="1"/>
  <c r="N591" i="1" l="1"/>
  <c r="H591" i="1"/>
  <c r="K591" i="1"/>
  <c r="C591" i="1"/>
  <c r="D582" i="3" s="1"/>
  <c r="E591" i="1"/>
  <c r="O591" i="1" l="1"/>
  <c r="P591" i="1" s="1"/>
  <c r="I591" i="1"/>
  <c r="J591" i="1" s="1"/>
  <c r="L591" i="1"/>
  <c r="M591" i="1" s="1"/>
  <c r="F591" i="1" l="1"/>
  <c r="B592" i="1" s="1"/>
  <c r="C583" i="3" s="1"/>
  <c r="G591" i="1"/>
  <c r="D592" i="1" l="1"/>
  <c r="E592" i="1"/>
  <c r="C592" i="1"/>
  <c r="D583" i="3" s="1"/>
  <c r="H592" i="1"/>
  <c r="K592" i="1"/>
  <c r="N592" i="1"/>
  <c r="O592" i="1" l="1"/>
  <c r="P592" i="1" s="1"/>
  <c r="I592" i="1"/>
  <c r="L592" i="1"/>
  <c r="M592" i="1" s="1"/>
  <c r="J592" i="1" l="1"/>
  <c r="F592" i="1" s="1"/>
  <c r="B593" i="1" l="1"/>
  <c r="C584" i="3" s="1"/>
  <c r="D593" i="1"/>
  <c r="G592" i="1"/>
  <c r="E593" i="1" l="1"/>
  <c r="C593" i="1"/>
  <c r="D584" i="3" s="1"/>
  <c r="H593" i="1"/>
  <c r="K593" i="1"/>
  <c r="N593" i="1"/>
  <c r="I593" i="1" l="1"/>
  <c r="L593" i="1"/>
  <c r="M593" i="1" s="1"/>
  <c r="O593" i="1"/>
  <c r="P593" i="1" s="1"/>
  <c r="J593" i="1" l="1"/>
  <c r="F593" i="1" s="1"/>
  <c r="D594" i="1" l="1"/>
  <c r="B594" i="1"/>
  <c r="C585" i="3" s="1"/>
  <c r="G593" i="1"/>
  <c r="E594" i="1" l="1"/>
  <c r="C594" i="1"/>
  <c r="D585" i="3" s="1"/>
  <c r="K594" i="1"/>
  <c r="H594" i="1"/>
  <c r="N594" i="1"/>
  <c r="I594" i="1" l="1"/>
  <c r="L594" i="1"/>
  <c r="M594" i="1" s="1"/>
  <c r="O594" i="1"/>
  <c r="P594" i="1" s="1"/>
  <c r="J594" i="1" l="1"/>
  <c r="F594" i="1" s="1"/>
  <c r="B595" i="1" l="1"/>
  <c r="C586" i="3" s="1"/>
  <c r="D595" i="1"/>
  <c r="G594" i="1"/>
  <c r="E595" i="1" l="1"/>
  <c r="C595" i="1"/>
  <c r="D586" i="3" s="1"/>
  <c r="K595" i="1"/>
  <c r="N595" i="1"/>
  <c r="H595" i="1"/>
  <c r="L595" i="1" l="1"/>
  <c r="M595" i="1" s="1"/>
  <c r="I595" i="1"/>
  <c r="O595" i="1"/>
  <c r="P595" i="1" s="1"/>
  <c r="J595" i="1" l="1"/>
  <c r="F595" i="1" s="1"/>
  <c r="B596" i="1" l="1"/>
  <c r="C587" i="3" s="1"/>
  <c r="D596" i="1"/>
  <c r="G595" i="1"/>
  <c r="E596" i="1" l="1"/>
  <c r="C596" i="1"/>
  <c r="D587" i="3" s="1"/>
  <c r="K596" i="1"/>
  <c r="N596" i="1"/>
  <c r="H596" i="1"/>
  <c r="L596" i="1" l="1"/>
  <c r="M596" i="1" s="1"/>
  <c r="O596" i="1"/>
  <c r="P596" i="1" s="1"/>
  <c r="I596" i="1"/>
  <c r="J596" i="1" l="1"/>
  <c r="F596" i="1" s="1"/>
  <c r="B597" i="1" l="1"/>
  <c r="C588" i="3" s="1"/>
  <c r="D597" i="1"/>
  <c r="G596" i="1"/>
  <c r="E597" i="1" l="1"/>
  <c r="C597" i="1"/>
  <c r="D588" i="3" s="1"/>
  <c r="N597" i="1"/>
  <c r="H597" i="1"/>
  <c r="K597" i="1"/>
  <c r="L597" i="1" l="1"/>
  <c r="M597" i="1" s="1"/>
  <c r="O597" i="1"/>
  <c r="P597" i="1" s="1"/>
  <c r="I597" i="1"/>
  <c r="J597" i="1" l="1"/>
  <c r="F597" i="1" s="1"/>
  <c r="D598" i="1" l="1"/>
  <c r="B598" i="1"/>
  <c r="C589" i="3" s="1"/>
  <c r="G597" i="1"/>
  <c r="E598" i="1" l="1"/>
  <c r="C598" i="1"/>
  <c r="D589" i="3" s="1"/>
  <c r="N598" i="1"/>
  <c r="H598" i="1"/>
  <c r="K598" i="1"/>
  <c r="I598" i="1" l="1"/>
  <c r="L598" i="1"/>
  <c r="M598" i="1" s="1"/>
  <c r="O598" i="1"/>
  <c r="P598" i="1" s="1"/>
  <c r="J598" i="1" l="1"/>
  <c r="F598" i="1" s="1"/>
  <c r="B599" i="1" l="1"/>
  <c r="C590" i="3" s="1"/>
  <c r="D599" i="1"/>
  <c r="G598" i="1"/>
  <c r="E599" i="1" l="1"/>
  <c r="C599" i="1"/>
  <c r="D590" i="3" s="1"/>
  <c r="N599" i="1"/>
  <c r="H599" i="1"/>
  <c r="K599" i="1"/>
  <c r="O599" i="1" l="1"/>
  <c r="P599" i="1" s="1"/>
  <c r="I599" i="1"/>
  <c r="L599" i="1"/>
  <c r="M599" i="1" s="1"/>
  <c r="J599" i="1" l="1"/>
  <c r="F599" i="1" s="1"/>
  <c r="D600" i="1" l="1"/>
  <c r="B600" i="1"/>
  <c r="C591" i="3" s="1"/>
  <c r="G599" i="1"/>
  <c r="E600" i="1" l="1"/>
  <c r="C600" i="1"/>
  <c r="D591" i="3" s="1"/>
  <c r="H600" i="1"/>
  <c r="K600" i="1"/>
  <c r="N600" i="1"/>
  <c r="O600" i="1" l="1"/>
  <c r="P600" i="1" s="1"/>
  <c r="I600" i="1"/>
  <c r="L600" i="1"/>
  <c r="M600" i="1" s="1"/>
  <c r="J600" i="1" l="1"/>
  <c r="F600" i="1" s="1"/>
  <c r="B601" i="1" l="1"/>
  <c r="C592" i="3" s="1"/>
  <c r="D601" i="1"/>
  <c r="G600" i="1"/>
  <c r="E601" i="1" l="1"/>
  <c r="C601" i="1"/>
  <c r="D592" i="3" s="1"/>
  <c r="H601" i="1"/>
  <c r="K601" i="1"/>
  <c r="N601" i="1"/>
  <c r="O601" i="1" l="1"/>
  <c r="P601" i="1" s="1"/>
  <c r="I601" i="1"/>
  <c r="L601" i="1"/>
  <c r="M601" i="1" s="1"/>
  <c r="J601" i="1" l="1"/>
  <c r="F601" i="1" s="1"/>
  <c r="D602" i="1" l="1"/>
  <c r="B602" i="1"/>
  <c r="C593" i="3" s="1"/>
  <c r="G601" i="1"/>
  <c r="E602" i="1" l="1"/>
  <c r="C602" i="1"/>
  <c r="D593" i="3" s="1"/>
  <c r="H602" i="1"/>
  <c r="K602" i="1"/>
  <c r="N602" i="1"/>
  <c r="I602" i="1" l="1"/>
  <c r="J602" i="1" s="1"/>
  <c r="L602" i="1"/>
  <c r="M602" i="1" s="1"/>
  <c r="O602" i="1"/>
  <c r="P602" i="1" s="1"/>
  <c r="F602" i="1" l="1"/>
  <c r="B603" i="1" s="1"/>
  <c r="C594" i="3" s="1"/>
  <c r="G602" i="1"/>
  <c r="D603" i="1" l="1"/>
  <c r="E603" i="1"/>
  <c r="C603" i="1"/>
  <c r="D594" i="3" s="1"/>
  <c r="K603" i="1"/>
  <c r="N603" i="1"/>
  <c r="H603" i="1"/>
  <c r="I603" i="1" l="1"/>
  <c r="L603" i="1"/>
  <c r="M603" i="1" s="1"/>
  <c r="O603" i="1"/>
  <c r="P603" i="1" s="1"/>
  <c r="J603" i="1" l="1"/>
  <c r="F603" i="1" s="1"/>
  <c r="B604" i="1" l="1"/>
  <c r="C595" i="3" s="1"/>
  <c r="D604" i="1"/>
  <c r="G603" i="1"/>
  <c r="E604" i="1" l="1"/>
  <c r="C604" i="1"/>
  <c r="D595" i="3" s="1"/>
  <c r="K604" i="1"/>
  <c r="N604" i="1"/>
  <c r="H604" i="1"/>
  <c r="L604" i="1" l="1"/>
  <c r="M604" i="1" s="1"/>
  <c r="O604" i="1"/>
  <c r="P604" i="1" s="1"/>
  <c r="I604" i="1"/>
  <c r="J604" i="1" l="1"/>
  <c r="F604" i="1" s="1"/>
  <c r="B605" i="1" l="1"/>
  <c r="C596" i="3" s="1"/>
  <c r="D605" i="1"/>
  <c r="G604" i="1"/>
  <c r="E605" i="1" l="1"/>
  <c r="C605" i="1"/>
  <c r="D596" i="3" s="1"/>
  <c r="K605" i="1"/>
  <c r="N605" i="1"/>
  <c r="H605" i="1"/>
  <c r="L605" i="1" l="1"/>
  <c r="M605" i="1" s="1"/>
  <c r="O605" i="1"/>
  <c r="P605" i="1" s="1"/>
  <c r="I605" i="1"/>
  <c r="J605" i="1" l="1"/>
  <c r="F605" i="1" s="1"/>
  <c r="D606" i="1" l="1"/>
  <c r="B606" i="1"/>
  <c r="C597" i="3" s="1"/>
  <c r="G605" i="1"/>
  <c r="E606" i="1" l="1"/>
  <c r="C606" i="1"/>
  <c r="D597" i="3" s="1"/>
  <c r="N606" i="1"/>
  <c r="H606" i="1"/>
  <c r="K606" i="1"/>
  <c r="L606" i="1" l="1"/>
  <c r="M606" i="1" s="1"/>
  <c r="O606" i="1"/>
  <c r="P606" i="1" s="1"/>
  <c r="I606" i="1"/>
  <c r="J606" i="1" s="1"/>
  <c r="F606" i="1" l="1"/>
  <c r="B607" i="1" s="1"/>
  <c r="C598" i="3" s="1"/>
  <c r="G606" i="1"/>
  <c r="D607" i="1" l="1"/>
  <c r="C607" i="1"/>
  <c r="D598" i="3" s="1"/>
  <c r="E607" i="1"/>
  <c r="N607" i="1"/>
  <c r="H607" i="1"/>
  <c r="K607" i="1"/>
  <c r="O607" i="1" l="1"/>
  <c r="P607" i="1" s="1"/>
  <c r="I607" i="1"/>
  <c r="L607" i="1"/>
  <c r="M607" i="1" s="1"/>
  <c r="J607" i="1" l="1"/>
  <c r="F607" i="1" s="1"/>
  <c r="B608" i="1" l="1"/>
  <c r="C599" i="3" s="1"/>
  <c r="D608" i="1"/>
  <c r="G607" i="1"/>
  <c r="N608" i="1" l="1"/>
  <c r="H608" i="1"/>
  <c r="K608" i="1"/>
  <c r="E608" i="1"/>
  <c r="C608" i="1"/>
  <c r="D599" i="3" s="1"/>
  <c r="O608" i="1" l="1"/>
  <c r="P608" i="1" s="1"/>
  <c r="I608" i="1"/>
  <c r="J608" i="1" s="1"/>
  <c r="L608" i="1"/>
  <c r="M608" i="1" s="1"/>
  <c r="F608" i="1" l="1"/>
  <c r="G608" i="1"/>
  <c r="C609" i="1" l="1"/>
  <c r="D600" i="3" s="1"/>
  <c r="E609" i="1"/>
  <c r="B609" i="1"/>
  <c r="C600" i="3" s="1"/>
  <c r="D609" i="1"/>
  <c r="O609" i="1" l="1"/>
  <c r="I609" i="1"/>
  <c r="L609" i="1"/>
  <c r="H609" i="1"/>
  <c r="K609" i="1"/>
  <c r="N609" i="1"/>
  <c r="M609" i="1" l="1"/>
  <c r="P609" i="1"/>
  <c r="J609" i="1"/>
  <c r="F609" i="1" l="1"/>
  <c r="D610" i="1" s="1"/>
  <c r="G609" i="1"/>
  <c r="C610" i="1" s="1"/>
  <c r="D601" i="3" s="1"/>
  <c r="B610" i="1" l="1"/>
  <c r="E610" i="1"/>
  <c r="I610" i="1"/>
  <c r="L610" i="1"/>
  <c r="O610" i="1"/>
  <c r="H610" i="1" l="1"/>
  <c r="J610" i="1" s="1"/>
  <c r="C601" i="3"/>
  <c r="N610" i="1"/>
  <c r="P610" i="1" s="1"/>
  <c r="K610" i="1"/>
  <c r="M610" i="1" s="1"/>
  <c r="F610" i="1" l="1"/>
  <c r="D611" i="1" s="1"/>
  <c r="G610" i="1"/>
  <c r="C611" i="1" s="1"/>
  <c r="D602" i="3" s="1"/>
  <c r="B611" i="1" l="1"/>
  <c r="E611" i="1"/>
  <c r="I611" i="1"/>
  <c r="L611" i="1"/>
  <c r="O611" i="1"/>
  <c r="K611" i="1" l="1"/>
  <c r="M611" i="1" s="1"/>
  <c r="C602" i="3"/>
  <c r="H611" i="1"/>
  <c r="J611" i="1" s="1"/>
  <c r="N611" i="1"/>
  <c r="P611" i="1" s="1"/>
  <c r="F611" i="1" l="1"/>
  <c r="D612" i="1" s="1"/>
  <c r="G611" i="1"/>
  <c r="E612" i="1" s="1"/>
  <c r="B612" i="1" l="1"/>
  <c r="C612" i="1"/>
  <c r="L612" i="1" l="1"/>
  <c r="D603" i="3"/>
  <c r="K612" i="1"/>
  <c r="C603" i="3"/>
  <c r="H612" i="1"/>
  <c r="N612" i="1"/>
  <c r="I612" i="1"/>
  <c r="O612" i="1"/>
  <c r="M612" i="1" l="1"/>
  <c r="P612" i="1"/>
  <c r="J612" i="1"/>
  <c r="F612" i="1" l="1"/>
  <c r="B613" i="1" s="1"/>
  <c r="G612" i="1"/>
  <c r="E613" i="1" s="1"/>
  <c r="K613" i="1" l="1"/>
  <c r="C604" i="3"/>
  <c r="N613" i="1"/>
  <c r="H613" i="1"/>
  <c r="D613" i="1"/>
  <c r="C613" i="1"/>
  <c r="D604" i="3" s="1"/>
  <c r="L613" i="1" l="1"/>
  <c r="M613" i="1" s="1"/>
  <c r="I613" i="1"/>
  <c r="J613" i="1" s="1"/>
  <c r="O613" i="1"/>
  <c r="P613" i="1" s="1"/>
  <c r="G613" i="1" l="1"/>
  <c r="E614" i="1" s="1"/>
  <c r="F613" i="1"/>
  <c r="C614" i="1" l="1"/>
  <c r="D614" i="1"/>
  <c r="B614" i="1"/>
  <c r="C605" i="3" s="1"/>
  <c r="L614" i="1" l="1"/>
  <c r="D605" i="3"/>
  <c r="I614" i="1"/>
  <c r="O614" i="1"/>
  <c r="N614" i="1"/>
  <c r="H614" i="1"/>
  <c r="K614" i="1"/>
  <c r="M614" i="1" l="1"/>
  <c r="J614" i="1"/>
  <c r="P614" i="1"/>
  <c r="G614" i="1" l="1"/>
  <c r="E615" i="1" s="1"/>
  <c r="F614" i="1"/>
  <c r="C615" i="1" l="1"/>
  <c r="B615" i="1"/>
  <c r="C606" i="3" s="1"/>
  <c r="D615" i="1"/>
  <c r="O615" i="1" l="1"/>
  <c r="D606" i="3"/>
  <c r="I615" i="1"/>
  <c r="L615" i="1"/>
  <c r="K615" i="1"/>
  <c r="N615" i="1"/>
  <c r="H615" i="1"/>
  <c r="P615" i="1" l="1"/>
  <c r="M615" i="1"/>
  <c r="J615" i="1"/>
  <c r="G615" i="1" l="1"/>
  <c r="C616" i="1" s="1"/>
  <c r="F615" i="1"/>
  <c r="D616" i="1" s="1"/>
  <c r="O616" i="1" l="1"/>
  <c r="D607" i="3"/>
  <c r="E616" i="1"/>
  <c r="L616" i="1"/>
  <c r="I616" i="1"/>
  <c r="B616" i="1"/>
  <c r="N616" i="1" l="1"/>
  <c r="P616" i="1" s="1"/>
  <c r="C607" i="3"/>
  <c r="H616" i="1"/>
  <c r="J616" i="1" s="1"/>
  <c r="K616" i="1"/>
  <c r="M616" i="1" s="1"/>
  <c r="G616" i="1" l="1"/>
  <c r="E617" i="1" s="1"/>
  <c r="F616" i="1"/>
  <c r="B617" i="1" s="1"/>
  <c r="H617" i="1" l="1"/>
  <c r="C608" i="3"/>
  <c r="C617" i="1"/>
  <c r="N617" i="1"/>
  <c r="K617" i="1"/>
  <c r="D617" i="1"/>
  <c r="O617" i="1" l="1"/>
  <c r="P617" i="1" s="1"/>
  <c r="D608" i="3"/>
  <c r="L617" i="1"/>
  <c r="M617" i="1" s="1"/>
  <c r="I617" i="1"/>
  <c r="J617" i="1" s="1"/>
  <c r="F617" i="1" l="1"/>
  <c r="D618" i="1" s="1"/>
  <c r="G617" i="1"/>
  <c r="E618" i="1" s="1"/>
  <c r="B618" i="1" l="1"/>
  <c r="C618" i="1"/>
  <c r="I618" i="1" l="1"/>
  <c r="D609" i="3"/>
  <c r="H618" i="1"/>
  <c r="C609" i="3"/>
  <c r="N618" i="1"/>
  <c r="K618" i="1"/>
  <c r="O618" i="1"/>
  <c r="L618" i="1"/>
  <c r="J618" i="1" l="1"/>
  <c r="M618" i="1"/>
  <c r="P618" i="1"/>
  <c r="F618" i="1" l="1"/>
  <c r="B619" i="1" s="1"/>
  <c r="G618" i="1"/>
  <c r="C619" i="1" s="1"/>
  <c r="D610" i="3" s="1"/>
  <c r="H619" i="1" l="1"/>
  <c r="C610" i="3"/>
  <c r="K619" i="1"/>
  <c r="N619" i="1"/>
  <c r="D619" i="1"/>
  <c r="E619" i="1"/>
  <c r="I619" i="1"/>
  <c r="L619" i="1"/>
  <c r="O619" i="1"/>
  <c r="P619" i="1" l="1"/>
  <c r="M619" i="1"/>
  <c r="J619" i="1"/>
  <c r="F619" i="1" l="1"/>
  <c r="B620" i="1" s="1"/>
  <c r="C611" i="3" s="1"/>
  <c r="G619" i="1"/>
  <c r="D620" i="1" l="1"/>
  <c r="E620" i="1"/>
  <c r="C620" i="1"/>
  <c r="D611" i="3" s="1"/>
  <c r="K620" i="1"/>
  <c r="N620" i="1"/>
  <c r="H620" i="1"/>
  <c r="L620" i="1" l="1"/>
  <c r="M620" i="1" s="1"/>
  <c r="O620" i="1"/>
  <c r="P620" i="1" s="1"/>
  <c r="I620" i="1"/>
  <c r="J620" i="1" l="1"/>
  <c r="F620" i="1" s="1"/>
  <c r="B621" i="1" l="1"/>
  <c r="C612" i="3" s="1"/>
  <c r="D621" i="1"/>
  <c r="G620" i="1"/>
  <c r="C621" i="1" l="1"/>
  <c r="D612" i="3" s="1"/>
  <c r="E621" i="1"/>
  <c r="K621" i="1"/>
  <c r="N621" i="1"/>
  <c r="H621" i="1"/>
  <c r="L621" i="1" l="1"/>
  <c r="M621" i="1" s="1"/>
  <c r="O621" i="1"/>
  <c r="P621" i="1" s="1"/>
  <c r="I621" i="1"/>
  <c r="J621" i="1" s="1"/>
  <c r="F621" i="1" l="1"/>
  <c r="G621" i="1"/>
  <c r="E622" i="1" l="1"/>
  <c r="C622" i="1"/>
  <c r="D613" i="3" s="1"/>
  <c r="D622" i="1"/>
  <c r="B622" i="1"/>
  <c r="C613" i="3" s="1"/>
  <c r="N622" i="1" l="1"/>
  <c r="H622" i="1"/>
  <c r="K622" i="1"/>
  <c r="L622" i="1"/>
  <c r="O622" i="1"/>
  <c r="I622" i="1"/>
  <c r="M622" i="1" l="1"/>
  <c r="J622" i="1"/>
  <c r="P622" i="1"/>
  <c r="G622" i="1" l="1"/>
  <c r="C623" i="1" s="1"/>
  <c r="D614" i="3" s="1"/>
  <c r="F622" i="1"/>
  <c r="E623" i="1" l="1"/>
  <c r="B623" i="1"/>
  <c r="C614" i="3" s="1"/>
  <c r="D623" i="1"/>
  <c r="O623" i="1"/>
  <c r="I623" i="1"/>
  <c r="L623" i="1"/>
  <c r="N623" i="1" l="1"/>
  <c r="P623" i="1" s="1"/>
  <c r="H623" i="1"/>
  <c r="K623" i="1"/>
  <c r="M623" i="1" s="1"/>
  <c r="J623" i="1" l="1"/>
  <c r="G623" i="1" s="1"/>
  <c r="E624" i="1" l="1"/>
  <c r="C624" i="1"/>
  <c r="D615" i="3" s="1"/>
  <c r="F623" i="1"/>
  <c r="D624" i="1" l="1"/>
  <c r="B624" i="1"/>
  <c r="C615" i="3" s="1"/>
  <c r="O624" i="1"/>
  <c r="I624" i="1"/>
  <c r="L624" i="1"/>
  <c r="N624" i="1" l="1"/>
  <c r="P624" i="1" s="1"/>
  <c r="H624" i="1"/>
  <c r="K624" i="1"/>
  <c r="M624" i="1" s="1"/>
  <c r="J624" i="1" l="1"/>
  <c r="G624" i="1" s="1"/>
  <c r="C625" i="1" l="1"/>
  <c r="D616" i="3" s="1"/>
  <c r="E625" i="1"/>
  <c r="F624" i="1"/>
  <c r="B625" i="1" l="1"/>
  <c r="C616" i="3" s="1"/>
  <c r="D625" i="1"/>
  <c r="O625" i="1"/>
  <c r="I625" i="1"/>
  <c r="L625" i="1"/>
  <c r="H625" i="1" l="1"/>
  <c r="K625" i="1"/>
  <c r="M625" i="1" s="1"/>
  <c r="N625" i="1"/>
  <c r="P625" i="1" s="1"/>
  <c r="J625" i="1" l="1"/>
  <c r="G625" i="1" s="1"/>
  <c r="F625" i="1" l="1"/>
  <c r="D626" i="1" s="1"/>
  <c r="E626" i="1"/>
  <c r="C626" i="1"/>
  <c r="D617" i="3" s="1"/>
  <c r="B626" i="1" l="1"/>
  <c r="I626" i="1"/>
  <c r="L626" i="1"/>
  <c r="O626" i="1"/>
  <c r="H626" i="1" l="1"/>
  <c r="J626" i="1" s="1"/>
  <c r="C617" i="3"/>
  <c r="K626" i="1"/>
  <c r="M626" i="1" s="1"/>
  <c r="N626" i="1"/>
  <c r="P626" i="1" s="1"/>
  <c r="G626" i="1" l="1"/>
  <c r="E627" i="1" s="1"/>
  <c r="F626" i="1"/>
  <c r="D627" i="1" s="1"/>
  <c r="C627" i="1" l="1"/>
  <c r="B627" i="1"/>
  <c r="K627" i="1" l="1"/>
  <c r="C618" i="3"/>
  <c r="I627" i="1"/>
  <c r="D618" i="3"/>
  <c r="L627" i="1"/>
  <c r="O627" i="1"/>
  <c r="H627" i="1"/>
  <c r="J627" i="1" s="1"/>
  <c r="N627" i="1"/>
  <c r="M627" i="1" l="1"/>
  <c r="P627" i="1"/>
  <c r="G627" i="1" l="1"/>
  <c r="E628" i="1" s="1"/>
  <c r="F627" i="1"/>
  <c r="B628" i="1" s="1"/>
  <c r="C619" i="3" s="1"/>
  <c r="C628" i="1" l="1"/>
  <c r="L628" i="1" s="1"/>
  <c r="D628" i="1"/>
  <c r="K628" i="1"/>
  <c r="N628" i="1"/>
  <c r="H628" i="1"/>
  <c r="I628" i="1" l="1"/>
  <c r="J628" i="1" s="1"/>
  <c r="D619" i="3"/>
  <c r="M628" i="1"/>
  <c r="O628" i="1"/>
  <c r="P628" i="1" s="1"/>
  <c r="G628" i="1" l="1"/>
  <c r="C629" i="1" s="1"/>
  <c r="D620" i="3" s="1"/>
  <c r="F628" i="1"/>
  <c r="D629" i="1" s="1"/>
  <c r="E629" i="1" l="1"/>
  <c r="B629" i="1"/>
  <c r="L629" i="1"/>
  <c r="O629" i="1"/>
  <c r="I629" i="1"/>
  <c r="K629" i="1" l="1"/>
  <c r="M629" i="1" s="1"/>
  <c r="C620" i="3"/>
  <c r="N629" i="1"/>
  <c r="P629" i="1" s="1"/>
  <c r="H629" i="1"/>
  <c r="J629" i="1" s="1"/>
  <c r="G629" i="1" l="1"/>
  <c r="C630" i="1" s="1"/>
  <c r="D621" i="3" s="1"/>
  <c r="F629" i="1"/>
  <c r="B630" i="1" s="1"/>
  <c r="C621" i="3" s="1"/>
  <c r="E630" i="1" l="1"/>
  <c r="D630" i="1"/>
  <c r="L630" i="1"/>
  <c r="O630" i="1"/>
  <c r="I630" i="1"/>
  <c r="N630" i="1"/>
  <c r="H630" i="1"/>
  <c r="K630" i="1"/>
  <c r="M630" i="1" s="1"/>
  <c r="P630" i="1" l="1"/>
  <c r="J630" i="1"/>
  <c r="F630" i="1" l="1"/>
  <c r="B631" i="1" s="1"/>
  <c r="C622" i="3" s="1"/>
  <c r="G630" i="1"/>
  <c r="D631" i="1" l="1"/>
  <c r="E631" i="1"/>
  <c r="C631" i="1"/>
  <c r="D622" i="3" s="1"/>
  <c r="N631" i="1"/>
  <c r="H631" i="1"/>
  <c r="K631" i="1"/>
  <c r="O631" i="1" l="1"/>
  <c r="P631" i="1" s="1"/>
  <c r="I631" i="1"/>
  <c r="L631" i="1"/>
  <c r="M631" i="1" s="1"/>
  <c r="J631" i="1" l="1"/>
  <c r="F631" i="1" s="1"/>
  <c r="D632" i="1" l="1"/>
  <c r="B632" i="1"/>
  <c r="C623" i="3" s="1"/>
  <c r="G631" i="1"/>
  <c r="E632" i="1" l="1"/>
  <c r="C632" i="1"/>
  <c r="D623" i="3" s="1"/>
  <c r="N632" i="1"/>
  <c r="H632" i="1"/>
  <c r="K632" i="1"/>
  <c r="O632" i="1" l="1"/>
  <c r="P632" i="1" s="1"/>
  <c r="I632" i="1"/>
  <c r="J632" i="1" s="1"/>
  <c r="L632" i="1"/>
  <c r="M632" i="1" s="1"/>
  <c r="F632" i="1" l="1"/>
  <c r="D633" i="1" s="1"/>
  <c r="G632" i="1"/>
  <c r="B633" i="1" l="1"/>
  <c r="E633" i="1"/>
  <c r="C633" i="1"/>
  <c r="D624" i="3" s="1"/>
  <c r="H633" i="1" l="1"/>
  <c r="C624" i="3"/>
  <c r="N633" i="1"/>
  <c r="K633" i="1"/>
  <c r="O633" i="1"/>
  <c r="I633" i="1"/>
  <c r="L633" i="1"/>
  <c r="J633" i="1" l="1"/>
  <c r="M633" i="1"/>
  <c r="P633" i="1"/>
  <c r="G633" i="1" l="1"/>
  <c r="E634" i="1" s="1"/>
  <c r="F633" i="1"/>
  <c r="B634" i="1" s="1"/>
  <c r="K634" i="1" l="1"/>
  <c r="C625" i="3"/>
  <c r="C634" i="1"/>
  <c r="H634" i="1"/>
  <c r="N634" i="1"/>
  <c r="D634" i="1"/>
  <c r="L634" i="1" l="1"/>
  <c r="M634" i="1" s="1"/>
  <c r="D625" i="3"/>
  <c r="O634" i="1"/>
  <c r="P634" i="1" s="1"/>
  <c r="I634" i="1"/>
  <c r="J634" i="1" s="1"/>
  <c r="F634" i="1" l="1"/>
  <c r="B635" i="1" s="1"/>
  <c r="C626" i="3" s="1"/>
  <c r="G634" i="1"/>
  <c r="E635" i="1" s="1"/>
  <c r="D635" i="1" l="1"/>
  <c r="C635" i="1"/>
  <c r="K635" i="1"/>
  <c r="N635" i="1"/>
  <c r="H635" i="1"/>
  <c r="I635" i="1" l="1"/>
  <c r="J635" i="1" s="1"/>
  <c r="D626" i="3"/>
  <c r="O635" i="1"/>
  <c r="P635" i="1" s="1"/>
  <c r="L635" i="1"/>
  <c r="M635" i="1" s="1"/>
  <c r="F635" i="1" l="1"/>
  <c r="D636" i="1" s="1"/>
  <c r="G635" i="1"/>
  <c r="C636" i="1" s="1"/>
  <c r="D627" i="3" s="1"/>
  <c r="B636" i="1" l="1"/>
  <c r="E636" i="1"/>
  <c r="L636" i="1"/>
  <c r="O636" i="1"/>
  <c r="I636" i="1"/>
  <c r="K636" i="1" l="1"/>
  <c r="M636" i="1" s="1"/>
  <c r="C627" i="3"/>
  <c r="N636" i="1"/>
  <c r="P636" i="1" s="1"/>
  <c r="H636" i="1"/>
  <c r="J636" i="1" s="1"/>
  <c r="G636" i="1" l="1"/>
  <c r="E637" i="1" s="1"/>
  <c r="F636" i="1"/>
  <c r="D637" i="1" s="1"/>
  <c r="C637" i="1" l="1"/>
  <c r="B637" i="1"/>
  <c r="K637" i="1" l="1"/>
  <c r="C628" i="3"/>
  <c r="L637" i="1"/>
  <c r="D628" i="3"/>
  <c r="I637" i="1"/>
  <c r="O637" i="1"/>
  <c r="H637" i="1"/>
  <c r="N637" i="1"/>
  <c r="P637" i="1" s="1"/>
  <c r="M637" i="1" l="1"/>
  <c r="J637" i="1"/>
  <c r="F637" i="1" l="1"/>
  <c r="D638" i="1" s="1"/>
  <c r="G637" i="1"/>
  <c r="C638" i="1" s="1"/>
  <c r="B638" i="1" l="1"/>
  <c r="C629" i="3" s="1"/>
  <c r="I638" i="1"/>
  <c r="D629" i="3"/>
  <c r="O638" i="1"/>
  <c r="L638" i="1"/>
  <c r="E638" i="1"/>
  <c r="K638" i="1" l="1"/>
  <c r="M638" i="1" s="1"/>
  <c r="H638" i="1"/>
  <c r="J638" i="1" s="1"/>
  <c r="N638" i="1"/>
  <c r="P638" i="1" s="1"/>
  <c r="F638" i="1" l="1"/>
  <c r="B639" i="1" s="1"/>
  <c r="C630" i="3" s="1"/>
  <c r="G638" i="1"/>
  <c r="C639" i="1" s="1"/>
  <c r="D639" i="1" l="1"/>
  <c r="H639" i="1"/>
  <c r="K639" i="1"/>
  <c r="N639" i="1"/>
  <c r="O639" i="1"/>
  <c r="P639" i="1" s="1"/>
  <c r="D630" i="3"/>
  <c r="L639" i="1"/>
  <c r="M639" i="1" s="1"/>
  <c r="I639" i="1"/>
  <c r="E639" i="1"/>
  <c r="J639" i="1" l="1"/>
  <c r="F639" i="1" s="1"/>
  <c r="G639" i="1" l="1"/>
  <c r="C640" i="1" s="1"/>
  <c r="D631" i="3" s="1"/>
  <c r="D640" i="1"/>
  <c r="B640" i="1"/>
  <c r="C631" i="3" s="1"/>
  <c r="L640" i="1" l="1"/>
  <c r="O640" i="1"/>
  <c r="I640" i="1"/>
  <c r="E640" i="1"/>
  <c r="N640" i="1"/>
  <c r="P640" i="1" s="1"/>
  <c r="H640" i="1"/>
  <c r="K640" i="1"/>
  <c r="M640" i="1" l="1"/>
  <c r="J640" i="1"/>
  <c r="G640" i="1" l="1"/>
  <c r="E641" i="1" s="1"/>
  <c r="F640" i="1"/>
  <c r="C641" i="1" l="1"/>
  <c r="D632" i="3" s="1"/>
  <c r="B641" i="1"/>
  <c r="C632" i="3" s="1"/>
  <c r="D641" i="1"/>
  <c r="L641" i="1" l="1"/>
  <c r="I641" i="1"/>
  <c r="O641" i="1"/>
  <c r="H641" i="1"/>
  <c r="K641" i="1"/>
  <c r="N641" i="1"/>
  <c r="P641" i="1" s="1"/>
  <c r="M641" i="1" l="1"/>
  <c r="J641" i="1"/>
  <c r="G641" i="1" l="1"/>
  <c r="C642" i="1" s="1"/>
  <c r="D633" i="3" s="1"/>
  <c r="F641" i="1"/>
  <c r="D642" i="1" s="1"/>
  <c r="E642" i="1" l="1"/>
  <c r="B642" i="1"/>
  <c r="I642" i="1"/>
  <c r="L642" i="1"/>
  <c r="O642" i="1"/>
  <c r="H642" i="1" l="1"/>
  <c r="J642" i="1" s="1"/>
  <c r="C633" i="3"/>
  <c r="N642" i="1"/>
  <c r="P642" i="1" s="1"/>
  <c r="K642" i="1"/>
  <c r="M642" i="1" s="1"/>
  <c r="G642" i="1" l="1"/>
  <c r="E643" i="1" s="1"/>
  <c r="F642" i="1"/>
  <c r="D643" i="1" s="1"/>
  <c r="C643" i="1" l="1"/>
  <c r="B643" i="1"/>
  <c r="K643" i="1" l="1"/>
  <c r="C634" i="3"/>
  <c r="I643" i="1"/>
  <c r="D634" i="3"/>
  <c r="L643" i="1"/>
  <c r="O643" i="1"/>
  <c r="H643" i="1"/>
  <c r="J643" i="1" s="1"/>
  <c r="N643" i="1"/>
  <c r="P643" i="1" l="1"/>
  <c r="M643" i="1"/>
  <c r="G643" i="1" l="1"/>
  <c r="C644" i="1" s="1"/>
  <c r="D635" i="3" s="1"/>
  <c r="F643" i="1"/>
  <c r="B644" i="1" s="1"/>
  <c r="C635" i="3" s="1"/>
  <c r="L644" i="1" l="1"/>
  <c r="I644" i="1"/>
  <c r="O644" i="1"/>
  <c r="E644" i="1"/>
  <c r="N644" i="1"/>
  <c r="P644" i="1" s="1"/>
  <c r="H644" i="1"/>
  <c r="J644" i="1" s="1"/>
  <c r="K644" i="1"/>
  <c r="D644" i="1"/>
  <c r="M644" i="1" l="1"/>
  <c r="G644" i="1" s="1"/>
  <c r="E645" i="1" s="1"/>
  <c r="F644" i="1" l="1"/>
  <c r="B645" i="1" s="1"/>
  <c r="C636" i="3" s="1"/>
  <c r="C645" i="1"/>
  <c r="D636" i="3" s="1"/>
  <c r="H645" i="1" l="1"/>
  <c r="N645" i="1"/>
  <c r="D645" i="1"/>
  <c r="K645" i="1"/>
  <c r="I645" i="1"/>
  <c r="O645" i="1"/>
  <c r="P645" i="1" s="1"/>
  <c r="L645" i="1"/>
  <c r="M645" i="1" s="1"/>
  <c r="J645" i="1" l="1"/>
  <c r="G645" i="1" s="1"/>
  <c r="E646" i="1" s="1"/>
  <c r="F645" i="1" l="1"/>
  <c r="D646" i="1" s="1"/>
  <c r="C646" i="1"/>
  <c r="B646" i="1" l="1"/>
  <c r="N646" i="1" s="1"/>
  <c r="L646" i="1"/>
  <c r="D637" i="3"/>
  <c r="O646" i="1"/>
  <c r="I646" i="1"/>
  <c r="K646" i="1" l="1"/>
  <c r="M646" i="1" s="1"/>
  <c r="H646" i="1"/>
  <c r="C637" i="3"/>
  <c r="P646" i="1"/>
  <c r="J646" i="1"/>
  <c r="F646" i="1" l="1"/>
  <c r="D647" i="1" s="1"/>
  <c r="G646" i="1"/>
  <c r="E647" i="1" s="1"/>
  <c r="B647" i="1" l="1"/>
  <c r="N647" i="1" s="1"/>
  <c r="C647" i="1"/>
  <c r="K647" i="1" l="1"/>
  <c r="H647" i="1"/>
  <c r="C638" i="3"/>
  <c r="O647" i="1"/>
  <c r="P647" i="1" s="1"/>
  <c r="D638" i="3"/>
  <c r="I647" i="1"/>
  <c r="J647" i="1" s="1"/>
  <c r="L647" i="1"/>
  <c r="M647" i="1" l="1"/>
  <c r="F647" i="1" s="1"/>
  <c r="D648" i="1" s="1"/>
  <c r="G647" i="1" l="1"/>
  <c r="C648" i="1" s="1"/>
  <c r="I648" i="1" s="1"/>
  <c r="B648" i="1"/>
  <c r="E648" i="1" l="1"/>
  <c r="L648" i="1"/>
  <c r="O648" i="1"/>
  <c r="D639" i="3"/>
  <c r="N648" i="1"/>
  <c r="P648" i="1" s="1"/>
  <c r="C639" i="3"/>
  <c r="K648" i="1"/>
  <c r="M648" i="1" s="1"/>
  <c r="H648" i="1"/>
  <c r="J648" i="1" s="1"/>
  <c r="G648" i="1" l="1"/>
  <c r="C649" i="1" s="1"/>
  <c r="F648" i="1"/>
  <c r="B649" i="1" s="1"/>
  <c r="C640" i="3" s="1"/>
  <c r="O649" i="1" l="1"/>
  <c r="D640" i="3"/>
  <c r="L649" i="1"/>
  <c r="I649" i="1"/>
  <c r="E649" i="1"/>
  <c r="D649" i="1"/>
  <c r="H649" i="1"/>
  <c r="K649" i="1"/>
  <c r="N649" i="1"/>
  <c r="P649" i="1" s="1"/>
  <c r="M649" i="1" l="1"/>
  <c r="J649" i="1"/>
  <c r="G649" i="1" l="1"/>
  <c r="E650" i="1" s="1"/>
  <c r="F649" i="1"/>
  <c r="D650" i="1" s="1"/>
  <c r="C650" i="1" l="1"/>
  <c r="B650" i="1"/>
  <c r="H650" i="1" l="1"/>
  <c r="C641" i="3"/>
  <c r="L650" i="1"/>
  <c r="D641" i="3"/>
  <c r="I650" i="1"/>
  <c r="O650" i="1"/>
  <c r="N650" i="1"/>
  <c r="K650" i="1"/>
  <c r="J650" i="1" l="1"/>
  <c r="M650" i="1"/>
  <c r="P650" i="1"/>
  <c r="G650" i="1" l="1"/>
  <c r="E651" i="1" s="1"/>
  <c r="F650" i="1"/>
  <c r="D651" i="1" s="1"/>
  <c r="C651" i="1" l="1"/>
  <c r="O651" i="1" s="1"/>
  <c r="B651" i="1"/>
  <c r="C642" i="3" s="1"/>
  <c r="L651" i="1" l="1"/>
  <c r="D642" i="3"/>
  <c r="I651" i="1"/>
  <c r="H651" i="1"/>
  <c r="N651" i="1"/>
  <c r="P651" i="1" s="1"/>
  <c r="K651" i="1"/>
  <c r="M651" i="1" l="1"/>
  <c r="G651" i="1" s="1"/>
  <c r="E652" i="1" s="1"/>
  <c r="J651" i="1"/>
  <c r="F651" i="1" l="1"/>
  <c r="D652" i="1" s="1"/>
  <c r="C652" i="1"/>
  <c r="B652" i="1" l="1"/>
  <c r="K652" i="1" s="1"/>
  <c r="L652" i="1"/>
  <c r="D643" i="3"/>
  <c r="I652" i="1"/>
  <c r="O652" i="1"/>
  <c r="H652" i="1" l="1"/>
  <c r="J652" i="1" s="1"/>
  <c r="N652" i="1"/>
  <c r="C643" i="3"/>
  <c r="M652" i="1"/>
  <c r="P652" i="1"/>
  <c r="G652" i="1" l="1"/>
  <c r="C653" i="1" s="1"/>
  <c r="F652" i="1"/>
  <c r="D653" i="1" s="1"/>
  <c r="E653" i="1" l="1"/>
  <c r="I653" i="1"/>
  <c r="D644" i="3"/>
  <c r="B653" i="1"/>
  <c r="L653" i="1"/>
  <c r="O653" i="1"/>
  <c r="H653" i="1" l="1"/>
  <c r="J653" i="1" s="1"/>
  <c r="C644" i="3"/>
  <c r="N653" i="1"/>
  <c r="P653" i="1" s="1"/>
  <c r="K653" i="1"/>
  <c r="M653" i="1" s="1"/>
  <c r="F653" i="1" l="1"/>
  <c r="D654" i="1" s="1"/>
  <c r="G653" i="1"/>
  <c r="E654" i="1" s="1"/>
  <c r="B654" i="1" l="1"/>
  <c r="C654" i="1"/>
  <c r="L654" i="1" l="1"/>
  <c r="D645" i="3"/>
  <c r="N654" i="1"/>
  <c r="C645" i="3"/>
  <c r="I654" i="1"/>
  <c r="O654" i="1"/>
  <c r="P654" i="1" s="1"/>
  <c r="H654" i="1"/>
  <c r="K654" i="1"/>
  <c r="M654" i="1" l="1"/>
  <c r="J654" i="1"/>
  <c r="G654" i="1" l="1"/>
  <c r="C655" i="1" s="1"/>
  <c r="F654" i="1"/>
  <c r="B655" i="1" s="1"/>
  <c r="E655" i="1" l="1"/>
  <c r="N655" i="1"/>
  <c r="C646" i="3"/>
  <c r="O655" i="1"/>
  <c r="D646" i="3"/>
  <c r="D655" i="1"/>
  <c r="K655" i="1"/>
  <c r="L655" i="1"/>
  <c r="I655" i="1"/>
  <c r="H655" i="1"/>
  <c r="P655" i="1" l="1"/>
  <c r="M655" i="1"/>
  <c r="J655" i="1"/>
  <c r="F655" i="1" l="1"/>
  <c r="D656" i="1" s="1"/>
  <c r="G655" i="1"/>
  <c r="C656" i="1" s="1"/>
  <c r="D647" i="3" s="1"/>
  <c r="B656" i="1" l="1"/>
  <c r="E656" i="1"/>
  <c r="O656" i="1"/>
  <c r="I656" i="1"/>
  <c r="L656" i="1"/>
  <c r="N656" i="1" l="1"/>
  <c r="P656" i="1" s="1"/>
  <c r="C647" i="3"/>
  <c r="H656" i="1"/>
  <c r="J656" i="1" s="1"/>
  <c r="K656" i="1"/>
  <c r="M656" i="1" s="1"/>
  <c r="F656" i="1" l="1"/>
  <c r="B657" i="1" s="1"/>
  <c r="G656" i="1"/>
  <c r="E657" i="1" s="1"/>
  <c r="N657" i="1" l="1"/>
  <c r="C648" i="3"/>
  <c r="H657" i="1"/>
  <c r="K657" i="1"/>
  <c r="D657" i="1"/>
  <c r="C657" i="1"/>
  <c r="O657" i="1" l="1"/>
  <c r="P657" i="1" s="1"/>
  <c r="D648" i="3"/>
  <c r="L657" i="1"/>
  <c r="M657" i="1" s="1"/>
  <c r="I657" i="1"/>
  <c r="J657" i="1" s="1"/>
  <c r="F657" i="1" l="1"/>
  <c r="D658" i="1" s="1"/>
  <c r="G657" i="1"/>
  <c r="B658" i="1" l="1"/>
  <c r="E658" i="1"/>
  <c r="C658" i="1"/>
  <c r="D649" i="3" s="1"/>
  <c r="H658" i="1" l="1"/>
  <c r="C649" i="3"/>
  <c r="K658" i="1"/>
  <c r="N658" i="1"/>
  <c r="I658" i="1"/>
  <c r="L658" i="1"/>
  <c r="O658" i="1"/>
  <c r="P658" i="1" l="1"/>
  <c r="M658" i="1"/>
  <c r="J658" i="1"/>
  <c r="F658" i="1" l="1"/>
  <c r="B659" i="1" s="1"/>
  <c r="C650" i="3" s="1"/>
  <c r="G658" i="1"/>
  <c r="D659" i="1" l="1"/>
  <c r="E659" i="1"/>
  <c r="C659" i="1"/>
  <c r="D650" i="3" s="1"/>
  <c r="K659" i="1"/>
  <c r="N659" i="1"/>
  <c r="H659" i="1"/>
  <c r="I659" i="1" l="1"/>
  <c r="L659" i="1"/>
  <c r="M659" i="1" s="1"/>
  <c r="O659" i="1"/>
  <c r="P659" i="1" s="1"/>
  <c r="J659" i="1" l="1"/>
  <c r="F659" i="1" s="1"/>
  <c r="D660" i="1" l="1"/>
  <c r="B660" i="1"/>
  <c r="C651" i="3" s="1"/>
  <c r="G659" i="1"/>
  <c r="K660" i="1" l="1"/>
  <c r="N660" i="1"/>
  <c r="H660" i="1"/>
  <c r="E660" i="1"/>
  <c r="C660" i="1"/>
  <c r="D651" i="3" s="1"/>
  <c r="L660" i="1" l="1"/>
  <c r="M660" i="1" s="1"/>
  <c r="O660" i="1"/>
  <c r="P660" i="1" s="1"/>
  <c r="I660" i="1"/>
  <c r="J660" i="1" s="1"/>
  <c r="F660" i="1" l="1"/>
  <c r="B661" i="1" s="1"/>
  <c r="C652" i="3" s="1"/>
  <c r="G660" i="1"/>
  <c r="D661" i="1" l="1"/>
  <c r="E661" i="1"/>
  <c r="C661" i="1"/>
  <c r="D652" i="3" s="1"/>
  <c r="K661" i="1"/>
  <c r="N661" i="1"/>
  <c r="H661" i="1"/>
  <c r="L661" i="1" l="1"/>
  <c r="M661" i="1" s="1"/>
  <c r="O661" i="1"/>
  <c r="P661" i="1" s="1"/>
  <c r="I661" i="1"/>
  <c r="J661" i="1" s="1"/>
  <c r="F661" i="1" l="1"/>
  <c r="D662" i="1" s="1"/>
  <c r="G661" i="1"/>
  <c r="B662" i="1" l="1"/>
  <c r="E662" i="1"/>
  <c r="C662" i="1"/>
  <c r="D653" i="3" s="1"/>
  <c r="N662" i="1" l="1"/>
  <c r="C653" i="3"/>
  <c r="K662" i="1"/>
  <c r="H662" i="1"/>
  <c r="L662" i="1"/>
  <c r="O662" i="1"/>
  <c r="I662" i="1"/>
  <c r="P662" i="1" l="1"/>
  <c r="M662" i="1"/>
  <c r="J662" i="1"/>
  <c r="F662" i="1" l="1"/>
  <c r="B663" i="1" s="1"/>
  <c r="C654" i="3" s="1"/>
  <c r="G662" i="1"/>
  <c r="D663" i="1" l="1"/>
  <c r="E663" i="1"/>
  <c r="C663" i="1"/>
  <c r="D654" i="3" s="1"/>
  <c r="N663" i="1"/>
  <c r="H663" i="1"/>
  <c r="K663" i="1"/>
  <c r="O663" i="1" l="1"/>
  <c r="P663" i="1" s="1"/>
  <c r="I663" i="1"/>
  <c r="L663" i="1"/>
  <c r="M663" i="1" s="1"/>
  <c r="J663" i="1" l="1"/>
  <c r="F663" i="1" s="1"/>
  <c r="D664" i="1" l="1"/>
  <c r="B664" i="1"/>
  <c r="C655" i="3" s="1"/>
  <c r="G663" i="1"/>
  <c r="N664" i="1" l="1"/>
  <c r="H664" i="1"/>
  <c r="K664" i="1"/>
  <c r="E664" i="1"/>
  <c r="C664" i="1"/>
  <c r="D655" i="3" s="1"/>
  <c r="O664" i="1" l="1"/>
  <c r="P664" i="1" s="1"/>
  <c r="I664" i="1"/>
  <c r="J664" i="1" s="1"/>
  <c r="L664" i="1"/>
  <c r="M664" i="1" s="1"/>
  <c r="F664" i="1" l="1"/>
  <c r="B665" i="1" s="1"/>
  <c r="C656" i="3" s="1"/>
  <c r="G664" i="1"/>
  <c r="D665" i="1" l="1"/>
  <c r="E665" i="1"/>
  <c r="C665" i="1"/>
  <c r="D656" i="3" s="1"/>
  <c r="H665" i="1"/>
  <c r="K665" i="1"/>
  <c r="N665" i="1"/>
  <c r="O665" i="1" l="1"/>
  <c r="P665" i="1" s="1"/>
  <c r="I665" i="1"/>
  <c r="J665" i="1" s="1"/>
  <c r="L665" i="1"/>
  <c r="M665" i="1" s="1"/>
  <c r="F665" i="1" l="1"/>
  <c r="G665" i="1"/>
  <c r="E666" i="1" l="1"/>
  <c r="C666" i="1"/>
  <c r="D657" i="3" s="1"/>
  <c r="D666" i="1"/>
  <c r="B666" i="1"/>
  <c r="C657" i="3" s="1"/>
  <c r="I666" i="1" l="1"/>
  <c r="L666" i="1"/>
  <c r="O666" i="1"/>
  <c r="H666" i="1"/>
  <c r="K666" i="1"/>
  <c r="M666" i="1" s="1"/>
  <c r="N666" i="1"/>
  <c r="P666" i="1" s="1"/>
  <c r="J666" i="1" l="1"/>
  <c r="F666" i="1" s="1"/>
  <c r="G666" i="1" l="1"/>
  <c r="E667" i="1" s="1"/>
  <c r="D667" i="1"/>
  <c r="B667" i="1"/>
  <c r="C658" i="3" s="1"/>
  <c r="C667" i="1" l="1"/>
  <c r="K667" i="1"/>
  <c r="N667" i="1"/>
  <c r="H667" i="1"/>
  <c r="I667" i="1" l="1"/>
  <c r="J667" i="1" s="1"/>
  <c r="D658" i="3"/>
  <c r="O667" i="1"/>
  <c r="P667" i="1" s="1"/>
  <c r="L667" i="1"/>
  <c r="M667" i="1" s="1"/>
  <c r="G667" i="1" l="1"/>
  <c r="E668" i="1" s="1"/>
  <c r="F667" i="1"/>
  <c r="D668" i="1" s="1"/>
  <c r="B668" i="1" l="1"/>
  <c r="C668" i="1"/>
  <c r="L668" i="1" l="1"/>
  <c r="D659" i="3"/>
  <c r="H668" i="1"/>
  <c r="C659" i="3"/>
  <c r="N668" i="1"/>
  <c r="K668" i="1"/>
  <c r="O668" i="1"/>
  <c r="I668" i="1"/>
  <c r="J668" i="1" s="1"/>
  <c r="M668" i="1" l="1"/>
  <c r="P668" i="1"/>
  <c r="G668" i="1" l="1"/>
  <c r="E669" i="1" s="1"/>
  <c r="F668" i="1"/>
  <c r="D669" i="1" s="1"/>
  <c r="C669" i="1" l="1"/>
  <c r="L669" i="1" s="1"/>
  <c r="B669" i="1"/>
  <c r="O669" i="1" l="1"/>
  <c r="I669" i="1"/>
  <c r="D660" i="3"/>
  <c r="K669" i="1"/>
  <c r="M669" i="1" s="1"/>
  <c r="C660" i="3"/>
  <c r="H669" i="1"/>
  <c r="J669" i="1" s="1"/>
  <c r="N669" i="1"/>
  <c r="P669" i="1" l="1"/>
  <c r="G669" i="1" s="1"/>
  <c r="C670" i="1" s="1"/>
  <c r="D661" i="3" s="1"/>
  <c r="F669" i="1" l="1"/>
  <c r="B670" i="1" s="1"/>
  <c r="C661" i="3" s="1"/>
  <c r="E670" i="1"/>
  <c r="L670" i="1"/>
  <c r="O670" i="1"/>
  <c r="I670" i="1"/>
  <c r="D670" i="1" l="1"/>
  <c r="N670" i="1"/>
  <c r="P670" i="1" s="1"/>
  <c r="H670" i="1"/>
  <c r="K670" i="1"/>
  <c r="M670" i="1" s="1"/>
  <c r="J670" i="1" l="1"/>
  <c r="G670" i="1" s="1"/>
  <c r="E671" i="1" l="1"/>
  <c r="C671" i="1"/>
  <c r="D662" i="3" s="1"/>
  <c r="F670" i="1"/>
  <c r="O671" i="1" l="1"/>
  <c r="I671" i="1"/>
  <c r="L671" i="1"/>
  <c r="D671" i="1"/>
  <c r="B671" i="1"/>
  <c r="C662" i="3" s="1"/>
  <c r="N671" i="1" l="1"/>
  <c r="P671" i="1" s="1"/>
  <c r="H671" i="1"/>
  <c r="K671" i="1"/>
  <c r="M671" i="1" s="1"/>
  <c r="J671" i="1" l="1"/>
  <c r="G671" i="1" s="1"/>
  <c r="C672" i="1" l="1"/>
  <c r="D663" i="3" s="1"/>
  <c r="E672" i="1"/>
  <c r="F671" i="1"/>
  <c r="D672" i="1" l="1"/>
  <c r="B672" i="1"/>
  <c r="C663" i="3" s="1"/>
  <c r="O672" i="1"/>
  <c r="I672" i="1"/>
  <c r="L672" i="1"/>
  <c r="H672" i="1" l="1"/>
  <c r="K672" i="1"/>
  <c r="M672" i="1" s="1"/>
  <c r="N672" i="1"/>
  <c r="P672" i="1" s="1"/>
  <c r="J672" i="1" l="1"/>
  <c r="G672" i="1" s="1"/>
  <c r="E673" i="1" l="1"/>
  <c r="C673" i="1"/>
  <c r="D664" i="3" s="1"/>
  <c r="F672" i="1"/>
  <c r="I673" i="1" l="1"/>
  <c r="L673" i="1"/>
  <c r="O673" i="1"/>
  <c r="B673" i="1"/>
  <c r="C664" i="3" s="1"/>
  <c r="D673" i="1"/>
  <c r="H673" i="1" l="1"/>
  <c r="K673" i="1"/>
  <c r="M673" i="1" s="1"/>
  <c r="N673" i="1"/>
  <c r="P673" i="1" s="1"/>
  <c r="J673" i="1" l="1"/>
  <c r="G673" i="1" s="1"/>
  <c r="F673" i="1" l="1"/>
  <c r="D674" i="1" s="1"/>
  <c r="C674" i="1"/>
  <c r="D665" i="3" s="1"/>
  <c r="E674" i="1"/>
  <c r="B674" i="1" l="1"/>
  <c r="I674" i="1"/>
  <c r="L674" i="1"/>
  <c r="O674" i="1"/>
  <c r="K674" i="1" l="1"/>
  <c r="M674" i="1" s="1"/>
  <c r="C665" i="3"/>
  <c r="H674" i="1"/>
  <c r="J674" i="1" s="1"/>
  <c r="N674" i="1"/>
  <c r="P674" i="1" s="1"/>
  <c r="G674" i="1" l="1"/>
  <c r="E675" i="1" s="1"/>
  <c r="F674" i="1"/>
  <c r="B675" i="1" s="1"/>
  <c r="C666" i="3" s="1"/>
  <c r="C675" i="1" l="1"/>
  <c r="D675" i="1"/>
  <c r="K675" i="1"/>
  <c r="N675" i="1"/>
  <c r="H675" i="1"/>
  <c r="I675" i="1" l="1"/>
  <c r="J675" i="1" s="1"/>
  <c r="D666" i="3"/>
  <c r="O675" i="1"/>
  <c r="P675" i="1" s="1"/>
  <c r="L675" i="1"/>
  <c r="M675" i="1" s="1"/>
  <c r="G675" i="1" l="1"/>
  <c r="E676" i="1" s="1"/>
  <c r="F675" i="1"/>
  <c r="C676" i="1" l="1"/>
  <c r="D676" i="1"/>
  <c r="B676" i="1"/>
  <c r="C667" i="3" s="1"/>
  <c r="L676" i="1" l="1"/>
  <c r="D667" i="3"/>
  <c r="I676" i="1"/>
  <c r="O676" i="1"/>
  <c r="K676" i="1"/>
  <c r="N676" i="1"/>
  <c r="P676" i="1" s="1"/>
  <c r="H676" i="1"/>
  <c r="M676" i="1" l="1"/>
  <c r="J676" i="1"/>
  <c r="G676" i="1" l="1"/>
  <c r="C677" i="1" s="1"/>
  <c r="D668" i="3" s="1"/>
  <c r="F676" i="1"/>
  <c r="B677" i="1" s="1"/>
  <c r="C668" i="3" s="1"/>
  <c r="E677" i="1" l="1"/>
  <c r="D677" i="1"/>
  <c r="L677" i="1"/>
  <c r="O677" i="1"/>
  <c r="I677" i="1"/>
  <c r="K677" i="1"/>
  <c r="N677" i="1"/>
  <c r="H677" i="1"/>
  <c r="P677" i="1" l="1"/>
  <c r="M677" i="1"/>
  <c r="J677" i="1"/>
  <c r="G677" i="1" l="1"/>
  <c r="C678" i="1" s="1"/>
  <c r="D669" i="3" s="1"/>
  <c r="F677" i="1"/>
  <c r="E678" i="1" l="1"/>
  <c r="B678" i="1"/>
  <c r="C669" i="3" s="1"/>
  <c r="D678" i="1"/>
  <c r="L678" i="1"/>
  <c r="O678" i="1"/>
  <c r="I678" i="1"/>
  <c r="N678" i="1" l="1"/>
  <c r="P678" i="1" s="1"/>
  <c r="H678" i="1"/>
  <c r="K678" i="1"/>
  <c r="M678" i="1" s="1"/>
  <c r="J678" i="1" l="1"/>
  <c r="G678" i="1" s="1"/>
  <c r="E679" i="1" l="1"/>
  <c r="C679" i="1"/>
  <c r="D670" i="3" s="1"/>
  <c r="F678" i="1"/>
  <c r="D679" i="1" l="1"/>
  <c r="B679" i="1"/>
  <c r="C670" i="3" s="1"/>
  <c r="O679" i="1"/>
  <c r="I679" i="1"/>
  <c r="L679" i="1"/>
  <c r="N679" i="1" l="1"/>
  <c r="P679" i="1" s="1"/>
  <c r="H679" i="1"/>
  <c r="K679" i="1"/>
  <c r="M679" i="1" s="1"/>
  <c r="J679" i="1" l="1"/>
  <c r="G679" i="1" s="1"/>
  <c r="E680" i="1" l="1"/>
  <c r="C680" i="1"/>
  <c r="D671" i="3" s="1"/>
  <c r="F679" i="1"/>
  <c r="B680" i="1" l="1"/>
  <c r="C671" i="3" s="1"/>
  <c r="D680" i="1"/>
  <c r="O680" i="1"/>
  <c r="I680" i="1"/>
  <c r="L680" i="1"/>
  <c r="N680" i="1" l="1"/>
  <c r="P680" i="1" s="1"/>
  <c r="H680" i="1"/>
  <c r="K680" i="1"/>
  <c r="M680" i="1" s="1"/>
  <c r="J680" i="1" l="1"/>
  <c r="G680" i="1" s="1"/>
  <c r="C681" i="1" l="1"/>
  <c r="D672" i="3" s="1"/>
  <c r="E681" i="1"/>
  <c r="F680" i="1"/>
  <c r="D681" i="1" l="1"/>
  <c r="B681" i="1"/>
  <c r="C672" i="3" s="1"/>
  <c r="O681" i="1"/>
  <c r="I681" i="1"/>
  <c r="L681" i="1"/>
  <c r="H681" i="1" l="1"/>
  <c r="K681" i="1"/>
  <c r="M681" i="1" s="1"/>
  <c r="N681" i="1"/>
  <c r="P681" i="1" s="1"/>
  <c r="J681" i="1" l="1"/>
  <c r="G681" i="1" s="1"/>
  <c r="F681" i="1" l="1"/>
  <c r="B682" i="1" s="1"/>
  <c r="C673" i="3" s="1"/>
  <c r="E682" i="1"/>
  <c r="C682" i="1"/>
  <c r="D673" i="3" s="1"/>
  <c r="D682" i="1" l="1"/>
  <c r="I682" i="1"/>
  <c r="L682" i="1"/>
  <c r="O682" i="1"/>
  <c r="H682" i="1"/>
  <c r="K682" i="1"/>
  <c r="N682" i="1"/>
  <c r="J682" i="1" l="1"/>
  <c r="P682" i="1"/>
  <c r="M682" i="1"/>
  <c r="F682" i="1" l="1"/>
  <c r="D683" i="1" s="1"/>
  <c r="G682" i="1"/>
  <c r="B683" i="1" l="1"/>
  <c r="C683" i="1"/>
  <c r="D674" i="3" s="1"/>
  <c r="E683" i="1"/>
  <c r="K683" i="1" l="1"/>
  <c r="C674" i="3"/>
  <c r="H683" i="1"/>
  <c r="N683" i="1"/>
  <c r="I683" i="1"/>
  <c r="L683" i="1"/>
  <c r="O683" i="1"/>
  <c r="P683" i="1" l="1"/>
  <c r="M683" i="1"/>
  <c r="J683" i="1"/>
  <c r="F683" i="1" l="1"/>
  <c r="B684" i="1" s="1"/>
  <c r="C675" i="3" s="1"/>
  <c r="G683" i="1"/>
  <c r="C684" i="1" s="1"/>
  <c r="D675" i="3" s="1"/>
  <c r="K684" i="1" l="1"/>
  <c r="H684" i="1"/>
  <c r="N684" i="1"/>
  <c r="D684" i="1"/>
  <c r="E684" i="1"/>
  <c r="L684" i="1"/>
  <c r="O684" i="1"/>
  <c r="I684" i="1"/>
  <c r="J684" i="1" s="1"/>
  <c r="P684" i="1" l="1"/>
  <c r="M684" i="1"/>
  <c r="F684" i="1" l="1"/>
  <c r="D685" i="1" s="1"/>
  <c r="G684" i="1"/>
  <c r="E685" i="1" s="1"/>
  <c r="B685" i="1" l="1"/>
  <c r="C676" i="3" s="1"/>
  <c r="C685" i="1"/>
  <c r="D676" i="3" s="1"/>
  <c r="K685" i="1" l="1"/>
  <c r="H685" i="1"/>
  <c r="N685" i="1"/>
  <c r="I685" i="1"/>
  <c r="O685" i="1"/>
  <c r="P685" i="1" s="1"/>
  <c r="L685" i="1"/>
  <c r="J685" i="1" l="1"/>
  <c r="M685" i="1"/>
  <c r="G685" i="1" l="1"/>
  <c r="E686" i="1" s="1"/>
  <c r="F685" i="1"/>
  <c r="D686" i="1" s="1"/>
  <c r="C686" i="1" l="1"/>
  <c r="D677" i="3" s="1"/>
  <c r="B686" i="1"/>
  <c r="N686" i="1" s="1"/>
  <c r="L686" i="1" l="1"/>
  <c r="I686" i="1"/>
  <c r="O686" i="1"/>
  <c r="H686" i="1"/>
  <c r="J686" i="1" s="1"/>
  <c r="K686" i="1"/>
  <c r="C677" i="3"/>
  <c r="P686" i="1"/>
  <c r="M686" i="1" l="1"/>
  <c r="F686" i="1"/>
  <c r="D687" i="1" s="1"/>
  <c r="G686" i="1"/>
  <c r="C687" i="1" s="1"/>
  <c r="D678" i="3" s="1"/>
  <c r="B687" i="1" l="1"/>
  <c r="E687" i="1"/>
  <c r="O687" i="1"/>
  <c r="I687" i="1"/>
  <c r="L687" i="1"/>
  <c r="N687" i="1" l="1"/>
  <c r="P687" i="1" s="1"/>
  <c r="C678" i="3"/>
  <c r="H687" i="1"/>
  <c r="J687" i="1" s="1"/>
  <c r="K687" i="1"/>
  <c r="M687" i="1" s="1"/>
  <c r="F687" i="1" l="1"/>
  <c r="B688" i="1" s="1"/>
  <c r="G687" i="1"/>
  <c r="C688" i="1" s="1"/>
  <c r="D679" i="3" s="1"/>
  <c r="K688" i="1" l="1"/>
  <c r="C679" i="3"/>
  <c r="H688" i="1"/>
  <c r="N688" i="1"/>
  <c r="D688" i="1"/>
  <c r="E688" i="1"/>
  <c r="O688" i="1"/>
  <c r="P688" i="1" s="1"/>
  <c r="I688" i="1"/>
  <c r="L688" i="1"/>
  <c r="M688" i="1" s="1"/>
  <c r="J688" i="1" l="1"/>
  <c r="F688" i="1" s="1"/>
  <c r="D689" i="1" l="1"/>
  <c r="B689" i="1"/>
  <c r="C680" i="3" s="1"/>
  <c r="G688" i="1"/>
  <c r="E689" i="1" l="1"/>
  <c r="C689" i="1"/>
  <c r="D680" i="3" s="1"/>
  <c r="H689" i="1"/>
  <c r="K689" i="1"/>
  <c r="N689" i="1"/>
  <c r="O689" i="1" l="1"/>
  <c r="P689" i="1" s="1"/>
  <c r="I689" i="1"/>
  <c r="J689" i="1" s="1"/>
  <c r="L689" i="1"/>
  <c r="M689" i="1" s="1"/>
  <c r="F689" i="1" l="1"/>
  <c r="B690" i="1" s="1"/>
  <c r="C681" i="3" s="1"/>
  <c r="G689" i="1"/>
  <c r="D690" i="1" l="1"/>
  <c r="E690" i="1"/>
  <c r="C690" i="1"/>
  <c r="D681" i="3" s="1"/>
  <c r="H690" i="1"/>
  <c r="K690" i="1"/>
  <c r="N690" i="1"/>
  <c r="I690" i="1" l="1"/>
  <c r="J690" i="1" s="1"/>
  <c r="L690" i="1"/>
  <c r="M690" i="1" s="1"/>
  <c r="O690" i="1"/>
  <c r="P690" i="1" s="1"/>
  <c r="F690" i="1" l="1"/>
  <c r="D691" i="1" s="1"/>
  <c r="G690" i="1"/>
  <c r="B691" i="1" l="1"/>
  <c r="E691" i="1"/>
  <c r="C691" i="1"/>
  <c r="D682" i="3" s="1"/>
  <c r="K691" i="1" l="1"/>
  <c r="C682" i="3"/>
  <c r="N691" i="1"/>
  <c r="H691" i="1"/>
  <c r="I691" i="1"/>
  <c r="L691" i="1"/>
  <c r="O691" i="1"/>
  <c r="M691" i="1" l="1"/>
  <c r="P691" i="1"/>
  <c r="J691" i="1"/>
  <c r="F691" i="1" l="1"/>
  <c r="B692" i="1" s="1"/>
  <c r="C683" i="3" s="1"/>
  <c r="G691" i="1"/>
  <c r="D692" i="1" l="1"/>
  <c r="E692" i="1"/>
  <c r="C692" i="1"/>
  <c r="D683" i="3" s="1"/>
  <c r="K692" i="1"/>
  <c r="N692" i="1"/>
  <c r="H692" i="1"/>
  <c r="L692" i="1" l="1"/>
  <c r="M692" i="1" s="1"/>
  <c r="O692" i="1"/>
  <c r="P692" i="1" s="1"/>
  <c r="I692" i="1"/>
  <c r="J692" i="1" l="1"/>
  <c r="F692" i="1" s="1"/>
  <c r="D693" i="1" l="1"/>
  <c r="B693" i="1"/>
  <c r="C684" i="3" s="1"/>
  <c r="G692" i="1"/>
  <c r="E693" i="1" l="1"/>
  <c r="C693" i="1"/>
  <c r="D684" i="3" s="1"/>
  <c r="K693" i="1"/>
  <c r="N693" i="1"/>
  <c r="H693" i="1"/>
  <c r="L693" i="1" l="1"/>
  <c r="M693" i="1" s="1"/>
  <c r="O693" i="1"/>
  <c r="P693" i="1" s="1"/>
  <c r="I693" i="1"/>
  <c r="J693" i="1" l="1"/>
  <c r="F693" i="1" s="1"/>
  <c r="D694" i="1" l="1"/>
  <c r="B694" i="1"/>
  <c r="C685" i="3" s="1"/>
  <c r="G693" i="1"/>
  <c r="N694" i="1" l="1"/>
  <c r="H694" i="1"/>
  <c r="K694" i="1"/>
  <c r="E694" i="1"/>
  <c r="C694" i="1"/>
  <c r="D685" i="3" s="1"/>
  <c r="L694" i="1" l="1"/>
  <c r="M694" i="1" s="1"/>
  <c r="O694" i="1"/>
  <c r="P694" i="1" s="1"/>
  <c r="I694" i="1"/>
  <c r="J694" i="1" s="1"/>
  <c r="F694" i="1" l="1"/>
  <c r="B695" i="1" s="1"/>
  <c r="C686" i="3" s="1"/>
  <c r="G694" i="1"/>
  <c r="D695" i="1" l="1"/>
  <c r="E695" i="1"/>
  <c r="C695" i="1"/>
  <c r="D686" i="3" s="1"/>
  <c r="N695" i="1"/>
  <c r="H695" i="1"/>
  <c r="K695" i="1"/>
  <c r="O695" i="1" l="1"/>
  <c r="P695" i="1" s="1"/>
  <c r="I695" i="1"/>
  <c r="L695" i="1"/>
  <c r="M695" i="1" s="1"/>
  <c r="J695" i="1" l="1"/>
  <c r="F695" i="1" s="1"/>
  <c r="D696" i="1" l="1"/>
  <c r="B696" i="1"/>
  <c r="C687" i="3" s="1"/>
  <c r="G695" i="1"/>
  <c r="N696" i="1" l="1"/>
  <c r="H696" i="1"/>
  <c r="K696" i="1"/>
  <c r="E696" i="1"/>
  <c r="C696" i="1"/>
  <c r="D687" i="3" s="1"/>
  <c r="O696" i="1" l="1"/>
  <c r="P696" i="1" s="1"/>
  <c r="I696" i="1"/>
  <c r="J696" i="1" s="1"/>
  <c r="L696" i="1"/>
  <c r="M696" i="1" s="1"/>
  <c r="F696" i="1" l="1"/>
  <c r="B697" i="1" s="1"/>
  <c r="C688" i="3" s="1"/>
  <c r="G696" i="1"/>
  <c r="D697" i="1" l="1"/>
  <c r="C697" i="1"/>
  <c r="D688" i="3" s="1"/>
  <c r="E697" i="1"/>
  <c r="H697" i="1"/>
  <c r="K697" i="1"/>
  <c r="N697" i="1"/>
  <c r="O697" i="1" l="1"/>
  <c r="P697" i="1" s="1"/>
  <c r="I697" i="1"/>
  <c r="L697" i="1"/>
  <c r="M697" i="1" s="1"/>
  <c r="J697" i="1" l="1"/>
  <c r="F697" i="1" s="1"/>
  <c r="B698" i="1" l="1"/>
  <c r="C689" i="3" s="1"/>
  <c r="D698" i="1"/>
  <c r="G697" i="1"/>
  <c r="C698" i="1" l="1"/>
  <c r="D689" i="3" s="1"/>
  <c r="E698" i="1"/>
  <c r="H698" i="1"/>
  <c r="K698" i="1"/>
  <c r="N698" i="1"/>
  <c r="I698" i="1" l="1"/>
  <c r="L698" i="1"/>
  <c r="M698" i="1" s="1"/>
  <c r="O698" i="1"/>
  <c r="P698" i="1" s="1"/>
  <c r="J698" i="1" l="1"/>
  <c r="F698" i="1" s="1"/>
  <c r="B699" i="1" l="1"/>
  <c r="C690" i="3" s="1"/>
  <c r="D699" i="1"/>
  <c r="G698" i="1"/>
  <c r="E699" i="1" l="1"/>
  <c r="C699" i="1"/>
  <c r="D690" i="3" s="1"/>
  <c r="K699" i="1"/>
  <c r="N699" i="1"/>
  <c r="H699" i="1"/>
  <c r="I699" i="1" l="1"/>
  <c r="L699" i="1"/>
  <c r="M699" i="1" s="1"/>
  <c r="O699" i="1"/>
  <c r="P699" i="1" s="1"/>
  <c r="J699" i="1" l="1"/>
  <c r="F699" i="1" s="1"/>
  <c r="B700" i="1" l="1"/>
  <c r="C691" i="3" s="1"/>
  <c r="D700" i="1"/>
  <c r="G699" i="1"/>
  <c r="E700" i="1" l="1"/>
  <c r="C700" i="1"/>
  <c r="D691" i="3" s="1"/>
  <c r="K700" i="1"/>
  <c r="N700" i="1"/>
  <c r="H700" i="1"/>
  <c r="L700" i="1" l="1"/>
  <c r="M700" i="1" s="1"/>
  <c r="O700" i="1"/>
  <c r="P700" i="1" s="1"/>
  <c r="I700" i="1"/>
  <c r="J700" i="1" l="1"/>
  <c r="F700" i="1" s="1"/>
  <c r="D701" i="1" l="1"/>
  <c r="B701" i="1"/>
  <c r="C692" i="3" s="1"/>
  <c r="G700" i="1"/>
  <c r="E701" i="1" l="1"/>
  <c r="C701" i="1"/>
  <c r="D692" i="3" s="1"/>
  <c r="K701" i="1"/>
  <c r="N701" i="1"/>
  <c r="H701" i="1"/>
  <c r="L701" i="1" l="1"/>
  <c r="M701" i="1" s="1"/>
  <c r="O701" i="1"/>
  <c r="P701" i="1" s="1"/>
  <c r="I701" i="1"/>
  <c r="J701" i="1" l="1"/>
  <c r="F701" i="1" s="1"/>
  <c r="B702" i="1" l="1"/>
  <c r="C693" i="3" s="1"/>
  <c r="D702" i="1"/>
  <c r="G701" i="1"/>
  <c r="E702" i="1" l="1"/>
  <c r="C702" i="1"/>
  <c r="D693" i="3" s="1"/>
  <c r="N702" i="1"/>
  <c r="H702" i="1"/>
  <c r="K702" i="1"/>
  <c r="L702" i="1" l="1"/>
  <c r="M702" i="1" s="1"/>
  <c r="O702" i="1"/>
  <c r="P702" i="1" s="1"/>
  <c r="I702" i="1"/>
  <c r="J702" i="1" l="1"/>
  <c r="F702" i="1" s="1"/>
  <c r="D703" i="1" l="1"/>
  <c r="B703" i="1"/>
  <c r="C694" i="3" s="1"/>
  <c r="G702" i="1"/>
  <c r="E703" i="1" l="1"/>
  <c r="C703" i="1"/>
  <c r="D694" i="3" s="1"/>
  <c r="N703" i="1"/>
  <c r="H703" i="1"/>
  <c r="K703" i="1"/>
  <c r="O703" i="1" l="1"/>
  <c r="P703" i="1" s="1"/>
  <c r="I703" i="1"/>
  <c r="L703" i="1"/>
  <c r="M703" i="1" s="1"/>
  <c r="J703" i="1" l="1"/>
  <c r="F703" i="1" s="1"/>
  <c r="B704" i="1" l="1"/>
  <c r="C695" i="3" s="1"/>
  <c r="D704" i="1"/>
  <c r="G703" i="1"/>
  <c r="E704" i="1" l="1"/>
  <c r="C704" i="1"/>
  <c r="D695" i="3" s="1"/>
  <c r="N704" i="1"/>
  <c r="H704" i="1"/>
  <c r="K704" i="1"/>
  <c r="O704" i="1" l="1"/>
  <c r="P704" i="1" s="1"/>
  <c r="I704" i="1"/>
  <c r="L704" i="1"/>
  <c r="M704" i="1" s="1"/>
  <c r="J704" i="1" l="1"/>
  <c r="F704" i="1" s="1"/>
  <c r="B705" i="1" l="1"/>
  <c r="C696" i="3" s="1"/>
  <c r="D705" i="1"/>
  <c r="G704" i="1"/>
  <c r="E705" i="1" l="1"/>
  <c r="C705" i="1"/>
  <c r="D696" i="3" s="1"/>
  <c r="H705" i="1"/>
  <c r="K705" i="1"/>
  <c r="N705" i="1"/>
  <c r="O705" i="1" l="1"/>
  <c r="P705" i="1" s="1"/>
  <c r="I705" i="1"/>
  <c r="L705" i="1"/>
  <c r="M705" i="1" s="1"/>
  <c r="J705" i="1" l="1"/>
  <c r="F705" i="1" s="1"/>
  <c r="B706" i="1" l="1"/>
  <c r="C697" i="3" s="1"/>
  <c r="D706" i="1"/>
  <c r="G705" i="1"/>
  <c r="E706" i="1" l="1"/>
  <c r="C706" i="1"/>
  <c r="D697" i="3" s="1"/>
  <c r="H706" i="1"/>
  <c r="K706" i="1"/>
  <c r="N706" i="1"/>
  <c r="I706" i="1" l="1"/>
  <c r="L706" i="1"/>
  <c r="M706" i="1" s="1"/>
  <c r="O706" i="1"/>
  <c r="P706" i="1" s="1"/>
  <c r="J706" i="1" l="1"/>
  <c r="F706" i="1" s="1"/>
  <c r="B707" i="1" l="1"/>
  <c r="C698" i="3" s="1"/>
  <c r="D707" i="1"/>
  <c r="G706" i="1"/>
  <c r="E707" i="1" l="1"/>
  <c r="C707" i="1"/>
  <c r="D698" i="3" s="1"/>
  <c r="K707" i="1"/>
  <c r="N707" i="1"/>
  <c r="H707" i="1"/>
  <c r="I707" i="1" l="1"/>
  <c r="L707" i="1"/>
  <c r="M707" i="1" s="1"/>
  <c r="O707" i="1"/>
  <c r="P707" i="1" s="1"/>
  <c r="J707" i="1" l="1"/>
  <c r="F707" i="1" s="1"/>
  <c r="D708" i="1" l="1"/>
  <c r="B708" i="1"/>
  <c r="C699" i="3" s="1"/>
  <c r="G707" i="1"/>
  <c r="E708" i="1" l="1"/>
  <c r="C708" i="1"/>
  <c r="D699" i="3" s="1"/>
  <c r="K708" i="1"/>
  <c r="N708" i="1"/>
  <c r="H708" i="1"/>
  <c r="L708" i="1" l="1"/>
  <c r="M708" i="1" s="1"/>
  <c r="O708" i="1"/>
  <c r="P708" i="1" s="1"/>
  <c r="I708" i="1"/>
  <c r="J708" i="1" l="1"/>
  <c r="F708" i="1" s="1"/>
  <c r="B709" i="1" l="1"/>
  <c r="C700" i="3" s="1"/>
  <c r="D709" i="1"/>
  <c r="G708" i="1"/>
  <c r="E709" i="1" l="1"/>
  <c r="C709" i="1"/>
  <c r="D700" i="3" s="1"/>
  <c r="K709" i="1"/>
  <c r="N709" i="1"/>
  <c r="H709" i="1"/>
  <c r="L709" i="1" l="1"/>
  <c r="M709" i="1" s="1"/>
  <c r="O709" i="1"/>
  <c r="P709" i="1" s="1"/>
  <c r="I709" i="1"/>
  <c r="J709" i="1" l="1"/>
  <c r="F709" i="1" s="1"/>
  <c r="D710" i="1" l="1"/>
  <c r="B710" i="1"/>
  <c r="C701" i="3" s="1"/>
  <c r="G709" i="1"/>
  <c r="N710" i="1" l="1"/>
  <c r="H710" i="1"/>
  <c r="K710" i="1"/>
  <c r="E710" i="1"/>
  <c r="C710" i="1"/>
  <c r="D701" i="3" s="1"/>
  <c r="L710" i="1" l="1"/>
  <c r="M710" i="1" s="1"/>
  <c r="O710" i="1"/>
  <c r="I710" i="1"/>
  <c r="J710" i="1" s="1"/>
  <c r="P710" i="1"/>
  <c r="F710" i="1" l="1"/>
  <c r="B711" i="1" s="1"/>
  <c r="C702" i="3" s="1"/>
  <c r="G710" i="1"/>
  <c r="D711" i="1" l="1"/>
  <c r="C711" i="1"/>
  <c r="D702" i="3" s="1"/>
  <c r="E711" i="1"/>
  <c r="N711" i="1"/>
  <c r="H711" i="1"/>
  <c r="K711" i="1"/>
  <c r="O711" i="1" l="1"/>
  <c r="P711" i="1" s="1"/>
  <c r="I711" i="1"/>
  <c r="L711" i="1"/>
  <c r="M711" i="1" s="1"/>
  <c r="J711" i="1" l="1"/>
  <c r="F711" i="1" s="1"/>
  <c r="B712" i="1" l="1"/>
  <c r="C703" i="3" s="1"/>
  <c r="D712" i="1"/>
  <c r="G711" i="1"/>
  <c r="E712" i="1" l="1"/>
  <c r="C712" i="1"/>
  <c r="D703" i="3" s="1"/>
  <c r="N712" i="1"/>
  <c r="H712" i="1"/>
  <c r="K712" i="1"/>
  <c r="O712" i="1" l="1"/>
  <c r="P712" i="1" s="1"/>
  <c r="I712" i="1"/>
  <c r="J712" i="1" s="1"/>
  <c r="L712" i="1"/>
  <c r="M712" i="1" s="1"/>
  <c r="F712" i="1" l="1"/>
  <c r="B713" i="1" s="1"/>
  <c r="C704" i="3" s="1"/>
  <c r="G712" i="1"/>
  <c r="D713" i="1" l="1"/>
  <c r="E713" i="1"/>
  <c r="C713" i="1"/>
  <c r="D704" i="3" s="1"/>
  <c r="H713" i="1"/>
  <c r="K713" i="1"/>
  <c r="N713" i="1"/>
  <c r="O713" i="1" l="1"/>
  <c r="P713" i="1" s="1"/>
  <c r="I713" i="1"/>
  <c r="L713" i="1"/>
  <c r="M713" i="1" s="1"/>
  <c r="J713" i="1" l="1"/>
  <c r="F713" i="1" s="1"/>
  <c r="D714" i="1" l="1"/>
  <c r="B714" i="1"/>
  <c r="C705" i="3" s="1"/>
  <c r="G713" i="1"/>
  <c r="E714" i="1" l="1"/>
  <c r="C714" i="1"/>
  <c r="D705" i="3" s="1"/>
  <c r="H714" i="1"/>
  <c r="K714" i="1"/>
  <c r="N714" i="1"/>
  <c r="I714" i="1" l="1"/>
  <c r="L714" i="1"/>
  <c r="M714" i="1" s="1"/>
  <c r="O714" i="1"/>
  <c r="P714" i="1" s="1"/>
  <c r="J714" i="1" l="1"/>
  <c r="F714" i="1" s="1"/>
  <c r="D715" i="1" l="1"/>
  <c r="B715" i="1"/>
  <c r="C706" i="3" s="1"/>
  <c r="G714" i="1"/>
  <c r="K715" i="1" l="1"/>
  <c r="N715" i="1"/>
  <c r="H715" i="1"/>
  <c r="E715" i="1"/>
  <c r="C715" i="1"/>
  <c r="D706" i="3" s="1"/>
  <c r="I715" i="1" l="1"/>
  <c r="J715" i="1" s="1"/>
  <c r="L715" i="1"/>
  <c r="M715" i="1" s="1"/>
  <c r="O715" i="1"/>
  <c r="P715" i="1" s="1"/>
  <c r="F715" i="1" l="1"/>
  <c r="B716" i="1" s="1"/>
  <c r="C707" i="3" s="1"/>
  <c r="G715" i="1"/>
  <c r="D716" i="1" l="1"/>
  <c r="C716" i="1"/>
  <c r="D707" i="3" s="1"/>
  <c r="E716" i="1"/>
  <c r="K716" i="1"/>
  <c r="N716" i="1"/>
  <c r="H716" i="1"/>
  <c r="L716" i="1" l="1"/>
  <c r="M716" i="1" s="1"/>
  <c r="O716" i="1"/>
  <c r="P716" i="1" s="1"/>
  <c r="I716" i="1"/>
  <c r="J716" i="1" s="1"/>
  <c r="F716" i="1" l="1"/>
  <c r="B717" i="1" s="1"/>
  <c r="C708" i="3" s="1"/>
  <c r="G716" i="1"/>
  <c r="D717" i="1" l="1"/>
  <c r="C717" i="1"/>
  <c r="D708" i="3" s="1"/>
  <c r="E717" i="1"/>
  <c r="K717" i="1"/>
  <c r="N717" i="1"/>
  <c r="H717" i="1"/>
  <c r="L717" i="1" l="1"/>
  <c r="M717" i="1" s="1"/>
  <c r="O717" i="1"/>
  <c r="P717" i="1" s="1"/>
  <c r="I717" i="1"/>
  <c r="J717" i="1" s="1"/>
  <c r="F717" i="1" l="1"/>
  <c r="D718" i="1" s="1"/>
  <c r="G717" i="1"/>
  <c r="B718" i="1" l="1"/>
  <c r="E718" i="1"/>
  <c r="C718" i="1"/>
  <c r="D709" i="3" s="1"/>
  <c r="N718" i="1" l="1"/>
  <c r="C709" i="3"/>
  <c r="K718" i="1"/>
  <c r="H718" i="1"/>
  <c r="L718" i="1"/>
  <c r="O718" i="1"/>
  <c r="I718" i="1"/>
  <c r="J718" i="1" s="1"/>
  <c r="P718" i="1" l="1"/>
  <c r="M718" i="1"/>
  <c r="F718" i="1" l="1"/>
  <c r="B719" i="1" s="1"/>
  <c r="C710" i="3" s="1"/>
  <c r="G718" i="1"/>
  <c r="E719" i="1" s="1"/>
  <c r="N719" i="1" l="1"/>
  <c r="K719" i="1"/>
  <c r="H719" i="1"/>
  <c r="D719" i="1"/>
  <c r="C719" i="1"/>
  <c r="O719" i="1" l="1"/>
  <c r="P719" i="1" s="1"/>
  <c r="D710" i="3"/>
  <c r="L719" i="1"/>
  <c r="M719" i="1" s="1"/>
  <c r="I719" i="1"/>
  <c r="J719" i="1" s="1"/>
  <c r="F719" i="1" l="1"/>
  <c r="D720" i="1" s="1"/>
  <c r="G719" i="1"/>
  <c r="B720" i="1" l="1"/>
  <c r="E720" i="1"/>
  <c r="C720" i="1"/>
  <c r="D711" i="3" s="1"/>
  <c r="N720" i="1" l="1"/>
  <c r="C711" i="3"/>
  <c r="K720" i="1"/>
  <c r="H720" i="1"/>
  <c r="O720" i="1"/>
  <c r="I720" i="1"/>
  <c r="L720" i="1"/>
  <c r="J720" i="1" l="1"/>
  <c r="P720" i="1"/>
  <c r="M720" i="1"/>
  <c r="F720" i="1" l="1"/>
  <c r="D721" i="1" s="1"/>
  <c r="G720" i="1"/>
  <c r="E721" i="1" s="1"/>
  <c r="B721" i="1" l="1"/>
  <c r="K721" i="1" s="1"/>
  <c r="C721" i="1"/>
  <c r="N721" i="1" l="1"/>
  <c r="H721" i="1"/>
  <c r="C712" i="3"/>
  <c r="O721" i="1"/>
  <c r="D712" i="3"/>
  <c r="L721" i="1"/>
  <c r="M721" i="1" s="1"/>
  <c r="I721" i="1"/>
  <c r="J721" i="1" s="1"/>
  <c r="P721" i="1" l="1"/>
  <c r="F721" i="1" s="1"/>
  <c r="D722" i="1" s="1"/>
  <c r="G721" i="1" l="1"/>
  <c r="C722" i="1" s="1"/>
  <c r="D713" i="3" s="1"/>
  <c r="B722" i="1"/>
  <c r="I722" i="1" l="1"/>
  <c r="O722" i="1"/>
  <c r="L722" i="1"/>
  <c r="E722" i="1"/>
  <c r="H722" i="1"/>
  <c r="C713" i="3"/>
  <c r="K722" i="1"/>
  <c r="M722" i="1" s="1"/>
  <c r="N722" i="1"/>
  <c r="P722" i="1" s="1"/>
  <c r="J722" i="1" l="1"/>
  <c r="F722" i="1" s="1"/>
  <c r="B723" i="1" s="1"/>
  <c r="C714" i="3" s="1"/>
  <c r="G722" i="1" l="1"/>
  <c r="C723" i="1" s="1"/>
  <c r="D714" i="3" s="1"/>
  <c r="D723" i="1"/>
  <c r="K723" i="1"/>
  <c r="N723" i="1"/>
  <c r="H723" i="1"/>
  <c r="E723" i="1" l="1"/>
  <c r="I723" i="1"/>
  <c r="L723" i="1"/>
  <c r="M723" i="1" s="1"/>
  <c r="O723" i="1"/>
  <c r="P723" i="1" s="1"/>
  <c r="J723" i="1" l="1"/>
  <c r="F723" i="1" s="1"/>
  <c r="D724" i="1" l="1"/>
  <c r="B724" i="1"/>
  <c r="C715" i="3" s="1"/>
  <c r="G723" i="1"/>
  <c r="E724" i="1" l="1"/>
  <c r="C724" i="1"/>
  <c r="D715" i="3" s="1"/>
  <c r="K724" i="1"/>
  <c r="N724" i="1"/>
  <c r="H724" i="1"/>
  <c r="L724" i="1" l="1"/>
  <c r="M724" i="1" s="1"/>
  <c r="O724" i="1"/>
  <c r="P724" i="1" s="1"/>
  <c r="I724" i="1"/>
  <c r="J724" i="1" l="1"/>
  <c r="F724" i="1" s="1"/>
  <c r="B725" i="1" l="1"/>
  <c r="C716" i="3" s="1"/>
  <c r="D725" i="1"/>
  <c r="G724" i="1"/>
  <c r="E725" i="1" l="1"/>
  <c r="C725" i="1"/>
  <c r="D716" i="3" s="1"/>
  <c r="K725" i="1"/>
  <c r="N725" i="1"/>
  <c r="H725" i="1"/>
  <c r="L725" i="1" l="1"/>
  <c r="M725" i="1" s="1"/>
  <c r="O725" i="1"/>
  <c r="P725" i="1" s="1"/>
  <c r="I725" i="1"/>
  <c r="J725" i="1" l="1"/>
  <c r="F725" i="1" s="1"/>
  <c r="D726" i="1" l="1"/>
  <c r="B726" i="1"/>
  <c r="C717" i="3" s="1"/>
  <c r="G725" i="1"/>
  <c r="N726" i="1" l="1"/>
  <c r="H726" i="1"/>
  <c r="K726" i="1"/>
  <c r="E726" i="1"/>
  <c r="C726" i="1"/>
  <c r="D717" i="3" s="1"/>
  <c r="L726" i="1" l="1"/>
  <c r="M726" i="1" s="1"/>
  <c r="O726" i="1"/>
  <c r="P726" i="1" s="1"/>
  <c r="I726" i="1"/>
  <c r="J726" i="1" s="1"/>
  <c r="F726" i="1" l="1"/>
  <c r="B727" i="1" s="1"/>
  <c r="C718" i="3" s="1"/>
  <c r="G726" i="1"/>
  <c r="D727" i="1" l="1"/>
  <c r="E727" i="1"/>
  <c r="C727" i="1"/>
  <c r="D718" i="3" s="1"/>
  <c r="N727" i="1"/>
  <c r="H727" i="1"/>
  <c r="K727" i="1"/>
  <c r="O727" i="1" l="1"/>
  <c r="P727" i="1" s="1"/>
  <c r="I727" i="1"/>
  <c r="L727" i="1"/>
  <c r="M727" i="1" s="1"/>
  <c r="J727" i="1" l="1"/>
  <c r="F727" i="1" s="1"/>
  <c r="D728" i="1" l="1"/>
  <c r="B728" i="1"/>
  <c r="C719" i="3" s="1"/>
  <c r="G727" i="1"/>
  <c r="E728" i="1" l="1"/>
  <c r="C728" i="1"/>
  <c r="D719" i="3" s="1"/>
  <c r="N728" i="1"/>
  <c r="H728" i="1"/>
  <c r="K728" i="1"/>
  <c r="O728" i="1" l="1"/>
  <c r="P728" i="1" s="1"/>
  <c r="I728" i="1"/>
  <c r="J728" i="1" s="1"/>
  <c r="L728" i="1"/>
  <c r="M728" i="1" s="1"/>
  <c r="F728" i="1" l="1"/>
  <c r="D729" i="1" s="1"/>
  <c r="G728" i="1"/>
  <c r="B729" i="1" l="1"/>
  <c r="E729" i="1"/>
  <c r="C729" i="1"/>
  <c r="D720" i="3" s="1"/>
  <c r="H729" i="1" l="1"/>
  <c r="C720" i="3"/>
  <c r="N729" i="1"/>
  <c r="K729" i="1"/>
  <c r="O729" i="1"/>
  <c r="I729" i="1"/>
  <c r="L729" i="1"/>
  <c r="M729" i="1" s="1"/>
  <c r="P729" i="1" l="1"/>
  <c r="J729" i="1"/>
  <c r="F729" i="1" l="1"/>
  <c r="B730" i="1" s="1"/>
  <c r="C721" i="3" s="1"/>
  <c r="G729" i="1"/>
  <c r="D730" i="1" l="1"/>
  <c r="E730" i="1"/>
  <c r="C730" i="1"/>
  <c r="D721" i="3" s="1"/>
  <c r="H730" i="1"/>
  <c r="K730" i="1"/>
  <c r="N730" i="1"/>
  <c r="I730" i="1" l="1"/>
  <c r="J730" i="1" s="1"/>
  <c r="L730" i="1"/>
  <c r="M730" i="1" s="1"/>
  <c r="O730" i="1"/>
  <c r="P730" i="1" s="1"/>
  <c r="F730" i="1" l="1"/>
  <c r="D731" i="1" s="1"/>
  <c r="G730" i="1"/>
  <c r="B731" i="1" l="1"/>
  <c r="E731" i="1"/>
  <c r="C731" i="1"/>
  <c r="D722" i="3" s="1"/>
  <c r="K731" i="1" l="1"/>
  <c r="C722" i="3"/>
  <c r="N731" i="1"/>
  <c r="H731" i="1"/>
  <c r="I731" i="1"/>
  <c r="L731" i="1"/>
  <c r="O731" i="1"/>
  <c r="M731" i="1" l="1"/>
  <c r="P731" i="1"/>
  <c r="J731" i="1"/>
  <c r="F731" i="1" l="1"/>
  <c r="D732" i="1" s="1"/>
  <c r="G731" i="1"/>
  <c r="B732" i="1" l="1"/>
  <c r="E732" i="1"/>
  <c r="C732" i="1"/>
  <c r="D723" i="3" s="1"/>
  <c r="N732" i="1" l="1"/>
  <c r="C723" i="3"/>
  <c r="K732" i="1"/>
  <c r="H732" i="1"/>
  <c r="L732" i="1"/>
  <c r="O732" i="1"/>
  <c r="I732" i="1"/>
  <c r="J732" i="1" s="1"/>
  <c r="P732" i="1" l="1"/>
  <c r="M732" i="1"/>
  <c r="F732" i="1" l="1"/>
  <c r="B733" i="1" s="1"/>
  <c r="C724" i="3" s="1"/>
  <c r="G732" i="1"/>
  <c r="E733" i="1" s="1"/>
  <c r="N733" i="1" l="1"/>
  <c r="H733" i="1"/>
  <c r="K733" i="1"/>
  <c r="D733" i="1"/>
  <c r="C733" i="1"/>
  <c r="L733" i="1" l="1"/>
  <c r="M733" i="1" s="1"/>
  <c r="D724" i="3"/>
  <c r="I733" i="1"/>
  <c r="J733" i="1" s="1"/>
  <c r="O733" i="1"/>
  <c r="P733" i="1" s="1"/>
  <c r="F733" i="1" l="1"/>
  <c r="D734" i="1" s="1"/>
  <c r="G733" i="1"/>
  <c r="B734" i="1" l="1"/>
  <c r="E734" i="1"/>
  <c r="C734" i="1"/>
  <c r="D725" i="3" s="1"/>
  <c r="N734" i="1" l="1"/>
  <c r="C725" i="3"/>
  <c r="K734" i="1"/>
  <c r="H734" i="1"/>
  <c r="L734" i="1"/>
  <c r="O734" i="1"/>
  <c r="I734" i="1"/>
  <c r="J734" i="1" l="1"/>
  <c r="P734" i="1"/>
  <c r="M734" i="1"/>
  <c r="F734" i="1" l="1"/>
  <c r="B735" i="1" s="1"/>
  <c r="C726" i="3" s="1"/>
  <c r="G734" i="1"/>
  <c r="E735" i="1" s="1"/>
  <c r="H735" i="1" l="1"/>
  <c r="K735" i="1"/>
  <c r="N735" i="1"/>
  <c r="D735" i="1"/>
  <c r="C735" i="1"/>
  <c r="O735" i="1" l="1"/>
  <c r="P735" i="1" s="1"/>
  <c r="D726" i="3"/>
  <c r="L735" i="1"/>
  <c r="M735" i="1" s="1"/>
  <c r="I735" i="1"/>
  <c r="J735" i="1" s="1"/>
  <c r="F735" i="1" l="1"/>
  <c r="D736" i="1" s="1"/>
  <c r="G735" i="1"/>
  <c r="E736" i="1" s="1"/>
  <c r="B736" i="1" l="1"/>
  <c r="C736" i="1"/>
  <c r="I736" i="1" l="1"/>
  <c r="D727" i="3"/>
  <c r="N736" i="1"/>
  <c r="C727" i="3"/>
  <c r="O736" i="1"/>
  <c r="H736" i="1"/>
  <c r="K736" i="1"/>
  <c r="L736" i="1"/>
  <c r="P736" i="1" l="1"/>
  <c r="J736" i="1"/>
  <c r="M736" i="1"/>
  <c r="F736" i="1" l="1"/>
  <c r="B737" i="1" s="1"/>
  <c r="K737" i="1" s="1"/>
  <c r="G736" i="1"/>
  <c r="C737" i="1" s="1"/>
  <c r="H737" i="1" l="1"/>
  <c r="D737" i="1"/>
  <c r="N737" i="1"/>
  <c r="C728" i="3"/>
  <c r="O737" i="1"/>
  <c r="D728" i="3"/>
  <c r="L737" i="1"/>
  <c r="M737" i="1" s="1"/>
  <c r="I737" i="1"/>
  <c r="E737" i="1"/>
  <c r="P737" i="1" l="1"/>
  <c r="J737" i="1"/>
  <c r="F737" i="1" l="1"/>
  <c r="D738" i="1" s="1"/>
  <c r="G737" i="1"/>
  <c r="E738" i="1" s="1"/>
  <c r="C738" i="1" l="1"/>
  <c r="D729" i="3" s="1"/>
  <c r="B738" i="1"/>
  <c r="H738" i="1" s="1"/>
  <c r="O738" i="1" l="1"/>
  <c r="L738" i="1"/>
  <c r="I738" i="1"/>
  <c r="N738" i="1"/>
  <c r="K738" i="1"/>
  <c r="M738" i="1" s="1"/>
  <c r="C729" i="3"/>
  <c r="J738" i="1"/>
  <c r="P738" i="1" l="1"/>
  <c r="G738" i="1" s="1"/>
  <c r="E739" i="1" s="1"/>
  <c r="F738" i="1" l="1"/>
  <c r="B739" i="1" s="1"/>
  <c r="C730" i="3" s="1"/>
  <c r="C739" i="1"/>
  <c r="D730" i="3" s="1"/>
  <c r="D739" i="1" l="1"/>
  <c r="N739" i="1"/>
  <c r="K739" i="1"/>
  <c r="H739" i="1"/>
  <c r="O739" i="1"/>
  <c r="P739" i="1" s="1"/>
  <c r="I739" i="1"/>
  <c r="L739" i="1"/>
  <c r="M739" i="1" s="1"/>
  <c r="J739" i="1"/>
  <c r="F739" i="1" l="1"/>
  <c r="D740" i="1" s="1"/>
  <c r="G739" i="1"/>
  <c r="B740" i="1" l="1"/>
  <c r="C731" i="3" s="1"/>
  <c r="E740" i="1"/>
  <c r="C740" i="1"/>
  <c r="D731" i="3" s="1"/>
  <c r="H740" i="1" l="1"/>
  <c r="N740" i="1"/>
  <c r="K740" i="1"/>
  <c r="L740" i="1"/>
  <c r="O740" i="1"/>
  <c r="I740" i="1"/>
  <c r="P740" i="1" l="1"/>
  <c r="J740" i="1"/>
  <c r="M740" i="1"/>
  <c r="F740" i="1" l="1"/>
  <c r="B741" i="1" s="1"/>
  <c r="C732" i="3" s="1"/>
  <c r="G740" i="1"/>
  <c r="E741" i="1" s="1"/>
  <c r="K741" i="1" l="1"/>
  <c r="H741" i="1"/>
  <c r="N741" i="1"/>
  <c r="D741" i="1"/>
  <c r="C741" i="1"/>
  <c r="D732" i="3" s="1"/>
  <c r="I741" i="1" l="1"/>
  <c r="J741" i="1" s="1"/>
  <c r="O741" i="1"/>
  <c r="P741" i="1" s="1"/>
  <c r="L741" i="1"/>
  <c r="M741" i="1" s="1"/>
  <c r="F741" i="1" l="1"/>
  <c r="D742" i="1" s="1"/>
  <c r="G741" i="1"/>
  <c r="B742" i="1" l="1"/>
  <c r="C733" i="3" s="1"/>
  <c r="E742" i="1"/>
  <c r="C742" i="1"/>
  <c r="D733" i="3" s="1"/>
  <c r="H742" i="1" l="1"/>
  <c r="K742" i="1"/>
  <c r="N742" i="1"/>
  <c r="L742" i="1"/>
  <c r="M742" i="1" s="1"/>
  <c r="O742" i="1"/>
  <c r="P742" i="1" s="1"/>
  <c r="I742" i="1"/>
  <c r="J742" i="1" l="1"/>
  <c r="F742" i="1" s="1"/>
  <c r="B743" i="1" s="1"/>
  <c r="C734" i="3" s="1"/>
  <c r="G742" i="1" l="1"/>
  <c r="C743" i="1" s="1"/>
  <c r="D734" i="3" s="1"/>
  <c r="D743" i="1"/>
  <c r="N743" i="1"/>
  <c r="H743" i="1"/>
  <c r="K743" i="1"/>
  <c r="E743" i="1" l="1"/>
  <c r="O743" i="1"/>
  <c r="P743" i="1" s="1"/>
  <c r="I743" i="1"/>
  <c r="L743" i="1"/>
  <c r="M743" i="1" s="1"/>
  <c r="J743" i="1" l="1"/>
  <c r="F743" i="1" s="1"/>
  <c r="D744" i="1" l="1"/>
  <c r="B744" i="1"/>
  <c r="C735" i="3" s="1"/>
  <c r="G743" i="1"/>
  <c r="N744" i="1" l="1"/>
  <c r="H744" i="1"/>
  <c r="K744" i="1"/>
  <c r="E744" i="1"/>
  <c r="C744" i="1"/>
  <c r="D735" i="3" s="1"/>
  <c r="O744" i="1" l="1"/>
  <c r="P744" i="1" s="1"/>
  <c r="I744" i="1"/>
  <c r="J744" i="1" s="1"/>
  <c r="L744" i="1"/>
  <c r="M744" i="1" s="1"/>
  <c r="F744" i="1" l="1"/>
  <c r="B745" i="1" s="1"/>
  <c r="C736" i="3" s="1"/>
  <c r="G744" i="1"/>
  <c r="D745" i="1" l="1"/>
  <c r="E745" i="1"/>
  <c r="C745" i="1"/>
  <c r="D736" i="3" s="1"/>
  <c r="H745" i="1"/>
  <c r="K745" i="1"/>
  <c r="N745" i="1"/>
  <c r="O745" i="1" l="1"/>
  <c r="P745" i="1" s="1"/>
  <c r="I745" i="1"/>
  <c r="L745" i="1"/>
  <c r="M745" i="1" s="1"/>
  <c r="J745" i="1" l="1"/>
  <c r="F745" i="1" s="1"/>
  <c r="D746" i="1" l="1"/>
  <c r="B746" i="1"/>
  <c r="C737" i="3" s="1"/>
  <c r="G745" i="1"/>
  <c r="E746" i="1" l="1"/>
  <c r="C746" i="1"/>
  <c r="D737" i="3" s="1"/>
  <c r="H746" i="1"/>
  <c r="K746" i="1"/>
  <c r="N746" i="1"/>
  <c r="I746" i="1" l="1"/>
  <c r="J746" i="1" s="1"/>
  <c r="L746" i="1"/>
  <c r="M746" i="1" s="1"/>
  <c r="O746" i="1"/>
  <c r="P746" i="1" s="1"/>
  <c r="F746" i="1" l="1"/>
  <c r="G746" i="1"/>
  <c r="E747" i="1" l="1"/>
  <c r="C747" i="1"/>
  <c r="D738" i="3" s="1"/>
  <c r="D747" i="1"/>
  <c r="B747" i="1"/>
  <c r="C738" i="3" s="1"/>
  <c r="I747" i="1" l="1"/>
  <c r="L747" i="1"/>
  <c r="O747" i="1"/>
  <c r="K747" i="1"/>
  <c r="N747" i="1"/>
  <c r="H747" i="1"/>
  <c r="M747" i="1" l="1"/>
  <c r="P747" i="1"/>
  <c r="J747" i="1"/>
  <c r="F747" i="1" l="1"/>
  <c r="B748" i="1" s="1"/>
  <c r="C739" i="3" s="1"/>
  <c r="G747" i="1"/>
  <c r="E748" i="1" s="1"/>
  <c r="D748" i="1" l="1"/>
  <c r="C748" i="1"/>
  <c r="K748" i="1"/>
  <c r="N748" i="1"/>
  <c r="H748" i="1"/>
  <c r="L748" i="1" l="1"/>
  <c r="M748" i="1" s="1"/>
  <c r="D739" i="3"/>
  <c r="I748" i="1"/>
  <c r="J748" i="1" s="1"/>
  <c r="O748" i="1"/>
  <c r="P748" i="1" s="1"/>
  <c r="F748" i="1" l="1"/>
  <c r="B749" i="1" s="1"/>
  <c r="C740" i="3" s="1"/>
  <c r="G748" i="1"/>
  <c r="E749" i="1" s="1"/>
  <c r="D749" i="1" l="1"/>
  <c r="C749" i="1"/>
  <c r="K749" i="1"/>
  <c r="N749" i="1"/>
  <c r="H749" i="1"/>
  <c r="L749" i="1" l="1"/>
  <c r="M749" i="1" s="1"/>
  <c r="D740" i="3"/>
  <c r="I749" i="1"/>
  <c r="J749" i="1" s="1"/>
  <c r="O749" i="1"/>
  <c r="P749" i="1" s="1"/>
  <c r="G749" i="1" l="1"/>
  <c r="E750" i="1" s="1"/>
  <c r="F749" i="1"/>
  <c r="D750" i="1" s="1"/>
  <c r="C750" i="1" l="1"/>
  <c r="B750" i="1"/>
  <c r="N750" i="1" l="1"/>
  <c r="C741" i="3"/>
  <c r="L750" i="1"/>
  <c r="D741" i="3"/>
  <c r="O750" i="1"/>
  <c r="I750" i="1"/>
  <c r="K750" i="1"/>
  <c r="M750" i="1" s="1"/>
  <c r="H750" i="1"/>
  <c r="P750" i="1" l="1"/>
  <c r="J750" i="1"/>
  <c r="G750" i="1" l="1"/>
  <c r="E751" i="1" s="1"/>
  <c r="F750" i="1"/>
  <c r="D751" i="1" s="1"/>
  <c r="C751" i="1" l="1"/>
  <c r="O751" i="1" s="1"/>
  <c r="B751" i="1"/>
  <c r="L751" i="1" l="1"/>
  <c r="I751" i="1"/>
  <c r="D742" i="3"/>
  <c r="N751" i="1"/>
  <c r="P751" i="1" s="1"/>
  <c r="C742" i="3"/>
  <c r="H751" i="1"/>
  <c r="J751" i="1" s="1"/>
  <c r="K751" i="1"/>
  <c r="M751" i="1" l="1"/>
  <c r="G751" i="1" s="1"/>
  <c r="E752" i="1" s="1"/>
  <c r="F751" i="1" l="1"/>
  <c r="D752" i="1" s="1"/>
  <c r="C752" i="1"/>
  <c r="B752" i="1" l="1"/>
  <c r="N752" i="1" s="1"/>
  <c r="O752" i="1"/>
  <c r="D743" i="3"/>
  <c r="I752" i="1"/>
  <c r="L752" i="1"/>
  <c r="P752" i="1" l="1"/>
  <c r="K752" i="1"/>
  <c r="M752" i="1" s="1"/>
  <c r="C743" i="3"/>
  <c r="H752" i="1"/>
  <c r="J752" i="1" s="1"/>
  <c r="G752" i="1" l="1"/>
  <c r="E753" i="1" s="1"/>
  <c r="F752" i="1"/>
  <c r="B753" i="1" s="1"/>
  <c r="C744" i="3" s="1"/>
  <c r="C753" i="1" l="1"/>
  <c r="D753" i="1"/>
  <c r="H753" i="1"/>
  <c r="N753" i="1"/>
  <c r="K753" i="1"/>
  <c r="I753" i="1" l="1"/>
  <c r="J753" i="1" s="1"/>
  <c r="D744" i="3"/>
  <c r="L753" i="1"/>
  <c r="M753" i="1" s="1"/>
  <c r="O753" i="1"/>
  <c r="P753" i="1" s="1"/>
  <c r="G753" i="1" l="1"/>
  <c r="E754" i="1" s="1"/>
  <c r="F753" i="1"/>
  <c r="D754" i="1" s="1"/>
  <c r="C754" i="1" l="1"/>
  <c r="B754" i="1"/>
  <c r="H754" i="1" l="1"/>
  <c r="C745" i="3"/>
  <c r="I754" i="1"/>
  <c r="D745" i="3"/>
  <c r="L754" i="1"/>
  <c r="O754" i="1"/>
  <c r="N754" i="1"/>
  <c r="K754" i="1"/>
  <c r="J754" i="1" l="1"/>
  <c r="P754" i="1"/>
  <c r="M754" i="1"/>
  <c r="G754" i="1" l="1"/>
  <c r="C755" i="1" s="1"/>
  <c r="F754" i="1"/>
  <c r="D755" i="1" s="1"/>
  <c r="L755" i="1" l="1"/>
  <c r="D746" i="3"/>
  <c r="I755" i="1"/>
  <c r="O755" i="1"/>
  <c r="E755" i="1"/>
  <c r="B755" i="1"/>
  <c r="K755" i="1" l="1"/>
  <c r="M755" i="1" s="1"/>
  <c r="C746" i="3"/>
  <c r="H755" i="1"/>
  <c r="J755" i="1" s="1"/>
  <c r="N755" i="1"/>
  <c r="P755" i="1" s="1"/>
  <c r="G755" i="1" l="1"/>
  <c r="E756" i="1" s="1"/>
  <c r="F755" i="1"/>
  <c r="B756" i="1" s="1"/>
  <c r="C747" i="3" s="1"/>
  <c r="C756" i="1" l="1"/>
  <c r="D756" i="1"/>
  <c r="K756" i="1"/>
  <c r="N756" i="1"/>
  <c r="H756" i="1"/>
  <c r="O756" i="1" l="1"/>
  <c r="P756" i="1" s="1"/>
  <c r="D747" i="3"/>
  <c r="I756" i="1"/>
  <c r="J756" i="1" s="1"/>
  <c r="L756" i="1"/>
  <c r="M756" i="1" s="1"/>
  <c r="G756" i="1" l="1"/>
  <c r="C757" i="1" s="1"/>
  <c r="D748" i="3" s="1"/>
  <c r="F756" i="1"/>
  <c r="B757" i="1" s="1"/>
  <c r="C748" i="3" s="1"/>
  <c r="E757" i="1" l="1"/>
  <c r="D757" i="1"/>
  <c r="K757" i="1"/>
  <c r="N757" i="1"/>
  <c r="H757" i="1"/>
  <c r="L757" i="1"/>
  <c r="O757" i="1"/>
  <c r="I757" i="1"/>
  <c r="J757" i="1" l="1"/>
  <c r="M757" i="1"/>
  <c r="P757" i="1"/>
  <c r="F757" i="1" l="1"/>
  <c r="D758" i="1" s="1"/>
  <c r="G757" i="1"/>
  <c r="C758" i="1" s="1"/>
  <c r="D749" i="3" s="1"/>
  <c r="B758" i="1" l="1"/>
  <c r="E758" i="1"/>
  <c r="L758" i="1"/>
  <c r="O758" i="1"/>
  <c r="I758" i="1"/>
  <c r="N758" i="1" l="1"/>
  <c r="P758" i="1" s="1"/>
  <c r="C749" i="3"/>
  <c r="K758" i="1"/>
  <c r="M758" i="1" s="1"/>
  <c r="H758" i="1"/>
  <c r="J758" i="1" s="1"/>
  <c r="G758" i="1" l="1"/>
  <c r="E759" i="1" s="1"/>
  <c r="F758" i="1"/>
  <c r="C759" i="1" l="1"/>
  <c r="D759" i="1"/>
  <c r="B759" i="1"/>
  <c r="C750" i="3" s="1"/>
  <c r="O759" i="1" l="1"/>
  <c r="D750" i="3"/>
  <c r="L759" i="1"/>
  <c r="I759" i="1"/>
  <c r="N759" i="1"/>
  <c r="H759" i="1"/>
  <c r="K759" i="1"/>
  <c r="P759" i="1" l="1"/>
  <c r="M759" i="1"/>
  <c r="J759" i="1"/>
  <c r="G759" i="1" l="1"/>
  <c r="E760" i="1" s="1"/>
  <c r="F759" i="1"/>
  <c r="C760" i="1" l="1"/>
  <c r="D760" i="1"/>
  <c r="B760" i="1"/>
  <c r="C751" i="3" s="1"/>
  <c r="O760" i="1" l="1"/>
  <c r="D751" i="3"/>
  <c r="L760" i="1"/>
  <c r="I760" i="1"/>
  <c r="N760" i="1"/>
  <c r="H760" i="1"/>
  <c r="K760" i="1"/>
  <c r="P760" i="1" l="1"/>
  <c r="M760" i="1"/>
  <c r="J760" i="1"/>
  <c r="G760" i="1" l="1"/>
  <c r="C761" i="1" s="1"/>
  <c r="D752" i="3" s="1"/>
  <c r="F760" i="1"/>
  <c r="E761" i="1" l="1"/>
  <c r="B761" i="1"/>
  <c r="C752" i="3" s="1"/>
  <c r="D761" i="1"/>
  <c r="O761" i="1"/>
  <c r="I761" i="1"/>
  <c r="L761" i="1"/>
  <c r="H761" i="1" l="1"/>
  <c r="K761" i="1"/>
  <c r="M761" i="1" s="1"/>
  <c r="N761" i="1"/>
  <c r="P761" i="1" s="1"/>
  <c r="J761" i="1" l="1"/>
  <c r="G761" i="1" s="1"/>
  <c r="F761" i="1" l="1"/>
  <c r="D762" i="1" s="1"/>
  <c r="E762" i="1"/>
  <c r="C762" i="1"/>
  <c r="D753" i="3" s="1"/>
  <c r="B762" i="1" l="1"/>
  <c r="I762" i="1"/>
  <c r="L762" i="1"/>
  <c r="O762" i="1"/>
  <c r="H762" i="1" l="1"/>
  <c r="J762" i="1" s="1"/>
  <c r="C753" i="3"/>
  <c r="N762" i="1"/>
  <c r="P762" i="1" s="1"/>
  <c r="K762" i="1"/>
  <c r="M762" i="1" s="1"/>
  <c r="G762" i="1" l="1"/>
  <c r="E763" i="1" s="1"/>
  <c r="F762" i="1"/>
  <c r="B763" i="1" s="1"/>
  <c r="C754" i="3" s="1"/>
  <c r="C763" i="1" l="1"/>
  <c r="D763" i="1"/>
  <c r="K763" i="1"/>
  <c r="N763" i="1"/>
  <c r="H763" i="1"/>
  <c r="I763" i="1" l="1"/>
  <c r="J763" i="1" s="1"/>
  <c r="D754" i="3"/>
  <c r="O763" i="1"/>
  <c r="P763" i="1" s="1"/>
  <c r="L763" i="1"/>
  <c r="M763" i="1" s="1"/>
  <c r="G763" i="1" l="1"/>
  <c r="C764" i="1" s="1"/>
  <c r="D755" i="3" s="1"/>
  <c r="F763" i="1"/>
  <c r="D764" i="1" s="1"/>
  <c r="E764" i="1" l="1"/>
  <c r="B764" i="1"/>
  <c r="L764" i="1"/>
  <c r="O764" i="1"/>
  <c r="I764" i="1"/>
  <c r="K764" i="1" l="1"/>
  <c r="M764" i="1" s="1"/>
  <c r="C755" i="3"/>
  <c r="H764" i="1"/>
  <c r="J764" i="1" s="1"/>
  <c r="N764" i="1"/>
  <c r="P764" i="1" s="1"/>
  <c r="F764" i="1" l="1"/>
  <c r="D765" i="1" s="1"/>
  <c r="G764" i="1"/>
  <c r="B765" i="1" l="1"/>
  <c r="C765" i="1"/>
  <c r="D756" i="3" s="1"/>
  <c r="E765" i="1"/>
  <c r="K765" i="1" l="1"/>
  <c r="C756" i="3"/>
  <c r="H765" i="1"/>
  <c r="N765" i="1"/>
  <c r="L765" i="1"/>
  <c r="O765" i="1"/>
  <c r="P765" i="1" s="1"/>
  <c r="I765" i="1"/>
  <c r="M765" i="1" l="1"/>
  <c r="J765" i="1"/>
  <c r="G765" i="1" l="1"/>
  <c r="C766" i="1" s="1"/>
  <c r="D757" i="3" s="1"/>
  <c r="F765" i="1"/>
  <c r="D766" i="1" s="1"/>
  <c r="E766" i="1" l="1"/>
  <c r="B766" i="1"/>
  <c r="L766" i="1"/>
  <c r="O766" i="1"/>
  <c r="I766" i="1"/>
  <c r="N766" i="1" l="1"/>
  <c r="P766" i="1" s="1"/>
  <c r="C757" i="3"/>
  <c r="K766" i="1"/>
  <c r="M766" i="1" s="1"/>
  <c r="H766" i="1"/>
  <c r="J766" i="1" s="1"/>
  <c r="F766" i="1" l="1"/>
  <c r="D767" i="1" s="1"/>
  <c r="G766" i="1"/>
  <c r="B767" i="1" l="1"/>
  <c r="C767" i="1"/>
  <c r="D758" i="3" s="1"/>
  <c r="E767" i="1"/>
  <c r="N767" i="1" l="1"/>
  <c r="C758" i="3"/>
  <c r="K767" i="1"/>
  <c r="H767" i="1"/>
  <c r="O767" i="1"/>
  <c r="I767" i="1"/>
  <c r="L767" i="1"/>
  <c r="J767" i="1" l="1"/>
  <c r="P767" i="1"/>
  <c r="M767" i="1"/>
  <c r="F767" i="1" l="1"/>
  <c r="B768" i="1" s="1"/>
  <c r="C759" i="3" s="1"/>
  <c r="G767" i="1"/>
  <c r="C768" i="1" s="1"/>
  <c r="D759" i="3" s="1"/>
  <c r="K768" i="1" l="1"/>
  <c r="H768" i="1"/>
  <c r="N768" i="1"/>
  <c r="D768" i="1"/>
  <c r="E768" i="1"/>
  <c r="O768" i="1"/>
  <c r="P768" i="1" s="1"/>
  <c r="I768" i="1"/>
  <c r="L768" i="1"/>
  <c r="M768" i="1" l="1"/>
  <c r="J768" i="1"/>
  <c r="F768" i="1" l="1"/>
  <c r="D769" i="1" s="1"/>
  <c r="G768" i="1"/>
  <c r="B769" i="1" l="1"/>
  <c r="C760" i="3" s="1"/>
  <c r="E769" i="1"/>
  <c r="C769" i="1"/>
  <c r="D760" i="3" s="1"/>
  <c r="N769" i="1" l="1"/>
  <c r="K769" i="1"/>
  <c r="H769" i="1"/>
  <c r="O769" i="1"/>
  <c r="I769" i="1"/>
  <c r="J769" i="1" s="1"/>
  <c r="L769" i="1"/>
  <c r="M769" i="1" s="1"/>
  <c r="P769" i="1" l="1"/>
  <c r="F769" i="1" s="1"/>
  <c r="B770" i="1" s="1"/>
  <c r="C761" i="3" s="1"/>
  <c r="G769" i="1" l="1"/>
  <c r="C770" i="1" s="1"/>
  <c r="D761" i="3" s="1"/>
  <c r="D770" i="1"/>
  <c r="H770" i="1"/>
  <c r="K770" i="1"/>
  <c r="N770" i="1"/>
  <c r="E770" i="1" l="1"/>
  <c r="I770" i="1"/>
  <c r="L770" i="1"/>
  <c r="M770" i="1" s="1"/>
  <c r="O770" i="1"/>
  <c r="P770" i="1" s="1"/>
  <c r="J770" i="1" l="1"/>
  <c r="F770" i="1" s="1"/>
  <c r="D771" i="1" l="1"/>
  <c r="B771" i="1"/>
  <c r="C762" i="3" s="1"/>
  <c r="G770" i="1"/>
  <c r="K771" i="1" l="1"/>
  <c r="N771" i="1"/>
  <c r="H771" i="1"/>
  <c r="E771" i="1"/>
  <c r="C771" i="1"/>
  <c r="D762" i="3" s="1"/>
  <c r="I771" i="1" l="1"/>
  <c r="J771" i="1" s="1"/>
  <c r="L771" i="1"/>
  <c r="M771" i="1" s="1"/>
  <c r="O771" i="1"/>
  <c r="P771" i="1" s="1"/>
  <c r="F771" i="1" l="1"/>
  <c r="B772" i="1" s="1"/>
  <c r="C763" i="3" s="1"/>
  <c r="G771" i="1"/>
  <c r="D772" i="1" l="1"/>
  <c r="E772" i="1"/>
  <c r="C772" i="1"/>
  <c r="D763" i="3" s="1"/>
  <c r="K772" i="1"/>
  <c r="N772" i="1"/>
  <c r="H772" i="1"/>
  <c r="L772" i="1" l="1"/>
  <c r="M772" i="1" s="1"/>
  <c r="O772" i="1"/>
  <c r="P772" i="1" s="1"/>
  <c r="I772" i="1"/>
  <c r="J772" i="1" l="1"/>
  <c r="F772" i="1" s="1"/>
  <c r="D773" i="1" l="1"/>
  <c r="B773" i="1"/>
  <c r="C764" i="3" s="1"/>
  <c r="G772" i="1"/>
  <c r="K773" i="1" l="1"/>
  <c r="N773" i="1"/>
  <c r="H773" i="1"/>
  <c r="E773" i="1"/>
  <c r="C773" i="1"/>
  <c r="D764" i="3" s="1"/>
  <c r="L773" i="1" l="1"/>
  <c r="M773" i="1" s="1"/>
  <c r="O773" i="1"/>
  <c r="P773" i="1" s="1"/>
  <c r="I773" i="1"/>
  <c r="J773" i="1" s="1"/>
  <c r="F773" i="1" l="1"/>
  <c r="G773" i="1"/>
  <c r="E774" i="1" l="1"/>
  <c r="C774" i="1"/>
  <c r="D765" i="3" s="1"/>
  <c r="B774" i="1"/>
  <c r="C765" i="3" s="1"/>
  <c r="D774" i="1"/>
  <c r="L774" i="1" l="1"/>
  <c r="O774" i="1"/>
  <c r="I774" i="1"/>
  <c r="N774" i="1"/>
  <c r="H774" i="1"/>
  <c r="K774" i="1"/>
  <c r="P774" i="1" l="1"/>
  <c r="M774" i="1"/>
  <c r="J774" i="1"/>
  <c r="F774" i="1" l="1"/>
  <c r="B775" i="1" s="1"/>
  <c r="C766" i="3" s="1"/>
  <c r="G774" i="1"/>
  <c r="D775" i="1" l="1"/>
  <c r="E775" i="1"/>
  <c r="C775" i="1"/>
  <c r="D766" i="3" s="1"/>
  <c r="N775" i="1"/>
  <c r="H775" i="1"/>
  <c r="K775" i="1"/>
  <c r="O775" i="1" l="1"/>
  <c r="P775" i="1" s="1"/>
  <c r="I775" i="1"/>
  <c r="J775" i="1" s="1"/>
  <c r="L775" i="1"/>
  <c r="M775" i="1" s="1"/>
  <c r="F775" i="1" l="1"/>
  <c r="D776" i="1" s="1"/>
  <c r="G775" i="1"/>
  <c r="B776" i="1" l="1"/>
  <c r="E776" i="1"/>
  <c r="C776" i="1"/>
  <c r="D767" i="3" s="1"/>
  <c r="N776" i="1" l="1"/>
  <c r="C767" i="3"/>
  <c r="K776" i="1"/>
  <c r="H776" i="1"/>
  <c r="O776" i="1"/>
  <c r="I776" i="1"/>
  <c r="L776" i="1"/>
  <c r="P776" i="1" l="1"/>
  <c r="J776" i="1"/>
  <c r="M776" i="1"/>
  <c r="F776" i="1" l="1"/>
  <c r="B777" i="1" s="1"/>
  <c r="G776" i="1"/>
  <c r="E777" i="1" s="1"/>
  <c r="H777" i="1" l="1"/>
  <c r="C768" i="3"/>
  <c r="K777" i="1"/>
  <c r="N777" i="1"/>
  <c r="D777" i="1"/>
  <c r="C777" i="1"/>
  <c r="O777" i="1" l="1"/>
  <c r="P777" i="1" s="1"/>
  <c r="D768" i="3"/>
  <c r="L777" i="1"/>
  <c r="M777" i="1" s="1"/>
  <c r="I777" i="1"/>
  <c r="J777" i="1" s="1"/>
  <c r="F777" i="1" l="1"/>
  <c r="B778" i="1" s="1"/>
  <c r="G777" i="1"/>
  <c r="E778" i="1" s="1"/>
  <c r="K778" i="1" l="1"/>
  <c r="C769" i="3"/>
  <c r="N778" i="1"/>
  <c r="H778" i="1"/>
  <c r="D778" i="1"/>
  <c r="C778" i="1"/>
  <c r="I778" i="1" l="1"/>
  <c r="J778" i="1" s="1"/>
  <c r="D769" i="3"/>
  <c r="O778" i="1"/>
  <c r="P778" i="1" s="1"/>
  <c r="L778" i="1"/>
  <c r="M778" i="1" s="1"/>
  <c r="F778" i="1" l="1"/>
  <c r="B779" i="1" s="1"/>
  <c r="G778" i="1"/>
  <c r="E779" i="1" s="1"/>
  <c r="H779" i="1" l="1"/>
  <c r="C770" i="3"/>
  <c r="C779" i="1"/>
  <c r="D779" i="1"/>
  <c r="N779" i="1"/>
  <c r="K779" i="1"/>
  <c r="I779" i="1" l="1"/>
  <c r="J779" i="1" s="1"/>
  <c r="D770" i="3"/>
  <c r="L779" i="1"/>
  <c r="M779" i="1" s="1"/>
  <c r="O779" i="1"/>
  <c r="P779" i="1" s="1"/>
  <c r="F779" i="1" l="1"/>
  <c r="D780" i="1" s="1"/>
  <c r="G779" i="1"/>
  <c r="B780" i="1" l="1"/>
  <c r="E780" i="1"/>
  <c r="C780" i="1"/>
  <c r="D771" i="3" s="1"/>
  <c r="K780" i="1" l="1"/>
  <c r="C771" i="3"/>
  <c r="H780" i="1"/>
  <c r="N780" i="1"/>
  <c r="L780" i="1"/>
  <c r="O780" i="1"/>
  <c r="P780" i="1" s="1"/>
  <c r="I780" i="1"/>
  <c r="M780" i="1" l="1"/>
  <c r="J780" i="1"/>
  <c r="F780" i="1" l="1"/>
  <c r="D781" i="1" s="1"/>
  <c r="G780" i="1"/>
  <c r="C781" i="1" s="1"/>
  <c r="D772" i="3" s="1"/>
  <c r="B781" i="1" l="1"/>
  <c r="K781" i="1" s="1"/>
  <c r="E781" i="1"/>
  <c r="L781" i="1"/>
  <c r="O781" i="1"/>
  <c r="I781" i="1"/>
  <c r="C772" i="3" l="1"/>
  <c r="N781" i="1"/>
  <c r="H781" i="1"/>
  <c r="M781" i="1"/>
  <c r="P781" i="1"/>
  <c r="J781" i="1"/>
  <c r="F781" i="1" l="1"/>
  <c r="B782" i="1" s="1"/>
  <c r="G781" i="1"/>
  <c r="C782" i="1" s="1"/>
  <c r="D773" i="3" s="1"/>
  <c r="N782" i="1" l="1"/>
  <c r="C773" i="3"/>
  <c r="K782" i="1"/>
  <c r="H782" i="1"/>
  <c r="D782" i="1"/>
  <c r="E782" i="1"/>
  <c r="L782" i="1"/>
  <c r="O782" i="1"/>
  <c r="I782" i="1"/>
  <c r="P782" i="1" l="1"/>
  <c r="M782" i="1"/>
  <c r="J782" i="1"/>
  <c r="F782" i="1" l="1"/>
  <c r="D783" i="1" s="1"/>
  <c r="G782" i="1"/>
  <c r="B783" i="1" l="1"/>
  <c r="C783" i="1"/>
  <c r="D774" i="3" s="1"/>
  <c r="E783" i="1"/>
  <c r="N783" i="1" l="1"/>
  <c r="C774" i="3"/>
  <c r="K783" i="1"/>
  <c r="H783" i="1"/>
  <c r="O783" i="1"/>
  <c r="I783" i="1"/>
  <c r="L783" i="1"/>
  <c r="J783" i="1" l="1"/>
  <c r="P783" i="1"/>
  <c r="M783" i="1"/>
  <c r="F783" i="1" l="1"/>
  <c r="B784" i="1" s="1"/>
  <c r="C775" i="3" s="1"/>
  <c r="G783" i="1"/>
  <c r="C784" i="1" s="1"/>
  <c r="D775" i="3" s="1"/>
  <c r="K784" i="1" l="1"/>
  <c r="H784" i="1"/>
  <c r="N784" i="1"/>
  <c r="D784" i="1"/>
  <c r="E784" i="1"/>
  <c r="O784" i="1"/>
  <c r="P784" i="1" s="1"/>
  <c r="I784" i="1"/>
  <c r="L784" i="1"/>
  <c r="M784" i="1" l="1"/>
  <c r="J784" i="1"/>
  <c r="F784" i="1" l="1"/>
  <c r="D785" i="1" s="1"/>
  <c r="G784" i="1"/>
  <c r="B785" i="1" l="1"/>
  <c r="C776" i="3" s="1"/>
  <c r="C785" i="1"/>
  <c r="D776" i="3" s="1"/>
  <c r="E785" i="1"/>
  <c r="N785" i="1" l="1"/>
  <c r="K785" i="1"/>
  <c r="H785" i="1"/>
  <c r="O785" i="1"/>
  <c r="I785" i="1"/>
  <c r="L785" i="1"/>
  <c r="M785" i="1" s="1"/>
  <c r="P785" i="1" l="1"/>
  <c r="J785" i="1"/>
  <c r="F785" i="1" l="1"/>
  <c r="B786" i="1" s="1"/>
  <c r="C777" i="3" s="1"/>
  <c r="G785" i="1"/>
  <c r="D786" i="1" l="1"/>
  <c r="E786" i="1"/>
  <c r="C786" i="1"/>
  <c r="D777" i="3" s="1"/>
  <c r="H786" i="1"/>
  <c r="K786" i="1"/>
  <c r="N786" i="1"/>
  <c r="I786" i="1" l="1"/>
  <c r="J786" i="1" s="1"/>
  <c r="L786" i="1"/>
  <c r="M786" i="1" s="1"/>
  <c r="O786" i="1"/>
  <c r="P786" i="1" s="1"/>
  <c r="F786" i="1" l="1"/>
  <c r="D787" i="1" s="1"/>
  <c r="G786" i="1"/>
  <c r="B787" i="1" l="1"/>
  <c r="E787" i="1"/>
  <c r="C787" i="1"/>
  <c r="D778" i="3" s="1"/>
  <c r="K787" i="1" l="1"/>
  <c r="C778" i="3"/>
  <c r="H787" i="1"/>
  <c r="N787" i="1"/>
  <c r="I787" i="1"/>
  <c r="L787" i="1"/>
  <c r="O787" i="1"/>
  <c r="P787" i="1" s="1"/>
  <c r="M787" i="1" l="1"/>
  <c r="J787" i="1"/>
  <c r="F787" i="1" l="1"/>
  <c r="B788" i="1" s="1"/>
  <c r="C779" i="3" s="1"/>
  <c r="G787" i="1"/>
  <c r="C788" i="1" s="1"/>
  <c r="D779" i="3" s="1"/>
  <c r="H788" i="1" l="1"/>
  <c r="N788" i="1"/>
  <c r="K788" i="1"/>
  <c r="D788" i="1"/>
  <c r="E788" i="1"/>
  <c r="L788" i="1"/>
  <c r="M788" i="1" s="1"/>
  <c r="O788" i="1"/>
  <c r="P788" i="1" s="1"/>
  <c r="I788" i="1"/>
  <c r="J788" i="1" l="1"/>
  <c r="F788" i="1" s="1"/>
  <c r="D789" i="1" l="1"/>
  <c r="B789" i="1"/>
  <c r="C780" i="3" s="1"/>
  <c r="G788" i="1"/>
  <c r="K789" i="1" l="1"/>
  <c r="N789" i="1"/>
  <c r="H789" i="1"/>
  <c r="E789" i="1"/>
  <c r="C789" i="1"/>
  <c r="D780" i="3" s="1"/>
  <c r="L789" i="1" l="1"/>
  <c r="M789" i="1" s="1"/>
  <c r="O789" i="1"/>
  <c r="P789" i="1" s="1"/>
  <c r="I789" i="1"/>
  <c r="J789" i="1" s="1"/>
  <c r="F789" i="1" l="1"/>
  <c r="B790" i="1" s="1"/>
  <c r="C781" i="3" s="1"/>
  <c r="G789" i="1"/>
  <c r="D790" i="1" l="1"/>
  <c r="E790" i="1"/>
  <c r="C790" i="1"/>
  <c r="D781" i="3" s="1"/>
  <c r="N790" i="1"/>
  <c r="H790" i="1"/>
  <c r="K790" i="1"/>
  <c r="L790" i="1" l="1"/>
  <c r="M790" i="1" s="1"/>
  <c r="O790" i="1"/>
  <c r="P790" i="1" s="1"/>
  <c r="I790" i="1"/>
  <c r="J790" i="1" s="1"/>
  <c r="F790" i="1" l="1"/>
  <c r="D791" i="1" s="1"/>
  <c r="G790" i="1"/>
  <c r="B791" i="1" l="1"/>
  <c r="E791" i="1"/>
  <c r="C791" i="1"/>
  <c r="D782" i="3" s="1"/>
  <c r="N791" i="1" l="1"/>
  <c r="C782" i="3"/>
  <c r="K791" i="1"/>
  <c r="H791" i="1"/>
  <c r="O791" i="1"/>
  <c r="I791" i="1"/>
  <c r="L791" i="1"/>
  <c r="P791" i="1" l="1"/>
  <c r="J791" i="1"/>
  <c r="M791" i="1"/>
  <c r="F791" i="1" l="1"/>
  <c r="B792" i="1" s="1"/>
  <c r="G791" i="1"/>
  <c r="C792" i="1" s="1"/>
  <c r="D783" i="3" s="1"/>
  <c r="N792" i="1" l="1"/>
  <c r="C783" i="3"/>
  <c r="H792" i="1"/>
  <c r="K792" i="1"/>
  <c r="D792" i="1"/>
  <c r="E792" i="1"/>
  <c r="O792" i="1"/>
  <c r="I792" i="1"/>
  <c r="L792" i="1"/>
  <c r="P792" i="1" l="1"/>
  <c r="M792" i="1"/>
  <c r="J792" i="1"/>
  <c r="F792" i="1" l="1"/>
  <c r="D793" i="1" s="1"/>
  <c r="G792" i="1"/>
  <c r="B793" i="1" l="1"/>
  <c r="C784" i="3" s="1"/>
  <c r="E793" i="1"/>
  <c r="C793" i="1"/>
  <c r="D784" i="3" s="1"/>
  <c r="N793" i="1" l="1"/>
  <c r="K793" i="1"/>
  <c r="H793" i="1"/>
  <c r="O793" i="1"/>
  <c r="I793" i="1"/>
  <c r="L793" i="1"/>
  <c r="M793" i="1" s="1"/>
  <c r="J793" i="1" l="1"/>
  <c r="P793" i="1"/>
  <c r="F793" i="1" l="1"/>
  <c r="B794" i="1" s="1"/>
  <c r="C785" i="3" s="1"/>
  <c r="G793" i="1"/>
  <c r="E794" i="1" s="1"/>
  <c r="K794" i="1" l="1"/>
  <c r="H794" i="1"/>
  <c r="D794" i="1"/>
  <c r="N794" i="1"/>
  <c r="C794" i="1"/>
  <c r="D785" i="3" s="1"/>
  <c r="O794" i="1" l="1"/>
  <c r="P794" i="1" s="1"/>
  <c r="L794" i="1"/>
  <c r="M794" i="1" s="1"/>
  <c r="I794" i="1"/>
  <c r="J794" i="1" s="1"/>
  <c r="F794" i="1" l="1"/>
  <c r="D795" i="1" s="1"/>
  <c r="G794" i="1"/>
  <c r="C795" i="1" s="1"/>
  <c r="D786" i="3" s="1"/>
  <c r="B795" i="1" l="1"/>
  <c r="K795" i="1" s="1"/>
  <c r="E795" i="1"/>
  <c r="I795" i="1"/>
  <c r="L795" i="1"/>
  <c r="O795" i="1"/>
  <c r="M795" i="1" l="1"/>
  <c r="H795" i="1"/>
  <c r="N795" i="1"/>
  <c r="P795" i="1" s="1"/>
  <c r="C786" i="3"/>
  <c r="J795" i="1"/>
  <c r="F795" i="1" l="1"/>
  <c r="B796" i="1" s="1"/>
  <c r="C787" i="3" s="1"/>
  <c r="G795" i="1"/>
  <c r="C796" i="1" s="1"/>
  <c r="D787" i="3" s="1"/>
  <c r="N796" i="1" l="1"/>
  <c r="H796" i="1"/>
  <c r="K796" i="1"/>
  <c r="D796" i="1"/>
  <c r="E796" i="1"/>
  <c r="L796" i="1"/>
  <c r="O796" i="1"/>
  <c r="I796" i="1"/>
  <c r="M796" i="1" l="1"/>
  <c r="P796" i="1"/>
  <c r="J796" i="1"/>
  <c r="F796" i="1" l="1"/>
  <c r="D797" i="1" s="1"/>
  <c r="G796" i="1"/>
  <c r="B797" i="1" l="1"/>
  <c r="C788" i="3" s="1"/>
  <c r="E797" i="1"/>
  <c r="C797" i="1"/>
  <c r="D788" i="3" s="1"/>
  <c r="H797" i="1" l="1"/>
  <c r="K797" i="1"/>
  <c r="N797" i="1"/>
  <c r="L797" i="1"/>
  <c r="M797" i="1" s="1"/>
  <c r="O797" i="1"/>
  <c r="P797" i="1" s="1"/>
  <c r="I797" i="1"/>
  <c r="J797" i="1" l="1"/>
  <c r="F797" i="1" s="1"/>
  <c r="D798" i="1" l="1"/>
  <c r="B798" i="1"/>
  <c r="C789" i="3" s="1"/>
  <c r="G797" i="1"/>
  <c r="N798" i="1" l="1"/>
  <c r="H798" i="1"/>
  <c r="K798" i="1"/>
  <c r="E798" i="1"/>
  <c r="C798" i="1"/>
  <c r="D789" i="3" s="1"/>
  <c r="L798" i="1" l="1"/>
  <c r="M798" i="1" s="1"/>
  <c r="O798" i="1"/>
  <c r="P798" i="1" s="1"/>
  <c r="I798" i="1"/>
  <c r="J798" i="1" s="1"/>
  <c r="F798" i="1" l="1"/>
  <c r="B799" i="1" s="1"/>
  <c r="C790" i="3" s="1"/>
  <c r="G798" i="1"/>
  <c r="D799" i="1" l="1"/>
  <c r="C799" i="1"/>
  <c r="D790" i="3" s="1"/>
  <c r="E799" i="1"/>
  <c r="N799" i="1"/>
  <c r="H799" i="1"/>
  <c r="K799" i="1"/>
  <c r="O799" i="1" l="1"/>
  <c r="P799" i="1" s="1"/>
  <c r="I799" i="1"/>
  <c r="J799" i="1" s="1"/>
  <c r="L799" i="1"/>
  <c r="M799" i="1" s="1"/>
  <c r="F799" i="1" l="1"/>
  <c r="G799" i="1"/>
  <c r="E800" i="1" l="1"/>
  <c r="C800" i="1"/>
  <c r="D791" i="3" s="1"/>
  <c r="D800" i="1"/>
  <c r="B800" i="1"/>
  <c r="C791" i="3" s="1"/>
  <c r="O800" i="1" l="1"/>
  <c r="I800" i="1"/>
  <c r="L800" i="1"/>
  <c r="N800" i="1"/>
  <c r="H800" i="1"/>
  <c r="K800" i="1"/>
  <c r="M800" i="1" s="1"/>
  <c r="P800" i="1" l="1"/>
  <c r="J800" i="1"/>
  <c r="F800" i="1" l="1"/>
  <c r="D801" i="1" s="1"/>
  <c r="G800" i="1"/>
  <c r="B801" i="1" l="1"/>
  <c r="E801" i="1"/>
  <c r="C801" i="1"/>
  <c r="D792" i="3" s="1"/>
  <c r="H801" i="1" l="1"/>
  <c r="C792" i="3"/>
  <c r="N801" i="1"/>
  <c r="K801" i="1"/>
  <c r="O801" i="1"/>
  <c r="I801" i="1"/>
  <c r="L801" i="1"/>
  <c r="M801" i="1" l="1"/>
  <c r="J801" i="1"/>
  <c r="P801" i="1"/>
  <c r="F801" i="1" l="1"/>
  <c r="B802" i="1" s="1"/>
  <c r="C793" i="3" s="1"/>
  <c r="G801" i="1"/>
  <c r="E802" i="1" s="1"/>
  <c r="N802" i="1" l="1"/>
  <c r="K802" i="1"/>
  <c r="H802" i="1"/>
  <c r="D802" i="1"/>
  <c r="C802" i="1"/>
  <c r="I802" i="1" l="1"/>
  <c r="J802" i="1" s="1"/>
  <c r="D793" i="3"/>
  <c r="O802" i="1"/>
  <c r="P802" i="1" s="1"/>
  <c r="L802" i="1"/>
  <c r="M802" i="1" s="1"/>
  <c r="F802" i="1" l="1"/>
  <c r="D803" i="1" s="1"/>
  <c r="G802" i="1"/>
  <c r="C803" i="1" s="1"/>
  <c r="D794" i="3" s="1"/>
  <c r="B803" i="1" l="1"/>
  <c r="C794" i="3" s="1"/>
  <c r="E803" i="1"/>
  <c r="I803" i="1"/>
  <c r="L803" i="1"/>
  <c r="O803" i="1"/>
  <c r="K803" i="1" l="1"/>
  <c r="M803" i="1" s="1"/>
  <c r="N803" i="1"/>
  <c r="P803" i="1" s="1"/>
  <c r="H803" i="1"/>
  <c r="J803" i="1" s="1"/>
  <c r="F803" i="1" l="1"/>
  <c r="B804" i="1" s="1"/>
  <c r="C795" i="3" s="1"/>
  <c r="G803" i="1"/>
  <c r="E804" i="1" s="1"/>
  <c r="D804" i="1" l="1"/>
  <c r="C804" i="1"/>
  <c r="K804" i="1"/>
  <c r="N804" i="1"/>
  <c r="H804" i="1"/>
  <c r="L804" i="1" l="1"/>
  <c r="M804" i="1" s="1"/>
  <c r="D795" i="3"/>
  <c r="O804" i="1"/>
  <c r="P804" i="1" s="1"/>
  <c r="I804" i="1"/>
  <c r="J804" i="1" s="1"/>
  <c r="F804" i="1" l="1"/>
  <c r="B805" i="1" s="1"/>
  <c r="C796" i="3" s="1"/>
  <c r="G804" i="1"/>
  <c r="C805" i="1" s="1"/>
  <c r="D796" i="3" s="1"/>
  <c r="D805" i="1" l="1"/>
  <c r="E805" i="1"/>
  <c r="K805" i="1"/>
  <c r="N805" i="1"/>
  <c r="H805" i="1"/>
  <c r="L805" i="1"/>
  <c r="O805" i="1"/>
  <c r="I805" i="1"/>
  <c r="P805" i="1" l="1"/>
  <c r="J805" i="1"/>
  <c r="M805" i="1"/>
  <c r="G805" i="1" l="1"/>
  <c r="E806" i="1" s="1"/>
  <c r="F805" i="1"/>
  <c r="D806" i="1" s="1"/>
  <c r="C806" i="1" l="1"/>
  <c r="B806" i="1"/>
  <c r="N806" i="1" l="1"/>
  <c r="C797" i="3"/>
  <c r="L806" i="1"/>
  <c r="D797" i="3"/>
  <c r="I806" i="1"/>
  <c r="O806" i="1"/>
  <c r="K806" i="1"/>
  <c r="M806" i="1" s="1"/>
  <c r="H806" i="1"/>
  <c r="P806" i="1" l="1"/>
  <c r="J806" i="1"/>
  <c r="G806" i="1" l="1"/>
  <c r="E807" i="1" s="1"/>
  <c r="F806" i="1"/>
  <c r="B807" i="1" s="1"/>
  <c r="C807" i="1" l="1"/>
  <c r="O807" i="1" s="1"/>
  <c r="H807" i="1"/>
  <c r="C798" i="3"/>
  <c r="N807" i="1"/>
  <c r="K807" i="1"/>
  <c r="D807" i="1"/>
  <c r="D798" i="3" l="1"/>
  <c r="L807" i="1"/>
  <c r="M807" i="1" s="1"/>
  <c r="P807" i="1"/>
  <c r="I807" i="1"/>
  <c r="J807" i="1" s="1"/>
  <c r="F807" i="1" l="1"/>
  <c r="B808" i="1" s="1"/>
  <c r="C799" i="3" s="1"/>
  <c r="G807" i="1"/>
  <c r="C808" i="1" s="1"/>
  <c r="D799" i="3" s="1"/>
  <c r="K808" i="1" l="1"/>
  <c r="H808" i="1"/>
  <c r="N808" i="1"/>
  <c r="D808" i="1"/>
  <c r="E808" i="1"/>
  <c r="O808" i="1"/>
  <c r="P808" i="1" s="1"/>
  <c r="I808" i="1"/>
  <c r="L808" i="1"/>
  <c r="M808" i="1" l="1"/>
  <c r="J808" i="1"/>
  <c r="F808" i="1" l="1"/>
  <c r="D809" i="1" s="1"/>
  <c r="G808" i="1"/>
  <c r="B809" i="1" l="1"/>
  <c r="C800" i="3" s="1"/>
  <c r="E809" i="1"/>
  <c r="C809" i="1"/>
  <c r="D800" i="3" s="1"/>
  <c r="N809" i="1" l="1"/>
  <c r="K809" i="1"/>
  <c r="H809" i="1"/>
  <c r="O809" i="1"/>
  <c r="I809" i="1"/>
  <c r="J809" i="1" s="1"/>
  <c r="L809" i="1"/>
  <c r="M809" i="1" s="1"/>
  <c r="P809" i="1" l="1"/>
  <c r="F809" i="1" s="1"/>
  <c r="B810" i="1" s="1"/>
  <c r="C801" i="3" s="1"/>
  <c r="G809" i="1" l="1"/>
  <c r="E810" i="1" s="1"/>
  <c r="D810" i="1"/>
  <c r="H810" i="1"/>
  <c r="K810" i="1"/>
  <c r="N810" i="1"/>
  <c r="C810" i="1" l="1"/>
  <c r="D801" i="3" s="1"/>
  <c r="O810" i="1" l="1"/>
  <c r="P810" i="1" s="1"/>
  <c r="L810" i="1"/>
  <c r="M810" i="1" s="1"/>
  <c r="I810" i="1"/>
  <c r="J810" i="1" s="1"/>
  <c r="F810" i="1" s="1"/>
  <c r="G810" i="1"/>
  <c r="E811" i="1" l="1"/>
  <c r="C811" i="1"/>
  <c r="D802" i="3" s="1"/>
  <c r="D811" i="1"/>
  <c r="B811" i="1"/>
  <c r="C802" i="3" s="1"/>
  <c r="I811" i="1" l="1"/>
  <c r="L811" i="1"/>
  <c r="O811" i="1"/>
  <c r="K811" i="1"/>
  <c r="N811" i="1"/>
  <c r="P811" i="1" s="1"/>
  <c r="H811" i="1"/>
  <c r="M811" i="1" l="1"/>
  <c r="J811" i="1"/>
  <c r="F811" i="1" l="1"/>
  <c r="D812" i="1" s="1"/>
  <c r="G811" i="1"/>
  <c r="E812" i="1" s="1"/>
  <c r="B812" i="1" l="1"/>
  <c r="C803" i="3" s="1"/>
  <c r="C812" i="1"/>
  <c r="N812" i="1" l="1"/>
  <c r="H812" i="1"/>
  <c r="K812" i="1"/>
  <c r="L812" i="1"/>
  <c r="D803" i="3"/>
  <c r="I812" i="1"/>
  <c r="O812" i="1"/>
  <c r="J812" i="1"/>
  <c r="M812" i="1" l="1"/>
  <c r="P812" i="1"/>
  <c r="F812" i="1" l="1"/>
  <c r="D813" i="1" s="1"/>
  <c r="G812" i="1"/>
  <c r="E813" i="1" s="1"/>
  <c r="B813" i="1"/>
  <c r="C813" i="1" l="1"/>
  <c r="L813" i="1" s="1"/>
  <c r="K813" i="1"/>
  <c r="C804" i="3"/>
  <c r="H813" i="1"/>
  <c r="N813" i="1"/>
  <c r="O813" i="1" l="1"/>
  <c r="P813" i="1" s="1"/>
  <c r="D804" i="3"/>
  <c r="I813" i="1"/>
  <c r="M813" i="1"/>
  <c r="J813" i="1"/>
  <c r="F813" i="1" l="1"/>
  <c r="B814" i="1" s="1"/>
  <c r="C805" i="3" s="1"/>
  <c r="G813" i="1"/>
  <c r="E814" i="1" s="1"/>
  <c r="H814" i="1" l="1"/>
  <c r="K814" i="1"/>
  <c r="N814" i="1"/>
  <c r="D814" i="1"/>
  <c r="C814" i="1"/>
  <c r="D805" i="3" s="1"/>
  <c r="L814" i="1" l="1"/>
  <c r="M814" i="1" s="1"/>
  <c r="I814" i="1"/>
  <c r="J814" i="1" s="1"/>
  <c r="O814" i="1"/>
  <c r="P814" i="1" s="1"/>
  <c r="F814" i="1" l="1"/>
  <c r="D815" i="1" s="1"/>
  <c r="G814" i="1"/>
  <c r="E815" i="1" s="1"/>
  <c r="B815" i="1" l="1"/>
  <c r="C815" i="1"/>
  <c r="O815" i="1" l="1"/>
  <c r="D806" i="3"/>
  <c r="N815" i="1"/>
  <c r="C806" i="3"/>
  <c r="H815" i="1"/>
  <c r="K815" i="1"/>
  <c r="I815" i="1"/>
  <c r="L815" i="1"/>
  <c r="P815" i="1" l="1"/>
  <c r="M815" i="1"/>
  <c r="J815" i="1"/>
  <c r="G815" i="1" l="1"/>
  <c r="C816" i="1" s="1"/>
  <c r="D807" i="3" s="1"/>
  <c r="F815" i="1"/>
  <c r="D816" i="1" s="1"/>
  <c r="O816" i="1" l="1"/>
  <c r="I816" i="1"/>
  <c r="E816" i="1"/>
  <c r="L816" i="1"/>
  <c r="B816" i="1"/>
  <c r="N816" i="1" l="1"/>
  <c r="P816" i="1" s="1"/>
  <c r="C807" i="3"/>
  <c r="K816" i="1"/>
  <c r="M816" i="1" s="1"/>
  <c r="H816" i="1"/>
  <c r="J816" i="1" s="1"/>
  <c r="G816" i="1" l="1"/>
  <c r="E817" i="1" s="1"/>
  <c r="F816" i="1"/>
  <c r="C817" i="1" l="1"/>
  <c r="B817" i="1"/>
  <c r="C808" i="3" s="1"/>
  <c r="D817" i="1"/>
  <c r="O817" i="1" l="1"/>
  <c r="D808" i="3"/>
  <c r="L817" i="1"/>
  <c r="I817" i="1"/>
  <c r="H817" i="1"/>
  <c r="K817" i="1"/>
  <c r="N817" i="1"/>
  <c r="P817" i="1" l="1"/>
  <c r="M817" i="1"/>
  <c r="J817" i="1"/>
  <c r="G817" i="1" l="1"/>
  <c r="E818" i="1" s="1"/>
  <c r="F817" i="1"/>
  <c r="B818" i="1" s="1"/>
  <c r="C809" i="3" s="1"/>
  <c r="C818" i="1" l="1"/>
  <c r="D818" i="1"/>
  <c r="H818" i="1"/>
  <c r="K818" i="1"/>
  <c r="N818" i="1"/>
  <c r="I818" i="1" l="1"/>
  <c r="J818" i="1" s="1"/>
  <c r="D809" i="3"/>
  <c r="O818" i="1"/>
  <c r="P818" i="1" s="1"/>
  <c r="L818" i="1"/>
  <c r="M818" i="1" s="1"/>
  <c r="G818" i="1" l="1"/>
  <c r="E819" i="1" s="1"/>
  <c r="F818" i="1"/>
  <c r="D819" i="1" s="1"/>
  <c r="C819" i="1" l="1"/>
  <c r="B819" i="1"/>
  <c r="K819" i="1" l="1"/>
  <c r="C810" i="3"/>
  <c r="I819" i="1"/>
  <c r="D810" i="3"/>
  <c r="O819" i="1"/>
  <c r="L819" i="1"/>
  <c r="H819" i="1"/>
  <c r="J819" i="1" s="1"/>
  <c r="N819" i="1"/>
  <c r="M819" i="1" l="1"/>
  <c r="P819" i="1"/>
  <c r="G819" i="1" l="1"/>
  <c r="E820" i="1" s="1"/>
  <c r="F819" i="1"/>
  <c r="B820" i="1" s="1"/>
  <c r="C820" i="1" l="1"/>
  <c r="D811" i="3" s="1"/>
  <c r="H820" i="1"/>
  <c r="C811" i="3"/>
  <c r="N820" i="1"/>
  <c r="K820" i="1"/>
  <c r="D820" i="1"/>
  <c r="I820" i="1" l="1"/>
  <c r="J820" i="1" s="1"/>
  <c r="L820" i="1"/>
  <c r="M820" i="1" s="1"/>
  <c r="O820" i="1"/>
  <c r="P820" i="1" s="1"/>
  <c r="G820" i="1" l="1"/>
  <c r="E821" i="1" s="1"/>
  <c r="F820" i="1"/>
  <c r="B821" i="1" s="1"/>
  <c r="C821" i="1" l="1"/>
  <c r="L821" i="1" s="1"/>
  <c r="K821" i="1"/>
  <c r="C812" i="3"/>
  <c r="D821" i="1"/>
  <c r="H821" i="1"/>
  <c r="N821" i="1"/>
  <c r="O821" i="1" l="1"/>
  <c r="P821" i="1" s="1"/>
  <c r="D812" i="3"/>
  <c r="I821" i="1"/>
  <c r="J821" i="1" s="1"/>
  <c r="M821" i="1"/>
  <c r="G821" i="1" l="1"/>
  <c r="C822" i="1" s="1"/>
  <c r="D813" i="3" s="1"/>
  <c r="F821" i="1"/>
  <c r="D822" i="1" s="1"/>
  <c r="I822" i="1" l="1"/>
  <c r="O822" i="1"/>
  <c r="L822" i="1"/>
  <c r="E822" i="1"/>
  <c r="B822" i="1"/>
  <c r="N822" i="1" s="1"/>
  <c r="P822" i="1" s="1"/>
  <c r="H822" i="1" l="1"/>
  <c r="J822" i="1" s="1"/>
  <c r="K822" i="1"/>
  <c r="M822" i="1" s="1"/>
  <c r="C813" i="3"/>
  <c r="G822" i="1" l="1"/>
  <c r="E823" i="1" s="1"/>
  <c r="F822" i="1"/>
  <c r="D823" i="1" s="1"/>
  <c r="C823" i="1" l="1"/>
  <c r="O823" i="1" s="1"/>
  <c r="B823" i="1"/>
  <c r="C814" i="3" s="1"/>
  <c r="D814" i="3" l="1"/>
  <c r="I823" i="1"/>
  <c r="L823" i="1"/>
  <c r="K823" i="1"/>
  <c r="H823" i="1"/>
  <c r="J823" i="1" s="1"/>
  <c r="N823" i="1"/>
  <c r="P823" i="1" s="1"/>
  <c r="M823" i="1" l="1"/>
  <c r="G823" i="1" s="1"/>
  <c r="E824" i="1" s="1"/>
  <c r="F823" i="1" l="1"/>
  <c r="B824" i="1" s="1"/>
  <c r="C815" i="3" s="1"/>
  <c r="C824" i="1"/>
  <c r="D824" i="1" l="1"/>
  <c r="I824" i="1"/>
  <c r="D815" i="3"/>
  <c r="O824" i="1"/>
  <c r="L824" i="1"/>
  <c r="N824" i="1"/>
  <c r="H824" i="1"/>
  <c r="K824" i="1"/>
  <c r="M824" i="1" l="1"/>
  <c r="P824" i="1"/>
  <c r="J824" i="1"/>
  <c r="G824" i="1" l="1"/>
  <c r="C825" i="1" s="1"/>
  <c r="D816" i="3" s="1"/>
  <c r="F824" i="1"/>
  <c r="E825" i="1" l="1"/>
  <c r="B825" i="1"/>
  <c r="C816" i="3" s="1"/>
  <c r="D825" i="1"/>
  <c r="O825" i="1"/>
  <c r="I825" i="1"/>
  <c r="L825" i="1"/>
  <c r="H825" i="1" l="1"/>
  <c r="K825" i="1"/>
  <c r="M825" i="1" s="1"/>
  <c r="N825" i="1"/>
  <c r="P825" i="1" s="1"/>
  <c r="J825" i="1" l="1"/>
  <c r="G825" i="1" s="1"/>
  <c r="F825" i="1" l="1"/>
  <c r="D826" i="1" s="1"/>
  <c r="E826" i="1"/>
  <c r="C826" i="1"/>
  <c r="D817" i="3" s="1"/>
  <c r="B826" i="1" l="1"/>
  <c r="I826" i="1"/>
  <c r="L826" i="1"/>
  <c r="O826" i="1"/>
  <c r="H826" i="1" l="1"/>
  <c r="J826" i="1" s="1"/>
  <c r="C817" i="3"/>
  <c r="N826" i="1"/>
  <c r="P826" i="1" s="1"/>
  <c r="K826" i="1"/>
  <c r="M826" i="1" s="1"/>
  <c r="G826" i="1" l="1"/>
  <c r="C827" i="1" s="1"/>
  <c r="D818" i="3" s="1"/>
  <c r="F826" i="1"/>
  <c r="D827" i="1" s="1"/>
  <c r="B827" i="1" l="1"/>
  <c r="E827" i="1"/>
  <c r="I827" i="1"/>
  <c r="L827" i="1"/>
  <c r="O827" i="1"/>
  <c r="K827" i="1" l="1"/>
  <c r="M827" i="1" s="1"/>
  <c r="C818" i="3"/>
  <c r="H827" i="1"/>
  <c r="J827" i="1" s="1"/>
  <c r="N827" i="1"/>
  <c r="P827" i="1" s="1"/>
  <c r="G827" i="1" l="1"/>
  <c r="E828" i="1" s="1"/>
  <c r="F827" i="1"/>
  <c r="C828" i="1" l="1"/>
  <c r="D828" i="1"/>
  <c r="B828" i="1"/>
  <c r="C819" i="3" s="1"/>
  <c r="L828" i="1" l="1"/>
  <c r="D819" i="3"/>
  <c r="O828" i="1"/>
  <c r="I828" i="1"/>
  <c r="K828" i="1"/>
  <c r="N828" i="1"/>
  <c r="H828" i="1"/>
  <c r="M828" i="1" l="1"/>
  <c r="P828" i="1"/>
  <c r="J828" i="1"/>
  <c r="F828" i="1" l="1"/>
  <c r="B829" i="1" s="1"/>
  <c r="C820" i="3" s="1"/>
  <c r="G828" i="1"/>
  <c r="C829" i="1" s="1"/>
  <c r="D820" i="3" s="1"/>
  <c r="D829" i="1" l="1"/>
  <c r="E829" i="1"/>
  <c r="L829" i="1"/>
  <c r="O829" i="1"/>
  <c r="I829" i="1"/>
  <c r="K829" i="1"/>
  <c r="N829" i="1"/>
  <c r="H829" i="1"/>
  <c r="M829" i="1" l="1"/>
  <c r="P829" i="1"/>
  <c r="J829" i="1"/>
  <c r="G829" i="1" l="1"/>
  <c r="E830" i="1" s="1"/>
  <c r="F829" i="1"/>
  <c r="C830" i="1" l="1"/>
  <c r="B830" i="1"/>
  <c r="C821" i="3" s="1"/>
  <c r="D830" i="1"/>
  <c r="L830" i="1" l="1"/>
  <c r="D821" i="3"/>
  <c r="I830" i="1"/>
  <c r="O830" i="1"/>
  <c r="N830" i="1"/>
  <c r="H830" i="1"/>
  <c r="K830" i="1"/>
  <c r="M830" i="1" l="1"/>
  <c r="P830" i="1"/>
  <c r="J830" i="1"/>
  <c r="G830" i="1" l="1"/>
  <c r="C831" i="1" s="1"/>
  <c r="D822" i="3" s="1"/>
  <c r="F830" i="1"/>
  <c r="E831" i="1" l="1"/>
  <c r="B831" i="1"/>
  <c r="C822" i="3" s="1"/>
  <c r="D831" i="1"/>
  <c r="O831" i="1"/>
  <c r="I831" i="1"/>
  <c r="L831" i="1"/>
  <c r="N831" i="1" l="1"/>
  <c r="P831" i="1" s="1"/>
  <c r="H831" i="1"/>
  <c r="K831" i="1"/>
  <c r="M831" i="1" s="1"/>
  <c r="J831" i="1" l="1"/>
  <c r="G831" i="1" s="1"/>
  <c r="E832" i="1" l="1"/>
  <c r="C832" i="1"/>
  <c r="D823" i="3" s="1"/>
  <c r="F831" i="1"/>
  <c r="D832" i="1" l="1"/>
  <c r="B832" i="1"/>
  <c r="C823" i="3" s="1"/>
  <c r="O832" i="1"/>
  <c r="I832" i="1"/>
  <c r="L832" i="1"/>
  <c r="N832" i="1" l="1"/>
  <c r="P832" i="1" s="1"/>
  <c r="H832" i="1"/>
  <c r="K832" i="1"/>
  <c r="M832" i="1" s="1"/>
  <c r="J832" i="1" l="1"/>
  <c r="G832" i="1" s="1"/>
  <c r="C833" i="1" l="1"/>
  <c r="D824" i="3" s="1"/>
  <c r="E833" i="1"/>
  <c r="F832" i="1"/>
  <c r="B833" i="1" l="1"/>
  <c r="C824" i="3" s="1"/>
  <c r="D833" i="1"/>
  <c r="O833" i="1"/>
  <c r="I833" i="1"/>
  <c r="L833" i="1"/>
  <c r="H833" i="1" l="1"/>
  <c r="K833" i="1"/>
  <c r="M833" i="1" s="1"/>
  <c r="N833" i="1"/>
  <c r="P833" i="1" s="1"/>
  <c r="J833" i="1" l="1"/>
  <c r="G833" i="1" s="1"/>
  <c r="F833" i="1" l="1"/>
  <c r="D834" i="1" s="1"/>
  <c r="E834" i="1"/>
  <c r="C834" i="1"/>
  <c r="D825" i="3" s="1"/>
  <c r="B834" i="1" l="1"/>
  <c r="I834" i="1"/>
  <c r="L834" i="1"/>
  <c r="O834" i="1"/>
  <c r="H834" i="1" l="1"/>
  <c r="J834" i="1" s="1"/>
  <c r="C825" i="3"/>
  <c r="K834" i="1"/>
  <c r="M834" i="1" s="1"/>
  <c r="N834" i="1"/>
  <c r="P834" i="1" s="1"/>
  <c r="F834" i="1" l="1"/>
  <c r="D835" i="1" s="1"/>
  <c r="G834" i="1"/>
  <c r="C835" i="1" s="1"/>
  <c r="D826" i="3" s="1"/>
  <c r="B835" i="1" l="1"/>
  <c r="E835" i="1"/>
  <c r="I835" i="1"/>
  <c r="L835" i="1"/>
  <c r="O835" i="1"/>
  <c r="N835" i="1" l="1"/>
  <c r="P835" i="1" s="1"/>
  <c r="C826" i="3"/>
  <c r="K835" i="1"/>
  <c r="M835" i="1" s="1"/>
  <c r="H835" i="1"/>
  <c r="J835" i="1" s="1"/>
  <c r="G835" i="1" l="1"/>
  <c r="E836" i="1" s="1"/>
  <c r="F835" i="1"/>
  <c r="B836" i="1" s="1"/>
  <c r="C827" i="3" s="1"/>
  <c r="C836" i="1" l="1"/>
  <c r="D836" i="1"/>
  <c r="K836" i="1"/>
  <c r="N836" i="1"/>
  <c r="H836" i="1"/>
  <c r="L836" i="1" l="1"/>
  <c r="M836" i="1" s="1"/>
  <c r="D827" i="3"/>
  <c r="I836" i="1"/>
  <c r="J836" i="1" s="1"/>
  <c r="O836" i="1"/>
  <c r="P836" i="1" s="1"/>
  <c r="F836" i="1" l="1"/>
  <c r="B837" i="1" s="1"/>
  <c r="C828" i="3" s="1"/>
  <c r="G836" i="1"/>
  <c r="D837" i="1" l="1"/>
  <c r="E837" i="1"/>
  <c r="C837" i="1"/>
  <c r="D828" i="3" s="1"/>
  <c r="K837" i="1"/>
  <c r="N837" i="1"/>
  <c r="H837" i="1"/>
  <c r="L837" i="1" l="1"/>
  <c r="M837" i="1" s="1"/>
  <c r="O837" i="1"/>
  <c r="P837" i="1" s="1"/>
  <c r="I837" i="1"/>
  <c r="J837" i="1" l="1"/>
  <c r="F837" i="1" s="1"/>
  <c r="D838" i="1" l="1"/>
  <c r="B838" i="1"/>
  <c r="C829" i="3" s="1"/>
  <c r="G837" i="1"/>
  <c r="N838" i="1" l="1"/>
  <c r="H838" i="1"/>
  <c r="K838" i="1"/>
  <c r="E838" i="1"/>
  <c r="C838" i="1"/>
  <c r="D829" i="3" s="1"/>
  <c r="L838" i="1" l="1"/>
  <c r="M838" i="1" s="1"/>
  <c r="O838" i="1"/>
  <c r="P838" i="1" s="1"/>
  <c r="I838" i="1"/>
  <c r="J838" i="1" s="1"/>
  <c r="F838" i="1" l="1"/>
  <c r="B839" i="1" s="1"/>
  <c r="C830" i="3" s="1"/>
  <c r="G838" i="1"/>
  <c r="D839" i="1" l="1"/>
  <c r="E839" i="1"/>
  <c r="C839" i="1"/>
  <c r="D830" i="3" s="1"/>
  <c r="N839" i="1"/>
  <c r="H839" i="1"/>
  <c r="K839" i="1"/>
  <c r="O839" i="1" l="1"/>
  <c r="P839" i="1" s="1"/>
  <c r="I839" i="1"/>
  <c r="L839" i="1"/>
  <c r="M839" i="1" s="1"/>
  <c r="J839" i="1" l="1"/>
  <c r="F839" i="1" s="1"/>
  <c r="D840" i="1" l="1"/>
  <c r="B840" i="1"/>
  <c r="C831" i="3" s="1"/>
  <c r="G839" i="1"/>
  <c r="E840" i="1" l="1"/>
  <c r="C840" i="1"/>
  <c r="D831" i="3" s="1"/>
  <c r="N840" i="1"/>
  <c r="H840" i="1"/>
  <c r="K840" i="1"/>
  <c r="O840" i="1" l="1"/>
  <c r="P840" i="1" s="1"/>
  <c r="I840" i="1"/>
  <c r="L840" i="1"/>
  <c r="M840" i="1" s="1"/>
  <c r="J840" i="1" l="1"/>
  <c r="F840" i="1" s="1"/>
  <c r="B841" i="1" l="1"/>
  <c r="C832" i="3" s="1"/>
  <c r="D841" i="1"/>
  <c r="G840" i="1"/>
  <c r="E841" i="1" l="1"/>
  <c r="C841" i="1"/>
  <c r="D832" i="3" s="1"/>
  <c r="H841" i="1"/>
  <c r="K841" i="1"/>
  <c r="N841" i="1"/>
  <c r="O841" i="1" l="1"/>
  <c r="P841" i="1" s="1"/>
  <c r="I841" i="1"/>
  <c r="L841" i="1"/>
  <c r="M841" i="1" s="1"/>
  <c r="J841" i="1" l="1"/>
  <c r="F841" i="1" s="1"/>
  <c r="B842" i="1" l="1"/>
  <c r="C833" i="3" s="1"/>
  <c r="D842" i="1"/>
  <c r="G841" i="1"/>
  <c r="E842" i="1" l="1"/>
  <c r="C842" i="1"/>
  <c r="D833" i="3" s="1"/>
  <c r="H842" i="1"/>
  <c r="K842" i="1"/>
  <c r="N842" i="1"/>
  <c r="I842" i="1" l="1"/>
  <c r="J842" i="1" s="1"/>
  <c r="L842" i="1"/>
  <c r="M842" i="1" s="1"/>
  <c r="O842" i="1"/>
  <c r="P842" i="1" s="1"/>
  <c r="F842" i="1" l="1"/>
  <c r="G842" i="1"/>
  <c r="E843" i="1" l="1"/>
  <c r="C843" i="1"/>
  <c r="D834" i="3" s="1"/>
  <c r="D843" i="1"/>
  <c r="B843" i="1"/>
  <c r="C834" i="3" s="1"/>
  <c r="K843" i="1" l="1"/>
  <c r="N843" i="1"/>
  <c r="H843" i="1"/>
  <c r="I843" i="1"/>
  <c r="L843" i="1"/>
  <c r="O843" i="1"/>
  <c r="P843" i="1" l="1"/>
  <c r="J843" i="1"/>
  <c r="M843" i="1"/>
  <c r="F843" i="1" l="1"/>
  <c r="B844" i="1" s="1"/>
  <c r="C835" i="3" s="1"/>
  <c r="G843" i="1"/>
  <c r="D844" i="1" l="1"/>
  <c r="E844" i="1"/>
  <c r="C844" i="1"/>
  <c r="D835" i="3" s="1"/>
  <c r="K844" i="1"/>
  <c r="N844" i="1"/>
  <c r="H844" i="1"/>
  <c r="L844" i="1" l="1"/>
  <c r="M844" i="1" s="1"/>
  <c r="O844" i="1"/>
  <c r="P844" i="1" s="1"/>
  <c r="I844" i="1"/>
  <c r="J844" i="1" l="1"/>
  <c r="F844" i="1" s="1"/>
  <c r="D845" i="1" l="1"/>
  <c r="B845" i="1"/>
  <c r="C836" i="3" s="1"/>
  <c r="G844" i="1"/>
  <c r="K845" i="1" l="1"/>
  <c r="N845" i="1"/>
  <c r="H845" i="1"/>
  <c r="E845" i="1"/>
  <c r="C845" i="1"/>
  <c r="D836" i="3" s="1"/>
  <c r="L845" i="1" l="1"/>
  <c r="M845" i="1" s="1"/>
  <c r="O845" i="1"/>
  <c r="P845" i="1" s="1"/>
  <c r="I845" i="1"/>
  <c r="J845" i="1" s="1"/>
  <c r="F845" i="1" l="1"/>
  <c r="B846" i="1" s="1"/>
  <c r="C837" i="3" s="1"/>
  <c r="G845" i="1"/>
  <c r="D846" i="1" l="1"/>
  <c r="E846" i="1"/>
  <c r="C846" i="1"/>
  <c r="D837" i="3" s="1"/>
  <c r="N846" i="1"/>
  <c r="H846" i="1"/>
  <c r="K846" i="1"/>
  <c r="L846" i="1" l="1"/>
  <c r="M846" i="1" s="1"/>
  <c r="O846" i="1"/>
  <c r="P846" i="1" s="1"/>
  <c r="I846" i="1"/>
  <c r="J846" i="1" l="1"/>
  <c r="F846" i="1" s="1"/>
  <c r="D847" i="1" l="1"/>
  <c r="B847" i="1"/>
  <c r="C838" i="3" s="1"/>
  <c r="G846" i="1"/>
  <c r="E847" i="1" l="1"/>
  <c r="C847" i="1"/>
  <c r="D838" i="3" s="1"/>
  <c r="N847" i="1"/>
  <c r="H847" i="1"/>
  <c r="K847" i="1"/>
  <c r="O847" i="1" l="1"/>
  <c r="P847" i="1" s="1"/>
  <c r="I847" i="1"/>
  <c r="L847" i="1"/>
  <c r="M847" i="1" s="1"/>
  <c r="J847" i="1" l="1"/>
  <c r="F847" i="1" s="1"/>
  <c r="B848" i="1" l="1"/>
  <c r="C839" i="3" s="1"/>
  <c r="D848" i="1"/>
  <c r="G847" i="1"/>
  <c r="E848" i="1" l="1"/>
  <c r="C848" i="1"/>
  <c r="D839" i="3" s="1"/>
  <c r="N848" i="1"/>
  <c r="H848" i="1"/>
  <c r="K848" i="1"/>
  <c r="O848" i="1" l="1"/>
  <c r="P848" i="1" s="1"/>
  <c r="I848" i="1"/>
  <c r="J848" i="1" s="1"/>
  <c r="L848" i="1"/>
  <c r="M848" i="1" s="1"/>
  <c r="F848" i="1" l="1"/>
  <c r="G848" i="1"/>
  <c r="E849" i="1" l="1"/>
  <c r="C849" i="1"/>
  <c r="D840" i="3" s="1"/>
  <c r="D849" i="1"/>
  <c r="B849" i="1"/>
  <c r="C840" i="3" s="1"/>
  <c r="H849" i="1" l="1"/>
  <c r="K849" i="1"/>
  <c r="N849" i="1"/>
  <c r="O849" i="1"/>
  <c r="I849" i="1"/>
  <c r="L849" i="1"/>
  <c r="M849" i="1" l="1"/>
  <c r="P849" i="1"/>
  <c r="J849" i="1"/>
  <c r="F849" i="1" l="1"/>
  <c r="D850" i="1" s="1"/>
  <c r="G849" i="1"/>
  <c r="E850" i="1" s="1"/>
  <c r="B850" i="1" l="1"/>
  <c r="C850" i="1"/>
  <c r="I850" i="1" l="1"/>
  <c r="D841" i="3"/>
  <c r="H850" i="1"/>
  <c r="C841" i="3"/>
  <c r="K850" i="1"/>
  <c r="N850" i="1"/>
  <c r="O850" i="1"/>
  <c r="L850" i="1"/>
  <c r="J850" i="1" l="1"/>
  <c r="P850" i="1"/>
  <c r="M850" i="1"/>
  <c r="G850" i="1" l="1"/>
  <c r="E851" i="1" s="1"/>
  <c r="F850" i="1"/>
  <c r="B851" i="1" s="1"/>
  <c r="H851" i="1" l="1"/>
  <c r="C842" i="3"/>
  <c r="C851" i="1"/>
  <c r="D842" i="3" s="1"/>
  <c r="N851" i="1"/>
  <c r="K851" i="1"/>
  <c r="D851" i="1"/>
  <c r="I851" i="1" l="1"/>
  <c r="J851" i="1" s="1"/>
  <c r="O851" i="1"/>
  <c r="P851" i="1" s="1"/>
  <c r="L851" i="1"/>
  <c r="M851" i="1" s="1"/>
  <c r="F851" i="1" l="1"/>
  <c r="B852" i="1" s="1"/>
  <c r="G851" i="1"/>
  <c r="C852" i="1" s="1"/>
  <c r="O852" i="1" l="1"/>
  <c r="D843" i="3"/>
  <c r="K852" i="1"/>
  <c r="C843" i="3"/>
  <c r="N852" i="1"/>
  <c r="H852" i="1"/>
  <c r="D852" i="1"/>
  <c r="L852" i="1"/>
  <c r="M852" i="1" s="1"/>
  <c r="I852" i="1"/>
  <c r="E852" i="1"/>
  <c r="P852" i="1" l="1"/>
  <c r="J852" i="1"/>
  <c r="F852" i="1" l="1"/>
  <c r="B853" i="1" s="1"/>
  <c r="C844" i="3" s="1"/>
  <c r="G852" i="1"/>
  <c r="E853" i="1" s="1"/>
  <c r="D853" i="1" l="1"/>
  <c r="C853" i="1"/>
  <c r="K853" i="1"/>
  <c r="N853" i="1"/>
  <c r="H853" i="1"/>
  <c r="L853" i="1" l="1"/>
  <c r="M853" i="1" s="1"/>
  <c r="D844" i="3"/>
  <c r="O853" i="1"/>
  <c r="P853" i="1" s="1"/>
  <c r="I853" i="1"/>
  <c r="J853" i="1" s="1"/>
  <c r="G853" i="1" l="1"/>
  <c r="C854" i="1" s="1"/>
  <c r="D845" i="3" s="1"/>
  <c r="F853" i="1"/>
  <c r="E854" i="1" l="1"/>
  <c r="B854" i="1"/>
  <c r="C845" i="3" s="1"/>
  <c r="D854" i="1"/>
  <c r="L854" i="1"/>
  <c r="O854" i="1"/>
  <c r="I854" i="1"/>
  <c r="N854" i="1" l="1"/>
  <c r="P854" i="1" s="1"/>
  <c r="H854" i="1"/>
  <c r="K854" i="1"/>
  <c r="M854" i="1" s="1"/>
  <c r="J854" i="1" l="1"/>
  <c r="G854" i="1" s="1"/>
  <c r="E855" i="1" l="1"/>
  <c r="C855" i="1"/>
  <c r="D846" i="3" s="1"/>
  <c r="F854" i="1"/>
  <c r="O855" i="1" l="1"/>
  <c r="I855" i="1"/>
  <c r="L855" i="1"/>
  <c r="D855" i="1"/>
  <c r="B855" i="1"/>
  <c r="C846" i="3" s="1"/>
  <c r="N855" i="1" l="1"/>
  <c r="P855" i="1" s="1"/>
  <c r="H855" i="1"/>
  <c r="K855" i="1"/>
  <c r="M855" i="1" s="1"/>
  <c r="J855" i="1" l="1"/>
  <c r="G855" i="1" s="1"/>
  <c r="C856" i="1" l="1"/>
  <c r="D847" i="3" s="1"/>
  <c r="E856" i="1"/>
  <c r="F855" i="1"/>
  <c r="B856" i="1" l="1"/>
  <c r="C847" i="3" s="1"/>
  <c r="D856" i="1"/>
  <c r="O856" i="1"/>
  <c r="I856" i="1"/>
  <c r="L856" i="1"/>
  <c r="N856" i="1" l="1"/>
  <c r="P856" i="1" s="1"/>
  <c r="H856" i="1"/>
  <c r="K856" i="1"/>
  <c r="M856" i="1" s="1"/>
  <c r="J856" i="1" l="1"/>
  <c r="G856" i="1" s="1"/>
  <c r="E857" i="1" l="1"/>
  <c r="C857" i="1"/>
  <c r="D848" i="3" s="1"/>
  <c r="F856" i="1"/>
  <c r="O857" i="1" l="1"/>
  <c r="I857" i="1"/>
  <c r="L857" i="1"/>
  <c r="D857" i="1"/>
  <c r="B857" i="1"/>
  <c r="C848" i="3" s="1"/>
  <c r="H857" i="1" l="1"/>
  <c r="K857" i="1"/>
  <c r="M857" i="1" s="1"/>
  <c r="N857" i="1"/>
  <c r="P857" i="1" s="1"/>
  <c r="J857" i="1" l="1"/>
  <c r="G857" i="1" s="1"/>
  <c r="F857" i="1" l="1"/>
  <c r="B858" i="1" s="1"/>
  <c r="C849" i="3" s="1"/>
  <c r="C858" i="1"/>
  <c r="D849" i="3" s="1"/>
  <c r="E858" i="1"/>
  <c r="D858" i="1" l="1"/>
  <c r="I858" i="1"/>
  <c r="L858" i="1"/>
  <c r="O858" i="1"/>
  <c r="H858" i="1"/>
  <c r="K858" i="1"/>
  <c r="N858" i="1"/>
  <c r="J858" i="1" l="1"/>
  <c r="P858" i="1"/>
  <c r="M858" i="1"/>
  <c r="F858" i="1" l="1"/>
  <c r="D859" i="1" s="1"/>
  <c r="G858" i="1"/>
  <c r="E859" i="1" s="1"/>
  <c r="B859" i="1" l="1"/>
  <c r="C859" i="1"/>
  <c r="I859" i="1" l="1"/>
  <c r="D850" i="3"/>
  <c r="K859" i="1"/>
  <c r="C850" i="3"/>
  <c r="H859" i="1"/>
  <c r="N859" i="1"/>
  <c r="O859" i="1"/>
  <c r="L859" i="1"/>
  <c r="M859" i="1" l="1"/>
  <c r="J859" i="1"/>
  <c r="P859" i="1"/>
  <c r="F859" i="1" l="1"/>
  <c r="D860" i="1" s="1"/>
  <c r="G859" i="1"/>
  <c r="E860" i="1" s="1"/>
  <c r="B860" i="1" l="1"/>
  <c r="K860" i="1" s="1"/>
  <c r="C860" i="1"/>
  <c r="N860" i="1" l="1"/>
  <c r="H860" i="1"/>
  <c r="C851" i="3"/>
  <c r="L860" i="1"/>
  <c r="M860" i="1" s="1"/>
  <c r="D851" i="3"/>
  <c r="I860" i="1"/>
  <c r="J860" i="1" s="1"/>
  <c r="O860" i="1"/>
  <c r="P860" i="1" l="1"/>
  <c r="F860" i="1" s="1"/>
  <c r="B861" i="1" s="1"/>
  <c r="C852" i="3" s="1"/>
  <c r="G860" i="1" l="1"/>
  <c r="E861" i="1" s="1"/>
  <c r="D861" i="1"/>
  <c r="K861" i="1"/>
  <c r="N861" i="1"/>
  <c r="H861" i="1"/>
  <c r="C861" i="1" l="1"/>
  <c r="D852" i="3" s="1"/>
  <c r="I861" i="1" l="1"/>
  <c r="J861" i="1" s="1"/>
  <c r="O861" i="1"/>
  <c r="P861" i="1" s="1"/>
  <c r="L861" i="1"/>
  <c r="M861" i="1" s="1"/>
  <c r="F861" i="1" l="1"/>
  <c r="D862" i="1" s="1"/>
  <c r="G861" i="1"/>
  <c r="C862" i="1" s="1"/>
  <c r="D853" i="3" s="1"/>
  <c r="B862" i="1" l="1"/>
  <c r="C853" i="3" s="1"/>
  <c r="E862" i="1"/>
  <c r="L862" i="1"/>
  <c r="O862" i="1"/>
  <c r="I862" i="1"/>
  <c r="K862" i="1" l="1"/>
  <c r="M862" i="1" s="1"/>
  <c r="H862" i="1"/>
  <c r="N862" i="1"/>
  <c r="P862" i="1" s="1"/>
  <c r="J862" i="1"/>
  <c r="G862" i="1" l="1"/>
  <c r="E863" i="1" s="1"/>
  <c r="F862" i="1"/>
  <c r="D863" i="1" s="1"/>
  <c r="C863" i="1" l="1"/>
  <c r="B863" i="1"/>
  <c r="N863" i="1" l="1"/>
  <c r="C854" i="3"/>
  <c r="O863" i="1"/>
  <c r="D854" i="3"/>
  <c r="L863" i="1"/>
  <c r="I863" i="1"/>
  <c r="K863" i="1"/>
  <c r="H863" i="1"/>
  <c r="P863" i="1" l="1"/>
  <c r="J863" i="1"/>
  <c r="M863" i="1"/>
  <c r="G863" i="1" l="1"/>
  <c r="E864" i="1" s="1"/>
  <c r="F863" i="1"/>
  <c r="D864" i="1" s="1"/>
  <c r="C864" i="1" l="1"/>
  <c r="O864" i="1" s="1"/>
  <c r="B864" i="1"/>
  <c r="L864" i="1" l="1"/>
  <c r="I864" i="1"/>
  <c r="D855" i="3"/>
  <c r="N864" i="1"/>
  <c r="P864" i="1" s="1"/>
  <c r="C855" i="3"/>
  <c r="K864" i="1"/>
  <c r="H864" i="1"/>
  <c r="J864" i="1" s="1"/>
  <c r="M864" i="1" l="1"/>
  <c r="G864" i="1" s="1"/>
  <c r="C865" i="1" s="1"/>
  <c r="D856" i="3" s="1"/>
  <c r="F864" i="1" l="1"/>
  <c r="B865" i="1" s="1"/>
  <c r="C856" i="3" s="1"/>
  <c r="E865" i="1"/>
  <c r="O865" i="1"/>
  <c r="I865" i="1"/>
  <c r="L865" i="1"/>
  <c r="D865" i="1" l="1"/>
  <c r="H865" i="1"/>
  <c r="K865" i="1"/>
  <c r="M865" i="1" s="1"/>
  <c r="N865" i="1"/>
  <c r="P865" i="1" s="1"/>
  <c r="J865" i="1" l="1"/>
  <c r="G865" i="1" s="1"/>
  <c r="F865" i="1" l="1"/>
  <c r="B866" i="1" s="1"/>
  <c r="C857" i="3" s="1"/>
  <c r="E866" i="1"/>
  <c r="C866" i="1"/>
  <c r="D857" i="3" s="1"/>
  <c r="D866" i="1" l="1"/>
  <c r="I866" i="1"/>
  <c r="L866" i="1"/>
  <c r="O866" i="1"/>
  <c r="H866" i="1"/>
  <c r="K866" i="1"/>
  <c r="N866" i="1"/>
  <c r="J866" i="1" l="1"/>
  <c r="P866" i="1"/>
  <c r="M866" i="1"/>
  <c r="G866" i="1" l="1"/>
  <c r="C867" i="1" s="1"/>
  <c r="D858" i="3" s="1"/>
  <c r="F866" i="1"/>
  <c r="D867" i="1" s="1"/>
  <c r="E867" i="1" l="1"/>
  <c r="B867" i="1"/>
  <c r="I867" i="1"/>
  <c r="L867" i="1"/>
  <c r="O867" i="1"/>
  <c r="K867" i="1" l="1"/>
  <c r="M867" i="1" s="1"/>
  <c r="C858" i="3"/>
  <c r="H867" i="1"/>
  <c r="J867" i="1" s="1"/>
  <c r="N867" i="1"/>
  <c r="P867" i="1" s="1"/>
  <c r="G867" i="1" l="1"/>
  <c r="E868" i="1" s="1"/>
  <c r="F867" i="1"/>
  <c r="C868" i="1" l="1"/>
  <c r="D868" i="1"/>
  <c r="B868" i="1"/>
  <c r="C859" i="3" s="1"/>
  <c r="L868" i="1" l="1"/>
  <c r="D859" i="3"/>
  <c r="I868" i="1"/>
  <c r="O868" i="1"/>
  <c r="K868" i="1"/>
  <c r="N868" i="1"/>
  <c r="H868" i="1"/>
  <c r="M868" i="1" l="1"/>
  <c r="P868" i="1"/>
  <c r="J868" i="1"/>
  <c r="G868" i="1" l="1"/>
  <c r="E869" i="1" s="1"/>
  <c r="F868" i="1"/>
  <c r="B869" i="1" s="1"/>
  <c r="C860" i="3" s="1"/>
  <c r="C869" i="1" l="1"/>
  <c r="D869" i="1"/>
  <c r="K869" i="1"/>
  <c r="N869" i="1"/>
  <c r="H869" i="1"/>
  <c r="L869" i="1" l="1"/>
  <c r="M869" i="1" s="1"/>
  <c r="D860" i="3"/>
  <c r="I869" i="1"/>
  <c r="J869" i="1" s="1"/>
  <c r="O869" i="1"/>
  <c r="P869" i="1" s="1"/>
  <c r="G869" i="1" l="1"/>
  <c r="E870" i="1" s="1"/>
  <c r="F869" i="1"/>
  <c r="C870" i="1" l="1"/>
  <c r="D870" i="1"/>
  <c r="B870" i="1"/>
  <c r="C861" i="3" s="1"/>
  <c r="L870" i="1" l="1"/>
  <c r="D861" i="3"/>
  <c r="O870" i="1"/>
  <c r="I870" i="1"/>
  <c r="N870" i="1"/>
  <c r="H870" i="1"/>
  <c r="K870" i="1"/>
  <c r="M870" i="1" l="1"/>
  <c r="P870" i="1"/>
  <c r="J870" i="1"/>
  <c r="G870" i="1" l="1"/>
  <c r="C871" i="1" s="1"/>
  <c r="D862" i="3" s="1"/>
  <c r="F870" i="1"/>
  <c r="E871" i="1" l="1"/>
  <c r="B871" i="1"/>
  <c r="C862" i="3" s="1"/>
  <c r="D871" i="1"/>
  <c r="O871" i="1"/>
  <c r="I871" i="1"/>
  <c r="L871" i="1"/>
  <c r="N871" i="1" l="1"/>
  <c r="P871" i="1" s="1"/>
  <c r="H871" i="1"/>
  <c r="K871" i="1"/>
  <c r="M871" i="1" s="1"/>
  <c r="J871" i="1" l="1"/>
  <c r="G871" i="1" s="1"/>
  <c r="E872" i="1" l="1"/>
  <c r="C872" i="1"/>
  <c r="D863" i="3" s="1"/>
  <c r="F871" i="1"/>
  <c r="O872" i="1" l="1"/>
  <c r="I872" i="1"/>
  <c r="L872" i="1"/>
  <c r="D872" i="1"/>
  <c r="B872" i="1"/>
  <c r="C863" i="3" s="1"/>
  <c r="N872" i="1" l="1"/>
  <c r="P872" i="1" s="1"/>
  <c r="H872" i="1"/>
  <c r="K872" i="1"/>
  <c r="M872" i="1" s="1"/>
  <c r="J872" i="1" l="1"/>
  <c r="G872" i="1" s="1"/>
  <c r="C873" i="1" l="1"/>
  <c r="D864" i="3" s="1"/>
  <c r="E873" i="1"/>
  <c r="F872" i="1"/>
  <c r="D873" i="1" l="1"/>
  <c r="B873" i="1"/>
  <c r="C864" i="3" s="1"/>
  <c r="O873" i="1"/>
  <c r="I873" i="1"/>
  <c r="L873" i="1"/>
  <c r="H873" i="1" l="1"/>
  <c r="K873" i="1"/>
  <c r="M873" i="1" s="1"/>
  <c r="N873" i="1"/>
  <c r="P873" i="1" s="1"/>
  <c r="J873" i="1" l="1"/>
  <c r="G873" i="1" s="1"/>
  <c r="F873" i="1" l="1"/>
  <c r="B874" i="1" s="1"/>
  <c r="C865" i="3" s="1"/>
  <c r="E874" i="1"/>
  <c r="C874" i="1"/>
  <c r="D865" i="3" s="1"/>
  <c r="D874" i="1" l="1"/>
  <c r="I874" i="1"/>
  <c r="L874" i="1"/>
  <c r="O874" i="1"/>
  <c r="H874" i="1"/>
  <c r="K874" i="1"/>
  <c r="N874" i="1"/>
  <c r="P874" i="1" l="1"/>
  <c r="J874" i="1"/>
  <c r="M874" i="1"/>
  <c r="G874" i="1" l="1"/>
  <c r="C875" i="1" s="1"/>
  <c r="D866" i="3" s="1"/>
  <c r="F874" i="1"/>
  <c r="D875" i="1" s="1"/>
  <c r="E875" i="1" l="1"/>
  <c r="B875" i="1"/>
  <c r="I875" i="1"/>
  <c r="L875" i="1"/>
  <c r="O875" i="1"/>
  <c r="K875" i="1" l="1"/>
  <c r="M875" i="1" s="1"/>
  <c r="C866" i="3"/>
  <c r="H875" i="1"/>
  <c r="J875" i="1" s="1"/>
  <c r="N875" i="1"/>
  <c r="P875" i="1" s="1"/>
  <c r="G875" i="1" l="1"/>
  <c r="E876" i="1" s="1"/>
  <c r="F875" i="1"/>
  <c r="D876" i="1" s="1"/>
  <c r="C876" i="1" l="1"/>
  <c r="B876" i="1"/>
  <c r="K876" i="1" l="1"/>
  <c r="C867" i="3"/>
  <c r="L876" i="1"/>
  <c r="D867" i="3"/>
  <c r="O876" i="1"/>
  <c r="I876" i="1"/>
  <c r="H876" i="1"/>
  <c r="N876" i="1"/>
  <c r="M876" i="1" l="1"/>
  <c r="J876" i="1"/>
  <c r="P876" i="1"/>
  <c r="G876" i="1" l="1"/>
  <c r="E877" i="1" s="1"/>
  <c r="F876" i="1"/>
  <c r="D877" i="1" s="1"/>
  <c r="C877" i="1" l="1"/>
  <c r="D868" i="3" s="1"/>
  <c r="B877" i="1"/>
  <c r="K877" i="1" l="1"/>
  <c r="C868" i="3"/>
  <c r="L877" i="1"/>
  <c r="I877" i="1"/>
  <c r="O877" i="1"/>
  <c r="H877" i="1"/>
  <c r="N877" i="1"/>
  <c r="J877" i="1" l="1"/>
  <c r="M877" i="1"/>
  <c r="P877" i="1"/>
  <c r="G877" i="1" l="1"/>
  <c r="C878" i="1" s="1"/>
  <c r="D869" i="3" s="1"/>
  <c r="F877" i="1"/>
  <c r="B878" i="1" s="1"/>
  <c r="C869" i="3" s="1"/>
  <c r="I878" i="1" l="1"/>
  <c r="O878" i="1"/>
  <c r="L878" i="1"/>
  <c r="E878" i="1"/>
  <c r="D878" i="1"/>
  <c r="N878" i="1"/>
  <c r="H878" i="1"/>
  <c r="K878" i="1"/>
  <c r="M878" i="1" s="1"/>
  <c r="P878" i="1" l="1"/>
  <c r="J878" i="1"/>
  <c r="G878" i="1" l="1"/>
  <c r="E879" i="1" s="1"/>
  <c r="F878" i="1"/>
  <c r="C879" i="1" l="1"/>
  <c r="D870" i="3" s="1"/>
  <c r="D879" i="1"/>
  <c r="B879" i="1"/>
  <c r="C870" i="3" s="1"/>
  <c r="L879" i="1" l="1"/>
  <c r="O879" i="1"/>
  <c r="I879" i="1"/>
  <c r="N879" i="1"/>
  <c r="P879" i="1" s="1"/>
  <c r="H879" i="1"/>
  <c r="K879" i="1"/>
  <c r="M879" i="1" l="1"/>
  <c r="J879" i="1"/>
  <c r="G879" i="1" l="1"/>
  <c r="C880" i="1" s="1"/>
  <c r="D871" i="3" s="1"/>
  <c r="F879" i="1"/>
  <c r="E880" i="1" l="1"/>
  <c r="B880" i="1"/>
  <c r="C871" i="3" s="1"/>
  <c r="D880" i="1"/>
  <c r="O880" i="1"/>
  <c r="I880" i="1"/>
  <c r="L880" i="1"/>
  <c r="N880" i="1" l="1"/>
  <c r="P880" i="1" s="1"/>
  <c r="H880" i="1"/>
  <c r="K880" i="1"/>
  <c r="M880" i="1" s="1"/>
  <c r="J880" i="1" l="1"/>
  <c r="G880" i="1" s="1"/>
  <c r="E881" i="1" l="1"/>
  <c r="C881" i="1"/>
  <c r="D872" i="3" s="1"/>
  <c r="F880" i="1"/>
  <c r="O881" i="1" l="1"/>
  <c r="I881" i="1"/>
  <c r="L881" i="1"/>
  <c r="D881" i="1"/>
  <c r="B881" i="1"/>
  <c r="C872" i="3" s="1"/>
  <c r="H881" i="1" l="1"/>
  <c r="K881" i="1"/>
  <c r="M881" i="1" s="1"/>
  <c r="N881" i="1"/>
  <c r="P881" i="1" s="1"/>
  <c r="J881" i="1" l="1"/>
  <c r="G881" i="1" s="1"/>
  <c r="F881" i="1" l="1"/>
  <c r="B882" i="1" s="1"/>
  <c r="C873" i="3" s="1"/>
  <c r="E882" i="1"/>
  <c r="C882" i="1"/>
  <c r="D873" i="3" s="1"/>
  <c r="D882" i="1" l="1"/>
  <c r="I882" i="1"/>
  <c r="L882" i="1"/>
  <c r="O882" i="1"/>
  <c r="H882" i="1"/>
  <c r="K882" i="1"/>
  <c r="N882" i="1"/>
  <c r="J882" i="1" l="1"/>
  <c r="P882" i="1"/>
  <c r="M882" i="1"/>
  <c r="G882" i="1" l="1"/>
  <c r="E883" i="1" s="1"/>
  <c r="F882" i="1"/>
  <c r="D883" i="1" s="1"/>
  <c r="C883" i="1" l="1"/>
  <c r="B883" i="1"/>
  <c r="K883" i="1" l="1"/>
  <c r="C874" i="3"/>
  <c r="I883" i="1"/>
  <c r="D874" i="3"/>
  <c r="L883" i="1"/>
  <c r="O883" i="1"/>
  <c r="H883" i="1"/>
  <c r="J883" i="1" s="1"/>
  <c r="N883" i="1"/>
  <c r="M883" i="1" l="1"/>
  <c r="P883" i="1"/>
  <c r="G883" i="1" l="1"/>
  <c r="C884" i="1" s="1"/>
  <c r="D875" i="3" s="1"/>
  <c r="F883" i="1"/>
  <c r="B884" i="1" s="1"/>
  <c r="O884" i="1" l="1"/>
  <c r="I884" i="1"/>
  <c r="L884" i="1"/>
  <c r="E884" i="1"/>
  <c r="K884" i="1"/>
  <c r="M884" i="1" s="1"/>
  <c r="C875" i="3"/>
  <c r="H884" i="1"/>
  <c r="J884" i="1" s="1"/>
  <c r="N884" i="1"/>
  <c r="D884" i="1"/>
  <c r="P884" i="1" l="1"/>
  <c r="G884" i="1" s="1"/>
  <c r="C885" i="1" s="1"/>
  <c r="D876" i="3" s="1"/>
  <c r="F884" i="1"/>
  <c r="B885" i="1" s="1"/>
  <c r="C876" i="3" s="1"/>
  <c r="E885" i="1" l="1"/>
  <c r="D885" i="1"/>
  <c r="K885" i="1"/>
  <c r="N885" i="1"/>
  <c r="H885" i="1"/>
  <c r="L885" i="1"/>
  <c r="O885" i="1"/>
  <c r="I885" i="1"/>
  <c r="J885" i="1" l="1"/>
  <c r="P885" i="1"/>
  <c r="M885" i="1"/>
  <c r="F885" i="1" l="1"/>
  <c r="D886" i="1" s="1"/>
  <c r="G885" i="1"/>
  <c r="C886" i="1" s="1"/>
  <c r="D877" i="3" s="1"/>
  <c r="B886" i="1" l="1"/>
  <c r="E886" i="1"/>
  <c r="L886" i="1"/>
  <c r="O886" i="1"/>
  <c r="I886" i="1"/>
  <c r="N886" i="1" l="1"/>
  <c r="P886" i="1" s="1"/>
  <c r="C877" i="3"/>
  <c r="K886" i="1"/>
  <c r="M886" i="1" s="1"/>
  <c r="H886" i="1"/>
  <c r="J886" i="1" s="1"/>
  <c r="G886" i="1" l="1"/>
  <c r="C887" i="1" s="1"/>
  <c r="D878" i="3" s="1"/>
  <c r="F886" i="1"/>
  <c r="D887" i="1" s="1"/>
  <c r="E887" i="1" l="1"/>
  <c r="B887" i="1"/>
  <c r="O887" i="1"/>
  <c r="I887" i="1"/>
  <c r="L887" i="1"/>
  <c r="H887" i="1" l="1"/>
  <c r="J887" i="1" s="1"/>
  <c r="C878" i="3"/>
  <c r="N887" i="1"/>
  <c r="P887" i="1" s="1"/>
  <c r="K887" i="1"/>
  <c r="M887" i="1" s="1"/>
  <c r="G887" i="1" l="1"/>
  <c r="E888" i="1" s="1"/>
  <c r="F887" i="1"/>
  <c r="C888" i="1" l="1"/>
  <c r="D888" i="1"/>
  <c r="B888" i="1"/>
  <c r="C879" i="3" s="1"/>
  <c r="O888" i="1" l="1"/>
  <c r="D879" i="3"/>
  <c r="L888" i="1"/>
  <c r="I888" i="1"/>
  <c r="N888" i="1"/>
  <c r="H888" i="1"/>
  <c r="K888" i="1"/>
  <c r="P888" i="1" l="1"/>
  <c r="M888" i="1"/>
  <c r="J888" i="1"/>
  <c r="G888" i="1" l="1"/>
  <c r="C889" i="1" s="1"/>
  <c r="D880" i="3" s="1"/>
  <c r="F888" i="1"/>
  <c r="E889" i="1" l="1"/>
  <c r="D889" i="1"/>
  <c r="B889" i="1"/>
  <c r="C880" i="3" s="1"/>
  <c r="O889" i="1"/>
  <c r="I889" i="1"/>
  <c r="L889" i="1"/>
  <c r="H889" i="1" l="1"/>
  <c r="K889" i="1"/>
  <c r="M889" i="1" s="1"/>
  <c r="N889" i="1"/>
  <c r="P889" i="1" s="1"/>
  <c r="J889" i="1" l="1"/>
  <c r="G889" i="1" s="1"/>
  <c r="F889" i="1" l="1"/>
  <c r="B890" i="1" s="1"/>
  <c r="C881" i="3" s="1"/>
  <c r="E890" i="1"/>
  <c r="C890" i="1"/>
  <c r="D881" i="3" s="1"/>
  <c r="D890" i="1" l="1"/>
  <c r="I890" i="1"/>
  <c r="L890" i="1"/>
  <c r="O890" i="1"/>
  <c r="H890" i="1"/>
  <c r="K890" i="1"/>
  <c r="N890" i="1"/>
  <c r="J890" i="1" l="1"/>
  <c r="P890" i="1"/>
  <c r="M890" i="1"/>
  <c r="G890" i="1" l="1"/>
  <c r="C891" i="1" s="1"/>
  <c r="D882" i="3" s="1"/>
  <c r="F890" i="1"/>
  <c r="E891" i="1" l="1"/>
  <c r="D891" i="1"/>
  <c r="B891" i="1"/>
  <c r="C882" i="3" s="1"/>
  <c r="I891" i="1"/>
  <c r="L891" i="1"/>
  <c r="O891" i="1"/>
  <c r="K891" i="1" l="1"/>
  <c r="M891" i="1" s="1"/>
  <c r="N891" i="1"/>
  <c r="P891" i="1" s="1"/>
  <c r="H891" i="1"/>
  <c r="J891" i="1" l="1"/>
  <c r="G891" i="1" s="1"/>
  <c r="F891" i="1" l="1"/>
  <c r="B892" i="1" s="1"/>
  <c r="C883" i="3" s="1"/>
  <c r="E892" i="1"/>
  <c r="C892" i="1"/>
  <c r="D883" i="3" s="1"/>
  <c r="D892" i="1" l="1"/>
  <c r="L892" i="1"/>
  <c r="O892" i="1"/>
  <c r="I892" i="1"/>
  <c r="K892" i="1"/>
  <c r="N892" i="1"/>
  <c r="H892" i="1"/>
  <c r="M892" i="1" l="1"/>
  <c r="P892" i="1"/>
  <c r="J892" i="1"/>
  <c r="G892" i="1" l="1"/>
  <c r="E893" i="1" s="1"/>
  <c r="F892" i="1"/>
  <c r="B893" i="1" s="1"/>
  <c r="C884" i="3" s="1"/>
  <c r="C893" i="1" l="1"/>
  <c r="D893" i="1"/>
  <c r="K893" i="1"/>
  <c r="N893" i="1"/>
  <c r="H893" i="1"/>
  <c r="L893" i="1" l="1"/>
  <c r="M893" i="1" s="1"/>
  <c r="D884" i="3"/>
  <c r="I893" i="1"/>
  <c r="J893" i="1" s="1"/>
  <c r="O893" i="1"/>
  <c r="P893" i="1" s="1"/>
  <c r="F893" i="1" l="1"/>
  <c r="B894" i="1" s="1"/>
  <c r="C885" i="3" s="1"/>
  <c r="G893" i="1"/>
  <c r="C894" i="1" s="1"/>
  <c r="D885" i="3" s="1"/>
  <c r="D894" i="1" l="1"/>
  <c r="E894" i="1"/>
  <c r="L894" i="1"/>
  <c r="O894" i="1"/>
  <c r="I894" i="1"/>
  <c r="N894" i="1"/>
  <c r="H894" i="1"/>
  <c r="K894" i="1"/>
  <c r="P894" i="1" l="1"/>
  <c r="J894" i="1"/>
  <c r="M894" i="1"/>
  <c r="F894" i="1" l="1"/>
  <c r="D895" i="1" s="1"/>
  <c r="G894" i="1"/>
  <c r="E895" i="1" s="1"/>
  <c r="B895" i="1" l="1"/>
  <c r="C895" i="1"/>
  <c r="O895" i="1" l="1"/>
  <c r="D886" i="3"/>
  <c r="N895" i="1"/>
  <c r="C886" i="3"/>
  <c r="K895" i="1"/>
  <c r="H895" i="1"/>
  <c r="I895" i="1"/>
  <c r="L895" i="1"/>
  <c r="P895" i="1" l="1"/>
  <c r="J895" i="1"/>
  <c r="M895" i="1"/>
  <c r="G895" i="1" l="1"/>
  <c r="E896" i="1" s="1"/>
  <c r="F895" i="1"/>
  <c r="B896" i="1" s="1"/>
  <c r="C887" i="3" s="1"/>
  <c r="C896" i="1" l="1"/>
  <c r="D887" i="3" s="1"/>
  <c r="D896" i="1"/>
  <c r="N896" i="1"/>
  <c r="H896" i="1"/>
  <c r="K896" i="1"/>
  <c r="L896" i="1" l="1"/>
  <c r="M896" i="1" s="1"/>
  <c r="O896" i="1"/>
  <c r="P896" i="1" s="1"/>
  <c r="I896" i="1"/>
  <c r="J896" i="1" s="1"/>
  <c r="G896" i="1" l="1"/>
  <c r="E897" i="1" s="1"/>
  <c r="F896" i="1"/>
  <c r="C897" i="1" l="1"/>
  <c r="D897" i="1"/>
  <c r="B897" i="1"/>
  <c r="C888" i="3" s="1"/>
  <c r="I897" i="1" l="1"/>
  <c r="D888" i="3"/>
  <c r="L897" i="1"/>
  <c r="O897" i="1"/>
  <c r="H897" i="1"/>
  <c r="K897" i="1"/>
  <c r="N897" i="1"/>
  <c r="P897" i="1" s="1"/>
  <c r="M897" i="1" l="1"/>
  <c r="J897" i="1"/>
  <c r="G897" i="1" l="1"/>
  <c r="C898" i="1" s="1"/>
  <c r="D889" i="3" s="1"/>
  <c r="F897" i="1"/>
  <c r="B898" i="1" s="1"/>
  <c r="C889" i="3" s="1"/>
  <c r="E898" i="1" l="1"/>
  <c r="D898" i="1"/>
  <c r="I898" i="1"/>
  <c r="L898" i="1"/>
  <c r="O898" i="1"/>
  <c r="H898" i="1"/>
  <c r="K898" i="1"/>
  <c r="N898" i="1"/>
  <c r="J898" i="1" l="1"/>
  <c r="P898" i="1"/>
  <c r="M898" i="1"/>
  <c r="G898" i="1" l="1"/>
  <c r="C899" i="1" s="1"/>
  <c r="D890" i="3" s="1"/>
  <c r="F898" i="1"/>
  <c r="E899" i="1" l="1"/>
  <c r="D899" i="1"/>
  <c r="B899" i="1"/>
  <c r="C890" i="3" s="1"/>
  <c r="I899" i="1"/>
  <c r="L899" i="1"/>
  <c r="O899" i="1"/>
  <c r="K899" i="1" l="1"/>
  <c r="M899" i="1" s="1"/>
  <c r="N899" i="1"/>
  <c r="P899" i="1" s="1"/>
  <c r="H899" i="1"/>
  <c r="J899" i="1" l="1"/>
  <c r="G899" i="1" s="1"/>
  <c r="F899" i="1" l="1"/>
  <c r="B900" i="1" s="1"/>
  <c r="C891" i="3" s="1"/>
  <c r="E900" i="1"/>
  <c r="C900" i="1"/>
  <c r="D891" i="3" s="1"/>
  <c r="D900" i="1" l="1"/>
  <c r="L900" i="1"/>
  <c r="O900" i="1"/>
  <c r="I900" i="1"/>
  <c r="K900" i="1"/>
  <c r="M900" i="1" s="1"/>
  <c r="N900" i="1"/>
  <c r="P900" i="1" s="1"/>
  <c r="H900" i="1"/>
  <c r="J900" i="1" l="1"/>
  <c r="G900" i="1" s="1"/>
  <c r="F900" i="1" l="1"/>
  <c r="B901" i="1" s="1"/>
  <c r="C892" i="3" s="1"/>
  <c r="C901" i="1"/>
  <c r="D892" i="3" s="1"/>
  <c r="E901" i="1"/>
  <c r="D901" i="1" l="1"/>
  <c r="K901" i="1"/>
  <c r="N901" i="1"/>
  <c r="H901" i="1"/>
  <c r="L901" i="1"/>
  <c r="O901" i="1"/>
  <c r="I901" i="1"/>
  <c r="J901" i="1" l="1"/>
  <c r="M901" i="1"/>
  <c r="P901" i="1"/>
  <c r="F901" i="1" l="1"/>
  <c r="B902" i="1" s="1"/>
  <c r="C893" i="3" s="1"/>
  <c r="G901" i="1"/>
  <c r="C902" i="1" s="1"/>
  <c r="D893" i="3" s="1"/>
  <c r="D902" i="1" l="1"/>
  <c r="E902" i="1"/>
  <c r="N902" i="1"/>
  <c r="H902" i="1"/>
  <c r="K902" i="1"/>
  <c r="L902" i="1"/>
  <c r="O902" i="1"/>
  <c r="I902" i="1"/>
  <c r="J902" i="1" l="1"/>
  <c r="M902" i="1"/>
  <c r="P902" i="1"/>
  <c r="G902" i="1" l="1"/>
  <c r="C903" i="1" s="1"/>
  <c r="D894" i="3" s="1"/>
  <c r="F902" i="1"/>
  <c r="E903" i="1" l="1"/>
  <c r="D903" i="1"/>
  <c r="B903" i="1"/>
  <c r="C894" i="3" s="1"/>
  <c r="O903" i="1"/>
  <c r="I903" i="1"/>
  <c r="L903" i="1"/>
  <c r="N903" i="1" l="1"/>
  <c r="P903" i="1" s="1"/>
  <c r="H903" i="1"/>
  <c r="K903" i="1"/>
  <c r="M903" i="1" s="1"/>
  <c r="J903" i="1" l="1"/>
  <c r="G903" i="1" s="1"/>
  <c r="E904" i="1" l="1"/>
  <c r="C904" i="1"/>
  <c r="D895" i="3" s="1"/>
  <c r="F903" i="1"/>
  <c r="O904" i="1" l="1"/>
  <c r="I904" i="1"/>
  <c r="L904" i="1"/>
  <c r="B904" i="1"/>
  <c r="C895" i="3" s="1"/>
  <c r="D904" i="1"/>
  <c r="N904" i="1" l="1"/>
  <c r="P904" i="1" s="1"/>
  <c r="H904" i="1"/>
  <c r="K904" i="1"/>
  <c r="M904" i="1" s="1"/>
  <c r="J904" i="1" l="1"/>
  <c r="G904" i="1" s="1"/>
  <c r="C905" i="1" l="1"/>
  <c r="D896" i="3" s="1"/>
  <c r="E905" i="1"/>
  <c r="F904" i="1"/>
  <c r="B905" i="1" l="1"/>
  <c r="C896" i="3" s="1"/>
  <c r="D905" i="1"/>
  <c r="O905" i="1"/>
  <c r="I905" i="1"/>
  <c r="L905" i="1"/>
  <c r="H905" i="1" l="1"/>
  <c r="K905" i="1"/>
  <c r="M905" i="1" s="1"/>
  <c r="N905" i="1"/>
  <c r="P905" i="1" s="1"/>
  <c r="J905" i="1" l="1"/>
  <c r="G905" i="1" s="1"/>
  <c r="F905" i="1" l="1"/>
  <c r="D906" i="1" s="1"/>
  <c r="E906" i="1"/>
  <c r="C906" i="1"/>
  <c r="D897" i="3" s="1"/>
  <c r="B906" i="1" l="1"/>
  <c r="I906" i="1"/>
  <c r="L906" i="1"/>
  <c r="O906" i="1"/>
  <c r="H906" i="1" l="1"/>
  <c r="J906" i="1" s="1"/>
  <c r="C897" i="3"/>
  <c r="N906" i="1"/>
  <c r="P906" i="1" s="1"/>
  <c r="K906" i="1"/>
  <c r="M906" i="1" s="1"/>
  <c r="G906" i="1" l="1"/>
  <c r="C907" i="1" s="1"/>
  <c r="D898" i="3" s="1"/>
  <c r="F906" i="1"/>
  <c r="D907" i="1" s="1"/>
  <c r="B907" i="1" l="1"/>
  <c r="E907" i="1"/>
  <c r="I907" i="1"/>
  <c r="L907" i="1"/>
  <c r="O907" i="1"/>
  <c r="K907" i="1" l="1"/>
  <c r="M907" i="1" s="1"/>
  <c r="C898" i="3"/>
  <c r="H907" i="1"/>
  <c r="J907" i="1" s="1"/>
  <c r="N907" i="1"/>
  <c r="P907" i="1" s="1"/>
  <c r="G907" i="1" l="1"/>
  <c r="E908" i="1" s="1"/>
  <c r="F907" i="1"/>
  <c r="B908" i="1" s="1"/>
  <c r="C899" i="3" s="1"/>
  <c r="C908" i="1" l="1"/>
  <c r="D908" i="1"/>
  <c r="K908" i="1"/>
  <c r="N908" i="1"/>
  <c r="H908" i="1"/>
  <c r="L908" i="1" l="1"/>
  <c r="M908" i="1" s="1"/>
  <c r="D899" i="3"/>
  <c r="I908" i="1"/>
  <c r="J908" i="1" s="1"/>
  <c r="O908" i="1"/>
  <c r="P908" i="1" s="1"/>
  <c r="G908" i="1" l="1"/>
  <c r="C909" i="1" s="1"/>
  <c r="D900" i="3" s="1"/>
  <c r="F908" i="1"/>
  <c r="D909" i="1" s="1"/>
  <c r="E909" i="1" l="1"/>
  <c r="B909" i="1"/>
  <c r="L909" i="1"/>
  <c r="O909" i="1"/>
  <c r="I909" i="1"/>
  <c r="K909" i="1" l="1"/>
  <c r="M909" i="1" s="1"/>
  <c r="C900" i="3"/>
  <c r="H909" i="1"/>
  <c r="J909" i="1" s="1"/>
  <c r="N909" i="1"/>
  <c r="P909" i="1" s="1"/>
  <c r="F909" i="1" l="1"/>
  <c r="D910" i="1" s="1"/>
  <c r="G909" i="1"/>
  <c r="E910" i="1" s="1"/>
  <c r="B910" i="1" l="1"/>
  <c r="C910" i="1"/>
  <c r="L910" i="1" l="1"/>
  <c r="D901" i="3"/>
  <c r="N910" i="1"/>
  <c r="C901" i="3"/>
  <c r="K910" i="1"/>
  <c r="H910" i="1"/>
  <c r="I910" i="1"/>
  <c r="O910" i="1"/>
  <c r="P910" i="1" s="1"/>
  <c r="M910" i="1" l="1"/>
  <c r="J910" i="1"/>
  <c r="G910" i="1" l="1"/>
  <c r="E911" i="1" s="1"/>
  <c r="F910" i="1"/>
  <c r="D911" i="1" s="1"/>
  <c r="C911" i="1" l="1"/>
  <c r="O911" i="1" s="1"/>
  <c r="B911" i="1"/>
  <c r="I911" i="1" l="1"/>
  <c r="L911" i="1"/>
  <c r="D902" i="3"/>
  <c r="N911" i="1"/>
  <c r="P911" i="1" s="1"/>
  <c r="C902" i="3"/>
  <c r="H911" i="1"/>
  <c r="K911" i="1"/>
  <c r="M911" i="1" s="1"/>
  <c r="J911" i="1" l="1"/>
  <c r="G911" i="1" s="1"/>
  <c r="E912" i="1" s="1"/>
  <c r="F911" i="1" l="1"/>
  <c r="D912" i="1" s="1"/>
  <c r="C912" i="1"/>
  <c r="B912" i="1" l="1"/>
  <c r="N912" i="1" s="1"/>
  <c r="I912" i="1"/>
  <c r="D903" i="3"/>
  <c r="O912" i="1"/>
  <c r="L912" i="1"/>
  <c r="H912" i="1" l="1"/>
  <c r="J912" i="1" s="1"/>
  <c r="K912" i="1"/>
  <c r="C903" i="3"/>
  <c r="P912" i="1"/>
  <c r="M912" i="1"/>
  <c r="G912" i="1" l="1"/>
  <c r="E913" i="1" s="1"/>
  <c r="F912" i="1"/>
  <c r="D913" i="1" s="1"/>
  <c r="C913" i="1" l="1"/>
  <c r="D904" i="3" s="1"/>
  <c r="B913" i="1"/>
  <c r="C904" i="3" s="1"/>
  <c r="O913" i="1" l="1"/>
  <c r="I913" i="1"/>
  <c r="L913" i="1"/>
  <c r="K913" i="1"/>
  <c r="H913" i="1"/>
  <c r="J913" i="1" s="1"/>
  <c r="N913" i="1"/>
  <c r="M913" i="1" l="1"/>
  <c r="P913" i="1"/>
  <c r="G913" i="1" l="1"/>
  <c r="C914" i="1" s="1"/>
  <c r="D905" i="3" s="1"/>
  <c r="F913" i="1"/>
  <c r="D914" i="1" s="1"/>
  <c r="I914" i="1" l="1"/>
  <c r="L914" i="1"/>
  <c r="O914" i="1"/>
  <c r="E914" i="1"/>
  <c r="B914" i="1"/>
  <c r="C905" i="3" s="1"/>
  <c r="K914" i="1" l="1"/>
  <c r="M914" i="1" s="1"/>
  <c r="H914" i="1"/>
  <c r="J914" i="1" s="1"/>
  <c r="N914" i="1"/>
  <c r="P914" i="1" s="1"/>
  <c r="G914" i="1" l="1"/>
  <c r="E915" i="1" s="1"/>
  <c r="F914" i="1"/>
  <c r="C915" i="1" l="1"/>
  <c r="D906" i="3" s="1"/>
  <c r="B915" i="1"/>
  <c r="C906" i="3" s="1"/>
  <c r="D915" i="1"/>
  <c r="L915" i="1" l="1"/>
  <c r="I915" i="1"/>
  <c r="O915" i="1"/>
  <c r="N915" i="1"/>
  <c r="P915" i="1" s="1"/>
  <c r="H915" i="1"/>
  <c r="K915" i="1"/>
  <c r="M915" i="1" l="1"/>
  <c r="J915" i="1"/>
  <c r="G915" i="1" l="1"/>
  <c r="C916" i="1" s="1"/>
  <c r="D907" i="3" s="1"/>
  <c r="F915" i="1"/>
  <c r="E916" i="1" l="1"/>
  <c r="B916" i="1"/>
  <c r="C907" i="3" s="1"/>
  <c r="D916" i="1"/>
  <c r="O916" i="1"/>
  <c r="I916" i="1"/>
  <c r="L916" i="1"/>
  <c r="H916" i="1" l="1"/>
  <c r="K916" i="1"/>
  <c r="M916" i="1" s="1"/>
  <c r="N916" i="1"/>
  <c r="P916" i="1" s="1"/>
  <c r="J916" i="1" l="1"/>
  <c r="G916" i="1" s="1"/>
  <c r="F916" i="1" l="1"/>
  <c r="D917" i="1" s="1"/>
  <c r="E917" i="1"/>
  <c r="C917" i="1"/>
  <c r="D908" i="3" s="1"/>
  <c r="B917" i="1" l="1"/>
  <c r="I917" i="1"/>
  <c r="L917" i="1"/>
  <c r="O917" i="1"/>
  <c r="H917" i="1" l="1"/>
  <c r="J917" i="1" s="1"/>
  <c r="C908" i="3"/>
  <c r="N917" i="1"/>
  <c r="P917" i="1" s="1"/>
  <c r="K917" i="1"/>
  <c r="M917" i="1" s="1"/>
  <c r="F917" i="1" l="1"/>
  <c r="D918" i="1" s="1"/>
  <c r="G917" i="1"/>
  <c r="E918" i="1" s="1"/>
  <c r="B918" i="1" l="1"/>
  <c r="C918" i="1"/>
  <c r="I918" i="1" l="1"/>
  <c r="D909" i="3"/>
  <c r="N918" i="1"/>
  <c r="C909" i="3"/>
  <c r="H918" i="1"/>
  <c r="K918" i="1"/>
  <c r="O918" i="1"/>
  <c r="L918" i="1"/>
  <c r="P918" i="1" l="1"/>
  <c r="J918" i="1"/>
  <c r="M918" i="1"/>
  <c r="F918" i="1" l="1"/>
  <c r="D919" i="1" s="1"/>
  <c r="G918" i="1"/>
  <c r="E919" i="1" s="1"/>
  <c r="B919" i="1" l="1"/>
  <c r="N919" i="1" s="1"/>
  <c r="C919" i="1"/>
  <c r="L919" i="1" s="1"/>
  <c r="C910" i="3" l="1"/>
  <c r="H919" i="1"/>
  <c r="K919" i="1"/>
  <c r="M919" i="1" s="1"/>
  <c r="O919" i="1"/>
  <c r="I919" i="1"/>
  <c r="D910" i="3"/>
  <c r="P919" i="1"/>
  <c r="J919" i="1" l="1"/>
  <c r="G919" i="1" s="1"/>
  <c r="E920" i="1" s="1"/>
  <c r="C920" i="1" l="1"/>
  <c r="D911" i="3" s="1"/>
  <c r="F919" i="1"/>
  <c r="D920" i="1" s="1"/>
  <c r="I920" i="1" l="1"/>
  <c r="L920" i="1"/>
  <c r="O920" i="1"/>
  <c r="B920" i="1"/>
  <c r="K920" i="1" s="1"/>
  <c r="M920" i="1" s="1"/>
  <c r="N920" i="1"/>
  <c r="P920" i="1" s="1"/>
  <c r="H920" i="1"/>
  <c r="J920" i="1" s="1"/>
  <c r="C911" i="3" l="1"/>
  <c r="G920" i="1"/>
  <c r="E921" i="1" s="1"/>
  <c r="F920" i="1"/>
  <c r="B921" i="1" s="1"/>
  <c r="C912" i="3" s="1"/>
  <c r="C921" i="1" l="1"/>
  <c r="D921" i="1"/>
  <c r="N921" i="1"/>
  <c r="H921" i="1"/>
  <c r="K921" i="1"/>
  <c r="L921" i="1" l="1"/>
  <c r="M921" i="1" s="1"/>
  <c r="D912" i="3"/>
  <c r="O921" i="1"/>
  <c r="P921" i="1" s="1"/>
  <c r="I921" i="1"/>
  <c r="J921" i="1" s="1"/>
  <c r="G921" i="1" l="1"/>
  <c r="C922" i="1" s="1"/>
  <c r="D913" i="3" s="1"/>
  <c r="F921" i="1"/>
  <c r="E922" i="1" l="1"/>
  <c r="D922" i="1"/>
  <c r="B922" i="1"/>
  <c r="C913" i="3" s="1"/>
  <c r="O922" i="1"/>
  <c r="I922" i="1"/>
  <c r="L922" i="1"/>
  <c r="N922" i="1" l="1"/>
  <c r="P922" i="1" s="1"/>
  <c r="H922" i="1"/>
  <c r="K922" i="1"/>
  <c r="M922" i="1" s="1"/>
  <c r="J922" i="1" l="1"/>
  <c r="G922" i="1" s="1"/>
  <c r="E923" i="1" l="1"/>
  <c r="C923" i="1"/>
  <c r="D914" i="3" s="1"/>
  <c r="F922" i="1"/>
  <c r="B923" i="1" l="1"/>
  <c r="C914" i="3" s="1"/>
  <c r="D923" i="1"/>
  <c r="O923" i="1"/>
  <c r="I923" i="1"/>
  <c r="L923" i="1"/>
  <c r="N923" i="1" l="1"/>
  <c r="P923" i="1" s="1"/>
  <c r="H923" i="1"/>
  <c r="K923" i="1"/>
  <c r="M923" i="1" s="1"/>
  <c r="J923" i="1" l="1"/>
  <c r="G923" i="1" s="1"/>
  <c r="C924" i="1" l="1"/>
  <c r="D915" i="3" s="1"/>
  <c r="E924" i="1"/>
  <c r="F923" i="1"/>
  <c r="D924" i="1" l="1"/>
  <c r="B924" i="1"/>
  <c r="C915" i="3" s="1"/>
  <c r="O924" i="1"/>
  <c r="I924" i="1"/>
  <c r="L924" i="1"/>
  <c r="H924" i="1" l="1"/>
  <c r="K924" i="1"/>
  <c r="M924" i="1" s="1"/>
  <c r="N924" i="1"/>
  <c r="P924" i="1" s="1"/>
  <c r="J924" i="1" l="1"/>
  <c r="G924" i="1" s="1"/>
  <c r="F924" i="1" l="1"/>
  <c r="B925" i="1" s="1"/>
  <c r="C916" i="3" s="1"/>
  <c r="C925" i="1"/>
  <c r="D916" i="3" s="1"/>
  <c r="E925" i="1"/>
  <c r="D925" i="1" l="1"/>
  <c r="I925" i="1"/>
  <c r="L925" i="1"/>
  <c r="O925" i="1"/>
  <c r="H925" i="1"/>
  <c r="K925" i="1"/>
  <c r="N925" i="1"/>
  <c r="J925" i="1" l="1"/>
  <c r="P925" i="1"/>
  <c r="M925" i="1"/>
  <c r="G925" i="1" l="1"/>
  <c r="C926" i="1" s="1"/>
  <c r="D917" i="3" s="1"/>
  <c r="F925" i="1"/>
  <c r="D926" i="1" s="1"/>
  <c r="E926" i="1" l="1"/>
  <c r="B926" i="1"/>
  <c r="I926" i="1"/>
  <c r="L926" i="1"/>
  <c r="O926" i="1"/>
  <c r="K926" i="1" l="1"/>
  <c r="M926" i="1" s="1"/>
  <c r="C917" i="3"/>
  <c r="N926" i="1"/>
  <c r="P926" i="1" s="1"/>
  <c r="H926" i="1"/>
  <c r="J926" i="1" s="1"/>
  <c r="F926" i="1" l="1"/>
  <c r="D927" i="1" s="1"/>
  <c r="G926" i="1"/>
  <c r="E927" i="1" s="1"/>
  <c r="C927" i="1" l="1"/>
  <c r="B927" i="1"/>
  <c r="K927" i="1" l="1"/>
  <c r="C918" i="3"/>
  <c r="L927" i="1"/>
  <c r="D918" i="3"/>
  <c r="O927" i="1"/>
  <c r="I927" i="1"/>
  <c r="H927" i="1"/>
  <c r="N927" i="1"/>
  <c r="M927" i="1" l="1"/>
  <c r="J927" i="1"/>
  <c r="P927" i="1"/>
  <c r="G927" i="1" l="1"/>
  <c r="E928" i="1" s="1"/>
  <c r="F927" i="1"/>
  <c r="D928" i="1" s="1"/>
  <c r="C928" i="1" l="1"/>
  <c r="B928" i="1"/>
  <c r="K928" i="1" l="1"/>
  <c r="C919" i="3"/>
  <c r="L928" i="1"/>
  <c r="D919" i="3"/>
  <c r="O928" i="1"/>
  <c r="I928" i="1"/>
  <c r="H928" i="1"/>
  <c r="N928" i="1"/>
  <c r="M928" i="1" l="1"/>
  <c r="P928" i="1"/>
  <c r="J928" i="1"/>
  <c r="G928" i="1" l="1"/>
  <c r="C929" i="1" s="1"/>
  <c r="F928" i="1"/>
  <c r="B929" i="1" s="1"/>
  <c r="K929" i="1" l="1"/>
  <c r="C920" i="3"/>
  <c r="L929" i="1"/>
  <c r="D920" i="3"/>
  <c r="E929" i="1"/>
  <c r="O929" i="1"/>
  <c r="I929" i="1"/>
  <c r="D929" i="1"/>
  <c r="N929" i="1"/>
  <c r="H929" i="1"/>
  <c r="M929" i="1" l="1"/>
  <c r="J929" i="1"/>
  <c r="P929" i="1"/>
  <c r="F929" i="1" l="1"/>
  <c r="B930" i="1" s="1"/>
  <c r="N930" i="1" s="1"/>
  <c r="G929" i="1"/>
  <c r="E930" i="1" s="1"/>
  <c r="H930" i="1" l="1"/>
  <c r="D930" i="1"/>
  <c r="C921" i="3"/>
  <c r="K930" i="1"/>
  <c r="C930" i="1"/>
  <c r="O930" i="1" s="1"/>
  <c r="P930" i="1" s="1"/>
  <c r="L930" i="1" l="1"/>
  <c r="M930" i="1" s="1"/>
  <c r="I930" i="1"/>
  <c r="J930" i="1" s="1"/>
  <c r="D921" i="3"/>
  <c r="F930" i="1" l="1"/>
  <c r="B931" i="1" s="1"/>
  <c r="N931" i="1" s="1"/>
  <c r="G930" i="1"/>
  <c r="E931" i="1" s="1"/>
  <c r="D931" i="1" l="1"/>
  <c r="K931" i="1"/>
  <c r="H931" i="1"/>
  <c r="C922" i="3"/>
  <c r="C931" i="1"/>
  <c r="O931" i="1" s="1"/>
  <c r="P931" i="1" s="1"/>
  <c r="L931" i="1" l="1"/>
  <c r="M931" i="1" s="1"/>
  <c r="I931" i="1"/>
  <c r="J931" i="1" s="1"/>
  <c r="D922" i="3"/>
  <c r="F931" i="1" l="1"/>
  <c r="B932" i="1" s="1"/>
  <c r="H932" i="1" s="1"/>
  <c r="G931" i="1"/>
  <c r="E932" i="1" s="1"/>
  <c r="D932" i="1" l="1"/>
  <c r="K932" i="1"/>
  <c r="N932" i="1"/>
  <c r="C923" i="3"/>
  <c r="C932" i="1"/>
  <c r="O932" i="1" s="1"/>
  <c r="P932" i="1" s="1"/>
  <c r="L932" i="1" l="1"/>
  <c r="M932" i="1" s="1"/>
  <c r="I932" i="1"/>
  <c r="J932" i="1" s="1"/>
  <c r="D923" i="3"/>
  <c r="F932" i="1" l="1"/>
  <c r="D933" i="1" s="1"/>
  <c r="G932" i="1"/>
  <c r="E933" i="1" s="1"/>
  <c r="B933" i="1" l="1"/>
  <c r="H933" i="1" s="1"/>
  <c r="C933" i="1"/>
  <c r="I933" i="1" s="1"/>
  <c r="C924" i="3" l="1"/>
  <c r="K933" i="1"/>
  <c r="N933" i="1"/>
  <c r="J933" i="1"/>
  <c r="L933" i="1"/>
  <c r="M933" i="1" s="1"/>
  <c r="D924" i="3"/>
  <c r="O933" i="1"/>
  <c r="P933" i="1" s="1"/>
  <c r="F933" i="1" l="1"/>
  <c r="B934" i="1" s="1"/>
  <c r="K934" i="1" s="1"/>
  <c r="G933" i="1"/>
  <c r="E934" i="1" s="1"/>
  <c r="N934" i="1" l="1"/>
  <c r="H934" i="1"/>
  <c r="D934" i="1"/>
  <c r="C925" i="3"/>
  <c r="C934" i="1"/>
  <c r="I934" i="1" l="1"/>
  <c r="J934" i="1" s="1"/>
  <c r="D925" i="3"/>
  <c r="L934" i="1"/>
  <c r="M934" i="1" s="1"/>
  <c r="O934" i="1"/>
  <c r="P934" i="1" s="1"/>
  <c r="F934" i="1" l="1"/>
  <c r="B935" i="1" s="1"/>
  <c r="G934" i="1"/>
  <c r="E935" i="1" s="1"/>
  <c r="K935" i="1" l="1"/>
  <c r="C926" i="3"/>
  <c r="N935" i="1"/>
  <c r="H935" i="1"/>
  <c r="D935" i="1"/>
  <c r="C935" i="1"/>
  <c r="L935" i="1" l="1"/>
  <c r="M935" i="1" s="1"/>
  <c r="D926" i="3"/>
  <c r="I935" i="1"/>
  <c r="J935" i="1" s="1"/>
  <c r="O935" i="1"/>
  <c r="P935" i="1" s="1"/>
  <c r="F935" i="1" l="1"/>
  <c r="D936" i="1" s="1"/>
  <c r="G935" i="1"/>
  <c r="B936" i="1" l="1"/>
  <c r="E936" i="1"/>
  <c r="C936" i="1"/>
  <c r="D927" i="3" s="1"/>
  <c r="K936" i="1" l="1"/>
  <c r="C927" i="3"/>
  <c r="N936" i="1"/>
  <c r="H936" i="1"/>
  <c r="L936" i="1"/>
  <c r="O936" i="1"/>
  <c r="I936" i="1"/>
  <c r="M936" i="1" l="1"/>
  <c r="P936" i="1"/>
  <c r="J936" i="1"/>
  <c r="F936" i="1" l="1"/>
  <c r="B937" i="1" s="1"/>
  <c r="C928" i="3" s="1"/>
  <c r="G936" i="1"/>
  <c r="D937" i="1" l="1"/>
  <c r="E937" i="1"/>
  <c r="C937" i="1"/>
  <c r="D928" i="3" s="1"/>
  <c r="N937" i="1"/>
  <c r="H937" i="1"/>
  <c r="K937" i="1"/>
  <c r="L937" i="1" l="1"/>
  <c r="M937" i="1" s="1"/>
  <c r="O937" i="1"/>
  <c r="P937" i="1" s="1"/>
  <c r="I937" i="1"/>
  <c r="J937" i="1" l="1"/>
  <c r="F937" i="1" s="1"/>
  <c r="D938" i="1" l="1"/>
  <c r="B938" i="1"/>
  <c r="C929" i="3" s="1"/>
  <c r="G937" i="1"/>
  <c r="N938" i="1" l="1"/>
  <c r="H938" i="1"/>
  <c r="K938" i="1"/>
  <c r="C938" i="1"/>
  <c r="D929" i="3" s="1"/>
  <c r="E938" i="1"/>
  <c r="O938" i="1" l="1"/>
  <c r="P938" i="1" s="1"/>
  <c r="I938" i="1"/>
  <c r="L938" i="1"/>
  <c r="M938" i="1" s="1"/>
  <c r="J938" i="1"/>
  <c r="F938" i="1" l="1"/>
  <c r="B939" i="1" s="1"/>
  <c r="C930" i="3" s="1"/>
  <c r="G938" i="1"/>
  <c r="D939" i="1" l="1"/>
  <c r="C939" i="1"/>
  <c r="D930" i="3" s="1"/>
  <c r="E939" i="1"/>
  <c r="N939" i="1"/>
  <c r="H939" i="1"/>
  <c r="K939" i="1"/>
  <c r="O939" i="1" l="1"/>
  <c r="P939" i="1" s="1"/>
  <c r="I939" i="1"/>
  <c r="L939" i="1"/>
  <c r="M939" i="1" s="1"/>
  <c r="J939" i="1" l="1"/>
  <c r="F939" i="1" s="1"/>
  <c r="D940" i="1" l="1"/>
  <c r="B940" i="1"/>
  <c r="C931" i="3" s="1"/>
  <c r="G939" i="1"/>
  <c r="E940" i="1" l="1"/>
  <c r="C940" i="1"/>
  <c r="D931" i="3" s="1"/>
  <c r="H940" i="1"/>
  <c r="K940" i="1"/>
  <c r="N940" i="1"/>
  <c r="O940" i="1" l="1"/>
  <c r="P940" i="1" s="1"/>
  <c r="I940" i="1"/>
  <c r="J940" i="1" s="1"/>
  <c r="L940" i="1"/>
  <c r="M940" i="1" s="1"/>
  <c r="F940" i="1" l="1"/>
  <c r="G940" i="1"/>
  <c r="E941" i="1" l="1"/>
  <c r="C941" i="1"/>
  <c r="D932" i="3" s="1"/>
  <c r="B941" i="1"/>
  <c r="C932" i="3" s="1"/>
  <c r="D941" i="1"/>
  <c r="H941" i="1" l="1"/>
  <c r="K941" i="1"/>
  <c r="N941" i="1"/>
  <c r="I941" i="1"/>
  <c r="L941" i="1"/>
  <c r="O941" i="1"/>
  <c r="P941" i="1" l="1"/>
  <c r="M941" i="1"/>
  <c r="J941" i="1"/>
  <c r="G941" i="1" l="1"/>
  <c r="E942" i="1" s="1"/>
  <c r="F941" i="1"/>
  <c r="C942" i="1" l="1"/>
  <c r="B942" i="1"/>
  <c r="C933" i="3" s="1"/>
  <c r="D942" i="1"/>
  <c r="I942" i="1" l="1"/>
  <c r="D933" i="3"/>
  <c r="L942" i="1"/>
  <c r="O942" i="1"/>
  <c r="K942" i="1"/>
  <c r="N942" i="1"/>
  <c r="H942" i="1"/>
  <c r="P942" i="1" l="1"/>
  <c r="M942" i="1"/>
  <c r="J942" i="1"/>
  <c r="F942" i="1" l="1"/>
  <c r="D943" i="1" s="1"/>
  <c r="G942" i="1"/>
  <c r="C943" i="1" s="1"/>
  <c r="D934" i="3" s="1"/>
  <c r="B943" i="1" l="1"/>
  <c r="E943" i="1"/>
  <c r="L943" i="1"/>
  <c r="O943" i="1"/>
  <c r="I943" i="1"/>
  <c r="K943" i="1" l="1"/>
  <c r="M943" i="1" s="1"/>
  <c r="C934" i="3"/>
  <c r="N943" i="1"/>
  <c r="P943" i="1" s="1"/>
  <c r="H943" i="1"/>
  <c r="J943" i="1" s="1"/>
  <c r="G943" i="1" l="1"/>
  <c r="E944" i="1" s="1"/>
  <c r="F943" i="1"/>
  <c r="C944" i="1" l="1"/>
  <c r="B944" i="1"/>
  <c r="C935" i="3" s="1"/>
  <c r="D944" i="1"/>
  <c r="L944" i="1" l="1"/>
  <c r="D935" i="3"/>
  <c r="O944" i="1"/>
  <c r="I944" i="1"/>
  <c r="K944" i="1"/>
  <c r="N944" i="1"/>
  <c r="H944" i="1"/>
  <c r="M944" i="1" l="1"/>
  <c r="P944" i="1"/>
  <c r="J944" i="1"/>
  <c r="G944" i="1" l="1"/>
  <c r="C945" i="1" s="1"/>
  <c r="D936" i="3" s="1"/>
  <c r="F944" i="1"/>
  <c r="E945" i="1" l="1"/>
  <c r="D945" i="1"/>
  <c r="B945" i="1"/>
  <c r="C936" i="3" s="1"/>
  <c r="L945" i="1"/>
  <c r="O945" i="1"/>
  <c r="I945" i="1"/>
  <c r="N945" i="1" l="1"/>
  <c r="P945" i="1" s="1"/>
  <c r="H945" i="1"/>
  <c r="K945" i="1"/>
  <c r="M945" i="1" s="1"/>
  <c r="J945" i="1" l="1"/>
  <c r="G945" i="1" s="1"/>
  <c r="C946" i="1" l="1"/>
  <c r="D937" i="3" s="1"/>
  <c r="E946" i="1"/>
  <c r="F945" i="1"/>
  <c r="D946" i="1" l="1"/>
  <c r="B946" i="1"/>
  <c r="C937" i="3" s="1"/>
  <c r="O946" i="1"/>
  <c r="I946" i="1"/>
  <c r="L946" i="1"/>
  <c r="N946" i="1" l="1"/>
  <c r="P946" i="1" s="1"/>
  <c r="H946" i="1"/>
  <c r="K946" i="1"/>
  <c r="M946" i="1" s="1"/>
  <c r="J946" i="1" l="1"/>
  <c r="G946" i="1" s="1"/>
  <c r="E947" i="1" l="1"/>
  <c r="C947" i="1"/>
  <c r="D938" i="3" s="1"/>
  <c r="F946" i="1"/>
  <c r="B947" i="1" l="1"/>
  <c r="C938" i="3" s="1"/>
  <c r="D947" i="1"/>
  <c r="O947" i="1"/>
  <c r="I947" i="1"/>
  <c r="L947" i="1"/>
  <c r="N947" i="1" l="1"/>
  <c r="P947" i="1" s="1"/>
  <c r="H947" i="1"/>
  <c r="K947" i="1"/>
  <c r="M947" i="1" s="1"/>
  <c r="J947" i="1" l="1"/>
  <c r="G947" i="1" s="1"/>
  <c r="C948" i="1" l="1"/>
  <c r="D939" i="3" s="1"/>
  <c r="E948" i="1"/>
  <c r="F947" i="1"/>
  <c r="D948" i="1" l="1"/>
  <c r="B948" i="1"/>
  <c r="C939" i="3" s="1"/>
  <c r="O948" i="1"/>
  <c r="I948" i="1"/>
  <c r="L948" i="1"/>
  <c r="H948" i="1" l="1"/>
  <c r="K948" i="1"/>
  <c r="M948" i="1" s="1"/>
  <c r="N948" i="1"/>
  <c r="P948" i="1" s="1"/>
  <c r="J948" i="1" l="1"/>
  <c r="G948" i="1" s="1"/>
  <c r="F948" i="1" l="1"/>
  <c r="D949" i="1" s="1"/>
  <c r="E949" i="1"/>
  <c r="C949" i="1"/>
  <c r="D940" i="3" s="1"/>
  <c r="B949" i="1" l="1"/>
  <c r="I949" i="1"/>
  <c r="L949" i="1"/>
  <c r="O949" i="1"/>
  <c r="H949" i="1" l="1"/>
  <c r="J949" i="1" s="1"/>
  <c r="C940" i="3"/>
  <c r="K949" i="1"/>
  <c r="M949" i="1" s="1"/>
  <c r="N949" i="1"/>
  <c r="P949" i="1" s="1"/>
  <c r="G949" i="1" l="1"/>
  <c r="C950" i="1" s="1"/>
  <c r="D941" i="3" s="1"/>
  <c r="F949" i="1"/>
  <c r="D950" i="1" s="1"/>
  <c r="E950" i="1" l="1"/>
  <c r="B950" i="1"/>
  <c r="I950" i="1"/>
  <c r="L950" i="1"/>
  <c r="O950" i="1"/>
  <c r="K950" i="1" l="1"/>
  <c r="M950" i="1" s="1"/>
  <c r="C941" i="3"/>
  <c r="H950" i="1"/>
  <c r="J950" i="1" s="1"/>
  <c r="N950" i="1"/>
  <c r="P950" i="1" s="1"/>
  <c r="G950" i="1" l="1"/>
  <c r="E951" i="1" s="1"/>
  <c r="F950" i="1"/>
  <c r="D951" i="1" s="1"/>
  <c r="C951" i="1" l="1"/>
  <c r="B951" i="1"/>
  <c r="K951" i="1" l="1"/>
  <c r="C942" i="3"/>
  <c r="L951" i="1"/>
  <c r="D942" i="3"/>
  <c r="H951" i="1"/>
  <c r="N951" i="1"/>
  <c r="I951" i="1"/>
  <c r="O951" i="1"/>
  <c r="P951" i="1" s="1"/>
  <c r="M951" i="1" l="1"/>
  <c r="J951" i="1"/>
  <c r="F951" i="1" l="1"/>
  <c r="D952" i="1" s="1"/>
  <c r="G951" i="1"/>
  <c r="C952" i="1" s="1"/>
  <c r="B952" i="1" l="1"/>
  <c r="K952" i="1" s="1"/>
  <c r="O952" i="1"/>
  <c r="D943" i="3"/>
  <c r="L952" i="1"/>
  <c r="I952" i="1"/>
  <c r="E952" i="1"/>
  <c r="H952" i="1" l="1"/>
  <c r="J952" i="1" s="1"/>
  <c r="M952" i="1"/>
  <c r="C943" i="3"/>
  <c r="N952" i="1"/>
  <c r="P952" i="1" s="1"/>
  <c r="F952" i="1" l="1"/>
  <c r="D953" i="1" s="1"/>
  <c r="G952" i="1"/>
  <c r="C953" i="1" s="1"/>
  <c r="B953" i="1" l="1"/>
  <c r="N953" i="1" s="1"/>
  <c r="L953" i="1"/>
  <c r="D944" i="3"/>
  <c r="O953" i="1"/>
  <c r="I953" i="1"/>
  <c r="E953" i="1"/>
  <c r="K953" i="1" l="1"/>
  <c r="M953" i="1" s="1"/>
  <c r="P953" i="1"/>
  <c r="C944" i="3"/>
  <c r="H953" i="1"/>
  <c r="J953" i="1" s="1"/>
  <c r="G953" i="1" l="1"/>
  <c r="C954" i="1" s="1"/>
  <c r="D945" i="3" s="1"/>
  <c r="F953" i="1"/>
  <c r="B954" i="1" s="1"/>
  <c r="C945" i="3" s="1"/>
  <c r="I954" i="1" l="1"/>
  <c r="L954" i="1"/>
  <c r="O954" i="1"/>
  <c r="E954" i="1"/>
  <c r="K954" i="1"/>
  <c r="H954" i="1"/>
  <c r="N954" i="1"/>
  <c r="P954" i="1" s="1"/>
  <c r="D954" i="1"/>
  <c r="J954" i="1" l="1"/>
  <c r="M954" i="1"/>
  <c r="G954" i="1" l="1"/>
  <c r="C955" i="1" s="1"/>
  <c r="D946" i="3" s="1"/>
  <c r="F954" i="1"/>
  <c r="D955" i="1" s="1"/>
  <c r="L955" i="1" l="1"/>
  <c r="I955" i="1"/>
  <c r="O955" i="1"/>
  <c r="E955" i="1"/>
  <c r="B955" i="1"/>
  <c r="C946" i="3" s="1"/>
  <c r="K955" i="1" l="1"/>
  <c r="M955" i="1" s="1"/>
  <c r="H955" i="1"/>
  <c r="J955" i="1" s="1"/>
  <c r="N955" i="1"/>
  <c r="P955" i="1" s="1"/>
  <c r="G955" i="1" l="1"/>
  <c r="E956" i="1" s="1"/>
  <c r="F955" i="1"/>
  <c r="C956" i="1" l="1"/>
  <c r="D947" i="3" s="1"/>
  <c r="B956" i="1"/>
  <c r="C947" i="3" s="1"/>
  <c r="D956" i="1"/>
  <c r="L956" i="1" l="1"/>
  <c r="I956" i="1"/>
  <c r="O956" i="1"/>
  <c r="H956" i="1"/>
  <c r="K956" i="1"/>
  <c r="N956" i="1"/>
  <c r="P956" i="1" s="1"/>
  <c r="M956" i="1" l="1"/>
  <c r="J956" i="1"/>
  <c r="G956" i="1" l="1"/>
  <c r="E957" i="1" s="1"/>
  <c r="F956" i="1"/>
  <c r="D957" i="1" s="1"/>
  <c r="C957" i="1" l="1"/>
  <c r="D948" i="3" s="1"/>
  <c r="B957" i="1"/>
  <c r="O957" i="1" l="1"/>
  <c r="L957" i="1"/>
  <c r="I957" i="1"/>
  <c r="H957" i="1"/>
  <c r="J957" i="1" s="1"/>
  <c r="C948" i="3"/>
  <c r="N957" i="1"/>
  <c r="K957" i="1"/>
  <c r="M957" i="1" s="1"/>
  <c r="P957" i="1" l="1"/>
  <c r="G957" i="1" s="1"/>
  <c r="E958" i="1" s="1"/>
  <c r="F957" i="1"/>
  <c r="C958" i="1" l="1"/>
  <c r="D958" i="1"/>
  <c r="B958" i="1"/>
  <c r="C949" i="3" s="1"/>
  <c r="I958" i="1" l="1"/>
  <c r="D949" i="3"/>
  <c r="O958" i="1"/>
  <c r="L958" i="1"/>
  <c r="K958" i="1"/>
  <c r="N958" i="1"/>
  <c r="H958" i="1"/>
  <c r="M958" i="1" l="1"/>
  <c r="P958" i="1"/>
  <c r="J958" i="1"/>
  <c r="F958" i="1" l="1"/>
  <c r="D959" i="1" s="1"/>
  <c r="G958" i="1"/>
  <c r="C959" i="1" s="1"/>
  <c r="D950" i="3" s="1"/>
  <c r="B959" i="1" l="1"/>
  <c r="E959" i="1"/>
  <c r="L959" i="1"/>
  <c r="O959" i="1"/>
  <c r="I959" i="1"/>
  <c r="K959" i="1" l="1"/>
  <c r="M959" i="1" s="1"/>
  <c r="C950" i="3"/>
  <c r="N959" i="1"/>
  <c r="P959" i="1" s="1"/>
  <c r="H959" i="1"/>
  <c r="J959" i="1" s="1"/>
  <c r="G959" i="1" l="1"/>
  <c r="E960" i="1" s="1"/>
  <c r="F959" i="1"/>
  <c r="D960" i="1" s="1"/>
  <c r="C960" i="1" l="1"/>
  <c r="B960" i="1"/>
  <c r="K960" i="1" l="1"/>
  <c r="C951" i="3"/>
  <c r="L960" i="1"/>
  <c r="D951" i="3"/>
  <c r="I960" i="1"/>
  <c r="O960" i="1"/>
  <c r="H960" i="1"/>
  <c r="N960" i="1"/>
  <c r="P960" i="1" l="1"/>
  <c r="M960" i="1"/>
  <c r="J960" i="1"/>
  <c r="F960" i="1" l="1"/>
  <c r="D961" i="1" s="1"/>
  <c r="G960" i="1"/>
  <c r="E961" i="1" s="1"/>
  <c r="B961" i="1" l="1"/>
  <c r="N961" i="1" s="1"/>
  <c r="C961" i="1"/>
  <c r="H961" i="1" l="1"/>
  <c r="K961" i="1"/>
  <c r="C952" i="3"/>
  <c r="L961" i="1"/>
  <c r="M961" i="1" s="1"/>
  <c r="D952" i="3"/>
  <c r="O961" i="1"/>
  <c r="P961" i="1" s="1"/>
  <c r="I961" i="1"/>
  <c r="J961" i="1" l="1"/>
  <c r="F961" i="1" s="1"/>
  <c r="D962" i="1" s="1"/>
  <c r="G961" i="1" l="1"/>
  <c r="C962" i="1" s="1"/>
  <c r="I962" i="1" s="1"/>
  <c r="B962" i="1"/>
  <c r="E962" i="1" l="1"/>
  <c r="L962" i="1"/>
  <c r="O962" i="1"/>
  <c r="D953" i="3"/>
  <c r="N962" i="1"/>
  <c r="P962" i="1" s="1"/>
  <c r="C953" i="3"/>
  <c r="K962" i="1"/>
  <c r="M962" i="1" s="1"/>
  <c r="H962" i="1"/>
  <c r="J962" i="1" s="1"/>
  <c r="F962" i="1" l="1"/>
  <c r="D963" i="1" s="1"/>
  <c r="G962" i="1"/>
  <c r="E963" i="1" s="1"/>
  <c r="C963" i="1" l="1"/>
  <c r="B963" i="1"/>
  <c r="N963" i="1" l="1"/>
  <c r="C954" i="3"/>
  <c r="O963" i="1"/>
  <c r="D954" i="3"/>
  <c r="L963" i="1"/>
  <c r="I963" i="1"/>
  <c r="H963" i="1"/>
  <c r="K963" i="1"/>
  <c r="J963" i="1" l="1"/>
  <c r="P963" i="1"/>
  <c r="M963" i="1"/>
  <c r="G963" i="1" l="1"/>
  <c r="E964" i="1" s="1"/>
  <c r="F963" i="1"/>
  <c r="D964" i="1" s="1"/>
  <c r="C964" i="1" l="1"/>
  <c r="O964" i="1" s="1"/>
  <c r="B964" i="1"/>
  <c r="I964" i="1" l="1"/>
  <c r="L964" i="1"/>
  <c r="D955" i="3"/>
  <c r="H964" i="1"/>
  <c r="C955" i="3"/>
  <c r="N964" i="1"/>
  <c r="P964" i="1" s="1"/>
  <c r="K964" i="1"/>
  <c r="M964" i="1" s="1"/>
  <c r="J964" i="1" l="1"/>
  <c r="F964" i="1" s="1"/>
  <c r="D965" i="1" s="1"/>
  <c r="G964" i="1" l="1"/>
  <c r="C965" i="1" s="1"/>
  <c r="L965" i="1" s="1"/>
  <c r="B965" i="1"/>
  <c r="O965" i="1" l="1"/>
  <c r="I965" i="1"/>
  <c r="E965" i="1"/>
  <c r="D956" i="3"/>
  <c r="K965" i="1"/>
  <c r="M965" i="1" s="1"/>
  <c r="C956" i="3"/>
  <c r="H965" i="1"/>
  <c r="J965" i="1" s="1"/>
  <c r="N965" i="1"/>
  <c r="P965" i="1" l="1"/>
  <c r="F965" i="1" s="1"/>
  <c r="B966" i="1" s="1"/>
  <c r="G965" i="1" l="1"/>
  <c r="E966" i="1" s="1"/>
  <c r="N966" i="1"/>
  <c r="C957" i="3"/>
  <c r="H966" i="1"/>
  <c r="K966" i="1"/>
  <c r="D966" i="1"/>
  <c r="C966" i="1" l="1"/>
  <c r="I966" i="1" s="1"/>
  <c r="J966" i="1" s="1"/>
  <c r="L966" i="1" l="1"/>
  <c r="M966" i="1" s="1"/>
  <c r="O966" i="1"/>
  <c r="P966" i="1" s="1"/>
  <c r="D957" i="3"/>
  <c r="F966" i="1" l="1"/>
  <c r="D967" i="1" s="1"/>
  <c r="G966" i="1"/>
  <c r="E967" i="1" s="1"/>
  <c r="B967" i="1" l="1"/>
  <c r="C958" i="3" s="1"/>
  <c r="C967" i="1"/>
  <c r="L967" i="1" s="1"/>
  <c r="H967" i="1" l="1"/>
  <c r="N967" i="1"/>
  <c r="K967" i="1"/>
  <c r="O967" i="1"/>
  <c r="P967" i="1" s="1"/>
  <c r="I967" i="1"/>
  <c r="D958" i="3"/>
  <c r="M967" i="1"/>
  <c r="J967" i="1" l="1"/>
  <c r="G967" i="1"/>
  <c r="C968" i="1" s="1"/>
  <c r="D959" i="3" s="1"/>
  <c r="F967" i="1"/>
  <c r="D968" i="1" s="1"/>
  <c r="L968" i="1" l="1"/>
  <c r="O968" i="1"/>
  <c r="E968" i="1"/>
  <c r="I968" i="1"/>
  <c r="B968" i="1"/>
  <c r="K968" i="1" l="1"/>
  <c r="M968" i="1" s="1"/>
  <c r="C959" i="3"/>
  <c r="N968" i="1"/>
  <c r="P968" i="1" s="1"/>
  <c r="H968" i="1"/>
  <c r="J968" i="1" s="1"/>
  <c r="G968" i="1" l="1"/>
  <c r="E969" i="1" s="1"/>
  <c r="F968" i="1"/>
  <c r="C969" i="1" l="1"/>
  <c r="B969" i="1"/>
  <c r="C960" i="3" s="1"/>
  <c r="D969" i="1"/>
  <c r="L969" i="1" l="1"/>
  <c r="D960" i="3"/>
  <c r="I969" i="1"/>
  <c r="O969" i="1"/>
  <c r="N969" i="1"/>
  <c r="H969" i="1"/>
  <c r="K969" i="1"/>
  <c r="M969" i="1" l="1"/>
  <c r="P969" i="1"/>
  <c r="J969" i="1"/>
  <c r="G969" i="1" l="1"/>
  <c r="C970" i="1" s="1"/>
  <c r="D961" i="3" s="1"/>
  <c r="F969" i="1"/>
  <c r="E970" i="1" l="1"/>
  <c r="D970" i="1"/>
  <c r="B970" i="1"/>
  <c r="C961" i="3" s="1"/>
  <c r="O970" i="1"/>
  <c r="I970" i="1"/>
  <c r="L970" i="1"/>
  <c r="N970" i="1" l="1"/>
  <c r="P970" i="1" s="1"/>
  <c r="H970" i="1"/>
  <c r="K970" i="1"/>
  <c r="M970" i="1" s="1"/>
  <c r="J970" i="1" l="1"/>
  <c r="G970" i="1" s="1"/>
  <c r="E971" i="1" l="1"/>
  <c r="C971" i="1"/>
  <c r="D962" i="3" s="1"/>
  <c r="F970" i="1"/>
  <c r="B971" i="1" l="1"/>
  <c r="C962" i="3" s="1"/>
  <c r="D971" i="1"/>
  <c r="O971" i="1"/>
  <c r="I971" i="1"/>
  <c r="L971" i="1"/>
  <c r="N971" i="1" l="1"/>
  <c r="P971" i="1" s="1"/>
  <c r="H971" i="1"/>
  <c r="K971" i="1"/>
  <c r="M971" i="1" s="1"/>
  <c r="J971" i="1" l="1"/>
  <c r="G971" i="1" s="1"/>
  <c r="C972" i="1" l="1"/>
  <c r="D963" i="3" s="1"/>
  <c r="E972" i="1"/>
  <c r="F971" i="1"/>
  <c r="D972" i="1" l="1"/>
  <c r="B972" i="1"/>
  <c r="C963" i="3" s="1"/>
  <c r="O972" i="1"/>
  <c r="I972" i="1"/>
  <c r="L972" i="1"/>
  <c r="H972" i="1" l="1"/>
  <c r="K972" i="1"/>
  <c r="M972" i="1" s="1"/>
  <c r="N972" i="1"/>
  <c r="P972" i="1" s="1"/>
  <c r="J972" i="1" l="1"/>
  <c r="G972" i="1" s="1"/>
  <c r="F972" i="1" l="1"/>
  <c r="E973" i="1"/>
  <c r="C973" i="1"/>
  <c r="D964" i="3" s="1"/>
  <c r="I973" i="1" l="1"/>
  <c r="L973" i="1"/>
  <c r="O973" i="1"/>
  <c r="B973" i="1"/>
  <c r="C964" i="3" s="1"/>
  <c r="D973" i="1"/>
  <c r="H973" i="1" l="1"/>
  <c r="K973" i="1"/>
  <c r="M973" i="1" s="1"/>
  <c r="N973" i="1"/>
  <c r="P973" i="1" s="1"/>
  <c r="J973" i="1" l="1"/>
  <c r="G973" i="1" s="1"/>
  <c r="F973" i="1" l="1"/>
  <c r="C974" i="1"/>
  <c r="D965" i="3" s="1"/>
  <c r="E974" i="1"/>
  <c r="I974" i="1" l="1"/>
  <c r="L974" i="1"/>
  <c r="O974" i="1"/>
  <c r="D974" i="1"/>
  <c r="B974" i="1"/>
  <c r="C965" i="3" s="1"/>
  <c r="K974" i="1" l="1"/>
  <c r="M974" i="1" s="1"/>
  <c r="N974" i="1"/>
  <c r="P974" i="1" s="1"/>
  <c r="H974" i="1"/>
  <c r="J974" i="1" l="1"/>
  <c r="G974" i="1" s="1"/>
  <c r="F974" i="1" l="1"/>
  <c r="E975" i="1"/>
  <c r="C975" i="1"/>
  <c r="D966" i="3" s="1"/>
  <c r="L975" i="1" l="1"/>
  <c r="O975" i="1"/>
  <c r="I975" i="1"/>
  <c r="D975" i="1"/>
  <c r="B975" i="1"/>
  <c r="C966" i="3" s="1"/>
  <c r="K975" i="1" l="1"/>
  <c r="M975" i="1" s="1"/>
  <c r="N975" i="1"/>
  <c r="P975" i="1" s="1"/>
  <c r="H975" i="1"/>
  <c r="J975" i="1" l="1"/>
  <c r="G975" i="1" s="1"/>
  <c r="F975" i="1" l="1"/>
  <c r="C976" i="1"/>
  <c r="D967" i="3" s="1"/>
  <c r="E976" i="1"/>
  <c r="L976" i="1" l="1"/>
  <c r="O976" i="1"/>
  <c r="I976" i="1"/>
  <c r="D976" i="1"/>
  <c r="B976" i="1"/>
  <c r="C967" i="3" s="1"/>
  <c r="K976" i="1" l="1"/>
  <c r="M976" i="1" s="1"/>
  <c r="N976" i="1"/>
  <c r="P976" i="1" s="1"/>
  <c r="H976" i="1"/>
  <c r="J976" i="1" l="1"/>
  <c r="G976" i="1" s="1"/>
  <c r="C977" i="1" l="1"/>
  <c r="D968" i="3" s="1"/>
  <c r="E977" i="1"/>
  <c r="F976" i="1"/>
  <c r="D977" i="1" l="1"/>
  <c r="B977" i="1"/>
  <c r="C968" i="3" s="1"/>
  <c r="L977" i="1"/>
  <c r="O977" i="1"/>
  <c r="I977" i="1"/>
  <c r="N977" i="1" l="1"/>
  <c r="P977" i="1" s="1"/>
  <c r="H977" i="1"/>
  <c r="K977" i="1"/>
  <c r="M977" i="1" s="1"/>
  <c r="J977" i="1" l="1"/>
  <c r="G977" i="1" s="1"/>
  <c r="E978" i="1" l="1"/>
  <c r="C978" i="1"/>
  <c r="D969" i="3" s="1"/>
  <c r="F977" i="1"/>
  <c r="D978" i="1" l="1"/>
  <c r="B978" i="1"/>
  <c r="C969" i="3" s="1"/>
  <c r="O978" i="1"/>
  <c r="I978" i="1"/>
  <c r="L978" i="1"/>
  <c r="N978" i="1" l="1"/>
  <c r="P978" i="1" s="1"/>
  <c r="H978" i="1"/>
  <c r="K978" i="1"/>
  <c r="M978" i="1" s="1"/>
  <c r="J978" i="1" l="1"/>
  <c r="G978" i="1" s="1"/>
  <c r="C979" i="1" l="1"/>
  <c r="D970" i="3" s="1"/>
  <c r="E979" i="1"/>
  <c r="F978" i="1"/>
  <c r="D979" i="1" l="1"/>
  <c r="B979" i="1"/>
  <c r="C970" i="3" s="1"/>
  <c r="O979" i="1"/>
  <c r="I979" i="1"/>
  <c r="L979" i="1"/>
  <c r="N979" i="1" l="1"/>
  <c r="P979" i="1" s="1"/>
  <c r="H979" i="1"/>
  <c r="K979" i="1"/>
  <c r="M979" i="1" s="1"/>
  <c r="J979" i="1" l="1"/>
  <c r="G979" i="1" s="1"/>
  <c r="C980" i="1" l="1"/>
  <c r="D971" i="3" s="1"/>
  <c r="E980" i="1"/>
  <c r="F979" i="1"/>
  <c r="B980" i="1" l="1"/>
  <c r="C971" i="3" s="1"/>
  <c r="D980" i="1"/>
  <c r="O980" i="1"/>
  <c r="I980" i="1"/>
  <c r="L980" i="1"/>
  <c r="H980" i="1" l="1"/>
  <c r="K980" i="1"/>
  <c r="M980" i="1" s="1"/>
  <c r="N980" i="1"/>
  <c r="P980" i="1" s="1"/>
  <c r="J980" i="1" l="1"/>
  <c r="G980" i="1" s="1"/>
  <c r="F980" i="1" l="1"/>
  <c r="B981" i="1" s="1"/>
  <c r="C972" i="3" s="1"/>
  <c r="E981" i="1"/>
  <c r="C981" i="1"/>
  <c r="D972" i="3" s="1"/>
  <c r="D981" i="1" l="1"/>
  <c r="I981" i="1"/>
  <c r="L981" i="1"/>
  <c r="O981" i="1"/>
  <c r="H981" i="1"/>
  <c r="K981" i="1"/>
  <c r="N981" i="1"/>
  <c r="J981" i="1" l="1"/>
  <c r="P981" i="1"/>
  <c r="M981" i="1"/>
  <c r="F981" i="1" l="1"/>
  <c r="D982" i="1" s="1"/>
  <c r="G981" i="1"/>
  <c r="B982" i="1" l="1"/>
  <c r="C982" i="1"/>
  <c r="D973" i="3" s="1"/>
  <c r="E982" i="1"/>
  <c r="K982" i="1" l="1"/>
  <c r="C973" i="3"/>
  <c r="H982" i="1"/>
  <c r="N982" i="1"/>
  <c r="I982" i="1"/>
  <c r="L982" i="1"/>
  <c r="O982" i="1"/>
  <c r="P982" i="1" l="1"/>
  <c r="M982" i="1"/>
  <c r="J982" i="1"/>
  <c r="F982" i="1" l="1"/>
  <c r="B983" i="1" s="1"/>
  <c r="C974" i="3" s="1"/>
  <c r="G982" i="1"/>
  <c r="D983" i="1" l="1"/>
  <c r="C983" i="1"/>
  <c r="D974" i="3" s="1"/>
  <c r="E983" i="1"/>
  <c r="K983" i="1"/>
  <c r="N983" i="1"/>
  <c r="H983" i="1"/>
  <c r="L983" i="1" l="1"/>
  <c r="M983" i="1" s="1"/>
  <c r="O983" i="1"/>
  <c r="P983" i="1" s="1"/>
  <c r="I983" i="1"/>
  <c r="J983" i="1" s="1"/>
  <c r="F983" i="1" l="1"/>
  <c r="D984" i="1" s="1"/>
  <c r="G983" i="1"/>
  <c r="B984" i="1" l="1"/>
  <c r="E984" i="1"/>
  <c r="C984" i="1"/>
  <c r="D975" i="3" s="1"/>
  <c r="K984" i="1" l="1"/>
  <c r="C975" i="3"/>
  <c r="H984" i="1"/>
  <c r="N984" i="1"/>
  <c r="L984" i="1"/>
  <c r="O984" i="1"/>
  <c r="I984" i="1"/>
  <c r="P984" i="1"/>
  <c r="M984" i="1" l="1"/>
  <c r="J984" i="1"/>
  <c r="F984" i="1" l="1"/>
  <c r="D985" i="1" s="1"/>
  <c r="G984" i="1"/>
  <c r="C985" i="1" s="1"/>
  <c r="D976" i="3" s="1"/>
  <c r="B985" i="1" l="1"/>
  <c r="N985" i="1" s="1"/>
  <c r="E985" i="1"/>
  <c r="L985" i="1"/>
  <c r="O985" i="1"/>
  <c r="I985" i="1"/>
  <c r="K985" i="1" l="1"/>
  <c r="M985" i="1" s="1"/>
  <c r="H985" i="1"/>
  <c r="C976" i="3"/>
  <c r="P985" i="1"/>
  <c r="J985" i="1"/>
  <c r="F985" i="1" l="1"/>
  <c r="D986" i="1" s="1"/>
  <c r="G985" i="1"/>
  <c r="B986" i="1" l="1"/>
  <c r="C977" i="3" s="1"/>
  <c r="E986" i="1"/>
  <c r="C986" i="1"/>
  <c r="D977" i="3" s="1"/>
  <c r="H986" i="1" l="1"/>
  <c r="N986" i="1"/>
  <c r="K986" i="1"/>
  <c r="O986" i="1"/>
  <c r="P986" i="1" s="1"/>
  <c r="I986" i="1"/>
  <c r="L986" i="1"/>
  <c r="M986" i="1" s="1"/>
  <c r="J986" i="1" l="1"/>
  <c r="F986" i="1" s="1"/>
  <c r="D987" i="1" l="1"/>
  <c r="B987" i="1"/>
  <c r="C978" i="3" s="1"/>
  <c r="G986" i="1"/>
  <c r="E987" i="1" l="1"/>
  <c r="C987" i="1"/>
  <c r="D978" i="3" s="1"/>
  <c r="N987" i="1"/>
  <c r="H987" i="1"/>
  <c r="K987" i="1"/>
  <c r="O987" i="1" l="1"/>
  <c r="P987" i="1" s="1"/>
  <c r="I987" i="1"/>
  <c r="J987" i="1" s="1"/>
  <c r="L987" i="1"/>
  <c r="M987" i="1" s="1"/>
  <c r="F987" i="1" l="1"/>
  <c r="G987" i="1"/>
  <c r="E988" i="1" l="1"/>
  <c r="C988" i="1"/>
  <c r="D979" i="3" s="1"/>
  <c r="B988" i="1"/>
  <c r="C979" i="3" s="1"/>
  <c r="D988" i="1"/>
  <c r="H988" i="1" l="1"/>
  <c r="K988" i="1"/>
  <c r="N988" i="1"/>
  <c r="O988" i="1"/>
  <c r="I988" i="1"/>
  <c r="L988" i="1"/>
  <c r="P988" i="1" l="1"/>
  <c r="M988" i="1"/>
  <c r="J988" i="1"/>
  <c r="G988" i="1" l="1"/>
  <c r="C989" i="1" s="1"/>
  <c r="D980" i="3" s="1"/>
  <c r="F988" i="1"/>
  <c r="E989" i="1" l="1"/>
  <c r="D989" i="1"/>
  <c r="B989" i="1"/>
  <c r="C980" i="3" s="1"/>
  <c r="I989" i="1"/>
  <c r="L989" i="1"/>
  <c r="O989" i="1"/>
  <c r="H989" i="1" l="1"/>
  <c r="K989" i="1"/>
  <c r="M989" i="1" s="1"/>
  <c r="N989" i="1"/>
  <c r="P989" i="1" s="1"/>
  <c r="J989" i="1" l="1"/>
  <c r="G989" i="1" s="1"/>
  <c r="F989" i="1" l="1"/>
  <c r="D990" i="1" s="1"/>
  <c r="E990" i="1"/>
  <c r="C990" i="1"/>
  <c r="D981" i="3" s="1"/>
  <c r="B990" i="1" l="1"/>
  <c r="I990" i="1"/>
  <c r="L990" i="1"/>
  <c r="O990" i="1"/>
  <c r="K990" i="1" l="1"/>
  <c r="M990" i="1" s="1"/>
  <c r="C981" i="3"/>
  <c r="N990" i="1"/>
  <c r="P990" i="1" s="1"/>
  <c r="H990" i="1"/>
  <c r="J990" i="1" s="1"/>
  <c r="G990" i="1" l="1"/>
  <c r="E991" i="1" s="1"/>
  <c r="F990" i="1"/>
  <c r="D991" i="1" s="1"/>
  <c r="C991" i="1" l="1"/>
  <c r="B991" i="1"/>
  <c r="K991" i="1" l="1"/>
  <c r="C982" i="3"/>
  <c r="L991" i="1"/>
  <c r="D982" i="3"/>
  <c r="O991" i="1"/>
  <c r="I991" i="1"/>
  <c r="N991" i="1"/>
  <c r="H991" i="1"/>
  <c r="M991" i="1" l="1"/>
  <c r="J991" i="1"/>
  <c r="P991" i="1"/>
  <c r="F991" i="1" l="1"/>
  <c r="D992" i="1" s="1"/>
  <c r="G991" i="1"/>
  <c r="C992" i="1" s="1"/>
  <c r="B992" i="1" l="1"/>
  <c r="K992" i="1" s="1"/>
  <c r="L992" i="1"/>
  <c r="D983" i="3"/>
  <c r="O992" i="1"/>
  <c r="I992" i="1"/>
  <c r="E992" i="1"/>
  <c r="H992" i="1" l="1"/>
  <c r="J992" i="1" s="1"/>
  <c r="N992" i="1"/>
  <c r="C983" i="3"/>
  <c r="M992" i="1"/>
  <c r="P992" i="1"/>
  <c r="F992" i="1" l="1"/>
  <c r="D993" i="1" s="1"/>
  <c r="G992" i="1"/>
  <c r="C993" i="1" s="1"/>
  <c r="B993" i="1" l="1"/>
  <c r="C984" i="3" s="1"/>
  <c r="L993" i="1"/>
  <c r="D984" i="3"/>
  <c r="I993" i="1"/>
  <c r="O993" i="1"/>
  <c r="E993" i="1"/>
  <c r="K993" i="1" l="1"/>
  <c r="M993" i="1" s="1"/>
  <c r="N993" i="1"/>
  <c r="P993" i="1" s="1"/>
  <c r="H993" i="1"/>
  <c r="J993" i="1" s="1"/>
  <c r="F993" i="1" l="1"/>
  <c r="B994" i="1" s="1"/>
  <c r="C985" i="3" s="1"/>
  <c r="G993" i="1"/>
  <c r="C994" i="1" s="1"/>
  <c r="D985" i="3" s="1"/>
  <c r="N994" i="1" l="1"/>
  <c r="K994" i="1"/>
  <c r="H994" i="1"/>
  <c r="D994" i="1"/>
  <c r="O994" i="1"/>
  <c r="I994" i="1"/>
  <c r="L994" i="1"/>
  <c r="E994" i="1"/>
  <c r="P994" i="1" l="1"/>
  <c r="J994" i="1"/>
  <c r="M994" i="1"/>
  <c r="G994" i="1" l="1"/>
  <c r="E995" i="1" s="1"/>
  <c r="F994" i="1"/>
  <c r="B995" i="1" s="1"/>
  <c r="C986" i="3" s="1"/>
  <c r="C995" i="1" l="1"/>
  <c r="I995" i="1" s="1"/>
  <c r="D995" i="1"/>
  <c r="K995" i="1"/>
  <c r="N995" i="1"/>
  <c r="H995" i="1"/>
  <c r="D986" i="3" l="1"/>
  <c r="L995" i="1"/>
  <c r="O995" i="1"/>
  <c r="M995" i="1"/>
  <c r="P995" i="1"/>
  <c r="J995" i="1"/>
  <c r="G995" i="1" l="1"/>
  <c r="C996" i="1" s="1"/>
  <c r="D987" i="3" s="1"/>
  <c r="F995" i="1"/>
  <c r="E996" i="1" l="1"/>
  <c r="D996" i="1"/>
  <c r="B996" i="1"/>
  <c r="C987" i="3" s="1"/>
  <c r="L996" i="1"/>
  <c r="O996" i="1"/>
  <c r="I996" i="1"/>
  <c r="N996" i="1" l="1"/>
  <c r="P996" i="1" s="1"/>
  <c r="H996" i="1"/>
  <c r="K996" i="1"/>
  <c r="M996" i="1" s="1"/>
  <c r="J996" i="1" l="1"/>
  <c r="G996" i="1" s="1"/>
  <c r="F996" i="1" l="1"/>
  <c r="B997" i="1" s="1"/>
  <c r="C988" i="3" s="1"/>
  <c r="C997" i="1"/>
  <c r="D988" i="3" s="1"/>
  <c r="E997" i="1"/>
  <c r="D997" i="1" l="1"/>
  <c r="O997" i="1"/>
  <c r="L997" i="1"/>
  <c r="I997" i="1"/>
  <c r="K997" i="1"/>
  <c r="N997" i="1"/>
  <c r="P997" i="1" s="1"/>
  <c r="H997" i="1"/>
  <c r="M997" i="1" l="1"/>
  <c r="J997" i="1"/>
  <c r="G997" i="1" l="1"/>
  <c r="E998" i="1" s="1"/>
  <c r="F997" i="1"/>
  <c r="C998" i="1" l="1"/>
  <c r="B998" i="1"/>
  <c r="C989" i="3" s="1"/>
  <c r="D998" i="1"/>
  <c r="O998" i="1" l="1"/>
  <c r="D989" i="3"/>
  <c r="L998" i="1"/>
  <c r="I998" i="1"/>
  <c r="N998" i="1"/>
  <c r="H998" i="1"/>
  <c r="K998" i="1"/>
  <c r="P998" i="1" l="1"/>
  <c r="M998" i="1"/>
  <c r="J998" i="1"/>
  <c r="G998" i="1" l="1"/>
  <c r="C999" i="1" s="1"/>
  <c r="D990" i="3" s="1"/>
  <c r="F998" i="1"/>
  <c r="E999" i="1" l="1"/>
  <c r="D999" i="1"/>
  <c r="B999" i="1"/>
  <c r="C990" i="3" s="1"/>
  <c r="O999" i="1"/>
  <c r="I999" i="1"/>
  <c r="L999" i="1"/>
  <c r="H999" i="1" l="1"/>
  <c r="N999" i="1"/>
  <c r="P999" i="1" s="1"/>
  <c r="K999" i="1"/>
  <c r="M999" i="1" s="1"/>
  <c r="J999" i="1" l="1"/>
  <c r="G999" i="1" s="1"/>
  <c r="F999" i="1" l="1"/>
  <c r="B1000" i="1" s="1"/>
  <c r="C991" i="3" s="1"/>
  <c r="C1000" i="1"/>
  <c r="D991" i="3" s="1"/>
  <c r="E1000" i="1"/>
  <c r="D1000" i="1" l="1"/>
  <c r="I1000" i="1"/>
  <c r="L1000" i="1"/>
  <c r="O1000" i="1"/>
  <c r="N1000" i="1"/>
  <c r="H1000" i="1"/>
  <c r="K1000" i="1"/>
  <c r="M1000" i="1" s="1"/>
  <c r="P1000" i="1" l="1"/>
  <c r="J1000" i="1"/>
  <c r="F1000" i="1" l="1"/>
  <c r="B1001" i="1" s="1"/>
  <c r="C992" i="3" s="1"/>
  <c r="G1000" i="1"/>
  <c r="D1001" i="1" l="1"/>
  <c r="C1001" i="1"/>
  <c r="D992" i="3" s="1"/>
  <c r="E1001" i="1"/>
  <c r="K1001" i="1"/>
  <c r="N1001" i="1"/>
  <c r="H1001" i="1"/>
  <c r="O1001" i="1" l="1"/>
  <c r="P1001" i="1" s="1"/>
  <c r="I1001" i="1"/>
  <c r="L1001" i="1"/>
  <c r="M1001" i="1" s="1"/>
  <c r="J1001" i="1" l="1"/>
  <c r="F1001" i="1" s="1"/>
  <c r="D1002" i="1" l="1"/>
  <c r="B1002" i="1"/>
  <c r="C993" i="3" s="1"/>
  <c r="G1001" i="1"/>
  <c r="E1002" i="1" l="1"/>
  <c r="C1002" i="1"/>
  <c r="D993" i="3" s="1"/>
  <c r="H1002" i="1"/>
  <c r="K1002" i="1"/>
  <c r="N1002" i="1"/>
  <c r="L1002" i="1" l="1"/>
  <c r="M1002" i="1" s="1"/>
  <c r="O1002" i="1"/>
  <c r="P1002" i="1" s="1"/>
  <c r="I1002" i="1"/>
  <c r="J1002" i="1" l="1"/>
  <c r="F1002" i="1" s="1"/>
  <c r="D1003" i="1" l="1"/>
  <c r="B1003" i="1"/>
  <c r="C994" i="3" s="1"/>
  <c r="G1002" i="1"/>
  <c r="E1003" i="1" l="1"/>
  <c r="C1003" i="1"/>
  <c r="D994" i="3" s="1"/>
  <c r="K1003" i="1"/>
  <c r="N1003" i="1"/>
  <c r="H1003" i="1"/>
  <c r="I1003" i="1" l="1"/>
  <c r="L1003" i="1"/>
  <c r="M1003" i="1" s="1"/>
  <c r="O1003" i="1"/>
  <c r="P1003" i="1" s="1"/>
  <c r="J1003" i="1" l="1"/>
  <c r="F1003" i="1" s="1"/>
  <c r="D1004" i="1" l="1"/>
  <c r="B1004" i="1"/>
  <c r="C995" i="3" s="1"/>
  <c r="G1003" i="1"/>
  <c r="E1004" i="1" l="1"/>
  <c r="C1004" i="1"/>
  <c r="D995" i="3" s="1"/>
  <c r="N1004" i="1"/>
  <c r="H1004" i="1"/>
  <c r="K1004" i="1"/>
  <c r="L1004" i="1" l="1"/>
  <c r="M1004" i="1" s="1"/>
  <c r="O1004" i="1"/>
  <c r="P1004" i="1" s="1"/>
  <c r="I1004" i="1"/>
  <c r="J1004" i="1" l="1"/>
  <c r="F1004" i="1" s="1"/>
  <c r="D1005" i="1" l="1"/>
  <c r="B1005" i="1"/>
  <c r="C996" i="3" s="1"/>
  <c r="G1004" i="1"/>
  <c r="K1005" i="1" l="1"/>
  <c r="N1005" i="1"/>
  <c r="H1005" i="1"/>
  <c r="E1005" i="1"/>
  <c r="C1005" i="1"/>
  <c r="D996" i="3" s="1"/>
  <c r="O1005" i="1" l="1"/>
  <c r="P1005" i="1" s="1"/>
  <c r="I1005" i="1"/>
  <c r="J1005" i="1" s="1"/>
  <c r="L1005" i="1"/>
  <c r="M1005" i="1" s="1"/>
  <c r="F1005" i="1" l="1"/>
  <c r="B1006" i="1" s="1"/>
  <c r="C997" i="3" s="1"/>
  <c r="G1005" i="1"/>
  <c r="D1006" i="1" l="1"/>
  <c r="E1006" i="1"/>
  <c r="C1006" i="1"/>
  <c r="D997" i="3" s="1"/>
  <c r="N1006" i="1"/>
  <c r="H1006" i="1"/>
  <c r="K1006" i="1"/>
  <c r="L1006" i="1" l="1"/>
  <c r="M1006" i="1" s="1"/>
  <c r="O1006" i="1"/>
  <c r="P1006" i="1" s="1"/>
  <c r="I1006" i="1"/>
  <c r="J1006" i="1" l="1"/>
  <c r="F1006" i="1" s="1"/>
  <c r="B1007" i="1" l="1"/>
  <c r="C998" i="3" s="1"/>
  <c r="D1007" i="1"/>
  <c r="G1006" i="1"/>
  <c r="E1007" i="1" l="1"/>
  <c r="C1007" i="1"/>
  <c r="D998" i="3" s="1"/>
  <c r="H1007" i="1"/>
  <c r="K1007" i="1"/>
  <c r="N1007" i="1"/>
  <c r="O1007" i="1" l="1"/>
  <c r="P1007" i="1" s="1"/>
  <c r="I1007" i="1"/>
  <c r="L1007" i="1"/>
  <c r="M1007" i="1" s="1"/>
  <c r="J1007" i="1" l="1"/>
  <c r="F1007" i="1" s="1"/>
  <c r="D1008" i="1" l="1"/>
  <c r="B1008" i="1"/>
  <c r="C999" i="3" s="1"/>
  <c r="G1007" i="1"/>
  <c r="E1008" i="1" l="1"/>
  <c r="C1008" i="1"/>
  <c r="D999" i="3" s="1"/>
  <c r="N1008" i="1"/>
  <c r="H1008" i="1"/>
  <c r="K1008" i="1"/>
  <c r="I1008" i="1" l="1"/>
  <c r="L1008" i="1"/>
  <c r="M1008" i="1" s="1"/>
  <c r="O1008" i="1"/>
  <c r="P1008" i="1" s="1"/>
  <c r="J1008" i="1" l="1"/>
  <c r="F1008" i="1" s="1"/>
  <c r="B1009" i="1" l="1"/>
  <c r="C1000" i="3" s="1"/>
  <c r="D1009" i="1"/>
  <c r="G1008" i="1"/>
  <c r="E1009" i="1" l="1"/>
  <c r="C1009" i="1"/>
  <c r="D1000" i="3" s="1"/>
  <c r="K1009" i="1"/>
  <c r="N1009" i="1"/>
  <c r="H1009" i="1"/>
  <c r="O1009" i="1" l="1"/>
  <c r="P1009" i="1" s="1"/>
  <c r="I1009" i="1"/>
  <c r="J1009" i="1" s="1"/>
  <c r="L1009" i="1"/>
  <c r="M1009" i="1" s="1"/>
  <c r="F1009" i="1" l="1"/>
  <c r="D1010" i="1" s="1"/>
  <c r="G1009" i="1"/>
  <c r="B1010" i="1" l="1"/>
  <c r="E1010" i="1"/>
  <c r="C1010" i="1"/>
  <c r="D1001" i="3" s="1"/>
  <c r="H1010" i="1" l="1"/>
  <c r="C1001" i="3"/>
  <c r="K1010" i="1"/>
  <c r="N1010" i="1"/>
  <c r="L1010" i="1"/>
  <c r="O1010" i="1"/>
  <c r="I1010" i="1"/>
  <c r="P1010" i="1" l="1"/>
  <c r="M1010" i="1"/>
  <c r="J1010" i="1"/>
  <c r="F1010" i="1" l="1"/>
  <c r="B1011" i="1" s="1"/>
  <c r="C1002" i="3" s="1"/>
  <c r="G1010" i="1"/>
  <c r="D1011" i="1" l="1"/>
  <c r="C1011" i="1"/>
  <c r="D1002" i="3" s="1"/>
  <c r="E1011" i="1"/>
  <c r="K1011" i="1"/>
  <c r="N1011" i="1"/>
  <c r="H1011" i="1"/>
  <c r="I1011" i="1" l="1"/>
  <c r="L1011" i="1"/>
  <c r="M1011" i="1" s="1"/>
  <c r="O1011" i="1"/>
  <c r="P1011" i="1" s="1"/>
  <c r="J1011" i="1" l="1"/>
  <c r="F1011" i="1" s="1"/>
  <c r="D1012" i="1" l="1"/>
  <c r="B1012" i="1"/>
  <c r="C1003" i="3" s="1"/>
  <c r="G1011" i="1"/>
  <c r="C1012" i="1" l="1"/>
  <c r="D1003" i="3" s="1"/>
  <c r="E1012" i="1"/>
  <c r="N1012" i="1"/>
  <c r="K1012" i="1"/>
  <c r="H1012" i="1"/>
  <c r="L1012" i="1" l="1"/>
  <c r="M1012" i="1" s="1"/>
  <c r="O1012" i="1"/>
  <c r="P1012" i="1" s="1"/>
  <c r="I1012" i="1"/>
  <c r="J1012" i="1" l="1"/>
  <c r="F1012" i="1" s="1"/>
  <c r="D1013" i="1" l="1"/>
  <c r="B1013" i="1"/>
  <c r="C1004" i="3" s="1"/>
  <c r="G1012" i="1"/>
  <c r="C1013" i="1" l="1"/>
  <c r="D1004" i="3" s="1"/>
  <c r="E1013" i="1"/>
  <c r="K1013" i="1"/>
  <c r="N1013" i="1"/>
  <c r="H1013" i="1"/>
  <c r="O1013" i="1" l="1"/>
  <c r="P1013" i="1" s="1"/>
  <c r="I1013" i="1"/>
  <c r="J1013" i="1" s="1"/>
  <c r="L1013" i="1"/>
  <c r="M1013" i="1" s="1"/>
  <c r="F1013" i="1" l="1"/>
  <c r="B1014" i="1" s="1"/>
  <c r="C1005" i="3" s="1"/>
  <c r="G1013" i="1"/>
  <c r="D1014" i="1" l="1"/>
  <c r="E1014" i="1"/>
  <c r="C1014" i="1"/>
  <c r="D1005" i="3" s="1"/>
  <c r="N1014" i="1"/>
  <c r="H1014" i="1"/>
  <c r="K1014" i="1"/>
  <c r="L1014" i="1" l="1"/>
  <c r="M1014" i="1" s="1"/>
  <c r="O1014" i="1"/>
  <c r="P1014" i="1" s="1"/>
  <c r="I1014" i="1"/>
  <c r="J1014" i="1" l="1"/>
  <c r="F1014" i="1" s="1"/>
  <c r="D1015" i="1" l="1"/>
  <c r="B1015" i="1"/>
  <c r="C1006" i="3" s="1"/>
  <c r="G1014" i="1"/>
  <c r="E1015" i="1" l="1"/>
  <c r="C1015" i="1"/>
  <c r="D1006" i="3" s="1"/>
  <c r="H1015" i="1"/>
  <c r="K1015" i="1"/>
  <c r="N1015" i="1"/>
  <c r="O1015" i="1" l="1"/>
  <c r="P1015" i="1" s="1"/>
  <c r="I1015" i="1"/>
  <c r="J1015" i="1" s="1"/>
  <c r="L1015" i="1"/>
  <c r="M1015" i="1" s="1"/>
  <c r="F1015" i="1" l="1"/>
  <c r="B1016" i="1" s="1"/>
  <c r="C1007" i="3" s="1"/>
  <c r="G1015" i="1"/>
  <c r="D1016" i="1" l="1"/>
  <c r="E1016" i="1"/>
  <c r="C1016" i="1"/>
  <c r="D1007" i="3" s="1"/>
  <c r="N1016" i="1"/>
  <c r="H1016" i="1"/>
  <c r="K1016" i="1"/>
  <c r="I1016" i="1" l="1"/>
  <c r="O1016" i="1"/>
  <c r="L1016" i="1"/>
  <c r="M1016" i="1" s="1"/>
  <c r="P1016" i="1"/>
  <c r="J1016" i="1" l="1"/>
  <c r="F1016" i="1" s="1"/>
  <c r="B1017" i="1" l="1"/>
  <c r="C1008" i="3" s="1"/>
  <c r="D1017" i="1"/>
  <c r="G1016" i="1"/>
  <c r="E1017" i="1" l="1"/>
  <c r="C1017" i="1"/>
  <c r="D1008" i="3" s="1"/>
  <c r="K1017" i="1"/>
  <c r="N1017" i="1"/>
  <c r="H1017" i="1"/>
  <c r="O1017" i="1" l="1"/>
  <c r="P1017" i="1" s="1"/>
  <c r="I1017" i="1"/>
  <c r="L1017" i="1"/>
  <c r="M1017" i="1" s="1"/>
  <c r="J1017" i="1" l="1"/>
  <c r="F1017" i="1" s="1"/>
  <c r="D1018" i="1" l="1"/>
  <c r="B1018" i="1"/>
  <c r="C1009" i="3" s="1"/>
  <c r="G1017" i="1"/>
  <c r="E1018" i="1" l="1"/>
  <c r="C1018" i="1"/>
  <c r="D1009" i="3" s="1"/>
  <c r="H1018" i="1"/>
  <c r="K1018" i="1"/>
  <c r="N1018" i="1"/>
  <c r="L1018" i="1" l="1"/>
  <c r="M1018" i="1" s="1"/>
  <c r="O1018" i="1"/>
  <c r="P1018" i="1" s="1"/>
  <c r="I1018" i="1"/>
  <c r="J1018" i="1" l="1"/>
  <c r="F1018" i="1" s="1"/>
  <c r="B1019" i="1" l="1"/>
  <c r="C1010" i="3" s="1"/>
  <c r="D1019" i="1"/>
  <c r="G1018" i="1"/>
  <c r="E1019" i="1" l="1"/>
  <c r="C1019" i="1"/>
  <c r="D1010" i="3" s="1"/>
  <c r="K1019" i="1"/>
  <c r="N1019" i="1"/>
  <c r="H1019" i="1"/>
  <c r="I1019" i="1" l="1"/>
  <c r="J1019" i="1" s="1"/>
  <c r="L1019" i="1"/>
  <c r="M1019" i="1" s="1"/>
  <c r="O1019" i="1"/>
  <c r="P1019" i="1" s="1"/>
  <c r="F1019" i="1" l="1"/>
  <c r="G1019" i="1"/>
  <c r="E1020" i="1" l="1"/>
  <c r="C1020" i="1"/>
  <c r="D1011" i="3" s="1"/>
  <c r="D1020" i="1"/>
  <c r="B1020" i="1"/>
  <c r="C1011" i="3" s="1"/>
  <c r="L1020" i="1" l="1"/>
  <c r="O1020" i="1"/>
  <c r="I1020" i="1"/>
  <c r="N1020" i="1"/>
  <c r="P1020" i="1" s="1"/>
  <c r="H1020" i="1"/>
  <c r="K1020" i="1"/>
  <c r="J1020" i="1" l="1"/>
  <c r="M1020" i="1"/>
  <c r="F1020" i="1" l="1"/>
  <c r="D1021" i="1" s="1"/>
  <c r="G1020" i="1"/>
  <c r="B1021" i="1" l="1"/>
  <c r="C1021" i="1"/>
  <c r="D1012" i="3" s="1"/>
  <c r="E1021" i="1"/>
  <c r="K1021" i="1" l="1"/>
  <c r="C1012" i="3"/>
  <c r="N1021" i="1"/>
  <c r="H1021" i="1"/>
  <c r="O1021" i="1"/>
  <c r="I1021" i="1"/>
  <c r="L1021" i="1"/>
  <c r="M1021" i="1" l="1"/>
  <c r="P1021" i="1"/>
  <c r="J1021" i="1"/>
  <c r="F1021" i="1" l="1"/>
  <c r="D1022" i="1" s="1"/>
  <c r="G1021" i="1"/>
  <c r="B1022" i="1" l="1"/>
  <c r="E1022" i="1"/>
  <c r="C1022" i="1"/>
  <c r="D1013" i="3" s="1"/>
  <c r="N1022" i="1" l="1"/>
  <c r="C1013" i="3"/>
  <c r="K1022" i="1"/>
  <c r="H1022" i="1"/>
  <c r="L1022" i="1"/>
  <c r="O1022" i="1"/>
  <c r="I1022" i="1"/>
  <c r="P1022" i="1" l="1"/>
  <c r="J1022" i="1"/>
  <c r="M1022" i="1"/>
  <c r="F1022" i="1" l="1"/>
  <c r="B1023" i="1" s="1"/>
  <c r="G1022" i="1"/>
  <c r="E1023" i="1" s="1"/>
  <c r="N1023" i="1" l="1"/>
  <c r="C1014" i="3"/>
  <c r="K1023" i="1"/>
  <c r="H1023" i="1"/>
  <c r="D1023" i="1"/>
  <c r="C1023" i="1"/>
  <c r="O1023" i="1" l="1"/>
  <c r="P1023" i="1" s="1"/>
  <c r="D1014" i="3"/>
  <c r="L1023" i="1"/>
  <c r="M1023" i="1" s="1"/>
  <c r="I1023" i="1"/>
  <c r="J1023" i="1" s="1"/>
  <c r="F1023" i="1" l="1"/>
  <c r="B1024" i="1" s="1"/>
  <c r="C1015" i="3" s="1"/>
  <c r="G1023" i="1"/>
  <c r="D1024" i="1" l="1"/>
  <c r="E1024" i="1"/>
  <c r="C1024" i="1"/>
  <c r="D1015" i="3" s="1"/>
  <c r="N1024" i="1"/>
  <c r="H1024" i="1"/>
  <c r="K1024" i="1"/>
  <c r="I1024" i="1" l="1"/>
  <c r="L1024" i="1"/>
  <c r="M1024" i="1" s="1"/>
  <c r="O1024" i="1"/>
  <c r="P1024" i="1" s="1"/>
  <c r="J1024" i="1" l="1"/>
  <c r="F1024" i="1" s="1"/>
  <c r="D1025" i="1" l="1"/>
  <c r="B1025" i="1"/>
  <c r="C1016" i="3" s="1"/>
  <c r="G1024" i="1"/>
  <c r="E1025" i="1" l="1"/>
  <c r="C1025" i="1"/>
  <c r="D1016" i="3" s="1"/>
  <c r="K1025" i="1"/>
  <c r="N1025" i="1"/>
  <c r="H1025" i="1"/>
  <c r="O1025" i="1" l="1"/>
  <c r="P1025" i="1" s="1"/>
  <c r="I1025" i="1"/>
  <c r="L1025" i="1"/>
  <c r="M1025" i="1" s="1"/>
  <c r="J1025" i="1" l="1"/>
  <c r="F1025" i="1" s="1"/>
  <c r="B1026" i="1" l="1"/>
  <c r="C1017" i="3" s="1"/>
  <c r="D1026" i="1"/>
  <c r="G1025" i="1"/>
  <c r="E1026" i="1" l="1"/>
  <c r="C1026" i="1"/>
  <c r="D1017" i="3" s="1"/>
  <c r="H1026" i="1"/>
  <c r="K1026" i="1"/>
  <c r="N1026" i="1"/>
  <c r="L1026" i="1" l="1"/>
  <c r="M1026" i="1" s="1"/>
  <c r="O1026" i="1"/>
  <c r="P1026" i="1" s="1"/>
  <c r="I1026" i="1"/>
  <c r="J1026" i="1" s="1"/>
  <c r="F1026" i="1" l="1"/>
  <c r="D1027" i="1" s="1"/>
  <c r="G1026" i="1"/>
  <c r="B1027" i="1" l="1"/>
  <c r="E1027" i="1"/>
  <c r="C1027" i="1"/>
  <c r="D1018" i="3" s="1"/>
  <c r="K1027" i="1" l="1"/>
  <c r="C1018" i="3"/>
  <c r="N1027" i="1"/>
  <c r="H1027" i="1"/>
  <c r="I1027" i="1"/>
  <c r="L1027" i="1"/>
  <c r="O1027" i="1"/>
  <c r="M1027" i="1" l="1"/>
  <c r="J1027" i="1"/>
  <c r="P1027" i="1"/>
  <c r="F1027" i="1" l="1"/>
  <c r="B1028" i="1" s="1"/>
  <c r="C1019" i="3" s="1"/>
  <c r="G1027" i="1"/>
  <c r="E1028" i="1" s="1"/>
  <c r="D1028" i="1" l="1"/>
  <c r="C1028" i="1"/>
  <c r="N1028" i="1"/>
  <c r="H1028" i="1"/>
  <c r="K1028" i="1"/>
  <c r="L1028" i="1" l="1"/>
  <c r="M1028" i="1" s="1"/>
  <c r="D1019" i="3"/>
  <c r="I1028" i="1"/>
  <c r="J1028" i="1" s="1"/>
  <c r="O1028" i="1"/>
  <c r="P1028" i="1" s="1"/>
  <c r="F1028" i="1" l="1"/>
  <c r="D1029" i="1" s="1"/>
  <c r="G1028" i="1"/>
  <c r="C1029" i="1" s="1"/>
  <c r="D1020" i="3" s="1"/>
  <c r="B1029" i="1" l="1"/>
  <c r="E1029" i="1"/>
  <c r="O1029" i="1"/>
  <c r="L1029" i="1"/>
  <c r="I1029" i="1"/>
  <c r="K1029" i="1" l="1"/>
  <c r="M1029" i="1" s="1"/>
  <c r="C1020" i="3"/>
  <c r="H1029" i="1"/>
  <c r="J1029" i="1" s="1"/>
  <c r="N1029" i="1"/>
  <c r="P1029" i="1" s="1"/>
  <c r="G1029" i="1" l="1"/>
  <c r="E1030" i="1" s="1"/>
  <c r="F1029" i="1"/>
  <c r="D1030" i="1" s="1"/>
  <c r="C1030" i="1" l="1"/>
  <c r="B1030" i="1"/>
  <c r="N1030" i="1" l="1"/>
  <c r="C1021" i="3"/>
  <c r="L1030" i="1"/>
  <c r="D1021" i="3"/>
  <c r="O1030" i="1"/>
  <c r="I1030" i="1"/>
  <c r="K1030" i="1"/>
  <c r="M1030" i="1" s="1"/>
  <c r="H1030" i="1"/>
  <c r="J1030" i="1" s="1"/>
  <c r="P1030" i="1" l="1"/>
  <c r="G1030" i="1" s="1"/>
  <c r="E1031" i="1" s="1"/>
  <c r="F1030" i="1" l="1"/>
  <c r="D1031" i="1" s="1"/>
  <c r="C1031" i="1"/>
  <c r="B1031" i="1" l="1"/>
  <c r="H1031" i="1" s="1"/>
  <c r="O1031" i="1"/>
  <c r="D1022" i="3"/>
  <c r="L1031" i="1"/>
  <c r="I1031" i="1"/>
  <c r="N1031" i="1" l="1"/>
  <c r="P1031" i="1" s="1"/>
  <c r="J1031" i="1"/>
  <c r="K1031" i="1"/>
  <c r="C1022" i="3"/>
  <c r="M1031" i="1"/>
  <c r="F1031" i="1" l="1"/>
  <c r="D1032" i="1" s="1"/>
  <c r="G1031" i="1"/>
  <c r="E1032" i="1" s="1"/>
  <c r="B1032" i="1" l="1"/>
  <c r="N1032" i="1" s="1"/>
  <c r="C1032" i="1"/>
  <c r="H1032" i="1" l="1"/>
  <c r="K1032" i="1"/>
  <c r="C1023" i="3"/>
  <c r="I1032" i="1"/>
  <c r="D1023" i="3"/>
  <c r="O1032" i="1"/>
  <c r="P1032" i="1" s="1"/>
  <c r="L1032" i="1"/>
  <c r="M1032" i="1" s="1"/>
  <c r="J1032" i="1" l="1"/>
  <c r="G1032" i="1" s="1"/>
  <c r="E1033" i="1" s="1"/>
  <c r="F1032" i="1" l="1"/>
  <c r="B1033" i="1" s="1"/>
  <c r="C1024" i="3" s="1"/>
  <c r="C1033" i="1"/>
  <c r="N1033" i="1" l="1"/>
  <c r="H1033" i="1"/>
  <c r="K1033" i="1"/>
  <c r="D1033" i="1"/>
  <c r="O1033" i="1"/>
  <c r="D1024" i="3"/>
  <c r="L1033" i="1"/>
  <c r="I1033" i="1"/>
  <c r="J1033" i="1" s="1"/>
  <c r="M1033" i="1" l="1"/>
  <c r="P1033" i="1"/>
  <c r="G1033" i="1" l="1"/>
  <c r="C1034" i="1" s="1"/>
  <c r="D1025" i="3" s="1"/>
  <c r="F1033" i="1"/>
  <c r="B1034" i="1" s="1"/>
  <c r="C1025" i="3" s="1"/>
  <c r="L1034" i="1" l="1"/>
  <c r="I1034" i="1"/>
  <c r="O1034" i="1"/>
  <c r="E1034" i="1"/>
  <c r="D1034" i="1"/>
  <c r="N1034" i="1"/>
  <c r="P1034" i="1" s="1"/>
  <c r="H1034" i="1"/>
  <c r="J1034" i="1" s="1"/>
  <c r="K1034" i="1"/>
  <c r="M1034" i="1" l="1"/>
  <c r="G1034" i="1" s="1"/>
  <c r="C1035" i="1" s="1"/>
  <c r="D1026" i="3" s="1"/>
  <c r="F1034" i="1" l="1"/>
  <c r="B1035" i="1" s="1"/>
  <c r="C1026" i="3" s="1"/>
  <c r="E1035" i="1"/>
  <c r="I1035" i="1"/>
  <c r="L1035" i="1"/>
  <c r="O1035" i="1"/>
  <c r="D1035" i="1" l="1"/>
  <c r="K1035" i="1"/>
  <c r="M1035" i="1" s="1"/>
  <c r="N1035" i="1"/>
  <c r="P1035" i="1" s="1"/>
  <c r="H1035" i="1"/>
  <c r="J1035" i="1" l="1"/>
  <c r="G1035" i="1" s="1"/>
  <c r="E1036" i="1" l="1"/>
  <c r="C1036" i="1"/>
  <c r="D1027" i="3" s="1"/>
  <c r="F1035" i="1"/>
  <c r="B1036" i="1" l="1"/>
  <c r="C1027" i="3" s="1"/>
  <c r="D1036" i="1"/>
  <c r="L1036" i="1"/>
  <c r="O1036" i="1"/>
  <c r="I1036" i="1"/>
  <c r="N1036" i="1" l="1"/>
  <c r="P1036" i="1" s="1"/>
  <c r="H1036" i="1"/>
  <c r="K1036" i="1"/>
  <c r="M1036" i="1" s="1"/>
  <c r="J1036" i="1" l="1"/>
  <c r="G1036" i="1" s="1"/>
  <c r="F1036" i="1" l="1"/>
  <c r="D1037" i="1" s="1"/>
  <c r="E1037" i="1"/>
  <c r="C1037" i="1"/>
  <c r="D1028" i="3" s="1"/>
  <c r="B1037" i="1" l="1"/>
  <c r="O1037" i="1"/>
  <c r="I1037" i="1"/>
  <c r="L1037" i="1"/>
  <c r="K1037" i="1" l="1"/>
  <c r="M1037" i="1" s="1"/>
  <c r="C1028" i="3"/>
  <c r="H1037" i="1"/>
  <c r="J1037" i="1" s="1"/>
  <c r="N1037" i="1"/>
  <c r="P1037" i="1" s="1"/>
  <c r="F1037" i="1" l="1"/>
  <c r="D1038" i="1" s="1"/>
  <c r="G1037" i="1"/>
  <c r="B1038" i="1" l="1"/>
  <c r="E1038" i="1"/>
  <c r="C1038" i="1"/>
  <c r="D1029" i="3" s="1"/>
  <c r="N1038" i="1" l="1"/>
  <c r="C1029" i="3"/>
  <c r="K1038" i="1"/>
  <c r="H1038" i="1"/>
  <c r="L1038" i="1"/>
  <c r="O1038" i="1"/>
  <c r="I1038" i="1"/>
  <c r="P1038" i="1" l="1"/>
  <c r="M1038" i="1"/>
  <c r="J1038" i="1"/>
  <c r="F1038" i="1" l="1"/>
  <c r="B1039" i="1" s="1"/>
  <c r="C1030" i="3" s="1"/>
  <c r="G1038" i="1"/>
  <c r="D1039" i="1" l="1"/>
  <c r="H1039" i="1"/>
  <c r="K1039" i="1"/>
  <c r="N1039" i="1"/>
  <c r="E1039" i="1"/>
  <c r="C1039" i="1"/>
  <c r="D1030" i="3" s="1"/>
  <c r="O1039" i="1" l="1"/>
  <c r="P1039" i="1" s="1"/>
  <c r="I1039" i="1"/>
  <c r="J1039" i="1" s="1"/>
  <c r="L1039" i="1"/>
  <c r="M1039" i="1" s="1"/>
  <c r="F1039" i="1" l="1"/>
  <c r="D1040" i="1" s="1"/>
  <c r="G1039" i="1"/>
  <c r="B1040" i="1" l="1"/>
  <c r="C1040" i="1"/>
  <c r="D1031" i="3" s="1"/>
  <c r="E1040" i="1"/>
  <c r="N1040" i="1" l="1"/>
  <c r="C1031" i="3"/>
  <c r="H1040" i="1"/>
  <c r="K1040" i="1"/>
  <c r="I1040" i="1"/>
  <c r="L1040" i="1"/>
  <c r="O1040" i="1"/>
  <c r="P1040" i="1" l="1"/>
  <c r="M1040" i="1"/>
  <c r="J1040" i="1"/>
  <c r="F1040" i="1" l="1"/>
  <c r="B1041" i="1" s="1"/>
  <c r="C1032" i="3" s="1"/>
  <c r="G1040" i="1"/>
  <c r="D1041" i="1" l="1"/>
  <c r="E1041" i="1"/>
  <c r="C1041" i="1"/>
  <c r="D1032" i="3" s="1"/>
  <c r="K1041" i="1"/>
  <c r="N1041" i="1"/>
  <c r="H1041" i="1"/>
  <c r="O1041" i="1" l="1"/>
  <c r="P1041" i="1" s="1"/>
  <c r="I1041" i="1"/>
  <c r="L1041" i="1"/>
  <c r="M1041" i="1" s="1"/>
  <c r="J1041" i="1" l="1"/>
  <c r="F1041" i="1" s="1"/>
  <c r="D1042" i="1" l="1"/>
  <c r="B1042" i="1"/>
  <c r="C1033" i="3" s="1"/>
  <c r="G1041" i="1"/>
  <c r="H1042" i="1" l="1"/>
  <c r="K1042" i="1"/>
  <c r="N1042" i="1"/>
  <c r="E1042" i="1"/>
  <c r="C1042" i="1"/>
  <c r="D1033" i="3" s="1"/>
  <c r="L1042" i="1" l="1"/>
  <c r="M1042" i="1" s="1"/>
  <c r="O1042" i="1"/>
  <c r="P1042" i="1" s="1"/>
  <c r="I1042" i="1"/>
  <c r="J1042" i="1" s="1"/>
  <c r="F1042" i="1" l="1"/>
  <c r="G1042" i="1"/>
  <c r="E1043" i="1" l="1"/>
  <c r="C1043" i="1"/>
  <c r="D1034" i="3" s="1"/>
  <c r="B1043" i="1"/>
  <c r="C1034" i="3" s="1"/>
  <c r="D1043" i="1"/>
  <c r="K1043" i="1" l="1"/>
  <c r="N1043" i="1"/>
  <c r="H1043" i="1"/>
  <c r="I1043" i="1"/>
  <c r="L1043" i="1"/>
  <c r="O1043" i="1"/>
  <c r="J1043" i="1" l="1"/>
  <c r="M1043" i="1"/>
  <c r="P1043" i="1"/>
  <c r="G1043" i="1" l="1"/>
  <c r="C1044" i="1" s="1"/>
  <c r="D1035" i="3" s="1"/>
  <c r="F1043" i="1"/>
  <c r="E1044" i="1" l="1"/>
  <c r="B1044" i="1"/>
  <c r="C1035" i="3" s="1"/>
  <c r="D1044" i="1"/>
  <c r="L1044" i="1"/>
  <c r="O1044" i="1"/>
  <c r="I1044" i="1"/>
  <c r="N1044" i="1" l="1"/>
  <c r="P1044" i="1" s="1"/>
  <c r="K1044" i="1"/>
  <c r="M1044" i="1" s="1"/>
  <c r="H1044" i="1"/>
  <c r="J1044" i="1" l="1"/>
  <c r="G1044" i="1" s="1"/>
  <c r="F1044" i="1" l="1"/>
  <c r="E1045" i="1"/>
  <c r="C1045" i="1"/>
  <c r="D1036" i="3" s="1"/>
  <c r="O1045" i="1" l="1"/>
  <c r="I1045" i="1"/>
  <c r="L1045" i="1"/>
  <c r="D1045" i="1"/>
  <c r="B1045" i="1"/>
  <c r="C1036" i="3" s="1"/>
  <c r="K1045" i="1" l="1"/>
  <c r="M1045" i="1" s="1"/>
  <c r="N1045" i="1"/>
  <c r="P1045" i="1" s="1"/>
  <c r="H1045" i="1"/>
  <c r="J1045" i="1" l="1"/>
  <c r="G1045" i="1" s="1"/>
  <c r="C1046" i="1" l="1"/>
  <c r="D1037" i="3" s="1"/>
  <c r="E1046" i="1"/>
  <c r="F1045" i="1"/>
  <c r="B1046" i="1" l="1"/>
  <c r="C1037" i="3" s="1"/>
  <c r="D1046" i="1"/>
  <c r="L1046" i="1"/>
  <c r="O1046" i="1"/>
  <c r="I1046" i="1"/>
  <c r="N1046" i="1" l="1"/>
  <c r="P1046" i="1" s="1"/>
  <c r="H1046" i="1"/>
  <c r="K1046" i="1"/>
  <c r="M1046" i="1" s="1"/>
  <c r="J1046" i="1" l="1"/>
  <c r="G1046" i="1" s="1"/>
  <c r="E1047" i="1" l="1"/>
  <c r="C1047" i="1"/>
  <c r="D1038" i="3" s="1"/>
  <c r="F1046" i="1"/>
  <c r="D1047" i="1" l="1"/>
  <c r="B1047" i="1"/>
  <c r="C1038" i="3" s="1"/>
  <c r="O1047" i="1"/>
  <c r="I1047" i="1"/>
  <c r="L1047" i="1"/>
  <c r="H1047" i="1" l="1"/>
  <c r="K1047" i="1"/>
  <c r="M1047" i="1" s="1"/>
  <c r="N1047" i="1"/>
  <c r="P1047" i="1" s="1"/>
  <c r="J1047" i="1" l="1"/>
  <c r="G1047" i="1" s="1"/>
  <c r="F1047" i="1" l="1"/>
  <c r="B1048" i="1" s="1"/>
  <c r="C1039" i="3" s="1"/>
  <c r="C1048" i="1"/>
  <c r="D1039" i="3" s="1"/>
  <c r="E1048" i="1"/>
  <c r="D1048" i="1" l="1"/>
  <c r="I1048" i="1"/>
  <c r="O1048" i="1"/>
  <c r="L1048" i="1"/>
  <c r="N1048" i="1"/>
  <c r="P1048" i="1" s="1"/>
  <c r="H1048" i="1"/>
  <c r="K1048" i="1"/>
  <c r="J1048" i="1" l="1"/>
  <c r="M1048" i="1"/>
  <c r="F1048" i="1" l="1"/>
  <c r="B1049" i="1" s="1"/>
  <c r="C1040" i="3" s="1"/>
  <c r="G1048" i="1"/>
  <c r="E1049" i="1" s="1"/>
  <c r="D1049" i="1" l="1"/>
  <c r="C1049" i="1"/>
  <c r="K1049" i="1"/>
  <c r="N1049" i="1"/>
  <c r="H1049" i="1"/>
  <c r="O1049" i="1" l="1"/>
  <c r="P1049" i="1" s="1"/>
  <c r="D1040" i="3"/>
  <c r="L1049" i="1"/>
  <c r="M1049" i="1" s="1"/>
  <c r="I1049" i="1"/>
  <c r="J1049" i="1" s="1"/>
  <c r="G1049" i="1" l="1"/>
  <c r="C1050" i="1" s="1"/>
  <c r="D1041" i="3" s="1"/>
  <c r="F1049" i="1"/>
  <c r="E1050" i="1" l="1"/>
  <c r="B1050" i="1"/>
  <c r="C1041" i="3" s="1"/>
  <c r="D1050" i="1"/>
  <c r="L1050" i="1"/>
  <c r="O1050" i="1"/>
  <c r="I1050" i="1"/>
  <c r="H1050" i="1" l="1"/>
  <c r="K1050" i="1"/>
  <c r="M1050" i="1" s="1"/>
  <c r="N1050" i="1"/>
  <c r="P1050" i="1" s="1"/>
  <c r="J1050" i="1" l="1"/>
  <c r="G1050" i="1" s="1"/>
  <c r="F1050" i="1" l="1"/>
  <c r="C1051" i="1"/>
  <c r="D1042" i="3" s="1"/>
  <c r="E1051" i="1"/>
  <c r="I1051" i="1" l="1"/>
  <c r="L1051" i="1"/>
  <c r="O1051" i="1"/>
  <c r="D1051" i="1"/>
  <c r="B1051" i="1"/>
  <c r="C1042" i="3" s="1"/>
  <c r="K1051" i="1" l="1"/>
  <c r="M1051" i="1" s="1"/>
  <c r="N1051" i="1"/>
  <c r="P1051" i="1" s="1"/>
  <c r="H1051" i="1"/>
  <c r="J1051" i="1" l="1"/>
  <c r="G1051" i="1" s="1"/>
  <c r="E1052" i="1" l="1"/>
  <c r="C1052" i="1"/>
  <c r="D1043" i="3" s="1"/>
  <c r="F1051" i="1"/>
  <c r="B1052" i="1" l="1"/>
  <c r="C1043" i="3" s="1"/>
  <c r="D1052" i="1"/>
  <c r="L1052" i="1"/>
  <c r="O1052" i="1"/>
  <c r="I1052" i="1"/>
  <c r="N1052" i="1" l="1"/>
  <c r="P1052" i="1" s="1"/>
  <c r="H1052" i="1"/>
  <c r="K1052" i="1"/>
  <c r="M1052" i="1" s="1"/>
  <c r="J1052" i="1" l="1"/>
  <c r="G1052" i="1" s="1"/>
  <c r="F1052" i="1" l="1"/>
  <c r="D1053" i="1" s="1"/>
  <c r="C1053" i="1"/>
  <c r="D1044" i="3" s="1"/>
  <c r="E1053" i="1"/>
  <c r="B1053" i="1" l="1"/>
  <c r="O1053" i="1"/>
  <c r="I1053" i="1"/>
  <c r="L1053" i="1"/>
  <c r="K1053" i="1" l="1"/>
  <c r="M1053" i="1" s="1"/>
  <c r="C1044" i="3"/>
  <c r="H1053" i="1"/>
  <c r="J1053" i="1" s="1"/>
  <c r="N1053" i="1"/>
  <c r="P1053" i="1" s="1"/>
  <c r="G1053" i="1" l="1"/>
  <c r="E1054" i="1" s="1"/>
  <c r="F1053" i="1"/>
  <c r="C1054" i="1" l="1"/>
  <c r="D1054" i="1"/>
  <c r="B1054" i="1"/>
  <c r="C1045" i="3" s="1"/>
  <c r="L1054" i="1" l="1"/>
  <c r="D1045" i="3"/>
  <c r="I1054" i="1"/>
  <c r="O1054" i="1"/>
  <c r="N1054" i="1"/>
  <c r="H1054" i="1"/>
  <c r="K1054" i="1"/>
  <c r="M1054" i="1" l="1"/>
  <c r="P1054" i="1"/>
  <c r="J1054" i="1"/>
  <c r="G1054" i="1" l="1"/>
  <c r="C1055" i="1" s="1"/>
  <c r="D1046" i="3" s="1"/>
  <c r="F1054" i="1"/>
  <c r="E1055" i="1" l="1"/>
  <c r="B1055" i="1"/>
  <c r="C1046" i="3" s="1"/>
  <c r="D1055" i="1"/>
  <c r="O1055" i="1"/>
  <c r="I1055" i="1"/>
  <c r="L1055" i="1"/>
  <c r="H1055" i="1" l="1"/>
  <c r="K1055" i="1"/>
  <c r="M1055" i="1" s="1"/>
  <c r="N1055" i="1"/>
  <c r="P1055" i="1" s="1"/>
  <c r="J1055" i="1" l="1"/>
  <c r="G1055" i="1" s="1"/>
  <c r="F1055" i="1" l="1"/>
  <c r="D1056" i="1" s="1"/>
  <c r="E1056" i="1"/>
  <c r="C1056" i="1"/>
  <c r="D1047" i="3" s="1"/>
  <c r="B1056" i="1" l="1"/>
  <c r="I1056" i="1"/>
  <c r="L1056" i="1"/>
  <c r="O1056" i="1"/>
  <c r="N1056" i="1" l="1"/>
  <c r="P1056" i="1" s="1"/>
  <c r="C1047" i="3"/>
  <c r="H1056" i="1"/>
  <c r="J1056" i="1" s="1"/>
  <c r="K1056" i="1"/>
  <c r="M1056" i="1" s="1"/>
  <c r="F1056" i="1" l="1"/>
  <c r="B1057" i="1" s="1"/>
  <c r="C1048" i="3" s="1"/>
  <c r="G1056" i="1"/>
  <c r="E1057" i="1" s="1"/>
  <c r="C1057" i="1" l="1"/>
  <c r="D1057" i="1"/>
  <c r="K1057" i="1"/>
  <c r="N1057" i="1"/>
  <c r="H1057" i="1"/>
  <c r="O1057" i="1" l="1"/>
  <c r="P1057" i="1" s="1"/>
  <c r="D1048" i="3"/>
  <c r="L1057" i="1"/>
  <c r="M1057" i="1" s="1"/>
  <c r="I1057" i="1"/>
  <c r="J1057" i="1" s="1"/>
  <c r="G1057" i="1" l="1"/>
  <c r="E1058" i="1" s="1"/>
  <c r="F1057" i="1"/>
  <c r="D1058" i="1" s="1"/>
  <c r="C1058" i="1" l="1"/>
  <c r="B1058" i="1"/>
  <c r="H1058" i="1" l="1"/>
  <c r="C1049" i="3"/>
  <c r="O1058" i="1"/>
  <c r="D1049" i="3"/>
  <c r="I1058" i="1"/>
  <c r="L1058" i="1"/>
  <c r="K1058" i="1"/>
  <c r="N1058" i="1"/>
  <c r="P1058" i="1" s="1"/>
  <c r="J1058" i="1" l="1"/>
  <c r="M1058" i="1"/>
  <c r="F1058" i="1" l="1"/>
  <c r="D1059" i="1" s="1"/>
  <c r="G1058" i="1"/>
  <c r="C1059" i="1" s="1"/>
  <c r="B1059" i="1" l="1"/>
  <c r="K1059" i="1" s="1"/>
  <c r="I1059" i="1"/>
  <c r="D1050" i="3"/>
  <c r="O1059" i="1"/>
  <c r="L1059" i="1"/>
  <c r="E1059" i="1"/>
  <c r="H1059" i="1" l="1"/>
  <c r="J1059" i="1" s="1"/>
  <c r="M1059" i="1"/>
  <c r="C1050" i="3"/>
  <c r="N1059" i="1"/>
  <c r="P1059" i="1" s="1"/>
  <c r="F1059" i="1" l="1"/>
  <c r="B1060" i="1" s="1"/>
  <c r="C1051" i="3" s="1"/>
  <c r="G1059" i="1"/>
  <c r="C1060" i="1" s="1"/>
  <c r="N1060" i="1" l="1"/>
  <c r="K1060" i="1"/>
  <c r="H1060" i="1"/>
  <c r="D1060" i="1"/>
  <c r="L1060" i="1"/>
  <c r="M1060" i="1" s="1"/>
  <c r="D1051" i="3"/>
  <c r="O1060" i="1"/>
  <c r="E1060" i="1"/>
  <c r="I1060" i="1"/>
  <c r="J1060" i="1" l="1"/>
  <c r="P1060" i="1"/>
  <c r="F1060" i="1" l="1"/>
  <c r="D1061" i="1" s="1"/>
  <c r="G1060" i="1"/>
  <c r="E1061" i="1" s="1"/>
  <c r="B1061" i="1" l="1"/>
  <c r="K1061" i="1" s="1"/>
  <c r="C1061" i="1"/>
  <c r="O1061" i="1" s="1"/>
  <c r="C1052" i="3" l="1"/>
  <c r="N1061" i="1"/>
  <c r="H1061" i="1"/>
  <c r="P1061" i="1"/>
  <c r="I1061" i="1"/>
  <c r="L1061" i="1"/>
  <c r="M1061" i="1" s="1"/>
  <c r="D1052" i="3"/>
  <c r="J1061" i="1"/>
  <c r="F1061" i="1" l="1"/>
  <c r="B1062" i="1" s="1"/>
  <c r="C1053" i="3" s="1"/>
  <c r="G1061" i="1"/>
  <c r="E1062" i="1" s="1"/>
  <c r="H1062" i="1" l="1"/>
  <c r="K1062" i="1"/>
  <c r="N1062" i="1"/>
  <c r="D1062" i="1"/>
  <c r="C1062" i="1"/>
  <c r="L1062" i="1" l="1"/>
  <c r="M1062" i="1" s="1"/>
  <c r="D1053" i="3"/>
  <c r="O1062" i="1"/>
  <c r="P1062" i="1" s="1"/>
  <c r="I1062" i="1"/>
  <c r="J1062" i="1" s="1"/>
  <c r="F1062" i="1" l="1"/>
  <c r="D1063" i="1" s="1"/>
  <c r="G1062" i="1"/>
  <c r="E1063" i="1" s="1"/>
  <c r="B1063" i="1" l="1"/>
  <c r="C1063" i="1"/>
  <c r="O1063" i="1" l="1"/>
  <c r="D1054" i="3"/>
  <c r="H1063" i="1"/>
  <c r="C1054" i="3"/>
  <c r="N1063" i="1"/>
  <c r="K1063" i="1"/>
  <c r="I1063" i="1"/>
  <c r="J1063" i="1" s="1"/>
  <c r="L1063" i="1"/>
  <c r="P1063" i="1" l="1"/>
  <c r="M1063" i="1"/>
  <c r="G1063" i="1" l="1"/>
  <c r="C1064" i="1" s="1"/>
  <c r="O1064" i="1" s="1"/>
  <c r="F1063" i="1"/>
  <c r="D1064" i="1" s="1"/>
  <c r="E1064" i="1" l="1"/>
  <c r="I1064" i="1"/>
  <c r="L1064" i="1"/>
  <c r="D1055" i="3"/>
  <c r="B1064" i="1"/>
  <c r="N1064" i="1" l="1"/>
  <c r="P1064" i="1" s="1"/>
  <c r="C1055" i="3"/>
  <c r="K1064" i="1"/>
  <c r="M1064" i="1" s="1"/>
  <c r="H1064" i="1"/>
  <c r="J1064" i="1" s="1"/>
  <c r="G1064" i="1" l="1"/>
  <c r="E1065" i="1" s="1"/>
  <c r="F1064" i="1"/>
  <c r="D1065" i="1" s="1"/>
  <c r="C1065" i="1" l="1"/>
  <c r="B1065" i="1"/>
  <c r="K1065" i="1" l="1"/>
  <c r="C1056" i="3"/>
  <c r="I1065" i="1"/>
  <c r="D1056" i="3"/>
  <c r="H1065" i="1"/>
  <c r="J1065" i="1" s="1"/>
  <c r="N1065" i="1"/>
  <c r="O1065" i="1"/>
  <c r="L1065" i="1"/>
  <c r="M1065" i="1" l="1"/>
  <c r="P1065" i="1"/>
  <c r="G1065" i="1" l="1"/>
  <c r="E1066" i="1" s="1"/>
  <c r="F1065" i="1"/>
  <c r="B1066" i="1" s="1"/>
  <c r="C1057" i="3" s="1"/>
  <c r="C1066" i="1" l="1"/>
  <c r="I1066" i="1" s="1"/>
  <c r="H1066" i="1"/>
  <c r="K1066" i="1"/>
  <c r="N1066" i="1"/>
  <c r="D1066" i="1"/>
  <c r="J1066" i="1" l="1"/>
  <c r="O1066" i="1"/>
  <c r="P1066" i="1" s="1"/>
  <c r="L1066" i="1"/>
  <c r="M1066" i="1" s="1"/>
  <c r="D1057" i="3"/>
  <c r="F1066" i="1" l="1"/>
  <c r="D1067" i="1" s="1"/>
  <c r="G1066" i="1"/>
  <c r="E1067" i="1" s="1"/>
  <c r="C1067" i="1" l="1"/>
  <c r="I1067" i="1" s="1"/>
  <c r="B1067" i="1"/>
  <c r="D1058" i="3" l="1"/>
  <c r="O1067" i="1"/>
  <c r="L1067" i="1"/>
  <c r="C1058" i="3"/>
  <c r="H1067" i="1"/>
  <c r="J1067" i="1" s="1"/>
  <c r="K1067" i="1"/>
  <c r="N1067" i="1"/>
  <c r="P1067" i="1" s="1"/>
  <c r="M1067" i="1"/>
  <c r="F1067" i="1" l="1"/>
  <c r="B1068" i="1" s="1"/>
  <c r="C1059" i="3" s="1"/>
  <c r="G1067" i="1"/>
  <c r="E1068" i="1" s="1"/>
  <c r="D1068" i="1" l="1"/>
  <c r="N1068" i="1"/>
  <c r="K1068" i="1"/>
  <c r="H1068" i="1"/>
  <c r="C1068" i="1"/>
  <c r="L1068" i="1" s="1"/>
  <c r="M1068" i="1" s="1"/>
  <c r="I1068" i="1" l="1"/>
  <c r="J1068" i="1" s="1"/>
  <c r="O1068" i="1"/>
  <c r="P1068" i="1" s="1"/>
  <c r="D1059" i="3"/>
  <c r="F1068" i="1" l="1"/>
  <c r="B1069" i="1" s="1"/>
  <c r="C1060" i="3" s="1"/>
  <c r="G1068" i="1"/>
  <c r="E1069" i="1" s="1"/>
  <c r="H1069" i="1" l="1"/>
  <c r="K1069" i="1"/>
  <c r="D1069" i="1"/>
  <c r="N1069" i="1"/>
  <c r="C1069" i="1"/>
  <c r="D1060" i="3" s="1"/>
  <c r="L1069" i="1" l="1"/>
  <c r="M1069" i="1" s="1"/>
  <c r="I1069" i="1"/>
  <c r="O1069" i="1"/>
  <c r="P1069" i="1" s="1"/>
  <c r="J1069" i="1"/>
  <c r="F1069" i="1" s="1"/>
  <c r="D1070" i="1" l="1"/>
  <c r="B1070" i="1"/>
  <c r="C1061" i="3" s="1"/>
  <c r="G1069" i="1"/>
  <c r="E1070" i="1" l="1"/>
  <c r="C1070" i="1"/>
  <c r="D1061" i="3" s="1"/>
  <c r="N1070" i="1"/>
  <c r="H1070" i="1"/>
  <c r="K1070" i="1"/>
  <c r="L1070" i="1" l="1"/>
  <c r="M1070" i="1" s="1"/>
  <c r="O1070" i="1"/>
  <c r="P1070" i="1" s="1"/>
  <c r="I1070" i="1"/>
  <c r="J1070" i="1" s="1"/>
  <c r="F1070" i="1" l="1"/>
  <c r="D1071" i="1" s="1"/>
  <c r="G1070" i="1"/>
  <c r="B1071" i="1" l="1"/>
  <c r="E1071" i="1"/>
  <c r="C1071" i="1"/>
  <c r="D1062" i="3" s="1"/>
  <c r="K1071" i="1" l="1"/>
  <c r="C1062" i="3"/>
  <c r="H1071" i="1"/>
  <c r="N1071" i="1"/>
  <c r="O1071" i="1"/>
  <c r="I1071" i="1"/>
  <c r="L1071" i="1"/>
  <c r="M1071" i="1" l="1"/>
  <c r="P1071" i="1"/>
  <c r="J1071" i="1"/>
  <c r="F1071" i="1" l="1"/>
  <c r="D1072" i="1" s="1"/>
  <c r="G1071" i="1"/>
  <c r="B1072" i="1" l="1"/>
  <c r="E1072" i="1"/>
  <c r="C1072" i="1"/>
  <c r="D1063" i="3" s="1"/>
  <c r="N1072" i="1" l="1"/>
  <c r="C1063" i="3"/>
  <c r="H1072" i="1"/>
  <c r="K1072" i="1"/>
  <c r="I1072" i="1"/>
  <c r="L1072" i="1"/>
  <c r="O1072" i="1"/>
  <c r="P1072" i="1" l="1"/>
  <c r="M1072" i="1"/>
  <c r="J1072" i="1"/>
  <c r="F1072" i="1" l="1"/>
  <c r="B1073" i="1" s="1"/>
  <c r="G1072" i="1"/>
  <c r="E1073" i="1" s="1"/>
  <c r="N1073" i="1" l="1"/>
  <c r="C1064" i="3"/>
  <c r="K1073" i="1"/>
  <c r="H1073" i="1"/>
  <c r="D1073" i="1"/>
  <c r="C1073" i="1"/>
  <c r="O1073" i="1" l="1"/>
  <c r="P1073" i="1" s="1"/>
  <c r="D1064" i="3"/>
  <c r="L1073" i="1"/>
  <c r="M1073" i="1" s="1"/>
  <c r="I1073" i="1"/>
  <c r="J1073" i="1" s="1"/>
  <c r="F1073" i="1" l="1"/>
  <c r="D1074" i="1" s="1"/>
  <c r="G1073" i="1"/>
  <c r="E1074" i="1" s="1"/>
  <c r="B1074" i="1" l="1"/>
  <c r="C1074" i="1"/>
  <c r="L1074" i="1" l="1"/>
  <c r="D1065" i="3"/>
  <c r="H1074" i="1"/>
  <c r="C1065" i="3"/>
  <c r="K1074" i="1"/>
  <c r="N1074" i="1"/>
  <c r="I1074" i="1"/>
  <c r="J1074" i="1" s="1"/>
  <c r="O1074" i="1"/>
  <c r="P1074" i="1" l="1"/>
  <c r="M1074" i="1"/>
  <c r="F1074" i="1" l="1"/>
  <c r="B1075" i="1" s="1"/>
  <c r="C1066" i="3" s="1"/>
  <c r="G1074" i="1"/>
  <c r="E1075" i="1" s="1"/>
  <c r="N1075" i="1" l="1"/>
  <c r="H1075" i="1"/>
  <c r="D1075" i="1"/>
  <c r="K1075" i="1"/>
  <c r="C1075" i="1"/>
  <c r="D1066" i="3" s="1"/>
  <c r="O1075" i="1" l="1"/>
  <c r="P1075" i="1" s="1"/>
  <c r="L1075" i="1"/>
  <c r="M1075" i="1" s="1"/>
  <c r="I1075" i="1"/>
  <c r="J1075" i="1" s="1"/>
  <c r="F1075" i="1" l="1"/>
  <c r="D1076" i="1" s="1"/>
  <c r="G1075" i="1"/>
  <c r="E1076" i="1" s="1"/>
  <c r="B1076" i="1" l="1"/>
  <c r="C1067" i="3" s="1"/>
  <c r="C1076" i="1"/>
  <c r="D1067" i="3" s="1"/>
  <c r="H1076" i="1" l="1"/>
  <c r="K1076" i="1"/>
  <c r="N1076" i="1"/>
  <c r="I1076" i="1"/>
  <c r="O1076" i="1"/>
  <c r="P1076" i="1" s="1"/>
  <c r="L1076" i="1"/>
  <c r="M1076" i="1" s="1"/>
  <c r="J1076" i="1" l="1"/>
  <c r="F1076" i="1" s="1"/>
  <c r="B1077" i="1" s="1"/>
  <c r="G1076" i="1" l="1"/>
  <c r="E1077" i="1" s="1"/>
  <c r="H1077" i="1"/>
  <c r="C1068" i="3"/>
  <c r="D1077" i="1"/>
  <c r="K1077" i="1"/>
  <c r="N1077" i="1"/>
  <c r="C1077" i="1" l="1"/>
  <c r="I1077" i="1" s="1"/>
  <c r="J1077" i="1" s="1"/>
  <c r="L1077" i="1" l="1"/>
  <c r="M1077" i="1" s="1"/>
  <c r="O1077" i="1"/>
  <c r="P1077" i="1" s="1"/>
  <c r="D1068" i="3"/>
  <c r="F1077" i="1" l="1"/>
  <c r="D1078" i="1" s="1"/>
  <c r="G1077" i="1"/>
  <c r="E1078" i="1" s="1"/>
  <c r="B1078" i="1" l="1"/>
  <c r="H1078" i="1" s="1"/>
  <c r="C1078" i="1"/>
  <c r="I1078" i="1" s="1"/>
  <c r="C1069" i="3" l="1"/>
  <c r="K1078" i="1"/>
  <c r="N1078" i="1"/>
  <c r="D1069" i="3"/>
  <c r="L1078" i="1"/>
  <c r="O1078" i="1"/>
  <c r="P1078" i="1" s="1"/>
  <c r="M1078" i="1"/>
  <c r="J1078" i="1"/>
  <c r="F1078" i="1" l="1"/>
  <c r="B1079" i="1" s="1"/>
  <c r="H1079" i="1" s="1"/>
  <c r="G1078" i="1"/>
  <c r="E1079" i="1" s="1"/>
  <c r="N1079" i="1" l="1"/>
  <c r="D1079" i="1"/>
  <c r="K1079" i="1"/>
  <c r="C1070" i="3"/>
  <c r="C1079" i="1"/>
  <c r="D1070" i="3" s="1"/>
  <c r="O1079" i="1" l="1"/>
  <c r="P1079" i="1" s="1"/>
  <c r="I1079" i="1"/>
  <c r="J1079" i="1" s="1"/>
  <c r="L1079" i="1"/>
  <c r="M1079" i="1" s="1"/>
  <c r="G1079" i="1" l="1"/>
  <c r="E1080" i="1" s="1"/>
  <c r="F1079" i="1"/>
  <c r="D1080" i="1" s="1"/>
  <c r="C1080" i="1" l="1"/>
  <c r="B1080" i="1"/>
  <c r="N1080" i="1" l="1"/>
  <c r="C1071" i="3"/>
  <c r="I1080" i="1"/>
  <c r="D1071" i="3"/>
  <c r="O1080" i="1"/>
  <c r="L1080" i="1"/>
  <c r="K1080" i="1"/>
  <c r="H1080" i="1"/>
  <c r="J1080" i="1" s="1"/>
  <c r="P1080" i="1" l="1"/>
  <c r="M1080" i="1"/>
  <c r="F1080" i="1" l="1"/>
  <c r="B1081" i="1" s="1"/>
  <c r="C1072" i="3" s="1"/>
  <c r="G1080" i="1"/>
  <c r="C1081" i="1" s="1"/>
  <c r="D1072" i="3" s="1"/>
  <c r="H1081" i="1" l="1"/>
  <c r="N1081" i="1"/>
  <c r="K1081" i="1"/>
  <c r="D1081" i="1"/>
  <c r="E1081" i="1"/>
  <c r="O1081" i="1"/>
  <c r="P1081" i="1" s="1"/>
  <c r="I1081" i="1"/>
  <c r="L1081" i="1"/>
  <c r="M1081" i="1" s="1"/>
  <c r="J1081" i="1" l="1"/>
  <c r="F1081" i="1" s="1"/>
  <c r="D1082" i="1" l="1"/>
  <c r="B1082" i="1"/>
  <c r="C1073" i="3" s="1"/>
  <c r="G1081" i="1"/>
  <c r="E1082" i="1" l="1"/>
  <c r="C1082" i="1"/>
  <c r="D1073" i="3" s="1"/>
  <c r="H1082" i="1"/>
  <c r="K1082" i="1"/>
  <c r="N1082" i="1"/>
  <c r="L1082" i="1" l="1"/>
  <c r="M1082" i="1" s="1"/>
  <c r="O1082" i="1"/>
  <c r="P1082" i="1" s="1"/>
  <c r="I1082" i="1"/>
  <c r="J1082" i="1" l="1"/>
  <c r="F1082" i="1" s="1"/>
  <c r="B1083" i="1" l="1"/>
  <c r="C1074" i="3" s="1"/>
  <c r="D1083" i="1"/>
  <c r="G1082" i="1"/>
  <c r="E1083" i="1" l="1"/>
  <c r="C1083" i="1"/>
  <c r="D1074" i="3" s="1"/>
  <c r="K1083" i="1"/>
  <c r="N1083" i="1"/>
  <c r="H1083" i="1"/>
  <c r="I1083" i="1" l="1"/>
  <c r="L1083" i="1"/>
  <c r="M1083" i="1" s="1"/>
  <c r="O1083" i="1"/>
  <c r="P1083" i="1" s="1"/>
  <c r="J1083" i="1" l="1"/>
  <c r="F1083" i="1" s="1"/>
  <c r="D1084" i="1" l="1"/>
  <c r="B1084" i="1"/>
  <c r="C1075" i="3" s="1"/>
  <c r="G1083" i="1"/>
  <c r="N1084" i="1" l="1"/>
  <c r="H1084" i="1"/>
  <c r="K1084" i="1"/>
  <c r="E1084" i="1"/>
  <c r="C1084" i="1"/>
  <c r="D1075" i="3" s="1"/>
  <c r="L1084" i="1" l="1"/>
  <c r="M1084" i="1" s="1"/>
  <c r="O1084" i="1"/>
  <c r="P1084" i="1" s="1"/>
  <c r="I1084" i="1"/>
  <c r="J1084" i="1" s="1"/>
  <c r="F1084" i="1" l="1"/>
  <c r="B1085" i="1" s="1"/>
  <c r="C1076" i="3" s="1"/>
  <c r="G1084" i="1"/>
  <c r="D1085" i="1" l="1"/>
  <c r="C1085" i="1"/>
  <c r="D1076" i="3" s="1"/>
  <c r="E1085" i="1"/>
  <c r="K1085" i="1"/>
  <c r="N1085" i="1"/>
  <c r="H1085" i="1"/>
  <c r="O1085" i="1" l="1"/>
  <c r="P1085" i="1" s="1"/>
  <c r="I1085" i="1"/>
  <c r="L1085" i="1"/>
  <c r="M1085" i="1" s="1"/>
  <c r="J1085" i="1" l="1"/>
  <c r="F1085" i="1" s="1"/>
  <c r="D1086" i="1" l="1"/>
  <c r="B1086" i="1"/>
  <c r="C1077" i="3" s="1"/>
  <c r="G1085" i="1"/>
  <c r="N1086" i="1" l="1"/>
  <c r="H1086" i="1"/>
  <c r="K1086" i="1"/>
  <c r="E1086" i="1"/>
  <c r="C1086" i="1"/>
  <c r="D1077" i="3" s="1"/>
  <c r="L1086" i="1" l="1"/>
  <c r="M1086" i="1" s="1"/>
  <c r="O1086" i="1"/>
  <c r="P1086" i="1" s="1"/>
  <c r="I1086" i="1"/>
  <c r="J1086" i="1" s="1"/>
  <c r="F1086" i="1" l="1"/>
  <c r="B1087" i="1" s="1"/>
  <c r="C1078" i="3" s="1"/>
  <c r="G1086" i="1"/>
  <c r="D1087" i="1" l="1"/>
  <c r="C1087" i="1"/>
  <c r="D1078" i="3" s="1"/>
  <c r="E1087" i="1"/>
  <c r="H1087" i="1"/>
  <c r="K1087" i="1"/>
  <c r="N1087" i="1"/>
  <c r="O1087" i="1" l="1"/>
  <c r="P1087" i="1" s="1"/>
  <c r="I1087" i="1"/>
  <c r="L1087" i="1"/>
  <c r="M1087" i="1" s="1"/>
  <c r="J1087" i="1" l="1"/>
  <c r="F1087" i="1" s="1"/>
  <c r="D1088" i="1" l="1"/>
  <c r="B1088" i="1"/>
  <c r="C1079" i="3" s="1"/>
  <c r="G1087" i="1"/>
  <c r="E1088" i="1" l="1"/>
  <c r="C1088" i="1"/>
  <c r="D1079" i="3" s="1"/>
  <c r="N1088" i="1"/>
  <c r="H1088" i="1"/>
  <c r="K1088" i="1"/>
  <c r="I1088" i="1" l="1"/>
  <c r="L1088" i="1"/>
  <c r="M1088" i="1" s="1"/>
  <c r="O1088" i="1"/>
  <c r="P1088" i="1" s="1"/>
  <c r="J1088" i="1" l="1"/>
  <c r="F1088" i="1" s="1"/>
  <c r="D1089" i="1" l="1"/>
  <c r="B1089" i="1"/>
  <c r="C1080" i="3" s="1"/>
  <c r="G1088" i="1"/>
  <c r="E1089" i="1" l="1"/>
  <c r="C1089" i="1"/>
  <c r="D1080" i="3" s="1"/>
  <c r="K1089" i="1"/>
  <c r="N1089" i="1"/>
  <c r="H1089" i="1"/>
  <c r="O1089" i="1" l="1"/>
  <c r="P1089" i="1" s="1"/>
  <c r="I1089" i="1"/>
  <c r="L1089" i="1"/>
  <c r="M1089" i="1" s="1"/>
  <c r="J1089" i="1" l="1"/>
  <c r="F1089" i="1" s="1"/>
  <c r="B1090" i="1" l="1"/>
  <c r="C1081" i="3" s="1"/>
  <c r="D1090" i="1"/>
  <c r="G1089" i="1"/>
  <c r="E1090" i="1" l="1"/>
  <c r="C1090" i="1"/>
  <c r="D1081" i="3" s="1"/>
  <c r="H1090" i="1"/>
  <c r="K1090" i="1"/>
  <c r="N1090" i="1"/>
  <c r="L1090" i="1" l="1"/>
  <c r="M1090" i="1" s="1"/>
  <c r="O1090" i="1"/>
  <c r="P1090" i="1" s="1"/>
  <c r="I1090" i="1"/>
  <c r="J1090" i="1" s="1"/>
  <c r="F1090" i="1" l="1"/>
  <c r="D1091" i="1" s="1"/>
  <c r="G1090" i="1"/>
  <c r="B1091" i="1" l="1"/>
  <c r="C1091" i="1"/>
  <c r="D1082" i="3" s="1"/>
  <c r="E1091" i="1"/>
  <c r="K1091" i="1" l="1"/>
  <c r="C1082" i="3"/>
  <c r="H1091" i="1"/>
  <c r="N1091" i="1"/>
  <c r="I1091" i="1"/>
  <c r="L1091" i="1"/>
  <c r="O1091" i="1"/>
  <c r="P1091" i="1" s="1"/>
  <c r="M1091" i="1" l="1"/>
  <c r="J1091" i="1"/>
  <c r="F1091" i="1" l="1"/>
  <c r="B1092" i="1" s="1"/>
  <c r="C1083" i="3" s="1"/>
  <c r="G1091" i="1"/>
  <c r="E1092" i="1" s="1"/>
  <c r="H1092" i="1" l="1"/>
  <c r="K1092" i="1"/>
  <c r="N1092" i="1"/>
  <c r="D1092" i="1"/>
  <c r="C1092" i="1"/>
  <c r="L1092" i="1" l="1"/>
  <c r="M1092" i="1" s="1"/>
  <c r="D1083" i="3"/>
  <c r="I1092" i="1"/>
  <c r="J1092" i="1" s="1"/>
  <c r="O1092" i="1"/>
  <c r="P1092" i="1" s="1"/>
  <c r="F1092" i="1" l="1"/>
  <c r="D1093" i="1" s="1"/>
  <c r="G1092" i="1"/>
  <c r="C1093" i="1" s="1"/>
  <c r="D1084" i="3" s="1"/>
  <c r="B1093" i="1" l="1"/>
  <c r="E1093" i="1"/>
  <c r="O1093" i="1"/>
  <c r="L1093" i="1"/>
  <c r="I1093" i="1"/>
  <c r="K1093" i="1" l="1"/>
  <c r="M1093" i="1" s="1"/>
  <c r="C1084" i="3"/>
  <c r="H1093" i="1"/>
  <c r="J1093" i="1" s="1"/>
  <c r="N1093" i="1"/>
  <c r="P1093" i="1" s="1"/>
  <c r="F1093" i="1" l="1"/>
  <c r="B1094" i="1" s="1"/>
  <c r="G1093" i="1"/>
  <c r="E1094" i="1" s="1"/>
  <c r="K1094" i="1" l="1"/>
  <c r="C1085" i="3"/>
  <c r="N1094" i="1"/>
  <c r="H1094" i="1"/>
  <c r="D1094" i="1"/>
  <c r="C1094" i="1"/>
  <c r="L1094" i="1" l="1"/>
  <c r="M1094" i="1" s="1"/>
  <c r="D1085" i="3"/>
  <c r="I1094" i="1"/>
  <c r="J1094" i="1" s="1"/>
  <c r="O1094" i="1"/>
  <c r="P1094" i="1" s="1"/>
  <c r="F1094" i="1" l="1"/>
  <c r="D1095" i="1" s="1"/>
  <c r="G1094" i="1"/>
  <c r="C1095" i="1" s="1"/>
  <c r="D1086" i="3" s="1"/>
  <c r="B1095" i="1" l="1"/>
  <c r="E1095" i="1"/>
  <c r="O1095" i="1"/>
  <c r="I1095" i="1"/>
  <c r="L1095" i="1"/>
  <c r="H1095" i="1" l="1"/>
  <c r="J1095" i="1" s="1"/>
  <c r="C1086" i="3"/>
  <c r="N1095" i="1"/>
  <c r="P1095" i="1" s="1"/>
  <c r="K1095" i="1"/>
  <c r="M1095" i="1" s="1"/>
  <c r="F1095" i="1" l="1"/>
  <c r="B1096" i="1" s="1"/>
  <c r="G1095" i="1"/>
  <c r="C1096" i="1" s="1"/>
  <c r="D1087" i="3" s="1"/>
  <c r="H1096" i="1" l="1"/>
  <c r="C1087" i="3"/>
  <c r="K1096" i="1"/>
  <c r="N1096" i="1"/>
  <c r="D1096" i="1"/>
  <c r="E1096" i="1"/>
  <c r="I1096" i="1"/>
  <c r="L1096" i="1"/>
  <c r="O1096" i="1"/>
  <c r="P1096" i="1" l="1"/>
  <c r="M1096" i="1"/>
  <c r="J1096" i="1"/>
  <c r="F1096" i="1" l="1"/>
  <c r="D1097" i="1" s="1"/>
  <c r="G1096" i="1"/>
  <c r="B1097" i="1" l="1"/>
  <c r="E1097" i="1"/>
  <c r="C1097" i="1"/>
  <c r="D1088" i="3" s="1"/>
  <c r="K1097" i="1" l="1"/>
  <c r="C1088" i="3"/>
  <c r="H1097" i="1"/>
  <c r="N1097" i="1"/>
  <c r="O1097" i="1"/>
  <c r="I1097" i="1"/>
  <c r="L1097" i="1"/>
  <c r="M1097" i="1" l="1"/>
  <c r="P1097" i="1"/>
  <c r="J1097" i="1"/>
  <c r="F1097" i="1" l="1"/>
  <c r="B1098" i="1" s="1"/>
  <c r="G1097" i="1"/>
  <c r="C1098" i="1" s="1"/>
  <c r="D1089" i="3" s="1"/>
  <c r="K1098" i="1" l="1"/>
  <c r="C1089" i="3"/>
  <c r="N1098" i="1"/>
  <c r="H1098" i="1"/>
  <c r="D1098" i="1"/>
  <c r="E1098" i="1"/>
  <c r="L1098" i="1"/>
  <c r="O1098" i="1"/>
  <c r="I1098" i="1"/>
  <c r="M1098" i="1" l="1"/>
  <c r="J1098" i="1"/>
  <c r="P1098" i="1"/>
  <c r="G1098" i="1" l="1"/>
  <c r="C1099" i="1" s="1"/>
  <c r="D1090" i="3" s="1"/>
  <c r="F1098" i="1"/>
  <c r="D1099" i="1" s="1"/>
  <c r="E1099" i="1" l="1"/>
  <c r="B1099" i="1"/>
  <c r="C1090" i="3" s="1"/>
  <c r="I1099" i="1"/>
  <c r="L1099" i="1"/>
  <c r="O1099" i="1"/>
  <c r="K1099" i="1" l="1"/>
  <c r="M1099" i="1" s="1"/>
  <c r="H1099" i="1"/>
  <c r="N1099" i="1"/>
  <c r="P1099" i="1" s="1"/>
  <c r="J1099" i="1"/>
  <c r="G1099" i="1" l="1"/>
  <c r="E1100" i="1" s="1"/>
  <c r="F1099" i="1"/>
  <c r="C1100" i="1" l="1"/>
  <c r="D1100" i="1"/>
  <c r="B1100" i="1"/>
  <c r="C1091" i="3" s="1"/>
  <c r="L1100" i="1" l="1"/>
  <c r="D1091" i="3"/>
  <c r="I1100" i="1"/>
  <c r="O1100" i="1"/>
  <c r="N1100" i="1"/>
  <c r="H1100" i="1"/>
  <c r="K1100" i="1"/>
  <c r="M1100" i="1" l="1"/>
  <c r="P1100" i="1"/>
  <c r="J1100" i="1"/>
  <c r="G1100" i="1" l="1"/>
  <c r="E1101" i="1" s="1"/>
  <c r="F1100" i="1"/>
  <c r="C1101" i="1" l="1"/>
  <c r="B1101" i="1"/>
  <c r="C1092" i="3" s="1"/>
  <c r="D1101" i="1"/>
  <c r="O1101" i="1" l="1"/>
  <c r="D1092" i="3"/>
  <c r="L1101" i="1"/>
  <c r="I1101" i="1"/>
  <c r="K1101" i="1"/>
  <c r="N1101" i="1"/>
  <c r="H1101" i="1"/>
  <c r="P1101" i="1" l="1"/>
  <c r="M1101" i="1"/>
  <c r="J1101" i="1"/>
  <c r="G1101" i="1" l="1"/>
  <c r="E1102" i="1" s="1"/>
  <c r="F1101" i="1"/>
  <c r="C1102" i="1" l="1"/>
  <c r="D1102" i="1"/>
  <c r="B1102" i="1"/>
  <c r="C1093" i="3" s="1"/>
  <c r="L1102" i="1" l="1"/>
  <c r="D1093" i="3"/>
  <c r="O1102" i="1"/>
  <c r="I1102" i="1"/>
  <c r="N1102" i="1"/>
  <c r="H1102" i="1"/>
  <c r="K1102" i="1"/>
  <c r="M1102" i="1" l="1"/>
  <c r="P1102" i="1"/>
  <c r="J1102" i="1"/>
  <c r="G1102" i="1" l="1"/>
  <c r="C1103" i="1" s="1"/>
  <c r="D1094" i="3" s="1"/>
  <c r="F1102" i="1"/>
  <c r="E1103" i="1" l="1"/>
  <c r="D1103" i="1"/>
  <c r="B1103" i="1"/>
  <c r="C1094" i="3" s="1"/>
  <c r="O1103" i="1"/>
  <c r="I1103" i="1"/>
  <c r="L1103" i="1"/>
  <c r="H1103" i="1" l="1"/>
  <c r="K1103" i="1"/>
  <c r="M1103" i="1" s="1"/>
  <c r="N1103" i="1"/>
  <c r="P1103" i="1" s="1"/>
  <c r="J1103" i="1" l="1"/>
  <c r="G1103" i="1" s="1"/>
  <c r="F1103" i="1" l="1"/>
  <c r="B1104" i="1" s="1"/>
  <c r="C1095" i="3" s="1"/>
  <c r="E1104" i="1"/>
  <c r="C1104" i="1"/>
  <c r="D1095" i="3" s="1"/>
  <c r="D1104" i="1" l="1"/>
  <c r="I1104" i="1"/>
  <c r="L1104" i="1"/>
  <c r="O1104" i="1"/>
  <c r="N1104" i="1"/>
  <c r="H1104" i="1"/>
  <c r="K1104" i="1"/>
  <c r="P1104" i="1" l="1"/>
  <c r="J1104" i="1"/>
  <c r="M1104" i="1"/>
  <c r="F1104" i="1" l="1"/>
  <c r="B1105" i="1" s="1"/>
  <c r="C1096" i="3" s="1"/>
  <c r="G1104" i="1"/>
  <c r="E1105" i="1" s="1"/>
  <c r="D1105" i="1" l="1"/>
  <c r="C1105" i="1"/>
  <c r="K1105" i="1"/>
  <c r="N1105" i="1"/>
  <c r="H1105" i="1"/>
  <c r="O1105" i="1" l="1"/>
  <c r="P1105" i="1" s="1"/>
  <c r="D1096" i="3"/>
  <c r="L1105" i="1"/>
  <c r="M1105" i="1" s="1"/>
  <c r="I1105" i="1"/>
  <c r="J1105" i="1" s="1"/>
  <c r="F1105" i="1" l="1"/>
  <c r="D1106" i="1" s="1"/>
  <c r="G1105" i="1"/>
  <c r="E1106" i="1" s="1"/>
  <c r="B1106" i="1" l="1"/>
  <c r="C1106" i="1"/>
  <c r="L1106" i="1" l="1"/>
  <c r="D1097" i="3"/>
  <c r="H1106" i="1"/>
  <c r="C1097" i="3"/>
  <c r="N1106" i="1"/>
  <c r="K1106" i="1"/>
  <c r="I1106" i="1"/>
  <c r="J1106" i="1" s="1"/>
  <c r="O1106" i="1"/>
  <c r="M1106" i="1" l="1"/>
  <c r="P1106" i="1"/>
  <c r="G1106" i="1" l="1"/>
  <c r="E1107" i="1" s="1"/>
  <c r="F1106" i="1"/>
  <c r="D1107" i="1" s="1"/>
  <c r="C1107" i="1" l="1"/>
  <c r="I1107" i="1" s="1"/>
  <c r="B1107" i="1"/>
  <c r="L1107" i="1" l="1"/>
  <c r="O1107" i="1"/>
  <c r="D1098" i="3"/>
  <c r="K1107" i="1"/>
  <c r="C1098" i="3"/>
  <c r="N1107" i="1"/>
  <c r="P1107" i="1" s="1"/>
  <c r="H1107" i="1"/>
  <c r="J1107" i="1" s="1"/>
  <c r="M1107" i="1" l="1"/>
  <c r="G1107" i="1" s="1"/>
  <c r="E1108" i="1" s="1"/>
  <c r="F1107" i="1" l="1"/>
  <c r="B1108" i="1" s="1"/>
  <c r="H1108" i="1" s="1"/>
  <c r="C1108" i="1"/>
  <c r="N1108" i="1" l="1"/>
  <c r="D1108" i="1"/>
  <c r="K1108" i="1"/>
  <c r="C1099" i="3"/>
  <c r="L1108" i="1"/>
  <c r="M1108" i="1" s="1"/>
  <c r="D1099" i="3"/>
  <c r="O1108" i="1"/>
  <c r="I1108" i="1"/>
  <c r="J1108" i="1" s="1"/>
  <c r="P1108" i="1" l="1"/>
  <c r="F1108" i="1" s="1"/>
  <c r="D1109" i="1" s="1"/>
  <c r="G1108" i="1" l="1"/>
  <c r="C1109" i="1" s="1"/>
  <c r="O1109" i="1" s="1"/>
  <c r="B1109" i="1"/>
  <c r="E1109" i="1" l="1"/>
  <c r="I1109" i="1"/>
  <c r="L1109" i="1"/>
  <c r="D1100" i="3"/>
  <c r="K1109" i="1"/>
  <c r="M1109" i="1" s="1"/>
  <c r="C1100" i="3"/>
  <c r="H1109" i="1"/>
  <c r="J1109" i="1" s="1"/>
  <c r="N1109" i="1"/>
  <c r="P1109" i="1" s="1"/>
  <c r="G1109" i="1" l="1"/>
  <c r="E1110" i="1" s="1"/>
  <c r="F1109" i="1"/>
  <c r="C1110" i="1" l="1"/>
  <c r="D1110" i="1"/>
  <c r="B1110" i="1"/>
  <c r="C1101" i="3" s="1"/>
  <c r="L1110" i="1" l="1"/>
  <c r="D1101" i="3"/>
  <c r="O1110" i="1"/>
  <c r="I1110" i="1"/>
  <c r="N1110" i="1"/>
  <c r="H1110" i="1"/>
  <c r="K1110" i="1"/>
  <c r="M1110" i="1" l="1"/>
  <c r="P1110" i="1"/>
  <c r="J1110" i="1"/>
  <c r="G1110" i="1" l="1"/>
  <c r="E1111" i="1" s="1"/>
  <c r="F1110" i="1"/>
  <c r="C1111" i="1" l="1"/>
  <c r="B1111" i="1"/>
  <c r="C1102" i="3" s="1"/>
  <c r="D1111" i="1"/>
  <c r="O1111" i="1" l="1"/>
  <c r="D1102" i="3"/>
  <c r="L1111" i="1"/>
  <c r="I1111" i="1"/>
  <c r="H1111" i="1"/>
  <c r="K1111" i="1"/>
  <c r="N1111" i="1"/>
  <c r="P1111" i="1" l="1"/>
  <c r="M1111" i="1"/>
  <c r="J1111" i="1"/>
  <c r="G1111" i="1" l="1"/>
  <c r="C1112" i="1" s="1"/>
  <c r="D1103" i="3" s="1"/>
  <c r="F1111" i="1"/>
  <c r="D1112" i="1" s="1"/>
  <c r="E1112" i="1" l="1"/>
  <c r="B1112" i="1"/>
  <c r="I1112" i="1"/>
  <c r="O1112" i="1"/>
  <c r="L1112" i="1"/>
  <c r="N1112" i="1" l="1"/>
  <c r="P1112" i="1" s="1"/>
  <c r="C1103" i="3"/>
  <c r="K1112" i="1"/>
  <c r="M1112" i="1" s="1"/>
  <c r="H1112" i="1"/>
  <c r="J1112" i="1" s="1"/>
  <c r="G1112" i="1" l="1"/>
  <c r="E1113" i="1" s="1"/>
  <c r="F1112" i="1"/>
  <c r="D1113" i="1" s="1"/>
  <c r="C1113" i="1" l="1"/>
  <c r="B1113" i="1"/>
  <c r="K1113" i="1" l="1"/>
  <c r="C1104" i="3"/>
  <c r="O1113" i="1"/>
  <c r="D1104" i="3"/>
  <c r="I1113" i="1"/>
  <c r="L1113" i="1"/>
  <c r="H1113" i="1"/>
  <c r="N1113" i="1"/>
  <c r="P1113" i="1" s="1"/>
  <c r="M1113" i="1" l="1"/>
  <c r="J1113" i="1"/>
  <c r="G1113" i="1" l="1"/>
  <c r="E1114" i="1" s="1"/>
  <c r="F1113" i="1"/>
  <c r="D1114" i="1" s="1"/>
  <c r="C1114" i="1" l="1"/>
  <c r="I1114" i="1" s="1"/>
  <c r="B1114" i="1"/>
  <c r="L1114" i="1" l="1"/>
  <c r="O1114" i="1"/>
  <c r="D1105" i="3"/>
  <c r="H1114" i="1"/>
  <c r="J1114" i="1" s="1"/>
  <c r="C1105" i="3"/>
  <c r="K1114" i="1"/>
  <c r="N1114" i="1"/>
  <c r="P1114" i="1" s="1"/>
  <c r="M1114" i="1" l="1"/>
  <c r="G1114" i="1" s="1"/>
  <c r="C1115" i="1" s="1"/>
  <c r="F1114" i="1" l="1"/>
  <c r="D1115" i="1" s="1"/>
  <c r="O1115" i="1"/>
  <c r="D1106" i="3"/>
  <c r="L1115" i="1"/>
  <c r="I1115" i="1"/>
  <c r="E1115" i="1"/>
  <c r="B1115" i="1" l="1"/>
  <c r="K1115" i="1" s="1"/>
  <c r="M1115" i="1" s="1"/>
  <c r="N1115" i="1" l="1"/>
  <c r="P1115" i="1" s="1"/>
  <c r="H1115" i="1"/>
  <c r="J1115" i="1" s="1"/>
  <c r="C1106" i="3"/>
  <c r="G1115" i="1" l="1"/>
  <c r="C1116" i="1" s="1"/>
  <c r="I1116" i="1" s="1"/>
  <c r="F1115" i="1"/>
  <c r="D1116" i="1" s="1"/>
  <c r="B1116" i="1" l="1"/>
  <c r="N1116" i="1" s="1"/>
  <c r="L1116" i="1"/>
  <c r="D1107" i="3"/>
  <c r="O1116" i="1"/>
  <c r="E1116" i="1"/>
  <c r="P1116" i="1" l="1"/>
  <c r="C1107" i="3"/>
  <c r="K1116" i="1"/>
  <c r="M1116" i="1" s="1"/>
  <c r="H1116" i="1"/>
  <c r="J1116" i="1" s="1"/>
  <c r="G1116" i="1" l="1"/>
  <c r="E1117" i="1" s="1"/>
  <c r="F1116" i="1"/>
  <c r="D1117" i="1" s="1"/>
  <c r="C1117" i="1" l="1"/>
  <c r="D1108" i="3" s="1"/>
  <c r="B1117" i="1"/>
  <c r="K1117" i="1" s="1"/>
  <c r="H1117" i="1" l="1"/>
  <c r="L1117" i="1"/>
  <c r="M1117" i="1" s="1"/>
  <c r="O1117" i="1"/>
  <c r="I1117" i="1"/>
  <c r="N1117" i="1"/>
  <c r="P1117" i="1" s="1"/>
  <c r="C1108" i="3"/>
  <c r="J1117" i="1" l="1"/>
  <c r="F1117" i="1"/>
  <c r="B1118" i="1" s="1"/>
  <c r="C1109" i="3" s="1"/>
  <c r="G1117" i="1"/>
  <c r="E1118" i="1" s="1"/>
  <c r="H1118" i="1" l="1"/>
  <c r="D1118" i="1"/>
  <c r="N1118" i="1"/>
  <c r="K1118" i="1"/>
  <c r="C1118" i="1"/>
  <c r="L1118" i="1" s="1"/>
  <c r="M1118" i="1" s="1"/>
  <c r="O1118" i="1" l="1"/>
  <c r="P1118" i="1" s="1"/>
  <c r="I1118" i="1"/>
  <c r="J1118" i="1" s="1"/>
  <c r="D1109" i="3"/>
  <c r="F1118" i="1" l="1"/>
  <c r="B1119" i="1" s="1"/>
  <c r="C1110" i="3" s="1"/>
  <c r="G1118" i="1"/>
  <c r="E1119" i="1" s="1"/>
  <c r="N1119" i="1" l="1"/>
  <c r="H1119" i="1"/>
  <c r="D1119" i="1"/>
  <c r="K1119" i="1"/>
  <c r="C1119" i="1"/>
  <c r="D1110" i="3" s="1"/>
  <c r="L1119" i="1" l="1"/>
  <c r="M1119" i="1" s="1"/>
  <c r="I1119" i="1"/>
  <c r="J1119" i="1" s="1"/>
  <c r="O1119" i="1"/>
  <c r="P1119" i="1" s="1"/>
  <c r="F1119" i="1" l="1"/>
  <c r="D1120" i="1" s="1"/>
  <c r="G1119" i="1"/>
  <c r="C1120" i="1" s="1"/>
  <c r="D1111" i="3" s="1"/>
  <c r="B1120" i="1" l="1"/>
  <c r="C1111" i="3" s="1"/>
  <c r="E1120" i="1"/>
  <c r="I1120" i="1"/>
  <c r="L1120" i="1"/>
  <c r="O1120" i="1"/>
  <c r="H1120" i="1" l="1"/>
  <c r="J1120" i="1" s="1"/>
  <c r="N1120" i="1"/>
  <c r="P1120" i="1" s="1"/>
  <c r="K1120" i="1"/>
  <c r="M1120" i="1" s="1"/>
  <c r="F1120" i="1" l="1"/>
  <c r="B1121" i="1" s="1"/>
  <c r="C1112" i="3" s="1"/>
  <c r="G1120" i="1"/>
  <c r="D1121" i="1" l="1"/>
  <c r="E1121" i="1"/>
  <c r="C1121" i="1"/>
  <c r="D1112" i="3" s="1"/>
  <c r="K1121" i="1"/>
  <c r="N1121" i="1"/>
  <c r="H1121" i="1"/>
  <c r="O1121" i="1" l="1"/>
  <c r="P1121" i="1" s="1"/>
  <c r="I1121" i="1"/>
  <c r="L1121" i="1"/>
  <c r="M1121" i="1" s="1"/>
  <c r="J1121" i="1" l="1"/>
  <c r="F1121" i="1" s="1"/>
  <c r="B1122" i="1" l="1"/>
  <c r="C1113" i="3" s="1"/>
  <c r="D1122" i="1"/>
  <c r="G1121" i="1"/>
  <c r="E1122" i="1" l="1"/>
  <c r="C1122" i="1"/>
  <c r="D1113" i="3" s="1"/>
  <c r="H1122" i="1"/>
  <c r="K1122" i="1"/>
  <c r="N1122" i="1"/>
  <c r="L1122" i="1" l="1"/>
  <c r="M1122" i="1" s="1"/>
  <c r="O1122" i="1"/>
  <c r="P1122" i="1" s="1"/>
  <c r="I1122" i="1"/>
  <c r="J1122" i="1" l="1"/>
  <c r="F1122" i="1" s="1"/>
  <c r="D1123" i="1" l="1"/>
  <c r="B1123" i="1"/>
  <c r="C1114" i="3" s="1"/>
  <c r="G1122" i="1"/>
  <c r="E1123" i="1" l="1"/>
  <c r="C1123" i="1"/>
  <c r="D1114" i="3" s="1"/>
  <c r="K1123" i="1"/>
  <c r="N1123" i="1"/>
  <c r="H1123" i="1"/>
  <c r="I1123" i="1" l="1"/>
  <c r="L1123" i="1"/>
  <c r="M1123" i="1" s="1"/>
  <c r="O1123" i="1"/>
  <c r="P1123" i="1" s="1"/>
  <c r="J1123" i="1" l="1"/>
  <c r="F1123" i="1" s="1"/>
  <c r="B1124" i="1" l="1"/>
  <c r="C1115" i="3" s="1"/>
  <c r="D1124" i="1"/>
  <c r="G1123" i="1"/>
  <c r="E1124" i="1" l="1"/>
  <c r="C1124" i="1"/>
  <c r="D1115" i="3" s="1"/>
  <c r="N1124" i="1"/>
  <c r="H1124" i="1"/>
  <c r="K1124" i="1"/>
  <c r="L1124" i="1" l="1"/>
  <c r="M1124" i="1" s="1"/>
  <c r="O1124" i="1"/>
  <c r="P1124" i="1" s="1"/>
  <c r="I1124" i="1"/>
  <c r="J1124" i="1" l="1"/>
  <c r="F1124" i="1" s="1"/>
  <c r="D1125" i="1" l="1"/>
  <c r="B1125" i="1"/>
  <c r="C1116" i="3" s="1"/>
  <c r="G1124" i="1"/>
  <c r="K1125" i="1" l="1"/>
  <c r="N1125" i="1"/>
  <c r="H1125" i="1"/>
  <c r="E1125" i="1"/>
  <c r="C1125" i="1"/>
  <c r="D1116" i="3" s="1"/>
  <c r="O1125" i="1" l="1"/>
  <c r="P1125" i="1" s="1"/>
  <c r="L1125" i="1"/>
  <c r="M1125" i="1" s="1"/>
  <c r="I1125" i="1"/>
  <c r="J1125" i="1" l="1"/>
  <c r="F1125" i="1" s="1"/>
  <c r="B1126" i="1" l="1"/>
  <c r="C1117" i="3" s="1"/>
  <c r="D1126" i="1"/>
  <c r="G1125" i="1"/>
  <c r="E1126" i="1" l="1"/>
  <c r="C1126" i="1"/>
  <c r="D1117" i="3" s="1"/>
  <c r="N1126" i="1"/>
  <c r="H1126" i="1"/>
  <c r="K1126" i="1"/>
  <c r="L1126" i="1" l="1"/>
  <c r="M1126" i="1" s="1"/>
  <c r="O1126" i="1"/>
  <c r="P1126" i="1" s="1"/>
  <c r="I1126" i="1"/>
  <c r="J1126" i="1" s="1"/>
  <c r="F1126" i="1" l="1"/>
  <c r="B1127" i="1" s="1"/>
  <c r="C1118" i="3" s="1"/>
  <c r="G1126" i="1"/>
  <c r="D1127" i="1" l="1"/>
  <c r="E1127" i="1"/>
  <c r="C1127" i="1"/>
  <c r="D1118" i="3" s="1"/>
  <c r="H1127" i="1"/>
  <c r="N1127" i="1"/>
  <c r="K1127" i="1"/>
  <c r="O1127" i="1" l="1"/>
  <c r="P1127" i="1" s="1"/>
  <c r="I1127" i="1"/>
  <c r="J1127" i="1" s="1"/>
  <c r="L1127" i="1"/>
  <c r="M1127" i="1" s="1"/>
  <c r="F1127" i="1" l="1"/>
  <c r="D1128" i="1" s="1"/>
  <c r="G1127" i="1"/>
  <c r="B1128" i="1" l="1"/>
  <c r="E1128" i="1"/>
  <c r="C1128" i="1"/>
  <c r="D1119" i="3" s="1"/>
  <c r="N1128" i="1" l="1"/>
  <c r="C1119" i="3"/>
  <c r="K1128" i="1"/>
  <c r="H1128" i="1"/>
  <c r="I1128" i="1"/>
  <c r="L1128" i="1"/>
  <c r="O1128" i="1"/>
  <c r="J1128" i="1" l="1"/>
  <c r="P1128" i="1"/>
  <c r="M1128" i="1"/>
  <c r="F1128" i="1" l="1"/>
  <c r="B1129" i="1" s="1"/>
  <c r="C1120" i="3" s="1"/>
  <c r="G1128" i="1"/>
  <c r="E1129" i="1" s="1"/>
  <c r="K1129" i="1" l="1"/>
  <c r="N1129" i="1"/>
  <c r="D1129" i="1"/>
  <c r="H1129" i="1"/>
  <c r="C1129" i="1"/>
  <c r="O1129" i="1" l="1"/>
  <c r="P1129" i="1" s="1"/>
  <c r="D1120" i="3"/>
  <c r="L1129" i="1"/>
  <c r="M1129" i="1" s="1"/>
  <c r="I1129" i="1"/>
  <c r="J1129" i="1" s="1"/>
  <c r="F1129" i="1" l="1"/>
  <c r="D1130" i="1" s="1"/>
  <c r="G1129" i="1"/>
  <c r="E1130" i="1" s="1"/>
  <c r="B1130" i="1" l="1"/>
  <c r="C1130" i="1"/>
  <c r="L1130" i="1" l="1"/>
  <c r="D1121" i="3"/>
  <c r="H1130" i="1"/>
  <c r="C1121" i="3"/>
  <c r="N1130" i="1"/>
  <c r="K1130" i="1"/>
  <c r="I1130" i="1"/>
  <c r="J1130" i="1" s="1"/>
  <c r="O1130" i="1"/>
  <c r="M1130" i="1" l="1"/>
  <c r="P1130" i="1"/>
  <c r="F1130" i="1" l="1"/>
  <c r="D1131" i="1" s="1"/>
  <c r="G1130" i="1"/>
  <c r="C1131" i="1" s="1"/>
  <c r="D1122" i="3" s="1"/>
  <c r="B1131" i="1" l="1"/>
  <c r="K1131" i="1" s="1"/>
  <c r="E1131" i="1"/>
  <c r="I1131" i="1"/>
  <c r="L1131" i="1"/>
  <c r="O1131" i="1"/>
  <c r="H1131" i="1" l="1"/>
  <c r="J1131" i="1" s="1"/>
  <c r="N1131" i="1"/>
  <c r="M1131" i="1"/>
  <c r="C1122" i="3"/>
  <c r="P1131" i="1"/>
  <c r="F1131" i="1" l="1"/>
  <c r="D1132" i="1" s="1"/>
  <c r="G1131" i="1"/>
  <c r="E1132" i="1" s="1"/>
  <c r="B1132" i="1" l="1"/>
  <c r="C1132" i="1"/>
  <c r="L1132" i="1" l="1"/>
  <c r="D1123" i="3"/>
  <c r="N1132" i="1"/>
  <c r="C1123" i="3"/>
  <c r="K1132" i="1"/>
  <c r="H1132" i="1"/>
  <c r="I1132" i="1"/>
  <c r="O1132" i="1"/>
  <c r="P1132" i="1" s="1"/>
  <c r="M1132" i="1" l="1"/>
  <c r="J1132" i="1"/>
  <c r="G1132" i="1" l="1"/>
  <c r="E1133" i="1" s="1"/>
  <c r="F1132" i="1"/>
  <c r="D1133" i="1" s="1"/>
  <c r="C1133" i="1" l="1"/>
  <c r="O1133" i="1" s="1"/>
  <c r="B1133" i="1"/>
  <c r="I1133" i="1" l="1"/>
  <c r="L1133" i="1"/>
  <c r="D1124" i="3"/>
  <c r="K1133" i="1"/>
  <c r="M1133" i="1" s="1"/>
  <c r="C1124" i="3"/>
  <c r="H1133" i="1"/>
  <c r="N1133" i="1"/>
  <c r="P1133" i="1" s="1"/>
  <c r="J1133" i="1" l="1"/>
  <c r="G1133" i="1" s="1"/>
  <c r="C1134" i="1" s="1"/>
  <c r="D1125" i="3" s="1"/>
  <c r="F1133" i="1" l="1"/>
  <c r="D1134" i="1" s="1"/>
  <c r="E1134" i="1"/>
  <c r="L1134" i="1"/>
  <c r="O1134" i="1"/>
  <c r="I1134" i="1"/>
  <c r="B1134" i="1" l="1"/>
  <c r="C1125" i="3" s="1"/>
  <c r="K1134" i="1" l="1"/>
  <c r="M1134" i="1" s="1"/>
  <c r="H1134" i="1"/>
  <c r="J1134" i="1" s="1"/>
  <c r="N1134" i="1"/>
  <c r="P1134" i="1" s="1"/>
  <c r="G1134" i="1" l="1"/>
  <c r="E1135" i="1" s="1"/>
  <c r="F1134" i="1"/>
  <c r="C1135" i="1" l="1"/>
  <c r="D1126" i="3" s="1"/>
  <c r="B1135" i="1"/>
  <c r="C1126" i="3" s="1"/>
  <c r="D1135" i="1"/>
  <c r="L1135" i="1" l="1"/>
  <c r="I1135" i="1"/>
  <c r="O1135" i="1"/>
  <c r="H1135" i="1"/>
  <c r="K1135" i="1"/>
  <c r="N1135" i="1"/>
  <c r="P1135" i="1" s="1"/>
  <c r="M1135" i="1" l="1"/>
  <c r="J1135" i="1"/>
  <c r="G1135" i="1" l="1"/>
  <c r="C1136" i="1" s="1"/>
  <c r="D1127" i="3" s="1"/>
  <c r="F1135" i="1"/>
  <c r="D1136" i="1" s="1"/>
  <c r="E1136" i="1" l="1"/>
  <c r="B1136" i="1"/>
  <c r="I1136" i="1"/>
  <c r="L1136" i="1"/>
  <c r="O1136" i="1"/>
  <c r="N1136" i="1" l="1"/>
  <c r="P1136" i="1" s="1"/>
  <c r="C1127" i="3"/>
  <c r="K1136" i="1"/>
  <c r="M1136" i="1" s="1"/>
  <c r="H1136" i="1"/>
  <c r="J1136" i="1" s="1"/>
  <c r="G1136" i="1" l="1"/>
  <c r="E1137" i="1" s="1"/>
  <c r="F1136" i="1"/>
  <c r="C1137" i="1" l="1"/>
  <c r="D1137" i="1"/>
  <c r="B1137" i="1"/>
  <c r="C1128" i="3" s="1"/>
  <c r="O1137" i="1" l="1"/>
  <c r="D1128" i="3"/>
  <c r="L1137" i="1"/>
  <c r="I1137" i="1"/>
  <c r="K1137" i="1"/>
  <c r="N1137" i="1"/>
  <c r="H1137" i="1"/>
  <c r="P1137" i="1" l="1"/>
  <c r="M1137" i="1"/>
  <c r="J1137" i="1"/>
  <c r="F1137" i="1" l="1"/>
  <c r="B1138" i="1" s="1"/>
  <c r="C1129" i="3" s="1"/>
  <c r="G1137" i="1"/>
  <c r="C1138" i="1" s="1"/>
  <c r="D1129" i="3" s="1"/>
  <c r="D1138" i="1" l="1"/>
  <c r="E1138" i="1"/>
  <c r="L1138" i="1"/>
  <c r="O1138" i="1"/>
  <c r="I1138" i="1"/>
  <c r="H1138" i="1"/>
  <c r="K1138" i="1"/>
  <c r="M1138" i="1" s="1"/>
  <c r="N1138" i="1"/>
  <c r="J1138" i="1" l="1"/>
  <c r="P1138" i="1"/>
  <c r="G1138" i="1" l="1"/>
  <c r="E1139" i="1" s="1"/>
  <c r="F1138" i="1"/>
  <c r="C1139" i="1" l="1"/>
  <c r="B1139" i="1"/>
  <c r="C1130" i="3" s="1"/>
  <c r="D1139" i="1"/>
  <c r="I1139" i="1" l="1"/>
  <c r="D1130" i="3"/>
  <c r="O1139" i="1"/>
  <c r="L1139" i="1"/>
  <c r="K1139" i="1"/>
  <c r="N1139" i="1"/>
  <c r="H1139" i="1"/>
  <c r="M1139" i="1" l="1"/>
  <c r="P1139" i="1"/>
  <c r="J1139" i="1"/>
  <c r="G1139" i="1" l="1"/>
  <c r="E1140" i="1" s="1"/>
  <c r="F1139" i="1"/>
  <c r="C1140" i="1" l="1"/>
  <c r="D1140" i="1"/>
  <c r="B1140" i="1"/>
  <c r="C1131" i="3" s="1"/>
  <c r="L1140" i="1" l="1"/>
  <c r="D1131" i="3"/>
  <c r="I1140" i="1"/>
  <c r="O1140" i="1"/>
  <c r="N1140" i="1"/>
  <c r="K1140" i="1"/>
  <c r="H1140" i="1"/>
  <c r="M1140" i="1" l="1"/>
  <c r="P1140" i="1"/>
  <c r="J1140" i="1"/>
  <c r="G1140" i="1" l="1"/>
  <c r="C1141" i="1" s="1"/>
  <c r="D1132" i="3" s="1"/>
  <c r="F1140" i="1"/>
  <c r="D1141" i="1" s="1"/>
  <c r="E1141" i="1" l="1"/>
  <c r="B1141" i="1"/>
  <c r="O1141" i="1"/>
  <c r="I1141" i="1"/>
  <c r="L1141" i="1"/>
  <c r="K1141" i="1" l="1"/>
  <c r="M1141" i="1" s="1"/>
  <c r="C1132" i="3"/>
  <c r="H1141" i="1"/>
  <c r="J1141" i="1" s="1"/>
  <c r="N1141" i="1"/>
  <c r="P1141" i="1" s="1"/>
  <c r="F1141" i="1" l="1"/>
  <c r="D1142" i="1" s="1"/>
  <c r="G1141" i="1"/>
  <c r="B1142" i="1" l="1"/>
  <c r="E1142" i="1"/>
  <c r="C1142" i="1"/>
  <c r="D1133" i="3" s="1"/>
  <c r="N1142" i="1" l="1"/>
  <c r="C1133" i="3"/>
  <c r="K1142" i="1"/>
  <c r="H1142" i="1"/>
  <c r="L1142" i="1"/>
  <c r="O1142" i="1"/>
  <c r="I1142" i="1"/>
  <c r="P1142" i="1" l="1"/>
  <c r="M1142" i="1"/>
  <c r="J1142" i="1"/>
  <c r="F1142" i="1" l="1"/>
  <c r="B1143" i="1" s="1"/>
  <c r="C1134" i="3" s="1"/>
  <c r="G1142" i="1"/>
  <c r="D1143" i="1" l="1"/>
  <c r="E1143" i="1"/>
  <c r="C1143" i="1"/>
  <c r="D1134" i="3" s="1"/>
  <c r="H1143" i="1"/>
  <c r="K1143" i="1"/>
  <c r="N1143" i="1"/>
  <c r="O1143" i="1" l="1"/>
  <c r="P1143" i="1" s="1"/>
  <c r="I1143" i="1"/>
  <c r="J1143" i="1" s="1"/>
  <c r="L1143" i="1"/>
  <c r="M1143" i="1" s="1"/>
  <c r="F1143" i="1" l="1"/>
  <c r="D1144" i="1" s="1"/>
  <c r="G1143" i="1"/>
  <c r="B1144" i="1" l="1"/>
  <c r="E1144" i="1"/>
  <c r="C1144" i="1"/>
  <c r="D1135" i="3" s="1"/>
  <c r="N1144" i="1" l="1"/>
  <c r="C1135" i="3"/>
  <c r="H1144" i="1"/>
  <c r="K1144" i="1"/>
  <c r="I1144" i="1"/>
  <c r="O1144" i="1"/>
  <c r="L1144" i="1"/>
  <c r="P1144" i="1" l="1"/>
  <c r="M1144" i="1"/>
  <c r="J1144" i="1"/>
  <c r="F1144" i="1" l="1"/>
  <c r="D1145" i="1" s="1"/>
  <c r="G1144" i="1"/>
  <c r="E1145" i="1" s="1"/>
  <c r="B1145" i="1" l="1"/>
  <c r="C1145" i="1"/>
  <c r="O1145" i="1" l="1"/>
  <c r="D1136" i="3"/>
  <c r="K1145" i="1"/>
  <c r="C1136" i="3"/>
  <c r="N1145" i="1"/>
  <c r="H1145" i="1"/>
  <c r="L1145" i="1"/>
  <c r="M1145" i="1" s="1"/>
  <c r="I1145" i="1"/>
  <c r="P1145" i="1" l="1"/>
  <c r="J1145" i="1"/>
  <c r="F1145" i="1" l="1"/>
  <c r="D1146" i="1" s="1"/>
  <c r="G1145" i="1"/>
  <c r="E1146" i="1" s="1"/>
  <c r="B1146" i="1" l="1"/>
  <c r="K1146" i="1" s="1"/>
  <c r="C1146" i="1"/>
  <c r="H1146" i="1" l="1"/>
  <c r="N1146" i="1"/>
  <c r="C1137" i="3"/>
  <c r="O1146" i="1"/>
  <c r="D1137" i="3"/>
  <c r="L1146" i="1"/>
  <c r="M1146" i="1" s="1"/>
  <c r="I1146" i="1"/>
  <c r="P1146" i="1" l="1"/>
  <c r="J1146" i="1"/>
  <c r="F1146" i="1" l="1"/>
  <c r="B1147" i="1" s="1"/>
  <c r="C1138" i="3" s="1"/>
  <c r="G1146" i="1"/>
  <c r="E1147" i="1" s="1"/>
  <c r="K1147" i="1" l="1"/>
  <c r="D1147" i="1"/>
  <c r="N1147" i="1"/>
  <c r="H1147" i="1"/>
  <c r="C1147" i="1"/>
  <c r="L1147" i="1" s="1"/>
  <c r="M1147" i="1" l="1"/>
  <c r="O1147" i="1"/>
  <c r="P1147" i="1" s="1"/>
  <c r="I1147" i="1"/>
  <c r="J1147" i="1" s="1"/>
  <c r="D1138" i="3"/>
  <c r="F1147" i="1" l="1"/>
  <c r="B1148" i="1" s="1"/>
  <c r="C1139" i="3" s="1"/>
  <c r="G1147" i="1"/>
  <c r="E1148" i="1" s="1"/>
  <c r="K1148" i="1" l="1"/>
  <c r="N1148" i="1"/>
  <c r="H1148" i="1"/>
  <c r="D1148" i="1"/>
  <c r="C1148" i="1"/>
  <c r="D1139" i="3" s="1"/>
  <c r="I1148" i="1" l="1"/>
  <c r="J1148" i="1" s="1"/>
  <c r="O1148" i="1"/>
  <c r="P1148" i="1" s="1"/>
  <c r="L1148" i="1"/>
  <c r="M1148" i="1" s="1"/>
  <c r="F1148" i="1" l="1"/>
  <c r="D1149" i="1" s="1"/>
  <c r="G1148" i="1"/>
  <c r="B1149" i="1" l="1"/>
  <c r="C1140" i="3" s="1"/>
  <c r="E1149" i="1"/>
  <c r="C1149" i="1"/>
  <c r="D1140" i="3" s="1"/>
  <c r="K1149" i="1" l="1"/>
  <c r="H1149" i="1"/>
  <c r="N1149" i="1"/>
  <c r="I1149" i="1"/>
  <c r="O1149" i="1"/>
  <c r="P1149" i="1" s="1"/>
  <c r="L1149" i="1"/>
  <c r="M1149" i="1" l="1"/>
  <c r="J1149" i="1"/>
  <c r="F1149" i="1" l="1"/>
  <c r="B1150" i="1" s="1"/>
  <c r="C1141" i="3" s="1"/>
  <c r="G1149" i="1"/>
  <c r="D1150" i="1" l="1"/>
  <c r="E1150" i="1"/>
  <c r="C1150" i="1"/>
  <c r="D1141" i="3" s="1"/>
  <c r="N1150" i="1"/>
  <c r="K1150" i="1"/>
  <c r="H1150" i="1"/>
  <c r="O1150" i="1" l="1"/>
  <c r="P1150" i="1" s="1"/>
  <c r="I1150" i="1"/>
  <c r="L1150" i="1"/>
  <c r="M1150" i="1" s="1"/>
  <c r="J1150" i="1" l="1"/>
  <c r="F1150" i="1" s="1"/>
  <c r="D1151" i="1" l="1"/>
  <c r="B1151" i="1"/>
  <c r="C1142" i="3" s="1"/>
  <c r="G1150" i="1"/>
  <c r="E1151" i="1" l="1"/>
  <c r="C1151" i="1"/>
  <c r="D1142" i="3" s="1"/>
  <c r="H1151" i="1"/>
  <c r="K1151" i="1"/>
  <c r="N1151" i="1"/>
  <c r="O1151" i="1" l="1"/>
  <c r="P1151" i="1" s="1"/>
  <c r="L1151" i="1"/>
  <c r="M1151" i="1" s="1"/>
  <c r="I1151" i="1"/>
  <c r="J1151" i="1" s="1"/>
  <c r="F1151" i="1" l="1"/>
  <c r="B1152" i="1" s="1"/>
  <c r="C1143" i="3" s="1"/>
  <c r="G1151" i="1"/>
  <c r="D1152" i="1" l="1"/>
  <c r="E1152" i="1"/>
  <c r="C1152" i="1"/>
  <c r="D1143" i="3" s="1"/>
  <c r="H1152" i="1"/>
  <c r="K1152" i="1"/>
  <c r="N1152" i="1"/>
  <c r="I1152" i="1" l="1"/>
  <c r="J1152" i="1" s="1"/>
  <c r="L1152" i="1"/>
  <c r="M1152" i="1" s="1"/>
  <c r="O1152" i="1"/>
  <c r="P1152" i="1" s="1"/>
  <c r="F1152" i="1" l="1"/>
  <c r="D1153" i="1" s="1"/>
  <c r="G1152" i="1"/>
  <c r="B1153" i="1" l="1"/>
  <c r="E1153" i="1"/>
  <c r="C1153" i="1"/>
  <c r="D1144" i="3" s="1"/>
  <c r="N1153" i="1" l="1"/>
  <c r="C1144" i="3"/>
  <c r="H1153" i="1"/>
  <c r="K1153" i="1"/>
  <c r="I1153" i="1"/>
  <c r="L1153" i="1"/>
  <c r="O1153" i="1"/>
  <c r="P1153" i="1" l="1"/>
  <c r="M1153" i="1"/>
  <c r="J1153" i="1"/>
  <c r="F1153" i="1" l="1"/>
  <c r="D1154" i="1" s="1"/>
  <c r="G1153" i="1"/>
  <c r="B1154" i="1" l="1"/>
  <c r="E1154" i="1"/>
  <c r="C1154" i="1"/>
  <c r="D1145" i="3" s="1"/>
  <c r="K1154" i="1" l="1"/>
  <c r="C1145" i="3"/>
  <c r="H1154" i="1"/>
  <c r="N1154" i="1"/>
  <c r="O1154" i="1"/>
  <c r="I1154" i="1"/>
  <c r="L1154" i="1"/>
  <c r="M1154" i="1" l="1"/>
  <c r="P1154" i="1"/>
  <c r="J1154" i="1"/>
  <c r="F1154" i="1" l="1"/>
  <c r="B1155" i="1" s="1"/>
  <c r="C1146" i="3" s="1"/>
  <c r="G1154" i="1"/>
  <c r="D1155" i="1" l="1"/>
  <c r="E1155" i="1"/>
  <c r="C1155" i="1"/>
  <c r="D1146" i="3" s="1"/>
  <c r="K1155" i="1"/>
  <c r="N1155" i="1"/>
  <c r="H1155" i="1"/>
  <c r="L1155" i="1" l="1"/>
  <c r="M1155" i="1" s="1"/>
  <c r="I1155" i="1"/>
  <c r="O1155" i="1"/>
  <c r="P1155" i="1" s="1"/>
  <c r="J1155" i="1" l="1"/>
  <c r="F1155" i="1" s="1"/>
  <c r="D1156" i="1" l="1"/>
  <c r="B1156" i="1"/>
  <c r="C1147" i="3" s="1"/>
  <c r="G1155" i="1"/>
  <c r="E1156" i="1" l="1"/>
  <c r="C1156" i="1"/>
  <c r="D1147" i="3" s="1"/>
  <c r="H1156" i="1"/>
  <c r="K1156" i="1"/>
  <c r="N1156" i="1"/>
  <c r="L1156" i="1" l="1"/>
  <c r="M1156" i="1" s="1"/>
  <c r="O1156" i="1"/>
  <c r="P1156" i="1" s="1"/>
  <c r="I1156" i="1"/>
  <c r="J1156" i="1" l="1"/>
  <c r="F1156" i="1" s="1"/>
  <c r="B1157" i="1" l="1"/>
  <c r="C1148" i="3" s="1"/>
  <c r="D1157" i="1"/>
  <c r="G1156" i="1"/>
  <c r="E1157" i="1" l="1"/>
  <c r="C1157" i="1"/>
  <c r="D1148" i="3" s="1"/>
  <c r="N1157" i="1"/>
  <c r="H1157" i="1"/>
  <c r="K1157" i="1"/>
  <c r="I1157" i="1" l="1"/>
  <c r="L1157" i="1"/>
  <c r="M1157" i="1" s="1"/>
  <c r="O1157" i="1"/>
  <c r="P1157" i="1" s="1"/>
  <c r="J1157" i="1" l="1"/>
  <c r="F1157" i="1" s="1"/>
  <c r="D1158" i="1" l="1"/>
  <c r="B1158" i="1"/>
  <c r="C1149" i="3" s="1"/>
  <c r="G1157" i="1"/>
  <c r="N1158" i="1" l="1"/>
  <c r="K1158" i="1"/>
  <c r="H1158" i="1"/>
  <c r="E1158" i="1"/>
  <c r="C1158" i="1"/>
  <c r="D1149" i="3" s="1"/>
  <c r="O1158" i="1" l="1"/>
  <c r="P1158" i="1" s="1"/>
  <c r="I1158" i="1"/>
  <c r="J1158" i="1" s="1"/>
  <c r="L1158" i="1"/>
  <c r="M1158" i="1" s="1"/>
  <c r="F1158" i="1" l="1"/>
  <c r="B1159" i="1" s="1"/>
  <c r="C1150" i="3" s="1"/>
  <c r="G1158" i="1"/>
  <c r="D1159" i="1" l="1"/>
  <c r="C1159" i="1"/>
  <c r="D1150" i="3" s="1"/>
  <c r="E1159" i="1"/>
  <c r="H1159" i="1"/>
  <c r="K1159" i="1"/>
  <c r="N1159" i="1"/>
  <c r="O1159" i="1" l="1"/>
  <c r="P1159" i="1" s="1"/>
  <c r="L1159" i="1"/>
  <c r="M1159" i="1" s="1"/>
  <c r="I1159" i="1"/>
  <c r="J1159" i="1" s="1"/>
  <c r="F1159" i="1" l="1"/>
  <c r="G1159" i="1"/>
  <c r="C1160" i="1" l="1"/>
  <c r="D1151" i="3" s="1"/>
  <c r="E1160" i="1"/>
  <c r="D1160" i="1"/>
  <c r="B1160" i="1"/>
  <c r="C1151" i="3" s="1"/>
  <c r="H1160" i="1" l="1"/>
  <c r="K1160" i="1"/>
  <c r="N1160" i="1"/>
  <c r="I1160" i="1"/>
  <c r="L1160" i="1"/>
  <c r="O1160" i="1"/>
  <c r="P1160" i="1" l="1"/>
  <c r="M1160" i="1"/>
  <c r="J1160" i="1"/>
  <c r="G1160" i="1" l="1"/>
  <c r="C1161" i="1" s="1"/>
  <c r="D1152" i="3" s="1"/>
  <c r="F1160" i="1"/>
  <c r="E1161" i="1" l="1"/>
  <c r="B1161" i="1"/>
  <c r="C1152" i="3" s="1"/>
  <c r="D1161" i="1"/>
  <c r="I1161" i="1"/>
  <c r="L1161" i="1"/>
  <c r="O1161" i="1"/>
  <c r="N1161" i="1" l="1"/>
  <c r="P1161" i="1" s="1"/>
  <c r="K1161" i="1"/>
  <c r="M1161" i="1" s="1"/>
  <c r="H1161" i="1"/>
  <c r="J1161" i="1" l="1"/>
  <c r="G1161" i="1" s="1"/>
  <c r="F1161" i="1" l="1"/>
  <c r="D1162" i="1" s="1"/>
  <c r="E1162" i="1"/>
  <c r="C1162" i="1"/>
  <c r="D1153" i="3" s="1"/>
  <c r="B1162" i="1" l="1"/>
  <c r="O1162" i="1"/>
  <c r="L1162" i="1"/>
  <c r="I1162" i="1"/>
  <c r="K1162" i="1" l="1"/>
  <c r="M1162" i="1" s="1"/>
  <c r="C1153" i="3"/>
  <c r="N1162" i="1"/>
  <c r="P1162" i="1" s="1"/>
  <c r="H1162" i="1"/>
  <c r="J1162" i="1" s="1"/>
  <c r="G1162" i="1" l="1"/>
  <c r="E1163" i="1" s="1"/>
  <c r="F1162" i="1"/>
  <c r="D1163" i="1" s="1"/>
  <c r="C1163" i="1" l="1"/>
  <c r="B1163" i="1"/>
  <c r="H1163" i="1" l="1"/>
  <c r="C1154" i="3"/>
  <c r="L1163" i="1"/>
  <c r="D1154" i="3"/>
  <c r="O1163" i="1"/>
  <c r="I1163" i="1"/>
  <c r="K1163" i="1"/>
  <c r="M1163" i="1" s="1"/>
  <c r="N1163" i="1"/>
  <c r="J1163" i="1" l="1"/>
  <c r="P1163" i="1"/>
  <c r="F1163" i="1" l="1"/>
  <c r="D1164" i="1" s="1"/>
  <c r="G1163" i="1"/>
  <c r="E1164" i="1" s="1"/>
  <c r="B1164" i="1" l="1"/>
  <c r="N1164" i="1" s="1"/>
  <c r="C1164" i="1"/>
  <c r="H1164" i="1" l="1"/>
  <c r="K1164" i="1"/>
  <c r="C1155" i="3"/>
  <c r="I1164" i="1"/>
  <c r="D1155" i="3"/>
  <c r="O1164" i="1"/>
  <c r="P1164" i="1" s="1"/>
  <c r="L1164" i="1"/>
  <c r="M1164" i="1" s="1"/>
  <c r="J1164" i="1" l="1"/>
  <c r="F1164" i="1" s="1"/>
  <c r="B1165" i="1" s="1"/>
  <c r="G1164" i="1" l="1"/>
  <c r="E1165" i="1" s="1"/>
  <c r="K1165" i="1"/>
  <c r="C1156" i="3"/>
  <c r="N1165" i="1"/>
  <c r="H1165" i="1"/>
  <c r="D1165" i="1"/>
  <c r="C1165" i="1" l="1"/>
  <c r="O1165" i="1" s="1"/>
  <c r="P1165" i="1" s="1"/>
  <c r="L1165" i="1" l="1"/>
  <c r="M1165" i="1" s="1"/>
  <c r="I1165" i="1"/>
  <c r="J1165" i="1" s="1"/>
  <c r="D1156" i="3"/>
  <c r="F1165" i="1" l="1"/>
  <c r="D1166" i="1" s="1"/>
  <c r="G1165" i="1"/>
  <c r="E1166" i="1" s="1"/>
  <c r="B1166" i="1" l="1"/>
  <c r="C1157" i="3" s="1"/>
  <c r="C1166" i="1"/>
  <c r="I1166" i="1" s="1"/>
  <c r="K1166" i="1" l="1"/>
  <c r="N1166" i="1"/>
  <c r="H1166" i="1"/>
  <c r="L1166" i="1"/>
  <c r="O1166" i="1"/>
  <c r="P1166" i="1" s="1"/>
  <c r="D1157" i="3"/>
  <c r="J1166" i="1"/>
  <c r="M1166" i="1" l="1"/>
  <c r="F1166" i="1" s="1"/>
  <c r="D1167" i="1" s="1"/>
  <c r="G1166" i="1" l="1"/>
  <c r="E1167" i="1" s="1"/>
  <c r="B1167" i="1"/>
  <c r="K1167" i="1" s="1"/>
  <c r="C1167" i="1" l="1"/>
  <c r="D1158" i="3" s="1"/>
  <c r="H1167" i="1"/>
  <c r="N1167" i="1"/>
  <c r="C1158" i="3"/>
  <c r="L1167" i="1" l="1"/>
  <c r="M1167" i="1" s="1"/>
  <c r="I1167" i="1"/>
  <c r="O1167" i="1"/>
  <c r="P1167" i="1" s="1"/>
  <c r="J1167" i="1"/>
  <c r="F1167" i="1" l="1"/>
  <c r="B1168" i="1" s="1"/>
  <c r="C1159" i="3" s="1"/>
  <c r="G1167" i="1"/>
  <c r="E1168" i="1" s="1"/>
  <c r="K1168" i="1" l="1"/>
  <c r="N1168" i="1"/>
  <c r="D1168" i="1"/>
  <c r="H1168" i="1"/>
  <c r="C1168" i="1"/>
  <c r="L1168" i="1" s="1"/>
  <c r="M1168" i="1" l="1"/>
  <c r="O1168" i="1"/>
  <c r="P1168" i="1" s="1"/>
  <c r="I1168" i="1"/>
  <c r="J1168" i="1" s="1"/>
  <c r="D1159" i="3"/>
  <c r="F1168" i="1" l="1"/>
  <c r="D1169" i="1" s="1"/>
  <c r="G1168" i="1"/>
  <c r="E1169" i="1" s="1"/>
  <c r="B1169" i="1" l="1"/>
  <c r="C1160" i="3" s="1"/>
  <c r="C1169" i="1"/>
  <c r="D1160" i="3" s="1"/>
  <c r="H1169" i="1" l="1"/>
  <c r="K1169" i="1"/>
  <c r="N1169" i="1"/>
  <c r="O1169" i="1"/>
  <c r="I1169" i="1"/>
  <c r="L1169" i="1"/>
  <c r="M1169" i="1"/>
  <c r="P1169" i="1" l="1"/>
  <c r="J1169" i="1"/>
  <c r="F1169" i="1" l="1"/>
  <c r="B1170" i="1" s="1"/>
  <c r="C1161" i="3" s="1"/>
  <c r="G1169" i="1"/>
  <c r="E1170" i="1" s="1"/>
  <c r="K1170" i="1" l="1"/>
  <c r="H1170" i="1"/>
  <c r="D1170" i="1"/>
  <c r="N1170" i="1"/>
  <c r="C1170" i="1"/>
  <c r="D1161" i="3" s="1"/>
  <c r="I1170" i="1" l="1"/>
  <c r="J1170" i="1" s="1"/>
  <c r="O1170" i="1"/>
  <c r="P1170" i="1" s="1"/>
  <c r="L1170" i="1"/>
  <c r="M1170" i="1" s="1"/>
  <c r="F1170" i="1" l="1"/>
  <c r="D1171" i="1" s="1"/>
  <c r="G1170" i="1"/>
  <c r="B1171" i="1" l="1"/>
  <c r="C1162" i="3" s="1"/>
  <c r="E1171" i="1"/>
  <c r="C1171" i="1"/>
  <c r="D1162" i="3" s="1"/>
  <c r="K1171" i="1" l="1"/>
  <c r="N1171" i="1"/>
  <c r="H1171" i="1"/>
  <c r="O1171" i="1"/>
  <c r="P1171" i="1" s="1"/>
  <c r="I1171" i="1"/>
  <c r="L1171" i="1"/>
  <c r="M1171" i="1" l="1"/>
  <c r="J1171" i="1"/>
  <c r="F1171" i="1" l="1"/>
  <c r="B1172" i="1" s="1"/>
  <c r="C1163" i="3" s="1"/>
  <c r="G1171" i="1"/>
  <c r="D1172" i="1" l="1"/>
  <c r="E1172" i="1"/>
  <c r="C1172" i="1"/>
  <c r="D1163" i="3" s="1"/>
  <c r="N1172" i="1"/>
  <c r="H1172" i="1"/>
  <c r="K1172" i="1"/>
  <c r="O1172" i="1" l="1"/>
  <c r="P1172" i="1" s="1"/>
  <c r="I1172" i="1"/>
  <c r="L1172" i="1"/>
  <c r="M1172" i="1" s="1"/>
  <c r="J1172" i="1" l="1"/>
  <c r="F1172" i="1" s="1"/>
  <c r="D1173" i="1" l="1"/>
  <c r="B1173" i="1"/>
  <c r="C1164" i="3" s="1"/>
  <c r="G1172" i="1"/>
  <c r="H1173" i="1" l="1"/>
  <c r="K1173" i="1"/>
  <c r="N1173" i="1"/>
  <c r="E1173" i="1"/>
  <c r="C1173" i="1"/>
  <c r="D1164" i="3" s="1"/>
  <c r="O1173" i="1" l="1"/>
  <c r="P1173" i="1" s="1"/>
  <c r="I1173" i="1"/>
  <c r="J1173" i="1" s="1"/>
  <c r="L1173" i="1"/>
  <c r="M1173" i="1" s="1"/>
  <c r="F1173" i="1" l="1"/>
  <c r="B1174" i="1" s="1"/>
  <c r="C1165" i="3" s="1"/>
  <c r="G1173" i="1"/>
  <c r="D1174" i="1" l="1"/>
  <c r="E1174" i="1"/>
  <c r="C1174" i="1"/>
  <c r="D1165" i="3" s="1"/>
  <c r="H1174" i="1"/>
  <c r="K1174" i="1"/>
  <c r="N1174" i="1"/>
  <c r="I1174" i="1" l="1"/>
  <c r="J1174" i="1" s="1"/>
  <c r="L1174" i="1"/>
  <c r="M1174" i="1" s="1"/>
  <c r="O1174" i="1"/>
  <c r="P1174" i="1" s="1"/>
  <c r="F1174" i="1" l="1"/>
  <c r="D1175" i="1" s="1"/>
  <c r="G1174" i="1"/>
  <c r="B1175" i="1" l="1"/>
  <c r="E1175" i="1"/>
  <c r="C1175" i="1"/>
  <c r="D1166" i="3" s="1"/>
  <c r="K1175" i="1" l="1"/>
  <c r="C1166" i="3"/>
  <c r="H1175" i="1"/>
  <c r="N1175" i="1"/>
  <c r="I1175" i="1"/>
  <c r="L1175" i="1"/>
  <c r="O1175" i="1"/>
  <c r="P1175" i="1" s="1"/>
  <c r="M1175" i="1" l="1"/>
  <c r="J1175" i="1"/>
  <c r="F1175" i="1" l="1"/>
  <c r="B1176" i="1" s="1"/>
  <c r="C1167" i="3" s="1"/>
  <c r="G1175" i="1"/>
  <c r="E1176" i="1" s="1"/>
  <c r="D1176" i="1" l="1"/>
  <c r="C1176" i="1"/>
  <c r="K1176" i="1"/>
  <c r="N1176" i="1"/>
  <c r="H1176" i="1"/>
  <c r="L1176" i="1" l="1"/>
  <c r="M1176" i="1" s="1"/>
  <c r="D1167" i="3"/>
  <c r="I1176" i="1"/>
  <c r="J1176" i="1" s="1"/>
  <c r="O1176" i="1"/>
  <c r="P1176" i="1" s="1"/>
  <c r="F1176" i="1" l="1"/>
  <c r="D1177" i="1" s="1"/>
  <c r="G1176" i="1"/>
  <c r="C1177" i="1" s="1"/>
  <c r="D1168" i="3" s="1"/>
  <c r="B1177" i="1" l="1"/>
  <c r="E1177" i="1"/>
  <c r="L1177" i="1"/>
  <c r="O1177" i="1"/>
  <c r="I1177" i="1"/>
  <c r="K1177" i="1" l="1"/>
  <c r="M1177" i="1" s="1"/>
  <c r="C1168" i="3"/>
  <c r="H1177" i="1"/>
  <c r="J1177" i="1" s="1"/>
  <c r="N1177" i="1"/>
  <c r="P1177" i="1" s="1"/>
  <c r="F1177" i="1" l="1"/>
  <c r="D1178" i="1" s="1"/>
  <c r="G1177" i="1"/>
  <c r="E1178" i="1" s="1"/>
  <c r="B1178" i="1" l="1"/>
  <c r="C1178" i="1"/>
  <c r="L1178" i="1" l="1"/>
  <c r="D1169" i="3"/>
  <c r="N1178" i="1"/>
  <c r="C1169" i="3"/>
  <c r="H1178" i="1"/>
  <c r="K1178" i="1"/>
  <c r="I1178" i="1"/>
  <c r="O1178" i="1"/>
  <c r="P1178" i="1" s="1"/>
  <c r="M1178" i="1" l="1"/>
  <c r="J1178" i="1"/>
  <c r="G1178" i="1" l="1"/>
  <c r="E1179" i="1" s="1"/>
  <c r="F1178" i="1"/>
  <c r="D1179" i="1" s="1"/>
  <c r="C1179" i="1" l="1"/>
  <c r="I1179" i="1" s="1"/>
  <c r="B1179" i="1"/>
  <c r="L1179" i="1" l="1"/>
  <c r="O1179" i="1"/>
  <c r="D1170" i="3"/>
  <c r="N1179" i="1"/>
  <c r="P1179" i="1" s="1"/>
  <c r="C1170" i="3"/>
  <c r="K1179" i="1"/>
  <c r="H1179" i="1"/>
  <c r="J1179" i="1" s="1"/>
  <c r="M1179" i="1" l="1"/>
  <c r="G1179" i="1" s="1"/>
  <c r="C1180" i="1" s="1"/>
  <c r="D1171" i="3" s="1"/>
  <c r="F1179" i="1" l="1"/>
  <c r="B1180" i="1" s="1"/>
  <c r="C1171" i="3" s="1"/>
  <c r="E1180" i="1"/>
  <c r="O1180" i="1"/>
  <c r="I1180" i="1"/>
  <c r="L1180" i="1"/>
  <c r="D1180" i="1" l="1"/>
  <c r="N1180" i="1"/>
  <c r="P1180" i="1" s="1"/>
  <c r="H1180" i="1"/>
  <c r="K1180" i="1"/>
  <c r="M1180" i="1" s="1"/>
  <c r="J1180" i="1" l="1"/>
  <c r="G1180" i="1" s="1"/>
  <c r="E1181" i="1" l="1"/>
  <c r="C1181" i="1"/>
  <c r="D1172" i="3" s="1"/>
  <c r="F1180" i="1"/>
  <c r="O1181" i="1" l="1"/>
  <c r="I1181" i="1"/>
  <c r="L1181" i="1"/>
  <c r="D1181" i="1"/>
  <c r="B1181" i="1"/>
  <c r="C1172" i="3" s="1"/>
  <c r="H1181" i="1" l="1"/>
  <c r="K1181" i="1"/>
  <c r="M1181" i="1" s="1"/>
  <c r="N1181" i="1"/>
  <c r="P1181" i="1" s="1"/>
  <c r="J1181" i="1" l="1"/>
  <c r="G1181" i="1" s="1"/>
  <c r="F1181" i="1" l="1"/>
  <c r="B1182" i="1" s="1"/>
  <c r="C1173" i="3" s="1"/>
  <c r="C1182" i="1"/>
  <c r="D1173" i="3" s="1"/>
  <c r="E1182" i="1"/>
  <c r="D1182" i="1" l="1"/>
  <c r="I1182" i="1"/>
  <c r="L1182" i="1"/>
  <c r="O1182" i="1"/>
  <c r="H1182" i="1"/>
  <c r="K1182" i="1"/>
  <c r="N1182" i="1"/>
  <c r="J1182" i="1" l="1"/>
  <c r="P1182" i="1"/>
  <c r="M1182" i="1"/>
  <c r="F1182" i="1" l="1"/>
  <c r="B1183" i="1" s="1"/>
  <c r="C1174" i="3" s="1"/>
  <c r="G1182" i="1"/>
  <c r="D1183" i="1" l="1"/>
  <c r="E1183" i="1"/>
  <c r="C1183" i="1"/>
  <c r="D1174" i="3" s="1"/>
  <c r="K1183" i="1"/>
  <c r="N1183" i="1"/>
  <c r="H1183" i="1"/>
  <c r="I1183" i="1" l="1"/>
  <c r="L1183" i="1"/>
  <c r="M1183" i="1" s="1"/>
  <c r="O1183" i="1"/>
  <c r="P1183" i="1" s="1"/>
  <c r="J1183" i="1" l="1"/>
  <c r="F1183" i="1" s="1"/>
  <c r="D1184" i="1" l="1"/>
  <c r="B1184" i="1"/>
  <c r="C1175" i="3" s="1"/>
  <c r="G1183" i="1"/>
  <c r="E1184" i="1" l="1"/>
  <c r="C1184" i="1"/>
  <c r="D1175" i="3" s="1"/>
  <c r="K1184" i="1"/>
  <c r="N1184" i="1"/>
  <c r="H1184" i="1"/>
  <c r="L1184" i="1" l="1"/>
  <c r="M1184" i="1" s="1"/>
  <c r="O1184" i="1"/>
  <c r="P1184" i="1" s="1"/>
  <c r="I1184" i="1"/>
  <c r="J1184" i="1" l="1"/>
  <c r="F1184" i="1" s="1"/>
  <c r="D1185" i="1" l="1"/>
  <c r="B1185" i="1"/>
  <c r="C1176" i="3" s="1"/>
  <c r="G1184" i="1"/>
  <c r="K1185" i="1" l="1"/>
  <c r="N1185" i="1"/>
  <c r="H1185" i="1"/>
  <c r="E1185" i="1"/>
  <c r="C1185" i="1"/>
  <c r="D1176" i="3" s="1"/>
  <c r="L1185" i="1" l="1"/>
  <c r="M1185" i="1" s="1"/>
  <c r="O1185" i="1"/>
  <c r="P1185" i="1" s="1"/>
  <c r="I1185" i="1"/>
  <c r="J1185" i="1" l="1"/>
  <c r="F1185" i="1" s="1"/>
  <c r="B1186" i="1" l="1"/>
  <c r="C1177" i="3" s="1"/>
  <c r="D1186" i="1"/>
  <c r="G1185" i="1"/>
  <c r="E1186" i="1" l="1"/>
  <c r="C1186" i="1"/>
  <c r="D1177" i="3" s="1"/>
  <c r="N1186" i="1"/>
  <c r="H1186" i="1"/>
  <c r="K1186" i="1"/>
  <c r="L1186" i="1" l="1"/>
  <c r="M1186" i="1" s="1"/>
  <c r="O1186" i="1"/>
  <c r="P1186" i="1" s="1"/>
  <c r="I1186" i="1"/>
  <c r="J1186" i="1" l="1"/>
  <c r="F1186" i="1" s="1"/>
  <c r="B1187" i="1" l="1"/>
  <c r="C1178" i="3" s="1"/>
  <c r="D1187" i="1"/>
  <c r="G1186" i="1"/>
  <c r="E1187" i="1" l="1"/>
  <c r="C1187" i="1"/>
  <c r="D1178" i="3" s="1"/>
  <c r="N1187" i="1"/>
  <c r="H1187" i="1"/>
  <c r="K1187" i="1"/>
  <c r="O1187" i="1" l="1"/>
  <c r="P1187" i="1" s="1"/>
  <c r="I1187" i="1"/>
  <c r="L1187" i="1"/>
  <c r="M1187" i="1" s="1"/>
  <c r="J1187" i="1" l="1"/>
  <c r="F1187" i="1" s="1"/>
  <c r="D1188" i="1" l="1"/>
  <c r="B1188" i="1"/>
  <c r="C1179" i="3" s="1"/>
  <c r="G1187" i="1"/>
  <c r="E1188" i="1" l="1"/>
  <c r="C1188" i="1"/>
  <c r="D1179" i="3" s="1"/>
  <c r="N1188" i="1"/>
  <c r="H1188" i="1"/>
  <c r="K1188" i="1"/>
  <c r="O1188" i="1" l="1"/>
  <c r="P1188" i="1" s="1"/>
  <c r="I1188" i="1"/>
  <c r="L1188" i="1"/>
  <c r="M1188" i="1" s="1"/>
  <c r="J1188" i="1" l="1"/>
  <c r="F1188" i="1" s="1"/>
  <c r="D1189" i="1" l="1"/>
  <c r="B1189" i="1"/>
  <c r="C1180" i="3" s="1"/>
  <c r="G1188" i="1"/>
  <c r="E1189" i="1" l="1"/>
  <c r="C1189" i="1"/>
  <c r="D1180" i="3" s="1"/>
  <c r="H1189" i="1"/>
  <c r="K1189" i="1"/>
  <c r="N1189" i="1"/>
  <c r="O1189" i="1" l="1"/>
  <c r="P1189" i="1" s="1"/>
  <c r="I1189" i="1"/>
  <c r="L1189" i="1"/>
  <c r="M1189" i="1" s="1"/>
  <c r="J1189" i="1" l="1"/>
  <c r="F1189" i="1" s="1"/>
  <c r="B1190" i="1" l="1"/>
  <c r="C1181" i="3" s="1"/>
  <c r="D1190" i="1"/>
  <c r="G1189" i="1"/>
  <c r="E1190" i="1" l="1"/>
  <c r="C1190" i="1"/>
  <c r="D1181" i="3" s="1"/>
  <c r="H1190" i="1"/>
  <c r="K1190" i="1"/>
  <c r="N1190" i="1"/>
  <c r="I1190" i="1" l="1"/>
  <c r="L1190" i="1"/>
  <c r="M1190" i="1" s="1"/>
  <c r="O1190" i="1"/>
  <c r="P1190" i="1" s="1"/>
  <c r="J1190" i="1" l="1"/>
  <c r="F1190" i="1" s="1"/>
  <c r="G1190" i="1" l="1"/>
  <c r="D1191" i="1"/>
  <c r="B1191" i="1"/>
  <c r="C1182" i="3" s="1"/>
  <c r="K1191" i="1" l="1"/>
  <c r="N1191" i="1"/>
  <c r="H1191" i="1"/>
  <c r="E1191" i="1"/>
  <c r="C1191" i="1"/>
  <c r="D1182" i="3" s="1"/>
  <c r="I1191" i="1" l="1"/>
  <c r="J1191" i="1" s="1"/>
  <c r="L1191" i="1"/>
  <c r="M1191" i="1" s="1"/>
  <c r="O1191" i="1"/>
  <c r="P1191" i="1" s="1"/>
  <c r="F1191" i="1" l="1"/>
  <c r="B1192" i="1" s="1"/>
  <c r="C1183" i="3" s="1"/>
  <c r="G1191" i="1"/>
  <c r="D1192" i="1" l="1"/>
  <c r="C1192" i="1"/>
  <c r="D1183" i="3" s="1"/>
  <c r="E1192" i="1"/>
  <c r="K1192" i="1"/>
  <c r="N1192" i="1"/>
  <c r="H1192" i="1"/>
  <c r="L1192" i="1" l="1"/>
  <c r="M1192" i="1" s="1"/>
  <c r="O1192" i="1"/>
  <c r="P1192" i="1" s="1"/>
  <c r="I1192" i="1"/>
  <c r="J1192" i="1" s="1"/>
  <c r="F1192" i="1" l="1"/>
  <c r="G1192" i="1"/>
  <c r="E1193" i="1" l="1"/>
  <c r="C1193" i="1"/>
  <c r="D1184" i="3" s="1"/>
  <c r="D1193" i="1"/>
  <c r="B1193" i="1"/>
  <c r="C1184" i="3" s="1"/>
  <c r="K1193" i="1" l="1"/>
  <c r="N1193" i="1"/>
  <c r="H1193" i="1"/>
  <c r="L1193" i="1"/>
  <c r="O1193" i="1"/>
  <c r="I1193" i="1"/>
  <c r="J1193" i="1" l="1"/>
  <c r="P1193" i="1"/>
  <c r="M1193" i="1"/>
  <c r="F1193" i="1" l="1"/>
  <c r="D1194" i="1" s="1"/>
  <c r="G1193" i="1"/>
  <c r="E1194" i="1" s="1"/>
  <c r="B1194" i="1" l="1"/>
  <c r="C1194" i="1"/>
  <c r="L1194" i="1" l="1"/>
  <c r="D1185" i="3"/>
  <c r="N1194" i="1"/>
  <c r="C1185" i="3"/>
  <c r="K1194" i="1"/>
  <c r="H1194" i="1"/>
  <c r="I1194" i="1"/>
  <c r="O1194" i="1"/>
  <c r="P1194" i="1" s="1"/>
  <c r="M1194" i="1" l="1"/>
  <c r="J1194" i="1"/>
  <c r="G1194" i="1" l="1"/>
  <c r="E1195" i="1" s="1"/>
  <c r="F1194" i="1"/>
  <c r="D1195" i="1" s="1"/>
  <c r="C1195" i="1" l="1"/>
  <c r="O1195" i="1" s="1"/>
  <c r="B1195" i="1"/>
  <c r="L1195" i="1" l="1"/>
  <c r="I1195" i="1"/>
  <c r="D1186" i="3"/>
  <c r="N1195" i="1"/>
  <c r="P1195" i="1" s="1"/>
  <c r="C1186" i="3"/>
  <c r="H1195" i="1"/>
  <c r="J1195" i="1" s="1"/>
  <c r="K1195" i="1"/>
  <c r="M1195" i="1" l="1"/>
  <c r="G1195" i="1" s="1"/>
  <c r="E1196" i="1" s="1"/>
  <c r="F1195" i="1" l="1"/>
  <c r="D1196" i="1" s="1"/>
  <c r="C1196" i="1"/>
  <c r="D1187" i="3" s="1"/>
  <c r="B1196" i="1" l="1"/>
  <c r="N1196" i="1" s="1"/>
  <c r="I1196" i="1"/>
  <c r="L1196" i="1"/>
  <c r="O1196" i="1"/>
  <c r="H1196" i="1" l="1"/>
  <c r="J1196" i="1" s="1"/>
  <c r="K1196" i="1"/>
  <c r="M1196" i="1" s="1"/>
  <c r="C1187" i="3"/>
  <c r="P1196" i="1"/>
  <c r="G1196" i="1" l="1"/>
  <c r="C1197" i="1" s="1"/>
  <c r="O1197" i="1" s="1"/>
  <c r="F1196" i="1"/>
  <c r="D1197" i="1" s="1"/>
  <c r="I1197" i="1" l="1"/>
  <c r="L1197" i="1"/>
  <c r="E1197" i="1"/>
  <c r="D1188" i="3"/>
  <c r="B1197" i="1"/>
  <c r="H1197" i="1" l="1"/>
  <c r="J1197" i="1" s="1"/>
  <c r="C1188" i="3"/>
  <c r="K1197" i="1"/>
  <c r="M1197" i="1" s="1"/>
  <c r="N1197" i="1"/>
  <c r="P1197" i="1" s="1"/>
  <c r="G1197" i="1" l="1"/>
  <c r="E1198" i="1" s="1"/>
  <c r="F1197" i="1"/>
  <c r="B1198" i="1" s="1"/>
  <c r="K1198" i="1" l="1"/>
  <c r="C1189" i="3"/>
  <c r="C1198" i="1"/>
  <c r="H1198" i="1"/>
  <c r="N1198" i="1"/>
  <c r="D1198" i="1"/>
  <c r="I1198" i="1" l="1"/>
  <c r="J1198" i="1" s="1"/>
  <c r="D1189" i="3"/>
  <c r="L1198" i="1"/>
  <c r="M1198" i="1" s="1"/>
  <c r="O1198" i="1"/>
  <c r="P1198" i="1" s="1"/>
  <c r="F1198" i="1" l="1"/>
  <c r="D1199" i="1" s="1"/>
  <c r="G1198" i="1"/>
  <c r="E1199" i="1" s="1"/>
  <c r="B1199" i="1" l="1"/>
  <c r="C1199" i="1"/>
  <c r="I1199" i="1" l="1"/>
  <c r="D1190" i="3"/>
  <c r="K1199" i="1"/>
  <c r="C1190" i="3"/>
  <c r="H1199" i="1"/>
  <c r="N1199" i="1"/>
  <c r="O1199" i="1"/>
  <c r="L1199" i="1"/>
  <c r="M1199" i="1" s="1"/>
  <c r="J1199" i="1" l="1"/>
  <c r="P1199" i="1"/>
  <c r="F1199" i="1" l="1"/>
  <c r="B1200" i="1" s="1"/>
  <c r="C1191" i="3" s="1"/>
  <c r="G1199" i="1"/>
  <c r="E1200" i="1" s="1"/>
  <c r="N1200" i="1" l="1"/>
  <c r="H1200" i="1"/>
  <c r="K1200" i="1"/>
  <c r="D1200" i="1"/>
  <c r="C1200" i="1"/>
  <c r="L1200" i="1" l="1"/>
  <c r="M1200" i="1" s="1"/>
  <c r="D1191" i="3"/>
  <c r="I1200" i="1"/>
  <c r="J1200" i="1" s="1"/>
  <c r="O1200" i="1"/>
  <c r="P1200" i="1" s="1"/>
  <c r="F1200" i="1" l="1"/>
  <c r="B1201" i="1" s="1"/>
  <c r="C1192" i="3" s="1"/>
  <c r="G1200" i="1"/>
  <c r="D1201" i="1" l="1"/>
  <c r="E1201" i="1"/>
  <c r="C1201" i="1"/>
  <c r="D1192" i="3" s="1"/>
  <c r="K1201" i="1"/>
  <c r="N1201" i="1"/>
  <c r="H1201" i="1"/>
  <c r="L1201" i="1" l="1"/>
  <c r="M1201" i="1" s="1"/>
  <c r="O1201" i="1"/>
  <c r="P1201" i="1" s="1"/>
  <c r="I1201" i="1"/>
  <c r="J1201" i="1" l="1"/>
  <c r="F1201" i="1" s="1"/>
  <c r="D1202" i="1" l="1"/>
  <c r="B1202" i="1"/>
  <c r="C1193" i="3" s="1"/>
  <c r="G1201" i="1"/>
  <c r="E1202" i="1" l="1"/>
  <c r="C1202" i="1"/>
  <c r="D1193" i="3" s="1"/>
  <c r="N1202" i="1"/>
  <c r="H1202" i="1"/>
  <c r="K1202" i="1"/>
  <c r="L1202" i="1" l="1"/>
  <c r="M1202" i="1" s="1"/>
  <c r="O1202" i="1"/>
  <c r="P1202" i="1" s="1"/>
  <c r="I1202" i="1"/>
  <c r="J1202" i="1" l="1"/>
  <c r="F1202" i="1" s="1"/>
  <c r="B1203" i="1" l="1"/>
  <c r="C1194" i="3" s="1"/>
  <c r="D1203" i="1"/>
  <c r="G1202" i="1"/>
  <c r="E1203" i="1" l="1"/>
  <c r="C1203" i="1"/>
  <c r="D1194" i="3" s="1"/>
  <c r="N1203" i="1"/>
  <c r="H1203" i="1"/>
  <c r="K1203" i="1"/>
  <c r="O1203" i="1" l="1"/>
  <c r="P1203" i="1" s="1"/>
  <c r="I1203" i="1"/>
  <c r="L1203" i="1"/>
  <c r="M1203" i="1" s="1"/>
  <c r="J1203" i="1" l="1"/>
  <c r="F1203" i="1" s="1"/>
  <c r="B1204" i="1" l="1"/>
  <c r="C1195" i="3" s="1"/>
  <c r="D1204" i="1"/>
  <c r="G1203" i="1"/>
  <c r="E1204" i="1" l="1"/>
  <c r="C1204" i="1"/>
  <c r="D1195" i="3" s="1"/>
  <c r="N1204" i="1"/>
  <c r="H1204" i="1"/>
  <c r="K1204" i="1"/>
  <c r="O1204" i="1" l="1"/>
  <c r="P1204" i="1" s="1"/>
  <c r="I1204" i="1"/>
  <c r="L1204" i="1"/>
  <c r="M1204" i="1" s="1"/>
  <c r="J1204" i="1" l="1"/>
  <c r="F1204" i="1" s="1"/>
  <c r="D1205" i="1" l="1"/>
  <c r="B1205" i="1"/>
  <c r="C1196" i="3" s="1"/>
  <c r="G1204" i="1"/>
  <c r="E1205" i="1" l="1"/>
  <c r="C1205" i="1"/>
  <c r="D1196" i="3" s="1"/>
  <c r="H1205" i="1"/>
  <c r="K1205" i="1"/>
  <c r="N1205" i="1"/>
  <c r="O1205" i="1" l="1"/>
  <c r="P1205" i="1" s="1"/>
  <c r="I1205" i="1"/>
  <c r="L1205" i="1"/>
  <c r="M1205" i="1" s="1"/>
  <c r="J1205" i="1" l="1"/>
  <c r="F1205" i="1" s="1"/>
  <c r="B1206" i="1" l="1"/>
  <c r="C1197" i="3" s="1"/>
  <c r="D1206" i="1"/>
  <c r="G1205" i="1"/>
  <c r="E1206" i="1" l="1"/>
  <c r="C1206" i="1"/>
  <c r="D1197" i="3" s="1"/>
  <c r="H1206" i="1"/>
  <c r="K1206" i="1"/>
  <c r="N1206" i="1"/>
  <c r="I1206" i="1" l="1"/>
  <c r="L1206" i="1"/>
  <c r="M1206" i="1" s="1"/>
  <c r="O1206" i="1"/>
  <c r="P1206" i="1" s="1"/>
  <c r="J1206" i="1" l="1"/>
  <c r="F1206" i="1" s="1"/>
  <c r="D1207" i="1" l="1"/>
  <c r="B1207" i="1"/>
  <c r="C1198" i="3" s="1"/>
  <c r="G1206" i="1"/>
  <c r="E1207" i="1" l="1"/>
  <c r="C1207" i="1"/>
  <c r="D1198" i="3" s="1"/>
  <c r="K1207" i="1"/>
  <c r="N1207" i="1"/>
  <c r="H1207" i="1"/>
  <c r="I1207" i="1" l="1"/>
  <c r="L1207" i="1"/>
  <c r="M1207" i="1" s="1"/>
  <c r="O1207" i="1"/>
  <c r="P1207" i="1" s="1"/>
  <c r="J1207" i="1" l="1"/>
  <c r="F1207" i="1" s="1"/>
  <c r="B1208" i="1" l="1"/>
  <c r="C1199" i="3" s="1"/>
  <c r="D1208" i="1"/>
  <c r="G1207" i="1"/>
  <c r="E1208" i="1" l="1"/>
  <c r="C1208" i="1"/>
  <c r="D1199" i="3" s="1"/>
  <c r="K1208" i="1"/>
  <c r="N1208" i="1"/>
  <c r="H1208" i="1"/>
  <c r="L1208" i="1" l="1"/>
  <c r="M1208" i="1" s="1"/>
  <c r="O1208" i="1"/>
  <c r="P1208" i="1" s="1"/>
  <c r="I1208" i="1"/>
  <c r="J1208" i="1" l="1"/>
  <c r="F1208" i="1" s="1"/>
  <c r="D1209" i="1" l="1"/>
  <c r="B1209" i="1"/>
  <c r="C1200" i="3" s="1"/>
  <c r="G1208" i="1"/>
  <c r="E1209" i="1" l="1"/>
  <c r="C1209" i="1"/>
  <c r="D1200" i="3" s="1"/>
  <c r="K1209" i="1"/>
  <c r="N1209" i="1"/>
  <c r="H1209" i="1"/>
  <c r="L1209" i="1" l="1"/>
  <c r="M1209" i="1" s="1"/>
  <c r="O1209" i="1"/>
  <c r="P1209" i="1" s="1"/>
  <c r="I1209" i="1"/>
  <c r="J1209" i="1" l="1"/>
  <c r="F1209" i="1" s="1"/>
  <c r="B1210" i="1" l="1"/>
  <c r="C1201" i="3" s="1"/>
  <c r="D1210" i="1"/>
  <c r="G1209" i="1"/>
  <c r="E1210" i="1" l="1"/>
  <c r="C1210" i="1"/>
  <c r="D1201" i="3" s="1"/>
  <c r="N1210" i="1"/>
  <c r="H1210" i="1"/>
  <c r="K1210" i="1"/>
  <c r="L1210" i="1" l="1"/>
  <c r="M1210" i="1" s="1"/>
  <c r="O1210" i="1"/>
  <c r="P1210" i="1" s="1"/>
  <c r="I1210" i="1"/>
  <c r="J1210" i="1" l="1"/>
  <c r="F1210" i="1" s="1"/>
  <c r="B1211" i="1" l="1"/>
  <c r="C1202" i="3" s="1"/>
  <c r="D1211" i="1"/>
  <c r="G1210" i="1"/>
  <c r="E1211" i="1" l="1"/>
  <c r="C1211" i="1"/>
  <c r="D1202" i="3" s="1"/>
  <c r="N1211" i="1"/>
  <c r="H1211" i="1"/>
  <c r="K1211" i="1"/>
  <c r="O1211" i="1" l="1"/>
  <c r="P1211" i="1" s="1"/>
  <c r="I1211" i="1"/>
  <c r="L1211" i="1"/>
  <c r="M1211" i="1" s="1"/>
  <c r="J1211" i="1" l="1"/>
  <c r="F1211" i="1" s="1"/>
  <c r="B1212" i="1" l="1"/>
  <c r="C1203" i="3" s="1"/>
  <c r="D1212" i="1"/>
  <c r="G1211" i="1"/>
  <c r="E1212" i="1" l="1"/>
  <c r="C1212" i="1"/>
  <c r="D1203" i="3" s="1"/>
  <c r="N1212" i="1"/>
  <c r="H1212" i="1"/>
  <c r="K1212" i="1"/>
  <c r="O1212" i="1" l="1"/>
  <c r="P1212" i="1" s="1"/>
  <c r="I1212" i="1"/>
  <c r="L1212" i="1"/>
  <c r="M1212" i="1" s="1"/>
  <c r="J1212" i="1" l="1"/>
  <c r="F1212" i="1" s="1"/>
  <c r="B1213" i="1" l="1"/>
  <c r="C1204" i="3" s="1"/>
  <c r="D1213" i="1"/>
  <c r="G1212" i="1"/>
  <c r="E1213" i="1" l="1"/>
  <c r="C1213" i="1"/>
  <c r="D1204" i="3" s="1"/>
  <c r="H1213" i="1"/>
  <c r="K1213" i="1"/>
  <c r="N1213" i="1"/>
  <c r="O1213" i="1" l="1"/>
  <c r="P1213" i="1" s="1"/>
  <c r="I1213" i="1"/>
  <c r="L1213" i="1"/>
  <c r="M1213" i="1" s="1"/>
  <c r="J1213" i="1" l="1"/>
  <c r="F1213" i="1" s="1"/>
  <c r="B1214" i="1" l="1"/>
  <c r="C1205" i="3" s="1"/>
  <c r="D1214" i="1"/>
  <c r="G1213" i="1"/>
  <c r="E1214" i="1" l="1"/>
  <c r="C1214" i="1"/>
  <c r="D1205" i="3" s="1"/>
  <c r="H1214" i="1"/>
  <c r="K1214" i="1"/>
  <c r="N1214" i="1"/>
  <c r="I1214" i="1" l="1"/>
  <c r="L1214" i="1"/>
  <c r="M1214" i="1" s="1"/>
  <c r="O1214" i="1"/>
  <c r="P1214" i="1" s="1"/>
  <c r="J1214" i="1" l="1"/>
  <c r="F1214" i="1" s="1"/>
  <c r="B1215" i="1" l="1"/>
  <c r="C1206" i="3" s="1"/>
  <c r="D1215" i="1"/>
  <c r="G1214" i="1"/>
  <c r="E1215" i="1" l="1"/>
  <c r="C1215" i="1"/>
  <c r="D1206" i="3" s="1"/>
  <c r="K1215" i="1"/>
  <c r="N1215" i="1"/>
  <c r="H1215" i="1"/>
  <c r="I1215" i="1" l="1"/>
  <c r="L1215" i="1"/>
  <c r="M1215" i="1" s="1"/>
  <c r="O1215" i="1"/>
  <c r="P1215" i="1" s="1"/>
  <c r="J1215" i="1" l="1"/>
  <c r="F1215" i="1" s="1"/>
  <c r="B1216" i="1" l="1"/>
  <c r="C1207" i="3" s="1"/>
  <c r="D1216" i="1"/>
  <c r="G1215" i="1"/>
  <c r="E1216" i="1" l="1"/>
  <c r="C1216" i="1"/>
  <c r="D1207" i="3" s="1"/>
  <c r="K1216" i="1"/>
  <c r="N1216" i="1"/>
  <c r="H1216" i="1"/>
  <c r="L1216" i="1" l="1"/>
  <c r="M1216" i="1" s="1"/>
  <c r="O1216" i="1"/>
  <c r="P1216" i="1" s="1"/>
  <c r="I1216" i="1"/>
  <c r="J1216" i="1" l="1"/>
  <c r="F1216" i="1" s="1"/>
  <c r="D1217" i="1" l="1"/>
  <c r="B1217" i="1"/>
  <c r="C1208" i="3" s="1"/>
  <c r="G1216" i="1"/>
  <c r="E1217" i="1" l="1"/>
  <c r="C1217" i="1"/>
  <c r="D1208" i="3" s="1"/>
  <c r="K1217" i="1"/>
  <c r="N1217" i="1"/>
  <c r="H1217" i="1"/>
  <c r="L1217" i="1" l="1"/>
  <c r="M1217" i="1" s="1"/>
  <c r="O1217" i="1"/>
  <c r="P1217" i="1" s="1"/>
  <c r="I1217" i="1"/>
  <c r="J1217" i="1" l="1"/>
  <c r="F1217" i="1" s="1"/>
  <c r="B1218" i="1" l="1"/>
  <c r="C1209" i="3" s="1"/>
  <c r="D1218" i="1"/>
  <c r="G1217" i="1"/>
  <c r="E1218" i="1" l="1"/>
  <c r="C1218" i="1"/>
  <c r="D1209" i="3" s="1"/>
  <c r="N1218" i="1"/>
  <c r="H1218" i="1"/>
  <c r="K1218" i="1"/>
  <c r="L1218" i="1" l="1"/>
  <c r="M1218" i="1" s="1"/>
  <c r="O1218" i="1"/>
  <c r="P1218" i="1" s="1"/>
  <c r="I1218" i="1"/>
  <c r="J1218" i="1" l="1"/>
  <c r="F1218" i="1" s="1"/>
  <c r="B1219" i="1" l="1"/>
  <c r="C1210" i="3" s="1"/>
  <c r="D1219" i="1"/>
  <c r="G1218" i="1"/>
  <c r="E1219" i="1" l="1"/>
  <c r="C1219" i="1"/>
  <c r="D1210" i="3" s="1"/>
  <c r="N1219" i="1"/>
  <c r="H1219" i="1"/>
  <c r="K1219" i="1"/>
  <c r="O1219" i="1" l="1"/>
  <c r="P1219" i="1" s="1"/>
  <c r="I1219" i="1"/>
  <c r="L1219" i="1"/>
  <c r="M1219" i="1" s="1"/>
  <c r="J1219" i="1" l="1"/>
  <c r="F1219" i="1" s="1"/>
  <c r="D1220" i="1" l="1"/>
  <c r="B1220" i="1"/>
  <c r="C1211" i="3" s="1"/>
  <c r="G1219" i="1"/>
  <c r="E1220" i="1" l="1"/>
  <c r="C1220" i="1"/>
  <c r="D1211" i="3" s="1"/>
  <c r="N1220" i="1"/>
  <c r="H1220" i="1"/>
  <c r="K1220" i="1"/>
  <c r="O1220" i="1" l="1"/>
  <c r="P1220" i="1" s="1"/>
  <c r="I1220" i="1"/>
  <c r="L1220" i="1"/>
  <c r="M1220" i="1" s="1"/>
  <c r="J1220" i="1" l="1"/>
  <c r="F1220" i="1" s="1"/>
  <c r="B1221" i="1" l="1"/>
  <c r="C1212" i="3" s="1"/>
  <c r="D1221" i="1"/>
  <c r="G1220" i="1"/>
  <c r="E1221" i="1" l="1"/>
  <c r="C1221" i="1"/>
  <c r="D1212" i="3" s="1"/>
  <c r="H1221" i="1"/>
  <c r="K1221" i="1"/>
  <c r="N1221" i="1"/>
  <c r="O1221" i="1" l="1"/>
  <c r="P1221" i="1" s="1"/>
  <c r="I1221" i="1"/>
  <c r="L1221" i="1"/>
  <c r="M1221" i="1" s="1"/>
  <c r="J1221" i="1" l="1"/>
  <c r="F1221" i="1" s="1"/>
  <c r="B1222" i="1" l="1"/>
  <c r="C1213" i="3" s="1"/>
  <c r="D1222" i="1"/>
  <c r="G1221" i="1"/>
  <c r="E1222" i="1" l="1"/>
  <c r="C1222" i="1"/>
  <c r="D1213" i="3" s="1"/>
  <c r="H1222" i="1"/>
  <c r="K1222" i="1"/>
  <c r="N1222" i="1"/>
  <c r="I1222" i="1" l="1"/>
  <c r="L1222" i="1"/>
  <c r="M1222" i="1" s="1"/>
  <c r="O1222" i="1"/>
  <c r="P1222" i="1" s="1"/>
  <c r="J1222" i="1" l="1"/>
  <c r="F1222" i="1" s="1"/>
  <c r="B1223" i="1" l="1"/>
  <c r="C1214" i="3" s="1"/>
  <c r="D1223" i="1"/>
  <c r="G1222" i="1"/>
  <c r="E1223" i="1" l="1"/>
  <c r="C1223" i="1"/>
  <c r="D1214" i="3" s="1"/>
  <c r="K1223" i="1"/>
  <c r="N1223" i="1"/>
  <c r="H1223" i="1"/>
  <c r="I1223" i="1" l="1"/>
  <c r="L1223" i="1"/>
  <c r="M1223" i="1" s="1"/>
  <c r="O1223" i="1"/>
  <c r="P1223" i="1" s="1"/>
  <c r="J1223" i="1" l="1"/>
  <c r="F1223" i="1" s="1"/>
  <c r="B1224" i="1" l="1"/>
  <c r="C1215" i="3" s="1"/>
  <c r="D1224" i="1"/>
  <c r="G1223" i="1"/>
  <c r="E1224" i="1" l="1"/>
  <c r="C1224" i="1"/>
  <c r="D1215" i="3" s="1"/>
  <c r="K1224" i="1"/>
  <c r="N1224" i="1"/>
  <c r="H1224" i="1"/>
  <c r="L1224" i="1" l="1"/>
  <c r="M1224" i="1" s="1"/>
  <c r="O1224" i="1"/>
  <c r="P1224" i="1" s="1"/>
  <c r="I1224" i="1"/>
  <c r="J1224" i="1" l="1"/>
  <c r="F1224" i="1" s="1"/>
  <c r="D1225" i="1" l="1"/>
  <c r="B1225" i="1"/>
  <c r="C1216" i="3" s="1"/>
  <c r="G1224" i="1"/>
  <c r="E1225" i="1" l="1"/>
  <c r="C1225" i="1"/>
  <c r="D1216" i="3" s="1"/>
  <c r="K1225" i="1"/>
  <c r="N1225" i="1"/>
  <c r="H1225" i="1"/>
  <c r="L1225" i="1" l="1"/>
  <c r="M1225" i="1" s="1"/>
  <c r="O1225" i="1"/>
  <c r="P1225" i="1" s="1"/>
  <c r="I1225" i="1"/>
  <c r="J1225" i="1" l="1"/>
  <c r="F1225" i="1" s="1"/>
  <c r="B1226" i="1" l="1"/>
  <c r="C1217" i="3" s="1"/>
  <c r="D1226" i="1"/>
  <c r="G1225" i="1"/>
  <c r="E1226" i="1" l="1"/>
  <c r="C1226" i="1"/>
  <c r="D1217" i="3" s="1"/>
  <c r="N1226" i="1"/>
  <c r="H1226" i="1"/>
  <c r="K1226" i="1"/>
  <c r="L1226" i="1" l="1"/>
  <c r="M1226" i="1" s="1"/>
  <c r="O1226" i="1"/>
  <c r="P1226" i="1" s="1"/>
  <c r="I1226" i="1"/>
  <c r="J1226" i="1" l="1"/>
  <c r="F1226" i="1" s="1"/>
  <c r="D1227" i="1" l="1"/>
  <c r="B1227" i="1"/>
  <c r="C1218" i="3" s="1"/>
  <c r="G1226" i="1"/>
  <c r="E1227" i="1" l="1"/>
  <c r="C1227" i="1"/>
  <c r="D1218" i="3" s="1"/>
  <c r="N1227" i="1"/>
  <c r="H1227" i="1"/>
  <c r="K1227" i="1"/>
  <c r="O1227" i="1" l="1"/>
  <c r="P1227" i="1" s="1"/>
  <c r="I1227" i="1"/>
  <c r="L1227" i="1"/>
  <c r="M1227" i="1" s="1"/>
  <c r="J1227" i="1" l="1"/>
  <c r="F1227" i="1" s="1"/>
  <c r="D1228" i="1" l="1"/>
  <c r="B1228" i="1"/>
  <c r="C1219" i="3" s="1"/>
  <c r="G1227" i="1"/>
  <c r="E1228" i="1" l="1"/>
  <c r="C1228" i="1"/>
  <c r="D1219" i="3" s="1"/>
  <c r="N1228" i="1"/>
  <c r="H1228" i="1"/>
  <c r="K1228" i="1"/>
  <c r="O1228" i="1" l="1"/>
  <c r="P1228" i="1" s="1"/>
  <c r="I1228" i="1"/>
  <c r="L1228" i="1"/>
  <c r="M1228" i="1" s="1"/>
  <c r="J1228" i="1" l="1"/>
  <c r="F1228" i="1" s="1"/>
  <c r="D1229" i="1" l="1"/>
  <c r="B1229" i="1"/>
  <c r="C1220" i="3" s="1"/>
  <c r="G1228" i="1"/>
  <c r="E1229" i="1" l="1"/>
  <c r="C1229" i="1"/>
  <c r="D1220" i="3" s="1"/>
  <c r="H1229" i="1"/>
  <c r="K1229" i="1"/>
  <c r="N1229" i="1"/>
  <c r="O1229" i="1" l="1"/>
  <c r="P1229" i="1" s="1"/>
  <c r="I1229" i="1"/>
  <c r="L1229" i="1"/>
  <c r="M1229" i="1" s="1"/>
  <c r="J1229" i="1" l="1"/>
  <c r="F1229" i="1" s="1"/>
  <c r="B1230" i="1" l="1"/>
  <c r="C1221" i="3" s="1"/>
  <c r="D1230" i="1"/>
  <c r="G1229" i="1"/>
  <c r="E1230" i="1" l="1"/>
  <c r="C1230" i="1"/>
  <c r="D1221" i="3" s="1"/>
  <c r="H1230" i="1"/>
  <c r="K1230" i="1"/>
  <c r="N1230" i="1"/>
  <c r="I1230" i="1" l="1"/>
  <c r="L1230" i="1"/>
  <c r="M1230" i="1" s="1"/>
  <c r="O1230" i="1"/>
  <c r="P1230" i="1" s="1"/>
  <c r="J1230" i="1" l="1"/>
  <c r="F1230" i="1" s="1"/>
  <c r="B1231" i="1" l="1"/>
  <c r="C1222" i="3" s="1"/>
  <c r="D1231" i="1"/>
  <c r="G1230" i="1"/>
  <c r="E1231" i="1" l="1"/>
  <c r="C1231" i="1"/>
  <c r="D1222" i="3" s="1"/>
  <c r="K1231" i="1"/>
  <c r="N1231" i="1"/>
  <c r="H1231" i="1"/>
  <c r="I1231" i="1" l="1"/>
  <c r="L1231" i="1"/>
  <c r="M1231" i="1" s="1"/>
  <c r="O1231" i="1"/>
  <c r="P1231" i="1" s="1"/>
  <c r="J1231" i="1" l="1"/>
  <c r="F1231" i="1" s="1"/>
  <c r="B1232" i="1" l="1"/>
  <c r="C1223" i="3" s="1"/>
  <c r="D1232" i="1"/>
  <c r="G1231" i="1"/>
  <c r="E1232" i="1" l="1"/>
  <c r="C1232" i="1"/>
  <c r="D1223" i="3" s="1"/>
  <c r="K1232" i="1"/>
  <c r="N1232" i="1"/>
  <c r="H1232" i="1"/>
  <c r="L1232" i="1" l="1"/>
  <c r="M1232" i="1" s="1"/>
  <c r="O1232" i="1"/>
  <c r="P1232" i="1" s="1"/>
  <c r="I1232" i="1"/>
  <c r="J1232" i="1" l="1"/>
  <c r="F1232" i="1" s="1"/>
  <c r="D1233" i="1" l="1"/>
  <c r="B1233" i="1"/>
  <c r="C1224" i="3" s="1"/>
  <c r="G1232" i="1"/>
  <c r="E1233" i="1" l="1"/>
  <c r="C1233" i="1"/>
  <c r="D1224" i="3" s="1"/>
  <c r="K1233" i="1"/>
  <c r="N1233" i="1"/>
  <c r="H1233" i="1"/>
  <c r="L1233" i="1" l="1"/>
  <c r="M1233" i="1" s="1"/>
  <c r="O1233" i="1"/>
  <c r="P1233" i="1" s="1"/>
  <c r="I1233" i="1"/>
  <c r="J1233" i="1" l="1"/>
  <c r="F1233" i="1" s="1"/>
  <c r="B1234" i="1" l="1"/>
  <c r="C1225" i="3" s="1"/>
  <c r="D1234" i="1"/>
  <c r="G1233" i="1"/>
  <c r="E1234" i="1" l="1"/>
  <c r="C1234" i="1"/>
  <c r="D1225" i="3" s="1"/>
  <c r="N1234" i="1"/>
  <c r="H1234" i="1"/>
  <c r="K1234" i="1"/>
  <c r="L1234" i="1" l="1"/>
  <c r="M1234" i="1" s="1"/>
  <c r="O1234" i="1"/>
  <c r="P1234" i="1" s="1"/>
  <c r="I1234" i="1"/>
  <c r="J1234" i="1" l="1"/>
  <c r="F1234" i="1" s="1"/>
  <c r="D1235" i="1" l="1"/>
  <c r="B1235" i="1"/>
  <c r="C1226" i="3" s="1"/>
  <c r="G1234" i="1"/>
  <c r="E1235" i="1" l="1"/>
  <c r="C1235" i="1"/>
  <c r="D1226" i="3" s="1"/>
  <c r="N1235" i="1"/>
  <c r="H1235" i="1"/>
  <c r="K1235" i="1"/>
  <c r="O1235" i="1" l="1"/>
  <c r="P1235" i="1" s="1"/>
  <c r="I1235" i="1"/>
  <c r="L1235" i="1"/>
  <c r="M1235" i="1" s="1"/>
  <c r="J1235" i="1" l="1"/>
  <c r="F1235" i="1" s="1"/>
  <c r="D1236" i="1" l="1"/>
  <c r="B1236" i="1"/>
  <c r="C1227" i="3" s="1"/>
  <c r="G1235" i="1"/>
  <c r="E1236" i="1" l="1"/>
  <c r="C1236" i="1"/>
  <c r="D1227" i="3" s="1"/>
  <c r="N1236" i="1"/>
  <c r="H1236" i="1"/>
  <c r="K1236" i="1"/>
  <c r="O1236" i="1" l="1"/>
  <c r="P1236" i="1" s="1"/>
  <c r="I1236" i="1"/>
  <c r="L1236" i="1"/>
  <c r="M1236" i="1" s="1"/>
  <c r="J1236" i="1" l="1"/>
  <c r="F1236" i="1" s="1"/>
  <c r="D1237" i="1" l="1"/>
  <c r="B1237" i="1"/>
  <c r="C1228" i="3" s="1"/>
  <c r="G1236" i="1"/>
  <c r="E1237" i="1" l="1"/>
  <c r="C1237" i="1"/>
  <c r="D1228" i="3" s="1"/>
  <c r="H1237" i="1"/>
  <c r="K1237" i="1"/>
  <c r="N1237" i="1"/>
  <c r="O1237" i="1" l="1"/>
  <c r="P1237" i="1" s="1"/>
  <c r="I1237" i="1"/>
  <c r="L1237" i="1"/>
  <c r="M1237" i="1" s="1"/>
  <c r="J1237" i="1" l="1"/>
  <c r="F1237" i="1" s="1"/>
  <c r="B1238" i="1" l="1"/>
  <c r="C1229" i="3" s="1"/>
  <c r="D1238" i="1"/>
  <c r="G1237" i="1"/>
  <c r="E1238" i="1" l="1"/>
  <c r="C1238" i="1"/>
  <c r="D1229" i="3" s="1"/>
  <c r="H1238" i="1"/>
  <c r="K1238" i="1"/>
  <c r="N1238" i="1"/>
  <c r="I1238" i="1" l="1"/>
  <c r="L1238" i="1"/>
  <c r="M1238" i="1" s="1"/>
  <c r="O1238" i="1"/>
  <c r="P1238" i="1" s="1"/>
  <c r="J1238" i="1" l="1"/>
  <c r="F1238" i="1" s="1"/>
  <c r="D1239" i="1" l="1"/>
  <c r="B1239" i="1"/>
  <c r="C1230" i="3" s="1"/>
  <c r="G1238" i="1"/>
  <c r="E1239" i="1" l="1"/>
  <c r="C1239" i="1"/>
  <c r="D1230" i="3" s="1"/>
  <c r="K1239" i="1"/>
  <c r="N1239" i="1"/>
  <c r="H1239" i="1"/>
  <c r="I1239" i="1" l="1"/>
  <c r="L1239" i="1"/>
  <c r="M1239" i="1" s="1"/>
  <c r="O1239" i="1"/>
  <c r="P1239" i="1" s="1"/>
  <c r="J1239" i="1" l="1"/>
  <c r="F1239" i="1" s="1"/>
  <c r="B1240" i="1" l="1"/>
  <c r="C1231" i="3" s="1"/>
  <c r="D1240" i="1"/>
  <c r="G1239" i="1"/>
  <c r="E1240" i="1" l="1"/>
  <c r="C1240" i="1"/>
  <c r="D1231" i="3" s="1"/>
  <c r="K1240" i="1"/>
  <c r="N1240" i="1"/>
  <c r="H1240" i="1"/>
  <c r="L1240" i="1" l="1"/>
  <c r="M1240" i="1" s="1"/>
  <c r="O1240" i="1"/>
  <c r="P1240" i="1" s="1"/>
  <c r="I1240" i="1"/>
  <c r="J1240" i="1" l="1"/>
  <c r="F1240" i="1" s="1"/>
  <c r="D1241" i="1" l="1"/>
  <c r="B1241" i="1"/>
  <c r="C1232" i="3" s="1"/>
  <c r="G1240" i="1"/>
  <c r="E1241" i="1" l="1"/>
  <c r="C1241" i="1"/>
  <c r="D1232" i="3" s="1"/>
  <c r="K1241" i="1"/>
  <c r="N1241" i="1"/>
  <c r="H1241" i="1"/>
  <c r="L1241" i="1" l="1"/>
  <c r="M1241" i="1" s="1"/>
  <c r="O1241" i="1"/>
  <c r="P1241" i="1" s="1"/>
  <c r="I1241" i="1"/>
  <c r="J1241" i="1" l="1"/>
  <c r="F1241" i="1" s="1"/>
  <c r="B1242" i="1" l="1"/>
  <c r="C1233" i="3" s="1"/>
  <c r="D1242" i="1"/>
  <c r="G1241" i="1"/>
  <c r="E1242" i="1" l="1"/>
  <c r="C1242" i="1"/>
  <c r="D1233" i="3" s="1"/>
  <c r="N1242" i="1"/>
  <c r="H1242" i="1"/>
  <c r="K1242" i="1"/>
  <c r="L1242" i="1" l="1"/>
  <c r="M1242" i="1" s="1"/>
  <c r="O1242" i="1"/>
  <c r="P1242" i="1" s="1"/>
  <c r="I1242" i="1"/>
  <c r="J1242" i="1" l="1"/>
  <c r="F1242" i="1" s="1"/>
  <c r="D1243" i="1" l="1"/>
  <c r="B1243" i="1"/>
  <c r="C1234" i="3" s="1"/>
  <c r="G1242" i="1"/>
  <c r="E1243" i="1" l="1"/>
  <c r="C1243" i="1"/>
  <c r="D1234" i="3" s="1"/>
  <c r="N1243" i="1"/>
  <c r="H1243" i="1"/>
  <c r="K1243" i="1"/>
  <c r="O1243" i="1" l="1"/>
  <c r="P1243" i="1" s="1"/>
  <c r="I1243" i="1"/>
  <c r="L1243" i="1"/>
  <c r="M1243" i="1" s="1"/>
  <c r="J1243" i="1" l="1"/>
  <c r="F1243" i="1" s="1"/>
  <c r="D1244" i="1" l="1"/>
  <c r="B1244" i="1"/>
  <c r="C1235" i="3" s="1"/>
  <c r="G1243" i="1"/>
  <c r="E1244" i="1" l="1"/>
  <c r="C1244" i="1"/>
  <c r="D1235" i="3" s="1"/>
  <c r="N1244" i="1"/>
  <c r="H1244" i="1"/>
  <c r="K1244" i="1"/>
  <c r="O1244" i="1" l="1"/>
  <c r="P1244" i="1" s="1"/>
  <c r="I1244" i="1"/>
  <c r="L1244" i="1"/>
  <c r="M1244" i="1" s="1"/>
  <c r="J1244" i="1" l="1"/>
  <c r="F1244" i="1" s="1"/>
  <c r="B1245" i="1" l="1"/>
  <c r="C1236" i="3" s="1"/>
  <c r="D1245" i="1"/>
  <c r="G1244" i="1"/>
  <c r="E1245" i="1" l="1"/>
  <c r="C1245" i="1"/>
  <c r="D1236" i="3" s="1"/>
  <c r="H1245" i="1"/>
  <c r="K1245" i="1"/>
  <c r="N1245" i="1"/>
  <c r="O1245" i="1" l="1"/>
  <c r="P1245" i="1" s="1"/>
  <c r="I1245" i="1"/>
  <c r="L1245" i="1"/>
  <c r="M1245" i="1" s="1"/>
  <c r="J1245" i="1" l="1"/>
  <c r="F1245" i="1" s="1"/>
  <c r="D1246" i="1" l="1"/>
  <c r="B1246" i="1"/>
  <c r="C1237" i="3" s="1"/>
  <c r="G1245" i="1"/>
  <c r="E1246" i="1" l="1"/>
  <c r="C1246" i="1"/>
  <c r="D1237" i="3" s="1"/>
  <c r="H1246" i="1"/>
  <c r="K1246" i="1"/>
  <c r="N1246" i="1"/>
  <c r="I1246" i="1" l="1"/>
  <c r="L1246" i="1"/>
  <c r="M1246" i="1" s="1"/>
  <c r="O1246" i="1"/>
  <c r="P1246" i="1" s="1"/>
  <c r="J1246" i="1" l="1"/>
  <c r="F1246" i="1" s="1"/>
  <c r="B1247" i="1" l="1"/>
  <c r="C1238" i="3" s="1"/>
  <c r="D1247" i="1"/>
  <c r="G1246" i="1"/>
  <c r="E1247" i="1" l="1"/>
  <c r="C1247" i="1"/>
  <c r="D1238" i="3" s="1"/>
  <c r="K1247" i="1"/>
  <c r="N1247" i="1"/>
  <c r="H1247" i="1"/>
  <c r="I1247" i="1" l="1"/>
  <c r="L1247" i="1"/>
  <c r="M1247" i="1" s="1"/>
  <c r="O1247" i="1"/>
  <c r="P1247" i="1" s="1"/>
  <c r="J1247" i="1" l="1"/>
  <c r="F1247" i="1" s="1"/>
  <c r="B1248" i="1" l="1"/>
  <c r="C1239" i="3" s="1"/>
  <c r="D1248" i="1"/>
  <c r="G1247" i="1"/>
  <c r="E1248" i="1" l="1"/>
  <c r="C1248" i="1"/>
  <c r="D1239" i="3" s="1"/>
  <c r="K1248" i="1"/>
  <c r="N1248" i="1"/>
  <c r="H1248" i="1"/>
  <c r="L1248" i="1" l="1"/>
  <c r="M1248" i="1" s="1"/>
  <c r="O1248" i="1"/>
  <c r="P1248" i="1" s="1"/>
  <c r="I1248" i="1"/>
  <c r="J1248" i="1" l="1"/>
  <c r="F1248" i="1" s="1"/>
  <c r="D1249" i="1" l="1"/>
  <c r="B1249" i="1"/>
  <c r="C1240" i="3" s="1"/>
  <c r="G1248" i="1"/>
  <c r="E1249" i="1" l="1"/>
  <c r="C1249" i="1"/>
  <c r="D1240" i="3" s="1"/>
  <c r="K1249" i="1"/>
  <c r="N1249" i="1"/>
  <c r="H1249" i="1"/>
  <c r="L1249" i="1" l="1"/>
  <c r="M1249" i="1" s="1"/>
  <c r="O1249" i="1"/>
  <c r="P1249" i="1" s="1"/>
  <c r="I1249" i="1"/>
  <c r="J1249" i="1" l="1"/>
  <c r="F1249" i="1" s="1"/>
  <c r="G1249" i="1" l="1"/>
  <c r="E1250" i="1" s="1"/>
  <c r="B1250" i="1"/>
  <c r="C1241" i="3" s="1"/>
  <c r="D1250" i="1"/>
  <c r="C1250" i="1" l="1"/>
  <c r="N1250" i="1"/>
  <c r="H1250" i="1"/>
  <c r="K1250" i="1"/>
  <c r="L1250" i="1" l="1"/>
  <c r="M1250" i="1" s="1"/>
  <c r="D1241" i="3"/>
  <c r="O1250" i="1"/>
  <c r="P1250" i="1" s="1"/>
  <c r="I1250" i="1"/>
  <c r="J1250" i="1" s="1"/>
  <c r="F1250" i="1" l="1"/>
  <c r="D1251" i="1" s="1"/>
  <c r="G1250" i="1"/>
  <c r="E1251" i="1" s="1"/>
  <c r="B1251" i="1" l="1"/>
  <c r="C1251" i="1"/>
  <c r="O1251" i="1" l="1"/>
  <c r="D1242" i="3"/>
  <c r="N1251" i="1"/>
  <c r="C1242" i="3"/>
  <c r="K1251" i="1"/>
  <c r="H1251" i="1"/>
  <c r="L1251" i="1"/>
  <c r="I1251" i="1"/>
  <c r="P1251" i="1" l="1"/>
  <c r="J1251" i="1"/>
  <c r="M1251" i="1"/>
  <c r="G1251" i="1" l="1"/>
  <c r="E1252" i="1" s="1"/>
  <c r="F1251" i="1"/>
  <c r="D1252" i="1" s="1"/>
  <c r="C1252" i="1" l="1"/>
  <c r="B1252" i="1"/>
  <c r="C1243" i="3" s="1"/>
  <c r="D1243" i="3" l="1"/>
  <c r="L1252" i="1"/>
  <c r="O1252" i="1"/>
  <c r="I1252" i="1"/>
  <c r="K1252" i="1"/>
  <c r="M1252" i="1" s="1"/>
  <c r="N1252" i="1"/>
  <c r="P1252" i="1" s="1"/>
  <c r="H1252" i="1"/>
  <c r="J1252" i="1" s="1"/>
  <c r="G1252" i="1" l="1"/>
  <c r="C1253" i="1" s="1"/>
  <c r="F1252" i="1"/>
  <c r="D1253" i="1" s="1"/>
  <c r="L1253" i="1" l="1"/>
  <c r="D1244" i="3"/>
  <c r="I1253" i="1"/>
  <c r="O1253" i="1"/>
  <c r="E1253" i="1"/>
  <c r="B1253" i="1"/>
  <c r="H1253" i="1" l="1"/>
  <c r="J1253" i="1" s="1"/>
  <c r="C1244" i="3"/>
  <c r="N1253" i="1"/>
  <c r="P1253" i="1" s="1"/>
  <c r="K1253" i="1"/>
  <c r="M1253" i="1" s="1"/>
  <c r="G1253" i="1" l="1"/>
  <c r="C1254" i="1" s="1"/>
  <c r="D1245" i="3" s="1"/>
  <c r="F1253" i="1"/>
  <c r="E1254" i="1" l="1"/>
  <c r="I1254" i="1"/>
  <c r="L1254" i="1"/>
  <c r="O1254" i="1"/>
  <c r="B1254" i="1"/>
  <c r="C1245" i="3" s="1"/>
  <c r="D1254" i="1"/>
  <c r="H1254" i="1" l="1"/>
  <c r="K1254" i="1"/>
  <c r="M1254" i="1" s="1"/>
  <c r="N1254" i="1"/>
  <c r="P1254" i="1" s="1"/>
  <c r="J1254" i="1" l="1"/>
  <c r="G1254" i="1" s="1"/>
  <c r="C1255" i="1" l="1"/>
  <c r="D1246" i="3" s="1"/>
  <c r="E1255" i="1"/>
  <c r="F1254" i="1"/>
  <c r="I1255" i="1" l="1"/>
  <c r="L1255" i="1"/>
  <c r="O1255" i="1"/>
  <c r="B1255" i="1"/>
  <c r="C1246" i="3" s="1"/>
  <c r="D1255" i="1"/>
  <c r="K1255" i="1" l="1"/>
  <c r="M1255" i="1" s="1"/>
  <c r="N1255" i="1"/>
  <c r="P1255" i="1" s="1"/>
  <c r="H1255" i="1"/>
  <c r="J1255" i="1" l="1"/>
  <c r="G1255" i="1" s="1"/>
  <c r="C1256" i="1" l="1"/>
  <c r="D1247" i="3" s="1"/>
  <c r="E1256" i="1"/>
  <c r="F1255" i="1"/>
  <c r="L1256" i="1" l="1"/>
  <c r="O1256" i="1"/>
  <c r="I1256" i="1"/>
  <c r="B1256" i="1"/>
  <c r="C1247" i="3" s="1"/>
  <c r="D1256" i="1"/>
  <c r="K1256" i="1" l="1"/>
  <c r="M1256" i="1" s="1"/>
  <c r="N1256" i="1"/>
  <c r="P1256" i="1" s="1"/>
  <c r="H1256" i="1"/>
  <c r="J1256" i="1" l="1"/>
  <c r="G1256" i="1" s="1"/>
  <c r="C1257" i="1" l="1"/>
  <c r="D1248" i="3" s="1"/>
  <c r="E1257" i="1"/>
  <c r="F1256" i="1"/>
  <c r="L1257" i="1" l="1"/>
  <c r="O1257" i="1"/>
  <c r="I1257" i="1"/>
  <c r="D1257" i="1"/>
  <c r="B1257" i="1"/>
  <c r="C1248" i="3" s="1"/>
  <c r="K1257" i="1" l="1"/>
  <c r="M1257" i="1" s="1"/>
  <c r="N1257" i="1"/>
  <c r="P1257" i="1" s="1"/>
  <c r="H1257" i="1"/>
  <c r="J1257" i="1" l="1"/>
  <c r="G1257" i="1" s="1"/>
  <c r="F1257" i="1" l="1"/>
  <c r="B1258" i="1" s="1"/>
  <c r="C1249" i="3" s="1"/>
  <c r="C1258" i="1"/>
  <c r="D1249" i="3" s="1"/>
  <c r="E1258" i="1"/>
  <c r="D1258" i="1" l="1"/>
  <c r="N1258" i="1"/>
  <c r="H1258" i="1"/>
  <c r="K1258" i="1"/>
  <c r="L1258" i="1"/>
  <c r="O1258" i="1"/>
  <c r="I1258" i="1"/>
  <c r="J1258" i="1" l="1"/>
  <c r="M1258" i="1"/>
  <c r="P1258" i="1"/>
  <c r="G1258" i="1" l="1"/>
  <c r="C1259" i="1" s="1"/>
  <c r="D1250" i="3" s="1"/>
  <c r="F1258" i="1"/>
  <c r="D1259" i="1" s="1"/>
  <c r="E1259" i="1" l="1"/>
  <c r="B1259" i="1"/>
  <c r="O1259" i="1"/>
  <c r="I1259" i="1"/>
  <c r="L1259" i="1"/>
  <c r="N1259" i="1" l="1"/>
  <c r="P1259" i="1" s="1"/>
  <c r="C1250" i="3"/>
  <c r="K1259" i="1"/>
  <c r="M1259" i="1" s="1"/>
  <c r="H1259" i="1"/>
  <c r="J1259" i="1" s="1"/>
  <c r="G1259" i="1" l="1"/>
  <c r="E1260" i="1" s="1"/>
  <c r="F1259" i="1"/>
  <c r="B1260" i="1" s="1"/>
  <c r="C1251" i="3" s="1"/>
  <c r="C1260" i="1" l="1"/>
  <c r="D1260" i="1"/>
  <c r="N1260" i="1"/>
  <c r="H1260" i="1"/>
  <c r="K1260" i="1"/>
  <c r="O1260" i="1" l="1"/>
  <c r="P1260" i="1" s="1"/>
  <c r="D1251" i="3"/>
  <c r="I1260" i="1"/>
  <c r="J1260" i="1" s="1"/>
  <c r="L1260" i="1"/>
  <c r="M1260" i="1" s="1"/>
  <c r="G1260" i="1" l="1"/>
  <c r="E1261" i="1" s="1"/>
  <c r="F1260" i="1"/>
  <c r="C1261" i="1" l="1"/>
  <c r="B1261" i="1"/>
  <c r="C1252" i="3" s="1"/>
  <c r="D1261" i="1"/>
  <c r="O1261" i="1" l="1"/>
  <c r="D1252" i="3"/>
  <c r="L1261" i="1"/>
  <c r="I1261" i="1"/>
  <c r="H1261" i="1"/>
  <c r="K1261" i="1"/>
  <c r="N1261" i="1"/>
  <c r="P1261" i="1" l="1"/>
  <c r="M1261" i="1"/>
  <c r="J1261" i="1"/>
  <c r="G1261" i="1" l="1"/>
  <c r="E1262" i="1" s="1"/>
  <c r="F1261" i="1"/>
  <c r="C1262" i="1" l="1"/>
  <c r="D1262" i="1"/>
  <c r="B1262" i="1"/>
  <c r="C1253" i="3" s="1"/>
  <c r="I1262" i="1" l="1"/>
  <c r="D1253" i="3"/>
  <c r="L1262" i="1"/>
  <c r="O1262" i="1"/>
  <c r="H1262" i="1"/>
  <c r="K1262" i="1"/>
  <c r="N1262" i="1"/>
  <c r="P1262" i="1" l="1"/>
  <c r="M1262" i="1"/>
  <c r="J1262" i="1"/>
  <c r="G1262" i="1" l="1"/>
  <c r="E1263" i="1" s="1"/>
  <c r="F1262" i="1"/>
  <c r="C1263" i="1" l="1"/>
  <c r="B1263" i="1"/>
  <c r="C1254" i="3" s="1"/>
  <c r="D1263" i="1"/>
  <c r="I1263" i="1" l="1"/>
  <c r="D1254" i="3"/>
  <c r="L1263" i="1"/>
  <c r="O1263" i="1"/>
  <c r="K1263" i="1"/>
  <c r="N1263" i="1"/>
  <c r="H1263" i="1"/>
  <c r="P1263" i="1" l="1"/>
  <c r="M1263" i="1"/>
  <c r="J1263" i="1"/>
  <c r="G1263" i="1" l="1"/>
  <c r="E1264" i="1" s="1"/>
  <c r="F1263" i="1"/>
  <c r="C1264" i="1" l="1"/>
  <c r="B1264" i="1"/>
  <c r="C1255" i="3" s="1"/>
  <c r="D1264" i="1"/>
  <c r="L1264" i="1" l="1"/>
  <c r="D1255" i="3"/>
  <c r="I1264" i="1"/>
  <c r="O1264" i="1"/>
  <c r="K1264" i="1"/>
  <c r="N1264" i="1"/>
  <c r="H1264" i="1"/>
  <c r="P1264" i="1" l="1"/>
  <c r="M1264" i="1"/>
  <c r="J1264" i="1"/>
  <c r="G1264" i="1" l="1"/>
  <c r="E1265" i="1" s="1"/>
  <c r="F1264" i="1"/>
  <c r="C1265" i="1" l="1"/>
  <c r="D1256" i="3" s="1"/>
  <c r="B1265" i="1"/>
  <c r="C1256" i="3" s="1"/>
  <c r="D1265" i="1"/>
  <c r="L1265" i="1" l="1"/>
  <c r="I1265" i="1"/>
  <c r="O1265" i="1"/>
  <c r="N1265" i="1"/>
  <c r="H1265" i="1"/>
  <c r="K1265" i="1"/>
  <c r="M1265" i="1" l="1"/>
  <c r="P1265" i="1"/>
  <c r="J1265" i="1"/>
  <c r="G1265" i="1" l="1"/>
  <c r="C1266" i="1" s="1"/>
  <c r="D1257" i="3" s="1"/>
  <c r="F1265" i="1"/>
  <c r="D1266" i="1" s="1"/>
  <c r="E1266" i="1" l="1"/>
  <c r="B1266" i="1"/>
  <c r="O1266" i="1"/>
  <c r="I1266" i="1"/>
  <c r="L1266" i="1"/>
  <c r="N1266" i="1" l="1"/>
  <c r="P1266" i="1" s="1"/>
  <c r="C1257" i="3"/>
  <c r="H1266" i="1"/>
  <c r="J1266" i="1" s="1"/>
  <c r="K1266" i="1"/>
  <c r="M1266" i="1" s="1"/>
  <c r="F1266" i="1" l="1"/>
  <c r="B1267" i="1" s="1"/>
  <c r="C1258" i="3" s="1"/>
  <c r="G1266" i="1"/>
  <c r="E1267" i="1" s="1"/>
  <c r="D1267" i="1" l="1"/>
  <c r="C1267" i="1"/>
  <c r="N1267" i="1"/>
  <c r="H1267" i="1"/>
  <c r="K1267" i="1"/>
  <c r="O1267" i="1" l="1"/>
  <c r="P1267" i="1" s="1"/>
  <c r="D1258" i="3"/>
  <c r="I1267" i="1"/>
  <c r="J1267" i="1" s="1"/>
  <c r="L1267" i="1"/>
  <c r="M1267" i="1" s="1"/>
  <c r="F1267" i="1" l="1"/>
  <c r="D1268" i="1" s="1"/>
  <c r="G1267" i="1"/>
  <c r="E1268" i="1" s="1"/>
  <c r="C1268" i="1" l="1"/>
  <c r="B1268" i="1"/>
  <c r="H1268" i="1" l="1"/>
  <c r="C1259" i="3"/>
  <c r="O1268" i="1"/>
  <c r="D1259" i="3"/>
  <c r="I1268" i="1"/>
  <c r="L1268" i="1"/>
  <c r="N1268" i="1"/>
  <c r="P1268" i="1" s="1"/>
  <c r="K1268" i="1"/>
  <c r="M1268" i="1" l="1"/>
  <c r="J1268" i="1"/>
  <c r="F1268" i="1" l="1"/>
  <c r="B1269" i="1" s="1"/>
  <c r="C1260" i="3" s="1"/>
  <c r="G1268" i="1"/>
  <c r="E1269" i="1" s="1"/>
  <c r="N1269" i="1" l="1"/>
  <c r="D1269" i="1"/>
  <c r="K1269" i="1"/>
  <c r="H1269" i="1"/>
  <c r="C1269" i="1"/>
  <c r="D1260" i="3" l="1"/>
  <c r="L1269" i="1"/>
  <c r="M1269" i="1" s="1"/>
  <c r="O1269" i="1"/>
  <c r="P1269" i="1" s="1"/>
  <c r="I1269" i="1"/>
  <c r="J1269" i="1" s="1"/>
  <c r="F1269" i="1" s="1"/>
  <c r="D1270" i="1" s="1"/>
  <c r="G1269" i="1" l="1"/>
  <c r="E1270" i="1" s="1"/>
  <c r="B1270" i="1"/>
  <c r="C1270" i="1" l="1"/>
  <c r="I1270" i="1" s="1"/>
  <c r="K1270" i="1"/>
  <c r="C1261" i="3"/>
  <c r="N1270" i="1"/>
  <c r="H1270" i="1"/>
  <c r="L1270" i="1" l="1"/>
  <c r="M1270" i="1" s="1"/>
  <c r="O1270" i="1"/>
  <c r="D1261" i="3"/>
  <c r="J1270" i="1"/>
  <c r="P1270" i="1"/>
  <c r="F1270" i="1" l="1"/>
  <c r="B1271" i="1" s="1"/>
  <c r="G1270" i="1"/>
  <c r="E1271" i="1" s="1"/>
  <c r="D1271" i="1" l="1"/>
  <c r="N1271" i="1"/>
  <c r="C1262" i="3"/>
  <c r="C1271" i="1"/>
  <c r="K1271" i="1"/>
  <c r="H1271" i="1"/>
  <c r="L1271" i="1" l="1"/>
  <c r="M1271" i="1" s="1"/>
  <c r="D1262" i="3"/>
  <c r="I1271" i="1"/>
  <c r="J1271" i="1" s="1"/>
  <c r="O1271" i="1"/>
  <c r="P1271" i="1" s="1"/>
  <c r="F1271" i="1" l="1"/>
  <c r="D1272" i="1" s="1"/>
  <c r="G1271" i="1"/>
  <c r="E1272" i="1" s="1"/>
  <c r="B1272" i="1" l="1"/>
  <c r="C1272" i="1"/>
  <c r="L1272" i="1" l="1"/>
  <c r="D1263" i="3"/>
  <c r="K1272" i="1"/>
  <c r="C1263" i="3"/>
  <c r="N1272" i="1"/>
  <c r="H1272" i="1"/>
  <c r="O1272" i="1"/>
  <c r="I1272" i="1"/>
  <c r="M1272" i="1" l="1"/>
  <c r="J1272" i="1"/>
  <c r="P1272" i="1"/>
  <c r="F1272" i="1" l="1"/>
  <c r="B1273" i="1" s="1"/>
  <c r="C1264" i="3" s="1"/>
  <c r="G1272" i="1"/>
  <c r="E1273" i="1" s="1"/>
  <c r="H1273" i="1" l="1"/>
  <c r="K1273" i="1"/>
  <c r="N1273" i="1"/>
  <c r="D1273" i="1"/>
  <c r="C1273" i="1"/>
  <c r="L1273" i="1" l="1"/>
  <c r="M1273" i="1" s="1"/>
  <c r="D1264" i="3"/>
  <c r="O1273" i="1"/>
  <c r="P1273" i="1" s="1"/>
  <c r="I1273" i="1"/>
  <c r="J1273" i="1" s="1"/>
  <c r="F1273" i="1" l="1"/>
  <c r="B1274" i="1" s="1"/>
  <c r="G1273" i="1"/>
  <c r="E1274" i="1" s="1"/>
  <c r="N1274" i="1" l="1"/>
  <c r="C1265" i="3"/>
  <c r="H1274" i="1"/>
  <c r="C1274" i="1"/>
  <c r="D1265" i="3" s="1"/>
  <c r="K1274" i="1"/>
  <c r="D1274" i="1"/>
  <c r="I1274" i="1" l="1"/>
  <c r="J1274" i="1" s="1"/>
  <c r="O1274" i="1"/>
  <c r="P1274" i="1" s="1"/>
  <c r="L1274" i="1"/>
  <c r="M1274" i="1" s="1"/>
  <c r="F1274" i="1" l="1"/>
  <c r="B1275" i="1" s="1"/>
  <c r="C1266" i="3" s="1"/>
  <c r="G1274" i="1"/>
  <c r="C1275" i="1" s="1"/>
  <c r="D1266" i="3" s="1"/>
  <c r="D1275" i="1" l="1"/>
  <c r="E1275" i="1"/>
  <c r="N1275" i="1"/>
  <c r="H1275" i="1"/>
  <c r="K1275" i="1"/>
  <c r="O1275" i="1"/>
  <c r="L1275" i="1"/>
  <c r="I1275" i="1"/>
  <c r="J1275" i="1" l="1"/>
  <c r="M1275" i="1"/>
  <c r="P1275" i="1"/>
  <c r="F1275" i="1" l="1"/>
  <c r="D1276" i="1" s="1"/>
  <c r="G1275" i="1"/>
  <c r="C1276" i="1" s="1"/>
  <c r="D1267" i="3" s="1"/>
  <c r="B1276" i="1" l="1"/>
  <c r="E1276" i="1"/>
  <c r="O1276" i="1"/>
  <c r="I1276" i="1"/>
  <c r="L1276" i="1"/>
  <c r="H1276" i="1" l="1"/>
  <c r="J1276" i="1" s="1"/>
  <c r="C1267" i="3"/>
  <c r="K1276" i="1"/>
  <c r="M1276" i="1" s="1"/>
  <c r="N1276" i="1"/>
  <c r="P1276" i="1" s="1"/>
  <c r="G1276" i="1" l="1"/>
  <c r="E1277" i="1" s="1"/>
  <c r="F1276" i="1"/>
  <c r="D1277" i="1" s="1"/>
  <c r="C1277" i="1" l="1"/>
  <c r="B1277" i="1"/>
  <c r="H1277" i="1" l="1"/>
  <c r="C1268" i="3"/>
  <c r="L1277" i="1"/>
  <c r="D1268" i="3"/>
  <c r="O1277" i="1"/>
  <c r="I1277" i="1"/>
  <c r="K1277" i="1"/>
  <c r="M1277" i="1" s="1"/>
  <c r="N1277" i="1"/>
  <c r="J1277" i="1" l="1"/>
  <c r="P1277" i="1"/>
  <c r="F1277" i="1" l="1"/>
  <c r="B1278" i="1" s="1"/>
  <c r="C1269" i="3" s="1"/>
  <c r="G1277" i="1"/>
  <c r="E1278" i="1" s="1"/>
  <c r="H1278" i="1" l="1"/>
  <c r="N1278" i="1"/>
  <c r="K1278" i="1"/>
  <c r="D1278" i="1"/>
  <c r="C1278" i="1"/>
  <c r="I1278" i="1" l="1"/>
  <c r="J1278" i="1" s="1"/>
  <c r="D1269" i="3"/>
  <c r="L1278" i="1"/>
  <c r="M1278" i="1" s="1"/>
  <c r="O1278" i="1"/>
  <c r="P1278" i="1" s="1"/>
  <c r="F1278" i="1" l="1"/>
  <c r="D1279" i="1" s="1"/>
  <c r="G1278" i="1"/>
  <c r="C1279" i="1" s="1"/>
  <c r="D1270" i="3" s="1"/>
  <c r="B1279" i="1" l="1"/>
  <c r="E1279" i="1"/>
  <c r="L1279" i="1"/>
  <c r="O1279" i="1"/>
  <c r="I1279" i="1"/>
  <c r="N1279" i="1" l="1"/>
  <c r="P1279" i="1" s="1"/>
  <c r="C1270" i="3"/>
  <c r="H1279" i="1"/>
  <c r="J1279" i="1" s="1"/>
  <c r="K1279" i="1"/>
  <c r="M1279" i="1" s="1"/>
  <c r="F1279" i="1" l="1"/>
  <c r="D1280" i="1" s="1"/>
  <c r="G1279" i="1"/>
  <c r="B1280" i="1" l="1"/>
  <c r="C1280" i="1"/>
  <c r="D1271" i="3" s="1"/>
  <c r="E1280" i="1"/>
  <c r="K1280" i="1" l="1"/>
  <c r="C1271" i="3"/>
  <c r="N1280" i="1"/>
  <c r="H1280" i="1"/>
  <c r="O1280" i="1"/>
  <c r="I1280" i="1"/>
  <c r="L1280" i="1"/>
  <c r="M1280" i="1" l="1"/>
  <c r="P1280" i="1"/>
  <c r="J1280" i="1"/>
  <c r="F1280" i="1" l="1"/>
  <c r="D1281" i="1" s="1"/>
  <c r="G1280" i="1"/>
  <c r="E1281" i="1" s="1"/>
  <c r="B1281" i="1" l="1"/>
  <c r="C1281" i="1"/>
  <c r="L1281" i="1" l="1"/>
  <c r="D1272" i="3"/>
  <c r="N1281" i="1"/>
  <c r="C1272" i="3"/>
  <c r="K1281" i="1"/>
  <c r="H1281" i="1"/>
  <c r="I1281" i="1"/>
  <c r="O1281" i="1"/>
  <c r="P1281" i="1" s="1"/>
  <c r="M1281" i="1" l="1"/>
  <c r="J1281" i="1"/>
  <c r="F1281" i="1" l="1"/>
  <c r="B1282" i="1" s="1"/>
  <c r="C1273" i="3" s="1"/>
  <c r="G1281" i="1"/>
  <c r="E1282" i="1" s="1"/>
  <c r="N1282" i="1" l="1"/>
  <c r="H1282" i="1"/>
  <c r="K1282" i="1"/>
  <c r="D1282" i="1"/>
  <c r="C1282" i="1"/>
  <c r="O1282" i="1" l="1"/>
  <c r="P1282" i="1" s="1"/>
  <c r="D1273" i="3"/>
  <c r="L1282" i="1"/>
  <c r="M1282" i="1" s="1"/>
  <c r="I1282" i="1"/>
  <c r="J1282" i="1" s="1"/>
  <c r="F1282" i="1" l="1"/>
  <c r="B1283" i="1" s="1"/>
  <c r="C1274" i="3" s="1"/>
  <c r="G1282" i="1"/>
  <c r="C1283" i="1" s="1"/>
  <c r="D1274" i="3" s="1"/>
  <c r="D1283" i="1" l="1"/>
  <c r="E1283" i="1"/>
  <c r="L1283" i="1"/>
  <c r="I1283" i="1"/>
  <c r="O1283" i="1"/>
  <c r="N1283" i="1"/>
  <c r="H1283" i="1"/>
  <c r="K1283" i="1"/>
  <c r="P1283" i="1" l="1"/>
  <c r="M1283" i="1"/>
  <c r="J1283" i="1"/>
  <c r="F1283" i="1" l="1"/>
  <c r="D1284" i="1" s="1"/>
  <c r="G1283" i="1"/>
  <c r="E1284" i="1" s="1"/>
  <c r="C1284" i="1" l="1"/>
  <c r="B1284" i="1"/>
  <c r="K1284" i="1" l="1"/>
  <c r="C1275" i="3"/>
  <c r="O1284" i="1"/>
  <c r="D1275" i="3"/>
  <c r="L1284" i="1"/>
  <c r="I1284" i="1"/>
  <c r="N1284" i="1"/>
  <c r="P1284" i="1" s="1"/>
  <c r="H1284" i="1"/>
  <c r="J1284" i="1" s="1"/>
  <c r="M1284" i="1" l="1"/>
  <c r="G1284" i="1" s="1"/>
  <c r="E1285" i="1" s="1"/>
  <c r="F1284" i="1" l="1"/>
  <c r="D1285" i="1" s="1"/>
  <c r="C1285" i="1"/>
  <c r="B1285" i="1" l="1"/>
  <c r="H1285" i="1" s="1"/>
  <c r="L1285" i="1"/>
  <c r="D1276" i="3"/>
  <c r="O1285" i="1"/>
  <c r="I1285" i="1"/>
  <c r="C1276" i="3" l="1"/>
  <c r="J1285" i="1"/>
  <c r="N1285" i="1"/>
  <c r="P1285" i="1" s="1"/>
  <c r="K1285" i="1"/>
  <c r="M1285" i="1" s="1"/>
  <c r="G1285" i="1" l="1"/>
  <c r="C1286" i="1" s="1"/>
  <c r="D1277" i="3" s="1"/>
  <c r="F1285" i="1"/>
  <c r="D1286" i="1" s="1"/>
  <c r="O1286" i="1" l="1"/>
  <c r="I1286" i="1"/>
  <c r="L1286" i="1"/>
  <c r="E1286" i="1"/>
  <c r="B1286" i="1"/>
  <c r="K1286" i="1" l="1"/>
  <c r="M1286" i="1" s="1"/>
  <c r="C1277" i="3"/>
  <c r="N1286" i="1"/>
  <c r="P1286" i="1" s="1"/>
  <c r="H1286" i="1"/>
  <c r="J1286" i="1" s="1"/>
  <c r="G1286" i="1" l="1"/>
  <c r="E1287" i="1" s="1"/>
  <c r="F1286" i="1"/>
  <c r="D1287" i="1" s="1"/>
  <c r="C1287" i="1" l="1"/>
  <c r="B1287" i="1"/>
  <c r="N1287" i="1" l="1"/>
  <c r="C1278" i="3"/>
  <c r="L1287" i="1"/>
  <c r="D1278" i="3"/>
  <c r="O1287" i="1"/>
  <c r="I1287" i="1"/>
  <c r="K1287" i="1"/>
  <c r="M1287" i="1" s="1"/>
  <c r="H1287" i="1"/>
  <c r="P1287" i="1" l="1"/>
  <c r="J1287" i="1"/>
  <c r="G1287" i="1" l="1"/>
  <c r="E1288" i="1" s="1"/>
  <c r="F1287" i="1"/>
  <c r="D1288" i="1" s="1"/>
  <c r="C1288" i="1" l="1"/>
  <c r="D1279" i="3" s="1"/>
  <c r="B1288" i="1"/>
  <c r="C1279" i="3" s="1"/>
  <c r="L1288" i="1" l="1"/>
  <c r="I1288" i="1"/>
  <c r="O1288" i="1"/>
  <c r="N1288" i="1"/>
  <c r="H1288" i="1"/>
  <c r="J1288" i="1" s="1"/>
  <c r="K1288" i="1"/>
  <c r="P1288" i="1" l="1"/>
  <c r="M1288" i="1"/>
  <c r="G1288" i="1" l="1"/>
  <c r="C1289" i="1" s="1"/>
  <c r="D1280" i="3" s="1"/>
  <c r="F1288" i="1"/>
  <c r="D1289" i="1" s="1"/>
  <c r="I1289" i="1" l="1"/>
  <c r="O1289" i="1"/>
  <c r="E1289" i="1"/>
  <c r="L1289" i="1"/>
  <c r="B1289" i="1"/>
  <c r="N1289" i="1" s="1"/>
  <c r="P1289" i="1" s="1"/>
  <c r="K1289" i="1" l="1"/>
  <c r="M1289" i="1" s="1"/>
  <c r="H1289" i="1"/>
  <c r="J1289" i="1" s="1"/>
  <c r="C1280" i="3"/>
  <c r="G1289" i="1" l="1"/>
  <c r="E1290" i="1" s="1"/>
  <c r="F1289" i="1"/>
  <c r="D1290" i="1" s="1"/>
  <c r="C1290" i="1" l="1"/>
  <c r="O1290" i="1" s="1"/>
  <c r="B1290" i="1"/>
  <c r="K1290" i="1" s="1"/>
  <c r="D1281" i="3" l="1"/>
  <c r="I1290" i="1"/>
  <c r="L1290" i="1"/>
  <c r="N1290" i="1"/>
  <c r="P1290" i="1" s="1"/>
  <c r="H1290" i="1"/>
  <c r="J1290" i="1" s="1"/>
  <c r="C1281" i="3"/>
  <c r="M1290" i="1"/>
  <c r="F1290" i="1" l="1"/>
  <c r="B1291" i="1" s="1"/>
  <c r="C1282" i="3" s="1"/>
  <c r="G1290" i="1"/>
  <c r="E1291" i="1" s="1"/>
  <c r="N1291" i="1" l="1"/>
  <c r="K1291" i="1"/>
  <c r="H1291" i="1"/>
  <c r="D1291" i="1"/>
  <c r="C1291" i="1"/>
  <c r="L1291" i="1" l="1"/>
  <c r="M1291" i="1" s="1"/>
  <c r="D1282" i="3"/>
  <c r="I1291" i="1"/>
  <c r="J1291" i="1" s="1"/>
  <c r="O1291" i="1"/>
  <c r="P1291" i="1" s="1"/>
  <c r="F1291" i="1" l="1"/>
  <c r="D1292" i="1" s="1"/>
  <c r="G1291" i="1"/>
  <c r="C1292" i="1" s="1"/>
  <c r="I1292" i="1" l="1"/>
  <c r="D1283" i="3"/>
  <c r="B1292" i="1"/>
  <c r="O1292" i="1"/>
  <c r="L1292" i="1"/>
  <c r="E1292" i="1"/>
  <c r="K1292" i="1" l="1"/>
  <c r="M1292" i="1" s="1"/>
  <c r="C1283" i="3"/>
  <c r="N1292" i="1"/>
  <c r="P1292" i="1" s="1"/>
  <c r="H1292" i="1"/>
  <c r="J1292" i="1" s="1"/>
  <c r="G1292" i="1" l="1"/>
  <c r="E1293" i="1" s="1"/>
  <c r="F1292" i="1"/>
  <c r="B1293" i="1" s="1"/>
  <c r="H1293" i="1" l="1"/>
  <c r="C1284" i="3"/>
  <c r="C1293" i="1"/>
  <c r="N1293" i="1"/>
  <c r="K1293" i="1"/>
  <c r="D1293" i="1"/>
  <c r="L1293" i="1" l="1"/>
  <c r="M1293" i="1" s="1"/>
  <c r="D1284" i="3"/>
  <c r="I1293" i="1"/>
  <c r="J1293" i="1" s="1"/>
  <c r="O1293" i="1"/>
  <c r="P1293" i="1" s="1"/>
  <c r="F1293" i="1" l="1"/>
  <c r="D1294" i="1" s="1"/>
  <c r="G1293" i="1"/>
  <c r="C1294" i="1" s="1"/>
  <c r="B1294" i="1" l="1"/>
  <c r="N1294" i="1" s="1"/>
  <c r="I1294" i="1"/>
  <c r="D1285" i="3"/>
  <c r="L1294" i="1"/>
  <c r="O1294" i="1"/>
  <c r="E1294" i="1"/>
  <c r="H1294" i="1" l="1"/>
  <c r="J1294" i="1" s="1"/>
  <c r="K1294" i="1"/>
  <c r="M1294" i="1" s="1"/>
  <c r="C1285" i="3"/>
  <c r="P1294" i="1"/>
  <c r="G1294" i="1" l="1"/>
  <c r="E1295" i="1" s="1"/>
  <c r="F1294" i="1"/>
  <c r="D1295" i="1" s="1"/>
  <c r="C1295" i="1" l="1"/>
  <c r="D1286" i="3" s="1"/>
  <c r="B1295" i="1"/>
  <c r="C1286" i="3" s="1"/>
  <c r="L1295" i="1" l="1"/>
  <c r="I1295" i="1"/>
  <c r="O1295" i="1"/>
  <c r="N1295" i="1"/>
  <c r="K1295" i="1"/>
  <c r="H1295" i="1"/>
  <c r="J1295" i="1" s="1"/>
  <c r="P1295" i="1" l="1"/>
  <c r="M1295" i="1"/>
  <c r="G1295" i="1" l="1"/>
  <c r="E1296" i="1" s="1"/>
  <c r="F1295" i="1"/>
  <c r="B1296" i="1" s="1"/>
  <c r="C1287" i="3" s="1"/>
  <c r="H1296" i="1" l="1"/>
  <c r="D1296" i="1"/>
  <c r="C1296" i="1"/>
  <c r="O1296" i="1" s="1"/>
  <c r="N1296" i="1"/>
  <c r="K1296" i="1"/>
  <c r="L1296" i="1" l="1"/>
  <c r="M1296" i="1" s="1"/>
  <c r="I1296" i="1"/>
  <c r="J1296" i="1" s="1"/>
  <c r="D1287" i="3"/>
  <c r="P1296" i="1"/>
  <c r="F1296" i="1"/>
  <c r="G1296" i="1" l="1"/>
  <c r="C1297" i="1" s="1"/>
  <c r="D1288" i="3" s="1"/>
  <c r="BB27" i="3" s="1"/>
  <c r="B1297" i="1"/>
  <c r="C1288" i="3" s="1"/>
  <c r="BA27" i="3" s="1"/>
  <c r="D1297" i="1"/>
  <c r="O1297" i="1" l="1"/>
  <c r="L1297" i="1"/>
  <c r="I1297" i="1"/>
  <c r="E1297" i="1"/>
  <c r="N1297" i="1"/>
  <c r="K1297" i="1"/>
  <c r="M1297" i="1" s="1"/>
  <c r="H1297" i="1"/>
  <c r="P1297" i="1" l="1"/>
  <c r="J1297" i="1"/>
  <c r="G1297" i="1" l="1"/>
  <c r="C1298" i="1" s="1"/>
  <c r="D1289" i="3" s="1"/>
  <c r="BB26" i="3" s="1"/>
  <c r="F1297" i="1"/>
  <c r="E1298" i="1" l="1"/>
  <c r="I1298" i="1"/>
  <c r="O1298" i="1"/>
  <c r="L1298" i="1"/>
  <c r="B1298" i="1"/>
  <c r="C1289" i="3" s="1"/>
  <c r="BA26" i="3" s="1"/>
  <c r="D1298" i="1"/>
  <c r="K1298" i="1" l="1"/>
  <c r="M1298" i="1" s="1"/>
  <c r="N1298" i="1"/>
  <c r="P1298" i="1" s="1"/>
  <c r="H1298" i="1"/>
  <c r="J1298" i="1" l="1"/>
  <c r="G1298" i="1" s="1"/>
  <c r="C1299" i="1" l="1"/>
  <c r="D1290" i="3" s="1"/>
  <c r="BB25" i="3" s="1"/>
  <c r="E1299" i="1"/>
  <c r="F1298" i="1"/>
  <c r="L1299" i="1" l="1"/>
  <c r="O1299" i="1"/>
  <c r="I1299" i="1"/>
  <c r="D1299" i="1"/>
  <c r="B1299" i="1"/>
  <c r="C1290" i="3" s="1"/>
  <c r="BA25" i="3" s="1"/>
  <c r="K1299" i="1" l="1"/>
  <c r="M1299" i="1" s="1"/>
  <c r="N1299" i="1"/>
  <c r="P1299" i="1" s="1"/>
  <c r="H1299" i="1"/>
  <c r="J1299" i="1" l="1"/>
  <c r="G1299" i="1" s="1"/>
  <c r="F1299" i="1" l="1"/>
  <c r="B1300" i="1" s="1"/>
  <c r="C1291" i="3" s="1"/>
  <c r="BA24" i="3" s="1"/>
  <c r="C1300" i="1"/>
  <c r="D1291" i="3" s="1"/>
  <c r="BB24" i="3" s="1"/>
  <c r="E1300" i="1"/>
  <c r="D1300" i="1" l="1"/>
  <c r="K1300" i="1"/>
  <c r="N1300" i="1"/>
  <c r="H1300" i="1"/>
  <c r="I1300" i="1"/>
  <c r="L1300" i="1"/>
  <c r="O1300" i="1"/>
  <c r="J1300" i="1" l="1"/>
  <c r="P1300" i="1"/>
  <c r="M1300" i="1"/>
  <c r="G1300" i="1" l="1"/>
  <c r="C1301" i="1" s="1"/>
  <c r="D1292" i="3" s="1"/>
  <c r="BB23" i="3" s="1"/>
  <c r="F1300" i="1"/>
  <c r="D1301" i="1" s="1"/>
  <c r="E1301" i="1" l="1"/>
  <c r="B1301" i="1"/>
  <c r="O1301" i="1"/>
  <c r="I1301" i="1"/>
  <c r="L1301" i="1"/>
  <c r="H1301" i="1" l="1"/>
  <c r="J1301" i="1" s="1"/>
  <c r="C1292" i="3"/>
  <c r="BA23" i="3" s="1"/>
  <c r="K1301" i="1"/>
  <c r="M1301" i="1" s="1"/>
  <c r="N1301" i="1"/>
  <c r="P1301" i="1" s="1"/>
  <c r="G1301" i="1" l="1"/>
  <c r="C1302" i="1" s="1"/>
  <c r="D1293" i="3" s="1"/>
  <c r="BB22" i="3" s="1"/>
  <c r="F1301" i="1"/>
  <c r="E1302" i="1" l="1"/>
  <c r="B1302" i="1"/>
  <c r="C1293" i="3" s="1"/>
  <c r="BA22" i="3" s="1"/>
  <c r="D1302" i="1"/>
  <c r="O1302" i="1"/>
  <c r="I1302" i="1"/>
  <c r="L1302" i="1"/>
  <c r="N1302" i="1" l="1"/>
  <c r="P1302" i="1" s="1"/>
  <c r="H1302" i="1"/>
  <c r="K1302" i="1"/>
  <c r="M1302" i="1" s="1"/>
  <c r="J1302" i="1" l="1"/>
  <c r="G1302" i="1" s="1"/>
  <c r="F1302" i="1" l="1"/>
  <c r="B1303" i="1" s="1"/>
  <c r="C1294" i="3" s="1"/>
  <c r="BA21" i="3" s="1"/>
  <c r="C1303" i="1"/>
  <c r="D1294" i="3" s="1"/>
  <c r="BB21" i="3" s="1"/>
  <c r="E1303" i="1"/>
  <c r="D1303" i="1" l="1"/>
  <c r="H1303" i="1"/>
  <c r="K1303" i="1"/>
  <c r="N1303" i="1"/>
  <c r="O1303" i="1"/>
  <c r="L1303" i="1"/>
  <c r="I1303" i="1"/>
  <c r="M1303" i="1" l="1"/>
  <c r="P1303" i="1"/>
  <c r="J1303" i="1"/>
  <c r="G1303" i="1" l="1"/>
  <c r="E1304" i="1" s="1"/>
  <c r="F1303" i="1"/>
  <c r="C1304" i="1" l="1"/>
  <c r="D1304" i="1"/>
  <c r="B1304" i="1"/>
  <c r="C1295" i="3" s="1"/>
  <c r="BA20" i="3" s="1"/>
  <c r="I1304" i="1" l="1"/>
  <c r="D1295" i="3"/>
  <c r="BB20" i="3" s="1"/>
  <c r="L1304" i="1"/>
  <c r="O1304" i="1"/>
  <c r="H1304" i="1"/>
  <c r="K1304" i="1"/>
  <c r="N1304" i="1"/>
  <c r="P1304" i="1" l="1"/>
  <c r="M1304" i="1"/>
  <c r="J1304" i="1"/>
  <c r="G1304" i="1" l="1"/>
  <c r="E1305" i="1" s="1"/>
  <c r="F1304" i="1"/>
  <c r="C1305" i="1" l="1"/>
  <c r="B1305" i="1"/>
  <c r="C1296" i="3" s="1"/>
  <c r="BA19" i="3" s="1"/>
  <c r="D1305" i="1"/>
  <c r="I1305" i="1" l="1"/>
  <c r="D1296" i="3"/>
  <c r="BB19" i="3" s="1"/>
  <c r="O1305" i="1"/>
  <c r="L1305" i="1"/>
  <c r="H1305" i="1"/>
  <c r="K1305" i="1"/>
  <c r="M1305" i="1" s="1"/>
  <c r="N1305" i="1"/>
  <c r="P1305" i="1" l="1"/>
  <c r="J1305" i="1"/>
  <c r="G1305" i="1" l="1"/>
  <c r="C1306" i="1" s="1"/>
  <c r="D1297" i="3" s="1"/>
  <c r="BB18" i="3" s="1"/>
  <c r="F1305" i="1"/>
  <c r="D1306" i="1" s="1"/>
  <c r="E1306" i="1" l="1"/>
  <c r="B1306" i="1"/>
  <c r="I1306" i="1"/>
  <c r="L1306" i="1"/>
  <c r="O1306" i="1"/>
  <c r="K1306" i="1" l="1"/>
  <c r="M1306" i="1" s="1"/>
  <c r="C1297" i="3"/>
  <c r="BA18" i="3" s="1"/>
  <c r="N1306" i="1"/>
  <c r="P1306" i="1" s="1"/>
  <c r="H1306" i="1"/>
  <c r="J1306" i="1" s="1"/>
  <c r="F1306" i="1" l="1"/>
  <c r="B1307" i="1" s="1"/>
  <c r="C1298" i="3" s="1"/>
  <c r="BA17" i="3" s="1"/>
  <c r="G1306" i="1"/>
  <c r="D1307" i="1" l="1"/>
  <c r="K1307" i="1"/>
  <c r="N1307" i="1"/>
  <c r="H1307" i="1"/>
  <c r="C1307" i="1"/>
  <c r="D1298" i="3" s="1"/>
  <c r="BB17" i="3" s="1"/>
  <c r="E1307" i="1"/>
  <c r="L1307" i="1" l="1"/>
  <c r="M1307" i="1" s="1"/>
  <c r="O1307" i="1"/>
  <c r="P1307" i="1" s="1"/>
  <c r="I1307" i="1"/>
  <c r="J1307" i="1" s="1"/>
  <c r="F1307" i="1" l="1"/>
  <c r="G1307" i="1"/>
  <c r="B1308" i="1" l="1"/>
  <c r="C1299" i="3" s="1"/>
  <c r="BA16" i="3" s="1"/>
  <c r="D1308" i="1"/>
  <c r="E1308" i="1"/>
  <c r="C1308" i="1"/>
  <c r="D1299" i="3" s="1"/>
  <c r="BB16" i="3" s="1"/>
  <c r="L1308" i="1" l="1"/>
  <c r="O1308" i="1"/>
  <c r="I1308" i="1"/>
  <c r="K1308" i="1"/>
  <c r="N1308" i="1"/>
  <c r="P1308" i="1" s="1"/>
  <c r="H1308" i="1"/>
  <c r="J1308" i="1" l="1"/>
  <c r="M1308" i="1"/>
  <c r="G1308" i="1" l="1"/>
  <c r="E1309" i="1" s="1"/>
  <c r="F1308" i="1"/>
  <c r="C1309" i="1" l="1"/>
  <c r="D1309" i="1"/>
  <c r="B1309" i="1"/>
  <c r="C1300" i="3" s="1"/>
  <c r="BA12" i="3" s="1"/>
  <c r="L1309" i="1" l="1"/>
  <c r="D1300" i="3"/>
  <c r="BB12" i="3" s="1"/>
  <c r="O1309" i="1"/>
  <c r="I1309" i="1"/>
  <c r="N1309" i="1"/>
  <c r="H1309" i="1"/>
  <c r="K1309" i="1"/>
  <c r="M1309" i="1" l="1"/>
  <c r="P1309" i="1"/>
  <c r="J1309" i="1"/>
  <c r="G1309" i="1" l="1"/>
  <c r="F1309" i="1"/>
</calcChain>
</file>

<file path=xl/sharedStrings.xml><?xml version="1.0" encoding="utf-8"?>
<sst xmlns="http://schemas.openxmlformats.org/spreadsheetml/2006/main" count="134" uniqueCount="84">
  <si>
    <t>n</t>
  </si>
  <si>
    <t>angle</t>
  </si>
  <si>
    <t>x</t>
  </si>
  <si>
    <t>y</t>
  </si>
  <si>
    <t>Rayon</t>
  </si>
  <si>
    <t>Paramètres généraux</t>
  </si>
  <si>
    <t>Base de temps</t>
  </si>
  <si>
    <t>Coefficient de friction</t>
  </si>
  <si>
    <t>Ratio de la constante d'Aarseth</t>
  </si>
  <si>
    <t>Corp en mouvement</t>
  </si>
  <si>
    <t>Masse</t>
  </si>
  <si>
    <t>Position initiale</t>
  </si>
  <si>
    <t>Vitesse initiale</t>
  </si>
  <si>
    <t>Trois corps statiques</t>
  </si>
  <si>
    <t>Corp 1</t>
  </si>
  <si>
    <t>Position</t>
  </si>
  <si>
    <t>Masse volumique moyenne</t>
  </si>
  <si>
    <t>Volume</t>
  </si>
  <si>
    <t>Masse totale</t>
  </si>
  <si>
    <t>Constante d'Aarseth</t>
  </si>
  <si>
    <t>Attraction/répulsion</t>
  </si>
  <si>
    <t>Corp 2</t>
  </si>
  <si>
    <t>Corp 3</t>
  </si>
  <si>
    <t>t</t>
  </si>
  <si>
    <t>f</t>
  </si>
  <si>
    <t>ᴧ</t>
  </si>
  <si>
    <t>m</t>
  </si>
  <si>
    <t>Accélération initiale</t>
  </si>
  <si>
    <t>Dimension</t>
  </si>
  <si>
    <t>s</t>
  </si>
  <si>
    <t>mètres</t>
  </si>
  <si>
    <t>grammes</t>
  </si>
  <si>
    <t>mètres/seconde</t>
  </si>
  <si>
    <t>Attraction</t>
  </si>
  <si>
    <t>i</t>
  </si>
  <si>
    <t>acceleration</t>
  </si>
  <si>
    <t>Vitesse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</si>
  <si>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>1x</t>
    </r>
    <r>
      <rPr>
        <sz val="11"/>
        <color theme="1"/>
        <rFont val="Calibri"/>
        <family val="2"/>
        <scheme val="minor"/>
      </rPr>
      <t xml:space="preserve"> </t>
    </r>
  </si>
  <si>
    <t>position vaisseau</t>
  </si>
  <si>
    <t>Masse 1</t>
  </si>
  <si>
    <t>Masse 2</t>
  </si>
  <si>
    <t>Masse 3</t>
  </si>
  <si>
    <t>-</t>
  </si>
  <si>
    <r>
      <t>mètres/seconde</t>
    </r>
    <r>
      <rPr>
        <vertAlign val="superscript"/>
        <sz val="12"/>
        <rFont val="Calibri"/>
        <family val="2"/>
        <scheme val="minor"/>
      </rPr>
      <t>2</t>
    </r>
  </si>
  <si>
    <r>
      <t>gramme/mètres</t>
    </r>
    <r>
      <rPr>
        <vertAlign val="superscript"/>
        <sz val="12"/>
        <rFont val="Calibri"/>
        <family val="2"/>
        <scheme val="minor"/>
      </rPr>
      <t>3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</si>
  <si>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2xy</t>
    </r>
  </si>
  <si>
    <r>
      <t>r</t>
    </r>
    <r>
      <rPr>
        <i/>
        <vertAlign val="subscript"/>
        <sz val="12"/>
        <rFont val="Calibri"/>
        <family val="2"/>
        <scheme val="minor"/>
      </rPr>
      <t>2</t>
    </r>
  </si>
  <si>
    <r>
      <t>ρ</t>
    </r>
    <r>
      <rPr>
        <i/>
        <vertAlign val="subscript"/>
        <sz val="12"/>
        <rFont val="Calibri"/>
        <family val="2"/>
      </rPr>
      <t>2</t>
    </r>
  </si>
  <si>
    <r>
      <t>ω</t>
    </r>
    <r>
      <rPr>
        <i/>
        <vertAlign val="subscript"/>
        <sz val="12"/>
        <rFont val="Calibri"/>
        <family val="2"/>
      </rPr>
      <t>2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</si>
  <si>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1xy</t>
    </r>
  </si>
  <si>
    <r>
      <t>r</t>
    </r>
    <r>
      <rPr>
        <i/>
        <vertAlign val="subscript"/>
        <sz val="12"/>
        <rFont val="Calibri"/>
        <family val="2"/>
        <scheme val="minor"/>
      </rPr>
      <t>1</t>
    </r>
  </si>
  <si>
    <r>
      <t>ρ</t>
    </r>
    <r>
      <rPr>
        <i/>
        <vertAlign val="subscript"/>
        <sz val="12"/>
        <rFont val="Calibri"/>
        <family val="2"/>
      </rPr>
      <t>1</t>
    </r>
  </si>
  <si>
    <r>
      <t>ω</t>
    </r>
    <r>
      <rPr>
        <i/>
        <vertAlign val="subscript"/>
        <sz val="12"/>
        <rFont val="Calibri"/>
        <family val="2"/>
      </rPr>
      <t>1</t>
    </r>
  </si>
  <si>
    <r>
      <t xml:space="preserve">p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</si>
  <si>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v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</si>
  <si>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a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</si>
  <si>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3xy</t>
    </r>
  </si>
  <si>
    <r>
      <t>r</t>
    </r>
    <r>
      <rPr>
        <i/>
        <vertAlign val="subscript"/>
        <sz val="12"/>
        <rFont val="Calibri"/>
        <family val="2"/>
        <scheme val="minor"/>
      </rPr>
      <t>3</t>
    </r>
  </si>
  <si>
    <r>
      <t>ρ</t>
    </r>
    <r>
      <rPr>
        <i/>
        <vertAlign val="subscript"/>
        <sz val="12"/>
        <rFont val="Calibri"/>
        <family val="2"/>
      </rPr>
      <t>3</t>
    </r>
  </si>
  <si>
    <r>
      <t>ω</t>
    </r>
    <r>
      <rPr>
        <i/>
        <vertAlign val="subscript"/>
        <sz val="12"/>
        <rFont val="Calibri"/>
        <family val="2"/>
      </rPr>
      <t>3</t>
    </r>
  </si>
  <si>
    <r>
      <t>V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</si>
  <si>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mètres</t>
    </r>
    <r>
      <rPr>
        <vertAlign val="superscript"/>
        <sz val="12"/>
        <color theme="2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</si>
  <si>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</si>
  <si>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λ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</si>
  <si>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</si>
  <si>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mètres</t>
    </r>
    <r>
      <rPr>
        <vertAlign val="superscript"/>
        <sz val="12"/>
        <color theme="0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</si>
  <si>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</si>
  <si>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</si>
  <si>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</si>
  <si>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</si>
  <si>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2</t>
    </r>
  </si>
  <si>
    <t>Calcule corps statiques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</si>
  <si>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1y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</si>
  <si>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1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|</t>
    </r>
  </si>
  <si>
    <t>Calculs corp en mouvement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</si>
  <si>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2x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2x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</si>
  <si>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2y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</si>
  <si>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2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|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</si>
  <si>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</si>
  <si>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</si>
  <si>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3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|</t>
    </r>
  </si>
  <si>
    <t>Position courante</t>
  </si>
  <si>
    <t>Répulsion</t>
  </si>
  <si>
    <t>Jours de voyage du Romano-Fafard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</si>
</sst>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vertAlign val="superscript"/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b/>
      <sz val="16"/>
      <name val="Calibri"/>
      <family val="2"/>
      <scheme val="minor"/>
    </font>
    <font>
      <i/>
      <sz val="12"/>
      <name val="Calibri"/>
      <family val="2"/>
      <scheme val="minor"/>
    </font>
    <font>
      <i/>
      <vertAlign val="subscript"/>
      <sz val="12"/>
      <name val="Calibri"/>
      <family val="2"/>
      <scheme val="minor"/>
    </font>
    <font>
      <i/>
      <sz val="12"/>
      <name val="Calibri"/>
      <family val="2"/>
    </font>
    <font>
      <i/>
      <vertAlign val="subscript"/>
      <sz val="12"/>
      <name val="Calibri"/>
      <family val="2"/>
    </font>
    <font>
      <b/>
      <i/>
      <sz val="14"/>
      <color theme="4" tint="-0.249977111117893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i/>
      <sz val="12"/>
      <color theme="2" tint="-0.499984740745262"/>
      <name val="Calibri"/>
      <family val="2"/>
    </font>
    <font>
      <i/>
      <vertAlign val="subscript"/>
      <sz val="12"/>
      <color theme="2" tint="-0.499984740745262"/>
      <name val="Calibri"/>
      <family val="2"/>
    </font>
    <font>
      <vertAlign val="superscript"/>
      <sz val="12"/>
      <color theme="2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i/>
      <sz val="12"/>
      <color theme="0" tint="-0.499984740745262"/>
      <name val="Calibri"/>
      <family val="2"/>
    </font>
    <font>
      <i/>
      <vertAlign val="subscript"/>
      <sz val="12"/>
      <color theme="0" tint="-0.499984740745262"/>
      <name val="Calibri"/>
      <family val="2"/>
    </font>
    <font>
      <vertAlign val="superscript"/>
      <sz val="12"/>
      <color theme="0" tint="-0.499984740745262"/>
      <name val="Calibri"/>
      <family val="2"/>
      <scheme val="minor"/>
    </font>
    <font>
      <b/>
      <i/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6" fillId="0" borderId="0" xfId="0" applyFont="1"/>
    <xf numFmtId="0" fontId="12" fillId="0" borderId="0" xfId="0" applyFont="1" applyBorder="1"/>
    <xf numFmtId="0" fontId="22" fillId="0" borderId="0" xfId="0" applyFont="1" applyBorder="1"/>
    <xf numFmtId="0" fontId="12" fillId="7" borderId="0" xfId="0" applyFont="1" applyFill="1" applyBorder="1"/>
    <xf numFmtId="0" fontId="14" fillId="3" borderId="0" xfId="0" applyFont="1" applyFill="1" applyBorder="1"/>
    <xf numFmtId="0" fontId="18" fillId="3" borderId="0" xfId="0" applyFont="1" applyFill="1" applyBorder="1"/>
    <xf numFmtId="0" fontId="12" fillId="3" borderId="0" xfId="0" applyFont="1" applyFill="1" applyBorder="1"/>
    <xf numFmtId="0" fontId="6" fillId="3" borderId="0" xfId="0" applyFont="1" applyFill="1" applyBorder="1" applyAlignment="1">
      <alignment horizontal="center"/>
    </xf>
    <xf numFmtId="0" fontId="12" fillId="2" borderId="0" xfId="0" applyFont="1" applyFill="1" applyBorder="1"/>
    <xf numFmtId="0" fontId="18" fillId="2" borderId="0" xfId="0" applyFont="1" applyFill="1" applyBorder="1"/>
    <xf numFmtId="0" fontId="9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22" fillId="2" borderId="0" xfId="0" applyFont="1" applyFill="1" applyBorder="1"/>
    <xf numFmtId="0" fontId="6" fillId="7" borderId="0" xfId="0" applyFont="1" applyFill="1" applyBorder="1" applyAlignment="1">
      <alignment horizontal="center" vertical="center"/>
    </xf>
    <xf numFmtId="0" fontId="14" fillId="7" borderId="0" xfId="0" applyFont="1" applyFill="1" applyBorder="1"/>
    <xf numFmtId="0" fontId="22" fillId="7" borderId="0" xfId="0" applyFont="1" applyFill="1" applyBorder="1"/>
    <xf numFmtId="0" fontId="12" fillId="8" borderId="0" xfId="0" applyFont="1" applyFill="1" applyBorder="1"/>
    <xf numFmtId="0" fontId="6" fillId="8" borderId="0" xfId="0" applyFont="1" applyFill="1" applyBorder="1" applyAlignment="1">
      <alignment horizontal="center"/>
    </xf>
    <xf numFmtId="3" fontId="6" fillId="8" borderId="0" xfId="0" applyNumberFormat="1" applyFont="1" applyFill="1" applyBorder="1" applyAlignment="1">
      <alignment horizontal="center"/>
    </xf>
    <xf numFmtId="0" fontId="14" fillId="8" borderId="0" xfId="0" applyFont="1" applyFill="1" applyBorder="1"/>
    <xf numFmtId="0" fontId="22" fillId="8" borderId="0" xfId="0" applyFont="1" applyFill="1" applyBorder="1"/>
    <xf numFmtId="0" fontId="9" fillId="9" borderId="0" xfId="0" applyFont="1" applyFill="1" applyBorder="1" applyAlignment="1">
      <alignment horizontal="center"/>
    </xf>
    <xf numFmtId="0" fontId="12" fillId="9" borderId="0" xfId="0" applyFont="1" applyFill="1" applyBorder="1"/>
    <xf numFmtId="0" fontId="6" fillId="9" borderId="0" xfId="0" applyFont="1" applyFill="1" applyBorder="1" applyAlignment="1">
      <alignment horizontal="center" vertical="center"/>
    </xf>
    <xf numFmtId="0" fontId="25" fillId="6" borderId="0" xfId="0" applyFont="1" applyFill="1" applyBorder="1" applyAlignment="1"/>
    <xf numFmtId="0" fontId="6" fillId="9" borderId="2" xfId="0" applyFont="1" applyFill="1" applyBorder="1"/>
    <xf numFmtId="0" fontId="6" fillId="2" borderId="2" xfId="0" applyFont="1" applyFill="1" applyBorder="1"/>
    <xf numFmtId="0" fontId="6" fillId="9" borderId="4" xfId="0" applyFont="1" applyFill="1" applyBorder="1"/>
    <xf numFmtId="0" fontId="10" fillId="9" borderId="5" xfId="0" applyFont="1" applyFill="1" applyBorder="1" applyAlignment="1">
      <alignment horizontal="center"/>
    </xf>
    <xf numFmtId="0" fontId="6" fillId="2" borderId="3" xfId="0" applyFont="1" applyFill="1" applyBorder="1"/>
    <xf numFmtId="0" fontId="6" fillId="9" borderId="3" xfId="0" applyFont="1" applyFill="1" applyBorder="1"/>
    <xf numFmtId="0" fontId="6" fillId="2" borderId="4" xfId="0" applyFont="1" applyFill="1" applyBorder="1"/>
    <xf numFmtId="0" fontId="12" fillId="2" borderId="5" xfId="0" applyFont="1" applyFill="1" applyBorder="1"/>
    <xf numFmtId="0" fontId="6" fillId="2" borderId="6" xfId="0" applyFont="1" applyFill="1" applyBorder="1"/>
    <xf numFmtId="0" fontId="6" fillId="3" borderId="2" xfId="0" applyFont="1" applyFill="1" applyBorder="1"/>
    <xf numFmtId="0" fontId="6" fillId="3" borderId="3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17" fillId="3" borderId="2" xfId="0" applyFont="1" applyFill="1" applyBorder="1"/>
    <xf numFmtId="0" fontId="17" fillId="3" borderId="3" xfId="0" applyFont="1" applyFill="1" applyBorder="1"/>
    <xf numFmtId="0" fontId="6" fillId="8" borderId="2" xfId="0" applyFont="1" applyFill="1" applyBorder="1"/>
    <xf numFmtId="0" fontId="6" fillId="8" borderId="3" xfId="0" applyFont="1" applyFill="1" applyBorder="1"/>
    <xf numFmtId="0" fontId="21" fillId="2" borderId="2" xfId="0" applyFont="1" applyFill="1" applyBorder="1"/>
    <xf numFmtId="0" fontId="21" fillId="2" borderId="3" xfId="0" applyFont="1" applyFill="1" applyBorder="1"/>
    <xf numFmtId="0" fontId="21" fillId="8" borderId="2" xfId="0" applyFont="1" applyFill="1" applyBorder="1"/>
    <xf numFmtId="0" fontId="21" fillId="8" borderId="3" xfId="0" applyFont="1" applyFill="1" applyBorder="1"/>
    <xf numFmtId="0" fontId="25" fillId="6" borderId="2" xfId="0" applyFont="1" applyFill="1" applyBorder="1" applyAlignment="1"/>
    <xf numFmtId="0" fontId="25" fillId="6" borderId="3" xfId="0" applyFont="1" applyFill="1" applyBorder="1" applyAlignment="1"/>
    <xf numFmtId="0" fontId="6" fillId="7" borderId="2" xfId="0" applyFont="1" applyFill="1" applyBorder="1"/>
    <xf numFmtId="0" fontId="6" fillId="7" borderId="3" xfId="0" applyFont="1" applyFill="1" applyBorder="1"/>
    <xf numFmtId="0" fontId="6" fillId="0" borderId="2" xfId="0" applyFont="1" applyBorder="1"/>
    <xf numFmtId="0" fontId="6" fillId="0" borderId="3" xfId="0" applyFont="1" applyBorder="1"/>
    <xf numFmtId="0" fontId="21" fillId="0" borderId="2" xfId="0" applyFont="1" applyBorder="1"/>
    <xf numFmtId="0" fontId="21" fillId="0" borderId="3" xfId="0" applyFont="1" applyBorder="1"/>
    <xf numFmtId="0" fontId="21" fillId="7" borderId="2" xfId="0" applyFont="1" applyFill="1" applyBorder="1"/>
    <xf numFmtId="0" fontId="21" fillId="7" borderId="3" xfId="0" applyFont="1" applyFill="1" applyBorder="1"/>
    <xf numFmtId="0" fontId="6" fillId="7" borderId="4" xfId="0" applyFont="1" applyFill="1" applyBorder="1"/>
    <xf numFmtId="0" fontId="14" fillId="7" borderId="5" xfId="0" applyFont="1" applyFill="1" applyBorder="1"/>
    <xf numFmtId="0" fontId="6" fillId="7" borderId="6" xfId="0" applyFont="1" applyFill="1" applyBorder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Border="1"/>
    <xf numFmtId="0" fontId="2" fillId="0" borderId="5" xfId="0" applyFon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7" fillId="0" borderId="16" xfId="0" applyFont="1" applyBorder="1" applyAlignment="1">
      <alignment horizontal="right"/>
    </xf>
    <xf numFmtId="0" fontId="0" fillId="0" borderId="3" xfId="0" applyBorder="1"/>
    <xf numFmtId="0" fontId="0" fillId="0" borderId="13" xfId="0" applyBorder="1"/>
    <xf numFmtId="0" fontId="0" fillId="0" borderId="14" xfId="0" applyBorder="1"/>
    <xf numFmtId="0" fontId="0" fillId="0" borderId="1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11" fillId="10" borderId="7" xfId="0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11" fillId="10" borderId="9" xfId="0" applyFont="1" applyFill="1" applyBorder="1" applyAlignment="1">
      <alignment horizontal="left" vertical="center"/>
    </xf>
    <xf numFmtId="0" fontId="11" fillId="10" borderId="7" xfId="0" applyFont="1" applyFill="1" applyBorder="1" applyAlignment="1">
      <alignment horizontal="left"/>
    </xf>
    <xf numFmtId="0" fontId="11" fillId="10" borderId="8" xfId="0" applyFont="1" applyFill="1" applyBorder="1" applyAlignment="1">
      <alignment horizontal="left"/>
    </xf>
    <xf numFmtId="0" fontId="11" fillId="10" borderId="9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left"/>
    </xf>
    <xf numFmtId="0" fontId="25" fillId="5" borderId="0" xfId="0" applyFont="1" applyFill="1" applyBorder="1" applyAlignment="1">
      <alignment horizontal="left"/>
    </xf>
    <xf numFmtId="0" fontId="25" fillId="5" borderId="3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1" fillId="8" borderId="0" xfId="0" applyFont="1" applyFill="1" applyBorder="1" applyAlignment="1">
      <alignment horizontal="center"/>
    </xf>
    <xf numFmtId="0" fontId="25" fillId="4" borderId="2" xfId="0" applyFont="1" applyFill="1" applyBorder="1" applyAlignment="1">
      <alignment horizontal="left"/>
    </xf>
    <xf numFmtId="0" fontId="25" fillId="4" borderId="0" xfId="0" applyFont="1" applyFill="1" applyBorder="1" applyAlignment="1">
      <alignment horizontal="left"/>
    </xf>
    <xf numFmtId="0" fontId="25" fillId="4" borderId="3" xfId="0" applyFont="1" applyFill="1" applyBorder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fif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sz="2200" b="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Simulateur de gravité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112695832420951E-2"/>
          <c:y val="9.3088169156758729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Feuille1!$A$18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Feuille1!$D$284:$D$304</c:f>
              <c:numCache>
                <c:formatCode>General</c:formatCode>
                <c:ptCount val="21"/>
                <c:pt idx="0">
                  <c:v>27500</c:v>
                </c:pt>
                <c:pt idx="1">
                  <c:v>27132.923872213651</c:v>
                </c:pt>
                <c:pt idx="2">
                  <c:v>26067.627457812105</c:v>
                </c:pt>
                <c:pt idx="3">
                  <c:v>24408.389392193549</c:v>
                </c:pt>
                <c:pt idx="4">
                  <c:v>22317.627457812105</c:v>
                </c:pt>
                <c:pt idx="5">
                  <c:v>20000</c:v>
                </c:pt>
                <c:pt idx="6">
                  <c:v>17682.372542187895</c:v>
                </c:pt>
                <c:pt idx="7">
                  <c:v>15591.610607806451</c:v>
                </c:pt>
                <c:pt idx="8">
                  <c:v>13932.372542187895</c:v>
                </c:pt>
                <c:pt idx="9">
                  <c:v>12867.076127786349</c:v>
                </c:pt>
                <c:pt idx="10">
                  <c:v>12500</c:v>
                </c:pt>
                <c:pt idx="11">
                  <c:v>12867.076127786346</c:v>
                </c:pt>
                <c:pt idx="12">
                  <c:v>13932.372542187893</c:v>
                </c:pt>
                <c:pt idx="13">
                  <c:v>15591.610607806451</c:v>
                </c:pt>
                <c:pt idx="14">
                  <c:v>17682.372542187892</c:v>
                </c:pt>
                <c:pt idx="15">
                  <c:v>20000</c:v>
                </c:pt>
                <c:pt idx="16">
                  <c:v>22317.627457812105</c:v>
                </c:pt>
                <c:pt idx="17">
                  <c:v>24408.389392193545</c:v>
                </c:pt>
                <c:pt idx="18">
                  <c:v>26067.627457812105</c:v>
                </c:pt>
                <c:pt idx="19">
                  <c:v>27132.923872213651</c:v>
                </c:pt>
                <c:pt idx="20">
                  <c:v>27500</c:v>
                </c:pt>
              </c:numCache>
            </c:numRef>
          </c:xVal>
          <c:yVal>
            <c:numRef>
              <c:f>Feuille1!$E$284:$E$304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EE-4086-A22A-ADDC70B849CF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Feuille1!$G$284:$G$304</c:f>
              <c:numCache>
                <c:formatCode>General</c:formatCode>
                <c:ptCount val="21"/>
                <c:pt idx="0">
                  <c:v>-12500</c:v>
                </c:pt>
                <c:pt idx="1">
                  <c:v>-12867.076127786349</c:v>
                </c:pt>
                <c:pt idx="2">
                  <c:v>-13932.372542187895</c:v>
                </c:pt>
                <c:pt idx="3">
                  <c:v>-15591.610607806451</c:v>
                </c:pt>
                <c:pt idx="4">
                  <c:v>-17682.372542187895</c:v>
                </c:pt>
                <c:pt idx="5">
                  <c:v>-20000</c:v>
                </c:pt>
                <c:pt idx="6">
                  <c:v>-22317.627457812105</c:v>
                </c:pt>
                <c:pt idx="7">
                  <c:v>-24408.389392193549</c:v>
                </c:pt>
                <c:pt idx="8">
                  <c:v>-26067.627457812105</c:v>
                </c:pt>
                <c:pt idx="9">
                  <c:v>-27132.923872213651</c:v>
                </c:pt>
                <c:pt idx="10">
                  <c:v>-27500</c:v>
                </c:pt>
                <c:pt idx="11">
                  <c:v>-27132.923872213654</c:v>
                </c:pt>
                <c:pt idx="12">
                  <c:v>-26067.627457812108</c:v>
                </c:pt>
                <c:pt idx="13">
                  <c:v>-24408.389392193549</c:v>
                </c:pt>
                <c:pt idx="14">
                  <c:v>-22317.627457812108</c:v>
                </c:pt>
                <c:pt idx="15">
                  <c:v>-20000</c:v>
                </c:pt>
                <c:pt idx="16">
                  <c:v>-17682.372542187895</c:v>
                </c:pt>
                <c:pt idx="17">
                  <c:v>-15591.610607806453</c:v>
                </c:pt>
                <c:pt idx="18">
                  <c:v>-13932.372542187895</c:v>
                </c:pt>
                <c:pt idx="19">
                  <c:v>-12867.076127786349</c:v>
                </c:pt>
                <c:pt idx="20">
                  <c:v>-12500</c:v>
                </c:pt>
              </c:numCache>
            </c:numRef>
          </c:xVal>
          <c:yVal>
            <c:numRef>
              <c:f>Feuille1!$H$284:$H$304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EE-4086-A22A-ADDC70B849CF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Feuille1!$J$284:$J$304</c:f>
              <c:numCache>
                <c:formatCode>General</c:formatCode>
                <c:ptCount val="21"/>
                <c:pt idx="0">
                  <c:v>2500</c:v>
                </c:pt>
                <c:pt idx="1">
                  <c:v>2132.9238722136515</c:v>
                </c:pt>
                <c:pt idx="2">
                  <c:v>1067.6274578121056</c:v>
                </c:pt>
                <c:pt idx="3">
                  <c:v>-591.6106078064513</c:v>
                </c:pt>
                <c:pt idx="4">
                  <c:v>-2682.3725421878939</c:v>
                </c:pt>
                <c:pt idx="5">
                  <c:v>-4999.9999999999991</c:v>
                </c:pt>
                <c:pt idx="6">
                  <c:v>-7317.6274578121047</c:v>
                </c:pt>
                <c:pt idx="7">
                  <c:v>-9408.3893921935487</c:v>
                </c:pt>
                <c:pt idx="8">
                  <c:v>-11067.627457812105</c:v>
                </c:pt>
                <c:pt idx="9">
                  <c:v>-12132.923872213651</c:v>
                </c:pt>
                <c:pt idx="10">
                  <c:v>-12500</c:v>
                </c:pt>
                <c:pt idx="11">
                  <c:v>-12132.923872213654</c:v>
                </c:pt>
                <c:pt idx="12">
                  <c:v>-11067.627457812107</c:v>
                </c:pt>
                <c:pt idx="13">
                  <c:v>-9408.3893921935487</c:v>
                </c:pt>
                <c:pt idx="14">
                  <c:v>-7317.6274578121065</c:v>
                </c:pt>
                <c:pt idx="15">
                  <c:v>-5000.0000000000018</c:v>
                </c:pt>
                <c:pt idx="16">
                  <c:v>-2682.3725421878958</c:v>
                </c:pt>
                <c:pt idx="17">
                  <c:v>-591.61060780645312</c:v>
                </c:pt>
                <c:pt idx="18">
                  <c:v>1067.6274578121047</c:v>
                </c:pt>
                <c:pt idx="19">
                  <c:v>2132.9238722136515</c:v>
                </c:pt>
                <c:pt idx="20">
                  <c:v>2500</c:v>
                </c:pt>
              </c:numCache>
            </c:numRef>
          </c:xVal>
          <c:yVal>
            <c:numRef>
              <c:f>Feuille1!$K$284:$K$304</c:f>
              <c:numCache>
                <c:formatCode>General</c:formatCode>
                <c:ptCount val="21"/>
                <c:pt idx="0">
                  <c:v>-35000</c:v>
                </c:pt>
                <c:pt idx="1">
                  <c:v>-32682.372542187895</c:v>
                </c:pt>
                <c:pt idx="2">
                  <c:v>-30591.610607806451</c:v>
                </c:pt>
                <c:pt idx="3">
                  <c:v>-28932.372542187895</c:v>
                </c:pt>
                <c:pt idx="4">
                  <c:v>-27867.076127786349</c:v>
                </c:pt>
                <c:pt idx="5">
                  <c:v>-27500</c:v>
                </c:pt>
                <c:pt idx="6">
                  <c:v>-27867.076127786349</c:v>
                </c:pt>
                <c:pt idx="7">
                  <c:v>-28932.372542187895</c:v>
                </c:pt>
                <c:pt idx="8">
                  <c:v>-30591.610607806451</c:v>
                </c:pt>
                <c:pt idx="9">
                  <c:v>-32682.372542187892</c:v>
                </c:pt>
                <c:pt idx="10">
                  <c:v>-35000</c:v>
                </c:pt>
                <c:pt idx="11">
                  <c:v>-37317.627457812101</c:v>
                </c:pt>
                <c:pt idx="12">
                  <c:v>-39408.389392193545</c:v>
                </c:pt>
                <c:pt idx="13">
                  <c:v>-41067.627457812108</c:v>
                </c:pt>
                <c:pt idx="14">
                  <c:v>-42132.923872213651</c:v>
                </c:pt>
                <c:pt idx="15">
                  <c:v>-42500</c:v>
                </c:pt>
                <c:pt idx="16">
                  <c:v>-42132.923872213651</c:v>
                </c:pt>
                <c:pt idx="17">
                  <c:v>-41067.627457812108</c:v>
                </c:pt>
                <c:pt idx="18">
                  <c:v>-39408.389392193552</c:v>
                </c:pt>
                <c:pt idx="19">
                  <c:v>-37317.627457812108</c:v>
                </c:pt>
                <c:pt idx="20">
                  <c:v>-35000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EE-4086-A22A-ADDC70B849CF}"/>
            </c:ext>
          </c:extLst>
        </c:ser>
        <c:ser>
          <c:idx val="3"/>
          <c:order val="3"/>
          <c:tx>
            <c:v>Vaisseau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Feuille1!$B$309:$B$1309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-46.78891316404583</c:v>
                </c:pt>
                <c:pt idx="3">
                  <c:v>-139.29493540965603</c:v>
                </c:pt>
                <c:pt idx="4">
                  <c:v>-275.94808457685957</c:v>
                </c:pt>
                <c:pt idx="5">
                  <c:v>-455.98835000101002</c:v>
                </c:pt>
                <c:pt idx="6">
                  <c:v>-681.94804794663492</c:v>
                </c:pt>
                <c:pt idx="7">
                  <c:v>-964.28449484806242</c:v>
                </c:pt>
                <c:pt idx="8">
                  <c:v>-1329.9302217769473</c:v>
                </c:pt>
                <c:pt idx="9">
                  <c:v>-1836.4300830733741</c:v>
                </c:pt>
                <c:pt idx="10">
                  <c:v>-2587.6126754469583</c:v>
                </c:pt>
                <c:pt idx="11">
                  <c:v>-3731.1314779742588</c:v>
                </c:pt>
                <c:pt idx="12">
                  <c:v>-5418.3072471880932</c:v>
                </c:pt>
                <c:pt idx="13">
                  <c:v>-7755.6826108510741</c:v>
                </c:pt>
                <c:pt idx="14">
                  <c:v>-10793.129508855021</c:v>
                </c:pt>
                <c:pt idx="15">
                  <c:v>-14531.340122390315</c:v>
                </c:pt>
                <c:pt idx="16">
                  <c:v>-18875.773821104078</c:v>
                </c:pt>
                <c:pt idx="17">
                  <c:v>-23285.215604678637</c:v>
                </c:pt>
                <c:pt idx="18">
                  <c:v>-25467.296599943893</c:v>
                </c:pt>
                <c:pt idx="19">
                  <c:v>-24826.953555193173</c:v>
                </c:pt>
                <c:pt idx="20">
                  <c:v>-22823.479066875145</c:v>
                </c:pt>
                <c:pt idx="21">
                  <c:v>-20154.184784415571</c:v>
                </c:pt>
                <c:pt idx="22">
                  <c:v>-17172.485657145662</c:v>
                </c:pt>
                <c:pt idx="23">
                  <c:v>-14116.768489337132</c:v>
                </c:pt>
                <c:pt idx="24">
                  <c:v>-11188.052992838895</c:v>
                </c:pt>
                <c:pt idx="25">
                  <c:v>-8572.2860293945323</c:v>
                </c:pt>
                <c:pt idx="26">
                  <c:v>-6437.1465664743246</c:v>
                </c:pt>
                <c:pt idx="27">
                  <c:v>-4910.5352032405071</c:v>
                </c:pt>
                <c:pt idx="28">
                  <c:v>-4045.8700454638715</c:v>
                </c:pt>
                <c:pt idx="29">
                  <c:v>-3804.9500817108519</c:v>
                </c:pt>
                <c:pt idx="30">
                  <c:v>-4094.1222812934266</c:v>
                </c:pt>
                <c:pt idx="31">
                  <c:v>-4820.978187995991</c:v>
                </c:pt>
                <c:pt idx="32">
                  <c:v>-5922.691001665049</c:v>
                </c:pt>
                <c:pt idx="33">
                  <c:v>-7371.417574045804</c:v>
                </c:pt>
                <c:pt idx="34">
                  <c:v>-9177.2924608102348</c:v>
                </c:pt>
                <c:pt idx="35">
                  <c:v>-11401.826553280598</c:v>
                </c:pt>
                <c:pt idx="36">
                  <c:v>-14197.600355117003</c:v>
                </c:pt>
                <c:pt idx="37">
                  <c:v>-17905.7515378057</c:v>
                </c:pt>
                <c:pt idx="38">
                  <c:v>-22748.797344037252</c:v>
                </c:pt>
                <c:pt idx="39">
                  <c:v>-25553.518853641552</c:v>
                </c:pt>
                <c:pt idx="40">
                  <c:v>-26957.283190311231</c:v>
                </c:pt>
                <c:pt idx="41">
                  <c:v>-27358.153674587993</c:v>
                </c:pt>
                <c:pt idx="42">
                  <c:v>-26938.446715383368</c:v>
                </c:pt>
                <c:pt idx="43">
                  <c:v>-25794.688650388227</c:v>
                </c:pt>
                <c:pt idx="44">
                  <c:v>-23990.317390814311</c:v>
                </c:pt>
                <c:pt idx="45">
                  <c:v>-21591.099602405222</c:v>
                </c:pt>
                <c:pt idx="46">
                  <c:v>-18726.368516067898</c:v>
                </c:pt>
                <c:pt idx="47">
                  <c:v>-15798.069399318099</c:v>
                </c:pt>
                <c:pt idx="48">
                  <c:v>-14213.413198195991</c:v>
                </c:pt>
                <c:pt idx="49">
                  <c:v>-15147.538061212928</c:v>
                </c:pt>
                <c:pt idx="50">
                  <c:v>-17021.163888333493</c:v>
                </c:pt>
                <c:pt idx="51">
                  <c:v>-19052.326867520533</c:v>
                </c:pt>
                <c:pt idx="52">
                  <c:v>-20938.203330506924</c:v>
                </c:pt>
                <c:pt idx="53">
                  <c:v>-22501.316456879536</c:v>
                </c:pt>
                <c:pt idx="54">
                  <c:v>-23550.520709560165</c:v>
                </c:pt>
                <c:pt idx="55">
                  <c:v>-23731.861806341654</c:v>
                </c:pt>
                <c:pt idx="56">
                  <c:v>-22096.122801000889</c:v>
                </c:pt>
                <c:pt idx="57">
                  <c:v>-18350.446183940359</c:v>
                </c:pt>
                <c:pt idx="58">
                  <c:v>-14846.838695493698</c:v>
                </c:pt>
                <c:pt idx="59">
                  <c:v>-11741.61187132232</c:v>
                </c:pt>
                <c:pt idx="60">
                  <c:v>-8965.8001797003926</c:v>
                </c:pt>
                <c:pt idx="61">
                  <c:v>-6457.0322506808197</c:v>
                </c:pt>
                <c:pt idx="62">
                  <c:v>-4166.8372191814851</c:v>
                </c:pt>
                <c:pt idx="63">
                  <c:v>-2049.1404860891712</c:v>
                </c:pt>
                <c:pt idx="64">
                  <c:v>-46.560924523298524</c:v>
                </c:pt>
                <c:pt idx="65">
                  <c:v>1927.2732960766211</c:v>
                </c:pt>
                <c:pt idx="66">
                  <c:v>4015.8748480916947</c:v>
                </c:pt>
                <c:pt idx="67">
                  <c:v>6470.8810614878894</c:v>
                </c:pt>
                <c:pt idx="68">
                  <c:v>9750.8837999134284</c:v>
                </c:pt>
                <c:pt idx="69">
                  <c:v>14699.290749678192</c:v>
                </c:pt>
                <c:pt idx="70">
                  <c:v>22095.759706341971</c:v>
                </c:pt>
                <c:pt idx="71">
                  <c:v>27908.549740062372</c:v>
                </c:pt>
                <c:pt idx="72">
                  <c:v>31237.866611446236</c:v>
                </c:pt>
                <c:pt idx="73">
                  <c:v>32421.602068457585</c:v>
                </c:pt>
                <c:pt idx="74">
                  <c:v>31598.459136710138</c:v>
                </c:pt>
                <c:pt idx="75">
                  <c:v>28676.32585850031</c:v>
                </c:pt>
                <c:pt idx="76">
                  <c:v>23383.854215846561</c:v>
                </c:pt>
                <c:pt idx="77">
                  <c:v>16161.09134170632</c:v>
                </c:pt>
                <c:pt idx="78">
                  <c:v>10732.311799085499</c:v>
                </c:pt>
                <c:pt idx="79">
                  <c:v>7250.0216656936418</c:v>
                </c:pt>
                <c:pt idx="80">
                  <c:v>4858.7179517861441</c:v>
                </c:pt>
                <c:pt idx="81">
                  <c:v>3041.9311479544795</c:v>
                </c:pt>
                <c:pt idx="82">
                  <c:v>1513.4453762996513</c:v>
                </c:pt>
                <c:pt idx="83">
                  <c:v>104.06083095437862</c:v>
                </c:pt>
                <c:pt idx="84">
                  <c:v>-1305.0579283749703</c:v>
                </c:pt>
                <c:pt idx="85">
                  <c:v>-2826.5571539336352</c:v>
                </c:pt>
                <c:pt idx="86">
                  <c:v>-4608.5894084523406</c:v>
                </c:pt>
                <c:pt idx="87">
                  <c:v>-6894.7323546438483</c:v>
                </c:pt>
                <c:pt idx="88">
                  <c:v>-10134.382989384421</c:v>
                </c:pt>
                <c:pt idx="89">
                  <c:v>-15172.650531436539</c:v>
                </c:pt>
                <c:pt idx="90">
                  <c:v>-22564.595225092104</c:v>
                </c:pt>
                <c:pt idx="91">
                  <c:v>-28253.557025683836</c:v>
                </c:pt>
                <c:pt idx="92">
                  <c:v>-31642.697916029814</c:v>
                </c:pt>
                <c:pt idx="93">
                  <c:v>-33049.5056348418</c:v>
                </c:pt>
                <c:pt idx="94">
                  <c:v>-32597.275624446633</c:v>
                </c:pt>
                <c:pt idx="95">
                  <c:v>-30172.811018894161</c:v>
                </c:pt>
                <c:pt idx="96">
                  <c:v>-25353.258155013496</c:v>
                </c:pt>
                <c:pt idx="97">
                  <c:v>-17628.005423871637</c:v>
                </c:pt>
                <c:pt idx="98">
                  <c:v>-11449.271144443377</c:v>
                </c:pt>
                <c:pt idx="99">
                  <c:v>-7410.0239285723874</c:v>
                </c:pt>
                <c:pt idx="100">
                  <c:v>-4540.6412352249863</c:v>
                </c:pt>
                <c:pt idx="101">
                  <c:v>-2270.0179614925041</c:v>
                </c:pt>
                <c:pt idx="102">
                  <c:v>-259.99300081202239</c:v>
                </c:pt>
                <c:pt idx="103">
                  <c:v>1706.0582448464729</c:v>
                </c:pt>
                <c:pt idx="104">
                  <c:v>3782.8859692764313</c:v>
                </c:pt>
                <c:pt idx="105">
                  <c:v>6102.4618719834243</c:v>
                </c:pt>
                <c:pt idx="106">
                  <c:v>8807.641841639128</c:v>
                </c:pt>
                <c:pt idx="107">
                  <c:v>12092.844766506523</c:v>
                </c:pt>
                <c:pt idx="108">
                  <c:v>16261.581710994251</c:v>
                </c:pt>
                <c:pt idx="109">
                  <c:v>21604.496546456703</c:v>
                </c:pt>
                <c:pt idx="110">
                  <c:v>25107.693252002173</c:v>
                </c:pt>
                <c:pt idx="111">
                  <c:v>26314.000920958024</c:v>
                </c:pt>
                <c:pt idx="112">
                  <c:v>26035.742619529432</c:v>
                </c:pt>
                <c:pt idx="113">
                  <c:v>24604.887144408756</c:v>
                </c:pt>
                <c:pt idx="114">
                  <c:v>22159.193736631722</c:v>
                </c:pt>
                <c:pt idx="115">
                  <c:v>18863.452984774973</c:v>
                </c:pt>
                <c:pt idx="116">
                  <c:v>15998.482629473827</c:v>
                </c:pt>
                <c:pt idx="117">
                  <c:v>15198.712421932831</c:v>
                </c:pt>
                <c:pt idx="118">
                  <c:v>15144.47103382949</c:v>
                </c:pt>
                <c:pt idx="119">
                  <c:v>15332.464677241753</c:v>
                </c:pt>
                <c:pt idx="120">
                  <c:v>15577.542738863154</c:v>
                </c:pt>
                <c:pt idx="121">
                  <c:v>15809.086172567077</c:v>
                </c:pt>
                <c:pt idx="122">
                  <c:v>16017.481863114748</c:v>
                </c:pt>
                <c:pt idx="123">
                  <c:v>16251.86220611009</c:v>
                </c:pt>
                <c:pt idx="124">
                  <c:v>16670.014677073716</c:v>
                </c:pt>
                <c:pt idx="125">
                  <c:v>17752.713770071547</c:v>
                </c:pt>
                <c:pt idx="126">
                  <c:v>20474.93675233626</c:v>
                </c:pt>
                <c:pt idx="127">
                  <c:v>22682.421654055528</c:v>
                </c:pt>
                <c:pt idx="128">
                  <c:v>24131.975964622197</c:v>
                </c:pt>
                <c:pt idx="129">
                  <c:v>24858.26304007975</c:v>
                </c:pt>
                <c:pt idx="130">
                  <c:v>24853.12010124743</c:v>
                </c:pt>
                <c:pt idx="131">
                  <c:v>24028.428182791064</c:v>
                </c:pt>
                <c:pt idx="132">
                  <c:v>22152.166467914292</c:v>
                </c:pt>
                <c:pt idx="133">
                  <c:v>18824.30825600434</c:v>
                </c:pt>
                <c:pt idx="134">
                  <c:v>16178.877030396787</c:v>
                </c:pt>
                <c:pt idx="135">
                  <c:v>14234.382460424375</c:v>
                </c:pt>
                <c:pt idx="136">
                  <c:v>12689.917116203145</c:v>
                </c:pt>
                <c:pt idx="137">
                  <c:v>11419.180850379602</c:v>
                </c:pt>
                <c:pt idx="138">
                  <c:v>10386.777350965072</c:v>
                </c:pt>
                <c:pt idx="139">
                  <c:v>9617.8828183913865</c:v>
                </c:pt>
                <c:pt idx="140">
                  <c:v>9199.6951207325255</c:v>
                </c:pt>
                <c:pt idx="141">
                  <c:v>9312.6876423559188</c:v>
                </c:pt>
                <c:pt idx="142">
                  <c:v>10311.844368613252</c:v>
                </c:pt>
                <c:pt idx="143">
                  <c:v>12874.16781988291</c:v>
                </c:pt>
                <c:pt idx="144">
                  <c:v>17833.053778508813</c:v>
                </c:pt>
                <c:pt idx="145">
                  <c:v>23670.810591593032</c:v>
                </c:pt>
                <c:pt idx="146">
                  <c:v>27819.157300799601</c:v>
                </c:pt>
                <c:pt idx="147">
                  <c:v>29686.292086743881</c:v>
                </c:pt>
                <c:pt idx="148">
                  <c:v>29110.611748641179</c:v>
                </c:pt>
                <c:pt idx="149">
                  <c:v>25884.212746660367</c:v>
                </c:pt>
                <c:pt idx="150">
                  <c:v>20098.301068752688</c:v>
                </c:pt>
                <c:pt idx="151">
                  <c:v>13943.706992002939</c:v>
                </c:pt>
                <c:pt idx="152">
                  <c:v>9645.5586197952816</c:v>
                </c:pt>
                <c:pt idx="153">
                  <c:v>7001.1578534580631</c:v>
                </c:pt>
                <c:pt idx="154">
                  <c:v>5459.5463531100722</c:v>
                </c:pt>
                <c:pt idx="155">
                  <c:v>4641.3771721980665</c:v>
                </c:pt>
                <c:pt idx="156">
                  <c:v>4334.6259260893275</c:v>
                </c:pt>
                <c:pt idx="157">
                  <c:v>4441.5740385763638</c:v>
                </c:pt>
                <c:pt idx="158">
                  <c:v>4945.1879929097777</c:v>
                </c:pt>
                <c:pt idx="159">
                  <c:v>5903.3337000855199</c:v>
                </c:pt>
                <c:pt idx="160">
                  <c:v>7475.8623781902443</c:v>
                </c:pt>
                <c:pt idx="161">
                  <c:v>10004.695592062661</c:v>
                </c:pt>
                <c:pt idx="162">
                  <c:v>14188.67860775848</c:v>
                </c:pt>
                <c:pt idx="163">
                  <c:v>20943.03300946132</c:v>
                </c:pt>
                <c:pt idx="164">
                  <c:v>26723.430568363401</c:v>
                </c:pt>
                <c:pt idx="165">
                  <c:v>29999.801773779735</c:v>
                </c:pt>
                <c:pt idx="166">
                  <c:v>31005.411447434439</c:v>
                </c:pt>
                <c:pt idx="167">
                  <c:v>29781.448588206491</c:v>
                </c:pt>
                <c:pt idx="168">
                  <c:v>26023.315265080037</c:v>
                </c:pt>
                <c:pt idx="169">
                  <c:v>19182.925527881725</c:v>
                </c:pt>
                <c:pt idx="170">
                  <c:v>12738.293762376283</c:v>
                </c:pt>
                <c:pt idx="171">
                  <c:v>8656.6199405103198</c:v>
                </c:pt>
                <c:pt idx="172">
                  <c:v>6026.8968411048972</c:v>
                </c:pt>
                <c:pt idx="173">
                  <c:v>4257.3218497050821</c:v>
                </c:pt>
                <c:pt idx="174">
                  <c:v>3005.2385880822949</c:v>
                </c:pt>
                <c:pt idx="175">
                  <c:v>2065.0998967771329</c:v>
                </c:pt>
                <c:pt idx="176">
                  <c:v>1308.9398003137969</c:v>
                </c:pt>
                <c:pt idx="177">
                  <c:v>652.33710706577915</c:v>
                </c:pt>
                <c:pt idx="178">
                  <c:v>33.152088063462763</c:v>
                </c:pt>
                <c:pt idx="179">
                  <c:v>-603.49270320228027</c:v>
                </c:pt>
                <c:pt idx="180">
                  <c:v>-1318.2930067207108</c:v>
                </c:pt>
                <c:pt idx="181">
                  <c:v>-2192.2972338791997</c:v>
                </c:pt>
                <c:pt idx="182">
                  <c:v>-3345.8983886602828</c:v>
                </c:pt>
                <c:pt idx="183">
                  <c:v>-4965.3189467448365</c:v>
                </c:pt>
                <c:pt idx="184">
                  <c:v>-7341.8225297154459</c:v>
                </c:pt>
                <c:pt idx="185">
                  <c:v>-10938.001021840864</c:v>
                </c:pt>
                <c:pt idx="186">
                  <c:v>-16476.737694658994</c:v>
                </c:pt>
                <c:pt idx="187">
                  <c:v>-23982.23199152077</c:v>
                </c:pt>
                <c:pt idx="188">
                  <c:v>-28579.60892967469</c:v>
                </c:pt>
                <c:pt idx="189">
                  <c:v>-30390.76060530814</c:v>
                </c:pt>
                <c:pt idx="190">
                  <c:v>-29937.9231296418</c:v>
                </c:pt>
                <c:pt idx="191">
                  <c:v>-27386.969597264095</c:v>
                </c:pt>
                <c:pt idx="192">
                  <c:v>-22714.783221683363</c:v>
                </c:pt>
                <c:pt idx="193">
                  <c:v>-16471.820207808592</c:v>
                </c:pt>
                <c:pt idx="194">
                  <c:v>-12202.00875497571</c:v>
                </c:pt>
                <c:pt idx="195">
                  <c:v>-10150.260945104166</c:v>
                </c:pt>
                <c:pt idx="196">
                  <c:v>-9420.7812739992078</c:v>
                </c:pt>
                <c:pt idx="197">
                  <c:v>-9573.2458206836473</c:v>
                </c:pt>
                <c:pt idx="198">
                  <c:v>-10447.535521001257</c:v>
                </c:pt>
                <c:pt idx="199">
                  <c:v>-12063.055100212376</c:v>
                </c:pt>
                <c:pt idx="200">
                  <c:v>-14641.538597051735</c:v>
                </c:pt>
                <c:pt idx="201">
                  <c:v>-18759.326935185538</c:v>
                </c:pt>
                <c:pt idx="202">
                  <c:v>-23802.797105838792</c:v>
                </c:pt>
                <c:pt idx="203">
                  <c:v>-26811.995599810762</c:v>
                </c:pt>
                <c:pt idx="204">
                  <c:v>-28280.144869610751</c:v>
                </c:pt>
                <c:pt idx="205">
                  <c:v>-28488.904040194735</c:v>
                </c:pt>
                <c:pt idx="206">
                  <c:v>-27535.581512558383</c:v>
                </c:pt>
                <c:pt idx="207">
                  <c:v>-25400.390401647612</c:v>
                </c:pt>
                <c:pt idx="208">
                  <c:v>-21970.789402680115</c:v>
                </c:pt>
                <c:pt idx="209">
                  <c:v>-17370.395476289981</c:v>
                </c:pt>
                <c:pt idx="210">
                  <c:v>-14751.021110945601</c:v>
                </c:pt>
                <c:pt idx="211">
                  <c:v>-13618.767565649607</c:v>
                </c:pt>
                <c:pt idx="212">
                  <c:v>-13227.197517621586</c:v>
                </c:pt>
                <c:pt idx="213">
                  <c:v>-13321.234244725223</c:v>
                </c:pt>
                <c:pt idx="214">
                  <c:v>-13849.95114125802</c:v>
                </c:pt>
                <c:pt idx="215">
                  <c:v>-14916.606527031117</c:v>
                </c:pt>
                <c:pt idx="216">
                  <c:v>-16898.42954399973</c:v>
                </c:pt>
                <c:pt idx="217">
                  <c:v>-20646.25711298193</c:v>
                </c:pt>
                <c:pt idx="218">
                  <c:v>-23651.893022181146</c:v>
                </c:pt>
                <c:pt idx="219">
                  <c:v>-25458.506515216486</c:v>
                </c:pt>
                <c:pt idx="220">
                  <c:v>-26201.763368364562</c:v>
                </c:pt>
                <c:pt idx="221">
                  <c:v>-25939.387494786381</c:v>
                </c:pt>
                <c:pt idx="222">
                  <c:v>-24640.8655540238</c:v>
                </c:pt>
                <c:pt idx="223">
                  <c:v>-22178.902040796169</c:v>
                </c:pt>
                <c:pt idx="224">
                  <c:v>-18468.743141551487</c:v>
                </c:pt>
                <c:pt idx="225">
                  <c:v>-15952.568029899092</c:v>
                </c:pt>
                <c:pt idx="226">
                  <c:v>-14667.046298277588</c:v>
                </c:pt>
                <c:pt idx="227">
                  <c:v>-14047.771148938786</c:v>
                </c:pt>
                <c:pt idx="228">
                  <c:v>-13920.248741902064</c:v>
                </c:pt>
                <c:pt idx="229">
                  <c:v>-14305.831837025695</c:v>
                </c:pt>
                <c:pt idx="230">
                  <c:v>-15442.489188631693</c:v>
                </c:pt>
                <c:pt idx="231">
                  <c:v>-18050.865646794202</c:v>
                </c:pt>
                <c:pt idx="232">
                  <c:v>-22170.260436604374</c:v>
                </c:pt>
                <c:pt idx="233">
                  <c:v>-25062.014651825608</c:v>
                </c:pt>
                <c:pt idx="234">
                  <c:v>-26676.186851490129</c:v>
                </c:pt>
                <c:pt idx="235">
                  <c:v>-27092.181326140937</c:v>
                </c:pt>
                <c:pt idx="236">
                  <c:v>-26278.615519991348</c:v>
                </c:pt>
                <c:pt idx="237">
                  <c:v>-24047.523458642248</c:v>
                </c:pt>
                <c:pt idx="238">
                  <c:v>-19999.169353281661</c:v>
                </c:pt>
                <c:pt idx="239">
                  <c:v>-15653.224034500483</c:v>
                </c:pt>
                <c:pt idx="240">
                  <c:v>-12851.192081497467</c:v>
                </c:pt>
                <c:pt idx="241">
                  <c:v>-10956.240161897278</c:v>
                </c:pt>
                <c:pt idx="242">
                  <c:v>-9692.3997871922911</c:v>
                </c:pt>
                <c:pt idx="243">
                  <c:v>-8980.3939556251989</c:v>
                </c:pt>
                <c:pt idx="244">
                  <c:v>-8869.0011364083675</c:v>
                </c:pt>
                <c:pt idx="245">
                  <c:v>-9558.6767443414301</c:v>
                </c:pt>
                <c:pt idx="246">
                  <c:v>-11515.355923273517</c:v>
                </c:pt>
                <c:pt idx="247">
                  <c:v>-15592.685920605309</c:v>
                </c:pt>
                <c:pt idx="248">
                  <c:v>-21657.737218467326</c:v>
                </c:pt>
                <c:pt idx="249">
                  <c:v>-26712.245483747836</c:v>
                </c:pt>
                <c:pt idx="250">
                  <c:v>-29827.683267616485</c:v>
                </c:pt>
                <c:pt idx="251">
                  <c:v>-30925.507161689889</c:v>
                </c:pt>
                <c:pt idx="252">
                  <c:v>-29883.781499212706</c:v>
                </c:pt>
                <c:pt idx="253">
                  <c:v>-26338.095045812617</c:v>
                </c:pt>
                <c:pt idx="254">
                  <c:v>-19814.079833611133</c:v>
                </c:pt>
                <c:pt idx="255">
                  <c:v>-13138.472376483578</c:v>
                </c:pt>
                <c:pt idx="256">
                  <c:v>-8735.8835158860493</c:v>
                </c:pt>
                <c:pt idx="257">
                  <c:v>-5846.9002278872504</c:v>
                </c:pt>
                <c:pt idx="258">
                  <c:v>-3837.1902579181587</c:v>
                </c:pt>
                <c:pt idx="259">
                  <c:v>-2317.3128865653084</c:v>
                </c:pt>
                <c:pt idx="260">
                  <c:v>-1051.4914815027294</c:v>
                </c:pt>
                <c:pt idx="261">
                  <c:v>104.7376745406567</c:v>
                </c:pt>
                <c:pt idx="262">
                  <c:v>1245.2938216113507</c:v>
                </c:pt>
                <c:pt idx="263">
                  <c:v>2441.1505367057339</c:v>
                </c:pt>
                <c:pt idx="264">
                  <c:v>3761.1592712554684</c:v>
                </c:pt>
                <c:pt idx="265">
                  <c:v>5292.4285381354466</c:v>
                </c:pt>
                <c:pt idx="266">
                  <c:v>7168.7195355733329</c:v>
                </c:pt>
                <c:pt idx="267">
                  <c:v>9623.7521348269784</c:v>
                </c:pt>
                <c:pt idx="268">
                  <c:v>13114.123240751695</c:v>
                </c:pt>
                <c:pt idx="269">
                  <c:v>18580.994972585639</c:v>
                </c:pt>
                <c:pt idx="270">
                  <c:v>25119.984765349778</c:v>
                </c:pt>
                <c:pt idx="271">
                  <c:v>29132.399066516286</c:v>
                </c:pt>
                <c:pt idx="272">
                  <c:v>31157.397090850569</c:v>
                </c:pt>
                <c:pt idx="273">
                  <c:v>31462.337755981949</c:v>
                </c:pt>
                <c:pt idx="274">
                  <c:v>30015.070088971384</c:v>
                </c:pt>
                <c:pt idx="275">
                  <c:v>26447.858634491295</c:v>
                </c:pt>
                <c:pt idx="276">
                  <c:v>19871.124334633008</c:v>
                </c:pt>
                <c:pt idx="277">
                  <c:v>13109.145913272645</c:v>
                </c:pt>
                <c:pt idx="278">
                  <c:v>8398.2856207778132</c:v>
                </c:pt>
                <c:pt idx="279">
                  <c:v>4849.7808683914845</c:v>
                </c:pt>
                <c:pt idx="280">
                  <c:v>1902.2972359205123</c:v>
                </c:pt>
                <c:pt idx="281">
                  <c:v>-829.21888227357658</c:v>
                </c:pt>
                <c:pt idx="282">
                  <c:v>-3679.3813802377149</c:v>
                </c:pt>
                <c:pt idx="283">
                  <c:v>-7019.6958382845514</c:v>
                </c:pt>
                <c:pt idx="284">
                  <c:v>-11374.826384844966</c:v>
                </c:pt>
                <c:pt idx="285">
                  <c:v>-17639.360002255133</c:v>
                </c:pt>
                <c:pt idx="286">
                  <c:v>-25656.848104806875</c:v>
                </c:pt>
                <c:pt idx="287">
                  <c:v>-30513.194213893177</c:v>
                </c:pt>
                <c:pt idx="288">
                  <c:v>-33177.870187464912</c:v>
                </c:pt>
                <c:pt idx="289">
                  <c:v>-34147.926035695898</c:v>
                </c:pt>
                <c:pt idx="290">
                  <c:v>-33575.486241619321</c:v>
                </c:pt>
                <c:pt idx="291">
                  <c:v>-31385.180051612955</c:v>
                </c:pt>
                <c:pt idx="292">
                  <c:v>-27216.699782287185</c:v>
                </c:pt>
                <c:pt idx="293">
                  <c:v>-20205.37639875137</c:v>
                </c:pt>
                <c:pt idx="294">
                  <c:v>-12684.498759460001</c:v>
                </c:pt>
                <c:pt idx="295">
                  <c:v>-7349.4008147601926</c:v>
                </c:pt>
                <c:pt idx="296">
                  <c:v>-3048.8958677247629</c:v>
                </c:pt>
                <c:pt idx="297">
                  <c:v>876.02177196235448</c:v>
                </c:pt>
                <c:pt idx="298">
                  <c:v>4875.7048304480004</c:v>
                </c:pt>
                <c:pt idx="299">
                  <c:v>9350.9166799179584</c:v>
                </c:pt>
                <c:pt idx="300">
                  <c:v>14732.523493667992</c:v>
                </c:pt>
                <c:pt idx="301">
                  <c:v>21304.164953090738</c:v>
                </c:pt>
                <c:pt idx="302">
                  <c:v>26677.436215645892</c:v>
                </c:pt>
                <c:pt idx="303">
                  <c:v>28965.606225963176</c:v>
                </c:pt>
                <c:pt idx="304">
                  <c:v>29300.889733986634</c:v>
                </c:pt>
                <c:pt idx="305">
                  <c:v>28279.688781741959</c:v>
                </c:pt>
                <c:pt idx="306">
                  <c:v>26192.093636691756</c:v>
                </c:pt>
                <c:pt idx="307">
                  <c:v>23209.500478591533</c:v>
                </c:pt>
                <c:pt idx="308">
                  <c:v>19519.655717374306</c:v>
                </c:pt>
                <c:pt idx="309">
                  <c:v>15671.917526722924</c:v>
                </c:pt>
                <c:pt idx="310">
                  <c:v>13585.25591525858</c:v>
                </c:pt>
                <c:pt idx="311">
                  <c:v>13670.534423258001</c:v>
                </c:pt>
                <c:pt idx="312">
                  <c:v>14509.284086429943</c:v>
                </c:pt>
                <c:pt idx="313">
                  <c:v>15506.02514519025</c:v>
                </c:pt>
                <c:pt idx="314">
                  <c:v>16428.928435429134</c:v>
                </c:pt>
                <c:pt idx="315">
                  <c:v>17172.445038668924</c:v>
                </c:pt>
                <c:pt idx="316">
                  <c:v>17683.090449074178</c:v>
                </c:pt>
                <c:pt idx="317">
                  <c:v>17934.102982743021</c:v>
                </c:pt>
                <c:pt idx="318">
                  <c:v>17916.110788936574</c:v>
                </c:pt>
                <c:pt idx="319">
                  <c:v>17634.601784457653</c:v>
                </c:pt>
                <c:pt idx="320">
                  <c:v>17112.497343715979</c:v>
                </c:pt>
                <c:pt idx="321">
                  <c:v>16401.165368998667</c:v>
                </c:pt>
                <c:pt idx="322">
                  <c:v>15614.965226167869</c:v>
                </c:pt>
                <c:pt idx="323">
                  <c:v>15052.036983292403</c:v>
                </c:pt>
                <c:pt idx="324">
                  <c:v>15659.972926448876</c:v>
                </c:pt>
                <c:pt idx="325">
                  <c:v>18816.082377196384</c:v>
                </c:pt>
                <c:pt idx="326">
                  <c:v>22100.425366126896</c:v>
                </c:pt>
                <c:pt idx="327">
                  <c:v>24794.009396326477</c:v>
                </c:pt>
                <c:pt idx="328">
                  <c:v>26766.564473392475</c:v>
                </c:pt>
                <c:pt idx="329">
                  <c:v>27943.071260510627</c:v>
                </c:pt>
                <c:pt idx="330">
                  <c:v>28195.145192529391</c:v>
                </c:pt>
                <c:pt idx="331">
                  <c:v>27253.264992758057</c:v>
                </c:pt>
                <c:pt idx="332">
                  <c:v>24486.291068367318</c:v>
                </c:pt>
                <c:pt idx="333">
                  <c:v>18663.899123733736</c:v>
                </c:pt>
                <c:pt idx="334">
                  <c:v>13328.471291690666</c:v>
                </c:pt>
                <c:pt idx="335">
                  <c:v>8903.0056849905031</c:v>
                </c:pt>
                <c:pt idx="336">
                  <c:v>5007.2351734732983</c:v>
                </c:pt>
                <c:pt idx="337">
                  <c:v>1363.8948996663134</c:v>
                </c:pt>
                <c:pt idx="338">
                  <c:v>-2235.375922541687</c:v>
                </c:pt>
                <c:pt idx="339">
                  <c:v>-5974.661101219177</c:v>
                </c:pt>
                <c:pt idx="340">
                  <c:v>-10047.388303605849</c:v>
                </c:pt>
                <c:pt idx="341">
                  <c:v>-14683.556698575352</c:v>
                </c:pt>
                <c:pt idx="342">
                  <c:v>-20088.08689745437</c:v>
                </c:pt>
                <c:pt idx="343">
                  <c:v>-25139.576418846584</c:v>
                </c:pt>
                <c:pt idx="344">
                  <c:v>-27064.397989560315</c:v>
                </c:pt>
                <c:pt idx="345">
                  <c:v>-27225.899784326404</c:v>
                </c:pt>
                <c:pt idx="346">
                  <c:v>-26301.505449021839</c:v>
                </c:pt>
                <c:pt idx="347">
                  <c:v>-24597.587105575847</c:v>
                </c:pt>
                <c:pt idx="348">
                  <c:v>-22290.362954049124</c:v>
                </c:pt>
                <c:pt idx="349">
                  <c:v>-19533.616968640439</c:v>
                </c:pt>
                <c:pt idx="350">
                  <c:v>-16590.735061269355</c:v>
                </c:pt>
                <c:pt idx="351">
                  <c:v>-14235.589171377125</c:v>
                </c:pt>
                <c:pt idx="352">
                  <c:v>-14276.872645611329</c:v>
                </c:pt>
                <c:pt idx="353">
                  <c:v>-15948.245055592015</c:v>
                </c:pt>
                <c:pt idx="354">
                  <c:v>-17940.427055129821</c:v>
                </c:pt>
                <c:pt idx="355">
                  <c:v>-19805.922250757223</c:v>
                </c:pt>
                <c:pt idx="356">
                  <c:v>-21382.425401682303</c:v>
                </c:pt>
                <c:pt idx="357">
                  <c:v>-22598.16580612375</c:v>
                </c:pt>
                <c:pt idx="358">
                  <c:v>-23416.615250342718</c:v>
                </c:pt>
                <c:pt idx="359">
                  <c:v>-23818.178794002681</c:v>
                </c:pt>
                <c:pt idx="360">
                  <c:v>-23793.031787544453</c:v>
                </c:pt>
                <c:pt idx="361">
                  <c:v>-23338.246623602507</c:v>
                </c:pt>
                <c:pt idx="362">
                  <c:v>-22457.599301082439</c:v>
                </c:pt>
                <c:pt idx="363">
                  <c:v>-21165.214661877813</c:v>
                </c:pt>
                <c:pt idx="364">
                  <c:v>-19500.557578491873</c:v>
                </c:pt>
                <c:pt idx="365">
                  <c:v>-17592.103936398198</c:v>
                </c:pt>
                <c:pt idx="366">
                  <c:v>-15986.230675384599</c:v>
                </c:pt>
                <c:pt idx="367">
                  <c:v>-16697.033382456935</c:v>
                </c:pt>
                <c:pt idx="368">
                  <c:v>-18428.089400902118</c:v>
                </c:pt>
                <c:pt idx="369">
                  <c:v>-20143.978240648201</c:v>
                </c:pt>
                <c:pt idx="370">
                  <c:v>-21614.742851473307</c:v>
                </c:pt>
                <c:pt idx="371">
                  <c:v>-22766.143592283155</c:v>
                </c:pt>
                <c:pt idx="372">
                  <c:v>-23550.325323003239</c:v>
                </c:pt>
                <c:pt idx="373">
                  <c:v>-23907.588783589144</c:v>
                </c:pt>
                <c:pt idx="374">
                  <c:v>-23735.458310300521</c:v>
                </c:pt>
                <c:pt idx="375">
                  <c:v>-22820.108103006231</c:v>
                </c:pt>
                <c:pt idx="376">
                  <c:v>-20619.996516193467</c:v>
                </c:pt>
                <c:pt idx="377">
                  <c:v>-17495.345458275973</c:v>
                </c:pt>
                <c:pt idx="378">
                  <c:v>-14841.57940582829</c:v>
                </c:pt>
                <c:pt idx="379">
                  <c:v>-12458.912105815281</c:v>
                </c:pt>
                <c:pt idx="380">
                  <c:v>-10214.346794068841</c:v>
                </c:pt>
                <c:pt idx="381">
                  <c:v>-8041.3007847658673</c:v>
                </c:pt>
                <c:pt idx="382">
                  <c:v>-5909.5146054943989</c:v>
                </c:pt>
                <c:pt idx="383">
                  <c:v>-3810.2715683850683</c:v>
                </c:pt>
                <c:pt idx="384">
                  <c:v>-1748.4470090761406</c:v>
                </c:pt>
                <c:pt idx="385">
                  <c:v>262.78387891825497</c:v>
                </c:pt>
                <c:pt idx="386">
                  <c:v>2206.1590645473734</c:v>
                </c:pt>
                <c:pt idx="387">
                  <c:v>4063.9322884170392</c:v>
                </c:pt>
                <c:pt idx="388">
                  <c:v>5820.9113683629321</c:v>
                </c:pt>
                <c:pt idx="389">
                  <c:v>7466.9211281208418</c:v>
                </c:pt>
                <c:pt idx="390">
                  <c:v>8998.837581822163</c:v>
                </c:pt>
                <c:pt idx="391">
                  <c:v>10422.656093690966</c:v>
                </c:pt>
                <c:pt idx="392">
                  <c:v>11756.637444748943</c:v>
                </c:pt>
                <c:pt idx="393">
                  <c:v>13037.959471416298</c:v>
                </c:pt>
                <c:pt idx="394">
                  <c:v>14339.493647352569</c:v>
                </c:pt>
                <c:pt idx="395">
                  <c:v>15818.749585340322</c:v>
                </c:pt>
                <c:pt idx="396">
                  <c:v>17885.593262608214</c:v>
                </c:pt>
                <c:pt idx="397">
                  <c:v>21329.846979732494</c:v>
                </c:pt>
                <c:pt idx="398">
                  <c:v>23859.747671087491</c:v>
                </c:pt>
                <c:pt idx="399">
                  <c:v>25571.780801660858</c:v>
                </c:pt>
                <c:pt idx="400">
                  <c:v>26639.495295312256</c:v>
                </c:pt>
                <c:pt idx="401">
                  <c:v>27154.080069259584</c:v>
                </c:pt>
                <c:pt idx="402">
                  <c:v>27157.960448292964</c:v>
                </c:pt>
                <c:pt idx="403">
                  <c:v>26660.540607244704</c:v>
                </c:pt>
                <c:pt idx="404">
                  <c:v>25641.727735395016</c:v>
                </c:pt>
                <c:pt idx="405">
                  <c:v>24046.408330869726</c:v>
                </c:pt>
                <c:pt idx="406">
                  <c:v>21771.838719445925</c:v>
                </c:pt>
                <c:pt idx="407">
                  <c:v>18731.120582133921</c:v>
                </c:pt>
                <c:pt idx="408">
                  <c:v>16575.771496689649</c:v>
                </c:pt>
                <c:pt idx="409">
                  <c:v>15204.578321052393</c:v>
                </c:pt>
                <c:pt idx="410">
                  <c:v>13964.878206953575</c:v>
                </c:pt>
                <c:pt idx="411">
                  <c:v>12653.784648843517</c:v>
                </c:pt>
                <c:pt idx="412">
                  <c:v>11181.097440796391</c:v>
                </c:pt>
                <c:pt idx="413">
                  <c:v>9487.9828076716785</c:v>
                </c:pt>
                <c:pt idx="414">
                  <c:v>7520.3607871672202</c:v>
                </c:pt>
                <c:pt idx="415">
                  <c:v>5214.6257873812447</c:v>
                </c:pt>
                <c:pt idx="416">
                  <c:v>2482.854121213325</c:v>
                </c:pt>
                <c:pt idx="417">
                  <c:v>-809.97711177494614</c:v>
                </c:pt>
                <c:pt idx="418">
                  <c:v>-4851.6508716733579</c:v>
                </c:pt>
                <c:pt idx="419">
                  <c:v>-8975.0041137864391</c:v>
                </c:pt>
                <c:pt idx="420">
                  <c:v>-10967.47371971736</c:v>
                </c:pt>
                <c:pt idx="421">
                  <c:v>-11989.472589216119</c:v>
                </c:pt>
                <c:pt idx="422">
                  <c:v>-12454.832474565097</c:v>
                </c:pt>
                <c:pt idx="423">
                  <c:v>-12531.691127677701</c:v>
                </c:pt>
                <c:pt idx="424">
                  <c:v>-12302.334547676746</c:v>
                </c:pt>
                <c:pt idx="425">
                  <c:v>-11810.654122686874</c:v>
                </c:pt>
                <c:pt idx="426">
                  <c:v>-11079.34083509328</c:v>
                </c:pt>
                <c:pt idx="427">
                  <c:v>-10116.586902456012</c:v>
                </c:pt>
                <c:pt idx="428">
                  <c:v>-8917.9834425486224</c:v>
                </c:pt>
                <c:pt idx="429">
                  <c:v>-7465.6604330635173</c:v>
                </c:pt>
                <c:pt idx="430">
                  <c:v>-5730.6128818221614</c:v>
                </c:pt>
                <c:pt idx="431">
                  <c:v>-3768.3177257733059</c:v>
                </c:pt>
                <c:pt idx="432">
                  <c:v>-3020.2131494867272</c:v>
                </c:pt>
                <c:pt idx="433">
                  <c:v>-2873.274559753957</c:v>
                </c:pt>
                <c:pt idx="434">
                  <c:v>-2915.8020940387541</c:v>
                </c:pt>
                <c:pt idx="435">
                  <c:v>-3036.0380784850954</c:v>
                </c:pt>
                <c:pt idx="436">
                  <c:v>-3195.95700717213</c:v>
                </c:pt>
                <c:pt idx="437">
                  <c:v>-3391.9872039763864</c:v>
                </c:pt>
                <c:pt idx="438">
                  <c:v>-3660.6577703386956</c:v>
                </c:pt>
                <c:pt idx="439">
                  <c:v>-4120.0289616243717</c:v>
                </c:pt>
                <c:pt idx="440">
                  <c:v>-5039.568370993622</c:v>
                </c:pt>
                <c:pt idx="441">
                  <c:v>-6749.7427202286517</c:v>
                </c:pt>
                <c:pt idx="442">
                  <c:v>-9226.8892653965577</c:v>
                </c:pt>
                <c:pt idx="443">
                  <c:v>-12135.472413280435</c:v>
                </c:pt>
                <c:pt idx="444">
                  <c:v>-15183.352239550732</c:v>
                </c:pt>
                <c:pt idx="445">
                  <c:v>-18194.746185903292</c:v>
                </c:pt>
                <c:pt idx="446">
                  <c:v>-21067.814022429859</c:v>
                </c:pt>
                <c:pt idx="447">
                  <c:v>-23737.721467766416</c:v>
                </c:pt>
                <c:pt idx="448">
                  <c:v>-26155.709648299377</c:v>
                </c:pt>
                <c:pt idx="449">
                  <c:v>-28277.126759384395</c:v>
                </c:pt>
                <c:pt idx="450">
                  <c:v>-30053.039344689867</c:v>
                </c:pt>
                <c:pt idx="451">
                  <c:v>-31421.887804673403</c:v>
                </c:pt>
                <c:pt idx="452">
                  <c:v>-32297.652742424372</c:v>
                </c:pt>
                <c:pt idx="453">
                  <c:v>-32548.337276163151</c:v>
                </c:pt>
                <c:pt idx="454">
                  <c:v>-31949.589048797923</c:v>
                </c:pt>
                <c:pt idx="455">
                  <c:v>-30070.851013479169</c:v>
                </c:pt>
                <c:pt idx="456">
                  <c:v>-26011.273568290053</c:v>
                </c:pt>
                <c:pt idx="457">
                  <c:v>-19001.961270556654</c:v>
                </c:pt>
                <c:pt idx="458">
                  <c:v>-12021.275399304363</c:v>
                </c:pt>
                <c:pt idx="459">
                  <c:v>-5655.1066151118266</c:v>
                </c:pt>
                <c:pt idx="460">
                  <c:v>399.71319869039229</c:v>
                </c:pt>
                <c:pt idx="461">
                  <c:v>6444.805809086205</c:v>
                </c:pt>
                <c:pt idx="462">
                  <c:v>12712.419055385673</c:v>
                </c:pt>
                <c:pt idx="463">
                  <c:v>19262.149268625788</c:v>
                </c:pt>
                <c:pt idx="464">
                  <c:v>25605.410107801425</c:v>
                </c:pt>
                <c:pt idx="465">
                  <c:v>30470.654151180275</c:v>
                </c:pt>
                <c:pt idx="466">
                  <c:v>33170.366868792866</c:v>
                </c:pt>
                <c:pt idx="467">
                  <c:v>34038.996421143762</c:v>
                </c:pt>
                <c:pt idx="468">
                  <c:v>33563.351445446366</c:v>
                </c:pt>
                <c:pt idx="469">
                  <c:v>32103.464440118387</c:v>
                </c:pt>
                <c:pt idx="470">
                  <c:v>29905.329646605551</c:v>
                </c:pt>
                <c:pt idx="471">
                  <c:v>27143.517598533708</c:v>
                </c:pt>
                <c:pt idx="472">
                  <c:v>23951.79756201238</c:v>
                </c:pt>
                <c:pt idx="473">
                  <c:v>20443.128785996887</c:v>
                </c:pt>
                <c:pt idx="474">
                  <c:v>16723.533859219981</c:v>
                </c:pt>
                <c:pt idx="475">
                  <c:v>12902.210341313703</c:v>
                </c:pt>
                <c:pt idx="476">
                  <c:v>9096.7523633364126</c:v>
                </c:pt>
                <c:pt idx="477">
                  <c:v>5425.543769524963</c:v>
                </c:pt>
                <c:pt idx="478">
                  <c:v>1967.0395966264557</c:v>
                </c:pt>
                <c:pt idx="479">
                  <c:v>-1340.5933449039801</c:v>
                </c:pt>
                <c:pt idx="480">
                  <c:v>-4831.3280608927453</c:v>
                </c:pt>
                <c:pt idx="481">
                  <c:v>-9064.9746311940962</c:v>
                </c:pt>
                <c:pt idx="482">
                  <c:v>-14257.148448493483</c:v>
                </c:pt>
                <c:pt idx="483">
                  <c:v>-19814.546239180621</c:v>
                </c:pt>
                <c:pt idx="484">
                  <c:v>-25089.215439421601</c:v>
                </c:pt>
                <c:pt idx="485">
                  <c:v>-29802.009147493463</c:v>
                </c:pt>
                <c:pt idx="486">
                  <c:v>-33886.316747646473</c:v>
                </c:pt>
                <c:pt idx="487">
                  <c:v>-37351.109526221364</c:v>
                </c:pt>
                <c:pt idx="488">
                  <c:v>-40225.443547165676</c:v>
                </c:pt>
                <c:pt idx="489">
                  <c:v>-42539.22270128395</c:v>
                </c:pt>
                <c:pt idx="490">
                  <c:v>-44316.952349514162</c:v>
                </c:pt>
                <c:pt idx="491">
                  <c:v>-45575.890029080168</c:v>
                </c:pt>
                <c:pt idx="492">
                  <c:v>-46325.515317143378</c:v>
                </c:pt>
                <c:pt idx="493">
                  <c:v>-46567.150209418229</c:v>
                </c:pt>
                <c:pt idx="494">
                  <c:v>-46293.184150373425</c:v>
                </c:pt>
                <c:pt idx="495">
                  <c:v>-45485.471933196575</c:v>
                </c:pt>
                <c:pt idx="496">
                  <c:v>-44112.278152649262</c:v>
                </c:pt>
                <c:pt idx="497">
                  <c:v>-42122.53141181259</c:v>
                </c:pt>
                <c:pt idx="498">
                  <c:v>-39434.572120026955</c:v>
                </c:pt>
                <c:pt idx="499">
                  <c:v>-35912.150615671089</c:v>
                </c:pt>
                <c:pt idx="500">
                  <c:v>-31306.258492255733</c:v>
                </c:pt>
                <c:pt idx="501">
                  <c:v>-25093.104682189267</c:v>
                </c:pt>
                <c:pt idx="502">
                  <c:v>-16301.356561695336</c:v>
                </c:pt>
                <c:pt idx="503">
                  <c:v>-9911.1672979784962</c:v>
                </c:pt>
                <c:pt idx="504">
                  <c:v>-4875.4727291185809</c:v>
                </c:pt>
                <c:pt idx="505">
                  <c:v>-317.33141558362138</c:v>
                </c:pt>
                <c:pt idx="506">
                  <c:v>4209.329108004943</c:v>
                </c:pt>
                <c:pt idx="507">
                  <c:v>8985.8399891616427</c:v>
                </c:pt>
                <c:pt idx="508">
                  <c:v>14200.887626705045</c:v>
                </c:pt>
                <c:pt idx="509">
                  <c:v>19874.910017100898</c:v>
                </c:pt>
                <c:pt idx="510">
                  <c:v>25304.561896004998</c:v>
                </c:pt>
                <c:pt idx="511">
                  <c:v>28147.60923403877</c:v>
                </c:pt>
                <c:pt idx="512">
                  <c:v>28347.389835812683</c:v>
                </c:pt>
                <c:pt idx="513">
                  <c:v>27057.114396899247</c:v>
                </c:pt>
                <c:pt idx="514">
                  <c:v>24893.330091652439</c:v>
                </c:pt>
                <c:pt idx="515">
                  <c:v>22161.244441680436</c:v>
                </c:pt>
                <c:pt idx="516">
                  <c:v>19027.671626494943</c:v>
                </c:pt>
                <c:pt idx="517">
                  <c:v>15593.16403296815</c:v>
                </c:pt>
                <c:pt idx="518">
                  <c:v>11923.516608943322</c:v>
                </c:pt>
                <c:pt idx="519">
                  <c:v>8065.6527212133633</c:v>
                </c:pt>
                <c:pt idx="520">
                  <c:v>4057.6568620007561</c:v>
                </c:pt>
                <c:pt idx="521">
                  <c:v>-63.445976884381921</c:v>
                </c:pt>
                <c:pt idx="522">
                  <c:v>-4255.8031364729368</c:v>
                </c:pt>
                <c:pt idx="523">
                  <c:v>-8469.4687897377717</c:v>
                </c:pt>
                <c:pt idx="524">
                  <c:v>-12644.950924423316</c:v>
                </c:pt>
                <c:pt idx="525">
                  <c:v>-16710.399233440661</c:v>
                </c:pt>
                <c:pt idx="526">
                  <c:v>-20574.109075646906</c:v>
                </c:pt>
                <c:pt idx="527">
                  <c:v>-24110.443034963271</c:v>
                </c:pt>
                <c:pt idx="528">
                  <c:v>-27136.309265073985</c:v>
                </c:pt>
                <c:pt idx="529">
                  <c:v>-29370.284758786551</c:v>
                </c:pt>
                <c:pt idx="530">
                  <c:v>-30362.296405611989</c:v>
                </c:pt>
                <c:pt idx="531">
                  <c:v>-29420.728367284031</c:v>
                </c:pt>
                <c:pt idx="532">
                  <c:v>-25882.397313768626</c:v>
                </c:pt>
                <c:pt idx="533">
                  <c:v>-20390.721704096934</c:v>
                </c:pt>
                <c:pt idx="534">
                  <c:v>-14555.697134732312</c:v>
                </c:pt>
                <c:pt idx="535">
                  <c:v>-9150.0392321361942</c:v>
                </c:pt>
                <c:pt idx="536">
                  <c:v>-4274.7266354170542</c:v>
                </c:pt>
                <c:pt idx="537">
                  <c:v>253.61673942250616</c:v>
                </c:pt>
                <c:pt idx="538">
                  <c:v>4799.2332674229528</c:v>
                </c:pt>
                <c:pt idx="539">
                  <c:v>9983.1332436517423</c:v>
                </c:pt>
                <c:pt idx="540">
                  <c:v>16937.957974514236</c:v>
                </c:pt>
                <c:pt idx="541">
                  <c:v>25530.663966666885</c:v>
                </c:pt>
                <c:pt idx="542">
                  <c:v>31840.245008570091</c:v>
                </c:pt>
                <c:pt idx="543">
                  <c:v>36354.367564526648</c:v>
                </c:pt>
                <c:pt idx="544">
                  <c:v>39537.487216014633</c:v>
                </c:pt>
                <c:pt idx="545">
                  <c:v>41637.105619937931</c:v>
                </c:pt>
                <c:pt idx="546">
                  <c:v>42784.07954765921</c:v>
                </c:pt>
                <c:pt idx="547">
                  <c:v>43040.541227974951</c:v>
                </c:pt>
                <c:pt idx="548">
                  <c:v>42418.669524582176</c:v>
                </c:pt>
                <c:pt idx="549">
                  <c:v>40883.194832035217</c:v>
                </c:pt>
                <c:pt idx="550">
                  <c:v>38338.806198606013</c:v>
                </c:pt>
                <c:pt idx="551">
                  <c:v>34591.601604306372</c:v>
                </c:pt>
                <c:pt idx="552">
                  <c:v>29245.61025248142</c:v>
                </c:pt>
                <c:pt idx="553">
                  <c:v>21455.156547485596</c:v>
                </c:pt>
                <c:pt idx="554">
                  <c:v>12118.924846574742</c:v>
                </c:pt>
                <c:pt idx="555">
                  <c:v>5048.4227865261682</c:v>
                </c:pt>
                <c:pt idx="556">
                  <c:v>-1312.9082250985696</c:v>
                </c:pt>
                <c:pt idx="557">
                  <c:v>-7845.7978937471953</c:v>
                </c:pt>
                <c:pt idx="558">
                  <c:v>-15158.011384242121</c:v>
                </c:pt>
                <c:pt idx="559">
                  <c:v>-23137.128494418172</c:v>
                </c:pt>
                <c:pt idx="560">
                  <c:v>-30044.103682679106</c:v>
                </c:pt>
                <c:pt idx="561">
                  <c:v>-35127.878151399389</c:v>
                </c:pt>
                <c:pt idx="562">
                  <c:v>-38686.858008691757</c:v>
                </c:pt>
                <c:pt idx="563">
                  <c:v>-41057.192167197296</c:v>
                </c:pt>
                <c:pt idx="564">
                  <c:v>-42469.604996908631</c:v>
                </c:pt>
                <c:pt idx="565">
                  <c:v>-43075.430321006112</c:v>
                </c:pt>
                <c:pt idx="566">
                  <c:v>-42975.103864419514</c:v>
                </c:pt>
                <c:pt idx="567">
                  <c:v>-42235.924167451958</c:v>
                </c:pt>
                <c:pt idx="568">
                  <c:v>-40902.473729891739</c:v>
                </c:pt>
                <c:pt idx="569">
                  <c:v>-39002.823000897792</c:v>
                </c:pt>
                <c:pt idx="570">
                  <c:v>-36552.458720484166</c:v>
                </c:pt>
                <c:pt idx="571">
                  <c:v>-33557.364052925419</c:v>
                </c:pt>
                <c:pt idx="572">
                  <c:v>-30018.110814885844</c:v>
                </c:pt>
                <c:pt idx="573">
                  <c:v>-25939.375059356888</c:v>
                </c:pt>
                <c:pt idx="574">
                  <c:v>-21358.70717699092</c:v>
                </c:pt>
                <c:pt idx="575">
                  <c:v>-16441.233085235617</c:v>
                </c:pt>
                <c:pt idx="576">
                  <c:v>-11757.218511184421</c:v>
                </c:pt>
                <c:pt idx="577">
                  <c:v>-8433.2534685514383</c:v>
                </c:pt>
                <c:pt idx="578">
                  <c:v>-6543.5997840356649</c:v>
                </c:pt>
                <c:pt idx="579">
                  <c:v>-5284.097261904154</c:v>
                </c:pt>
                <c:pt idx="580">
                  <c:v>-4223.6070598979341</c:v>
                </c:pt>
                <c:pt idx="581">
                  <c:v>-3219.539922281429</c:v>
                </c:pt>
                <c:pt idx="582">
                  <c:v>-2247.9793172762534</c:v>
                </c:pt>
                <c:pt idx="583">
                  <c:v>-1348.4682889205085</c:v>
                </c:pt>
                <c:pt idx="584">
                  <c:v>-647.88058631015997</c:v>
                </c:pt>
                <c:pt idx="585">
                  <c:v>-542.65408346890081</c:v>
                </c:pt>
                <c:pt idx="586">
                  <c:v>-2515.5769476119676</c:v>
                </c:pt>
                <c:pt idx="587">
                  <c:v>-5879.6914674032087</c:v>
                </c:pt>
                <c:pt idx="588">
                  <c:v>-9073.0932572240326</c:v>
                </c:pt>
                <c:pt idx="589">
                  <c:v>-11918.561109686867</c:v>
                </c:pt>
                <c:pt idx="590">
                  <c:v>-14406.163999024398</c:v>
                </c:pt>
                <c:pt idx="591">
                  <c:v>-16541.849087923762</c:v>
                </c:pt>
                <c:pt idx="592">
                  <c:v>-18325.974568358837</c:v>
                </c:pt>
                <c:pt idx="593">
                  <c:v>-19749.114192332192</c:v>
                </c:pt>
                <c:pt idx="594">
                  <c:v>-20789.826725207691</c:v>
                </c:pt>
                <c:pt idx="595">
                  <c:v>-21411.133203348807</c:v>
                </c:pt>
                <c:pt idx="596">
                  <c:v>-21553.764448620965</c:v>
                </c:pt>
                <c:pt idx="597">
                  <c:v>-21122.860083449319</c:v>
                </c:pt>
                <c:pt idx="598">
                  <c:v>-19960.298952241334</c:v>
                </c:pt>
                <c:pt idx="599">
                  <c:v>-17782.50023933909</c:v>
                </c:pt>
                <c:pt idx="600">
                  <c:v>-14037.58861887678</c:v>
                </c:pt>
                <c:pt idx="601">
                  <c:v>-7800.0659413570556</c:v>
                </c:pt>
                <c:pt idx="602">
                  <c:v>-268.7274086892487</c:v>
                </c:pt>
                <c:pt idx="603">
                  <c:v>6165.5513347220176</c:v>
                </c:pt>
                <c:pt idx="604">
                  <c:v>11501.980251668512</c:v>
                </c:pt>
                <c:pt idx="605">
                  <c:v>15985.908908834221</c:v>
                </c:pt>
                <c:pt idx="606">
                  <c:v>19787.120168844354</c:v>
                </c:pt>
                <c:pt idx="607">
                  <c:v>23012.5855987912</c:v>
                </c:pt>
                <c:pt idx="608">
                  <c:v>25730.940714883844</c:v>
                </c:pt>
                <c:pt idx="609">
                  <c:v>27987.451194732323</c:v>
                </c:pt>
                <c:pt idx="610">
                  <c:v>29812.434212877921</c:v>
                </c:pt>
                <c:pt idx="611">
                  <c:v>31226.036790918493</c:v>
                </c:pt>
                <c:pt idx="612">
                  <c:v>32241.006794597615</c:v>
                </c:pt>
                <c:pt idx="613">
                  <c:v>32864.319733868768</c:v>
                </c:pt>
                <c:pt idx="614">
                  <c:v>33098.115860369027</c:v>
                </c:pt>
                <c:pt idx="615">
                  <c:v>32940.185459539345</c:v>
                </c:pt>
                <c:pt idx="616">
                  <c:v>32384.118126054367</c:v>
                </c:pt>
                <c:pt idx="617">
                  <c:v>31419.154271284944</c:v>
                </c:pt>
                <c:pt idx="618">
                  <c:v>30029.725845314522</c:v>
                </c:pt>
                <c:pt idx="619">
                  <c:v>28194.688880593341</c:v>
                </c:pt>
                <c:pt idx="620">
                  <c:v>25886.642197634625</c:v>
                </c:pt>
                <c:pt idx="621">
                  <c:v>23074.376353679861</c:v>
                </c:pt>
                <c:pt idx="622">
                  <c:v>19749.537120497869</c:v>
                </c:pt>
                <c:pt idx="623">
                  <c:v>16148.487533550511</c:v>
                </c:pt>
                <c:pt idx="624">
                  <c:v>14251.996214729563</c:v>
                </c:pt>
                <c:pt idx="625">
                  <c:v>13996.983170558151</c:v>
                </c:pt>
                <c:pt idx="626">
                  <c:v>14092.21313279029</c:v>
                </c:pt>
                <c:pt idx="627">
                  <c:v>14219.268381573247</c:v>
                </c:pt>
                <c:pt idx="628">
                  <c:v>14291.71128853285</c:v>
                </c:pt>
                <c:pt idx="629">
                  <c:v>14284.619915748923</c:v>
                </c:pt>
                <c:pt idx="630">
                  <c:v>14192.300551594326</c:v>
                </c:pt>
                <c:pt idx="631">
                  <c:v>14015.550993235272</c:v>
                </c:pt>
                <c:pt idx="632">
                  <c:v>13757.290936697413</c:v>
                </c:pt>
                <c:pt idx="633">
                  <c:v>13420.958534319041</c:v>
                </c:pt>
                <c:pt idx="634">
                  <c:v>13009.934209260195</c:v>
                </c:pt>
                <c:pt idx="635">
                  <c:v>12527.392306893029</c:v>
                </c:pt>
                <c:pt idx="636">
                  <c:v>11976.371441740306</c:v>
                </c:pt>
                <c:pt idx="637">
                  <c:v>11360.017383939015</c:v>
                </c:pt>
                <c:pt idx="638">
                  <c:v>10682.057290058901</c:v>
                </c:pt>
                <c:pt idx="639">
                  <c:v>9947.6971181934059</c:v>
                </c:pt>
                <c:pt idx="640">
                  <c:v>9165.400996747976</c:v>
                </c:pt>
                <c:pt idx="641">
                  <c:v>8350.6528070244585</c:v>
                </c:pt>
                <c:pt idx="642">
                  <c:v>7534.4663767698812</c:v>
                </c:pt>
                <c:pt idx="643">
                  <c:v>6783.7952455126551</c:v>
                </c:pt>
                <c:pt idx="644">
                  <c:v>6250.4342178297829</c:v>
                </c:pt>
                <c:pt idx="645">
                  <c:v>6258.1981230098427</c:v>
                </c:pt>
                <c:pt idx="646">
                  <c:v>7227.9433757698171</c:v>
                </c:pt>
                <c:pt idx="647">
                  <c:v>9072.5981791577578</c:v>
                </c:pt>
                <c:pt idx="648">
                  <c:v>11280.953922006447</c:v>
                </c:pt>
                <c:pt idx="649">
                  <c:v>13489.828509770528</c:v>
                </c:pt>
                <c:pt idx="650">
                  <c:v>15507.02926063942</c:v>
                </c:pt>
                <c:pt idx="651">
                  <c:v>17218.921836550697</c:v>
                </c:pt>
                <c:pt idx="652">
                  <c:v>18542.799450793638</c:v>
                </c:pt>
                <c:pt idx="653">
                  <c:v>19408.185286115153</c:v>
                </c:pt>
                <c:pt idx="654">
                  <c:v>19749.304883018129</c:v>
                </c:pt>
                <c:pt idx="655">
                  <c:v>19500.951621564825</c:v>
                </c:pt>
                <c:pt idx="656">
                  <c:v>18594.864252256648</c:v>
                </c:pt>
                <c:pt idx="657">
                  <c:v>16955.770918858499</c:v>
                </c:pt>
                <c:pt idx="658">
                  <c:v>14497.372831972079</c:v>
                </c:pt>
                <c:pt idx="659">
                  <c:v>11120.456899424606</c:v>
                </c:pt>
                <c:pt idx="660">
                  <c:v>6721.8793572277837</c:v>
                </c:pt>
                <c:pt idx="661">
                  <c:v>1247.0794584578139</c:v>
                </c:pt>
                <c:pt idx="662">
                  <c:v>-5108.901377873759</c:v>
                </c:pt>
                <c:pt idx="663">
                  <c:v>-11431.916906023584</c:v>
                </c:pt>
                <c:pt idx="664">
                  <c:v>-16264.805575551145</c:v>
                </c:pt>
                <c:pt idx="665">
                  <c:v>-19176.133867172466</c:v>
                </c:pt>
                <c:pt idx="666">
                  <c:v>-20567.861122528033</c:v>
                </c:pt>
                <c:pt idx="667">
                  <c:v>-20886.352640711761</c:v>
                </c:pt>
                <c:pt idx="668">
                  <c:v>-20447.335478517572</c:v>
                </c:pt>
                <c:pt idx="669">
                  <c:v>-19459.184449203745</c:v>
                </c:pt>
                <c:pt idx="670">
                  <c:v>-18062.331420791848</c:v>
                </c:pt>
                <c:pt idx="671">
                  <c:v>-16362.886889893927</c:v>
                </c:pt>
                <c:pt idx="672">
                  <c:v>-14475.947766766398</c:v>
                </c:pt>
                <c:pt idx="673">
                  <c:v>-12632.814317626608</c:v>
                </c:pt>
                <c:pt idx="674">
                  <c:v>-11524.023975189239</c:v>
                </c:pt>
                <c:pt idx="675">
                  <c:v>-12484.798793215481</c:v>
                </c:pt>
                <c:pt idx="676">
                  <c:v>-14754.544885139716</c:v>
                </c:pt>
                <c:pt idx="677">
                  <c:v>-17277.254450211189</c:v>
                </c:pt>
                <c:pt idx="678">
                  <c:v>-19716.750488522364</c:v>
                </c:pt>
                <c:pt idx="679">
                  <c:v>-21974.776462769682</c:v>
                </c:pt>
                <c:pt idx="680">
                  <c:v>-24021.178442402863</c:v>
                </c:pt>
                <c:pt idx="681">
                  <c:v>-25846.357855290575</c:v>
                </c:pt>
                <c:pt idx="682">
                  <c:v>-27446.435965476456</c:v>
                </c:pt>
                <c:pt idx="683">
                  <c:v>-28817.949597684226</c:v>
                </c:pt>
                <c:pt idx="684">
                  <c:v>-29955.586203794908</c:v>
                </c:pt>
                <c:pt idx="685">
                  <c:v>-30850.858583364869</c:v>
                </c:pt>
                <c:pt idx="686">
                  <c:v>-31490.88647702325</c:v>
                </c:pt>
                <c:pt idx="687">
                  <c:v>-31856.788719151118</c:v>
                </c:pt>
                <c:pt idx="688">
                  <c:v>-31921.132873740371</c:v>
                </c:pt>
                <c:pt idx="689">
                  <c:v>-31643.454429938422</c:v>
                </c:pt>
                <c:pt idx="690">
                  <c:v>-30961.611263942745</c:v>
                </c:pt>
                <c:pt idx="691">
                  <c:v>-29773.006031939763</c:v>
                </c:pt>
                <c:pt idx="692">
                  <c:v>-27886.487014763665</c:v>
                </c:pt>
                <c:pt idx="693">
                  <c:v>-24867.769319794479</c:v>
                </c:pt>
                <c:pt idx="694">
                  <c:v>-19520.216888684638</c:v>
                </c:pt>
                <c:pt idx="695">
                  <c:v>-14220.62150989439</c:v>
                </c:pt>
                <c:pt idx="696">
                  <c:v>-9602.0796809963867</c:v>
                </c:pt>
                <c:pt idx="697">
                  <c:v>-5293.9009858565096</c:v>
                </c:pt>
                <c:pt idx="698">
                  <c:v>-1105.1884761466333</c:v>
                </c:pt>
                <c:pt idx="699">
                  <c:v>3031.1452084319035</c:v>
                </c:pt>
                <c:pt idx="700">
                  <c:v>7099.7367901580237</c:v>
                </c:pt>
                <c:pt idx="701">
                  <c:v>11034.593395445625</c:v>
                </c:pt>
                <c:pt idx="702">
                  <c:v>14751.707124015224</c:v>
                </c:pt>
                <c:pt idx="703">
                  <c:v>18175.489838856225</c:v>
                </c:pt>
                <c:pt idx="704">
                  <c:v>21251.2118750718</c:v>
                </c:pt>
                <c:pt idx="705">
                  <c:v>23945.08786569197</c:v>
                </c:pt>
                <c:pt idx="706">
                  <c:v>26238.70936569418</c:v>
                </c:pt>
                <c:pt idx="707">
                  <c:v>28122.864218722149</c:v>
                </c:pt>
                <c:pt idx="708">
                  <c:v>29592.686353898214</c:v>
                </c:pt>
                <c:pt idx="709">
                  <c:v>30644.294929373231</c:v>
                </c:pt>
                <c:pt idx="710">
                  <c:v>31272.492537664493</c:v>
                </c:pt>
                <c:pt idx="711">
                  <c:v>31469.022648382252</c:v>
                </c:pt>
                <c:pt idx="712">
                  <c:v>31220.92938576511</c:v>
                </c:pt>
                <c:pt idx="713">
                  <c:v>30508.543507753366</c:v>
                </c:pt>
                <c:pt idx="714">
                  <c:v>29302.439384681718</c:v>
                </c:pt>
                <c:pt idx="715">
                  <c:v>27558.264960003871</c:v>
                </c:pt>
                <c:pt idx="716">
                  <c:v>25207.790805693461</c:v>
                </c:pt>
                <c:pt idx="717">
                  <c:v>22148.613291891572</c:v>
                </c:pt>
                <c:pt idx="718">
                  <c:v>18326.258590706311</c:v>
                </c:pt>
                <c:pt idx="719">
                  <c:v>15484.639323583622</c:v>
                </c:pt>
                <c:pt idx="720">
                  <c:v>13892.33016830278</c:v>
                </c:pt>
                <c:pt idx="721">
                  <c:v>12602.01971883363</c:v>
                </c:pt>
                <c:pt idx="722">
                  <c:v>11373.253427464595</c:v>
                </c:pt>
                <c:pt idx="723">
                  <c:v>10134.275183876063</c:v>
                </c:pt>
                <c:pt idx="724">
                  <c:v>8863.1848326029267</c:v>
                </c:pt>
                <c:pt idx="725">
                  <c:v>7555.5103390995973</c:v>
                </c:pt>
                <c:pt idx="726">
                  <c:v>6213.424259940537</c:v>
                </c:pt>
                <c:pt idx="727">
                  <c:v>4841.7084743980904</c:v>
                </c:pt>
                <c:pt idx="728">
                  <c:v>3446.1442149933146</c:v>
                </c:pt>
                <c:pt idx="729">
                  <c:v>2032.8493032470535</c:v>
                </c:pt>
                <c:pt idx="730">
                  <c:v>607.98299819268539</c:v>
                </c:pt>
                <c:pt idx="731">
                  <c:v>-822.46085924033741</c:v>
                </c:pt>
                <c:pt idx="732">
                  <c:v>-2252.9872199106776</c:v>
                </c:pt>
                <c:pt idx="733">
                  <c:v>-3679.3756408338136</c:v>
                </c:pt>
                <c:pt idx="734">
                  <c:v>-5100.5846513425286</c:v>
                </c:pt>
                <c:pt idx="735">
                  <c:v>-6523.5310797877601</c:v>
                </c:pt>
                <c:pt idx="736">
                  <c:v>-7975.6641601539341</c:v>
                </c:pt>
                <c:pt idx="737">
                  <c:v>-9540.8131805773264</c:v>
                </c:pt>
                <c:pt idx="738">
                  <c:v>-11474.14133754051</c:v>
                </c:pt>
                <c:pt idx="739">
                  <c:v>-14609.192756105596</c:v>
                </c:pt>
                <c:pt idx="740">
                  <c:v>-20355.339502820843</c:v>
                </c:pt>
                <c:pt idx="741">
                  <c:v>-25693.361077245394</c:v>
                </c:pt>
                <c:pt idx="742">
                  <c:v>-30188.990244976729</c:v>
                </c:pt>
                <c:pt idx="743">
                  <c:v>-33961.538796847075</c:v>
                </c:pt>
                <c:pt idx="744">
                  <c:v>-37117.487105643391</c:v>
                </c:pt>
                <c:pt idx="745">
                  <c:v>-39730.185517442842</c:v>
                </c:pt>
                <c:pt idx="746">
                  <c:v>-41850.767859038846</c:v>
                </c:pt>
                <c:pt idx="747">
                  <c:v>-43515.993068753611</c:v>
                </c:pt>
                <c:pt idx="748">
                  <c:v>-44752.768577356961</c:v>
                </c:pt>
                <c:pt idx="749">
                  <c:v>-45580.754808687969</c:v>
                </c:pt>
                <c:pt idx="750">
                  <c:v>-46013.901542335429</c:v>
                </c:pt>
                <c:pt idx="751">
                  <c:v>-46061.356254696679</c:v>
                </c:pt>
                <c:pt idx="752">
                  <c:v>-45727.965041886564</c:v>
                </c:pt>
                <c:pt idx="753">
                  <c:v>-45014.470204835256</c:v>
                </c:pt>
                <c:pt idx="754">
                  <c:v>-43917.438981021754</c:v>
                </c:pt>
                <c:pt idx="755">
                  <c:v>-42428.904076304178</c:v>
                </c:pt>
                <c:pt idx="756">
                  <c:v>-40535.636967031867</c:v>
                </c:pt>
                <c:pt idx="757">
                  <c:v>-38217.885297135137</c:v>
                </c:pt>
                <c:pt idx="758">
                  <c:v>-35447.245543243604</c:v>
                </c:pt>
                <c:pt idx="759">
                  <c:v>-32183.030118146839</c:v>
                </c:pt>
                <c:pt idx="760">
                  <c:v>-28365.857501653802</c:v>
                </c:pt>
                <c:pt idx="761">
                  <c:v>-23905.962131935663</c:v>
                </c:pt>
                <c:pt idx="762">
                  <c:v>-18662.053751195319</c:v>
                </c:pt>
                <c:pt idx="763">
                  <c:v>-12412.8224017791</c:v>
                </c:pt>
                <c:pt idx="764">
                  <c:v>-4946.579222677562</c:v>
                </c:pt>
                <c:pt idx="765">
                  <c:v>2516.3010476225345</c:v>
                </c:pt>
                <c:pt idx="766">
                  <c:v>7449.7610030963333</c:v>
                </c:pt>
                <c:pt idx="767">
                  <c:v>10649.834557802222</c:v>
                </c:pt>
                <c:pt idx="768">
                  <c:v>12782.486025607963</c:v>
                </c:pt>
                <c:pt idx="769">
                  <c:v>14182.216749884097</c:v>
                </c:pt>
                <c:pt idx="770">
                  <c:v>15029.439519234202</c:v>
                </c:pt>
                <c:pt idx="771">
                  <c:v>15430.622929757708</c:v>
                </c:pt>
                <c:pt idx="772">
                  <c:v>15452.791212962373</c:v>
                </c:pt>
                <c:pt idx="773">
                  <c:v>15139.69599571125</c:v>
                </c:pt>
                <c:pt idx="774">
                  <c:v>14520.008404214042</c:v>
                </c:pt>
                <c:pt idx="775">
                  <c:v>13611.647010964594</c:v>
                </c:pt>
                <c:pt idx="776">
                  <c:v>12423.990418377198</c:v>
                </c:pt>
                <c:pt idx="777">
                  <c:v>10958.714996615241</c:v>
                </c:pt>
                <c:pt idx="778">
                  <c:v>9209.4710413514968</c:v>
                </c:pt>
                <c:pt idx="779">
                  <c:v>7160.1967863632026</c:v>
                </c:pt>
                <c:pt idx="780">
                  <c:v>4781.3197870581062</c:v>
                </c:pt>
                <c:pt idx="781">
                  <c:v>2022.1513242946664</c:v>
                </c:pt>
                <c:pt idx="782">
                  <c:v>-1202.7094507208681</c:v>
                </c:pt>
                <c:pt idx="783">
                  <c:v>-5009.0643283102672</c:v>
                </c:pt>
                <c:pt idx="784">
                  <c:v>-8798.1515654670184</c:v>
                </c:pt>
                <c:pt idx="785">
                  <c:v>-10577.230636205561</c:v>
                </c:pt>
                <c:pt idx="786">
                  <c:v>-11597.828069115676</c:v>
                </c:pt>
                <c:pt idx="787">
                  <c:v>-12239.19827444367</c:v>
                </c:pt>
                <c:pt idx="788">
                  <c:v>-12647.103403369441</c:v>
                </c:pt>
                <c:pt idx="789">
                  <c:v>-12913.122530709807</c:v>
                </c:pt>
                <c:pt idx="790">
                  <c:v>-13170.573984668777</c:v>
                </c:pt>
                <c:pt idx="791">
                  <c:v>-13818.706121963321</c:v>
                </c:pt>
                <c:pt idx="792">
                  <c:v>-16355.288506945477</c:v>
                </c:pt>
                <c:pt idx="793">
                  <c:v>-20279.879481992968</c:v>
                </c:pt>
                <c:pt idx="794">
                  <c:v>-23912.097977388694</c:v>
                </c:pt>
                <c:pt idx="795">
                  <c:v>-27088.690070774013</c:v>
                </c:pt>
                <c:pt idx="796">
                  <c:v>-29838.102765505781</c:v>
                </c:pt>
                <c:pt idx="797">
                  <c:v>-32201.195013671415</c:v>
                </c:pt>
                <c:pt idx="798">
                  <c:v>-34210.217525627828</c:v>
                </c:pt>
                <c:pt idx="799">
                  <c:v>-35887.869105824953</c:v>
                </c:pt>
                <c:pt idx="800">
                  <c:v>-37248.788057353668</c:v>
                </c:pt>
                <c:pt idx="801">
                  <c:v>-38300.83370230945</c:v>
                </c:pt>
                <c:pt idx="802">
                  <c:v>-39045.80504432381</c:v>
                </c:pt>
                <c:pt idx="803">
                  <c:v>-39479.584385212358</c:v>
                </c:pt>
                <c:pt idx="804">
                  <c:v>-39591.672652085617</c:v>
                </c:pt>
                <c:pt idx="805">
                  <c:v>-39363.957980136554</c:v>
                </c:pt>
                <c:pt idx="806">
                  <c:v>-38768.323485844667</c:v>
                </c:pt>
                <c:pt idx="807">
                  <c:v>-37762.212452813597</c:v>
                </c:pt>
                <c:pt idx="808">
                  <c:v>-36280.105641252623</c:v>
                </c:pt>
                <c:pt idx="809">
                  <c:v>-34215.658276915179</c:v>
                </c:pt>
                <c:pt idx="810">
                  <c:v>-31378.789053864995</c:v>
                </c:pt>
                <c:pt idx="811">
                  <c:v>-27370.532217631076</c:v>
                </c:pt>
                <c:pt idx="812">
                  <c:v>-21158.799336310472</c:v>
                </c:pt>
                <c:pt idx="813">
                  <c:v>-13542.06015460565</c:v>
                </c:pt>
                <c:pt idx="814">
                  <c:v>-7178.5768040834919</c:v>
                </c:pt>
                <c:pt idx="815">
                  <c:v>-1284.0111550364684</c:v>
                </c:pt>
                <c:pt idx="816">
                  <c:v>4530.7883350036655</c:v>
                </c:pt>
                <c:pt idx="817">
                  <c:v>10401.308965463659</c:v>
                </c:pt>
                <c:pt idx="818">
                  <c:v>16269.083645351069</c:v>
                </c:pt>
                <c:pt idx="819">
                  <c:v>21948.688903185935</c:v>
                </c:pt>
                <c:pt idx="820">
                  <c:v>27238.821433152549</c:v>
                </c:pt>
                <c:pt idx="821">
                  <c:v>31999.113202882691</c:v>
                </c:pt>
                <c:pt idx="822">
                  <c:v>36158.213543833503</c:v>
                </c:pt>
                <c:pt idx="823">
                  <c:v>39690.526743761075</c:v>
                </c:pt>
                <c:pt idx="824">
                  <c:v>42593.370165546301</c:v>
                </c:pt>
                <c:pt idx="825">
                  <c:v>44872.438825850702</c:v>
                </c:pt>
                <c:pt idx="826">
                  <c:v>46533.810543491963</c:v>
                </c:pt>
                <c:pt idx="827">
                  <c:v>47579.63830239384</c:v>
                </c:pt>
                <c:pt idx="828">
                  <c:v>48005.564710489336</c:v>
                </c:pt>
                <c:pt idx="829">
                  <c:v>47798.691029272399</c:v>
                </c:pt>
                <c:pt idx="830">
                  <c:v>46935.362965441869</c:v>
                </c:pt>
                <c:pt idx="831">
                  <c:v>45378.187502672452</c:v>
                </c:pt>
                <c:pt idx="832">
                  <c:v>43071.685340577918</c:v>
                </c:pt>
                <c:pt idx="833">
                  <c:v>39936.023345569243</c:v>
                </c:pt>
                <c:pt idx="834">
                  <c:v>35859.300754304495</c:v>
                </c:pt>
                <c:pt idx="835">
                  <c:v>30695.958939011456</c:v>
                </c:pt>
                <c:pt idx="836">
                  <c:v>24319.925687769286</c:v>
                </c:pt>
                <c:pt idx="837">
                  <c:v>16971.223568395559</c:v>
                </c:pt>
                <c:pt idx="838">
                  <c:v>10071.903420226361</c:v>
                </c:pt>
                <c:pt idx="839">
                  <c:v>4552.0865816742134</c:v>
                </c:pt>
                <c:pt idx="840">
                  <c:v>-285.5312049030241</c:v>
                </c:pt>
                <c:pt idx="841">
                  <c:v>-5173.9220451108695</c:v>
                </c:pt>
                <c:pt idx="842">
                  <c:v>-10430.445552640405</c:v>
                </c:pt>
                <c:pt idx="843">
                  <c:v>-15923.356347072702</c:v>
                </c:pt>
                <c:pt idx="844">
                  <c:v>-21318.466552510221</c:v>
                </c:pt>
                <c:pt idx="845">
                  <c:v>-26358.783086958025</c:v>
                </c:pt>
                <c:pt idx="846">
                  <c:v>-30924.152038137923</c:v>
                </c:pt>
                <c:pt idx="847">
                  <c:v>-34981.846730667574</c:v>
                </c:pt>
                <c:pt idx="848">
                  <c:v>-38539.518399645669</c:v>
                </c:pt>
                <c:pt idx="849">
                  <c:v>-41619.537250221903</c:v>
                </c:pt>
                <c:pt idx="850">
                  <c:v>-44247.311399193342</c:v>
                </c:pt>
                <c:pt idx="851">
                  <c:v>-46446.490993605141</c:v>
                </c:pt>
                <c:pt idx="852">
                  <c:v>-48237.236549401001</c:v>
                </c:pt>
                <c:pt idx="853">
                  <c:v>-49635.767652825205</c:v>
                </c:pt>
                <c:pt idx="854">
                  <c:v>-50654.399594373033</c:v>
                </c:pt>
                <c:pt idx="855">
                  <c:v>-51301.723117712572</c:v>
                </c:pt>
                <c:pt idx="856">
                  <c:v>-51582.778927552667</c:v>
                </c:pt>
                <c:pt idx="857">
                  <c:v>-51499.162981722366</c:v>
                </c:pt>
                <c:pt idx="858">
                  <c:v>-51049.033168339782</c:v>
                </c:pt>
                <c:pt idx="859">
                  <c:v>-50227.000316765407</c:v>
                </c:pt>
                <c:pt idx="860">
                  <c:v>-49023.889199840232</c:v>
                </c:pt>
                <c:pt idx="861">
                  <c:v>-47426.35509872916</c:v>
                </c:pt>
                <c:pt idx="862">
                  <c:v>-45416.34525245877</c:v>
                </c:pt>
                <c:pt idx="863">
                  <c:v>-42970.415207582759</c:v>
                </c:pt>
                <c:pt idx="864">
                  <c:v>-40058.983247441363</c:v>
                </c:pt>
                <c:pt idx="865">
                  <c:v>-36645.840079253954</c:v>
                </c:pt>
                <c:pt idx="866">
                  <c:v>-32688.989595497311</c:v>
                </c:pt>
                <c:pt idx="867">
                  <c:v>-28146.535179921924</c:v>
                </c:pt>
                <c:pt idx="868">
                  <c:v>-23001.341038956791</c:v>
                </c:pt>
                <c:pt idx="869">
                  <c:v>-17356.683173671874</c:v>
                </c:pt>
                <c:pt idx="870">
                  <c:v>-11741.747873207369</c:v>
                </c:pt>
                <c:pt idx="871">
                  <c:v>-7246.1806584517208</c:v>
                </c:pt>
                <c:pt idx="872">
                  <c:v>-3943.6390531783468</c:v>
                </c:pt>
                <c:pt idx="873">
                  <c:v>-1119.4779058061692</c:v>
                </c:pt>
                <c:pt idx="874">
                  <c:v>1628.7842078000972</c:v>
                </c:pt>
                <c:pt idx="875">
                  <c:v>4414.0756487997496</c:v>
                </c:pt>
                <c:pt idx="876">
                  <c:v>7233.4805945534108</c:v>
                </c:pt>
                <c:pt idx="877">
                  <c:v>10052.898603089096</c:v>
                </c:pt>
                <c:pt idx="878">
                  <c:v>12835.403861949699</c:v>
                </c:pt>
                <c:pt idx="879">
                  <c:v>15548.091765137486</c:v>
                </c:pt>
                <c:pt idx="880">
                  <c:v>18162.245589688417</c:v>
                </c:pt>
                <c:pt idx="881">
                  <c:v>20651.784302639306</c:v>
                </c:pt>
                <c:pt idx="882">
                  <c:v>22991.388966195671</c:v>
                </c:pt>
                <c:pt idx="883">
                  <c:v>25154.540168792726</c:v>
                </c:pt>
                <c:pt idx="884">
                  <c:v>27111.292336964012</c:v>
                </c:pt>
                <c:pt idx="885">
                  <c:v>28825.365741641228</c:v>
                </c:pt>
                <c:pt idx="886">
                  <c:v>30249.77336366949</c:v>
                </c:pt>
                <c:pt idx="887">
                  <c:v>31319.395218856211</c:v>
                </c:pt>
                <c:pt idx="888">
                  <c:v>31936.892347709829</c:v>
                </c:pt>
                <c:pt idx="889">
                  <c:v>31942.742286892688</c:v>
                </c:pt>
                <c:pt idx="890">
                  <c:v>31043.041328112085</c:v>
                </c:pt>
                <c:pt idx="891">
                  <c:v>28619.267724961966</c:v>
                </c:pt>
                <c:pt idx="892">
                  <c:v>23454.891991918721</c:v>
                </c:pt>
                <c:pt idx="893">
                  <c:v>16505.373379464108</c:v>
                </c:pt>
                <c:pt idx="894">
                  <c:v>9869.1269099749734</c:v>
                </c:pt>
                <c:pt idx="895">
                  <c:v>3562.3311871181813</c:v>
                </c:pt>
                <c:pt idx="896">
                  <c:v>-2660.2297150312147</c:v>
                </c:pt>
                <c:pt idx="897">
                  <c:v>-8982.4263710254891</c:v>
                </c:pt>
                <c:pt idx="898">
                  <c:v>-15456.307500176141</c:v>
                </c:pt>
                <c:pt idx="899">
                  <c:v>-21909.745815047867</c:v>
                </c:pt>
                <c:pt idx="900">
                  <c:v>-27920.937081627708</c:v>
                </c:pt>
                <c:pt idx="901">
                  <c:v>-33037.70046556033</c:v>
                </c:pt>
                <c:pt idx="902">
                  <c:v>-37025.686280399059</c:v>
                </c:pt>
                <c:pt idx="903">
                  <c:v>-39865.067313935811</c:v>
                </c:pt>
                <c:pt idx="904">
                  <c:v>-41637.020019246134</c:v>
                </c:pt>
                <c:pt idx="905">
                  <c:v>-42447.21499765975</c:v>
                </c:pt>
                <c:pt idx="906">
                  <c:v>-42394.985846553514</c:v>
                </c:pt>
                <c:pt idx="907">
                  <c:v>-41565.127633830125</c:v>
                </c:pt>
                <c:pt idx="908">
                  <c:v>-40028.197515105894</c:v>
                </c:pt>
                <c:pt idx="909">
                  <c:v>-37843.602347680244</c:v>
                </c:pt>
                <c:pt idx="910">
                  <c:v>-35063.702083749267</c:v>
                </c:pt>
                <c:pt idx="911">
                  <c:v>-31738.831911241949</c:v>
                </c:pt>
                <c:pt idx="912">
                  <c:v>-27924.03645236585</c:v>
                </c:pt>
                <c:pt idx="913">
                  <c:v>-23689.050410851505</c:v>
                </c:pt>
                <c:pt idx="914">
                  <c:v>-19133.570606085446</c:v>
                </c:pt>
                <c:pt idx="915">
                  <c:v>-14408.259006093054</c:v>
                </c:pt>
                <c:pt idx="916">
                  <c:v>-9730.7575949424099</c:v>
                </c:pt>
                <c:pt idx="917">
                  <c:v>-5351.0661912091564</c:v>
                </c:pt>
                <c:pt idx="918">
                  <c:v>-1389.7530918196092</c:v>
                </c:pt>
                <c:pt idx="919">
                  <c:v>2383.273700668175</c:v>
                </c:pt>
                <c:pt idx="920">
                  <c:v>6487.3054476514881</c:v>
                </c:pt>
                <c:pt idx="921">
                  <c:v>11224.421010995611</c:v>
                </c:pt>
                <c:pt idx="922">
                  <c:v>16309.770515849194</c:v>
                </c:pt>
                <c:pt idx="923">
                  <c:v>21286.981578639621</c:v>
                </c:pt>
                <c:pt idx="924">
                  <c:v>25893.784713227305</c:v>
                </c:pt>
                <c:pt idx="925">
                  <c:v>30035.006174145543</c:v>
                </c:pt>
                <c:pt idx="926">
                  <c:v>33693.790497784394</c:v>
                </c:pt>
                <c:pt idx="927">
                  <c:v>36882.759052452275</c:v>
                </c:pt>
                <c:pt idx="928">
                  <c:v>39623.131884460796</c:v>
                </c:pt>
                <c:pt idx="929">
                  <c:v>41936.473313134433</c:v>
                </c:pt>
                <c:pt idx="930">
                  <c:v>43841.624149149939</c:v>
                </c:pt>
                <c:pt idx="931">
                  <c:v>45353.697885853595</c:v>
                </c:pt>
                <c:pt idx="932">
                  <c:v>46483.856743974051</c:v>
                </c:pt>
                <c:pt idx="933">
                  <c:v>47239.332928601994</c:v>
                </c:pt>
                <c:pt idx="934">
                  <c:v>47623.464616838624</c:v>
                </c:pt>
                <c:pt idx="935">
                  <c:v>47635.636687157341</c:v>
                </c:pt>
                <c:pt idx="936">
                  <c:v>47271.056581660574</c:v>
                </c:pt>
                <c:pt idx="937">
                  <c:v>46520.295149187725</c:v>
                </c:pt>
                <c:pt idx="938">
                  <c:v>45368.49109998389</c:v>
                </c:pt>
                <c:pt idx="939">
                  <c:v>43794.047583271444</c:v>
                </c:pt>
                <c:pt idx="940">
                  <c:v>41766.509675950241</c:v>
                </c:pt>
                <c:pt idx="941">
                  <c:v>39243.028066470462</c:v>
                </c:pt>
                <c:pt idx="942">
                  <c:v>36162.218096435397</c:v>
                </c:pt>
                <c:pt idx="943">
                  <c:v>32432.986646439127</c:v>
                </c:pt>
                <c:pt idx="944">
                  <c:v>27914.180898879778</c:v>
                </c:pt>
                <c:pt idx="945">
                  <c:v>22392.939078149808</c:v>
                </c:pt>
                <c:pt idx="946">
                  <c:v>15889.721038819873</c:v>
                </c:pt>
                <c:pt idx="947">
                  <c:v>11729.464004638859</c:v>
                </c:pt>
                <c:pt idx="948">
                  <c:v>8973.6508265503799</c:v>
                </c:pt>
                <c:pt idx="949">
                  <c:v>6650.2895531539671</c:v>
                </c:pt>
                <c:pt idx="950">
                  <c:v>4456.2351067571262</c:v>
                </c:pt>
                <c:pt idx="951">
                  <c:v>2292.5027797038761</c:v>
                </c:pt>
                <c:pt idx="952">
                  <c:v>129.1451479608904</c:v>
                </c:pt>
                <c:pt idx="953">
                  <c:v>-2038.2044344442029</c:v>
                </c:pt>
                <c:pt idx="954">
                  <c:v>-4203.9602978689554</c:v>
                </c:pt>
                <c:pt idx="955">
                  <c:v>-6358.5249738460416</c:v>
                </c:pt>
                <c:pt idx="956">
                  <c:v>-8490.5150294143859</c:v>
                </c:pt>
                <c:pt idx="957">
                  <c:v>-10587.433730484492</c:v>
                </c:pt>
                <c:pt idx="958">
                  <c:v>-12635.59642155827</c:v>
                </c:pt>
                <c:pt idx="959">
                  <c:v>-14619.556990638313</c:v>
                </c:pt>
                <c:pt idx="960">
                  <c:v>-16520.957004062195</c:v>
                </c:pt>
                <c:pt idx="961">
                  <c:v>-18316.307254706258</c:v>
                </c:pt>
                <c:pt idx="962">
                  <c:v>-19972.182431945621</c:v>
                </c:pt>
                <c:pt idx="963">
                  <c:v>-21432.682447064792</c:v>
                </c:pt>
                <c:pt idx="964">
                  <c:v>-22577.230936834359</c:v>
                </c:pt>
                <c:pt idx="965">
                  <c:v>-23019.121159797513</c:v>
                </c:pt>
                <c:pt idx="966">
                  <c:v>-21093.20152858891</c:v>
                </c:pt>
                <c:pt idx="967">
                  <c:v>-18455.863903618661</c:v>
                </c:pt>
                <c:pt idx="968">
                  <c:v>-15662.152080671452</c:v>
                </c:pt>
                <c:pt idx="969">
                  <c:v>-12724.644829007848</c:v>
                </c:pt>
                <c:pt idx="970">
                  <c:v>-9621.2596393194726</c:v>
                </c:pt>
                <c:pt idx="971">
                  <c:v>-6345.0636498675149</c:v>
                </c:pt>
                <c:pt idx="972">
                  <c:v>-2959.1697506592363</c:v>
                </c:pt>
                <c:pt idx="973">
                  <c:v>98.02438104861028</c:v>
                </c:pt>
                <c:pt idx="974">
                  <c:v>752.78496222865306</c:v>
                </c:pt>
                <c:pt idx="975">
                  <c:v>-521.24786226626588</c:v>
                </c:pt>
                <c:pt idx="976">
                  <c:v>-2331.2544693991354</c:v>
                </c:pt>
                <c:pt idx="977">
                  <c:v>-4287.5315924784736</c:v>
                </c:pt>
                <c:pt idx="978">
                  <c:v>-6261.3513000524745</c:v>
                </c:pt>
                <c:pt idx="979">
                  <c:v>-8199.2984406560281</c:v>
                </c:pt>
                <c:pt idx="980">
                  <c:v>-10074.764723616041</c:v>
                </c:pt>
                <c:pt idx="981">
                  <c:v>-11872.130101736755</c:v>
                </c:pt>
                <c:pt idx="982">
                  <c:v>-13580.591141161245</c:v>
                </c:pt>
                <c:pt idx="983">
                  <c:v>-15191.372016833182</c:v>
                </c:pt>
                <c:pt idx="984">
                  <c:v>-16696.271675577089</c:v>
                </c:pt>
                <c:pt idx="985">
                  <c:v>-18086.769456542523</c:v>
                </c:pt>
                <c:pt idx="986">
                  <c:v>-19353.347114326123</c:v>
                </c:pt>
                <c:pt idx="987">
                  <c:v>-20484.84505809972</c:v>
                </c:pt>
                <c:pt idx="988">
                  <c:v>-21467.722300833764</c:v>
                </c:pt>
                <c:pt idx="989">
                  <c:v>-22285.084895871481</c:v>
                </c:pt>
                <c:pt idx="990">
                  <c:v>-22915.294110571071</c:v>
                </c:pt>
                <c:pt idx="991">
                  <c:v>-23329.840921887964</c:v>
                </c:pt>
                <c:pt idx="992">
                  <c:v>-23489.910985941453</c:v>
                </c:pt>
                <c:pt idx="993">
                  <c:v>-23340.497634637184</c:v>
                </c:pt>
                <c:pt idx="994">
                  <c:v>-22799.623697219144</c:v>
                </c:pt>
                <c:pt idx="995">
                  <c:v>-21737.067589040278</c:v>
                </c:pt>
                <c:pt idx="996">
                  <c:v>-19929.012586164812</c:v>
                </c:pt>
                <c:pt idx="997">
                  <c:v>-16958.766479289719</c:v>
                </c:pt>
                <c:pt idx="998">
                  <c:v>-12082.207034505114</c:v>
                </c:pt>
                <c:pt idx="999">
                  <c:v>-5095.9271063903088</c:v>
                </c:pt>
                <c:pt idx="1000">
                  <c:v>1931.1279987765599</c:v>
                </c:pt>
              </c:numCache>
            </c:numRef>
          </c:xVal>
          <c:yVal>
            <c:numRef>
              <c:f>Feuille1!$C$309:$C$1309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377.77377337548796</c:v>
                </c:pt>
                <c:pt idx="3">
                  <c:v>1144.7051052779093</c:v>
                </c:pt>
                <c:pt idx="4">
                  <c:v>2322.6330014658838</c:v>
                </c:pt>
                <c:pt idx="5">
                  <c:v>3941.4502433491657</c:v>
                </c:pt>
                <c:pt idx="6">
                  <c:v>6033.8619526834664</c:v>
                </c:pt>
                <c:pt idx="7">
                  <c:v>8624.5337366605272</c:v>
                </c:pt>
                <c:pt idx="8">
                  <c:v>11708.989096193765</c:v>
                </c:pt>
                <c:pt idx="9">
                  <c:v>15217.969991393231</c:v>
                </c:pt>
                <c:pt idx="10">
                  <c:v>18974.997447613077</c:v>
                </c:pt>
                <c:pt idx="11">
                  <c:v>22684.756001278631</c:v>
                </c:pt>
                <c:pt idx="12">
                  <c:v>25989.977152673782</c:v>
                </c:pt>
                <c:pt idx="13">
                  <c:v>28549.743894570136</c:v>
                </c:pt>
                <c:pt idx="14">
                  <c:v>30053.3735110548</c:v>
                </c:pt>
                <c:pt idx="15">
                  <c:v>30155.873797799348</c:v>
                </c:pt>
                <c:pt idx="16">
                  <c:v>28346.515521759851</c:v>
                </c:pt>
                <c:pt idx="17">
                  <c:v>23809.921176851189</c:v>
                </c:pt>
                <c:pt idx="18">
                  <c:v>16859.683908376035</c:v>
                </c:pt>
                <c:pt idx="19">
                  <c:v>11269.717750088299</c:v>
                </c:pt>
                <c:pt idx="20">
                  <c:v>7547.5292649333533</c:v>
                </c:pt>
                <c:pt idx="21">
                  <c:v>5394.8319631117083</c:v>
                </c:pt>
                <c:pt idx="22">
                  <c:v>4566.3821957242562</c:v>
                </c:pt>
                <c:pt idx="23">
                  <c:v>4898.8705184296723</c:v>
                </c:pt>
                <c:pt idx="24">
                  <c:v>6279.172667486233</c:v>
                </c:pt>
                <c:pt idx="25">
                  <c:v>8611.4104647104177</c:v>
                </c:pt>
                <c:pt idx="26">
                  <c:v>11775.386844197785</c:v>
                </c:pt>
                <c:pt idx="27">
                  <c:v>15571.915517577456</c:v>
                </c:pt>
                <c:pt idx="28">
                  <c:v>19677.60017016661</c:v>
                </c:pt>
                <c:pt idx="29">
                  <c:v>23674.545440354694</c:v>
                </c:pt>
                <c:pt idx="30">
                  <c:v>27176.898514158027</c:v>
                </c:pt>
                <c:pt idx="31">
                  <c:v>29929.1378447766</c:v>
                </c:pt>
                <c:pt idx="32">
                  <c:v>31793.584416224578</c:v>
                </c:pt>
                <c:pt idx="33">
                  <c:v>32689.437602115057</c:v>
                </c:pt>
                <c:pt idx="34">
                  <c:v>32537.604728944847</c:v>
                </c:pt>
                <c:pt idx="35">
                  <c:v>31210.227765905402</c:v>
                </c:pt>
                <c:pt idx="36">
                  <c:v>28451.07396651306</c:v>
                </c:pt>
                <c:pt idx="37">
                  <c:v>23685.917211592176</c:v>
                </c:pt>
                <c:pt idx="38">
                  <c:v>16229.556312001183</c:v>
                </c:pt>
                <c:pt idx="39">
                  <c:v>11072.318337032619</c:v>
                </c:pt>
                <c:pt idx="40">
                  <c:v>7630.5552602559246</c:v>
                </c:pt>
                <c:pt idx="41">
                  <c:v>5391.4356192138321</c:v>
                </c:pt>
                <c:pt idx="42">
                  <c:v>4136.804925642853</c:v>
                </c:pt>
                <c:pt idx="43">
                  <c:v>3797.3790726726556</c:v>
                </c:pt>
                <c:pt idx="44">
                  <c:v>4407.9771725931096</c:v>
                </c:pt>
                <c:pt idx="45">
                  <c:v>6115.1033683692085</c:v>
                </c:pt>
                <c:pt idx="46">
                  <c:v>9229.4440277991816</c:v>
                </c:pt>
                <c:pt idx="47">
                  <c:v>14299.47027367088</c:v>
                </c:pt>
                <c:pt idx="48">
                  <c:v>21549.745001491705</c:v>
                </c:pt>
                <c:pt idx="49">
                  <c:v>27880.496439500155</c:v>
                </c:pt>
                <c:pt idx="50">
                  <c:v>31976.36370726024</c:v>
                </c:pt>
                <c:pt idx="51">
                  <c:v>34138.259935966133</c:v>
                </c:pt>
                <c:pt idx="52">
                  <c:v>34615.853637946318</c:v>
                </c:pt>
                <c:pt idx="53">
                  <c:v>33485.804298224961</c:v>
                </c:pt>
                <c:pt idx="54">
                  <c:v>30647.486493175304</c:v>
                </c:pt>
                <c:pt idx="55">
                  <c:v>25757.103680566594</c:v>
                </c:pt>
                <c:pt idx="56">
                  <c:v>18314.255079976454</c:v>
                </c:pt>
                <c:pt idx="57">
                  <c:v>12222.527868087229</c:v>
                </c:pt>
                <c:pt idx="58">
                  <c:v>8646.1810084091994</c:v>
                </c:pt>
                <c:pt idx="59">
                  <c:v>6587.4213350085993</c:v>
                </c:pt>
                <c:pt idx="60">
                  <c:v>5545.3165759722051</c:v>
                </c:pt>
                <c:pt idx="61">
                  <c:v>5264.2251752615639</c:v>
                </c:pt>
                <c:pt idx="62">
                  <c:v>5605.8741757151893</c:v>
                </c:pt>
                <c:pt idx="63">
                  <c:v>6496.135558040316</c:v>
                </c:pt>
                <c:pt idx="64">
                  <c:v>7898.621632561877</c:v>
                </c:pt>
                <c:pt idx="65">
                  <c:v>9798.6938051349516</c:v>
                </c:pt>
                <c:pt idx="66">
                  <c:v>12191.784725935198</c:v>
                </c:pt>
                <c:pt idx="67">
                  <c:v>15071.65437379154</c:v>
                </c:pt>
                <c:pt idx="68">
                  <c:v>18401.930070964383</c:v>
                </c:pt>
                <c:pt idx="69">
                  <c:v>21958.164268190052</c:v>
                </c:pt>
                <c:pt idx="70">
                  <c:v>24338.122076565662</c:v>
                </c:pt>
                <c:pt idx="71">
                  <c:v>23895.642122120818</c:v>
                </c:pt>
                <c:pt idx="72">
                  <c:v>22245.154525233695</c:v>
                </c:pt>
                <c:pt idx="73">
                  <c:v>20121.61467054093</c:v>
                </c:pt>
                <c:pt idx="74">
                  <c:v>17899.323673371357</c:v>
                </c:pt>
                <c:pt idx="75">
                  <c:v>15937.846808301394</c:v>
                </c:pt>
                <c:pt idx="76">
                  <c:v>14891.027659156736</c:v>
                </c:pt>
                <c:pt idx="77">
                  <c:v>16240.939145020991</c:v>
                </c:pt>
                <c:pt idx="78">
                  <c:v>19608.783015522473</c:v>
                </c:pt>
                <c:pt idx="79">
                  <c:v>22955.825153310536</c:v>
                </c:pt>
                <c:pt idx="80">
                  <c:v>25745.252468004917</c:v>
                </c:pt>
                <c:pt idx="81">
                  <c:v>27840.592253850285</c:v>
                </c:pt>
                <c:pt idx="82">
                  <c:v>29194.817544025438</c:v>
                </c:pt>
                <c:pt idx="83">
                  <c:v>29788.449725121147</c:v>
                </c:pt>
                <c:pt idx="84">
                  <c:v>29613.038386462355</c:v>
                </c:pt>
                <c:pt idx="85">
                  <c:v>28665.327291726095</c:v>
                </c:pt>
                <c:pt idx="86">
                  <c:v>26946.306566625775</c:v>
                </c:pt>
                <c:pt idx="87">
                  <c:v>24465.974539318089</c:v>
                </c:pt>
                <c:pt idx="88">
                  <c:v>21271.181638347534</c:v>
                </c:pt>
                <c:pt idx="89">
                  <c:v>17632.980634682313</c:v>
                </c:pt>
                <c:pt idx="90">
                  <c:v>15201.233957948738</c:v>
                </c:pt>
                <c:pt idx="91">
                  <c:v>15317.103901856261</c:v>
                </c:pt>
                <c:pt idx="92">
                  <c:v>16492.594998790992</c:v>
                </c:pt>
                <c:pt idx="93">
                  <c:v>18096.451989108125</c:v>
                </c:pt>
                <c:pt idx="94">
                  <c:v>19840.762372957732</c:v>
                </c:pt>
                <c:pt idx="95">
                  <c:v>21505.460799266788</c:v>
                </c:pt>
                <c:pt idx="96">
                  <c:v>22739.341956639277</c:v>
                </c:pt>
                <c:pt idx="97">
                  <c:v>22489.828714224881</c:v>
                </c:pt>
                <c:pt idx="98">
                  <c:v>20141.01950606289</c:v>
                </c:pt>
                <c:pt idx="99">
                  <c:v>17609.477688647003</c:v>
                </c:pt>
                <c:pt idx="100">
                  <c:v>15291.681935823452</c:v>
                </c:pt>
                <c:pt idx="101">
                  <c:v>13289.868918173246</c:v>
                </c:pt>
                <c:pt idx="102">
                  <c:v>11659.073069227317</c:v>
                </c:pt>
                <c:pt idx="103">
                  <c:v>10447.432399912726</c:v>
                </c:pt>
                <c:pt idx="104">
                  <c:v>9709.566402365168</c:v>
                </c:pt>
                <c:pt idx="105">
                  <c:v>9521.2795357680334</c:v>
                </c:pt>
                <c:pt idx="106">
                  <c:v>10004.98365759007</c:v>
                </c:pt>
                <c:pt idx="107">
                  <c:v>11383.079517491471</c:v>
                </c:pt>
                <c:pt idx="108">
                  <c:v>14113.059318066666</c:v>
                </c:pt>
                <c:pt idx="109">
                  <c:v>19176.215251714264</c:v>
                </c:pt>
                <c:pt idx="110">
                  <c:v>24930.700108411787</c:v>
                </c:pt>
                <c:pt idx="111">
                  <c:v>28598.873716394304</c:v>
                </c:pt>
                <c:pt idx="112">
                  <c:v>30441.463305572022</c:v>
                </c:pt>
                <c:pt idx="113">
                  <c:v>30556.644609654904</c:v>
                </c:pt>
                <c:pt idx="114">
                  <c:v>28752.335690341071</c:v>
                </c:pt>
                <c:pt idx="115">
                  <c:v>24420.7616804914</c:v>
                </c:pt>
                <c:pt idx="116">
                  <c:v>17074.579961364565</c:v>
                </c:pt>
                <c:pt idx="117">
                  <c:v>11406.360920361623</c:v>
                </c:pt>
                <c:pt idx="118">
                  <c:v>7663.1144085422566</c:v>
                </c:pt>
                <c:pt idx="119">
                  <c:v>5388.4734539280989</c:v>
                </c:pt>
                <c:pt idx="120">
                  <c:v>4334.4797532983712</c:v>
                </c:pt>
                <c:pt idx="121">
                  <c:v>4403.7341939798744</c:v>
                </c:pt>
                <c:pt idx="122">
                  <c:v>5614.3167418394287</c:v>
                </c:pt>
                <c:pt idx="123">
                  <c:v>8111.0315629369961</c:v>
                </c:pt>
                <c:pt idx="124">
                  <c:v>12237.507108844493</c:v>
                </c:pt>
                <c:pt idx="125">
                  <c:v>18660.611327745333</c:v>
                </c:pt>
                <c:pt idx="126">
                  <c:v>26157.944158937964</c:v>
                </c:pt>
                <c:pt idx="127">
                  <c:v>30560.066437976566</c:v>
                </c:pt>
                <c:pt idx="128">
                  <c:v>32814.673397460378</c:v>
                </c:pt>
                <c:pt idx="129">
                  <c:v>33393.442211119014</c:v>
                </c:pt>
                <c:pt idx="130">
                  <c:v>32427.461402589397</c:v>
                </c:pt>
                <c:pt idx="131">
                  <c:v>29804.521740952034</c:v>
                </c:pt>
                <c:pt idx="132">
                  <c:v>25079.182233479518</c:v>
                </c:pt>
                <c:pt idx="133">
                  <c:v>17454.460450317954</c:v>
                </c:pt>
                <c:pt idx="134">
                  <c:v>11920.341804045654</c:v>
                </c:pt>
                <c:pt idx="135">
                  <c:v>8552.2921166441047</c:v>
                </c:pt>
                <c:pt idx="136">
                  <c:v>6657.47241539278</c:v>
                </c:pt>
                <c:pt idx="137">
                  <c:v>5905.2303158897157</c:v>
                </c:pt>
                <c:pt idx="138">
                  <c:v>6138.6923309569056</c:v>
                </c:pt>
                <c:pt idx="139">
                  <c:v>7292.7324036164719</c:v>
                </c:pt>
                <c:pt idx="140">
                  <c:v>9357.575955671</c:v>
                </c:pt>
                <c:pt idx="141">
                  <c:v>12350.919338659134</c:v>
                </c:pt>
                <c:pt idx="142">
                  <c:v>16263.69273043608</c:v>
                </c:pt>
                <c:pt idx="143">
                  <c:v>20871.340350299368</c:v>
                </c:pt>
                <c:pt idx="144">
                  <c:v>25005.61946718637</c:v>
                </c:pt>
                <c:pt idx="145">
                  <c:v>26231.420405257715</c:v>
                </c:pt>
                <c:pt idx="146">
                  <c:v>24906.55253447955</c:v>
                </c:pt>
                <c:pt idx="147">
                  <c:v>22192.985442964819</c:v>
                </c:pt>
                <c:pt idx="148">
                  <c:v>18886.322819227564</c:v>
                </c:pt>
                <c:pt idx="149">
                  <c:v>15789.215976375919</c:v>
                </c:pt>
                <c:pt idx="150">
                  <c:v>14249.688485230194</c:v>
                </c:pt>
                <c:pt idx="151">
                  <c:v>15630.261554302102</c:v>
                </c:pt>
                <c:pt idx="152">
                  <c:v>18546.313090112413</c:v>
                </c:pt>
                <c:pt idx="153">
                  <c:v>21651.595999242421</c:v>
                </c:pt>
                <c:pt idx="154">
                  <c:v>24386.176759647107</c:v>
                </c:pt>
                <c:pt idx="155">
                  <c:v>26505.563442380513</c:v>
                </c:pt>
                <c:pt idx="156">
                  <c:v>27891.589290180422</c:v>
                </c:pt>
                <c:pt idx="157">
                  <c:v>28485.552288399642</c:v>
                </c:pt>
                <c:pt idx="158">
                  <c:v>28257.744205550338</c:v>
                </c:pt>
                <c:pt idx="159">
                  <c:v>27192.299507569674</c:v>
                </c:pt>
                <c:pt idx="160">
                  <c:v>25282.235217215592</c:v>
                </c:pt>
                <c:pt idx="161">
                  <c:v>22540.7759367328</c:v>
                </c:pt>
                <c:pt idx="162">
                  <c:v>19102.372581323874</c:v>
                </c:pt>
                <c:pt idx="163">
                  <c:v>16008.146540989768</c:v>
                </c:pt>
                <c:pt idx="164">
                  <c:v>15644.02518425858</c:v>
                </c:pt>
                <c:pt idx="165">
                  <c:v>16651.558990831061</c:v>
                </c:pt>
                <c:pt idx="166">
                  <c:v>18261.161750426094</c:v>
                </c:pt>
                <c:pt idx="167">
                  <c:v>20106.647387771565</c:v>
                </c:pt>
                <c:pt idx="168">
                  <c:v>21840.348727798755</c:v>
                </c:pt>
                <c:pt idx="169">
                  <c:v>22609.900564436597</c:v>
                </c:pt>
                <c:pt idx="170">
                  <c:v>20992.915014250415</c:v>
                </c:pt>
                <c:pt idx="171">
                  <c:v>18864.82759904577</c:v>
                </c:pt>
                <c:pt idx="172">
                  <c:v>16818.379452584089</c:v>
                </c:pt>
                <c:pt idx="173">
                  <c:v>15023.950824746735</c:v>
                </c:pt>
                <c:pt idx="174">
                  <c:v>13562.572714347634</c:v>
                </c:pt>
                <c:pt idx="175">
                  <c:v>12482.777566610852</c:v>
                </c:pt>
                <c:pt idx="176">
                  <c:v>11813.059893823392</c:v>
                </c:pt>
                <c:pt idx="177">
                  <c:v>11567.039420485933</c:v>
                </c:pt>
                <c:pt idx="178">
                  <c:v>11746.452278451388</c:v>
                </c:pt>
                <c:pt idx="179">
                  <c:v>12341.846958884209</c:v>
                </c:pt>
                <c:pt idx="180">
                  <c:v>13330.608335192657</c:v>
                </c:pt>
                <c:pt idx="181">
                  <c:v>14672.567893227535</c:v>
                </c:pt>
                <c:pt idx="182">
                  <c:v>16304.273295159743</c:v>
                </c:pt>
                <c:pt idx="183">
                  <c:v>18132.991264155313</c:v>
                </c:pt>
                <c:pt idx="184">
                  <c:v>20026.725146607489</c:v>
                </c:pt>
                <c:pt idx="185">
                  <c:v>21774.681796034387</c:v>
                </c:pt>
                <c:pt idx="186">
                  <c:v>22901.32375349852</c:v>
                </c:pt>
                <c:pt idx="187">
                  <c:v>21987.917347493247</c:v>
                </c:pt>
                <c:pt idx="188">
                  <c:v>19627.179705230956</c:v>
                </c:pt>
                <c:pt idx="189">
                  <c:v>17267.053320007635</c:v>
                </c:pt>
                <c:pt idx="190">
                  <c:v>15337.918788255436</c:v>
                </c:pt>
                <c:pt idx="191">
                  <c:v>14178.9376447705</c:v>
                </c:pt>
                <c:pt idx="192">
                  <c:v>14386.326928246188</c:v>
                </c:pt>
                <c:pt idx="193">
                  <c:v>17149.587830691791</c:v>
                </c:pt>
                <c:pt idx="194">
                  <c:v>21660.251615675326</c:v>
                </c:pt>
                <c:pt idx="195">
                  <c:v>25460.491588856876</c:v>
                </c:pt>
                <c:pt idx="196">
                  <c:v>28093.223057639087</c:v>
                </c:pt>
                <c:pt idx="197">
                  <c:v>29501.83176479856</c:v>
                </c:pt>
                <c:pt idx="198">
                  <c:v>29649.134384040062</c:v>
                </c:pt>
                <c:pt idx="199">
                  <c:v>28431.002534078954</c:v>
                </c:pt>
                <c:pt idx="200">
                  <c:v>25593.891513638304</c:v>
                </c:pt>
                <c:pt idx="201">
                  <c:v>20618.383374095501</c:v>
                </c:pt>
                <c:pt idx="202">
                  <c:v>14895.33522373391</c:v>
                </c:pt>
                <c:pt idx="203">
                  <c:v>11425.345922099228</c:v>
                </c:pt>
                <c:pt idx="204">
                  <c:v>9461.9545580570611</c:v>
                </c:pt>
                <c:pt idx="205">
                  <c:v>8670.7773663387761</c:v>
                </c:pt>
                <c:pt idx="206">
                  <c:v>8983.0581125634435</c:v>
                </c:pt>
                <c:pt idx="207">
                  <c:v>10536.382850274931</c:v>
                </c:pt>
                <c:pt idx="208">
                  <c:v>13779.810208611592</c:v>
                </c:pt>
                <c:pt idx="209">
                  <c:v>19703.148910105952</c:v>
                </c:pt>
                <c:pt idx="210">
                  <c:v>25756.150427533808</c:v>
                </c:pt>
                <c:pt idx="211">
                  <c:v>29630.956658949875</c:v>
                </c:pt>
                <c:pt idx="212">
                  <c:v>31683.62964215469</c:v>
                </c:pt>
                <c:pt idx="213">
                  <c:v>32130.177473830467</c:v>
                </c:pt>
                <c:pt idx="214">
                  <c:v>30997.924981368094</c:v>
                </c:pt>
                <c:pt idx="215">
                  <c:v>28126.878086949357</c:v>
                </c:pt>
                <c:pt idx="216">
                  <c:v>23086.727722919946</c:v>
                </c:pt>
                <c:pt idx="217">
                  <c:v>15818.149060902906</c:v>
                </c:pt>
                <c:pt idx="218">
                  <c:v>11323.461459431192</c:v>
                </c:pt>
                <c:pt idx="219">
                  <c:v>8909.891135709433</c:v>
                </c:pt>
                <c:pt idx="220">
                  <c:v>7998.7926302873129</c:v>
                </c:pt>
                <c:pt idx="221">
                  <c:v>8405.7317557699662</c:v>
                </c:pt>
                <c:pt idx="222">
                  <c:v>10201.880764716672</c:v>
                </c:pt>
                <c:pt idx="223">
                  <c:v>13769.778536863609</c:v>
                </c:pt>
                <c:pt idx="224">
                  <c:v>19980.69455307024</c:v>
                </c:pt>
                <c:pt idx="225">
                  <c:v>26080.303737260914</c:v>
                </c:pt>
                <c:pt idx="226">
                  <c:v>29676.294920524022</c:v>
                </c:pt>
                <c:pt idx="227">
                  <c:v>31290.857111030571</c:v>
                </c:pt>
                <c:pt idx="228">
                  <c:v>31170.683673420386</c:v>
                </c:pt>
                <c:pt idx="229">
                  <c:v>29319.315271871848</c:v>
                </c:pt>
                <c:pt idx="230">
                  <c:v>25510.113877001626</c:v>
                </c:pt>
                <c:pt idx="231">
                  <c:v>19350.882844835975</c:v>
                </c:pt>
                <c:pt idx="232">
                  <c:v>13672.550229686642</c:v>
                </c:pt>
                <c:pt idx="233">
                  <c:v>10631.191017634281</c:v>
                </c:pt>
                <c:pt idx="234">
                  <c:v>9346.4006196608534</c:v>
                </c:pt>
                <c:pt idx="235">
                  <c:v>9445.6200188841249</c:v>
                </c:pt>
                <c:pt idx="236">
                  <c:v>10878.819637302957</c:v>
                </c:pt>
                <c:pt idx="237">
                  <c:v>13881.826837879349</c:v>
                </c:pt>
                <c:pt idx="238">
                  <c:v>19110.002546174805</c:v>
                </c:pt>
                <c:pt idx="239">
                  <c:v>25125.169773544119</c:v>
                </c:pt>
                <c:pt idx="240">
                  <c:v>28763.682380144186</c:v>
                </c:pt>
                <c:pt idx="241">
                  <c:v>30657.14131170035</c:v>
                </c:pt>
                <c:pt idx="242">
                  <c:v>31147.404066749976</c:v>
                </c:pt>
                <c:pt idx="243">
                  <c:v>30382.922902781789</c:v>
                </c:pt>
                <c:pt idx="244">
                  <c:v>28422.512208080134</c:v>
                </c:pt>
                <c:pt idx="245">
                  <c:v>25294.921968731753</c:v>
                </c:pt>
                <c:pt idx="246">
                  <c:v>21100.322760291849</c:v>
                </c:pt>
                <c:pt idx="247">
                  <c:v>16427.381149612695</c:v>
                </c:pt>
                <c:pt idx="248">
                  <c:v>13532.258460961033</c:v>
                </c:pt>
                <c:pt idx="249">
                  <c:v>13341.938805282796</c:v>
                </c:pt>
                <c:pt idx="250">
                  <c:v>14712.950537408824</c:v>
                </c:pt>
                <c:pt idx="251">
                  <c:v>16938.23997530447</c:v>
                </c:pt>
                <c:pt idx="252">
                  <c:v>19596.565844578447</c:v>
                </c:pt>
                <c:pt idx="253">
                  <c:v>22240.349091039938</c:v>
                </c:pt>
                <c:pt idx="254">
                  <c:v>23797.382472349513</c:v>
                </c:pt>
                <c:pt idx="255">
                  <c:v>22393.831769727767</c:v>
                </c:pt>
                <c:pt idx="256">
                  <c:v>19908.005764593916</c:v>
                </c:pt>
                <c:pt idx="257">
                  <c:v>17298.568267756931</c:v>
                </c:pt>
                <c:pt idx="258">
                  <c:v>14871.288504360053</c:v>
                </c:pt>
                <c:pt idx="259">
                  <c:v>12764.314117845055</c:v>
                </c:pt>
                <c:pt idx="260">
                  <c:v>11055.113289268733</c:v>
                </c:pt>
                <c:pt idx="261">
                  <c:v>9789.5961050128444</c:v>
                </c:pt>
                <c:pt idx="262">
                  <c:v>8996.6588205494554</c:v>
                </c:pt>
                <c:pt idx="263">
                  <c:v>8699.2008895148228</c:v>
                </c:pt>
                <c:pt idx="264">
                  <c:v>8923.314627509244</c:v>
                </c:pt>
                <c:pt idx="265">
                  <c:v>9707.0530745668948</c:v>
                </c:pt>
                <c:pt idx="266">
                  <c:v>11111.922343818214</c:v>
                </c:pt>
                <c:pt idx="267">
                  <c:v>13243.961376367393</c:v>
                </c:pt>
                <c:pt idx="268">
                  <c:v>16296.254881210578</c:v>
                </c:pt>
                <c:pt idx="269">
                  <c:v>20539.381352869394</c:v>
                </c:pt>
                <c:pt idx="270">
                  <c:v>24137.603462703471</c:v>
                </c:pt>
                <c:pt idx="271">
                  <c:v>25789.858050908682</c:v>
                </c:pt>
                <c:pt idx="272">
                  <c:v>26221.365608852673</c:v>
                </c:pt>
                <c:pt idx="273">
                  <c:v>25713.901406448895</c:v>
                </c:pt>
                <c:pt idx="274">
                  <c:v>24342.457324694009</c:v>
                </c:pt>
                <c:pt idx="275">
                  <c:v>22051.810905152437</c:v>
                </c:pt>
                <c:pt idx="276">
                  <c:v>18783.61938703146</c:v>
                </c:pt>
                <c:pt idx="277">
                  <c:v>16636.561172800324</c:v>
                </c:pt>
                <c:pt idx="278">
                  <c:v>15595.696944302308</c:v>
                </c:pt>
                <c:pt idx="279">
                  <c:v>15116.139981201337</c:v>
                </c:pt>
                <c:pt idx="280">
                  <c:v>14988.75200802636</c:v>
                </c:pt>
                <c:pt idx="281">
                  <c:v>15129.393562525462</c:v>
                </c:pt>
                <c:pt idx="282">
                  <c:v>15513.738554343265</c:v>
                </c:pt>
                <c:pt idx="283">
                  <c:v>16166.294235725385</c:v>
                </c:pt>
                <c:pt idx="284">
                  <c:v>17187.616956417369</c:v>
                </c:pt>
                <c:pt idx="285">
                  <c:v>18853.447587621788</c:v>
                </c:pt>
                <c:pt idx="286">
                  <c:v>21401.124448698814</c:v>
                </c:pt>
                <c:pt idx="287">
                  <c:v>23107.802363725914</c:v>
                </c:pt>
                <c:pt idx="288">
                  <c:v>24120.006823540563</c:v>
                </c:pt>
                <c:pt idx="289">
                  <c:v>24560.159625676188</c:v>
                </c:pt>
                <c:pt idx="290">
                  <c:v>24463.067318991281</c:v>
                </c:pt>
                <c:pt idx="291">
                  <c:v>23794.845703533763</c:v>
                </c:pt>
                <c:pt idx="292">
                  <c:v>22428.109912207125</c:v>
                </c:pt>
                <c:pt idx="293">
                  <c:v>20066.620165942692</c:v>
                </c:pt>
                <c:pt idx="294">
                  <c:v>17507.837437533955</c:v>
                </c:pt>
                <c:pt idx="295">
                  <c:v>15708.83714079086</c:v>
                </c:pt>
                <c:pt idx="296">
                  <c:v>14351.629220504959</c:v>
                </c:pt>
                <c:pt idx="297">
                  <c:v>13324.363574559125</c:v>
                </c:pt>
                <c:pt idx="298">
                  <c:v>12648.346804361649</c:v>
                </c:pt>
                <c:pt idx="299">
                  <c:v>12481.194404470543</c:v>
                </c:pt>
                <c:pt idx="300">
                  <c:v>13233.607732445225</c:v>
                </c:pt>
                <c:pt idx="301">
                  <c:v>15925.069541327159</c:v>
                </c:pt>
                <c:pt idx="302">
                  <c:v>21320.518102742244</c:v>
                </c:pt>
                <c:pt idx="303">
                  <c:v>26058.564158661276</c:v>
                </c:pt>
                <c:pt idx="304">
                  <c:v>29524.495340775411</c:v>
                </c:pt>
                <c:pt idx="305">
                  <c:v>31706.852156418285</c:v>
                </c:pt>
                <c:pt idx="306">
                  <c:v>32557.784054970507</c:v>
                </c:pt>
                <c:pt idx="307">
                  <c:v>31904.149873396633</c:v>
                </c:pt>
                <c:pt idx="308">
                  <c:v>29368.616606013806</c:v>
                </c:pt>
                <c:pt idx="309">
                  <c:v>24299.899061105356</c:v>
                </c:pt>
                <c:pt idx="310">
                  <c:v>16987.116572887084</c:v>
                </c:pt>
                <c:pt idx="311">
                  <c:v>10785.312167864626</c:v>
                </c:pt>
                <c:pt idx="312">
                  <c:v>6179.9173047520662</c:v>
                </c:pt>
                <c:pt idx="313">
                  <c:v>2823.2909958966393</c:v>
                </c:pt>
                <c:pt idx="314">
                  <c:v>443.15778897035921</c:v>
                </c:pt>
                <c:pt idx="315">
                  <c:v>-1129.8456121639833</c:v>
                </c:pt>
                <c:pt idx="316">
                  <c:v>-1994.3585312788264</c:v>
                </c:pt>
                <c:pt idx="317">
                  <c:v>-2199.5257535481342</c:v>
                </c:pt>
                <c:pt idx="318">
                  <c:v>-1755.1977740007364</c:v>
                </c:pt>
                <c:pt idx="319">
                  <c:v>-633.62256179649603</c:v>
                </c:pt>
                <c:pt idx="320">
                  <c:v>1237.3544233745959</c:v>
                </c:pt>
                <c:pt idx="321">
                  <c:v>3993.0913019866393</c:v>
                </c:pt>
                <c:pt idx="322">
                  <c:v>7872.4707937141457</c:v>
                </c:pt>
                <c:pt idx="323">
                  <c:v>13290.884249364168</c:v>
                </c:pt>
                <c:pt idx="324">
                  <c:v>20727.725338771255</c:v>
                </c:pt>
                <c:pt idx="325">
                  <c:v>27554.455499334854</c:v>
                </c:pt>
                <c:pt idx="326">
                  <c:v>31523.437797334234</c:v>
                </c:pt>
                <c:pt idx="327">
                  <c:v>33463.735628498594</c:v>
                </c:pt>
                <c:pt idx="328">
                  <c:v>33861.834087249721</c:v>
                </c:pt>
                <c:pt idx="329">
                  <c:v>32926.575885301078</c:v>
                </c:pt>
                <c:pt idx="330">
                  <c:v>30699.489975564265</c:v>
                </c:pt>
                <c:pt idx="331">
                  <c:v>27074.499013331853</c:v>
                </c:pt>
                <c:pt idx="332">
                  <c:v>21782.905317768626</c:v>
                </c:pt>
                <c:pt idx="333">
                  <c:v>15278.889028947156</c:v>
                </c:pt>
                <c:pt idx="334">
                  <c:v>11579.566449483995</c:v>
                </c:pt>
                <c:pt idx="335">
                  <c:v>9460.9364056493814</c:v>
                </c:pt>
                <c:pt idx="336">
                  <c:v>8242.4921569160233</c:v>
                </c:pt>
                <c:pt idx="337">
                  <c:v>7640.9165729779206</c:v>
                </c:pt>
                <c:pt idx="338">
                  <c:v>7548.7788122034299</c:v>
                </c:pt>
                <c:pt idx="339">
                  <c:v>7973.2689475693796</c:v>
                </c:pt>
                <c:pt idx="340">
                  <c:v>9044.4793935385605</c:v>
                </c:pt>
                <c:pt idx="341">
                  <c:v>11097.582807177514</c:v>
                </c:pt>
                <c:pt idx="342">
                  <c:v>14919.954417700337</c:v>
                </c:pt>
                <c:pt idx="343">
                  <c:v>21642.743752421113</c:v>
                </c:pt>
                <c:pt idx="344">
                  <c:v>27325.254760738459</c:v>
                </c:pt>
                <c:pt idx="345">
                  <c:v>31283.635387695198</c:v>
                </c:pt>
                <c:pt idx="346">
                  <c:v>33738.879813007035</c:v>
                </c:pt>
                <c:pt idx="347">
                  <c:v>34798.548122421373</c:v>
                </c:pt>
                <c:pt idx="348">
                  <c:v>34436.599855558292</c:v>
                </c:pt>
                <c:pt idx="349">
                  <c:v>32485.444229110537</c:v>
                </c:pt>
                <c:pt idx="350">
                  <c:v>28588.999197964251</c:v>
                </c:pt>
                <c:pt idx="351">
                  <c:v>22272.282082161408</c:v>
                </c:pt>
                <c:pt idx="352">
                  <c:v>14715.664483393854</c:v>
                </c:pt>
                <c:pt idx="353">
                  <c:v>8893.3433591467037</c:v>
                </c:pt>
                <c:pt idx="354">
                  <c:v>4744.6516624329106</c:v>
                </c:pt>
                <c:pt idx="355">
                  <c:v>1802.7645623807357</c:v>
                </c:pt>
                <c:pt idx="356">
                  <c:v>-240.17428794368413</c:v>
                </c:pt>
                <c:pt idx="357">
                  <c:v>-1567.3515428168532</c:v>
                </c:pt>
                <c:pt idx="358">
                  <c:v>-2283.5790515228846</c:v>
                </c:pt>
                <c:pt idx="359">
                  <c:v>-2441.5276538748094</c:v>
                </c:pt>
                <c:pt idx="360">
                  <c:v>-2054.2072789487497</c:v>
                </c:pt>
                <c:pt idx="361">
                  <c:v>-1097.7635956393642</c:v>
                </c:pt>
                <c:pt idx="362">
                  <c:v>494.93638383180178</c:v>
                </c:pt>
                <c:pt idx="363">
                  <c:v>2853.6573649185002</c:v>
                </c:pt>
                <c:pt idx="364">
                  <c:v>6214.9074048655038</c:v>
                </c:pt>
                <c:pt idx="365">
                  <c:v>11019.800415895435</c:v>
                </c:pt>
                <c:pt idx="366">
                  <c:v>18036.790968755453</c:v>
                </c:pt>
                <c:pt idx="367">
                  <c:v>26231.378838800731</c:v>
                </c:pt>
                <c:pt idx="368">
                  <c:v>31743.488934573543</c:v>
                </c:pt>
                <c:pt idx="369">
                  <c:v>35206.243908088763</c:v>
                </c:pt>
                <c:pt idx="370">
                  <c:v>37127.364812828077</c:v>
                </c:pt>
                <c:pt idx="371">
                  <c:v>37746.660315605455</c:v>
                </c:pt>
                <c:pt idx="372">
                  <c:v>37151.337148508661</c:v>
                </c:pt>
                <c:pt idx="373">
                  <c:v>35313.449024573827</c:v>
                </c:pt>
                <c:pt idx="374">
                  <c:v>32067.870380421049</c:v>
                </c:pt>
                <c:pt idx="375">
                  <c:v>26999.891533576018</c:v>
                </c:pt>
                <c:pt idx="376">
                  <c:v>19228.105023599703</c:v>
                </c:pt>
                <c:pt idx="377">
                  <c:v>12118.955509751797</c:v>
                </c:pt>
                <c:pt idx="378">
                  <c:v>7397.1165433483939</c:v>
                </c:pt>
                <c:pt idx="379">
                  <c:v>4042.7291861713475</c:v>
                </c:pt>
                <c:pt idx="380">
                  <c:v>1567.2293935010653</c:v>
                </c:pt>
                <c:pt idx="381">
                  <c:v>-291.31313759766385</c:v>
                </c:pt>
                <c:pt idx="382">
                  <c:v>-1693.2229426587062</c:v>
                </c:pt>
                <c:pt idx="383">
                  <c:v>-2742.8723330125608</c:v>
                </c:pt>
                <c:pt idx="384">
                  <c:v>-3507.2399313819233</c:v>
                </c:pt>
                <c:pt idx="385">
                  <c:v>-4024.4631308284652</c:v>
                </c:pt>
                <c:pt idx="386">
                  <c:v>-4308.6695393801638</c:v>
                </c:pt>
                <c:pt idx="387">
                  <c:v>-4353.4796313894358</c:v>
                </c:pt>
                <c:pt idx="388">
                  <c:v>-4134.8300785556266</c:v>
                </c:pt>
                <c:pt idx="389">
                  <c:v>-3612.8850606132055</c:v>
                </c:pt>
                <c:pt idx="390">
                  <c:v>-2732.345649125647</c:v>
                </c:pt>
                <c:pt idx="391">
                  <c:v>-1420.1058840924072</c:v>
                </c:pt>
                <c:pt idx="392">
                  <c:v>421.55711702002964</c:v>
                </c:pt>
                <c:pt idx="393">
                  <c:v>2930.2744784205406</c:v>
                </c:pt>
                <c:pt idx="394">
                  <c:v>6317.9785879341325</c:v>
                </c:pt>
                <c:pt idx="395">
                  <c:v>10955.533484519332</c:v>
                </c:pt>
                <c:pt idx="396">
                  <c:v>17574.607493802218</c:v>
                </c:pt>
                <c:pt idx="397">
                  <c:v>26063.358643503725</c:v>
                </c:pt>
                <c:pt idx="398">
                  <c:v>31524.154271015163</c:v>
                </c:pt>
                <c:pt idx="399">
                  <c:v>35108.73850705495</c:v>
                </c:pt>
                <c:pt idx="400">
                  <c:v>37376.219696109518</c:v>
                </c:pt>
                <c:pt idx="401">
                  <c:v>38568.013253299338</c:v>
                </c:pt>
                <c:pt idx="402">
                  <c:v>38783.751851824469</c:v>
                </c:pt>
                <c:pt idx="403">
                  <c:v>38036.101816713606</c:v>
                </c:pt>
                <c:pt idx="404">
                  <c:v>36257.254950021495</c:v>
                </c:pt>
                <c:pt idx="405">
                  <c:v>33265.147852061957</c:v>
                </c:pt>
                <c:pt idx="406">
                  <c:v>28647.194678957545</c:v>
                </c:pt>
                <c:pt idx="407">
                  <c:v>21439.988760183922</c:v>
                </c:pt>
                <c:pt idx="408">
                  <c:v>12745.113471935631</c:v>
                </c:pt>
                <c:pt idx="409">
                  <c:v>6386.0004305301063</c:v>
                </c:pt>
                <c:pt idx="410">
                  <c:v>1349.9306028321839</c:v>
                </c:pt>
                <c:pt idx="411">
                  <c:v>-2882.6972775116551</c:v>
                </c:pt>
                <c:pt idx="412">
                  <c:v>-6601.4841926844792</c:v>
                </c:pt>
                <c:pt idx="413">
                  <c:v>-10009.207590423248</c:v>
                </c:pt>
                <c:pt idx="414">
                  <c:v>-13282.188858653979</c:v>
                </c:pt>
                <c:pt idx="415">
                  <c:v>-16609.433391386523</c:v>
                </c:pt>
                <c:pt idx="416">
                  <c:v>-20240.284944123989</c:v>
                </c:pt>
                <c:pt idx="417">
                  <c:v>-24582.45391255854</c:v>
                </c:pt>
                <c:pt idx="418">
                  <c:v>-30467.914142325404</c:v>
                </c:pt>
                <c:pt idx="419">
                  <c:v>-39057.70536515463</c:v>
                </c:pt>
                <c:pt idx="420">
                  <c:v>-45287.439809312018</c:v>
                </c:pt>
                <c:pt idx="421">
                  <c:v>-49708.065242330129</c:v>
                </c:pt>
                <c:pt idx="422">
                  <c:v>-52846.204542931235</c:v>
                </c:pt>
                <c:pt idx="423">
                  <c:v>-54957.815575406712</c:v>
                </c:pt>
                <c:pt idx="424">
                  <c:v>-56170.5089751466</c:v>
                </c:pt>
                <c:pt idx="425">
                  <c:v>-56540.57068891199</c:v>
                </c:pt>
                <c:pt idx="426">
                  <c:v>-56073.349467221298</c:v>
                </c:pt>
                <c:pt idx="427">
                  <c:v>-54725.059949403789</c:v>
                </c:pt>
                <c:pt idx="428">
                  <c:v>-52387.363204151487</c:v>
                </c:pt>
                <c:pt idx="429">
                  <c:v>-48840.535100280198</c:v>
                </c:pt>
                <c:pt idx="430">
                  <c:v>-43621.417907420153</c:v>
                </c:pt>
                <c:pt idx="431">
                  <c:v>-35680.434447445856</c:v>
                </c:pt>
                <c:pt idx="432">
                  <c:v>-26831.59213106551</c:v>
                </c:pt>
                <c:pt idx="433">
                  <c:v>-20204.336330202212</c:v>
                </c:pt>
                <c:pt idx="434">
                  <c:v>-14598.17475717546</c:v>
                </c:pt>
                <c:pt idx="435">
                  <c:v>-9402.1936425315726</c:v>
                </c:pt>
                <c:pt idx="436">
                  <c:v>-4253.1765396403853</c:v>
                </c:pt>
                <c:pt idx="437">
                  <c:v>1112.6320372371711</c:v>
                </c:pt>
                <c:pt idx="438">
                  <c:v>6903.3990946616332</c:v>
                </c:pt>
                <c:pt idx="439">
                  <c:v>13242.083872228894</c:v>
                </c:pt>
                <c:pt idx="440">
                  <c:v>20012.789091776245</c:v>
                </c:pt>
                <c:pt idx="441">
                  <c:v>26639.9725755492</c:v>
                </c:pt>
                <c:pt idx="442">
                  <c:v>32387.603014332206</c:v>
                </c:pt>
                <c:pt idx="443">
                  <c:v>36951.796407968301</c:v>
                </c:pt>
                <c:pt idx="444">
                  <c:v>40369.287048009013</c:v>
                </c:pt>
                <c:pt idx="445">
                  <c:v>42766.106905508554</c:v>
                </c:pt>
                <c:pt idx="446">
                  <c:v>44260.015150896594</c:v>
                </c:pt>
                <c:pt idx="447">
                  <c:v>44940.500717668001</c:v>
                </c:pt>
                <c:pt idx="448">
                  <c:v>44869.48674783043</c:v>
                </c:pt>
                <c:pt idx="449">
                  <c:v>44085.191053060407</c:v>
                </c:pt>
                <c:pt idx="450">
                  <c:v>42604.858924153908</c:v>
                </c:pt>
                <c:pt idx="451">
                  <c:v>40425.416644290417</c:v>
                </c:pt>
                <c:pt idx="452">
                  <c:v>37521.676948530912</c:v>
                </c:pt>
                <c:pt idx="453">
                  <c:v>33841.833226011651</c:v>
                </c:pt>
                <c:pt idx="454">
                  <c:v>29302.045789590127</c:v>
                </c:pt>
                <c:pt idx="455">
                  <c:v>23801.172483944298</c:v>
                </c:pt>
                <c:pt idx="456">
                  <c:v>17446.362678011661</c:v>
                </c:pt>
                <c:pt idx="457">
                  <c:v>12124.41075394114</c:v>
                </c:pt>
                <c:pt idx="458">
                  <c:v>9356.7081486093248</c:v>
                </c:pt>
                <c:pt idx="459">
                  <c:v>7815.6910489643269</c:v>
                </c:pt>
                <c:pt idx="460">
                  <c:v>6904.0495062606478</c:v>
                </c:pt>
                <c:pt idx="461">
                  <c:v>6494.4184258547784</c:v>
                </c:pt>
                <c:pt idx="462">
                  <c:v>6760.0125439399135</c:v>
                </c:pt>
                <c:pt idx="463">
                  <c:v>8178.2574781797339</c:v>
                </c:pt>
                <c:pt idx="464">
                  <c:v>11412.20921427527</c:v>
                </c:pt>
                <c:pt idx="465">
                  <c:v>16416.467202448155</c:v>
                </c:pt>
                <c:pt idx="466">
                  <c:v>22003.919212760826</c:v>
                </c:pt>
                <c:pt idx="467">
                  <c:v>27261.282025088145</c:v>
                </c:pt>
                <c:pt idx="468">
                  <c:v>31832.070663911323</c:v>
                </c:pt>
                <c:pt idx="469">
                  <c:v>35603.613893323884</c:v>
                </c:pt>
                <c:pt idx="470">
                  <c:v>38541.499354782987</c:v>
                </c:pt>
                <c:pt idx="471">
                  <c:v>40630.468938784295</c:v>
                </c:pt>
                <c:pt idx="472">
                  <c:v>41854.272383277021</c:v>
                </c:pt>
                <c:pt idx="473">
                  <c:v>42189.085334514049</c:v>
                </c:pt>
                <c:pt idx="474">
                  <c:v>41602.673411504889</c:v>
                </c:pt>
                <c:pt idx="475">
                  <c:v>40058.084747286593</c:v>
                </c:pt>
                <c:pt idx="476">
                  <c:v>37524.106147260041</c:v>
                </c:pt>
                <c:pt idx="477">
                  <c:v>33996.850933568669</c:v>
                </c:pt>
                <c:pt idx="478">
                  <c:v>29534.337938367673</c:v>
                </c:pt>
                <c:pt idx="479">
                  <c:v>24292.74859532464</c:v>
                </c:pt>
                <c:pt idx="480">
                  <c:v>18555.647435045437</c:v>
                </c:pt>
                <c:pt idx="481">
                  <c:v>12835.601141199726</c:v>
                </c:pt>
                <c:pt idx="482">
                  <c:v>7963.5531541787768</c:v>
                </c:pt>
                <c:pt idx="483">
                  <c:v>4466.2057245771093</c:v>
                </c:pt>
                <c:pt idx="484">
                  <c:v>2167.5770475198251</c:v>
                </c:pt>
                <c:pt idx="485">
                  <c:v>712.04920004130065</c:v>
                </c:pt>
                <c:pt idx="486">
                  <c:v>-163.15850912869053</c:v>
                </c:pt>
                <c:pt idx="487">
                  <c:v>-621.58746237377773</c:v>
                </c:pt>
                <c:pt idx="488">
                  <c:v>-763.58738201822734</c:v>
                </c:pt>
                <c:pt idx="489">
                  <c:v>-652.33548733772363</c:v>
                </c:pt>
                <c:pt idx="490">
                  <c:v>-328.73706607658045</c:v>
                </c:pt>
                <c:pt idx="491">
                  <c:v>180.36990098256166</c:v>
                </c:pt>
                <c:pt idx="492">
                  <c:v>857.71070428357814</c:v>
                </c:pt>
                <c:pt idx="493">
                  <c:v>1693.1777082368076</c:v>
                </c:pt>
                <c:pt idx="494">
                  <c:v>2682.7757067924781</c:v>
                </c:pt>
                <c:pt idx="495">
                  <c:v>3828.6337697008812</c:v>
                </c:pt>
                <c:pt idx="496">
                  <c:v>5140.1997953030032</c:v>
                </c:pt>
                <c:pt idx="497">
                  <c:v>6637.2654214263875</c:v>
                </c:pt>
                <c:pt idx="498">
                  <c:v>8356.608221699069</c:v>
                </c:pt>
                <c:pt idx="499">
                  <c:v>10367.234077747991</c:v>
                </c:pt>
                <c:pt idx="500">
                  <c:v>12810.258593406623</c:v>
                </c:pt>
                <c:pt idx="501">
                  <c:v>16026.411199082093</c:v>
                </c:pt>
                <c:pt idx="502">
                  <c:v>20937.867468089549</c:v>
                </c:pt>
                <c:pt idx="503">
                  <c:v>25016.232965240302</c:v>
                </c:pt>
                <c:pt idx="504">
                  <c:v>28009.528074216036</c:v>
                </c:pt>
                <c:pt idx="505">
                  <c:v>30175.434514553079</c:v>
                </c:pt>
                <c:pt idx="506">
                  <c:v>31560.8476850769</c:v>
                </c:pt>
                <c:pt idx="507">
                  <c:v>32060.049208715653</c:v>
                </c:pt>
                <c:pt idx="508">
                  <c:v>31392.498862012471</c:v>
                </c:pt>
                <c:pt idx="509">
                  <c:v>28990.93082577594</c:v>
                </c:pt>
                <c:pt idx="510">
                  <c:v>23973.923953803638</c:v>
                </c:pt>
                <c:pt idx="511">
                  <c:v>17100.412379083478</c:v>
                </c:pt>
                <c:pt idx="512">
                  <c:v>10996.246776041637</c:v>
                </c:pt>
                <c:pt idx="513">
                  <c:v>6152.0580414262558</c:v>
                </c:pt>
                <c:pt idx="514">
                  <c:v>2424.0689809253208</c:v>
                </c:pt>
                <c:pt idx="515">
                  <c:v>-370.52268279640589</c:v>
                </c:pt>
                <c:pt idx="516">
                  <c:v>-2385.7469127041923</c:v>
                </c:pt>
                <c:pt idx="517">
                  <c:v>-3753.1610554429012</c:v>
                </c:pt>
                <c:pt idx="518">
                  <c:v>-4592.5733956469476</c:v>
                </c:pt>
                <c:pt idx="519">
                  <c:v>-5016.9110261255619</c:v>
                </c:pt>
                <c:pt idx="520">
                  <c:v>-5128.896702762273</c:v>
                </c:pt>
                <c:pt idx="521">
                  <c:v>-5009.3915148742935</c:v>
                </c:pt>
                <c:pt idx="522">
                  <c:v>-4700.604727711654</c:v>
                </c:pt>
                <c:pt idx="523">
                  <c:v>-4191.3176260910104</c:v>
                </c:pt>
                <c:pt idx="524">
                  <c:v>-3412.3329755322616</c:v>
                </c:pt>
                <c:pt idx="525">
                  <c:v>-2245.7682395296802</c:v>
                </c:pt>
                <c:pt idx="526">
                  <c:v>-543.81141784542024</c:v>
                </c:pt>
                <c:pt idx="527">
                  <c:v>1851.8537759359708</c:v>
                </c:pt>
                <c:pt idx="528">
                  <c:v>5094.739841870557</c:v>
                </c:pt>
                <c:pt idx="529">
                  <c:v>9314.8298967504434</c:v>
                </c:pt>
                <c:pt idx="530">
                  <c:v>14561.492174426754</c:v>
                </c:pt>
                <c:pt idx="531">
                  <c:v>20597.219617314604</c:v>
                </c:pt>
                <c:pt idx="532">
                  <c:v>26373.050078303811</c:v>
                </c:pt>
                <c:pt idx="533">
                  <c:v>30156.293435551714</c:v>
                </c:pt>
                <c:pt idx="534">
                  <c:v>31559.848937025952</c:v>
                </c:pt>
                <c:pt idx="535">
                  <c:v>31199.086335716711</c:v>
                </c:pt>
                <c:pt idx="536">
                  <c:v>29635.554823450322</c:v>
                </c:pt>
                <c:pt idx="537">
                  <c:v>27216.80560901104</c:v>
                </c:pt>
                <c:pt idx="538">
                  <c:v>24130.854829009542</c:v>
                </c:pt>
                <c:pt idx="539">
                  <c:v>20481.656142262284</c:v>
                </c:pt>
                <c:pt idx="540">
                  <c:v>16590.989177833839</c:v>
                </c:pt>
                <c:pt idx="541">
                  <c:v>14820.416632990209</c:v>
                </c:pt>
                <c:pt idx="542">
                  <c:v>14853.293044621938</c:v>
                </c:pt>
                <c:pt idx="543">
                  <c:v>15494.401140708249</c:v>
                </c:pt>
                <c:pt idx="544">
                  <c:v>16379.528631492998</c:v>
                </c:pt>
                <c:pt idx="545">
                  <c:v>17368.071983356727</c:v>
                </c:pt>
                <c:pt idx="546">
                  <c:v>18390.437264186414</c:v>
                </c:pt>
                <c:pt idx="547">
                  <c:v>19403.707292596588</c:v>
                </c:pt>
                <c:pt idx="548">
                  <c:v>20374.63542647002</c:v>
                </c:pt>
                <c:pt idx="549">
                  <c:v>21270.226547804141</c:v>
                </c:pt>
                <c:pt idx="550">
                  <c:v>22048.350302100043</c:v>
                </c:pt>
                <c:pt idx="551">
                  <c:v>22640.102912771694</c:v>
                </c:pt>
                <c:pt idx="552">
                  <c:v>22897.518311390213</c:v>
                </c:pt>
                <c:pt idx="553">
                  <c:v>22366.231468285721</c:v>
                </c:pt>
                <c:pt idx="554">
                  <c:v>19679.251016139759</c:v>
                </c:pt>
                <c:pt idx="555">
                  <c:v>16980.924465717195</c:v>
                </c:pt>
                <c:pt idx="556">
                  <c:v>14477.140872347769</c:v>
                </c:pt>
                <c:pt idx="557">
                  <c:v>12262.295281557168</c:v>
                </c:pt>
                <c:pt idx="558">
                  <c:v>10783.960679827573</c:v>
                </c:pt>
                <c:pt idx="559">
                  <c:v>11123.962080487425</c:v>
                </c:pt>
                <c:pt idx="560">
                  <c:v>13594.890167303607</c:v>
                </c:pt>
                <c:pt idx="561">
                  <c:v>16973.786314679102</c:v>
                </c:pt>
                <c:pt idx="562">
                  <c:v>20521.791914811478</c:v>
                </c:pt>
                <c:pt idx="563">
                  <c:v>23952.682506221328</c:v>
                </c:pt>
                <c:pt idx="564">
                  <c:v>27149.279564043652</c:v>
                </c:pt>
                <c:pt idx="565">
                  <c:v>30054.242969403109</c:v>
                </c:pt>
                <c:pt idx="566">
                  <c:v>32631.216608688006</c:v>
                </c:pt>
                <c:pt idx="567">
                  <c:v>34849.240169834207</c:v>
                </c:pt>
                <c:pt idx="568">
                  <c:v>36675.010386641523</c:v>
                </c:pt>
                <c:pt idx="569">
                  <c:v>38067.497331675746</c:v>
                </c:pt>
                <c:pt idx="570">
                  <c:v>38972.387041692775</c:v>
                </c:pt>
                <c:pt idx="571">
                  <c:v>39314.423322827643</c:v>
                </c:pt>
                <c:pt idx="572">
                  <c:v>38985.113330275162</c:v>
                </c:pt>
                <c:pt idx="573">
                  <c:v>37821.537927055506</c:v>
                </c:pt>
                <c:pt idx="574">
                  <c:v>35570.106805838128</c:v>
                </c:pt>
                <c:pt idx="575">
                  <c:v>31841.252175950809</c:v>
                </c:pt>
                <c:pt idx="576">
                  <c:v>26201.767477060319</c:v>
                </c:pt>
                <c:pt idx="577">
                  <c:v>19053.457146833989</c:v>
                </c:pt>
                <c:pt idx="578">
                  <c:v>11933.991646911947</c:v>
                </c:pt>
                <c:pt idx="579">
                  <c:v>5449.5487410577298</c:v>
                </c:pt>
                <c:pt idx="580">
                  <c:v>-453.5859285205845</c:v>
                </c:pt>
                <c:pt idx="581">
                  <c:v>-5976.2819456630668</c:v>
                </c:pt>
                <c:pt idx="582">
                  <c:v>-11362.797557948241</c:v>
                </c:pt>
                <c:pt idx="583">
                  <c:v>-16913.390042037696</c:v>
                </c:pt>
                <c:pt idx="584">
                  <c:v>-23054.710233828508</c:v>
                </c:pt>
                <c:pt idx="585">
                  <c:v>-30494.281547006609</c:v>
                </c:pt>
                <c:pt idx="586">
                  <c:v>-39765.616714911805</c:v>
                </c:pt>
                <c:pt idx="587">
                  <c:v>-46150.358829907527</c:v>
                </c:pt>
                <c:pt idx="588">
                  <c:v>-50345.172470411169</c:v>
                </c:pt>
                <c:pt idx="589">
                  <c:v>-53133.544608366101</c:v>
                </c:pt>
                <c:pt idx="590">
                  <c:v>-54889.992668939543</c:v>
                </c:pt>
                <c:pt idx="591">
                  <c:v>-55811.503473522644</c:v>
                </c:pt>
                <c:pt idx="592">
                  <c:v>-56010.107761566287</c:v>
                </c:pt>
                <c:pt idx="593">
                  <c:v>-55550.61531758411</c:v>
                </c:pt>
                <c:pt idx="594">
                  <c:v>-54467.493473355164</c:v>
                </c:pt>
                <c:pt idx="595">
                  <c:v>-52772.601763002538</c:v>
                </c:pt>
                <c:pt idx="596">
                  <c:v>-50458.216617710685</c:v>
                </c:pt>
                <c:pt idx="597">
                  <c:v>-47497.384589055022</c:v>
                </c:pt>
                <c:pt idx="598">
                  <c:v>-43844.037503126303</c:v>
                </c:pt>
                <c:pt idx="599">
                  <c:v>-39443.320196594912</c:v>
                </c:pt>
                <c:pt idx="600">
                  <c:v>-34316.860923098313</c:v>
                </c:pt>
                <c:pt idx="601">
                  <c:v>-29143.487946111058</c:v>
                </c:pt>
                <c:pt idx="602">
                  <c:v>-26341.872306742549</c:v>
                </c:pt>
                <c:pt idx="603">
                  <c:v>-25241.442095930604</c:v>
                </c:pt>
                <c:pt idx="604">
                  <c:v>-24762.826371873376</c:v>
                </c:pt>
                <c:pt idx="605">
                  <c:v>-24467.397427975244</c:v>
                </c:pt>
                <c:pt idx="606">
                  <c:v>-24168.664430365268</c:v>
                </c:pt>
                <c:pt idx="607">
                  <c:v>-23778.561278084613</c:v>
                </c:pt>
                <c:pt idx="608">
                  <c:v>-23252.319922382088</c:v>
                </c:pt>
                <c:pt idx="609">
                  <c:v>-22565.904771370984</c:v>
                </c:pt>
                <c:pt idx="610">
                  <c:v>-21705.544820914398</c:v>
                </c:pt>
                <c:pt idx="611">
                  <c:v>-20662.342514366734</c:v>
                </c:pt>
                <c:pt idx="612">
                  <c:v>-19429.191331520597</c:v>
                </c:pt>
                <c:pt idx="613">
                  <c:v>-17998.751018512565</c:v>
                </c:pt>
                <c:pt idx="614">
                  <c:v>-16361.816150585706</c:v>
                </c:pt>
                <c:pt idx="615">
                  <c:v>-14505.624858287341</c:v>
                </c:pt>
                <c:pt idx="616">
                  <c:v>-12411.661321259013</c:v>
                </c:pt>
                <c:pt idx="617">
                  <c:v>-10052.322137321435</c:v>
                </c:pt>
                <c:pt idx="618">
                  <c:v>-7385.3236565197294</c:v>
                </c:pt>
                <c:pt idx="619">
                  <c:v>-4343.5439645356037</c:v>
                </c:pt>
                <c:pt idx="620">
                  <c:v>-814.98652529569722</c:v>
                </c:pt>
                <c:pt idx="621">
                  <c:v>3400.9128397992404</c:v>
                </c:pt>
                <c:pt idx="622">
                  <c:v>8699.9768931072467</c:v>
                </c:pt>
                <c:pt idx="623">
                  <c:v>15919.081762337815</c:v>
                </c:pt>
                <c:pt idx="624">
                  <c:v>25236.558032838082</c:v>
                </c:pt>
                <c:pt idx="625">
                  <c:v>32564.263344157578</c:v>
                </c:pt>
                <c:pt idx="626">
                  <c:v>38294.615250036906</c:v>
                </c:pt>
                <c:pt idx="627">
                  <c:v>42899.765128856903</c:v>
                </c:pt>
                <c:pt idx="628">
                  <c:v>46636.303860658401</c:v>
                </c:pt>
                <c:pt idx="629">
                  <c:v>49653.235565175703</c:v>
                </c:pt>
                <c:pt idx="630">
                  <c:v>52043.762414592187</c:v>
                </c:pt>
                <c:pt idx="631">
                  <c:v>53868.790469825493</c:v>
                </c:pt>
                <c:pt idx="632">
                  <c:v>55168.543958501585</c:v>
                </c:pt>
                <c:pt idx="633">
                  <c:v>55968.727924702973</c:v>
                </c:pt>
                <c:pt idx="634">
                  <c:v>56283.903517797284</c:v>
                </c:pt>
                <c:pt idx="635">
                  <c:v>56119.261477458989</c:v>
                </c:pt>
                <c:pt idx="636">
                  <c:v>55471.337606681991</c:v>
                </c:pt>
                <c:pt idx="637">
                  <c:v>54327.895659433365</c:v>
                </c:pt>
                <c:pt idx="638">
                  <c:v>52667.013104628692</c:v>
                </c:pt>
                <c:pt idx="639">
                  <c:v>50455.265095419665</c:v>
                </c:pt>
                <c:pt idx="640">
                  <c:v>47644.799073381313</c:v>
                </c:pt>
                <c:pt idx="641">
                  <c:v>44169.140051695962</c:v>
                </c:pt>
                <c:pt idx="642">
                  <c:v>39938.366477392847</c:v>
                </c:pt>
                <c:pt idx="643">
                  <c:v>34838.577279263052</c:v>
                </c:pt>
                <c:pt idx="644">
                  <c:v>28759.925530553544</c:v>
                </c:pt>
                <c:pt idx="645">
                  <c:v>21745.690343953604</c:v>
                </c:pt>
                <c:pt idx="646">
                  <c:v>14370.224960679312</c:v>
                </c:pt>
                <c:pt idx="647">
                  <c:v>7563.58908248029</c:v>
                </c:pt>
                <c:pt idx="648">
                  <c:v>1631.9484238157861</c:v>
                </c:pt>
                <c:pt idx="649">
                  <c:v>-3581.3578697077246</c:v>
                </c:pt>
                <c:pt idx="650">
                  <c:v>-8297.7121166747147</c:v>
                </c:pt>
                <c:pt idx="651">
                  <c:v>-12692.039692340872</c:v>
                </c:pt>
                <c:pt idx="652">
                  <c:v>-16883.362350255782</c:v>
                </c:pt>
                <c:pt idx="653">
                  <c:v>-20943.826725953815</c:v>
                </c:pt>
                <c:pt idx="654">
                  <c:v>-24908.284907497073</c:v>
                </c:pt>
                <c:pt idx="655">
                  <c:v>-28781.099528932158</c:v>
                </c:pt>
                <c:pt idx="656">
                  <c:v>-32539.24877923376</c:v>
                </c:pt>
                <c:pt idx="657">
                  <c:v>-36130.731328574475</c:v>
                </c:pt>
                <c:pt idx="658">
                  <c:v>-39466.203458071475</c:v>
                </c:pt>
                <c:pt idx="659">
                  <c:v>-42399.361007712912</c:v>
                </c:pt>
                <c:pt idx="660">
                  <c:v>-44687.101765130938</c:v>
                </c:pt>
                <c:pt idx="661">
                  <c:v>-45917.606561740315</c:v>
                </c:pt>
                <c:pt idx="662">
                  <c:v>-45437.457203750782</c:v>
                </c:pt>
                <c:pt idx="663">
                  <c:v>-42609.271001537214</c:v>
                </c:pt>
                <c:pt idx="664">
                  <c:v>-37861.367765644536</c:v>
                </c:pt>
                <c:pt idx="665">
                  <c:v>-32429.065078903051</c:v>
                </c:pt>
                <c:pt idx="666">
                  <c:v>-27024.947573045509</c:v>
                </c:pt>
                <c:pt idx="667">
                  <c:v>-21854.713620191109</c:v>
                </c:pt>
                <c:pt idx="668">
                  <c:v>-16903.825559344452</c:v>
                </c:pt>
                <c:pt idx="669">
                  <c:v>-12066.062579409467</c:v>
                </c:pt>
                <c:pt idx="670">
                  <c:v>-7182.637845314398</c:v>
                </c:pt>
                <c:pt idx="671">
                  <c:v>-2042.6390696603503</c:v>
                </c:pt>
                <c:pt idx="672">
                  <c:v>3641.2886113373047</c:v>
                </c:pt>
                <c:pt idx="673">
                  <c:v>10274.212685591481</c:v>
                </c:pt>
                <c:pt idx="674">
                  <c:v>18272.482052065825</c:v>
                </c:pt>
                <c:pt idx="675">
                  <c:v>26653.773018978085</c:v>
                </c:pt>
                <c:pt idx="676">
                  <c:v>33354.732391899204</c:v>
                </c:pt>
                <c:pt idx="677">
                  <c:v>38467.548451973511</c:v>
                </c:pt>
                <c:pt idx="678">
                  <c:v>42392.919773873764</c:v>
                </c:pt>
                <c:pt idx="679">
                  <c:v>45398.030733636959</c:v>
                </c:pt>
                <c:pt idx="680">
                  <c:v>47648.981345872904</c:v>
                </c:pt>
                <c:pt idx="681">
                  <c:v>49251.927449997413</c:v>
                </c:pt>
                <c:pt idx="682">
                  <c:v>50276.391052507075</c:v>
                </c:pt>
                <c:pt idx="683">
                  <c:v>50767.836066883421</c:v>
                </c:pt>
                <c:pt idx="684">
                  <c:v>50754.51448298082</c:v>
                </c:pt>
                <c:pt idx="685">
                  <c:v>50251.078992980823</c:v>
                </c:pt>
                <c:pt idx="686">
                  <c:v>49260.112119340367</c:v>
                </c:pt>
                <c:pt idx="687">
                  <c:v>47771.974757026073</c:v>
                </c:pt>
                <c:pt idx="688">
                  <c:v>45762.810881870639</c:v>
                </c:pt>
                <c:pt idx="689">
                  <c:v>43189.815741419014</c:v>
                </c:pt>
                <c:pt idx="690">
                  <c:v>39981.404042180882</c:v>
                </c:pt>
                <c:pt idx="691">
                  <c:v>36016.10137848102</c:v>
                </c:pt>
                <c:pt idx="692">
                  <c:v>31072.434253711468</c:v>
                </c:pt>
                <c:pt idx="693">
                  <c:v>24697.944356033571</c:v>
                </c:pt>
                <c:pt idx="694">
                  <c:v>16183.80534609946</c:v>
                </c:pt>
                <c:pt idx="695">
                  <c:v>10364.944171862664</c:v>
                </c:pt>
                <c:pt idx="696">
                  <c:v>6167.2336605980263</c:v>
                </c:pt>
                <c:pt idx="697">
                  <c:v>2798.8411530468593</c:v>
                </c:pt>
                <c:pt idx="698">
                  <c:v>-57.304765775429132</c:v>
                </c:pt>
                <c:pt idx="699">
                  <c:v>-2539.22427178011</c:v>
                </c:pt>
                <c:pt idx="700">
                  <c:v>-4702.2738110696537</c:v>
                </c:pt>
                <c:pt idx="701">
                  <c:v>-6559.9652647848106</c:v>
                </c:pt>
                <c:pt idx="702">
                  <c:v>-8107.877018106281</c:v>
                </c:pt>
                <c:pt idx="703">
                  <c:v>-9338.7077276333275</c:v>
                </c:pt>
                <c:pt idx="704">
                  <c:v>-10249.23399137842</c:v>
                </c:pt>
                <c:pt idx="705">
                  <c:v>-10841.138364746455</c:v>
                </c:pt>
                <c:pt idx="706">
                  <c:v>-11118.974585947417</c:v>
                </c:pt>
                <c:pt idx="707">
                  <c:v>-11087.627983113811</c:v>
                </c:pt>
                <c:pt idx="708">
                  <c:v>-10750.167931238013</c:v>
                </c:pt>
                <c:pt idx="709">
                  <c:v>-10106.109540913725</c:v>
                </c:pt>
                <c:pt idx="710">
                  <c:v>-9149.7617283277268</c:v>
                </c:pt>
                <c:pt idx="711">
                  <c:v>-7868.2027491286399</c:v>
                </c:pt>
                <c:pt idx="712">
                  <c:v>-6238.2397642948517</c:v>
                </c:pt>
                <c:pt idx="713">
                  <c:v>-4221.2529308675794</c:v>
                </c:pt>
                <c:pt idx="714">
                  <c:v>-1753.6709565291462</c:v>
                </c:pt>
                <c:pt idx="715">
                  <c:v>1272.2644724984088</c:v>
                </c:pt>
                <c:pt idx="716">
                  <c:v>5052.1064315416133</c:v>
                </c:pt>
                <c:pt idx="717">
                  <c:v>9984.1498147355233</c:v>
                </c:pt>
                <c:pt idx="718">
                  <c:v>16997.637548099239</c:v>
                </c:pt>
                <c:pt idx="719">
                  <c:v>26274.2695893501</c:v>
                </c:pt>
                <c:pt idx="720">
                  <c:v>33178.42484800503</c:v>
                </c:pt>
                <c:pt idx="721">
                  <c:v>38552.404951784309</c:v>
                </c:pt>
                <c:pt idx="722">
                  <c:v>42861.929588693449</c:v>
                </c:pt>
                <c:pt idx="723">
                  <c:v>46335.833826139031</c:v>
                </c:pt>
                <c:pt idx="724">
                  <c:v>49102.842674997366</c:v>
                </c:pt>
                <c:pt idx="725">
                  <c:v>51242.327848527522</c:v>
                </c:pt>
                <c:pt idx="726">
                  <c:v>52805.464547574018</c:v>
                </c:pt>
                <c:pt idx="727">
                  <c:v>53825.207556342262</c:v>
                </c:pt>
                <c:pt idx="728">
                  <c:v>54321.394826900803</c:v>
                </c:pt>
                <c:pt idx="729">
                  <c:v>54303.408119072898</c:v>
                </c:pt>
                <c:pt idx="730">
                  <c:v>53771.408446251029</c:v>
                </c:pt>
                <c:pt idx="731">
                  <c:v>52716.566235261089</c:v>
                </c:pt>
                <c:pt idx="732">
                  <c:v>51120.389418362589</c:v>
                </c:pt>
                <c:pt idx="733">
                  <c:v>48953.0030709657</c:v>
                </c:pt>
                <c:pt idx="734">
                  <c:v>46169.904243097699</c:v>
                </c:pt>
                <c:pt idx="735">
                  <c:v>42706.074946380853</c:v>
                </c:pt>
                <c:pt idx="736">
                  <c:v>38464.822943142499</c:v>
                </c:pt>
                <c:pt idx="737">
                  <c:v>33295.011225252332</c:v>
                </c:pt>
                <c:pt idx="738">
                  <c:v>26945.98002867118</c:v>
                </c:pt>
                <c:pt idx="739">
                  <c:v>19100.361690774072</c:v>
                </c:pt>
                <c:pt idx="740">
                  <c:v>11620.852891648783</c:v>
                </c:pt>
                <c:pt idx="741">
                  <c:v>6622.6077149779903</c:v>
                </c:pt>
                <c:pt idx="742">
                  <c:v>2850.9005330825771</c:v>
                </c:pt>
                <c:pt idx="743">
                  <c:v>-259.62029987943288</c:v>
                </c:pt>
                <c:pt idx="744">
                  <c:v>-2957.9049960410534</c:v>
                </c:pt>
                <c:pt idx="745">
                  <c:v>-5368.2764251886601</c:v>
                </c:pt>
                <c:pt idx="746">
                  <c:v>-7558.8107580172846</c:v>
                </c:pt>
                <c:pt idx="747">
                  <c:v>-9569.1931752258879</c:v>
                </c:pt>
                <c:pt idx="748">
                  <c:v>-11423.522185606553</c:v>
                </c:pt>
                <c:pt idx="749">
                  <c:v>-13136.74936838151</c:v>
                </c:pt>
                <c:pt idx="750">
                  <c:v>-14718.149105769451</c:v>
                </c:pt>
                <c:pt idx="751">
                  <c:v>-16173.300182812956</c:v>
                </c:pt>
                <c:pt idx="752">
                  <c:v>-17505.287409586657</c:v>
                </c:pt>
                <c:pt idx="753">
                  <c:v>-18715.493069867181</c:v>
                </c:pt>
                <c:pt idx="754">
                  <c:v>-19804.196698157793</c:v>
                </c:pt>
                <c:pt idx="755">
                  <c:v>-20771.143967351949</c:v>
                </c:pt>
                <c:pt idx="756">
                  <c:v>-21616.250592381311</c:v>
                </c:pt>
                <c:pt idx="757">
                  <c:v>-22340.681149706419</c:v>
                </c:pt>
                <c:pt idx="758">
                  <c:v>-22948.734800886621</c:v>
                </c:pt>
                <c:pt idx="759">
                  <c:v>-23451.420483762013</c:v>
                </c:pt>
                <c:pt idx="760">
                  <c:v>-23873.704532624604</c:v>
                </c:pt>
                <c:pt idx="761">
                  <c:v>-24270.357761806055</c:v>
                </c:pt>
                <c:pt idx="762">
                  <c:v>-24764.229247879783</c:v>
                </c:pt>
                <c:pt idx="763">
                  <c:v>-25651.119577499834</c:v>
                </c:pt>
                <c:pt idx="764">
                  <c:v>-27706.082324946019</c:v>
                </c:pt>
                <c:pt idx="765">
                  <c:v>-32280.975357507767</c:v>
                </c:pt>
                <c:pt idx="766">
                  <c:v>-37511.943052453062</c:v>
                </c:pt>
                <c:pt idx="767">
                  <c:v>-42179.318113722933</c:v>
                </c:pt>
                <c:pt idx="768">
                  <c:v>-46178.665798694979</c:v>
                </c:pt>
                <c:pt idx="769">
                  <c:v>-49564.149715816435</c:v>
                </c:pt>
                <c:pt idx="770">
                  <c:v>-52394.896759268689</c:v>
                </c:pt>
                <c:pt idx="771">
                  <c:v>-54715.796942318935</c:v>
                </c:pt>
                <c:pt idx="772">
                  <c:v>-56557.564476503307</c:v>
                </c:pt>
                <c:pt idx="773">
                  <c:v>-57938.922916770643</c:v>
                </c:pt>
                <c:pt idx="774">
                  <c:v>-58868.194537937918</c:v>
                </c:pt>
                <c:pt idx="775">
                  <c:v>-59343.911467046411</c:v>
                </c:pt>
                <c:pt idx="776">
                  <c:v>-59354.351954068123</c:v>
                </c:pt>
                <c:pt idx="777">
                  <c:v>-58875.739950411713</c:v>
                </c:pt>
                <c:pt idx="778">
                  <c:v>-57868.420323188569</c:v>
                </c:pt>
                <c:pt idx="779">
                  <c:v>-56269.390673176495</c:v>
                </c:pt>
                <c:pt idx="780">
                  <c:v>-53977.252371100141</c:v>
                </c:pt>
                <c:pt idx="781">
                  <c:v>-50818.940109056748</c:v>
                </c:pt>
                <c:pt idx="782">
                  <c:v>-46464.818460488168</c:v>
                </c:pt>
                <c:pt idx="783">
                  <c:v>-40175.38677580822</c:v>
                </c:pt>
                <c:pt idx="784">
                  <c:v>-30660.898126135806</c:v>
                </c:pt>
                <c:pt idx="785">
                  <c:v>-23144.5813977166</c:v>
                </c:pt>
                <c:pt idx="786">
                  <c:v>-16813.371665054587</c:v>
                </c:pt>
                <c:pt idx="787">
                  <c:v>-10959.040929805369</c:v>
                </c:pt>
                <c:pt idx="788">
                  <c:v>-5160.0295115310728</c:v>
                </c:pt>
                <c:pt idx="789">
                  <c:v>924.92787591127285</c:v>
                </c:pt>
                <c:pt idx="790">
                  <c:v>7680.6941819140829</c:v>
                </c:pt>
                <c:pt idx="791">
                  <c:v>15670.858815760101</c:v>
                </c:pt>
                <c:pt idx="792">
                  <c:v>25134.536267252206</c:v>
                </c:pt>
                <c:pt idx="793">
                  <c:v>32026.277919274049</c:v>
                </c:pt>
                <c:pt idx="794">
                  <c:v>36895.235314917787</c:v>
                </c:pt>
                <c:pt idx="795">
                  <c:v>40512.492224161615</c:v>
                </c:pt>
                <c:pt idx="796">
                  <c:v>43248.877272668295</c:v>
                </c:pt>
                <c:pt idx="797">
                  <c:v>45301.14889986669</c:v>
                </c:pt>
                <c:pt idx="798">
                  <c:v>46785.189094220288</c:v>
                </c:pt>
                <c:pt idx="799">
                  <c:v>47774.050443909095</c:v>
                </c:pt>
                <c:pt idx="800">
                  <c:v>48315.368977635044</c:v>
                </c:pt>
                <c:pt idx="801">
                  <c:v>48440.104754851447</c:v>
                </c:pt>
                <c:pt idx="802">
                  <c:v>48167.156519870783</c:v>
                </c:pt>
                <c:pt idx="803">
                  <c:v>47505.744353031761</c:v>
                </c:pt>
                <c:pt idx="804">
                  <c:v>46456.370758523364</c:v>
                </c:pt>
                <c:pt idx="805">
                  <c:v>45010.635041804744</c:v>
                </c:pt>
                <c:pt idx="806">
                  <c:v>43149.796845281147</c:v>
                </c:pt>
                <c:pt idx="807">
                  <c:v>40841.523062896675</c:v>
                </c:pt>
                <c:pt idx="808">
                  <c:v>38033.369327869943</c:v>
                </c:pt>
                <c:pt idx="809">
                  <c:v>34639.381669652656</c:v>
                </c:pt>
                <c:pt idx="810">
                  <c:v>30510.037923291675</c:v>
                </c:pt>
                <c:pt idx="811">
                  <c:v>25357.775643064706</c:v>
                </c:pt>
                <c:pt idx="812">
                  <c:v>18646.482737215978</c:v>
                </c:pt>
                <c:pt idx="813">
                  <c:v>13117.46939920948</c:v>
                </c:pt>
                <c:pt idx="814">
                  <c:v>9218.7859469681844</c:v>
                </c:pt>
                <c:pt idx="815">
                  <c:v>6047.8460014865395</c:v>
                </c:pt>
                <c:pt idx="816">
                  <c:v>3378.4322304289908</c:v>
                </c:pt>
                <c:pt idx="817">
                  <c:v>1243.1426776829201</c:v>
                </c:pt>
                <c:pt idx="818">
                  <c:v>-229.58068522373094</c:v>
                </c:pt>
                <c:pt idx="819">
                  <c:v>-947.76285550176965</c:v>
                </c:pt>
                <c:pt idx="820">
                  <c:v>-924.69786208643541</c:v>
                </c:pt>
                <c:pt idx="821">
                  <c:v>-253.49779908068638</c:v>
                </c:pt>
                <c:pt idx="822">
                  <c:v>947.45084675418434</c:v>
                </c:pt>
                <c:pt idx="823">
                  <c:v>2567.5058225635444</c:v>
                </c:pt>
                <c:pt idx="824">
                  <c:v>4514.0924628922539</c:v>
                </c:pt>
                <c:pt idx="825">
                  <c:v>6712.2272772569468</c:v>
                </c:pt>
                <c:pt idx="826">
                  <c:v>9100.7400937428029</c:v>
                </c:pt>
                <c:pt idx="827">
                  <c:v>11628.109779579732</c:v>
                </c:pt>
                <c:pt idx="828">
                  <c:v>14248.644346578387</c:v>
                </c:pt>
                <c:pt idx="829">
                  <c:v>16918.898284045477</c:v>
                </c:pt>
                <c:pt idx="830">
                  <c:v>19593.855643237654</c:v>
                </c:pt>
                <c:pt idx="831">
                  <c:v>22222.058536010136</c:v>
                </c:pt>
                <c:pt idx="832">
                  <c:v>24738.175635282667</c:v>
                </c:pt>
                <c:pt idx="833">
                  <c:v>27049.883403091564</c:v>
                </c:pt>
                <c:pt idx="834">
                  <c:v>29011.887807784697</c:v>
                </c:pt>
                <c:pt idx="835">
                  <c:v>30369.880128867706</c:v>
                </c:pt>
                <c:pt idx="836">
                  <c:v>30639.609501464744</c:v>
                </c:pt>
                <c:pt idx="837">
                  <c:v>28963.018192224798</c:v>
                </c:pt>
                <c:pt idx="838">
                  <c:v>24878.656892706291</c:v>
                </c:pt>
                <c:pt idx="839">
                  <c:v>19711.714174914552</c:v>
                </c:pt>
                <c:pt idx="840">
                  <c:v>14440.122311876756</c:v>
                </c:pt>
                <c:pt idx="841">
                  <c:v>9453.3893055664448</c:v>
                </c:pt>
                <c:pt idx="842">
                  <c:v>5069.0792296001964</c:v>
                </c:pt>
                <c:pt idx="843">
                  <c:v>1511.8963135920699</c:v>
                </c:pt>
                <c:pt idx="844">
                  <c:v>-1235.5880926792483</c:v>
                </c:pt>
                <c:pt idx="845">
                  <c:v>-3342.617480833921</c:v>
                </c:pt>
                <c:pt idx="846">
                  <c:v>-4980.8018393875245</c:v>
                </c:pt>
                <c:pt idx="847">
                  <c:v>-6273.6120533125049</c:v>
                </c:pt>
                <c:pt idx="848">
                  <c:v>-7301.5911673130931</c:v>
                </c:pt>
                <c:pt idx="849">
                  <c:v>-8116.8219518857322</c:v>
                </c:pt>
                <c:pt idx="850">
                  <c:v>-8753.7518032496937</c:v>
                </c:pt>
                <c:pt idx="851">
                  <c:v>-9235.825101953089</c:v>
                </c:pt>
                <c:pt idx="852">
                  <c:v>-9579.3714286181348</c:v>
                </c:pt>
                <c:pt idx="853">
                  <c:v>-9795.8936061697568</c:v>
                </c:pt>
                <c:pt idx="854">
                  <c:v>-9893.4349109699615</c:v>
                </c:pt>
                <c:pt idx="855">
                  <c:v>-9877.4009901855225</c:v>
                </c:pt>
                <c:pt idx="856">
                  <c:v>-9751.039748938194</c:v>
                </c:pt>
                <c:pt idx="857">
                  <c:v>-9515.6858189824397</c:v>
                </c:pt>
                <c:pt idx="858">
                  <c:v>-9170.8181352919182</c:v>
                </c:pt>
                <c:pt idx="859">
                  <c:v>-8713.9376229751051</c:v>
                </c:pt>
                <c:pt idx="860">
                  <c:v>-8140.2320467096133</c:v>
                </c:pt>
                <c:pt idx="861">
                  <c:v>-7441.9418953056183</c:v>
                </c:pt>
                <c:pt idx="862">
                  <c:v>-6607.2524630773169</c:v>
                </c:pt>
                <c:pt idx="863">
                  <c:v>-5618.3699788755566</c:v>
                </c:pt>
                <c:pt idx="864">
                  <c:v>-4448.1013731560097</c:v>
                </c:pt>
                <c:pt idx="865">
                  <c:v>-3053.542025976104</c:v>
                </c:pt>
                <c:pt idx="866">
                  <c:v>-1363.9299031812297</c:v>
                </c:pt>
                <c:pt idx="867">
                  <c:v>743.50352123268578</c:v>
                </c:pt>
                <c:pt idx="868">
                  <c:v>3490.9119334699253</c:v>
                </c:pt>
                <c:pt idx="869">
                  <c:v>7273.1211284913334</c:v>
                </c:pt>
                <c:pt idx="870">
                  <c:v>12596.235712027245</c:v>
                </c:pt>
                <c:pt idx="871">
                  <c:v>19186.969286434611</c:v>
                </c:pt>
                <c:pt idx="872">
                  <c:v>25758.126473562836</c:v>
                </c:pt>
                <c:pt idx="873">
                  <c:v>31670.044489198444</c:v>
                </c:pt>
                <c:pt idx="874">
                  <c:v>36764.448095547254</c:v>
                </c:pt>
                <c:pt idx="875">
                  <c:v>41028.790473192697</c:v>
                </c:pt>
                <c:pt idx="876">
                  <c:v>44502.705307230288</c:v>
                </c:pt>
                <c:pt idx="877">
                  <c:v>47241.650075879341</c:v>
                </c:pt>
                <c:pt idx="878">
                  <c:v>49299.949608916453</c:v>
                </c:pt>
                <c:pt idx="879">
                  <c:v>50724.104572176191</c:v>
                </c:pt>
                <c:pt idx="880">
                  <c:v>51550.912827635242</c:v>
                </c:pt>
                <c:pt idx="881">
                  <c:v>51807.423067433665</c:v>
                </c:pt>
                <c:pt idx="882">
                  <c:v>51511.333405577636</c:v>
                </c:pt>
                <c:pt idx="883">
                  <c:v>50671.222816050613</c:v>
                </c:pt>
                <c:pt idx="884">
                  <c:v>49286.306473778946</c:v>
                </c:pt>
                <c:pt idx="885">
                  <c:v>47345.465446891525</c:v>
                </c:pt>
                <c:pt idx="886">
                  <c:v>44825.210895332246</c:v>
                </c:pt>
                <c:pt idx="887">
                  <c:v>41686.017379227749</c:v>
                </c:pt>
                <c:pt idx="888">
                  <c:v>37866.122590278399</c:v>
                </c:pt>
                <c:pt idx="889">
                  <c:v>33271.968946979941</c:v>
                </c:pt>
                <c:pt idx="890">
                  <c:v>27769.921509163731</c:v>
                </c:pt>
                <c:pt idx="891">
                  <c:v>21240.193791285001</c:v>
                </c:pt>
                <c:pt idx="892">
                  <c:v>14258.300851048174</c:v>
                </c:pt>
                <c:pt idx="893">
                  <c:v>9683.3995490314119</c:v>
                </c:pt>
                <c:pt idx="894">
                  <c:v>7001.3731836851694</c:v>
                </c:pt>
                <c:pt idx="895">
                  <c:v>5239.3084156460927</c:v>
                </c:pt>
                <c:pt idx="896">
                  <c:v>4020.6944582041697</c:v>
                </c:pt>
                <c:pt idx="897">
                  <c:v>3292.5770145779811</c:v>
                </c:pt>
                <c:pt idx="898">
                  <c:v>3223.3574754695928</c:v>
                </c:pt>
                <c:pt idx="899">
                  <c:v>4105.6856270519474</c:v>
                </c:pt>
                <c:pt idx="900">
                  <c:v>6120.3681120416286</c:v>
                </c:pt>
                <c:pt idx="901">
                  <c:v>9129.7120035122098</c:v>
                </c:pt>
                <c:pt idx="902">
                  <c:v>12787.554735557038</c:v>
                </c:pt>
                <c:pt idx="903">
                  <c:v>16754.710996563783</c:v>
                </c:pt>
                <c:pt idx="904">
                  <c:v>20780.937878732704</c:v>
                </c:pt>
                <c:pt idx="905">
                  <c:v>24695.681570682187</c:v>
                </c:pt>
                <c:pt idx="906">
                  <c:v>28380.373365470452</c:v>
                </c:pt>
                <c:pt idx="907">
                  <c:v>31746.112398476784</c:v>
                </c:pt>
                <c:pt idx="908">
                  <c:v>34718.73435612148</c:v>
                </c:pt>
                <c:pt idx="909">
                  <c:v>37228.856260721885</c:v>
                </c:pt>
                <c:pt idx="910">
                  <c:v>39204.669429779547</c:v>
                </c:pt>
                <c:pt idx="911">
                  <c:v>40566.057751094442</c:v>
                </c:pt>
                <c:pt idx="912">
                  <c:v>41219.406133501412</c:v>
                </c:pt>
                <c:pt idx="913">
                  <c:v>41053.560417781868</c:v>
                </c:pt>
                <c:pt idx="914">
                  <c:v>39939.774868819375</c:v>
                </c:pt>
                <c:pt idx="915">
                  <c:v>37743.96867473676</c:v>
                </c:pt>
                <c:pt idx="916">
                  <c:v>34368.900499780902</c:v>
                </c:pt>
                <c:pt idx="917">
                  <c:v>29842.152023177772</c:v>
                </c:pt>
                <c:pt idx="918">
                  <c:v>24402.060194806436</c:v>
                </c:pt>
                <c:pt idx="919">
                  <c:v>18458.027855458869</c:v>
                </c:pt>
                <c:pt idx="920">
                  <c:v>12515.544582644785</c:v>
                </c:pt>
                <c:pt idx="921">
                  <c:v>7194.9990620087683</c:v>
                </c:pt>
                <c:pt idx="922">
                  <c:v>2921.6105790336765</c:v>
                </c:pt>
                <c:pt idx="923">
                  <c:v>-338.09617014933531</c:v>
                </c:pt>
                <c:pt idx="924">
                  <c:v>-2809.7207297823225</c:v>
                </c:pt>
                <c:pt idx="925">
                  <c:v>-4695.6114199307976</c:v>
                </c:pt>
                <c:pt idx="926">
                  <c:v>-6136.131039368036</c:v>
                </c:pt>
                <c:pt idx="927">
                  <c:v>-7223.8674324500917</c:v>
                </c:pt>
                <c:pt idx="928">
                  <c:v>-8020.4482190614926</c:v>
                </c:pt>
                <c:pt idx="929">
                  <c:v>-8567.874104596709</c:v>
                </c:pt>
                <c:pt idx="930">
                  <c:v>-8895.3910907401241</c:v>
                </c:pt>
                <c:pt idx="931">
                  <c:v>-9023.594766837803</c:v>
                </c:pt>
                <c:pt idx="932">
                  <c:v>-8966.8987107804223</c:v>
                </c:pt>
                <c:pt idx="933">
                  <c:v>-8735.0188085323953</c:v>
                </c:pt>
                <c:pt idx="934">
                  <c:v>-8333.8314581366612</c:v>
                </c:pt>
                <c:pt idx="935">
                  <c:v>-7765.7916892562407</c:v>
                </c:pt>
                <c:pt idx="936">
                  <c:v>-7029.9886710409719</c:v>
                </c:pt>
                <c:pt idx="937">
                  <c:v>-6121.8311369565554</c:v>
                </c:pt>
                <c:pt idx="938">
                  <c:v>-5032.2611748091304</c:v>
                </c:pt>
                <c:pt idx="939">
                  <c:v>-3746.2487671266058</c:v>
                </c:pt>
                <c:pt idx="940">
                  <c:v>-2240.0369452044424</c:v>
                </c:pt>
                <c:pt idx="941">
                  <c:v>-475.98034957497958</c:v>
                </c:pt>
                <c:pt idx="942">
                  <c:v>1607.7417068103857</c:v>
                </c:pt>
                <c:pt idx="943">
                  <c:v>4119.6671654036109</c:v>
                </c:pt>
                <c:pt idx="944">
                  <c:v>7271.4404885457607</c:v>
                </c:pt>
                <c:pt idx="945">
                  <c:v>11544.297735220991</c:v>
                </c:pt>
                <c:pt idx="946">
                  <c:v>18157.028347738349</c:v>
                </c:pt>
                <c:pt idx="947">
                  <c:v>25879.237452323676</c:v>
                </c:pt>
                <c:pt idx="948">
                  <c:v>32132.519594904981</c:v>
                </c:pt>
                <c:pt idx="949">
                  <c:v>37221.59473312465</c:v>
                </c:pt>
                <c:pt idx="950">
                  <c:v>41389.230983123169</c:v>
                </c:pt>
                <c:pt idx="951">
                  <c:v>44773.852848397983</c:v>
                </c:pt>
                <c:pt idx="952">
                  <c:v>47461.429424004658</c:v>
                </c:pt>
                <c:pt idx="953">
                  <c:v>49508.981286507696</c:v>
                </c:pt>
                <c:pt idx="954">
                  <c:v>50954.88148531715</c:v>
                </c:pt>
                <c:pt idx="955">
                  <c:v>51823.72396726103</c:v>
                </c:pt>
                <c:pt idx="956">
                  <c:v>52128.638217847874</c:v>
                </c:pt>
                <c:pt idx="957">
                  <c:v>51872.080910059325</c:v>
                </c:pt>
                <c:pt idx="958">
                  <c:v>51045.374562194964</c:v>
                </c:pt>
                <c:pt idx="959">
                  <c:v>49626.797332063827</c:v>
                </c:pt>
                <c:pt idx="960">
                  <c:v>47577.475428800783</c:v>
                </c:pt>
                <c:pt idx="961">
                  <c:v>44833.25717447338</c:v>
                </c:pt>
                <c:pt idx="962">
                  <c:v>41288.111927001803</c:v>
                </c:pt>
                <c:pt idx="963">
                  <c:v>36757.071237929573</c:v>
                </c:pt>
                <c:pt idx="964">
                  <c:v>30882.706087638289</c:v>
                </c:pt>
                <c:pt idx="965">
                  <c:v>22894.843508439099</c:v>
                </c:pt>
                <c:pt idx="966">
                  <c:v>12760.103745954566</c:v>
                </c:pt>
                <c:pt idx="967">
                  <c:v>5285.4984562560358</c:v>
                </c:pt>
                <c:pt idx="968">
                  <c:v>-897.95734435662644</c:v>
                </c:pt>
                <c:pt idx="969">
                  <c:v>-6469.082416116099</c:v>
                </c:pt>
                <c:pt idx="970">
                  <c:v>-11827.591222644856</c:v>
                </c:pt>
                <c:pt idx="971">
                  <c:v>-17346.093671664603</c:v>
                </c:pt>
                <c:pt idx="972">
                  <c:v>-23546.610795110075</c:v>
                </c:pt>
                <c:pt idx="973">
                  <c:v>-31318.179956221746</c:v>
                </c:pt>
                <c:pt idx="974">
                  <c:v>-40560.569057309091</c:v>
                </c:pt>
                <c:pt idx="975">
                  <c:v>-47738.293342657722</c:v>
                </c:pt>
                <c:pt idx="976">
                  <c:v>-53221.803880665044</c:v>
                </c:pt>
                <c:pt idx="977">
                  <c:v>-57535.79364889182</c:v>
                </c:pt>
                <c:pt idx="978">
                  <c:v>-60976.39013877204</c:v>
                </c:pt>
                <c:pt idx="979">
                  <c:v>-63717.165143139762</c:v>
                </c:pt>
                <c:pt idx="980">
                  <c:v>-65867.486616567141</c:v>
                </c:pt>
                <c:pt idx="981">
                  <c:v>-67500.205057463172</c:v>
                </c:pt>
                <c:pt idx="982">
                  <c:v>-68665.627205175624</c:v>
                </c:pt>
                <c:pt idx="983">
                  <c:v>-69399.093921143256</c:v>
                </c:pt>
                <c:pt idx="984">
                  <c:v>-69725.330704963824</c:v>
                </c:pt>
                <c:pt idx="985">
                  <c:v>-69661.035636695844</c:v>
                </c:pt>
                <c:pt idx="986">
                  <c:v>-69216.425518477583</c:v>
                </c:pt>
                <c:pt idx="987">
                  <c:v>-68396.109552391368</c:v>
                </c:pt>
                <c:pt idx="988">
                  <c:v>-67199.478534214199</c:v>
                </c:pt>
                <c:pt idx="989">
                  <c:v>-65620.692506811378</c:v>
                </c:pt>
                <c:pt idx="990">
                  <c:v>-63648.277928502059</c:v>
                </c:pt>
                <c:pt idx="991">
                  <c:v>-61264.285136946783</c:v>
                </c:pt>
                <c:pt idx="992">
                  <c:v>-58442.900630957898</c:v>
                </c:pt>
                <c:pt idx="993">
                  <c:v>-55148.377722378915</c:v>
                </c:pt>
                <c:pt idx="994">
                  <c:v>-51332.283391910263</c:v>
                </c:pt>
                <c:pt idx="995">
                  <c:v>-46931.064178349006</c:v>
                </c:pt>
                <c:pt idx="996">
                  <c:v>-41870.490176348474</c:v>
                </c:pt>
                <c:pt idx="997">
                  <c:v>-36114.705226437662</c:v>
                </c:pt>
                <c:pt idx="998">
                  <c:v>-29969.215226261884</c:v>
                </c:pt>
                <c:pt idx="999">
                  <c:v>-25026.006897839652</c:v>
                </c:pt>
                <c:pt idx="1000">
                  <c:v>-22029.557316013583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7EE-4086-A22A-ADDC70B8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</c:scatterChart>
      <c:valAx>
        <c:axId val="1811891231"/>
        <c:scaling>
          <c:orientation val="minMax"/>
          <c:max val="100000"/>
          <c:min val="-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743548650486681"/>
          <c:y val="0.96116699576919595"/>
          <c:w val="0.51068569928512475"/>
          <c:h val="3.2108701998939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r>
              <a:rPr lang="fr-CA">
                <a:solidFill>
                  <a:srgbClr val="FFFF00"/>
                </a:solidFill>
              </a:rPr>
              <a:t>Voyage du Romano-Fafard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solidFill>
          <a:schemeClr val="tx1"/>
        </a:solidFill>
        <a:ln>
          <a:noFill/>
        </a:ln>
        <a:effectLst>
          <a:glow rad="457200">
            <a:schemeClr val="accent4">
              <a:satMod val="175000"/>
              <a:alpha val="40000"/>
            </a:schemeClr>
          </a:glow>
          <a:outerShdw blurRad="50800" dir="5400000" sx="88000" sy="88000" algn="ctr" rotWithShape="0">
            <a:srgbClr val="FFFF00"/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rgbClr val="FFFF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5680482782915121E-2"/>
          <c:y val="9.3088142988360753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v>Crème pour le visage, soulage la peau sèche</c:v>
          </c:tx>
          <c:spPr>
            <a:ln w="22225" cap="rnd">
              <a:solidFill>
                <a:schemeClr val="accent1"/>
              </a:solidFill>
            </a:ln>
            <a:effectLst>
              <a:glow rad="635000">
                <a:schemeClr val="accent1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Feuille1!$D$284:$D$304</c:f>
              <c:numCache>
                <c:formatCode>General</c:formatCode>
                <c:ptCount val="21"/>
                <c:pt idx="0">
                  <c:v>27500</c:v>
                </c:pt>
                <c:pt idx="1">
                  <c:v>27132.923872213651</c:v>
                </c:pt>
                <c:pt idx="2">
                  <c:v>26067.627457812105</c:v>
                </c:pt>
                <c:pt idx="3">
                  <c:v>24408.389392193549</c:v>
                </c:pt>
                <c:pt idx="4">
                  <c:v>22317.627457812105</c:v>
                </c:pt>
                <c:pt idx="5">
                  <c:v>20000</c:v>
                </c:pt>
                <c:pt idx="6">
                  <c:v>17682.372542187895</c:v>
                </c:pt>
                <c:pt idx="7">
                  <c:v>15591.610607806451</c:v>
                </c:pt>
                <c:pt idx="8">
                  <c:v>13932.372542187895</c:v>
                </c:pt>
                <c:pt idx="9">
                  <c:v>12867.076127786349</c:v>
                </c:pt>
                <c:pt idx="10">
                  <c:v>12500</c:v>
                </c:pt>
                <c:pt idx="11">
                  <c:v>12867.076127786346</c:v>
                </c:pt>
                <c:pt idx="12">
                  <c:v>13932.372542187893</c:v>
                </c:pt>
                <c:pt idx="13">
                  <c:v>15591.610607806451</c:v>
                </c:pt>
                <c:pt idx="14">
                  <c:v>17682.372542187892</c:v>
                </c:pt>
                <c:pt idx="15">
                  <c:v>20000</c:v>
                </c:pt>
                <c:pt idx="16">
                  <c:v>22317.627457812105</c:v>
                </c:pt>
                <c:pt idx="17">
                  <c:v>24408.389392193545</c:v>
                </c:pt>
                <c:pt idx="18">
                  <c:v>26067.627457812105</c:v>
                </c:pt>
                <c:pt idx="19">
                  <c:v>27132.923872213651</c:v>
                </c:pt>
                <c:pt idx="20">
                  <c:v>27500</c:v>
                </c:pt>
              </c:numCache>
            </c:numRef>
          </c:xVal>
          <c:yVal>
            <c:numRef>
              <c:f>Feuille1!$E$284:$E$304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3-4322-A2E5-108F22F86DAD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635000">
                <a:schemeClr val="accent2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Feuille1!$G$284:$G$304</c:f>
              <c:numCache>
                <c:formatCode>General</c:formatCode>
                <c:ptCount val="21"/>
                <c:pt idx="0">
                  <c:v>-12500</c:v>
                </c:pt>
                <c:pt idx="1">
                  <c:v>-12867.076127786349</c:v>
                </c:pt>
                <c:pt idx="2">
                  <c:v>-13932.372542187895</c:v>
                </c:pt>
                <c:pt idx="3">
                  <c:v>-15591.610607806451</c:v>
                </c:pt>
                <c:pt idx="4">
                  <c:v>-17682.372542187895</c:v>
                </c:pt>
                <c:pt idx="5">
                  <c:v>-20000</c:v>
                </c:pt>
                <c:pt idx="6">
                  <c:v>-22317.627457812105</c:v>
                </c:pt>
                <c:pt idx="7">
                  <c:v>-24408.389392193549</c:v>
                </c:pt>
                <c:pt idx="8">
                  <c:v>-26067.627457812105</c:v>
                </c:pt>
                <c:pt idx="9">
                  <c:v>-27132.923872213651</c:v>
                </c:pt>
                <c:pt idx="10">
                  <c:v>-27500</c:v>
                </c:pt>
                <c:pt idx="11">
                  <c:v>-27132.923872213654</c:v>
                </c:pt>
                <c:pt idx="12">
                  <c:v>-26067.627457812108</c:v>
                </c:pt>
                <c:pt idx="13">
                  <c:v>-24408.389392193549</c:v>
                </c:pt>
                <c:pt idx="14">
                  <c:v>-22317.627457812108</c:v>
                </c:pt>
                <c:pt idx="15">
                  <c:v>-20000</c:v>
                </c:pt>
                <c:pt idx="16">
                  <c:v>-17682.372542187895</c:v>
                </c:pt>
                <c:pt idx="17">
                  <c:v>-15591.610607806453</c:v>
                </c:pt>
                <c:pt idx="18">
                  <c:v>-13932.372542187895</c:v>
                </c:pt>
                <c:pt idx="19">
                  <c:v>-12867.076127786349</c:v>
                </c:pt>
                <c:pt idx="20">
                  <c:v>-12500</c:v>
                </c:pt>
              </c:numCache>
            </c:numRef>
          </c:xVal>
          <c:yVal>
            <c:numRef>
              <c:f>Feuille1!$H$284:$H$304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3-4322-A2E5-108F22F86DAD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635000">
                <a:schemeClr val="accent6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Feuille1!$J$284:$J$304</c:f>
              <c:numCache>
                <c:formatCode>General</c:formatCode>
                <c:ptCount val="21"/>
                <c:pt idx="0">
                  <c:v>2500</c:v>
                </c:pt>
                <c:pt idx="1">
                  <c:v>2132.9238722136515</c:v>
                </c:pt>
                <c:pt idx="2">
                  <c:v>1067.6274578121056</c:v>
                </c:pt>
                <c:pt idx="3">
                  <c:v>-591.6106078064513</c:v>
                </c:pt>
                <c:pt idx="4">
                  <c:v>-2682.3725421878939</c:v>
                </c:pt>
                <c:pt idx="5">
                  <c:v>-4999.9999999999991</c:v>
                </c:pt>
                <c:pt idx="6">
                  <c:v>-7317.6274578121047</c:v>
                </c:pt>
                <c:pt idx="7">
                  <c:v>-9408.3893921935487</c:v>
                </c:pt>
                <c:pt idx="8">
                  <c:v>-11067.627457812105</c:v>
                </c:pt>
                <c:pt idx="9">
                  <c:v>-12132.923872213651</c:v>
                </c:pt>
                <c:pt idx="10">
                  <c:v>-12500</c:v>
                </c:pt>
                <c:pt idx="11">
                  <c:v>-12132.923872213654</c:v>
                </c:pt>
                <c:pt idx="12">
                  <c:v>-11067.627457812107</c:v>
                </c:pt>
                <c:pt idx="13">
                  <c:v>-9408.3893921935487</c:v>
                </c:pt>
                <c:pt idx="14">
                  <c:v>-7317.6274578121065</c:v>
                </c:pt>
                <c:pt idx="15">
                  <c:v>-5000.0000000000018</c:v>
                </c:pt>
                <c:pt idx="16">
                  <c:v>-2682.3725421878958</c:v>
                </c:pt>
                <c:pt idx="17">
                  <c:v>-591.61060780645312</c:v>
                </c:pt>
                <c:pt idx="18">
                  <c:v>1067.6274578121047</c:v>
                </c:pt>
                <c:pt idx="19">
                  <c:v>2132.9238722136515</c:v>
                </c:pt>
                <c:pt idx="20">
                  <c:v>2500</c:v>
                </c:pt>
              </c:numCache>
            </c:numRef>
          </c:xVal>
          <c:yVal>
            <c:numRef>
              <c:f>Feuille1!$K$284:$K$304</c:f>
              <c:numCache>
                <c:formatCode>General</c:formatCode>
                <c:ptCount val="21"/>
                <c:pt idx="0">
                  <c:v>-35000</c:v>
                </c:pt>
                <c:pt idx="1">
                  <c:v>-32682.372542187895</c:v>
                </c:pt>
                <c:pt idx="2">
                  <c:v>-30591.610607806451</c:v>
                </c:pt>
                <c:pt idx="3">
                  <c:v>-28932.372542187895</c:v>
                </c:pt>
                <c:pt idx="4">
                  <c:v>-27867.076127786349</c:v>
                </c:pt>
                <c:pt idx="5">
                  <c:v>-27500</c:v>
                </c:pt>
                <c:pt idx="6">
                  <c:v>-27867.076127786349</c:v>
                </c:pt>
                <c:pt idx="7">
                  <c:v>-28932.372542187895</c:v>
                </c:pt>
                <c:pt idx="8">
                  <c:v>-30591.610607806451</c:v>
                </c:pt>
                <c:pt idx="9">
                  <c:v>-32682.372542187892</c:v>
                </c:pt>
                <c:pt idx="10">
                  <c:v>-35000</c:v>
                </c:pt>
                <c:pt idx="11">
                  <c:v>-37317.627457812101</c:v>
                </c:pt>
                <c:pt idx="12">
                  <c:v>-39408.389392193545</c:v>
                </c:pt>
                <c:pt idx="13">
                  <c:v>-41067.627457812108</c:v>
                </c:pt>
                <c:pt idx="14">
                  <c:v>-42132.923872213651</c:v>
                </c:pt>
                <c:pt idx="15">
                  <c:v>-42500</c:v>
                </c:pt>
                <c:pt idx="16">
                  <c:v>-42132.923872213651</c:v>
                </c:pt>
                <c:pt idx="17">
                  <c:v>-41067.627457812108</c:v>
                </c:pt>
                <c:pt idx="18">
                  <c:v>-39408.389392193552</c:v>
                </c:pt>
                <c:pt idx="19">
                  <c:v>-37317.627457812108</c:v>
                </c:pt>
                <c:pt idx="20">
                  <c:v>-35000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3-4322-A2E5-108F22F86DAD}"/>
            </c:ext>
          </c:extLst>
        </c:ser>
        <c:ser>
          <c:idx val="4"/>
          <c:order val="4"/>
          <c:tx>
            <c:v>Romano-Fafard</c:v>
          </c:tx>
          <c:spPr>
            <a:ln w="22225" cap="rnd">
              <a:solidFill>
                <a:srgbClr val="C00000"/>
              </a:solidFill>
            </a:ln>
            <a:effectLst>
              <a:glow>
                <a:srgbClr val="FFFF00"/>
              </a:glow>
            </a:effectLst>
          </c:spPr>
          <c:marker>
            <c:symbol val="diamond"/>
            <c:size val="72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>
                <a:glow>
                  <a:srgbClr val="FFFF00"/>
                </a:glow>
              </a:effectLst>
            </c:spPr>
          </c:marker>
          <c:trendline>
            <c:spPr>
              <a:ln w="25400" cap="rnd">
                <a:solidFill>
                  <a:schemeClr val="accent4">
                    <a:lumMod val="60000"/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Feuil2!$BA$12</c:f>
              <c:numCache>
                <c:formatCode>General</c:formatCode>
                <c:ptCount val="1"/>
                <c:pt idx="0">
                  <c:v>-8917.9834425486224</c:v>
                </c:pt>
              </c:numCache>
            </c:numRef>
          </c:xVal>
          <c:yVal>
            <c:numRef>
              <c:f>Feuil2!$BB$12</c:f>
              <c:numCache>
                <c:formatCode>General</c:formatCode>
                <c:ptCount val="1"/>
                <c:pt idx="0">
                  <c:v>-52387.363204151487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683-4322-A2E5-108F22F86DAD}"/>
            </c:ext>
          </c:extLst>
        </c:ser>
        <c:ser>
          <c:idx val="5"/>
          <c:order val="5"/>
          <c:tx>
            <c:v>Trainée de cacannes</c:v>
          </c:tx>
          <c:spPr>
            <a:ln w="22225" cap="rnd" cmpd="sng">
              <a:solidFill>
                <a:schemeClr val="accent4">
                  <a:lumMod val="80000"/>
                  <a:lumOff val="20000"/>
                </a:schemeClr>
              </a:solidFill>
              <a:prstDash val="solid"/>
              <a:miter lim="800000"/>
              <a:headEnd type="none" w="sm" len="sm"/>
              <a:tailEnd type="none" w="lg" len="lg"/>
            </a:ln>
            <a:effectLst>
              <a:glow rad="279400">
                <a:schemeClr val="accent4">
                  <a:satMod val="175000"/>
                  <a:alpha val="30000"/>
                </a:schemeClr>
              </a:glow>
            </a:effectLst>
          </c:spPr>
          <c:marker>
            <c:symbol val="square"/>
            <c:size val="5"/>
            <c:spPr>
              <a:noFill/>
              <a:ln>
                <a:noFill/>
              </a:ln>
              <a:effectLst>
                <a:glow rad="279400">
                  <a:schemeClr val="accent4">
                    <a:satMod val="175000"/>
                    <a:alpha val="30000"/>
                  </a:schemeClr>
                </a:glow>
              </a:effectLst>
            </c:spPr>
          </c:marker>
          <c:xVal>
            <c:numRef>
              <c:f>Feuil2!$BA$16:$BA$27</c:f>
              <c:numCache>
                <c:formatCode>General</c:formatCode>
                <c:ptCount val="12"/>
                <c:pt idx="0">
                  <c:v>-10116.586902456012</c:v>
                </c:pt>
                <c:pt idx="1">
                  <c:v>-11079.34083509328</c:v>
                </c:pt>
                <c:pt idx="2">
                  <c:v>-11810.654122686874</c:v>
                </c:pt>
                <c:pt idx="3">
                  <c:v>-12302.334547676746</c:v>
                </c:pt>
                <c:pt idx="4">
                  <c:v>-12531.691127677701</c:v>
                </c:pt>
                <c:pt idx="5">
                  <c:v>-12454.832474565097</c:v>
                </c:pt>
                <c:pt idx="6">
                  <c:v>-11989.472589216119</c:v>
                </c:pt>
                <c:pt idx="7">
                  <c:v>-10967.47371971736</c:v>
                </c:pt>
                <c:pt idx="8">
                  <c:v>-8975.0041137864391</c:v>
                </c:pt>
                <c:pt idx="9">
                  <c:v>-4851.6508716733579</c:v>
                </c:pt>
                <c:pt idx="10">
                  <c:v>-809.97711177494614</c:v>
                </c:pt>
                <c:pt idx="11">
                  <c:v>2482.854121213325</c:v>
                </c:pt>
              </c:numCache>
            </c:numRef>
          </c:xVal>
          <c:yVal>
            <c:numRef>
              <c:f>Feuil2!$BB$16:$BB$27</c:f>
              <c:numCache>
                <c:formatCode>General</c:formatCode>
                <c:ptCount val="12"/>
                <c:pt idx="0">
                  <c:v>-54725.059949403789</c:v>
                </c:pt>
                <c:pt idx="1">
                  <c:v>-56073.349467221298</c:v>
                </c:pt>
                <c:pt idx="2">
                  <c:v>-56540.57068891199</c:v>
                </c:pt>
                <c:pt idx="3">
                  <c:v>-56170.5089751466</c:v>
                </c:pt>
                <c:pt idx="4">
                  <c:v>-54957.815575406712</c:v>
                </c:pt>
                <c:pt idx="5">
                  <c:v>-52846.204542931235</c:v>
                </c:pt>
                <c:pt idx="6">
                  <c:v>-49708.065242330129</c:v>
                </c:pt>
                <c:pt idx="7">
                  <c:v>-45287.439809312018</c:v>
                </c:pt>
                <c:pt idx="8">
                  <c:v>-39057.70536515463</c:v>
                </c:pt>
                <c:pt idx="9">
                  <c:v>-30467.914142325404</c:v>
                </c:pt>
                <c:pt idx="10">
                  <c:v>-24582.45391255854</c:v>
                </c:pt>
                <c:pt idx="11">
                  <c:v>-20240.284944123989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E8-4B8C-850B-043E6CA9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Feuil2!$C$300:$C$1300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-46.78891316404583</c:v>
                      </c:pt>
                      <c:pt idx="3">
                        <c:v>-139.29493540965603</c:v>
                      </c:pt>
                      <c:pt idx="4">
                        <c:v>-275.94808457685957</c:v>
                      </c:pt>
                      <c:pt idx="5">
                        <c:v>-455.98835000101002</c:v>
                      </c:pt>
                      <c:pt idx="6">
                        <c:v>-681.94804794663492</c:v>
                      </c:pt>
                      <c:pt idx="7">
                        <c:v>-964.28449484806242</c:v>
                      </c:pt>
                      <c:pt idx="8">
                        <c:v>-1329.9302217769473</c:v>
                      </c:pt>
                      <c:pt idx="9">
                        <c:v>-1836.4300830733741</c:v>
                      </c:pt>
                      <c:pt idx="10">
                        <c:v>-2587.6126754469583</c:v>
                      </c:pt>
                      <c:pt idx="11">
                        <c:v>-3731.1314779742588</c:v>
                      </c:pt>
                      <c:pt idx="12">
                        <c:v>-5418.3072471880932</c:v>
                      </c:pt>
                      <c:pt idx="13">
                        <c:v>-7755.6826108510741</c:v>
                      </c:pt>
                      <c:pt idx="14">
                        <c:v>-10793.129508855021</c:v>
                      </c:pt>
                      <c:pt idx="15">
                        <c:v>-14531.340122390315</c:v>
                      </c:pt>
                      <c:pt idx="16">
                        <c:v>-18875.773821104078</c:v>
                      </c:pt>
                      <c:pt idx="17">
                        <c:v>-23285.215604678637</c:v>
                      </c:pt>
                      <c:pt idx="18">
                        <c:v>-25467.296599943893</c:v>
                      </c:pt>
                      <c:pt idx="19">
                        <c:v>-24826.953555193173</c:v>
                      </c:pt>
                      <c:pt idx="20">
                        <c:v>-22823.479066875145</c:v>
                      </c:pt>
                      <c:pt idx="21">
                        <c:v>-20154.184784415571</c:v>
                      </c:pt>
                      <c:pt idx="22">
                        <c:v>-17172.485657145662</c:v>
                      </c:pt>
                      <c:pt idx="23">
                        <c:v>-14116.768489337132</c:v>
                      </c:pt>
                      <c:pt idx="24">
                        <c:v>-11188.052992838895</c:v>
                      </c:pt>
                      <c:pt idx="25">
                        <c:v>-8572.2860293945323</c:v>
                      </c:pt>
                      <c:pt idx="26">
                        <c:v>-6437.1465664743246</c:v>
                      </c:pt>
                      <c:pt idx="27">
                        <c:v>-4910.5352032405071</c:v>
                      </c:pt>
                      <c:pt idx="28">
                        <c:v>-4045.8700454638715</c:v>
                      </c:pt>
                      <c:pt idx="29">
                        <c:v>-3804.9500817108519</c:v>
                      </c:pt>
                      <c:pt idx="30">
                        <c:v>-4094.1222812934266</c:v>
                      </c:pt>
                      <c:pt idx="31">
                        <c:v>-4820.978187995991</c:v>
                      </c:pt>
                      <c:pt idx="32">
                        <c:v>-5922.691001665049</c:v>
                      </c:pt>
                      <c:pt idx="33">
                        <c:v>-7371.417574045804</c:v>
                      </c:pt>
                      <c:pt idx="34">
                        <c:v>-9177.2924608102348</c:v>
                      </c:pt>
                      <c:pt idx="35">
                        <c:v>-11401.826553280598</c:v>
                      </c:pt>
                      <c:pt idx="36">
                        <c:v>-14197.600355117003</c:v>
                      </c:pt>
                      <c:pt idx="37">
                        <c:v>-17905.7515378057</c:v>
                      </c:pt>
                      <c:pt idx="38">
                        <c:v>-22748.797344037252</c:v>
                      </c:pt>
                      <c:pt idx="39">
                        <c:v>-25553.518853641552</c:v>
                      </c:pt>
                      <c:pt idx="40">
                        <c:v>-26957.283190311231</c:v>
                      </c:pt>
                      <c:pt idx="41">
                        <c:v>-27358.153674587993</c:v>
                      </c:pt>
                      <c:pt idx="42">
                        <c:v>-26938.446715383368</c:v>
                      </c:pt>
                      <c:pt idx="43">
                        <c:v>-25794.688650388227</c:v>
                      </c:pt>
                      <c:pt idx="44">
                        <c:v>-23990.317390814311</c:v>
                      </c:pt>
                      <c:pt idx="45">
                        <c:v>-21591.099602405222</c:v>
                      </c:pt>
                      <c:pt idx="46">
                        <c:v>-18726.368516067898</c:v>
                      </c:pt>
                      <c:pt idx="47">
                        <c:v>-15798.069399318099</c:v>
                      </c:pt>
                      <c:pt idx="48">
                        <c:v>-14213.413198195991</c:v>
                      </c:pt>
                      <c:pt idx="49">
                        <c:v>-15147.538061212928</c:v>
                      </c:pt>
                      <c:pt idx="50">
                        <c:v>-17021.163888333493</c:v>
                      </c:pt>
                      <c:pt idx="51">
                        <c:v>-19052.326867520533</c:v>
                      </c:pt>
                      <c:pt idx="52">
                        <c:v>-20938.203330506924</c:v>
                      </c:pt>
                      <c:pt idx="53">
                        <c:v>-22501.316456879536</c:v>
                      </c:pt>
                      <c:pt idx="54">
                        <c:v>-23550.520709560165</c:v>
                      </c:pt>
                      <c:pt idx="55">
                        <c:v>-23731.861806341654</c:v>
                      </c:pt>
                      <c:pt idx="56">
                        <c:v>-22096.122801000889</c:v>
                      </c:pt>
                      <c:pt idx="57">
                        <c:v>-18350.446183940359</c:v>
                      </c:pt>
                      <c:pt idx="58">
                        <c:v>-14846.838695493698</c:v>
                      </c:pt>
                      <c:pt idx="59">
                        <c:v>-11741.61187132232</c:v>
                      </c:pt>
                      <c:pt idx="60">
                        <c:v>-8965.8001797003926</c:v>
                      </c:pt>
                      <c:pt idx="61">
                        <c:v>-6457.0322506808197</c:v>
                      </c:pt>
                      <c:pt idx="62">
                        <c:v>-4166.8372191814851</c:v>
                      </c:pt>
                      <c:pt idx="63">
                        <c:v>-2049.1404860891712</c:v>
                      </c:pt>
                      <c:pt idx="64">
                        <c:v>-46.560924523298524</c:v>
                      </c:pt>
                      <c:pt idx="65">
                        <c:v>1927.2732960766211</c:v>
                      </c:pt>
                      <c:pt idx="66">
                        <c:v>4015.8748480916947</c:v>
                      </c:pt>
                      <c:pt idx="67">
                        <c:v>6470.8810614878894</c:v>
                      </c:pt>
                      <c:pt idx="68">
                        <c:v>9750.8837999134284</c:v>
                      </c:pt>
                      <c:pt idx="69">
                        <c:v>14699.290749678192</c:v>
                      </c:pt>
                      <c:pt idx="70">
                        <c:v>22095.759706341971</c:v>
                      </c:pt>
                      <c:pt idx="71">
                        <c:v>27908.549740062372</c:v>
                      </c:pt>
                      <c:pt idx="72">
                        <c:v>31237.866611446236</c:v>
                      </c:pt>
                      <c:pt idx="73">
                        <c:v>32421.602068457585</c:v>
                      </c:pt>
                      <c:pt idx="74">
                        <c:v>31598.459136710138</c:v>
                      </c:pt>
                      <c:pt idx="75">
                        <c:v>28676.32585850031</c:v>
                      </c:pt>
                      <c:pt idx="76">
                        <c:v>23383.854215846561</c:v>
                      </c:pt>
                      <c:pt idx="77">
                        <c:v>16161.09134170632</c:v>
                      </c:pt>
                      <c:pt idx="78">
                        <c:v>10732.311799085499</c:v>
                      </c:pt>
                      <c:pt idx="79">
                        <c:v>7250.0216656936418</c:v>
                      </c:pt>
                      <c:pt idx="80">
                        <c:v>4858.7179517861441</c:v>
                      </c:pt>
                      <c:pt idx="81">
                        <c:v>3041.9311479544795</c:v>
                      </c:pt>
                      <c:pt idx="82">
                        <c:v>1513.4453762996513</c:v>
                      </c:pt>
                      <c:pt idx="83">
                        <c:v>104.06083095437862</c:v>
                      </c:pt>
                      <c:pt idx="84">
                        <c:v>-1305.0579283749703</c:v>
                      </c:pt>
                      <c:pt idx="85">
                        <c:v>-2826.5571539336352</c:v>
                      </c:pt>
                      <c:pt idx="86">
                        <c:v>-4608.5894084523406</c:v>
                      </c:pt>
                      <c:pt idx="87">
                        <c:v>-6894.7323546438483</c:v>
                      </c:pt>
                      <c:pt idx="88">
                        <c:v>-10134.382989384421</c:v>
                      </c:pt>
                      <c:pt idx="89">
                        <c:v>-15172.650531436539</c:v>
                      </c:pt>
                      <c:pt idx="90">
                        <c:v>-22564.595225092104</c:v>
                      </c:pt>
                      <c:pt idx="91">
                        <c:v>-28253.557025683836</c:v>
                      </c:pt>
                      <c:pt idx="92">
                        <c:v>-31642.697916029814</c:v>
                      </c:pt>
                      <c:pt idx="93">
                        <c:v>-33049.5056348418</c:v>
                      </c:pt>
                      <c:pt idx="94">
                        <c:v>-32597.275624446633</c:v>
                      </c:pt>
                      <c:pt idx="95">
                        <c:v>-30172.811018894161</c:v>
                      </c:pt>
                      <c:pt idx="96">
                        <c:v>-25353.258155013496</c:v>
                      </c:pt>
                      <c:pt idx="97">
                        <c:v>-17628.005423871637</c:v>
                      </c:pt>
                      <c:pt idx="98">
                        <c:v>-11449.271144443377</c:v>
                      </c:pt>
                      <c:pt idx="99">
                        <c:v>-7410.0239285723874</c:v>
                      </c:pt>
                      <c:pt idx="100">
                        <c:v>-4540.6412352249863</c:v>
                      </c:pt>
                      <c:pt idx="101">
                        <c:v>-2270.0179614925041</c:v>
                      </c:pt>
                      <c:pt idx="102">
                        <c:v>-259.99300081202239</c:v>
                      </c:pt>
                      <c:pt idx="103">
                        <c:v>1706.0582448464729</c:v>
                      </c:pt>
                      <c:pt idx="104">
                        <c:v>3782.8859692764313</c:v>
                      </c:pt>
                      <c:pt idx="105">
                        <c:v>6102.4618719834243</c:v>
                      </c:pt>
                      <c:pt idx="106">
                        <c:v>8807.641841639128</c:v>
                      </c:pt>
                      <c:pt idx="107">
                        <c:v>12092.844766506523</c:v>
                      </c:pt>
                      <c:pt idx="108">
                        <c:v>16261.581710994251</c:v>
                      </c:pt>
                      <c:pt idx="109">
                        <c:v>21604.496546456703</c:v>
                      </c:pt>
                      <c:pt idx="110">
                        <c:v>25107.693252002173</c:v>
                      </c:pt>
                      <c:pt idx="111">
                        <c:v>26314.000920958024</c:v>
                      </c:pt>
                      <c:pt idx="112">
                        <c:v>26035.742619529432</c:v>
                      </c:pt>
                      <c:pt idx="113">
                        <c:v>24604.887144408756</c:v>
                      </c:pt>
                      <c:pt idx="114">
                        <c:v>22159.193736631722</c:v>
                      </c:pt>
                      <c:pt idx="115">
                        <c:v>18863.452984774973</c:v>
                      </c:pt>
                      <c:pt idx="116">
                        <c:v>15998.482629473827</c:v>
                      </c:pt>
                      <c:pt idx="117">
                        <c:v>15198.712421932831</c:v>
                      </c:pt>
                      <c:pt idx="118">
                        <c:v>15144.47103382949</c:v>
                      </c:pt>
                      <c:pt idx="119">
                        <c:v>15332.464677241753</c:v>
                      </c:pt>
                      <c:pt idx="120">
                        <c:v>15577.542738863154</c:v>
                      </c:pt>
                      <c:pt idx="121">
                        <c:v>15809.086172567077</c:v>
                      </c:pt>
                      <c:pt idx="122">
                        <c:v>16017.481863114748</c:v>
                      </c:pt>
                      <c:pt idx="123">
                        <c:v>16251.86220611009</c:v>
                      </c:pt>
                      <c:pt idx="124">
                        <c:v>16670.014677073716</c:v>
                      </c:pt>
                      <c:pt idx="125">
                        <c:v>17752.713770071547</c:v>
                      </c:pt>
                      <c:pt idx="126">
                        <c:v>20474.93675233626</c:v>
                      </c:pt>
                      <c:pt idx="127">
                        <c:v>22682.421654055528</c:v>
                      </c:pt>
                      <c:pt idx="128">
                        <c:v>24131.975964622197</c:v>
                      </c:pt>
                      <c:pt idx="129">
                        <c:v>24858.26304007975</c:v>
                      </c:pt>
                      <c:pt idx="130">
                        <c:v>24853.12010124743</c:v>
                      </c:pt>
                      <c:pt idx="131">
                        <c:v>24028.428182791064</c:v>
                      </c:pt>
                      <c:pt idx="132">
                        <c:v>22152.166467914292</c:v>
                      </c:pt>
                      <c:pt idx="133">
                        <c:v>18824.30825600434</c:v>
                      </c:pt>
                      <c:pt idx="134">
                        <c:v>16178.877030396787</c:v>
                      </c:pt>
                      <c:pt idx="135">
                        <c:v>14234.382460424375</c:v>
                      </c:pt>
                      <c:pt idx="136">
                        <c:v>12689.917116203145</c:v>
                      </c:pt>
                      <c:pt idx="137">
                        <c:v>11419.180850379602</c:v>
                      </c:pt>
                      <c:pt idx="138">
                        <c:v>10386.777350965072</c:v>
                      </c:pt>
                      <c:pt idx="139">
                        <c:v>9617.8828183913865</c:v>
                      </c:pt>
                      <c:pt idx="140">
                        <c:v>9199.6951207325255</c:v>
                      </c:pt>
                      <c:pt idx="141">
                        <c:v>9312.6876423559188</c:v>
                      </c:pt>
                      <c:pt idx="142">
                        <c:v>10311.844368613252</c:v>
                      </c:pt>
                      <c:pt idx="143">
                        <c:v>12874.16781988291</c:v>
                      </c:pt>
                      <c:pt idx="144">
                        <c:v>17833.053778508813</c:v>
                      </c:pt>
                      <c:pt idx="145">
                        <c:v>23670.810591593032</c:v>
                      </c:pt>
                      <c:pt idx="146">
                        <c:v>27819.157300799601</c:v>
                      </c:pt>
                      <c:pt idx="147">
                        <c:v>29686.292086743881</c:v>
                      </c:pt>
                      <c:pt idx="148">
                        <c:v>29110.611748641179</c:v>
                      </c:pt>
                      <c:pt idx="149">
                        <c:v>25884.212746660367</c:v>
                      </c:pt>
                      <c:pt idx="150">
                        <c:v>20098.301068752688</c:v>
                      </c:pt>
                      <c:pt idx="151">
                        <c:v>13943.706992002939</c:v>
                      </c:pt>
                      <c:pt idx="152">
                        <c:v>9645.5586197952816</c:v>
                      </c:pt>
                      <c:pt idx="153">
                        <c:v>7001.1578534580631</c:v>
                      </c:pt>
                      <c:pt idx="154">
                        <c:v>5459.5463531100722</c:v>
                      </c:pt>
                      <c:pt idx="155">
                        <c:v>4641.3771721980665</c:v>
                      </c:pt>
                      <c:pt idx="156">
                        <c:v>4334.6259260893275</c:v>
                      </c:pt>
                      <c:pt idx="157">
                        <c:v>4441.5740385763638</c:v>
                      </c:pt>
                      <c:pt idx="158">
                        <c:v>4945.1879929097777</c:v>
                      </c:pt>
                      <c:pt idx="159">
                        <c:v>5903.3337000855199</c:v>
                      </c:pt>
                      <c:pt idx="160">
                        <c:v>7475.8623781902443</c:v>
                      </c:pt>
                      <c:pt idx="161">
                        <c:v>10004.695592062661</c:v>
                      </c:pt>
                      <c:pt idx="162">
                        <c:v>14188.67860775848</c:v>
                      </c:pt>
                      <c:pt idx="163">
                        <c:v>20943.03300946132</c:v>
                      </c:pt>
                      <c:pt idx="164">
                        <c:v>26723.430568363401</c:v>
                      </c:pt>
                      <c:pt idx="165">
                        <c:v>29999.801773779735</c:v>
                      </c:pt>
                      <c:pt idx="166">
                        <c:v>31005.411447434439</c:v>
                      </c:pt>
                      <c:pt idx="167">
                        <c:v>29781.448588206491</c:v>
                      </c:pt>
                      <c:pt idx="168">
                        <c:v>26023.315265080037</c:v>
                      </c:pt>
                      <c:pt idx="169">
                        <c:v>19182.925527881725</c:v>
                      </c:pt>
                      <c:pt idx="170">
                        <c:v>12738.293762376283</c:v>
                      </c:pt>
                      <c:pt idx="171">
                        <c:v>8656.6199405103198</c:v>
                      </c:pt>
                      <c:pt idx="172">
                        <c:v>6026.8968411048972</c:v>
                      </c:pt>
                      <c:pt idx="173">
                        <c:v>4257.3218497050821</c:v>
                      </c:pt>
                      <c:pt idx="174">
                        <c:v>3005.2385880822949</c:v>
                      </c:pt>
                      <c:pt idx="175">
                        <c:v>2065.0998967771329</c:v>
                      </c:pt>
                      <c:pt idx="176">
                        <c:v>1308.9398003137969</c:v>
                      </c:pt>
                      <c:pt idx="177">
                        <c:v>652.33710706577915</c:v>
                      </c:pt>
                      <c:pt idx="178">
                        <c:v>33.152088063462763</c:v>
                      </c:pt>
                      <c:pt idx="179">
                        <c:v>-603.49270320228027</c:v>
                      </c:pt>
                      <c:pt idx="180">
                        <c:v>-1318.2930067207108</c:v>
                      </c:pt>
                      <c:pt idx="181">
                        <c:v>-2192.2972338791997</c:v>
                      </c:pt>
                      <c:pt idx="182">
                        <c:v>-3345.8983886602828</c:v>
                      </c:pt>
                      <c:pt idx="183">
                        <c:v>-4965.3189467448365</c:v>
                      </c:pt>
                      <c:pt idx="184">
                        <c:v>-7341.8225297154459</c:v>
                      </c:pt>
                      <c:pt idx="185">
                        <c:v>-10938.001021840864</c:v>
                      </c:pt>
                      <c:pt idx="186">
                        <c:v>-16476.737694658994</c:v>
                      </c:pt>
                      <c:pt idx="187">
                        <c:v>-23982.23199152077</c:v>
                      </c:pt>
                      <c:pt idx="188">
                        <c:v>-28579.60892967469</c:v>
                      </c:pt>
                      <c:pt idx="189">
                        <c:v>-30390.76060530814</c:v>
                      </c:pt>
                      <c:pt idx="190">
                        <c:v>-29937.9231296418</c:v>
                      </c:pt>
                      <c:pt idx="191">
                        <c:v>-27386.969597264095</c:v>
                      </c:pt>
                      <c:pt idx="192">
                        <c:v>-22714.783221683363</c:v>
                      </c:pt>
                      <c:pt idx="193">
                        <c:v>-16471.820207808592</c:v>
                      </c:pt>
                      <c:pt idx="194">
                        <c:v>-12202.00875497571</c:v>
                      </c:pt>
                      <c:pt idx="195">
                        <c:v>-10150.260945104166</c:v>
                      </c:pt>
                      <c:pt idx="196">
                        <c:v>-9420.7812739992078</c:v>
                      </c:pt>
                      <c:pt idx="197">
                        <c:v>-9573.2458206836473</c:v>
                      </c:pt>
                      <c:pt idx="198">
                        <c:v>-10447.535521001257</c:v>
                      </c:pt>
                      <c:pt idx="199">
                        <c:v>-12063.055100212376</c:v>
                      </c:pt>
                      <c:pt idx="200">
                        <c:v>-14641.538597051735</c:v>
                      </c:pt>
                      <c:pt idx="201">
                        <c:v>-18759.326935185538</c:v>
                      </c:pt>
                      <c:pt idx="202">
                        <c:v>-23802.797105838792</c:v>
                      </c:pt>
                      <c:pt idx="203">
                        <c:v>-26811.995599810762</c:v>
                      </c:pt>
                      <c:pt idx="204">
                        <c:v>-28280.144869610751</c:v>
                      </c:pt>
                      <c:pt idx="205">
                        <c:v>-28488.904040194735</c:v>
                      </c:pt>
                      <c:pt idx="206">
                        <c:v>-27535.581512558383</c:v>
                      </c:pt>
                      <c:pt idx="207">
                        <c:v>-25400.390401647612</c:v>
                      </c:pt>
                      <c:pt idx="208">
                        <c:v>-21970.789402680115</c:v>
                      </c:pt>
                      <c:pt idx="209">
                        <c:v>-17370.395476289981</c:v>
                      </c:pt>
                      <c:pt idx="210">
                        <c:v>-14751.021110945601</c:v>
                      </c:pt>
                      <c:pt idx="211">
                        <c:v>-13618.767565649607</c:v>
                      </c:pt>
                      <c:pt idx="212">
                        <c:v>-13227.197517621586</c:v>
                      </c:pt>
                      <c:pt idx="213">
                        <c:v>-13321.234244725223</c:v>
                      </c:pt>
                      <c:pt idx="214">
                        <c:v>-13849.95114125802</c:v>
                      </c:pt>
                      <c:pt idx="215">
                        <c:v>-14916.606527031117</c:v>
                      </c:pt>
                      <c:pt idx="216">
                        <c:v>-16898.42954399973</c:v>
                      </c:pt>
                      <c:pt idx="217">
                        <c:v>-20646.25711298193</c:v>
                      </c:pt>
                      <c:pt idx="218">
                        <c:v>-23651.893022181146</c:v>
                      </c:pt>
                      <c:pt idx="219">
                        <c:v>-25458.506515216486</c:v>
                      </c:pt>
                      <c:pt idx="220">
                        <c:v>-26201.763368364562</c:v>
                      </c:pt>
                      <c:pt idx="221">
                        <c:v>-25939.387494786381</c:v>
                      </c:pt>
                      <c:pt idx="222">
                        <c:v>-24640.8655540238</c:v>
                      </c:pt>
                      <c:pt idx="223">
                        <c:v>-22178.902040796169</c:v>
                      </c:pt>
                      <c:pt idx="224">
                        <c:v>-18468.743141551487</c:v>
                      </c:pt>
                      <c:pt idx="225">
                        <c:v>-15952.568029899092</c:v>
                      </c:pt>
                      <c:pt idx="226">
                        <c:v>-14667.046298277588</c:v>
                      </c:pt>
                      <c:pt idx="227">
                        <c:v>-14047.771148938786</c:v>
                      </c:pt>
                      <c:pt idx="228">
                        <c:v>-13920.248741902064</c:v>
                      </c:pt>
                      <c:pt idx="229">
                        <c:v>-14305.831837025695</c:v>
                      </c:pt>
                      <c:pt idx="230">
                        <c:v>-15442.489188631693</c:v>
                      </c:pt>
                      <c:pt idx="231">
                        <c:v>-18050.865646794202</c:v>
                      </c:pt>
                      <c:pt idx="232">
                        <c:v>-22170.260436604374</c:v>
                      </c:pt>
                      <c:pt idx="233">
                        <c:v>-25062.014651825608</c:v>
                      </c:pt>
                      <c:pt idx="234">
                        <c:v>-26676.186851490129</c:v>
                      </c:pt>
                      <c:pt idx="235">
                        <c:v>-27092.181326140937</c:v>
                      </c:pt>
                      <c:pt idx="236">
                        <c:v>-26278.615519991348</c:v>
                      </c:pt>
                      <c:pt idx="237">
                        <c:v>-24047.523458642248</c:v>
                      </c:pt>
                      <c:pt idx="238">
                        <c:v>-19999.169353281661</c:v>
                      </c:pt>
                      <c:pt idx="239">
                        <c:v>-15653.224034500483</c:v>
                      </c:pt>
                      <c:pt idx="240">
                        <c:v>-12851.192081497467</c:v>
                      </c:pt>
                      <c:pt idx="241">
                        <c:v>-10956.240161897278</c:v>
                      </c:pt>
                      <c:pt idx="242">
                        <c:v>-9692.3997871922911</c:v>
                      </c:pt>
                      <c:pt idx="243">
                        <c:v>-8980.3939556251989</c:v>
                      </c:pt>
                      <c:pt idx="244">
                        <c:v>-8869.0011364083675</c:v>
                      </c:pt>
                      <c:pt idx="245">
                        <c:v>-9558.6767443414301</c:v>
                      </c:pt>
                      <c:pt idx="246">
                        <c:v>-11515.355923273517</c:v>
                      </c:pt>
                      <c:pt idx="247">
                        <c:v>-15592.685920605309</c:v>
                      </c:pt>
                      <c:pt idx="248">
                        <c:v>-21657.737218467326</c:v>
                      </c:pt>
                      <c:pt idx="249">
                        <c:v>-26712.245483747836</c:v>
                      </c:pt>
                      <c:pt idx="250">
                        <c:v>-29827.683267616485</c:v>
                      </c:pt>
                      <c:pt idx="251">
                        <c:v>-30925.507161689889</c:v>
                      </c:pt>
                      <c:pt idx="252">
                        <c:v>-29883.781499212706</c:v>
                      </c:pt>
                      <c:pt idx="253">
                        <c:v>-26338.095045812617</c:v>
                      </c:pt>
                      <c:pt idx="254">
                        <c:v>-19814.079833611133</c:v>
                      </c:pt>
                      <c:pt idx="255">
                        <c:v>-13138.472376483578</c:v>
                      </c:pt>
                      <c:pt idx="256">
                        <c:v>-8735.8835158860493</c:v>
                      </c:pt>
                      <c:pt idx="257">
                        <c:v>-5846.9002278872504</c:v>
                      </c:pt>
                      <c:pt idx="258">
                        <c:v>-3837.1902579181587</c:v>
                      </c:pt>
                      <c:pt idx="259">
                        <c:v>-2317.3128865653084</c:v>
                      </c:pt>
                      <c:pt idx="260">
                        <c:v>-1051.4914815027294</c:v>
                      </c:pt>
                      <c:pt idx="261">
                        <c:v>104.7376745406567</c:v>
                      </c:pt>
                      <c:pt idx="262">
                        <c:v>1245.2938216113507</c:v>
                      </c:pt>
                      <c:pt idx="263">
                        <c:v>2441.1505367057339</c:v>
                      </c:pt>
                      <c:pt idx="264">
                        <c:v>3761.1592712554684</c:v>
                      </c:pt>
                      <c:pt idx="265">
                        <c:v>5292.4285381354466</c:v>
                      </c:pt>
                      <c:pt idx="266">
                        <c:v>7168.7195355733329</c:v>
                      </c:pt>
                      <c:pt idx="267">
                        <c:v>9623.7521348269784</c:v>
                      </c:pt>
                      <c:pt idx="268">
                        <c:v>13114.123240751695</c:v>
                      </c:pt>
                      <c:pt idx="269">
                        <c:v>18580.994972585639</c:v>
                      </c:pt>
                      <c:pt idx="270">
                        <c:v>25119.984765349778</c:v>
                      </c:pt>
                      <c:pt idx="271">
                        <c:v>29132.399066516286</c:v>
                      </c:pt>
                      <c:pt idx="272">
                        <c:v>31157.397090850569</c:v>
                      </c:pt>
                      <c:pt idx="273">
                        <c:v>31462.337755981949</c:v>
                      </c:pt>
                      <c:pt idx="274">
                        <c:v>30015.070088971384</c:v>
                      </c:pt>
                      <c:pt idx="275">
                        <c:v>26447.858634491295</c:v>
                      </c:pt>
                      <c:pt idx="276">
                        <c:v>19871.124334633008</c:v>
                      </c:pt>
                      <c:pt idx="277">
                        <c:v>13109.145913272645</c:v>
                      </c:pt>
                      <c:pt idx="278">
                        <c:v>8398.2856207778132</c:v>
                      </c:pt>
                      <c:pt idx="279">
                        <c:v>4849.7808683914845</c:v>
                      </c:pt>
                      <c:pt idx="280">
                        <c:v>1902.2972359205123</c:v>
                      </c:pt>
                      <c:pt idx="281">
                        <c:v>-829.21888227357658</c:v>
                      </c:pt>
                      <c:pt idx="282">
                        <c:v>-3679.3813802377149</c:v>
                      </c:pt>
                      <c:pt idx="283">
                        <c:v>-7019.6958382845514</c:v>
                      </c:pt>
                      <c:pt idx="284">
                        <c:v>-11374.826384844966</c:v>
                      </c:pt>
                      <c:pt idx="285">
                        <c:v>-17639.360002255133</c:v>
                      </c:pt>
                      <c:pt idx="286">
                        <c:v>-25656.848104806875</c:v>
                      </c:pt>
                      <c:pt idx="287">
                        <c:v>-30513.194213893177</c:v>
                      </c:pt>
                      <c:pt idx="288">
                        <c:v>-33177.870187464912</c:v>
                      </c:pt>
                      <c:pt idx="289">
                        <c:v>-34147.926035695898</c:v>
                      </c:pt>
                      <c:pt idx="290">
                        <c:v>-33575.486241619321</c:v>
                      </c:pt>
                      <c:pt idx="291">
                        <c:v>-31385.180051612955</c:v>
                      </c:pt>
                      <c:pt idx="292">
                        <c:v>-27216.699782287185</c:v>
                      </c:pt>
                      <c:pt idx="293">
                        <c:v>-20205.37639875137</c:v>
                      </c:pt>
                      <c:pt idx="294">
                        <c:v>-12684.498759460001</c:v>
                      </c:pt>
                      <c:pt idx="295">
                        <c:v>-7349.4008147601926</c:v>
                      </c:pt>
                      <c:pt idx="296">
                        <c:v>-3048.8958677247629</c:v>
                      </c:pt>
                      <c:pt idx="297">
                        <c:v>876.02177196235448</c:v>
                      </c:pt>
                      <c:pt idx="298">
                        <c:v>4875.7048304480004</c:v>
                      </c:pt>
                      <c:pt idx="299">
                        <c:v>9350.9166799179584</c:v>
                      </c:pt>
                      <c:pt idx="300">
                        <c:v>14732.523493667992</c:v>
                      </c:pt>
                      <c:pt idx="301">
                        <c:v>21304.164953090738</c:v>
                      </c:pt>
                      <c:pt idx="302">
                        <c:v>26677.436215645892</c:v>
                      </c:pt>
                      <c:pt idx="303">
                        <c:v>28965.606225963176</c:v>
                      </c:pt>
                      <c:pt idx="304">
                        <c:v>29300.889733986634</c:v>
                      </c:pt>
                      <c:pt idx="305">
                        <c:v>28279.688781741959</c:v>
                      </c:pt>
                      <c:pt idx="306">
                        <c:v>26192.093636691756</c:v>
                      </c:pt>
                      <c:pt idx="307">
                        <c:v>23209.500478591533</c:v>
                      </c:pt>
                      <c:pt idx="308">
                        <c:v>19519.655717374306</c:v>
                      </c:pt>
                      <c:pt idx="309">
                        <c:v>15671.917526722924</c:v>
                      </c:pt>
                      <c:pt idx="310">
                        <c:v>13585.25591525858</c:v>
                      </c:pt>
                      <c:pt idx="311">
                        <c:v>13670.534423258001</c:v>
                      </c:pt>
                      <c:pt idx="312">
                        <c:v>14509.284086429943</c:v>
                      </c:pt>
                      <c:pt idx="313">
                        <c:v>15506.02514519025</c:v>
                      </c:pt>
                      <c:pt idx="314">
                        <c:v>16428.928435429134</c:v>
                      </c:pt>
                      <c:pt idx="315">
                        <c:v>17172.445038668924</c:v>
                      </c:pt>
                      <c:pt idx="316">
                        <c:v>17683.090449074178</c:v>
                      </c:pt>
                      <c:pt idx="317">
                        <c:v>17934.102982743021</c:v>
                      </c:pt>
                      <c:pt idx="318">
                        <c:v>17916.110788936574</c:v>
                      </c:pt>
                      <c:pt idx="319">
                        <c:v>17634.601784457653</c:v>
                      </c:pt>
                      <c:pt idx="320">
                        <c:v>17112.497343715979</c:v>
                      </c:pt>
                      <c:pt idx="321">
                        <c:v>16401.165368998667</c:v>
                      </c:pt>
                      <c:pt idx="322">
                        <c:v>15614.965226167869</c:v>
                      </c:pt>
                      <c:pt idx="323">
                        <c:v>15052.036983292403</c:v>
                      </c:pt>
                      <c:pt idx="324">
                        <c:v>15659.972926448876</c:v>
                      </c:pt>
                      <c:pt idx="325">
                        <c:v>18816.082377196384</c:v>
                      </c:pt>
                      <c:pt idx="326">
                        <c:v>22100.425366126896</c:v>
                      </c:pt>
                      <c:pt idx="327">
                        <c:v>24794.009396326477</c:v>
                      </c:pt>
                      <c:pt idx="328">
                        <c:v>26766.564473392475</c:v>
                      </c:pt>
                      <c:pt idx="329">
                        <c:v>27943.071260510627</c:v>
                      </c:pt>
                      <c:pt idx="330">
                        <c:v>28195.145192529391</c:v>
                      </c:pt>
                      <c:pt idx="331">
                        <c:v>27253.264992758057</c:v>
                      </c:pt>
                      <c:pt idx="332">
                        <c:v>24486.291068367318</c:v>
                      </c:pt>
                      <c:pt idx="333">
                        <c:v>18663.899123733736</c:v>
                      </c:pt>
                      <c:pt idx="334">
                        <c:v>13328.471291690666</c:v>
                      </c:pt>
                      <c:pt idx="335">
                        <c:v>8903.0056849905031</c:v>
                      </c:pt>
                      <c:pt idx="336">
                        <c:v>5007.2351734732983</c:v>
                      </c:pt>
                      <c:pt idx="337">
                        <c:v>1363.8948996663134</c:v>
                      </c:pt>
                      <c:pt idx="338">
                        <c:v>-2235.375922541687</c:v>
                      </c:pt>
                      <c:pt idx="339">
                        <c:v>-5974.661101219177</c:v>
                      </c:pt>
                      <c:pt idx="340">
                        <c:v>-10047.388303605849</c:v>
                      </c:pt>
                      <c:pt idx="341">
                        <c:v>-14683.556698575352</c:v>
                      </c:pt>
                      <c:pt idx="342">
                        <c:v>-20088.08689745437</c:v>
                      </c:pt>
                      <c:pt idx="343">
                        <c:v>-25139.576418846584</c:v>
                      </c:pt>
                      <c:pt idx="344">
                        <c:v>-27064.397989560315</c:v>
                      </c:pt>
                      <c:pt idx="345">
                        <c:v>-27225.899784326404</c:v>
                      </c:pt>
                      <c:pt idx="346">
                        <c:v>-26301.505449021839</c:v>
                      </c:pt>
                      <c:pt idx="347">
                        <c:v>-24597.587105575847</c:v>
                      </c:pt>
                      <c:pt idx="348">
                        <c:v>-22290.362954049124</c:v>
                      </c:pt>
                      <c:pt idx="349">
                        <c:v>-19533.616968640439</c:v>
                      </c:pt>
                      <c:pt idx="350">
                        <c:v>-16590.735061269355</c:v>
                      </c:pt>
                      <c:pt idx="351">
                        <c:v>-14235.589171377125</c:v>
                      </c:pt>
                      <c:pt idx="352">
                        <c:v>-14276.872645611329</c:v>
                      </c:pt>
                      <c:pt idx="353">
                        <c:v>-15948.245055592015</c:v>
                      </c:pt>
                      <c:pt idx="354">
                        <c:v>-17940.427055129821</c:v>
                      </c:pt>
                      <c:pt idx="355">
                        <c:v>-19805.922250757223</c:v>
                      </c:pt>
                      <c:pt idx="356">
                        <c:v>-21382.425401682303</c:v>
                      </c:pt>
                      <c:pt idx="357">
                        <c:v>-22598.16580612375</c:v>
                      </c:pt>
                      <c:pt idx="358">
                        <c:v>-23416.615250342718</c:v>
                      </c:pt>
                      <c:pt idx="359">
                        <c:v>-23818.178794002681</c:v>
                      </c:pt>
                      <c:pt idx="360">
                        <c:v>-23793.031787544453</c:v>
                      </c:pt>
                      <c:pt idx="361">
                        <c:v>-23338.246623602507</c:v>
                      </c:pt>
                      <c:pt idx="362">
                        <c:v>-22457.599301082439</c:v>
                      </c:pt>
                      <c:pt idx="363">
                        <c:v>-21165.214661877813</c:v>
                      </c:pt>
                      <c:pt idx="364">
                        <c:v>-19500.557578491873</c:v>
                      </c:pt>
                      <c:pt idx="365">
                        <c:v>-17592.103936398198</c:v>
                      </c:pt>
                      <c:pt idx="366">
                        <c:v>-15986.230675384599</c:v>
                      </c:pt>
                      <c:pt idx="367">
                        <c:v>-16697.033382456935</c:v>
                      </c:pt>
                      <c:pt idx="368">
                        <c:v>-18428.089400902118</c:v>
                      </c:pt>
                      <c:pt idx="369">
                        <c:v>-20143.978240648201</c:v>
                      </c:pt>
                      <c:pt idx="370">
                        <c:v>-21614.742851473307</c:v>
                      </c:pt>
                      <c:pt idx="371">
                        <c:v>-22766.143592283155</c:v>
                      </c:pt>
                      <c:pt idx="372">
                        <c:v>-23550.325323003239</c:v>
                      </c:pt>
                      <c:pt idx="373">
                        <c:v>-23907.588783589144</c:v>
                      </c:pt>
                      <c:pt idx="374">
                        <c:v>-23735.458310300521</c:v>
                      </c:pt>
                      <c:pt idx="375">
                        <c:v>-22820.108103006231</c:v>
                      </c:pt>
                      <c:pt idx="376">
                        <c:v>-20619.996516193467</c:v>
                      </c:pt>
                      <c:pt idx="377">
                        <c:v>-17495.345458275973</c:v>
                      </c:pt>
                      <c:pt idx="378">
                        <c:v>-14841.57940582829</c:v>
                      </c:pt>
                      <c:pt idx="379">
                        <c:v>-12458.912105815281</c:v>
                      </c:pt>
                      <c:pt idx="380">
                        <c:v>-10214.346794068841</c:v>
                      </c:pt>
                      <c:pt idx="381">
                        <c:v>-8041.3007847658673</c:v>
                      </c:pt>
                      <c:pt idx="382">
                        <c:v>-5909.5146054943989</c:v>
                      </c:pt>
                      <c:pt idx="383">
                        <c:v>-3810.2715683850683</c:v>
                      </c:pt>
                      <c:pt idx="384">
                        <c:v>-1748.4470090761406</c:v>
                      </c:pt>
                      <c:pt idx="385">
                        <c:v>262.78387891825497</c:v>
                      </c:pt>
                      <c:pt idx="386">
                        <c:v>2206.1590645473734</c:v>
                      </c:pt>
                      <c:pt idx="387">
                        <c:v>4063.9322884170392</c:v>
                      </c:pt>
                      <c:pt idx="388">
                        <c:v>5820.9113683629321</c:v>
                      </c:pt>
                      <c:pt idx="389">
                        <c:v>7466.9211281208418</c:v>
                      </c:pt>
                      <c:pt idx="390">
                        <c:v>8998.837581822163</c:v>
                      </c:pt>
                      <c:pt idx="391">
                        <c:v>10422.656093690966</c:v>
                      </c:pt>
                      <c:pt idx="392">
                        <c:v>11756.637444748943</c:v>
                      </c:pt>
                      <c:pt idx="393">
                        <c:v>13037.959471416298</c:v>
                      </c:pt>
                      <c:pt idx="394">
                        <c:v>14339.493647352569</c:v>
                      </c:pt>
                      <c:pt idx="395">
                        <c:v>15818.749585340322</c:v>
                      </c:pt>
                      <c:pt idx="396">
                        <c:v>17885.593262608214</c:v>
                      </c:pt>
                      <c:pt idx="397">
                        <c:v>21329.846979732494</c:v>
                      </c:pt>
                      <c:pt idx="398">
                        <c:v>23859.747671087491</c:v>
                      </c:pt>
                      <c:pt idx="399">
                        <c:v>25571.780801660858</c:v>
                      </c:pt>
                      <c:pt idx="400">
                        <c:v>26639.495295312256</c:v>
                      </c:pt>
                      <c:pt idx="401">
                        <c:v>27154.080069259584</c:v>
                      </c:pt>
                      <c:pt idx="402">
                        <c:v>27157.960448292964</c:v>
                      </c:pt>
                      <c:pt idx="403">
                        <c:v>26660.540607244704</c:v>
                      </c:pt>
                      <c:pt idx="404">
                        <c:v>25641.727735395016</c:v>
                      </c:pt>
                      <c:pt idx="405">
                        <c:v>24046.408330869726</c:v>
                      </c:pt>
                      <c:pt idx="406">
                        <c:v>21771.838719445925</c:v>
                      </c:pt>
                      <c:pt idx="407">
                        <c:v>18731.120582133921</c:v>
                      </c:pt>
                      <c:pt idx="408">
                        <c:v>16575.771496689649</c:v>
                      </c:pt>
                      <c:pt idx="409">
                        <c:v>15204.578321052393</c:v>
                      </c:pt>
                      <c:pt idx="410">
                        <c:v>13964.878206953575</c:v>
                      </c:pt>
                      <c:pt idx="411">
                        <c:v>12653.784648843517</c:v>
                      </c:pt>
                      <c:pt idx="412">
                        <c:v>11181.097440796391</c:v>
                      </c:pt>
                      <c:pt idx="413">
                        <c:v>9487.9828076716785</c:v>
                      </c:pt>
                      <c:pt idx="414">
                        <c:v>7520.3607871672202</c:v>
                      </c:pt>
                      <c:pt idx="415">
                        <c:v>5214.6257873812447</c:v>
                      </c:pt>
                      <c:pt idx="416">
                        <c:v>2482.854121213325</c:v>
                      </c:pt>
                      <c:pt idx="417">
                        <c:v>-809.97711177494614</c:v>
                      </c:pt>
                      <c:pt idx="418">
                        <c:v>-4851.6508716733579</c:v>
                      </c:pt>
                      <c:pt idx="419">
                        <c:v>-8975.0041137864391</c:v>
                      </c:pt>
                      <c:pt idx="420">
                        <c:v>-10967.47371971736</c:v>
                      </c:pt>
                      <c:pt idx="421">
                        <c:v>-11989.472589216119</c:v>
                      </c:pt>
                      <c:pt idx="422">
                        <c:v>-12454.832474565097</c:v>
                      </c:pt>
                      <c:pt idx="423">
                        <c:v>-12531.691127677701</c:v>
                      </c:pt>
                      <c:pt idx="424">
                        <c:v>-12302.334547676746</c:v>
                      </c:pt>
                      <c:pt idx="425">
                        <c:v>-11810.654122686874</c:v>
                      </c:pt>
                      <c:pt idx="426">
                        <c:v>-11079.34083509328</c:v>
                      </c:pt>
                      <c:pt idx="427">
                        <c:v>-10116.586902456012</c:v>
                      </c:pt>
                      <c:pt idx="428">
                        <c:v>-8917.9834425486224</c:v>
                      </c:pt>
                      <c:pt idx="429">
                        <c:v>-7465.6604330635173</c:v>
                      </c:pt>
                      <c:pt idx="430">
                        <c:v>-5730.6128818221614</c:v>
                      </c:pt>
                      <c:pt idx="431">
                        <c:v>-3768.3177257733059</c:v>
                      </c:pt>
                      <c:pt idx="432">
                        <c:v>-3020.2131494867272</c:v>
                      </c:pt>
                      <c:pt idx="433">
                        <c:v>-2873.274559753957</c:v>
                      </c:pt>
                      <c:pt idx="434">
                        <c:v>-2915.8020940387541</c:v>
                      </c:pt>
                      <c:pt idx="435">
                        <c:v>-3036.0380784850954</c:v>
                      </c:pt>
                      <c:pt idx="436">
                        <c:v>-3195.95700717213</c:v>
                      </c:pt>
                      <c:pt idx="437">
                        <c:v>-3391.9872039763864</c:v>
                      </c:pt>
                      <c:pt idx="438">
                        <c:v>-3660.6577703386956</c:v>
                      </c:pt>
                      <c:pt idx="439">
                        <c:v>-4120.0289616243717</c:v>
                      </c:pt>
                      <c:pt idx="440">
                        <c:v>-5039.568370993622</c:v>
                      </c:pt>
                      <c:pt idx="441">
                        <c:v>-6749.7427202286517</c:v>
                      </c:pt>
                      <c:pt idx="442">
                        <c:v>-9226.8892653965577</c:v>
                      </c:pt>
                      <c:pt idx="443">
                        <c:v>-12135.472413280435</c:v>
                      </c:pt>
                      <c:pt idx="444">
                        <c:v>-15183.352239550732</c:v>
                      </c:pt>
                      <c:pt idx="445">
                        <c:v>-18194.746185903292</c:v>
                      </c:pt>
                      <c:pt idx="446">
                        <c:v>-21067.814022429859</c:v>
                      </c:pt>
                      <c:pt idx="447">
                        <c:v>-23737.721467766416</c:v>
                      </c:pt>
                      <c:pt idx="448">
                        <c:v>-26155.709648299377</c:v>
                      </c:pt>
                      <c:pt idx="449">
                        <c:v>-28277.126759384395</c:v>
                      </c:pt>
                      <c:pt idx="450">
                        <c:v>-30053.039344689867</c:v>
                      </c:pt>
                      <c:pt idx="451">
                        <c:v>-31421.887804673403</c:v>
                      </c:pt>
                      <c:pt idx="452">
                        <c:v>-32297.652742424372</c:v>
                      </c:pt>
                      <c:pt idx="453">
                        <c:v>-32548.337276163151</c:v>
                      </c:pt>
                      <c:pt idx="454">
                        <c:v>-31949.589048797923</c:v>
                      </c:pt>
                      <c:pt idx="455">
                        <c:v>-30070.851013479169</c:v>
                      </c:pt>
                      <c:pt idx="456">
                        <c:v>-26011.273568290053</c:v>
                      </c:pt>
                      <c:pt idx="457">
                        <c:v>-19001.961270556654</c:v>
                      </c:pt>
                      <c:pt idx="458">
                        <c:v>-12021.275399304363</c:v>
                      </c:pt>
                      <c:pt idx="459">
                        <c:v>-5655.1066151118266</c:v>
                      </c:pt>
                      <c:pt idx="460">
                        <c:v>399.71319869039229</c:v>
                      </c:pt>
                      <c:pt idx="461">
                        <c:v>6444.805809086205</c:v>
                      </c:pt>
                      <c:pt idx="462">
                        <c:v>12712.419055385673</c:v>
                      </c:pt>
                      <c:pt idx="463">
                        <c:v>19262.149268625788</c:v>
                      </c:pt>
                      <c:pt idx="464">
                        <c:v>25605.410107801425</c:v>
                      </c:pt>
                      <c:pt idx="465">
                        <c:v>30470.654151180275</c:v>
                      </c:pt>
                      <c:pt idx="466">
                        <c:v>33170.366868792866</c:v>
                      </c:pt>
                      <c:pt idx="467">
                        <c:v>34038.996421143762</c:v>
                      </c:pt>
                      <c:pt idx="468">
                        <c:v>33563.351445446366</c:v>
                      </c:pt>
                      <c:pt idx="469">
                        <c:v>32103.464440118387</c:v>
                      </c:pt>
                      <c:pt idx="470">
                        <c:v>29905.329646605551</c:v>
                      </c:pt>
                      <c:pt idx="471">
                        <c:v>27143.517598533708</c:v>
                      </c:pt>
                      <c:pt idx="472">
                        <c:v>23951.79756201238</c:v>
                      </c:pt>
                      <c:pt idx="473">
                        <c:v>20443.128785996887</c:v>
                      </c:pt>
                      <c:pt idx="474">
                        <c:v>16723.533859219981</c:v>
                      </c:pt>
                      <c:pt idx="475">
                        <c:v>12902.210341313703</c:v>
                      </c:pt>
                      <c:pt idx="476">
                        <c:v>9096.7523633364126</c:v>
                      </c:pt>
                      <c:pt idx="477">
                        <c:v>5425.543769524963</c:v>
                      </c:pt>
                      <c:pt idx="478">
                        <c:v>1967.0395966264557</c:v>
                      </c:pt>
                      <c:pt idx="479">
                        <c:v>-1340.5933449039801</c:v>
                      </c:pt>
                      <c:pt idx="480">
                        <c:v>-4831.3280608927453</c:v>
                      </c:pt>
                      <c:pt idx="481">
                        <c:v>-9064.9746311940962</c:v>
                      </c:pt>
                      <c:pt idx="482">
                        <c:v>-14257.148448493483</c:v>
                      </c:pt>
                      <c:pt idx="483">
                        <c:v>-19814.546239180621</c:v>
                      </c:pt>
                      <c:pt idx="484">
                        <c:v>-25089.215439421601</c:v>
                      </c:pt>
                      <c:pt idx="485">
                        <c:v>-29802.009147493463</c:v>
                      </c:pt>
                      <c:pt idx="486">
                        <c:v>-33886.316747646473</c:v>
                      </c:pt>
                      <c:pt idx="487">
                        <c:v>-37351.109526221364</c:v>
                      </c:pt>
                      <c:pt idx="488">
                        <c:v>-40225.443547165676</c:v>
                      </c:pt>
                      <c:pt idx="489">
                        <c:v>-42539.22270128395</c:v>
                      </c:pt>
                      <c:pt idx="490">
                        <c:v>-44316.952349514162</c:v>
                      </c:pt>
                      <c:pt idx="491">
                        <c:v>-45575.890029080168</c:v>
                      </c:pt>
                      <c:pt idx="492">
                        <c:v>-46325.515317143378</c:v>
                      </c:pt>
                      <c:pt idx="493">
                        <c:v>-46567.150209418229</c:v>
                      </c:pt>
                      <c:pt idx="494">
                        <c:v>-46293.184150373425</c:v>
                      </c:pt>
                      <c:pt idx="495">
                        <c:v>-45485.471933196575</c:v>
                      </c:pt>
                      <c:pt idx="496">
                        <c:v>-44112.278152649262</c:v>
                      </c:pt>
                      <c:pt idx="497">
                        <c:v>-42122.53141181259</c:v>
                      </c:pt>
                      <c:pt idx="498">
                        <c:v>-39434.572120026955</c:v>
                      </c:pt>
                      <c:pt idx="499">
                        <c:v>-35912.150615671089</c:v>
                      </c:pt>
                      <c:pt idx="500">
                        <c:v>-31306.258492255733</c:v>
                      </c:pt>
                      <c:pt idx="501">
                        <c:v>-25093.104682189267</c:v>
                      </c:pt>
                      <c:pt idx="502">
                        <c:v>-16301.356561695336</c:v>
                      </c:pt>
                      <c:pt idx="503">
                        <c:v>-9911.1672979784962</c:v>
                      </c:pt>
                      <c:pt idx="504">
                        <c:v>-4875.4727291185809</c:v>
                      </c:pt>
                      <c:pt idx="505">
                        <c:v>-317.33141558362138</c:v>
                      </c:pt>
                      <c:pt idx="506">
                        <c:v>4209.329108004943</c:v>
                      </c:pt>
                      <c:pt idx="507">
                        <c:v>8985.8399891616427</c:v>
                      </c:pt>
                      <c:pt idx="508">
                        <c:v>14200.887626705045</c:v>
                      </c:pt>
                      <c:pt idx="509">
                        <c:v>19874.910017100898</c:v>
                      </c:pt>
                      <c:pt idx="510">
                        <c:v>25304.561896004998</c:v>
                      </c:pt>
                      <c:pt idx="511">
                        <c:v>28147.60923403877</c:v>
                      </c:pt>
                      <c:pt idx="512">
                        <c:v>28347.389835812683</c:v>
                      </c:pt>
                      <c:pt idx="513">
                        <c:v>27057.114396899247</c:v>
                      </c:pt>
                      <c:pt idx="514">
                        <c:v>24893.330091652439</c:v>
                      </c:pt>
                      <c:pt idx="515">
                        <c:v>22161.244441680436</c:v>
                      </c:pt>
                      <c:pt idx="516">
                        <c:v>19027.671626494943</c:v>
                      </c:pt>
                      <c:pt idx="517">
                        <c:v>15593.16403296815</c:v>
                      </c:pt>
                      <c:pt idx="518">
                        <c:v>11923.516608943322</c:v>
                      </c:pt>
                      <c:pt idx="519">
                        <c:v>8065.6527212133633</c:v>
                      </c:pt>
                      <c:pt idx="520">
                        <c:v>4057.6568620007561</c:v>
                      </c:pt>
                      <c:pt idx="521">
                        <c:v>-63.445976884381921</c:v>
                      </c:pt>
                      <c:pt idx="522">
                        <c:v>-4255.8031364729368</c:v>
                      </c:pt>
                      <c:pt idx="523">
                        <c:v>-8469.4687897377717</c:v>
                      </c:pt>
                      <c:pt idx="524">
                        <c:v>-12644.950924423316</c:v>
                      </c:pt>
                      <c:pt idx="525">
                        <c:v>-16710.399233440661</c:v>
                      </c:pt>
                      <c:pt idx="526">
                        <c:v>-20574.109075646906</c:v>
                      </c:pt>
                      <c:pt idx="527">
                        <c:v>-24110.443034963271</c:v>
                      </c:pt>
                      <c:pt idx="528">
                        <c:v>-27136.309265073985</c:v>
                      </c:pt>
                      <c:pt idx="529">
                        <c:v>-29370.284758786551</c:v>
                      </c:pt>
                      <c:pt idx="530">
                        <c:v>-30362.296405611989</c:v>
                      </c:pt>
                      <c:pt idx="531">
                        <c:v>-29420.728367284031</c:v>
                      </c:pt>
                      <c:pt idx="532">
                        <c:v>-25882.397313768626</c:v>
                      </c:pt>
                      <c:pt idx="533">
                        <c:v>-20390.721704096934</c:v>
                      </c:pt>
                      <c:pt idx="534">
                        <c:v>-14555.697134732312</c:v>
                      </c:pt>
                      <c:pt idx="535">
                        <c:v>-9150.0392321361942</c:v>
                      </c:pt>
                      <c:pt idx="536">
                        <c:v>-4274.7266354170542</c:v>
                      </c:pt>
                      <c:pt idx="537">
                        <c:v>253.61673942250616</c:v>
                      </c:pt>
                      <c:pt idx="538">
                        <c:v>4799.2332674229528</c:v>
                      </c:pt>
                      <c:pt idx="539">
                        <c:v>9983.1332436517423</c:v>
                      </c:pt>
                      <c:pt idx="540">
                        <c:v>16937.957974514236</c:v>
                      </c:pt>
                      <c:pt idx="541">
                        <c:v>25530.663966666885</c:v>
                      </c:pt>
                      <c:pt idx="542">
                        <c:v>31840.245008570091</c:v>
                      </c:pt>
                      <c:pt idx="543">
                        <c:v>36354.367564526648</c:v>
                      </c:pt>
                      <c:pt idx="544">
                        <c:v>39537.487216014633</c:v>
                      </c:pt>
                      <c:pt idx="545">
                        <c:v>41637.105619937931</c:v>
                      </c:pt>
                      <c:pt idx="546">
                        <c:v>42784.07954765921</c:v>
                      </c:pt>
                      <c:pt idx="547">
                        <c:v>43040.541227974951</c:v>
                      </c:pt>
                      <c:pt idx="548">
                        <c:v>42418.669524582176</c:v>
                      </c:pt>
                      <c:pt idx="549">
                        <c:v>40883.194832035217</c:v>
                      </c:pt>
                      <c:pt idx="550">
                        <c:v>38338.806198606013</c:v>
                      </c:pt>
                      <c:pt idx="551">
                        <c:v>34591.601604306372</c:v>
                      </c:pt>
                      <c:pt idx="552">
                        <c:v>29245.61025248142</c:v>
                      </c:pt>
                      <c:pt idx="553">
                        <c:v>21455.156547485596</c:v>
                      </c:pt>
                      <c:pt idx="554">
                        <c:v>12118.924846574742</c:v>
                      </c:pt>
                      <c:pt idx="555">
                        <c:v>5048.4227865261682</c:v>
                      </c:pt>
                      <c:pt idx="556">
                        <c:v>-1312.9082250985696</c:v>
                      </c:pt>
                      <c:pt idx="557">
                        <c:v>-7845.7978937471953</c:v>
                      </c:pt>
                      <c:pt idx="558">
                        <c:v>-15158.011384242121</c:v>
                      </c:pt>
                      <c:pt idx="559">
                        <c:v>-23137.128494418172</c:v>
                      </c:pt>
                      <c:pt idx="560">
                        <c:v>-30044.103682679106</c:v>
                      </c:pt>
                      <c:pt idx="561">
                        <c:v>-35127.878151399389</c:v>
                      </c:pt>
                      <c:pt idx="562">
                        <c:v>-38686.858008691757</c:v>
                      </c:pt>
                      <c:pt idx="563">
                        <c:v>-41057.192167197296</c:v>
                      </c:pt>
                      <c:pt idx="564">
                        <c:v>-42469.604996908631</c:v>
                      </c:pt>
                      <c:pt idx="565">
                        <c:v>-43075.430321006112</c:v>
                      </c:pt>
                      <c:pt idx="566">
                        <c:v>-42975.103864419514</c:v>
                      </c:pt>
                      <c:pt idx="567">
                        <c:v>-42235.924167451958</c:v>
                      </c:pt>
                      <c:pt idx="568">
                        <c:v>-40902.473729891739</c:v>
                      </c:pt>
                      <c:pt idx="569">
                        <c:v>-39002.823000897792</c:v>
                      </c:pt>
                      <c:pt idx="570">
                        <c:v>-36552.458720484166</c:v>
                      </c:pt>
                      <c:pt idx="571">
                        <c:v>-33557.364052925419</c:v>
                      </c:pt>
                      <c:pt idx="572">
                        <c:v>-30018.110814885844</c:v>
                      </c:pt>
                      <c:pt idx="573">
                        <c:v>-25939.375059356888</c:v>
                      </c:pt>
                      <c:pt idx="574">
                        <c:v>-21358.70717699092</c:v>
                      </c:pt>
                      <c:pt idx="575">
                        <c:v>-16441.233085235617</c:v>
                      </c:pt>
                      <c:pt idx="576">
                        <c:v>-11757.218511184421</c:v>
                      </c:pt>
                      <c:pt idx="577">
                        <c:v>-8433.2534685514383</c:v>
                      </c:pt>
                      <c:pt idx="578">
                        <c:v>-6543.5997840356649</c:v>
                      </c:pt>
                      <c:pt idx="579">
                        <c:v>-5284.097261904154</c:v>
                      </c:pt>
                      <c:pt idx="580">
                        <c:v>-4223.6070598979341</c:v>
                      </c:pt>
                      <c:pt idx="581">
                        <c:v>-3219.539922281429</c:v>
                      </c:pt>
                      <c:pt idx="582">
                        <c:v>-2247.9793172762534</c:v>
                      </c:pt>
                      <c:pt idx="583">
                        <c:v>-1348.4682889205085</c:v>
                      </c:pt>
                      <c:pt idx="584">
                        <c:v>-647.88058631015997</c:v>
                      </c:pt>
                      <c:pt idx="585">
                        <c:v>-542.65408346890081</c:v>
                      </c:pt>
                      <c:pt idx="586">
                        <c:v>-2515.5769476119676</c:v>
                      </c:pt>
                      <c:pt idx="587">
                        <c:v>-5879.6914674032087</c:v>
                      </c:pt>
                      <c:pt idx="588">
                        <c:v>-9073.0932572240326</c:v>
                      </c:pt>
                      <c:pt idx="589">
                        <c:v>-11918.561109686867</c:v>
                      </c:pt>
                      <c:pt idx="590">
                        <c:v>-14406.163999024398</c:v>
                      </c:pt>
                      <c:pt idx="591">
                        <c:v>-16541.849087923762</c:v>
                      </c:pt>
                      <c:pt idx="592">
                        <c:v>-18325.974568358837</c:v>
                      </c:pt>
                      <c:pt idx="593">
                        <c:v>-19749.114192332192</c:v>
                      </c:pt>
                      <c:pt idx="594">
                        <c:v>-20789.826725207691</c:v>
                      </c:pt>
                      <c:pt idx="595">
                        <c:v>-21411.133203348807</c:v>
                      </c:pt>
                      <c:pt idx="596">
                        <c:v>-21553.764448620965</c:v>
                      </c:pt>
                      <c:pt idx="597">
                        <c:v>-21122.860083449319</c:v>
                      </c:pt>
                      <c:pt idx="598">
                        <c:v>-19960.298952241334</c:v>
                      </c:pt>
                      <c:pt idx="599">
                        <c:v>-17782.50023933909</c:v>
                      </c:pt>
                      <c:pt idx="600">
                        <c:v>-14037.58861887678</c:v>
                      </c:pt>
                      <c:pt idx="601">
                        <c:v>-7800.0659413570556</c:v>
                      </c:pt>
                      <c:pt idx="602">
                        <c:v>-268.7274086892487</c:v>
                      </c:pt>
                      <c:pt idx="603">
                        <c:v>6165.5513347220176</c:v>
                      </c:pt>
                      <c:pt idx="604">
                        <c:v>11501.980251668512</c:v>
                      </c:pt>
                      <c:pt idx="605">
                        <c:v>15985.908908834221</c:v>
                      </c:pt>
                      <c:pt idx="606">
                        <c:v>19787.120168844354</c:v>
                      </c:pt>
                      <c:pt idx="607">
                        <c:v>23012.5855987912</c:v>
                      </c:pt>
                      <c:pt idx="608">
                        <c:v>25730.940714883844</c:v>
                      </c:pt>
                      <c:pt idx="609">
                        <c:v>27987.451194732323</c:v>
                      </c:pt>
                      <c:pt idx="610">
                        <c:v>29812.434212877921</c:v>
                      </c:pt>
                      <c:pt idx="611">
                        <c:v>31226.036790918493</c:v>
                      </c:pt>
                      <c:pt idx="612">
                        <c:v>32241.006794597615</c:v>
                      </c:pt>
                      <c:pt idx="613">
                        <c:v>32864.319733868768</c:v>
                      </c:pt>
                      <c:pt idx="614">
                        <c:v>33098.115860369027</c:v>
                      </c:pt>
                      <c:pt idx="615">
                        <c:v>32940.185459539345</c:v>
                      </c:pt>
                      <c:pt idx="616">
                        <c:v>32384.118126054367</c:v>
                      </c:pt>
                      <c:pt idx="617">
                        <c:v>31419.154271284944</c:v>
                      </c:pt>
                      <c:pt idx="618">
                        <c:v>30029.725845314522</c:v>
                      </c:pt>
                      <c:pt idx="619">
                        <c:v>28194.688880593341</c:v>
                      </c:pt>
                      <c:pt idx="620">
                        <c:v>25886.642197634625</c:v>
                      </c:pt>
                      <c:pt idx="621">
                        <c:v>23074.376353679861</c:v>
                      </c:pt>
                      <c:pt idx="622">
                        <c:v>19749.537120497869</c:v>
                      </c:pt>
                      <c:pt idx="623">
                        <c:v>16148.487533550511</c:v>
                      </c:pt>
                      <c:pt idx="624">
                        <c:v>14251.996214729563</c:v>
                      </c:pt>
                      <c:pt idx="625">
                        <c:v>13996.983170558151</c:v>
                      </c:pt>
                      <c:pt idx="626">
                        <c:v>14092.21313279029</c:v>
                      </c:pt>
                      <c:pt idx="627">
                        <c:v>14219.268381573247</c:v>
                      </c:pt>
                      <c:pt idx="628">
                        <c:v>14291.71128853285</c:v>
                      </c:pt>
                      <c:pt idx="629">
                        <c:v>14284.619915748923</c:v>
                      </c:pt>
                      <c:pt idx="630">
                        <c:v>14192.300551594326</c:v>
                      </c:pt>
                      <c:pt idx="631">
                        <c:v>14015.550993235272</c:v>
                      </c:pt>
                      <c:pt idx="632">
                        <c:v>13757.290936697413</c:v>
                      </c:pt>
                      <c:pt idx="633">
                        <c:v>13420.958534319041</c:v>
                      </c:pt>
                      <c:pt idx="634">
                        <c:v>13009.934209260195</c:v>
                      </c:pt>
                      <c:pt idx="635">
                        <c:v>12527.392306893029</c:v>
                      </c:pt>
                      <c:pt idx="636">
                        <c:v>11976.371441740306</c:v>
                      </c:pt>
                      <c:pt idx="637">
                        <c:v>11360.017383939015</c:v>
                      </c:pt>
                      <c:pt idx="638">
                        <c:v>10682.057290058901</c:v>
                      </c:pt>
                      <c:pt idx="639">
                        <c:v>9947.6971181934059</c:v>
                      </c:pt>
                      <c:pt idx="640">
                        <c:v>9165.400996747976</c:v>
                      </c:pt>
                      <c:pt idx="641">
                        <c:v>8350.6528070244585</c:v>
                      </c:pt>
                      <c:pt idx="642">
                        <c:v>7534.4663767698812</c:v>
                      </c:pt>
                      <c:pt idx="643">
                        <c:v>6783.7952455126551</c:v>
                      </c:pt>
                      <c:pt idx="644">
                        <c:v>6250.4342178297829</c:v>
                      </c:pt>
                      <c:pt idx="645">
                        <c:v>6258.1981230098427</c:v>
                      </c:pt>
                      <c:pt idx="646">
                        <c:v>7227.9433757698171</c:v>
                      </c:pt>
                      <c:pt idx="647">
                        <c:v>9072.5981791577578</c:v>
                      </c:pt>
                      <c:pt idx="648">
                        <c:v>11280.953922006447</c:v>
                      </c:pt>
                      <c:pt idx="649">
                        <c:v>13489.828509770528</c:v>
                      </c:pt>
                      <c:pt idx="650">
                        <c:v>15507.02926063942</c:v>
                      </c:pt>
                      <c:pt idx="651">
                        <c:v>17218.921836550697</c:v>
                      </c:pt>
                      <c:pt idx="652">
                        <c:v>18542.799450793638</c:v>
                      </c:pt>
                      <c:pt idx="653">
                        <c:v>19408.185286115153</c:v>
                      </c:pt>
                      <c:pt idx="654">
                        <c:v>19749.304883018129</c:v>
                      </c:pt>
                      <c:pt idx="655">
                        <c:v>19500.951621564825</c:v>
                      </c:pt>
                      <c:pt idx="656">
                        <c:v>18594.864252256648</c:v>
                      </c:pt>
                      <c:pt idx="657">
                        <c:v>16955.770918858499</c:v>
                      </c:pt>
                      <c:pt idx="658">
                        <c:v>14497.372831972079</c:v>
                      </c:pt>
                      <c:pt idx="659">
                        <c:v>11120.456899424606</c:v>
                      </c:pt>
                      <c:pt idx="660">
                        <c:v>6721.8793572277837</c:v>
                      </c:pt>
                      <c:pt idx="661">
                        <c:v>1247.0794584578139</c:v>
                      </c:pt>
                      <c:pt idx="662">
                        <c:v>-5108.901377873759</c:v>
                      </c:pt>
                      <c:pt idx="663">
                        <c:v>-11431.916906023584</c:v>
                      </c:pt>
                      <c:pt idx="664">
                        <c:v>-16264.805575551145</c:v>
                      </c:pt>
                      <c:pt idx="665">
                        <c:v>-19176.133867172466</c:v>
                      </c:pt>
                      <c:pt idx="666">
                        <c:v>-20567.861122528033</c:v>
                      </c:pt>
                      <c:pt idx="667">
                        <c:v>-20886.352640711761</c:v>
                      </c:pt>
                      <c:pt idx="668">
                        <c:v>-20447.335478517572</c:v>
                      </c:pt>
                      <c:pt idx="669">
                        <c:v>-19459.184449203745</c:v>
                      </c:pt>
                      <c:pt idx="670">
                        <c:v>-18062.331420791848</c:v>
                      </c:pt>
                      <c:pt idx="671">
                        <c:v>-16362.886889893927</c:v>
                      </c:pt>
                      <c:pt idx="672">
                        <c:v>-14475.947766766398</c:v>
                      </c:pt>
                      <c:pt idx="673">
                        <c:v>-12632.814317626608</c:v>
                      </c:pt>
                      <c:pt idx="674">
                        <c:v>-11524.023975189239</c:v>
                      </c:pt>
                      <c:pt idx="675">
                        <c:v>-12484.798793215481</c:v>
                      </c:pt>
                      <c:pt idx="676">
                        <c:v>-14754.544885139716</c:v>
                      </c:pt>
                      <c:pt idx="677">
                        <c:v>-17277.254450211189</c:v>
                      </c:pt>
                      <c:pt idx="678">
                        <c:v>-19716.750488522364</c:v>
                      </c:pt>
                      <c:pt idx="679">
                        <c:v>-21974.776462769682</c:v>
                      </c:pt>
                      <c:pt idx="680">
                        <c:v>-24021.178442402863</c:v>
                      </c:pt>
                      <c:pt idx="681">
                        <c:v>-25846.357855290575</c:v>
                      </c:pt>
                      <c:pt idx="682">
                        <c:v>-27446.435965476456</c:v>
                      </c:pt>
                      <c:pt idx="683">
                        <c:v>-28817.949597684226</c:v>
                      </c:pt>
                      <c:pt idx="684">
                        <c:v>-29955.586203794908</c:v>
                      </c:pt>
                      <c:pt idx="685">
                        <c:v>-30850.858583364869</c:v>
                      </c:pt>
                      <c:pt idx="686">
                        <c:v>-31490.88647702325</c:v>
                      </c:pt>
                      <c:pt idx="687">
                        <c:v>-31856.788719151118</c:v>
                      </c:pt>
                      <c:pt idx="688">
                        <c:v>-31921.132873740371</c:v>
                      </c:pt>
                      <c:pt idx="689">
                        <c:v>-31643.454429938422</c:v>
                      </c:pt>
                      <c:pt idx="690">
                        <c:v>-30961.611263942745</c:v>
                      </c:pt>
                      <c:pt idx="691">
                        <c:v>-29773.006031939763</c:v>
                      </c:pt>
                      <c:pt idx="692">
                        <c:v>-27886.487014763665</c:v>
                      </c:pt>
                      <c:pt idx="693">
                        <c:v>-24867.769319794479</c:v>
                      </c:pt>
                      <c:pt idx="694">
                        <c:v>-19520.216888684638</c:v>
                      </c:pt>
                      <c:pt idx="695">
                        <c:v>-14220.62150989439</c:v>
                      </c:pt>
                      <c:pt idx="696">
                        <c:v>-9602.0796809963867</c:v>
                      </c:pt>
                      <c:pt idx="697">
                        <c:v>-5293.9009858565096</c:v>
                      </c:pt>
                      <c:pt idx="698">
                        <c:v>-1105.1884761466333</c:v>
                      </c:pt>
                      <c:pt idx="699">
                        <c:v>3031.1452084319035</c:v>
                      </c:pt>
                      <c:pt idx="700">
                        <c:v>7099.7367901580237</c:v>
                      </c:pt>
                      <c:pt idx="701">
                        <c:v>11034.593395445625</c:v>
                      </c:pt>
                      <c:pt idx="702">
                        <c:v>14751.707124015224</c:v>
                      </c:pt>
                      <c:pt idx="703">
                        <c:v>18175.489838856225</c:v>
                      </c:pt>
                      <c:pt idx="704">
                        <c:v>21251.2118750718</c:v>
                      </c:pt>
                      <c:pt idx="705">
                        <c:v>23945.08786569197</c:v>
                      </c:pt>
                      <c:pt idx="706">
                        <c:v>26238.70936569418</c:v>
                      </c:pt>
                      <c:pt idx="707">
                        <c:v>28122.864218722149</c:v>
                      </c:pt>
                      <c:pt idx="708">
                        <c:v>29592.686353898214</c:v>
                      </c:pt>
                      <c:pt idx="709">
                        <c:v>30644.294929373231</c:v>
                      </c:pt>
                      <c:pt idx="710">
                        <c:v>31272.492537664493</c:v>
                      </c:pt>
                      <c:pt idx="711">
                        <c:v>31469.022648382252</c:v>
                      </c:pt>
                      <c:pt idx="712">
                        <c:v>31220.92938576511</c:v>
                      </c:pt>
                      <c:pt idx="713">
                        <c:v>30508.543507753366</c:v>
                      </c:pt>
                      <c:pt idx="714">
                        <c:v>29302.439384681718</c:v>
                      </c:pt>
                      <c:pt idx="715">
                        <c:v>27558.264960003871</c:v>
                      </c:pt>
                      <c:pt idx="716">
                        <c:v>25207.790805693461</c:v>
                      </c:pt>
                      <c:pt idx="717">
                        <c:v>22148.613291891572</c:v>
                      </c:pt>
                      <c:pt idx="718">
                        <c:v>18326.258590706311</c:v>
                      </c:pt>
                      <c:pt idx="719">
                        <c:v>15484.639323583622</c:v>
                      </c:pt>
                      <c:pt idx="720">
                        <c:v>13892.33016830278</c:v>
                      </c:pt>
                      <c:pt idx="721">
                        <c:v>12602.01971883363</c:v>
                      </c:pt>
                      <c:pt idx="722">
                        <c:v>11373.253427464595</c:v>
                      </c:pt>
                      <c:pt idx="723">
                        <c:v>10134.275183876063</c:v>
                      </c:pt>
                      <c:pt idx="724">
                        <c:v>8863.1848326029267</c:v>
                      </c:pt>
                      <c:pt idx="725">
                        <c:v>7555.5103390995973</c:v>
                      </c:pt>
                      <c:pt idx="726">
                        <c:v>6213.424259940537</c:v>
                      </c:pt>
                      <c:pt idx="727">
                        <c:v>4841.7084743980904</c:v>
                      </c:pt>
                      <c:pt idx="728">
                        <c:v>3446.1442149933146</c:v>
                      </c:pt>
                      <c:pt idx="729">
                        <c:v>2032.8493032470535</c:v>
                      </c:pt>
                      <c:pt idx="730">
                        <c:v>607.98299819268539</c:v>
                      </c:pt>
                      <c:pt idx="731">
                        <c:v>-822.46085924033741</c:v>
                      </c:pt>
                      <c:pt idx="732">
                        <c:v>-2252.9872199106776</c:v>
                      </c:pt>
                      <c:pt idx="733">
                        <c:v>-3679.3756408338136</c:v>
                      </c:pt>
                      <c:pt idx="734">
                        <c:v>-5100.5846513425286</c:v>
                      </c:pt>
                      <c:pt idx="735">
                        <c:v>-6523.5310797877601</c:v>
                      </c:pt>
                      <c:pt idx="736">
                        <c:v>-7975.6641601539341</c:v>
                      </c:pt>
                      <c:pt idx="737">
                        <c:v>-9540.8131805773264</c:v>
                      </c:pt>
                      <c:pt idx="738">
                        <c:v>-11474.14133754051</c:v>
                      </c:pt>
                      <c:pt idx="739">
                        <c:v>-14609.192756105596</c:v>
                      </c:pt>
                      <c:pt idx="740">
                        <c:v>-20355.339502820843</c:v>
                      </c:pt>
                      <c:pt idx="741">
                        <c:v>-25693.361077245394</c:v>
                      </c:pt>
                      <c:pt idx="742">
                        <c:v>-30188.990244976729</c:v>
                      </c:pt>
                      <c:pt idx="743">
                        <c:v>-33961.538796847075</c:v>
                      </c:pt>
                      <c:pt idx="744">
                        <c:v>-37117.487105643391</c:v>
                      </c:pt>
                      <c:pt idx="745">
                        <c:v>-39730.185517442842</c:v>
                      </c:pt>
                      <c:pt idx="746">
                        <c:v>-41850.767859038846</c:v>
                      </c:pt>
                      <c:pt idx="747">
                        <c:v>-43515.993068753611</c:v>
                      </c:pt>
                      <c:pt idx="748">
                        <c:v>-44752.768577356961</c:v>
                      </c:pt>
                      <c:pt idx="749">
                        <c:v>-45580.754808687969</c:v>
                      </c:pt>
                      <c:pt idx="750">
                        <c:v>-46013.901542335429</c:v>
                      </c:pt>
                      <c:pt idx="751">
                        <c:v>-46061.356254696679</c:v>
                      </c:pt>
                      <c:pt idx="752">
                        <c:v>-45727.965041886564</c:v>
                      </c:pt>
                      <c:pt idx="753">
                        <c:v>-45014.470204835256</c:v>
                      </c:pt>
                      <c:pt idx="754">
                        <c:v>-43917.438981021754</c:v>
                      </c:pt>
                      <c:pt idx="755">
                        <c:v>-42428.904076304178</c:v>
                      </c:pt>
                      <c:pt idx="756">
                        <c:v>-40535.636967031867</c:v>
                      </c:pt>
                      <c:pt idx="757">
                        <c:v>-38217.885297135137</c:v>
                      </c:pt>
                      <c:pt idx="758">
                        <c:v>-35447.245543243604</c:v>
                      </c:pt>
                      <c:pt idx="759">
                        <c:v>-32183.030118146839</c:v>
                      </c:pt>
                      <c:pt idx="760">
                        <c:v>-28365.857501653802</c:v>
                      </c:pt>
                      <c:pt idx="761">
                        <c:v>-23905.962131935663</c:v>
                      </c:pt>
                      <c:pt idx="762">
                        <c:v>-18662.053751195319</c:v>
                      </c:pt>
                      <c:pt idx="763">
                        <c:v>-12412.8224017791</c:v>
                      </c:pt>
                      <c:pt idx="764">
                        <c:v>-4946.579222677562</c:v>
                      </c:pt>
                      <c:pt idx="765">
                        <c:v>2516.3010476225345</c:v>
                      </c:pt>
                      <c:pt idx="766">
                        <c:v>7449.7610030963333</c:v>
                      </c:pt>
                      <c:pt idx="767">
                        <c:v>10649.834557802222</c:v>
                      </c:pt>
                      <c:pt idx="768">
                        <c:v>12782.486025607963</c:v>
                      </c:pt>
                      <c:pt idx="769">
                        <c:v>14182.216749884097</c:v>
                      </c:pt>
                      <c:pt idx="770">
                        <c:v>15029.439519234202</c:v>
                      </c:pt>
                      <c:pt idx="771">
                        <c:v>15430.622929757708</c:v>
                      </c:pt>
                      <c:pt idx="772">
                        <c:v>15452.791212962373</c:v>
                      </c:pt>
                      <c:pt idx="773">
                        <c:v>15139.69599571125</c:v>
                      </c:pt>
                      <c:pt idx="774">
                        <c:v>14520.008404214042</c:v>
                      </c:pt>
                      <c:pt idx="775">
                        <c:v>13611.647010964594</c:v>
                      </c:pt>
                      <c:pt idx="776">
                        <c:v>12423.990418377198</c:v>
                      </c:pt>
                      <c:pt idx="777">
                        <c:v>10958.714996615241</c:v>
                      </c:pt>
                      <c:pt idx="778">
                        <c:v>9209.4710413514968</c:v>
                      </c:pt>
                      <c:pt idx="779">
                        <c:v>7160.1967863632026</c:v>
                      </c:pt>
                      <c:pt idx="780">
                        <c:v>4781.3197870581062</c:v>
                      </c:pt>
                      <c:pt idx="781">
                        <c:v>2022.1513242946664</c:v>
                      </c:pt>
                      <c:pt idx="782">
                        <c:v>-1202.7094507208681</c:v>
                      </c:pt>
                      <c:pt idx="783">
                        <c:v>-5009.0643283102672</c:v>
                      </c:pt>
                      <c:pt idx="784">
                        <c:v>-8798.1515654670184</c:v>
                      </c:pt>
                      <c:pt idx="785">
                        <c:v>-10577.230636205561</c:v>
                      </c:pt>
                      <c:pt idx="786">
                        <c:v>-11597.828069115676</c:v>
                      </c:pt>
                      <c:pt idx="787">
                        <c:v>-12239.19827444367</c:v>
                      </c:pt>
                      <c:pt idx="788">
                        <c:v>-12647.103403369441</c:v>
                      </c:pt>
                      <c:pt idx="789">
                        <c:v>-12913.122530709807</c:v>
                      </c:pt>
                      <c:pt idx="790">
                        <c:v>-13170.573984668777</c:v>
                      </c:pt>
                      <c:pt idx="791">
                        <c:v>-13818.706121963321</c:v>
                      </c:pt>
                      <c:pt idx="792">
                        <c:v>-16355.288506945477</c:v>
                      </c:pt>
                      <c:pt idx="793">
                        <c:v>-20279.879481992968</c:v>
                      </c:pt>
                      <c:pt idx="794">
                        <c:v>-23912.097977388694</c:v>
                      </c:pt>
                      <c:pt idx="795">
                        <c:v>-27088.690070774013</c:v>
                      </c:pt>
                      <c:pt idx="796">
                        <c:v>-29838.102765505781</c:v>
                      </c:pt>
                      <c:pt idx="797">
                        <c:v>-32201.195013671415</c:v>
                      </c:pt>
                      <c:pt idx="798">
                        <c:v>-34210.217525627828</c:v>
                      </c:pt>
                      <c:pt idx="799">
                        <c:v>-35887.869105824953</c:v>
                      </c:pt>
                      <c:pt idx="800">
                        <c:v>-37248.788057353668</c:v>
                      </c:pt>
                      <c:pt idx="801">
                        <c:v>-38300.83370230945</c:v>
                      </c:pt>
                      <c:pt idx="802">
                        <c:v>-39045.80504432381</c:v>
                      </c:pt>
                      <c:pt idx="803">
                        <c:v>-39479.584385212358</c:v>
                      </c:pt>
                      <c:pt idx="804">
                        <c:v>-39591.672652085617</c:v>
                      </c:pt>
                      <c:pt idx="805">
                        <c:v>-39363.957980136554</c:v>
                      </c:pt>
                      <c:pt idx="806">
                        <c:v>-38768.323485844667</c:v>
                      </c:pt>
                      <c:pt idx="807">
                        <c:v>-37762.212452813597</c:v>
                      </c:pt>
                      <c:pt idx="808">
                        <c:v>-36280.105641252623</c:v>
                      </c:pt>
                      <c:pt idx="809">
                        <c:v>-34215.658276915179</c:v>
                      </c:pt>
                      <c:pt idx="810">
                        <c:v>-31378.789053864995</c:v>
                      </c:pt>
                      <c:pt idx="811">
                        <c:v>-27370.532217631076</c:v>
                      </c:pt>
                      <c:pt idx="812">
                        <c:v>-21158.799336310472</c:v>
                      </c:pt>
                      <c:pt idx="813">
                        <c:v>-13542.06015460565</c:v>
                      </c:pt>
                      <c:pt idx="814">
                        <c:v>-7178.5768040834919</c:v>
                      </c:pt>
                      <c:pt idx="815">
                        <c:v>-1284.0111550364684</c:v>
                      </c:pt>
                      <c:pt idx="816">
                        <c:v>4530.7883350036655</c:v>
                      </c:pt>
                      <c:pt idx="817">
                        <c:v>10401.308965463659</c:v>
                      </c:pt>
                      <c:pt idx="818">
                        <c:v>16269.083645351069</c:v>
                      </c:pt>
                      <c:pt idx="819">
                        <c:v>21948.688903185935</c:v>
                      </c:pt>
                      <c:pt idx="820">
                        <c:v>27238.821433152549</c:v>
                      </c:pt>
                      <c:pt idx="821">
                        <c:v>31999.113202882691</c:v>
                      </c:pt>
                      <c:pt idx="822">
                        <c:v>36158.213543833503</c:v>
                      </c:pt>
                      <c:pt idx="823">
                        <c:v>39690.526743761075</c:v>
                      </c:pt>
                      <c:pt idx="824">
                        <c:v>42593.370165546301</c:v>
                      </c:pt>
                      <c:pt idx="825">
                        <c:v>44872.438825850702</c:v>
                      </c:pt>
                      <c:pt idx="826">
                        <c:v>46533.810543491963</c:v>
                      </c:pt>
                      <c:pt idx="827">
                        <c:v>47579.63830239384</c:v>
                      </c:pt>
                      <c:pt idx="828">
                        <c:v>48005.564710489336</c:v>
                      </c:pt>
                      <c:pt idx="829">
                        <c:v>47798.691029272399</c:v>
                      </c:pt>
                      <c:pt idx="830">
                        <c:v>46935.362965441869</c:v>
                      </c:pt>
                      <c:pt idx="831">
                        <c:v>45378.187502672452</c:v>
                      </c:pt>
                      <c:pt idx="832">
                        <c:v>43071.685340577918</c:v>
                      </c:pt>
                      <c:pt idx="833">
                        <c:v>39936.023345569243</c:v>
                      </c:pt>
                      <c:pt idx="834">
                        <c:v>35859.300754304495</c:v>
                      </c:pt>
                      <c:pt idx="835">
                        <c:v>30695.958939011456</c:v>
                      </c:pt>
                      <c:pt idx="836">
                        <c:v>24319.925687769286</c:v>
                      </c:pt>
                      <c:pt idx="837">
                        <c:v>16971.223568395559</c:v>
                      </c:pt>
                      <c:pt idx="838">
                        <c:v>10071.903420226361</c:v>
                      </c:pt>
                      <c:pt idx="839">
                        <c:v>4552.0865816742134</c:v>
                      </c:pt>
                      <c:pt idx="840">
                        <c:v>-285.5312049030241</c:v>
                      </c:pt>
                      <c:pt idx="841">
                        <c:v>-5173.9220451108695</c:v>
                      </c:pt>
                      <c:pt idx="842">
                        <c:v>-10430.445552640405</c:v>
                      </c:pt>
                      <c:pt idx="843">
                        <c:v>-15923.356347072702</c:v>
                      </c:pt>
                      <c:pt idx="844">
                        <c:v>-21318.466552510221</c:v>
                      </c:pt>
                      <c:pt idx="845">
                        <c:v>-26358.783086958025</c:v>
                      </c:pt>
                      <c:pt idx="846">
                        <c:v>-30924.152038137923</c:v>
                      </c:pt>
                      <c:pt idx="847">
                        <c:v>-34981.846730667574</c:v>
                      </c:pt>
                      <c:pt idx="848">
                        <c:v>-38539.518399645669</c:v>
                      </c:pt>
                      <c:pt idx="849">
                        <c:v>-41619.537250221903</c:v>
                      </c:pt>
                      <c:pt idx="850">
                        <c:v>-44247.311399193342</c:v>
                      </c:pt>
                      <c:pt idx="851">
                        <c:v>-46446.490993605141</c:v>
                      </c:pt>
                      <c:pt idx="852">
                        <c:v>-48237.236549401001</c:v>
                      </c:pt>
                      <c:pt idx="853">
                        <c:v>-49635.767652825205</c:v>
                      </c:pt>
                      <c:pt idx="854">
                        <c:v>-50654.399594373033</c:v>
                      </c:pt>
                      <c:pt idx="855">
                        <c:v>-51301.723117712572</c:v>
                      </c:pt>
                      <c:pt idx="856">
                        <c:v>-51582.778927552667</c:v>
                      </c:pt>
                      <c:pt idx="857">
                        <c:v>-51499.162981722366</c:v>
                      </c:pt>
                      <c:pt idx="858">
                        <c:v>-51049.033168339782</c:v>
                      </c:pt>
                      <c:pt idx="859">
                        <c:v>-50227.000316765407</c:v>
                      </c:pt>
                      <c:pt idx="860">
                        <c:v>-49023.889199840232</c:v>
                      </c:pt>
                      <c:pt idx="861">
                        <c:v>-47426.35509872916</c:v>
                      </c:pt>
                      <c:pt idx="862">
                        <c:v>-45416.34525245877</c:v>
                      </c:pt>
                      <c:pt idx="863">
                        <c:v>-42970.415207582759</c:v>
                      </c:pt>
                      <c:pt idx="864">
                        <c:v>-40058.983247441363</c:v>
                      </c:pt>
                      <c:pt idx="865">
                        <c:v>-36645.840079253954</c:v>
                      </c:pt>
                      <c:pt idx="866">
                        <c:v>-32688.989595497311</c:v>
                      </c:pt>
                      <c:pt idx="867">
                        <c:v>-28146.535179921924</c:v>
                      </c:pt>
                      <c:pt idx="868">
                        <c:v>-23001.341038956791</c:v>
                      </c:pt>
                      <c:pt idx="869">
                        <c:v>-17356.683173671874</c:v>
                      </c:pt>
                      <c:pt idx="870">
                        <c:v>-11741.747873207369</c:v>
                      </c:pt>
                      <c:pt idx="871">
                        <c:v>-7246.1806584517208</c:v>
                      </c:pt>
                      <c:pt idx="872">
                        <c:v>-3943.6390531783468</c:v>
                      </c:pt>
                      <c:pt idx="873">
                        <c:v>-1119.4779058061692</c:v>
                      </c:pt>
                      <c:pt idx="874">
                        <c:v>1628.7842078000972</c:v>
                      </c:pt>
                      <c:pt idx="875">
                        <c:v>4414.0756487997496</c:v>
                      </c:pt>
                      <c:pt idx="876">
                        <c:v>7233.4805945534108</c:v>
                      </c:pt>
                      <c:pt idx="877">
                        <c:v>10052.898603089096</c:v>
                      </c:pt>
                      <c:pt idx="878">
                        <c:v>12835.403861949699</c:v>
                      </c:pt>
                      <c:pt idx="879">
                        <c:v>15548.091765137486</c:v>
                      </c:pt>
                      <c:pt idx="880">
                        <c:v>18162.245589688417</c:v>
                      </c:pt>
                      <c:pt idx="881">
                        <c:v>20651.784302639306</c:v>
                      </c:pt>
                      <c:pt idx="882">
                        <c:v>22991.388966195671</c:v>
                      </c:pt>
                      <c:pt idx="883">
                        <c:v>25154.540168792726</c:v>
                      </c:pt>
                      <c:pt idx="884">
                        <c:v>27111.292336964012</c:v>
                      </c:pt>
                      <c:pt idx="885">
                        <c:v>28825.365741641228</c:v>
                      </c:pt>
                      <c:pt idx="886">
                        <c:v>30249.77336366949</c:v>
                      </c:pt>
                      <c:pt idx="887">
                        <c:v>31319.395218856211</c:v>
                      </c:pt>
                      <c:pt idx="888">
                        <c:v>31936.892347709829</c:v>
                      </c:pt>
                      <c:pt idx="889">
                        <c:v>31942.742286892688</c:v>
                      </c:pt>
                      <c:pt idx="890">
                        <c:v>31043.041328112085</c:v>
                      </c:pt>
                      <c:pt idx="891">
                        <c:v>28619.267724961966</c:v>
                      </c:pt>
                      <c:pt idx="892">
                        <c:v>23454.891991918721</c:v>
                      </c:pt>
                      <c:pt idx="893">
                        <c:v>16505.373379464108</c:v>
                      </c:pt>
                      <c:pt idx="894">
                        <c:v>9869.1269099749734</c:v>
                      </c:pt>
                      <c:pt idx="895">
                        <c:v>3562.3311871181813</c:v>
                      </c:pt>
                      <c:pt idx="896">
                        <c:v>-2660.2297150312147</c:v>
                      </c:pt>
                      <c:pt idx="897">
                        <c:v>-8982.4263710254891</c:v>
                      </c:pt>
                      <c:pt idx="898">
                        <c:v>-15456.307500176141</c:v>
                      </c:pt>
                      <c:pt idx="899">
                        <c:v>-21909.745815047867</c:v>
                      </c:pt>
                      <c:pt idx="900">
                        <c:v>-27920.937081627708</c:v>
                      </c:pt>
                      <c:pt idx="901">
                        <c:v>-33037.70046556033</c:v>
                      </c:pt>
                      <c:pt idx="902">
                        <c:v>-37025.686280399059</c:v>
                      </c:pt>
                      <c:pt idx="903">
                        <c:v>-39865.067313935811</c:v>
                      </c:pt>
                      <c:pt idx="904">
                        <c:v>-41637.020019246134</c:v>
                      </c:pt>
                      <c:pt idx="905">
                        <c:v>-42447.21499765975</c:v>
                      </c:pt>
                      <c:pt idx="906">
                        <c:v>-42394.985846553514</c:v>
                      </c:pt>
                      <c:pt idx="907">
                        <c:v>-41565.127633830125</c:v>
                      </c:pt>
                      <c:pt idx="908">
                        <c:v>-40028.197515105894</c:v>
                      </c:pt>
                      <c:pt idx="909">
                        <c:v>-37843.602347680244</c:v>
                      </c:pt>
                      <c:pt idx="910">
                        <c:v>-35063.702083749267</c:v>
                      </c:pt>
                      <c:pt idx="911">
                        <c:v>-31738.831911241949</c:v>
                      </c:pt>
                      <c:pt idx="912">
                        <c:v>-27924.03645236585</c:v>
                      </c:pt>
                      <c:pt idx="913">
                        <c:v>-23689.050410851505</c:v>
                      </c:pt>
                      <c:pt idx="914">
                        <c:v>-19133.570606085446</c:v>
                      </c:pt>
                      <c:pt idx="915">
                        <c:v>-14408.259006093054</c:v>
                      </c:pt>
                      <c:pt idx="916">
                        <c:v>-9730.7575949424099</c:v>
                      </c:pt>
                      <c:pt idx="917">
                        <c:v>-5351.0661912091564</c:v>
                      </c:pt>
                      <c:pt idx="918">
                        <c:v>-1389.7530918196092</c:v>
                      </c:pt>
                      <c:pt idx="919">
                        <c:v>2383.273700668175</c:v>
                      </c:pt>
                      <c:pt idx="920">
                        <c:v>6487.3054476514881</c:v>
                      </c:pt>
                      <c:pt idx="921">
                        <c:v>11224.421010995611</c:v>
                      </c:pt>
                      <c:pt idx="922">
                        <c:v>16309.770515849194</c:v>
                      </c:pt>
                      <c:pt idx="923">
                        <c:v>21286.981578639621</c:v>
                      </c:pt>
                      <c:pt idx="924">
                        <c:v>25893.784713227305</c:v>
                      </c:pt>
                      <c:pt idx="925">
                        <c:v>30035.006174145543</c:v>
                      </c:pt>
                      <c:pt idx="926">
                        <c:v>33693.790497784394</c:v>
                      </c:pt>
                      <c:pt idx="927">
                        <c:v>36882.759052452275</c:v>
                      </c:pt>
                      <c:pt idx="928">
                        <c:v>39623.131884460796</c:v>
                      </c:pt>
                      <c:pt idx="929">
                        <c:v>41936.473313134433</c:v>
                      </c:pt>
                      <c:pt idx="930">
                        <c:v>43841.624149149939</c:v>
                      </c:pt>
                      <c:pt idx="931">
                        <c:v>45353.697885853595</c:v>
                      </c:pt>
                      <c:pt idx="932">
                        <c:v>46483.856743974051</c:v>
                      </c:pt>
                      <c:pt idx="933">
                        <c:v>47239.332928601994</c:v>
                      </c:pt>
                      <c:pt idx="934">
                        <c:v>47623.464616838624</c:v>
                      </c:pt>
                      <c:pt idx="935">
                        <c:v>47635.636687157341</c:v>
                      </c:pt>
                      <c:pt idx="936">
                        <c:v>47271.056581660574</c:v>
                      </c:pt>
                      <c:pt idx="937">
                        <c:v>46520.295149187725</c:v>
                      </c:pt>
                      <c:pt idx="938">
                        <c:v>45368.49109998389</c:v>
                      </c:pt>
                      <c:pt idx="939">
                        <c:v>43794.047583271444</c:v>
                      </c:pt>
                      <c:pt idx="940">
                        <c:v>41766.509675950241</c:v>
                      </c:pt>
                      <c:pt idx="941">
                        <c:v>39243.028066470462</c:v>
                      </c:pt>
                      <c:pt idx="942">
                        <c:v>36162.218096435397</c:v>
                      </c:pt>
                      <c:pt idx="943">
                        <c:v>32432.986646439127</c:v>
                      </c:pt>
                      <c:pt idx="944">
                        <c:v>27914.180898879778</c:v>
                      </c:pt>
                      <c:pt idx="945">
                        <c:v>22392.939078149808</c:v>
                      </c:pt>
                      <c:pt idx="946">
                        <c:v>15889.721038819873</c:v>
                      </c:pt>
                      <c:pt idx="947">
                        <c:v>11729.464004638859</c:v>
                      </c:pt>
                      <c:pt idx="948">
                        <c:v>8973.6508265503799</c:v>
                      </c:pt>
                      <c:pt idx="949">
                        <c:v>6650.2895531539671</c:v>
                      </c:pt>
                      <c:pt idx="950">
                        <c:v>4456.2351067571262</c:v>
                      </c:pt>
                      <c:pt idx="951">
                        <c:v>2292.5027797038761</c:v>
                      </c:pt>
                      <c:pt idx="952">
                        <c:v>129.1451479608904</c:v>
                      </c:pt>
                      <c:pt idx="953">
                        <c:v>-2038.2044344442029</c:v>
                      </c:pt>
                      <c:pt idx="954">
                        <c:v>-4203.9602978689554</c:v>
                      </c:pt>
                      <c:pt idx="955">
                        <c:v>-6358.5249738460416</c:v>
                      </c:pt>
                      <c:pt idx="956">
                        <c:v>-8490.5150294143859</c:v>
                      </c:pt>
                      <c:pt idx="957">
                        <c:v>-10587.433730484492</c:v>
                      </c:pt>
                      <c:pt idx="958">
                        <c:v>-12635.59642155827</c:v>
                      </c:pt>
                      <c:pt idx="959">
                        <c:v>-14619.556990638313</c:v>
                      </c:pt>
                      <c:pt idx="960">
                        <c:v>-16520.957004062195</c:v>
                      </c:pt>
                      <c:pt idx="961">
                        <c:v>-18316.307254706258</c:v>
                      </c:pt>
                      <c:pt idx="962">
                        <c:v>-19972.182431945621</c:v>
                      </c:pt>
                      <c:pt idx="963">
                        <c:v>-21432.682447064792</c:v>
                      </c:pt>
                      <c:pt idx="964">
                        <c:v>-22577.230936834359</c:v>
                      </c:pt>
                      <c:pt idx="965">
                        <c:v>-23019.121159797513</c:v>
                      </c:pt>
                      <c:pt idx="966">
                        <c:v>-21093.20152858891</c:v>
                      </c:pt>
                      <c:pt idx="967">
                        <c:v>-18455.863903618661</c:v>
                      </c:pt>
                      <c:pt idx="968">
                        <c:v>-15662.152080671452</c:v>
                      </c:pt>
                      <c:pt idx="969">
                        <c:v>-12724.644829007848</c:v>
                      </c:pt>
                      <c:pt idx="970">
                        <c:v>-9621.2596393194726</c:v>
                      </c:pt>
                      <c:pt idx="971">
                        <c:v>-6345.0636498675149</c:v>
                      </c:pt>
                      <c:pt idx="972">
                        <c:v>-2959.1697506592363</c:v>
                      </c:pt>
                      <c:pt idx="973">
                        <c:v>98.02438104861028</c:v>
                      </c:pt>
                      <c:pt idx="974">
                        <c:v>752.78496222865306</c:v>
                      </c:pt>
                      <c:pt idx="975">
                        <c:v>-521.24786226626588</c:v>
                      </c:pt>
                      <c:pt idx="976">
                        <c:v>-2331.2544693991354</c:v>
                      </c:pt>
                      <c:pt idx="977">
                        <c:v>-4287.5315924784736</c:v>
                      </c:pt>
                      <c:pt idx="978">
                        <c:v>-6261.3513000524745</c:v>
                      </c:pt>
                      <c:pt idx="979">
                        <c:v>-8199.2984406560281</c:v>
                      </c:pt>
                      <c:pt idx="980">
                        <c:v>-10074.764723616041</c:v>
                      </c:pt>
                      <c:pt idx="981">
                        <c:v>-11872.130101736755</c:v>
                      </c:pt>
                      <c:pt idx="982">
                        <c:v>-13580.591141161245</c:v>
                      </c:pt>
                      <c:pt idx="983">
                        <c:v>-15191.372016833182</c:v>
                      </c:pt>
                      <c:pt idx="984">
                        <c:v>-16696.271675577089</c:v>
                      </c:pt>
                      <c:pt idx="985">
                        <c:v>-18086.769456542523</c:v>
                      </c:pt>
                      <c:pt idx="986">
                        <c:v>-19353.347114326123</c:v>
                      </c:pt>
                      <c:pt idx="987">
                        <c:v>-20484.84505809972</c:v>
                      </c:pt>
                      <c:pt idx="988">
                        <c:v>-21467.722300833764</c:v>
                      </c:pt>
                      <c:pt idx="989">
                        <c:v>-22285.084895871481</c:v>
                      </c:pt>
                      <c:pt idx="990">
                        <c:v>-22915.294110571071</c:v>
                      </c:pt>
                      <c:pt idx="991">
                        <c:v>-23329.840921887964</c:v>
                      </c:pt>
                      <c:pt idx="992">
                        <c:v>-23489.910985941453</c:v>
                      </c:pt>
                      <c:pt idx="993">
                        <c:v>-23340.497634637184</c:v>
                      </c:pt>
                      <c:pt idx="994">
                        <c:v>-22799.623697219144</c:v>
                      </c:pt>
                      <c:pt idx="995">
                        <c:v>-21737.067589040278</c:v>
                      </c:pt>
                      <c:pt idx="996">
                        <c:v>-19929.012586164812</c:v>
                      </c:pt>
                      <c:pt idx="997">
                        <c:v>-16958.766479289719</c:v>
                      </c:pt>
                      <c:pt idx="998">
                        <c:v>-12082.207034505114</c:v>
                      </c:pt>
                      <c:pt idx="999">
                        <c:v>-5095.9271063903088</c:v>
                      </c:pt>
                      <c:pt idx="1000">
                        <c:v>1931.1279987765599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Feuil2!$D$300:$D$1300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377.77377337548796</c:v>
                      </c:pt>
                      <c:pt idx="3">
                        <c:v>1144.7051052779093</c:v>
                      </c:pt>
                      <c:pt idx="4">
                        <c:v>2322.6330014658838</c:v>
                      </c:pt>
                      <c:pt idx="5">
                        <c:v>3941.4502433491657</c:v>
                      </c:pt>
                      <c:pt idx="6">
                        <c:v>6033.8619526834664</c:v>
                      </c:pt>
                      <c:pt idx="7">
                        <c:v>8624.5337366605272</c:v>
                      </c:pt>
                      <c:pt idx="8">
                        <c:v>11708.989096193765</c:v>
                      </c:pt>
                      <c:pt idx="9">
                        <c:v>15217.969991393231</c:v>
                      </c:pt>
                      <c:pt idx="10">
                        <c:v>18974.997447613077</c:v>
                      </c:pt>
                      <c:pt idx="11">
                        <c:v>22684.756001278631</c:v>
                      </c:pt>
                      <c:pt idx="12">
                        <c:v>25989.977152673782</c:v>
                      </c:pt>
                      <c:pt idx="13">
                        <c:v>28549.743894570136</c:v>
                      </c:pt>
                      <c:pt idx="14">
                        <c:v>30053.3735110548</c:v>
                      </c:pt>
                      <c:pt idx="15">
                        <c:v>30155.873797799348</c:v>
                      </c:pt>
                      <c:pt idx="16">
                        <c:v>28346.515521759851</c:v>
                      </c:pt>
                      <c:pt idx="17">
                        <c:v>23809.921176851189</c:v>
                      </c:pt>
                      <c:pt idx="18">
                        <c:v>16859.683908376035</c:v>
                      </c:pt>
                      <c:pt idx="19">
                        <c:v>11269.717750088299</c:v>
                      </c:pt>
                      <c:pt idx="20">
                        <c:v>7547.5292649333533</c:v>
                      </c:pt>
                      <c:pt idx="21">
                        <c:v>5394.8319631117083</c:v>
                      </c:pt>
                      <c:pt idx="22">
                        <c:v>4566.3821957242562</c:v>
                      </c:pt>
                      <c:pt idx="23">
                        <c:v>4898.8705184296723</c:v>
                      </c:pt>
                      <c:pt idx="24">
                        <c:v>6279.172667486233</c:v>
                      </c:pt>
                      <c:pt idx="25">
                        <c:v>8611.4104647104177</c:v>
                      </c:pt>
                      <c:pt idx="26">
                        <c:v>11775.386844197785</c:v>
                      </c:pt>
                      <c:pt idx="27">
                        <c:v>15571.915517577456</c:v>
                      </c:pt>
                      <c:pt idx="28">
                        <c:v>19677.60017016661</c:v>
                      </c:pt>
                      <c:pt idx="29">
                        <c:v>23674.545440354694</c:v>
                      </c:pt>
                      <c:pt idx="30">
                        <c:v>27176.898514158027</c:v>
                      </c:pt>
                      <c:pt idx="31">
                        <c:v>29929.1378447766</c:v>
                      </c:pt>
                      <c:pt idx="32">
                        <c:v>31793.584416224578</c:v>
                      </c:pt>
                      <c:pt idx="33">
                        <c:v>32689.437602115057</c:v>
                      </c:pt>
                      <c:pt idx="34">
                        <c:v>32537.604728944847</c:v>
                      </c:pt>
                      <c:pt idx="35">
                        <c:v>31210.227765905402</c:v>
                      </c:pt>
                      <c:pt idx="36">
                        <c:v>28451.07396651306</c:v>
                      </c:pt>
                      <c:pt idx="37">
                        <c:v>23685.917211592176</c:v>
                      </c:pt>
                      <c:pt idx="38">
                        <c:v>16229.556312001183</c:v>
                      </c:pt>
                      <c:pt idx="39">
                        <c:v>11072.318337032619</c:v>
                      </c:pt>
                      <c:pt idx="40">
                        <c:v>7630.5552602559246</c:v>
                      </c:pt>
                      <c:pt idx="41">
                        <c:v>5391.4356192138321</c:v>
                      </c:pt>
                      <c:pt idx="42">
                        <c:v>4136.804925642853</c:v>
                      </c:pt>
                      <c:pt idx="43">
                        <c:v>3797.3790726726556</c:v>
                      </c:pt>
                      <c:pt idx="44">
                        <c:v>4407.9771725931096</c:v>
                      </c:pt>
                      <c:pt idx="45">
                        <c:v>6115.1033683692085</c:v>
                      </c:pt>
                      <c:pt idx="46">
                        <c:v>9229.4440277991816</c:v>
                      </c:pt>
                      <c:pt idx="47">
                        <c:v>14299.47027367088</c:v>
                      </c:pt>
                      <c:pt idx="48">
                        <c:v>21549.745001491705</c:v>
                      </c:pt>
                      <c:pt idx="49">
                        <c:v>27880.496439500155</c:v>
                      </c:pt>
                      <c:pt idx="50">
                        <c:v>31976.36370726024</c:v>
                      </c:pt>
                      <c:pt idx="51">
                        <c:v>34138.259935966133</c:v>
                      </c:pt>
                      <c:pt idx="52">
                        <c:v>34615.853637946318</c:v>
                      </c:pt>
                      <c:pt idx="53">
                        <c:v>33485.804298224961</c:v>
                      </c:pt>
                      <c:pt idx="54">
                        <c:v>30647.486493175304</c:v>
                      </c:pt>
                      <c:pt idx="55">
                        <c:v>25757.103680566594</c:v>
                      </c:pt>
                      <c:pt idx="56">
                        <c:v>18314.255079976454</c:v>
                      </c:pt>
                      <c:pt idx="57">
                        <c:v>12222.527868087229</c:v>
                      </c:pt>
                      <c:pt idx="58">
                        <c:v>8646.1810084091994</c:v>
                      </c:pt>
                      <c:pt idx="59">
                        <c:v>6587.4213350085993</c:v>
                      </c:pt>
                      <c:pt idx="60">
                        <c:v>5545.3165759722051</c:v>
                      </c:pt>
                      <c:pt idx="61">
                        <c:v>5264.2251752615639</c:v>
                      </c:pt>
                      <c:pt idx="62">
                        <c:v>5605.8741757151893</c:v>
                      </c:pt>
                      <c:pt idx="63">
                        <c:v>6496.135558040316</c:v>
                      </c:pt>
                      <c:pt idx="64">
                        <c:v>7898.621632561877</c:v>
                      </c:pt>
                      <c:pt idx="65">
                        <c:v>9798.6938051349516</c:v>
                      </c:pt>
                      <c:pt idx="66">
                        <c:v>12191.784725935198</c:v>
                      </c:pt>
                      <c:pt idx="67">
                        <c:v>15071.65437379154</c:v>
                      </c:pt>
                      <c:pt idx="68">
                        <c:v>18401.930070964383</c:v>
                      </c:pt>
                      <c:pt idx="69">
                        <c:v>21958.164268190052</c:v>
                      </c:pt>
                      <c:pt idx="70">
                        <c:v>24338.122076565662</c:v>
                      </c:pt>
                      <c:pt idx="71">
                        <c:v>23895.642122120818</c:v>
                      </c:pt>
                      <c:pt idx="72">
                        <c:v>22245.154525233695</c:v>
                      </c:pt>
                      <c:pt idx="73">
                        <c:v>20121.61467054093</c:v>
                      </c:pt>
                      <c:pt idx="74">
                        <c:v>17899.323673371357</c:v>
                      </c:pt>
                      <c:pt idx="75">
                        <c:v>15937.846808301394</c:v>
                      </c:pt>
                      <c:pt idx="76">
                        <c:v>14891.027659156736</c:v>
                      </c:pt>
                      <c:pt idx="77">
                        <c:v>16240.939145020991</c:v>
                      </c:pt>
                      <c:pt idx="78">
                        <c:v>19608.783015522473</c:v>
                      </c:pt>
                      <c:pt idx="79">
                        <c:v>22955.825153310536</c:v>
                      </c:pt>
                      <c:pt idx="80">
                        <c:v>25745.252468004917</c:v>
                      </c:pt>
                      <c:pt idx="81">
                        <c:v>27840.592253850285</c:v>
                      </c:pt>
                      <c:pt idx="82">
                        <c:v>29194.817544025438</c:v>
                      </c:pt>
                      <c:pt idx="83">
                        <c:v>29788.449725121147</c:v>
                      </c:pt>
                      <c:pt idx="84">
                        <c:v>29613.038386462355</c:v>
                      </c:pt>
                      <c:pt idx="85">
                        <c:v>28665.327291726095</c:v>
                      </c:pt>
                      <c:pt idx="86">
                        <c:v>26946.306566625775</c:v>
                      </c:pt>
                      <c:pt idx="87">
                        <c:v>24465.974539318089</c:v>
                      </c:pt>
                      <c:pt idx="88">
                        <c:v>21271.181638347534</c:v>
                      </c:pt>
                      <c:pt idx="89">
                        <c:v>17632.980634682313</c:v>
                      </c:pt>
                      <c:pt idx="90">
                        <c:v>15201.233957948738</c:v>
                      </c:pt>
                      <c:pt idx="91">
                        <c:v>15317.103901856261</c:v>
                      </c:pt>
                      <c:pt idx="92">
                        <c:v>16492.594998790992</c:v>
                      </c:pt>
                      <c:pt idx="93">
                        <c:v>18096.451989108125</c:v>
                      </c:pt>
                      <c:pt idx="94">
                        <c:v>19840.762372957732</c:v>
                      </c:pt>
                      <c:pt idx="95">
                        <c:v>21505.460799266788</c:v>
                      </c:pt>
                      <c:pt idx="96">
                        <c:v>22739.341956639277</c:v>
                      </c:pt>
                      <c:pt idx="97">
                        <c:v>22489.828714224881</c:v>
                      </c:pt>
                      <c:pt idx="98">
                        <c:v>20141.01950606289</c:v>
                      </c:pt>
                      <c:pt idx="99">
                        <c:v>17609.477688647003</c:v>
                      </c:pt>
                      <c:pt idx="100">
                        <c:v>15291.681935823452</c:v>
                      </c:pt>
                      <c:pt idx="101">
                        <c:v>13289.868918173246</c:v>
                      </c:pt>
                      <c:pt idx="102">
                        <c:v>11659.073069227317</c:v>
                      </c:pt>
                      <c:pt idx="103">
                        <c:v>10447.432399912726</c:v>
                      </c:pt>
                      <c:pt idx="104">
                        <c:v>9709.566402365168</c:v>
                      </c:pt>
                      <c:pt idx="105">
                        <c:v>9521.2795357680334</c:v>
                      </c:pt>
                      <c:pt idx="106">
                        <c:v>10004.98365759007</c:v>
                      </c:pt>
                      <c:pt idx="107">
                        <c:v>11383.079517491471</c:v>
                      </c:pt>
                      <c:pt idx="108">
                        <c:v>14113.059318066666</c:v>
                      </c:pt>
                      <c:pt idx="109">
                        <c:v>19176.215251714264</c:v>
                      </c:pt>
                      <c:pt idx="110">
                        <c:v>24930.700108411787</c:v>
                      </c:pt>
                      <c:pt idx="111">
                        <c:v>28598.873716394304</c:v>
                      </c:pt>
                      <c:pt idx="112">
                        <c:v>30441.463305572022</c:v>
                      </c:pt>
                      <c:pt idx="113">
                        <c:v>30556.644609654904</c:v>
                      </c:pt>
                      <c:pt idx="114">
                        <c:v>28752.335690341071</c:v>
                      </c:pt>
                      <c:pt idx="115">
                        <c:v>24420.7616804914</c:v>
                      </c:pt>
                      <c:pt idx="116">
                        <c:v>17074.579961364565</c:v>
                      </c:pt>
                      <c:pt idx="117">
                        <c:v>11406.360920361623</c:v>
                      </c:pt>
                      <c:pt idx="118">
                        <c:v>7663.1144085422566</c:v>
                      </c:pt>
                      <c:pt idx="119">
                        <c:v>5388.4734539280989</c:v>
                      </c:pt>
                      <c:pt idx="120">
                        <c:v>4334.4797532983712</c:v>
                      </c:pt>
                      <c:pt idx="121">
                        <c:v>4403.7341939798744</c:v>
                      </c:pt>
                      <c:pt idx="122">
                        <c:v>5614.3167418394287</c:v>
                      </c:pt>
                      <c:pt idx="123">
                        <c:v>8111.0315629369961</c:v>
                      </c:pt>
                      <c:pt idx="124">
                        <c:v>12237.507108844493</c:v>
                      </c:pt>
                      <c:pt idx="125">
                        <c:v>18660.611327745333</c:v>
                      </c:pt>
                      <c:pt idx="126">
                        <c:v>26157.944158937964</c:v>
                      </c:pt>
                      <c:pt idx="127">
                        <c:v>30560.066437976566</c:v>
                      </c:pt>
                      <c:pt idx="128">
                        <c:v>32814.673397460378</c:v>
                      </c:pt>
                      <c:pt idx="129">
                        <c:v>33393.442211119014</c:v>
                      </c:pt>
                      <c:pt idx="130">
                        <c:v>32427.461402589397</c:v>
                      </c:pt>
                      <c:pt idx="131">
                        <c:v>29804.521740952034</c:v>
                      </c:pt>
                      <c:pt idx="132">
                        <c:v>25079.182233479518</c:v>
                      </c:pt>
                      <c:pt idx="133">
                        <c:v>17454.460450317954</c:v>
                      </c:pt>
                      <c:pt idx="134">
                        <c:v>11920.341804045654</c:v>
                      </c:pt>
                      <c:pt idx="135">
                        <c:v>8552.2921166441047</c:v>
                      </c:pt>
                      <c:pt idx="136">
                        <c:v>6657.47241539278</c:v>
                      </c:pt>
                      <c:pt idx="137">
                        <c:v>5905.2303158897157</c:v>
                      </c:pt>
                      <c:pt idx="138">
                        <c:v>6138.6923309569056</c:v>
                      </c:pt>
                      <c:pt idx="139">
                        <c:v>7292.7324036164719</c:v>
                      </c:pt>
                      <c:pt idx="140">
                        <c:v>9357.575955671</c:v>
                      </c:pt>
                      <c:pt idx="141">
                        <c:v>12350.919338659134</c:v>
                      </c:pt>
                      <c:pt idx="142">
                        <c:v>16263.69273043608</c:v>
                      </c:pt>
                      <c:pt idx="143">
                        <c:v>20871.340350299368</c:v>
                      </c:pt>
                      <c:pt idx="144">
                        <c:v>25005.61946718637</c:v>
                      </c:pt>
                      <c:pt idx="145">
                        <c:v>26231.420405257715</c:v>
                      </c:pt>
                      <c:pt idx="146">
                        <c:v>24906.55253447955</c:v>
                      </c:pt>
                      <c:pt idx="147">
                        <c:v>22192.985442964819</c:v>
                      </c:pt>
                      <c:pt idx="148">
                        <c:v>18886.322819227564</c:v>
                      </c:pt>
                      <c:pt idx="149">
                        <c:v>15789.215976375919</c:v>
                      </c:pt>
                      <c:pt idx="150">
                        <c:v>14249.688485230194</c:v>
                      </c:pt>
                      <c:pt idx="151">
                        <c:v>15630.261554302102</c:v>
                      </c:pt>
                      <c:pt idx="152">
                        <c:v>18546.313090112413</c:v>
                      </c:pt>
                      <c:pt idx="153">
                        <c:v>21651.595999242421</c:v>
                      </c:pt>
                      <c:pt idx="154">
                        <c:v>24386.176759647107</c:v>
                      </c:pt>
                      <c:pt idx="155">
                        <c:v>26505.563442380513</c:v>
                      </c:pt>
                      <c:pt idx="156">
                        <c:v>27891.589290180422</c:v>
                      </c:pt>
                      <c:pt idx="157">
                        <c:v>28485.552288399642</c:v>
                      </c:pt>
                      <c:pt idx="158">
                        <c:v>28257.744205550338</c:v>
                      </c:pt>
                      <c:pt idx="159">
                        <c:v>27192.299507569674</c:v>
                      </c:pt>
                      <c:pt idx="160">
                        <c:v>25282.235217215592</c:v>
                      </c:pt>
                      <c:pt idx="161">
                        <c:v>22540.7759367328</c:v>
                      </c:pt>
                      <c:pt idx="162">
                        <c:v>19102.372581323874</c:v>
                      </c:pt>
                      <c:pt idx="163">
                        <c:v>16008.146540989768</c:v>
                      </c:pt>
                      <c:pt idx="164">
                        <c:v>15644.02518425858</c:v>
                      </c:pt>
                      <c:pt idx="165">
                        <c:v>16651.558990831061</c:v>
                      </c:pt>
                      <c:pt idx="166">
                        <c:v>18261.161750426094</c:v>
                      </c:pt>
                      <c:pt idx="167">
                        <c:v>20106.647387771565</c:v>
                      </c:pt>
                      <c:pt idx="168">
                        <c:v>21840.348727798755</c:v>
                      </c:pt>
                      <c:pt idx="169">
                        <c:v>22609.900564436597</c:v>
                      </c:pt>
                      <c:pt idx="170">
                        <c:v>20992.915014250415</c:v>
                      </c:pt>
                      <c:pt idx="171">
                        <c:v>18864.82759904577</c:v>
                      </c:pt>
                      <c:pt idx="172">
                        <c:v>16818.379452584089</c:v>
                      </c:pt>
                      <c:pt idx="173">
                        <c:v>15023.950824746735</c:v>
                      </c:pt>
                      <c:pt idx="174">
                        <c:v>13562.572714347634</c:v>
                      </c:pt>
                      <c:pt idx="175">
                        <c:v>12482.777566610852</c:v>
                      </c:pt>
                      <c:pt idx="176">
                        <c:v>11813.059893823392</c:v>
                      </c:pt>
                      <c:pt idx="177">
                        <c:v>11567.039420485933</c:v>
                      </c:pt>
                      <c:pt idx="178">
                        <c:v>11746.452278451388</c:v>
                      </c:pt>
                      <c:pt idx="179">
                        <c:v>12341.846958884209</c:v>
                      </c:pt>
                      <c:pt idx="180">
                        <c:v>13330.608335192657</c:v>
                      </c:pt>
                      <c:pt idx="181">
                        <c:v>14672.567893227535</c:v>
                      </c:pt>
                      <c:pt idx="182">
                        <c:v>16304.273295159743</c:v>
                      </c:pt>
                      <c:pt idx="183">
                        <c:v>18132.991264155313</c:v>
                      </c:pt>
                      <c:pt idx="184">
                        <c:v>20026.725146607489</c:v>
                      </c:pt>
                      <c:pt idx="185">
                        <c:v>21774.681796034387</c:v>
                      </c:pt>
                      <c:pt idx="186">
                        <c:v>22901.32375349852</c:v>
                      </c:pt>
                      <c:pt idx="187">
                        <c:v>21987.917347493247</c:v>
                      </c:pt>
                      <c:pt idx="188">
                        <c:v>19627.179705230956</c:v>
                      </c:pt>
                      <c:pt idx="189">
                        <c:v>17267.053320007635</c:v>
                      </c:pt>
                      <c:pt idx="190">
                        <c:v>15337.918788255436</c:v>
                      </c:pt>
                      <c:pt idx="191">
                        <c:v>14178.9376447705</c:v>
                      </c:pt>
                      <c:pt idx="192">
                        <c:v>14386.326928246188</c:v>
                      </c:pt>
                      <c:pt idx="193">
                        <c:v>17149.587830691791</c:v>
                      </c:pt>
                      <c:pt idx="194">
                        <c:v>21660.251615675326</c:v>
                      </c:pt>
                      <c:pt idx="195">
                        <c:v>25460.491588856876</c:v>
                      </c:pt>
                      <c:pt idx="196">
                        <c:v>28093.223057639087</c:v>
                      </c:pt>
                      <c:pt idx="197">
                        <c:v>29501.83176479856</c:v>
                      </c:pt>
                      <c:pt idx="198">
                        <c:v>29649.134384040062</c:v>
                      </c:pt>
                      <c:pt idx="199">
                        <c:v>28431.002534078954</c:v>
                      </c:pt>
                      <c:pt idx="200">
                        <c:v>25593.891513638304</c:v>
                      </c:pt>
                      <c:pt idx="201">
                        <c:v>20618.383374095501</c:v>
                      </c:pt>
                      <c:pt idx="202">
                        <c:v>14895.33522373391</c:v>
                      </c:pt>
                      <c:pt idx="203">
                        <c:v>11425.345922099228</c:v>
                      </c:pt>
                      <c:pt idx="204">
                        <c:v>9461.9545580570611</c:v>
                      </c:pt>
                      <c:pt idx="205">
                        <c:v>8670.7773663387761</c:v>
                      </c:pt>
                      <c:pt idx="206">
                        <c:v>8983.0581125634435</c:v>
                      </c:pt>
                      <c:pt idx="207">
                        <c:v>10536.382850274931</c:v>
                      </c:pt>
                      <c:pt idx="208">
                        <c:v>13779.810208611592</c:v>
                      </c:pt>
                      <c:pt idx="209">
                        <c:v>19703.148910105952</c:v>
                      </c:pt>
                      <c:pt idx="210">
                        <c:v>25756.150427533808</c:v>
                      </c:pt>
                      <c:pt idx="211">
                        <c:v>29630.956658949875</c:v>
                      </c:pt>
                      <c:pt idx="212">
                        <c:v>31683.62964215469</c:v>
                      </c:pt>
                      <c:pt idx="213">
                        <c:v>32130.177473830467</c:v>
                      </c:pt>
                      <c:pt idx="214">
                        <c:v>30997.924981368094</c:v>
                      </c:pt>
                      <c:pt idx="215">
                        <c:v>28126.878086949357</c:v>
                      </c:pt>
                      <c:pt idx="216">
                        <c:v>23086.727722919946</c:v>
                      </c:pt>
                      <c:pt idx="217">
                        <c:v>15818.149060902906</c:v>
                      </c:pt>
                      <c:pt idx="218">
                        <c:v>11323.461459431192</c:v>
                      </c:pt>
                      <c:pt idx="219">
                        <c:v>8909.891135709433</c:v>
                      </c:pt>
                      <c:pt idx="220">
                        <c:v>7998.7926302873129</c:v>
                      </c:pt>
                      <c:pt idx="221">
                        <c:v>8405.7317557699662</c:v>
                      </c:pt>
                      <c:pt idx="222">
                        <c:v>10201.880764716672</c:v>
                      </c:pt>
                      <c:pt idx="223">
                        <c:v>13769.778536863609</c:v>
                      </c:pt>
                      <c:pt idx="224">
                        <c:v>19980.69455307024</c:v>
                      </c:pt>
                      <c:pt idx="225">
                        <c:v>26080.303737260914</c:v>
                      </c:pt>
                      <c:pt idx="226">
                        <c:v>29676.294920524022</c:v>
                      </c:pt>
                      <c:pt idx="227">
                        <c:v>31290.857111030571</c:v>
                      </c:pt>
                      <c:pt idx="228">
                        <c:v>31170.683673420386</c:v>
                      </c:pt>
                      <c:pt idx="229">
                        <c:v>29319.315271871848</c:v>
                      </c:pt>
                      <c:pt idx="230">
                        <c:v>25510.113877001626</c:v>
                      </c:pt>
                      <c:pt idx="231">
                        <c:v>19350.882844835975</c:v>
                      </c:pt>
                      <c:pt idx="232">
                        <c:v>13672.550229686642</c:v>
                      </c:pt>
                      <c:pt idx="233">
                        <c:v>10631.191017634281</c:v>
                      </c:pt>
                      <c:pt idx="234">
                        <c:v>9346.4006196608534</c:v>
                      </c:pt>
                      <c:pt idx="235">
                        <c:v>9445.6200188841249</c:v>
                      </c:pt>
                      <c:pt idx="236">
                        <c:v>10878.819637302957</c:v>
                      </c:pt>
                      <c:pt idx="237">
                        <c:v>13881.826837879349</c:v>
                      </c:pt>
                      <c:pt idx="238">
                        <c:v>19110.002546174805</c:v>
                      </c:pt>
                      <c:pt idx="239">
                        <c:v>25125.169773544119</c:v>
                      </c:pt>
                      <c:pt idx="240">
                        <c:v>28763.682380144186</c:v>
                      </c:pt>
                      <c:pt idx="241">
                        <c:v>30657.14131170035</c:v>
                      </c:pt>
                      <c:pt idx="242">
                        <c:v>31147.404066749976</c:v>
                      </c:pt>
                      <c:pt idx="243">
                        <c:v>30382.922902781789</c:v>
                      </c:pt>
                      <c:pt idx="244">
                        <c:v>28422.512208080134</c:v>
                      </c:pt>
                      <c:pt idx="245">
                        <c:v>25294.921968731753</c:v>
                      </c:pt>
                      <c:pt idx="246">
                        <c:v>21100.322760291849</c:v>
                      </c:pt>
                      <c:pt idx="247">
                        <c:v>16427.381149612695</c:v>
                      </c:pt>
                      <c:pt idx="248">
                        <c:v>13532.258460961033</c:v>
                      </c:pt>
                      <c:pt idx="249">
                        <c:v>13341.938805282796</c:v>
                      </c:pt>
                      <c:pt idx="250">
                        <c:v>14712.950537408824</c:v>
                      </c:pt>
                      <c:pt idx="251">
                        <c:v>16938.23997530447</c:v>
                      </c:pt>
                      <c:pt idx="252">
                        <c:v>19596.565844578447</c:v>
                      </c:pt>
                      <c:pt idx="253">
                        <c:v>22240.349091039938</c:v>
                      </c:pt>
                      <c:pt idx="254">
                        <c:v>23797.382472349513</c:v>
                      </c:pt>
                      <c:pt idx="255">
                        <c:v>22393.831769727767</c:v>
                      </c:pt>
                      <c:pt idx="256">
                        <c:v>19908.005764593916</c:v>
                      </c:pt>
                      <c:pt idx="257">
                        <c:v>17298.568267756931</c:v>
                      </c:pt>
                      <c:pt idx="258">
                        <c:v>14871.288504360053</c:v>
                      </c:pt>
                      <c:pt idx="259">
                        <c:v>12764.314117845055</c:v>
                      </c:pt>
                      <c:pt idx="260">
                        <c:v>11055.113289268733</c:v>
                      </c:pt>
                      <c:pt idx="261">
                        <c:v>9789.5961050128444</c:v>
                      </c:pt>
                      <c:pt idx="262">
                        <c:v>8996.6588205494554</c:v>
                      </c:pt>
                      <c:pt idx="263">
                        <c:v>8699.2008895148228</c:v>
                      </c:pt>
                      <c:pt idx="264">
                        <c:v>8923.314627509244</c:v>
                      </c:pt>
                      <c:pt idx="265">
                        <c:v>9707.0530745668948</c:v>
                      </c:pt>
                      <c:pt idx="266">
                        <c:v>11111.922343818214</c:v>
                      </c:pt>
                      <c:pt idx="267">
                        <c:v>13243.961376367393</c:v>
                      </c:pt>
                      <c:pt idx="268">
                        <c:v>16296.254881210578</c:v>
                      </c:pt>
                      <c:pt idx="269">
                        <c:v>20539.381352869394</c:v>
                      </c:pt>
                      <c:pt idx="270">
                        <c:v>24137.603462703471</c:v>
                      </c:pt>
                      <c:pt idx="271">
                        <c:v>25789.858050908682</c:v>
                      </c:pt>
                      <c:pt idx="272">
                        <c:v>26221.365608852673</c:v>
                      </c:pt>
                      <c:pt idx="273">
                        <c:v>25713.901406448895</c:v>
                      </c:pt>
                      <c:pt idx="274">
                        <c:v>24342.457324694009</c:v>
                      </c:pt>
                      <c:pt idx="275">
                        <c:v>22051.810905152437</c:v>
                      </c:pt>
                      <c:pt idx="276">
                        <c:v>18783.61938703146</c:v>
                      </c:pt>
                      <c:pt idx="277">
                        <c:v>16636.561172800324</c:v>
                      </c:pt>
                      <c:pt idx="278">
                        <c:v>15595.696944302308</c:v>
                      </c:pt>
                      <c:pt idx="279">
                        <c:v>15116.139981201337</c:v>
                      </c:pt>
                      <c:pt idx="280">
                        <c:v>14988.75200802636</c:v>
                      </c:pt>
                      <c:pt idx="281">
                        <c:v>15129.393562525462</c:v>
                      </c:pt>
                      <c:pt idx="282">
                        <c:v>15513.738554343265</c:v>
                      </c:pt>
                      <c:pt idx="283">
                        <c:v>16166.294235725385</c:v>
                      </c:pt>
                      <c:pt idx="284">
                        <c:v>17187.616956417369</c:v>
                      </c:pt>
                      <c:pt idx="285">
                        <c:v>18853.447587621788</c:v>
                      </c:pt>
                      <c:pt idx="286">
                        <c:v>21401.124448698814</c:v>
                      </c:pt>
                      <c:pt idx="287">
                        <c:v>23107.802363725914</c:v>
                      </c:pt>
                      <c:pt idx="288">
                        <c:v>24120.006823540563</c:v>
                      </c:pt>
                      <c:pt idx="289">
                        <c:v>24560.159625676188</c:v>
                      </c:pt>
                      <c:pt idx="290">
                        <c:v>24463.067318991281</c:v>
                      </c:pt>
                      <c:pt idx="291">
                        <c:v>23794.845703533763</c:v>
                      </c:pt>
                      <c:pt idx="292">
                        <c:v>22428.109912207125</c:v>
                      </c:pt>
                      <c:pt idx="293">
                        <c:v>20066.620165942692</c:v>
                      </c:pt>
                      <c:pt idx="294">
                        <c:v>17507.837437533955</c:v>
                      </c:pt>
                      <c:pt idx="295">
                        <c:v>15708.83714079086</c:v>
                      </c:pt>
                      <c:pt idx="296">
                        <c:v>14351.629220504959</c:v>
                      </c:pt>
                      <c:pt idx="297">
                        <c:v>13324.363574559125</c:v>
                      </c:pt>
                      <c:pt idx="298">
                        <c:v>12648.346804361649</c:v>
                      </c:pt>
                      <c:pt idx="299">
                        <c:v>12481.194404470543</c:v>
                      </c:pt>
                      <c:pt idx="300">
                        <c:v>13233.607732445225</c:v>
                      </c:pt>
                      <c:pt idx="301">
                        <c:v>15925.069541327159</c:v>
                      </c:pt>
                      <c:pt idx="302">
                        <c:v>21320.518102742244</c:v>
                      </c:pt>
                      <c:pt idx="303">
                        <c:v>26058.564158661276</c:v>
                      </c:pt>
                      <c:pt idx="304">
                        <c:v>29524.495340775411</c:v>
                      </c:pt>
                      <c:pt idx="305">
                        <c:v>31706.852156418285</c:v>
                      </c:pt>
                      <c:pt idx="306">
                        <c:v>32557.784054970507</c:v>
                      </c:pt>
                      <c:pt idx="307">
                        <c:v>31904.149873396633</c:v>
                      </c:pt>
                      <c:pt idx="308">
                        <c:v>29368.616606013806</c:v>
                      </c:pt>
                      <c:pt idx="309">
                        <c:v>24299.899061105356</c:v>
                      </c:pt>
                      <c:pt idx="310">
                        <c:v>16987.116572887084</c:v>
                      </c:pt>
                      <c:pt idx="311">
                        <c:v>10785.312167864626</c:v>
                      </c:pt>
                      <c:pt idx="312">
                        <c:v>6179.9173047520662</c:v>
                      </c:pt>
                      <c:pt idx="313">
                        <c:v>2823.2909958966393</c:v>
                      </c:pt>
                      <c:pt idx="314">
                        <c:v>443.15778897035921</c:v>
                      </c:pt>
                      <c:pt idx="315">
                        <c:v>-1129.8456121639833</c:v>
                      </c:pt>
                      <c:pt idx="316">
                        <c:v>-1994.3585312788264</c:v>
                      </c:pt>
                      <c:pt idx="317">
                        <c:v>-2199.5257535481342</c:v>
                      </c:pt>
                      <c:pt idx="318">
                        <c:v>-1755.1977740007364</c:v>
                      </c:pt>
                      <c:pt idx="319">
                        <c:v>-633.62256179649603</c:v>
                      </c:pt>
                      <c:pt idx="320">
                        <c:v>1237.3544233745959</c:v>
                      </c:pt>
                      <c:pt idx="321">
                        <c:v>3993.0913019866393</c:v>
                      </c:pt>
                      <c:pt idx="322">
                        <c:v>7872.4707937141457</c:v>
                      </c:pt>
                      <c:pt idx="323">
                        <c:v>13290.884249364168</c:v>
                      </c:pt>
                      <c:pt idx="324">
                        <c:v>20727.725338771255</c:v>
                      </c:pt>
                      <c:pt idx="325">
                        <c:v>27554.455499334854</c:v>
                      </c:pt>
                      <c:pt idx="326">
                        <c:v>31523.437797334234</c:v>
                      </c:pt>
                      <c:pt idx="327">
                        <c:v>33463.735628498594</c:v>
                      </c:pt>
                      <c:pt idx="328">
                        <c:v>33861.834087249721</c:v>
                      </c:pt>
                      <c:pt idx="329">
                        <c:v>32926.575885301078</c:v>
                      </c:pt>
                      <c:pt idx="330">
                        <c:v>30699.489975564265</c:v>
                      </c:pt>
                      <c:pt idx="331">
                        <c:v>27074.499013331853</c:v>
                      </c:pt>
                      <c:pt idx="332">
                        <c:v>21782.905317768626</c:v>
                      </c:pt>
                      <c:pt idx="333">
                        <c:v>15278.889028947156</c:v>
                      </c:pt>
                      <c:pt idx="334">
                        <c:v>11579.566449483995</c:v>
                      </c:pt>
                      <c:pt idx="335">
                        <c:v>9460.9364056493814</c:v>
                      </c:pt>
                      <c:pt idx="336">
                        <c:v>8242.4921569160233</c:v>
                      </c:pt>
                      <c:pt idx="337">
                        <c:v>7640.9165729779206</c:v>
                      </c:pt>
                      <c:pt idx="338">
                        <c:v>7548.7788122034299</c:v>
                      </c:pt>
                      <c:pt idx="339">
                        <c:v>7973.2689475693796</c:v>
                      </c:pt>
                      <c:pt idx="340">
                        <c:v>9044.4793935385605</c:v>
                      </c:pt>
                      <c:pt idx="341">
                        <c:v>11097.582807177514</c:v>
                      </c:pt>
                      <c:pt idx="342">
                        <c:v>14919.954417700337</c:v>
                      </c:pt>
                      <c:pt idx="343">
                        <c:v>21642.743752421113</c:v>
                      </c:pt>
                      <c:pt idx="344">
                        <c:v>27325.254760738459</c:v>
                      </c:pt>
                      <c:pt idx="345">
                        <c:v>31283.635387695198</c:v>
                      </c:pt>
                      <c:pt idx="346">
                        <c:v>33738.879813007035</c:v>
                      </c:pt>
                      <c:pt idx="347">
                        <c:v>34798.548122421373</c:v>
                      </c:pt>
                      <c:pt idx="348">
                        <c:v>34436.599855558292</c:v>
                      </c:pt>
                      <c:pt idx="349">
                        <c:v>32485.444229110537</c:v>
                      </c:pt>
                      <c:pt idx="350">
                        <c:v>28588.999197964251</c:v>
                      </c:pt>
                      <c:pt idx="351">
                        <c:v>22272.282082161408</c:v>
                      </c:pt>
                      <c:pt idx="352">
                        <c:v>14715.664483393854</c:v>
                      </c:pt>
                      <c:pt idx="353">
                        <c:v>8893.3433591467037</c:v>
                      </c:pt>
                      <c:pt idx="354">
                        <c:v>4744.6516624329106</c:v>
                      </c:pt>
                      <c:pt idx="355">
                        <c:v>1802.7645623807357</c:v>
                      </c:pt>
                      <c:pt idx="356">
                        <c:v>-240.17428794368413</c:v>
                      </c:pt>
                      <c:pt idx="357">
                        <c:v>-1567.3515428168532</c:v>
                      </c:pt>
                      <c:pt idx="358">
                        <c:v>-2283.5790515228846</c:v>
                      </c:pt>
                      <c:pt idx="359">
                        <c:v>-2441.5276538748094</c:v>
                      </c:pt>
                      <c:pt idx="360">
                        <c:v>-2054.2072789487497</c:v>
                      </c:pt>
                      <c:pt idx="361">
                        <c:v>-1097.7635956393642</c:v>
                      </c:pt>
                      <c:pt idx="362">
                        <c:v>494.93638383180178</c:v>
                      </c:pt>
                      <c:pt idx="363">
                        <c:v>2853.6573649185002</c:v>
                      </c:pt>
                      <c:pt idx="364">
                        <c:v>6214.9074048655038</c:v>
                      </c:pt>
                      <c:pt idx="365">
                        <c:v>11019.800415895435</c:v>
                      </c:pt>
                      <c:pt idx="366">
                        <c:v>18036.790968755453</c:v>
                      </c:pt>
                      <c:pt idx="367">
                        <c:v>26231.378838800731</c:v>
                      </c:pt>
                      <c:pt idx="368">
                        <c:v>31743.488934573543</c:v>
                      </c:pt>
                      <c:pt idx="369">
                        <c:v>35206.243908088763</c:v>
                      </c:pt>
                      <c:pt idx="370">
                        <c:v>37127.364812828077</c:v>
                      </c:pt>
                      <c:pt idx="371">
                        <c:v>37746.660315605455</c:v>
                      </c:pt>
                      <c:pt idx="372">
                        <c:v>37151.337148508661</c:v>
                      </c:pt>
                      <c:pt idx="373">
                        <c:v>35313.449024573827</c:v>
                      </c:pt>
                      <c:pt idx="374">
                        <c:v>32067.870380421049</c:v>
                      </c:pt>
                      <c:pt idx="375">
                        <c:v>26999.891533576018</c:v>
                      </c:pt>
                      <c:pt idx="376">
                        <c:v>19228.105023599703</c:v>
                      </c:pt>
                      <c:pt idx="377">
                        <c:v>12118.955509751797</c:v>
                      </c:pt>
                      <c:pt idx="378">
                        <c:v>7397.1165433483939</c:v>
                      </c:pt>
                      <c:pt idx="379">
                        <c:v>4042.7291861713475</c:v>
                      </c:pt>
                      <c:pt idx="380">
                        <c:v>1567.2293935010653</c:v>
                      </c:pt>
                      <c:pt idx="381">
                        <c:v>-291.31313759766385</c:v>
                      </c:pt>
                      <c:pt idx="382">
                        <c:v>-1693.2229426587062</c:v>
                      </c:pt>
                      <c:pt idx="383">
                        <c:v>-2742.8723330125608</c:v>
                      </c:pt>
                      <c:pt idx="384">
                        <c:v>-3507.2399313819233</c:v>
                      </c:pt>
                      <c:pt idx="385">
                        <c:v>-4024.4631308284652</c:v>
                      </c:pt>
                      <c:pt idx="386">
                        <c:v>-4308.6695393801638</c:v>
                      </c:pt>
                      <c:pt idx="387">
                        <c:v>-4353.4796313894358</c:v>
                      </c:pt>
                      <c:pt idx="388">
                        <c:v>-4134.8300785556266</c:v>
                      </c:pt>
                      <c:pt idx="389">
                        <c:v>-3612.8850606132055</c:v>
                      </c:pt>
                      <c:pt idx="390">
                        <c:v>-2732.345649125647</c:v>
                      </c:pt>
                      <c:pt idx="391">
                        <c:v>-1420.1058840924072</c:v>
                      </c:pt>
                      <c:pt idx="392">
                        <c:v>421.55711702002964</c:v>
                      </c:pt>
                      <c:pt idx="393">
                        <c:v>2930.2744784205406</c:v>
                      </c:pt>
                      <c:pt idx="394">
                        <c:v>6317.9785879341325</c:v>
                      </c:pt>
                      <c:pt idx="395">
                        <c:v>10955.533484519332</c:v>
                      </c:pt>
                      <c:pt idx="396">
                        <c:v>17574.607493802218</c:v>
                      </c:pt>
                      <c:pt idx="397">
                        <c:v>26063.358643503725</c:v>
                      </c:pt>
                      <c:pt idx="398">
                        <c:v>31524.154271015163</c:v>
                      </c:pt>
                      <c:pt idx="399">
                        <c:v>35108.73850705495</c:v>
                      </c:pt>
                      <c:pt idx="400">
                        <c:v>37376.219696109518</c:v>
                      </c:pt>
                      <c:pt idx="401">
                        <c:v>38568.013253299338</c:v>
                      </c:pt>
                      <c:pt idx="402">
                        <c:v>38783.751851824469</c:v>
                      </c:pt>
                      <c:pt idx="403">
                        <c:v>38036.101816713606</c:v>
                      </c:pt>
                      <c:pt idx="404">
                        <c:v>36257.254950021495</c:v>
                      </c:pt>
                      <c:pt idx="405">
                        <c:v>33265.147852061957</c:v>
                      </c:pt>
                      <c:pt idx="406">
                        <c:v>28647.194678957545</c:v>
                      </c:pt>
                      <c:pt idx="407">
                        <c:v>21439.988760183922</c:v>
                      </c:pt>
                      <c:pt idx="408">
                        <c:v>12745.113471935631</c:v>
                      </c:pt>
                      <c:pt idx="409">
                        <c:v>6386.0004305301063</c:v>
                      </c:pt>
                      <c:pt idx="410">
                        <c:v>1349.9306028321839</c:v>
                      </c:pt>
                      <c:pt idx="411">
                        <c:v>-2882.6972775116551</c:v>
                      </c:pt>
                      <c:pt idx="412">
                        <c:v>-6601.4841926844792</c:v>
                      </c:pt>
                      <c:pt idx="413">
                        <c:v>-10009.207590423248</c:v>
                      </c:pt>
                      <c:pt idx="414">
                        <c:v>-13282.188858653979</c:v>
                      </c:pt>
                      <c:pt idx="415">
                        <c:v>-16609.433391386523</c:v>
                      </c:pt>
                      <c:pt idx="416">
                        <c:v>-20240.284944123989</c:v>
                      </c:pt>
                      <c:pt idx="417">
                        <c:v>-24582.45391255854</c:v>
                      </c:pt>
                      <c:pt idx="418">
                        <c:v>-30467.914142325404</c:v>
                      </c:pt>
                      <c:pt idx="419">
                        <c:v>-39057.70536515463</c:v>
                      </c:pt>
                      <c:pt idx="420">
                        <c:v>-45287.439809312018</c:v>
                      </c:pt>
                      <c:pt idx="421">
                        <c:v>-49708.065242330129</c:v>
                      </c:pt>
                      <c:pt idx="422">
                        <c:v>-52846.204542931235</c:v>
                      </c:pt>
                      <c:pt idx="423">
                        <c:v>-54957.815575406712</c:v>
                      </c:pt>
                      <c:pt idx="424">
                        <c:v>-56170.5089751466</c:v>
                      </c:pt>
                      <c:pt idx="425">
                        <c:v>-56540.57068891199</c:v>
                      </c:pt>
                      <c:pt idx="426">
                        <c:v>-56073.349467221298</c:v>
                      </c:pt>
                      <c:pt idx="427">
                        <c:v>-54725.059949403789</c:v>
                      </c:pt>
                      <c:pt idx="428">
                        <c:v>-52387.363204151487</c:v>
                      </c:pt>
                      <c:pt idx="429">
                        <c:v>-48840.535100280198</c:v>
                      </c:pt>
                      <c:pt idx="430">
                        <c:v>-43621.417907420153</c:v>
                      </c:pt>
                      <c:pt idx="431">
                        <c:v>-35680.434447445856</c:v>
                      </c:pt>
                      <c:pt idx="432">
                        <c:v>-26831.59213106551</c:v>
                      </c:pt>
                      <c:pt idx="433">
                        <c:v>-20204.336330202212</c:v>
                      </c:pt>
                      <c:pt idx="434">
                        <c:v>-14598.17475717546</c:v>
                      </c:pt>
                      <c:pt idx="435">
                        <c:v>-9402.1936425315726</c:v>
                      </c:pt>
                      <c:pt idx="436">
                        <c:v>-4253.1765396403853</c:v>
                      </c:pt>
                      <c:pt idx="437">
                        <c:v>1112.6320372371711</c:v>
                      </c:pt>
                      <c:pt idx="438">
                        <c:v>6903.3990946616332</c:v>
                      </c:pt>
                      <c:pt idx="439">
                        <c:v>13242.083872228894</c:v>
                      </c:pt>
                      <c:pt idx="440">
                        <c:v>20012.789091776245</c:v>
                      </c:pt>
                      <c:pt idx="441">
                        <c:v>26639.9725755492</c:v>
                      </c:pt>
                      <c:pt idx="442">
                        <c:v>32387.603014332206</c:v>
                      </c:pt>
                      <c:pt idx="443">
                        <c:v>36951.796407968301</c:v>
                      </c:pt>
                      <c:pt idx="444">
                        <c:v>40369.287048009013</c:v>
                      </c:pt>
                      <c:pt idx="445">
                        <c:v>42766.106905508554</c:v>
                      </c:pt>
                      <c:pt idx="446">
                        <c:v>44260.015150896594</c:v>
                      </c:pt>
                      <c:pt idx="447">
                        <c:v>44940.500717668001</c:v>
                      </c:pt>
                      <c:pt idx="448">
                        <c:v>44869.48674783043</c:v>
                      </c:pt>
                      <c:pt idx="449">
                        <c:v>44085.191053060407</c:v>
                      </c:pt>
                      <c:pt idx="450">
                        <c:v>42604.858924153908</c:v>
                      </c:pt>
                      <c:pt idx="451">
                        <c:v>40425.416644290417</c:v>
                      </c:pt>
                      <c:pt idx="452">
                        <c:v>37521.676948530912</c:v>
                      </c:pt>
                      <c:pt idx="453">
                        <c:v>33841.833226011651</c:v>
                      </c:pt>
                      <c:pt idx="454">
                        <c:v>29302.045789590127</c:v>
                      </c:pt>
                      <c:pt idx="455">
                        <c:v>23801.172483944298</c:v>
                      </c:pt>
                      <c:pt idx="456">
                        <c:v>17446.362678011661</c:v>
                      </c:pt>
                      <c:pt idx="457">
                        <c:v>12124.41075394114</c:v>
                      </c:pt>
                      <c:pt idx="458">
                        <c:v>9356.7081486093248</c:v>
                      </c:pt>
                      <c:pt idx="459">
                        <c:v>7815.6910489643269</c:v>
                      </c:pt>
                      <c:pt idx="460">
                        <c:v>6904.0495062606478</c:v>
                      </c:pt>
                      <c:pt idx="461">
                        <c:v>6494.4184258547784</c:v>
                      </c:pt>
                      <c:pt idx="462">
                        <c:v>6760.0125439399135</c:v>
                      </c:pt>
                      <c:pt idx="463">
                        <c:v>8178.2574781797339</c:v>
                      </c:pt>
                      <c:pt idx="464">
                        <c:v>11412.20921427527</c:v>
                      </c:pt>
                      <c:pt idx="465">
                        <c:v>16416.467202448155</c:v>
                      </c:pt>
                      <c:pt idx="466">
                        <c:v>22003.919212760826</c:v>
                      </c:pt>
                      <c:pt idx="467">
                        <c:v>27261.282025088145</c:v>
                      </c:pt>
                      <c:pt idx="468">
                        <c:v>31832.070663911323</c:v>
                      </c:pt>
                      <c:pt idx="469">
                        <c:v>35603.613893323884</c:v>
                      </c:pt>
                      <c:pt idx="470">
                        <c:v>38541.499354782987</c:v>
                      </c:pt>
                      <c:pt idx="471">
                        <c:v>40630.468938784295</c:v>
                      </c:pt>
                      <c:pt idx="472">
                        <c:v>41854.272383277021</c:v>
                      </c:pt>
                      <c:pt idx="473">
                        <c:v>42189.085334514049</c:v>
                      </c:pt>
                      <c:pt idx="474">
                        <c:v>41602.673411504889</c:v>
                      </c:pt>
                      <c:pt idx="475">
                        <c:v>40058.084747286593</c:v>
                      </c:pt>
                      <c:pt idx="476">
                        <c:v>37524.106147260041</c:v>
                      </c:pt>
                      <c:pt idx="477">
                        <c:v>33996.850933568669</c:v>
                      </c:pt>
                      <c:pt idx="478">
                        <c:v>29534.337938367673</c:v>
                      </c:pt>
                      <c:pt idx="479">
                        <c:v>24292.74859532464</c:v>
                      </c:pt>
                      <c:pt idx="480">
                        <c:v>18555.647435045437</c:v>
                      </c:pt>
                      <c:pt idx="481">
                        <c:v>12835.601141199726</c:v>
                      </c:pt>
                      <c:pt idx="482">
                        <c:v>7963.5531541787768</c:v>
                      </c:pt>
                      <c:pt idx="483">
                        <c:v>4466.2057245771093</c:v>
                      </c:pt>
                      <c:pt idx="484">
                        <c:v>2167.5770475198251</c:v>
                      </c:pt>
                      <c:pt idx="485">
                        <c:v>712.04920004130065</c:v>
                      </c:pt>
                      <c:pt idx="486">
                        <c:v>-163.15850912869053</c:v>
                      </c:pt>
                      <c:pt idx="487">
                        <c:v>-621.58746237377773</c:v>
                      </c:pt>
                      <c:pt idx="488">
                        <c:v>-763.58738201822734</c:v>
                      </c:pt>
                      <c:pt idx="489">
                        <c:v>-652.33548733772363</c:v>
                      </c:pt>
                      <c:pt idx="490">
                        <c:v>-328.73706607658045</c:v>
                      </c:pt>
                      <c:pt idx="491">
                        <c:v>180.36990098256166</c:v>
                      </c:pt>
                      <c:pt idx="492">
                        <c:v>857.71070428357814</c:v>
                      </c:pt>
                      <c:pt idx="493">
                        <c:v>1693.1777082368076</c:v>
                      </c:pt>
                      <c:pt idx="494">
                        <c:v>2682.7757067924781</c:v>
                      </c:pt>
                      <c:pt idx="495">
                        <c:v>3828.6337697008812</c:v>
                      </c:pt>
                      <c:pt idx="496">
                        <c:v>5140.1997953030032</c:v>
                      </c:pt>
                      <c:pt idx="497">
                        <c:v>6637.2654214263875</c:v>
                      </c:pt>
                      <c:pt idx="498">
                        <c:v>8356.608221699069</c:v>
                      </c:pt>
                      <c:pt idx="499">
                        <c:v>10367.234077747991</c:v>
                      </c:pt>
                      <c:pt idx="500">
                        <c:v>12810.258593406623</c:v>
                      </c:pt>
                      <c:pt idx="501">
                        <c:v>16026.411199082093</c:v>
                      </c:pt>
                      <c:pt idx="502">
                        <c:v>20937.867468089549</c:v>
                      </c:pt>
                      <c:pt idx="503">
                        <c:v>25016.232965240302</c:v>
                      </c:pt>
                      <c:pt idx="504">
                        <c:v>28009.528074216036</c:v>
                      </c:pt>
                      <c:pt idx="505">
                        <c:v>30175.434514553079</c:v>
                      </c:pt>
                      <c:pt idx="506">
                        <c:v>31560.8476850769</c:v>
                      </c:pt>
                      <c:pt idx="507">
                        <c:v>32060.049208715653</c:v>
                      </c:pt>
                      <c:pt idx="508">
                        <c:v>31392.498862012471</c:v>
                      </c:pt>
                      <c:pt idx="509">
                        <c:v>28990.93082577594</c:v>
                      </c:pt>
                      <c:pt idx="510">
                        <c:v>23973.923953803638</c:v>
                      </c:pt>
                      <c:pt idx="511">
                        <c:v>17100.412379083478</c:v>
                      </c:pt>
                      <c:pt idx="512">
                        <c:v>10996.246776041637</c:v>
                      </c:pt>
                      <c:pt idx="513">
                        <c:v>6152.0580414262558</c:v>
                      </c:pt>
                      <c:pt idx="514">
                        <c:v>2424.0689809253208</c:v>
                      </c:pt>
                      <c:pt idx="515">
                        <c:v>-370.52268279640589</c:v>
                      </c:pt>
                      <c:pt idx="516">
                        <c:v>-2385.7469127041923</c:v>
                      </c:pt>
                      <c:pt idx="517">
                        <c:v>-3753.1610554429012</c:v>
                      </c:pt>
                      <c:pt idx="518">
                        <c:v>-4592.5733956469476</c:v>
                      </c:pt>
                      <c:pt idx="519">
                        <c:v>-5016.9110261255619</c:v>
                      </c:pt>
                      <c:pt idx="520">
                        <c:v>-5128.896702762273</c:v>
                      </c:pt>
                      <c:pt idx="521">
                        <c:v>-5009.3915148742935</c:v>
                      </c:pt>
                      <c:pt idx="522">
                        <c:v>-4700.604727711654</c:v>
                      </c:pt>
                      <c:pt idx="523">
                        <c:v>-4191.3176260910104</c:v>
                      </c:pt>
                      <c:pt idx="524">
                        <c:v>-3412.3329755322616</c:v>
                      </c:pt>
                      <c:pt idx="525">
                        <c:v>-2245.7682395296802</c:v>
                      </c:pt>
                      <c:pt idx="526">
                        <c:v>-543.81141784542024</c:v>
                      </c:pt>
                      <c:pt idx="527">
                        <c:v>1851.8537759359708</c:v>
                      </c:pt>
                      <c:pt idx="528">
                        <c:v>5094.739841870557</c:v>
                      </c:pt>
                      <c:pt idx="529">
                        <c:v>9314.8298967504434</c:v>
                      </c:pt>
                      <c:pt idx="530">
                        <c:v>14561.492174426754</c:v>
                      </c:pt>
                      <c:pt idx="531">
                        <c:v>20597.219617314604</c:v>
                      </c:pt>
                      <c:pt idx="532">
                        <c:v>26373.050078303811</c:v>
                      </c:pt>
                      <c:pt idx="533">
                        <c:v>30156.293435551714</c:v>
                      </c:pt>
                      <c:pt idx="534">
                        <c:v>31559.848937025952</c:v>
                      </c:pt>
                      <c:pt idx="535">
                        <c:v>31199.086335716711</c:v>
                      </c:pt>
                      <c:pt idx="536">
                        <c:v>29635.554823450322</c:v>
                      </c:pt>
                      <c:pt idx="537">
                        <c:v>27216.80560901104</c:v>
                      </c:pt>
                      <c:pt idx="538">
                        <c:v>24130.854829009542</c:v>
                      </c:pt>
                      <c:pt idx="539">
                        <c:v>20481.656142262284</c:v>
                      </c:pt>
                      <c:pt idx="540">
                        <c:v>16590.989177833839</c:v>
                      </c:pt>
                      <c:pt idx="541">
                        <c:v>14820.416632990209</c:v>
                      </c:pt>
                      <c:pt idx="542">
                        <c:v>14853.293044621938</c:v>
                      </c:pt>
                      <c:pt idx="543">
                        <c:v>15494.401140708249</c:v>
                      </c:pt>
                      <c:pt idx="544">
                        <c:v>16379.528631492998</c:v>
                      </c:pt>
                      <c:pt idx="545">
                        <c:v>17368.071983356727</c:v>
                      </c:pt>
                      <c:pt idx="546">
                        <c:v>18390.437264186414</c:v>
                      </c:pt>
                      <c:pt idx="547">
                        <c:v>19403.707292596588</c:v>
                      </c:pt>
                      <c:pt idx="548">
                        <c:v>20374.63542647002</c:v>
                      </c:pt>
                      <c:pt idx="549">
                        <c:v>21270.226547804141</c:v>
                      </c:pt>
                      <c:pt idx="550">
                        <c:v>22048.350302100043</c:v>
                      </c:pt>
                      <c:pt idx="551">
                        <c:v>22640.102912771694</c:v>
                      </c:pt>
                      <c:pt idx="552">
                        <c:v>22897.518311390213</c:v>
                      </c:pt>
                      <c:pt idx="553">
                        <c:v>22366.231468285721</c:v>
                      </c:pt>
                      <c:pt idx="554">
                        <c:v>19679.251016139759</c:v>
                      </c:pt>
                      <c:pt idx="555">
                        <c:v>16980.924465717195</c:v>
                      </c:pt>
                      <c:pt idx="556">
                        <c:v>14477.140872347769</c:v>
                      </c:pt>
                      <c:pt idx="557">
                        <c:v>12262.295281557168</c:v>
                      </c:pt>
                      <c:pt idx="558">
                        <c:v>10783.960679827573</c:v>
                      </c:pt>
                      <c:pt idx="559">
                        <c:v>11123.962080487425</c:v>
                      </c:pt>
                      <c:pt idx="560">
                        <c:v>13594.890167303607</c:v>
                      </c:pt>
                      <c:pt idx="561">
                        <c:v>16973.786314679102</c:v>
                      </c:pt>
                      <c:pt idx="562">
                        <c:v>20521.791914811478</c:v>
                      </c:pt>
                      <c:pt idx="563">
                        <c:v>23952.682506221328</c:v>
                      </c:pt>
                      <c:pt idx="564">
                        <c:v>27149.279564043652</c:v>
                      </c:pt>
                      <c:pt idx="565">
                        <c:v>30054.242969403109</c:v>
                      </c:pt>
                      <c:pt idx="566">
                        <c:v>32631.216608688006</c:v>
                      </c:pt>
                      <c:pt idx="567">
                        <c:v>34849.240169834207</c:v>
                      </c:pt>
                      <c:pt idx="568">
                        <c:v>36675.010386641523</c:v>
                      </c:pt>
                      <c:pt idx="569">
                        <c:v>38067.497331675746</c:v>
                      </c:pt>
                      <c:pt idx="570">
                        <c:v>38972.387041692775</c:v>
                      </c:pt>
                      <c:pt idx="571">
                        <c:v>39314.423322827643</c:v>
                      </c:pt>
                      <c:pt idx="572">
                        <c:v>38985.113330275162</c:v>
                      </c:pt>
                      <c:pt idx="573">
                        <c:v>37821.537927055506</c:v>
                      </c:pt>
                      <c:pt idx="574">
                        <c:v>35570.106805838128</c:v>
                      </c:pt>
                      <c:pt idx="575">
                        <c:v>31841.252175950809</c:v>
                      </c:pt>
                      <c:pt idx="576">
                        <c:v>26201.767477060319</c:v>
                      </c:pt>
                      <c:pt idx="577">
                        <c:v>19053.457146833989</c:v>
                      </c:pt>
                      <c:pt idx="578">
                        <c:v>11933.991646911947</c:v>
                      </c:pt>
                      <c:pt idx="579">
                        <c:v>5449.5487410577298</c:v>
                      </c:pt>
                      <c:pt idx="580">
                        <c:v>-453.5859285205845</c:v>
                      </c:pt>
                      <c:pt idx="581">
                        <c:v>-5976.2819456630668</c:v>
                      </c:pt>
                      <c:pt idx="582">
                        <c:v>-11362.797557948241</c:v>
                      </c:pt>
                      <c:pt idx="583">
                        <c:v>-16913.390042037696</c:v>
                      </c:pt>
                      <c:pt idx="584">
                        <c:v>-23054.710233828508</c:v>
                      </c:pt>
                      <c:pt idx="585">
                        <c:v>-30494.281547006609</c:v>
                      </c:pt>
                      <c:pt idx="586">
                        <c:v>-39765.616714911805</c:v>
                      </c:pt>
                      <c:pt idx="587">
                        <c:v>-46150.358829907527</c:v>
                      </c:pt>
                      <c:pt idx="588">
                        <c:v>-50345.172470411169</c:v>
                      </c:pt>
                      <c:pt idx="589">
                        <c:v>-53133.544608366101</c:v>
                      </c:pt>
                      <c:pt idx="590">
                        <c:v>-54889.992668939543</c:v>
                      </c:pt>
                      <c:pt idx="591">
                        <c:v>-55811.503473522644</c:v>
                      </c:pt>
                      <c:pt idx="592">
                        <c:v>-56010.107761566287</c:v>
                      </c:pt>
                      <c:pt idx="593">
                        <c:v>-55550.61531758411</c:v>
                      </c:pt>
                      <c:pt idx="594">
                        <c:v>-54467.493473355164</c:v>
                      </c:pt>
                      <c:pt idx="595">
                        <c:v>-52772.601763002538</c:v>
                      </c:pt>
                      <c:pt idx="596">
                        <c:v>-50458.216617710685</c:v>
                      </c:pt>
                      <c:pt idx="597">
                        <c:v>-47497.384589055022</c:v>
                      </c:pt>
                      <c:pt idx="598">
                        <c:v>-43844.037503126303</c:v>
                      </c:pt>
                      <c:pt idx="599">
                        <c:v>-39443.320196594912</c:v>
                      </c:pt>
                      <c:pt idx="600">
                        <c:v>-34316.860923098313</c:v>
                      </c:pt>
                      <c:pt idx="601">
                        <c:v>-29143.487946111058</c:v>
                      </c:pt>
                      <c:pt idx="602">
                        <c:v>-26341.872306742549</c:v>
                      </c:pt>
                      <c:pt idx="603">
                        <c:v>-25241.442095930604</c:v>
                      </c:pt>
                      <c:pt idx="604">
                        <c:v>-24762.826371873376</c:v>
                      </c:pt>
                      <c:pt idx="605">
                        <c:v>-24467.397427975244</c:v>
                      </c:pt>
                      <c:pt idx="606">
                        <c:v>-24168.664430365268</c:v>
                      </c:pt>
                      <c:pt idx="607">
                        <c:v>-23778.561278084613</c:v>
                      </c:pt>
                      <c:pt idx="608">
                        <c:v>-23252.319922382088</c:v>
                      </c:pt>
                      <c:pt idx="609">
                        <c:v>-22565.904771370984</c:v>
                      </c:pt>
                      <c:pt idx="610">
                        <c:v>-21705.544820914398</c:v>
                      </c:pt>
                      <c:pt idx="611">
                        <c:v>-20662.342514366734</c:v>
                      </c:pt>
                      <c:pt idx="612">
                        <c:v>-19429.191331520597</c:v>
                      </c:pt>
                      <c:pt idx="613">
                        <c:v>-17998.751018512565</c:v>
                      </c:pt>
                      <c:pt idx="614">
                        <c:v>-16361.816150585706</c:v>
                      </c:pt>
                      <c:pt idx="615">
                        <c:v>-14505.624858287341</c:v>
                      </c:pt>
                      <c:pt idx="616">
                        <c:v>-12411.661321259013</c:v>
                      </c:pt>
                      <c:pt idx="617">
                        <c:v>-10052.322137321435</c:v>
                      </c:pt>
                      <c:pt idx="618">
                        <c:v>-7385.3236565197294</c:v>
                      </c:pt>
                      <c:pt idx="619">
                        <c:v>-4343.5439645356037</c:v>
                      </c:pt>
                      <c:pt idx="620">
                        <c:v>-814.98652529569722</c:v>
                      </c:pt>
                      <c:pt idx="621">
                        <c:v>3400.9128397992404</c:v>
                      </c:pt>
                      <c:pt idx="622">
                        <c:v>8699.9768931072467</c:v>
                      </c:pt>
                      <c:pt idx="623">
                        <c:v>15919.081762337815</c:v>
                      </c:pt>
                      <c:pt idx="624">
                        <c:v>25236.558032838082</c:v>
                      </c:pt>
                      <c:pt idx="625">
                        <c:v>32564.263344157578</c:v>
                      </c:pt>
                      <c:pt idx="626">
                        <c:v>38294.615250036906</c:v>
                      </c:pt>
                      <c:pt idx="627">
                        <c:v>42899.765128856903</c:v>
                      </c:pt>
                      <c:pt idx="628">
                        <c:v>46636.303860658401</c:v>
                      </c:pt>
                      <c:pt idx="629">
                        <c:v>49653.235565175703</c:v>
                      </c:pt>
                      <c:pt idx="630">
                        <c:v>52043.762414592187</c:v>
                      </c:pt>
                      <c:pt idx="631">
                        <c:v>53868.790469825493</c:v>
                      </c:pt>
                      <c:pt idx="632">
                        <c:v>55168.543958501585</c:v>
                      </c:pt>
                      <c:pt idx="633">
                        <c:v>55968.727924702973</c:v>
                      </c:pt>
                      <c:pt idx="634">
                        <c:v>56283.903517797284</c:v>
                      </c:pt>
                      <c:pt idx="635">
                        <c:v>56119.261477458989</c:v>
                      </c:pt>
                      <c:pt idx="636">
                        <c:v>55471.337606681991</c:v>
                      </c:pt>
                      <c:pt idx="637">
                        <c:v>54327.895659433365</c:v>
                      </c:pt>
                      <c:pt idx="638">
                        <c:v>52667.013104628692</c:v>
                      </c:pt>
                      <c:pt idx="639">
                        <c:v>50455.265095419665</c:v>
                      </c:pt>
                      <c:pt idx="640">
                        <c:v>47644.799073381313</c:v>
                      </c:pt>
                      <c:pt idx="641">
                        <c:v>44169.140051695962</c:v>
                      </c:pt>
                      <c:pt idx="642">
                        <c:v>39938.366477392847</c:v>
                      </c:pt>
                      <c:pt idx="643">
                        <c:v>34838.577279263052</c:v>
                      </c:pt>
                      <c:pt idx="644">
                        <c:v>28759.925530553544</c:v>
                      </c:pt>
                      <c:pt idx="645">
                        <c:v>21745.690343953604</c:v>
                      </c:pt>
                      <c:pt idx="646">
                        <c:v>14370.224960679312</c:v>
                      </c:pt>
                      <c:pt idx="647">
                        <c:v>7563.58908248029</c:v>
                      </c:pt>
                      <c:pt idx="648">
                        <c:v>1631.9484238157861</c:v>
                      </c:pt>
                      <c:pt idx="649">
                        <c:v>-3581.3578697077246</c:v>
                      </c:pt>
                      <c:pt idx="650">
                        <c:v>-8297.7121166747147</c:v>
                      </c:pt>
                      <c:pt idx="651">
                        <c:v>-12692.039692340872</c:v>
                      </c:pt>
                      <c:pt idx="652">
                        <c:v>-16883.362350255782</c:v>
                      </c:pt>
                      <c:pt idx="653">
                        <c:v>-20943.826725953815</c:v>
                      </c:pt>
                      <c:pt idx="654">
                        <c:v>-24908.284907497073</c:v>
                      </c:pt>
                      <c:pt idx="655">
                        <c:v>-28781.099528932158</c:v>
                      </c:pt>
                      <c:pt idx="656">
                        <c:v>-32539.24877923376</c:v>
                      </c:pt>
                      <c:pt idx="657">
                        <c:v>-36130.731328574475</c:v>
                      </c:pt>
                      <c:pt idx="658">
                        <c:v>-39466.203458071475</c:v>
                      </c:pt>
                      <c:pt idx="659">
                        <c:v>-42399.361007712912</c:v>
                      </c:pt>
                      <c:pt idx="660">
                        <c:v>-44687.101765130938</c:v>
                      </c:pt>
                      <c:pt idx="661">
                        <c:v>-45917.606561740315</c:v>
                      </c:pt>
                      <c:pt idx="662">
                        <c:v>-45437.457203750782</c:v>
                      </c:pt>
                      <c:pt idx="663">
                        <c:v>-42609.271001537214</c:v>
                      </c:pt>
                      <c:pt idx="664">
                        <c:v>-37861.367765644536</c:v>
                      </c:pt>
                      <c:pt idx="665">
                        <c:v>-32429.065078903051</c:v>
                      </c:pt>
                      <c:pt idx="666">
                        <c:v>-27024.947573045509</c:v>
                      </c:pt>
                      <c:pt idx="667">
                        <c:v>-21854.713620191109</c:v>
                      </c:pt>
                      <c:pt idx="668">
                        <c:v>-16903.825559344452</c:v>
                      </c:pt>
                      <c:pt idx="669">
                        <c:v>-12066.062579409467</c:v>
                      </c:pt>
                      <c:pt idx="670">
                        <c:v>-7182.637845314398</c:v>
                      </c:pt>
                      <c:pt idx="671">
                        <c:v>-2042.6390696603503</c:v>
                      </c:pt>
                      <c:pt idx="672">
                        <c:v>3641.2886113373047</c:v>
                      </c:pt>
                      <c:pt idx="673">
                        <c:v>10274.212685591481</c:v>
                      </c:pt>
                      <c:pt idx="674">
                        <c:v>18272.482052065825</c:v>
                      </c:pt>
                      <c:pt idx="675">
                        <c:v>26653.773018978085</c:v>
                      </c:pt>
                      <c:pt idx="676">
                        <c:v>33354.732391899204</c:v>
                      </c:pt>
                      <c:pt idx="677">
                        <c:v>38467.548451973511</c:v>
                      </c:pt>
                      <c:pt idx="678">
                        <c:v>42392.919773873764</c:v>
                      </c:pt>
                      <c:pt idx="679">
                        <c:v>45398.030733636959</c:v>
                      </c:pt>
                      <c:pt idx="680">
                        <c:v>47648.981345872904</c:v>
                      </c:pt>
                      <c:pt idx="681">
                        <c:v>49251.927449997413</c:v>
                      </c:pt>
                      <c:pt idx="682">
                        <c:v>50276.391052507075</c:v>
                      </c:pt>
                      <c:pt idx="683">
                        <c:v>50767.836066883421</c:v>
                      </c:pt>
                      <c:pt idx="684">
                        <c:v>50754.51448298082</c:v>
                      </c:pt>
                      <c:pt idx="685">
                        <c:v>50251.078992980823</c:v>
                      </c:pt>
                      <c:pt idx="686">
                        <c:v>49260.112119340367</c:v>
                      </c:pt>
                      <c:pt idx="687">
                        <c:v>47771.974757026073</c:v>
                      </c:pt>
                      <c:pt idx="688">
                        <c:v>45762.810881870639</c:v>
                      </c:pt>
                      <c:pt idx="689">
                        <c:v>43189.815741419014</c:v>
                      </c:pt>
                      <c:pt idx="690">
                        <c:v>39981.404042180882</c:v>
                      </c:pt>
                      <c:pt idx="691">
                        <c:v>36016.10137848102</c:v>
                      </c:pt>
                      <c:pt idx="692">
                        <c:v>31072.434253711468</c:v>
                      </c:pt>
                      <c:pt idx="693">
                        <c:v>24697.944356033571</c:v>
                      </c:pt>
                      <c:pt idx="694">
                        <c:v>16183.80534609946</c:v>
                      </c:pt>
                      <c:pt idx="695">
                        <c:v>10364.944171862664</c:v>
                      </c:pt>
                      <c:pt idx="696">
                        <c:v>6167.2336605980263</c:v>
                      </c:pt>
                      <c:pt idx="697">
                        <c:v>2798.8411530468593</c:v>
                      </c:pt>
                      <c:pt idx="698">
                        <c:v>-57.304765775429132</c:v>
                      </c:pt>
                      <c:pt idx="699">
                        <c:v>-2539.22427178011</c:v>
                      </c:pt>
                      <c:pt idx="700">
                        <c:v>-4702.2738110696537</c:v>
                      </c:pt>
                      <c:pt idx="701">
                        <c:v>-6559.9652647848106</c:v>
                      </c:pt>
                      <c:pt idx="702">
                        <c:v>-8107.877018106281</c:v>
                      </c:pt>
                      <c:pt idx="703">
                        <c:v>-9338.7077276333275</c:v>
                      </c:pt>
                      <c:pt idx="704">
                        <c:v>-10249.23399137842</c:v>
                      </c:pt>
                      <c:pt idx="705">
                        <c:v>-10841.138364746455</c:v>
                      </c:pt>
                      <c:pt idx="706">
                        <c:v>-11118.974585947417</c:v>
                      </c:pt>
                      <c:pt idx="707">
                        <c:v>-11087.627983113811</c:v>
                      </c:pt>
                      <c:pt idx="708">
                        <c:v>-10750.167931238013</c:v>
                      </c:pt>
                      <c:pt idx="709">
                        <c:v>-10106.109540913725</c:v>
                      </c:pt>
                      <c:pt idx="710">
                        <c:v>-9149.7617283277268</c:v>
                      </c:pt>
                      <c:pt idx="711">
                        <c:v>-7868.2027491286399</c:v>
                      </c:pt>
                      <c:pt idx="712">
                        <c:v>-6238.2397642948517</c:v>
                      </c:pt>
                      <c:pt idx="713">
                        <c:v>-4221.2529308675794</c:v>
                      </c:pt>
                      <c:pt idx="714">
                        <c:v>-1753.6709565291462</c:v>
                      </c:pt>
                      <c:pt idx="715">
                        <c:v>1272.2644724984088</c:v>
                      </c:pt>
                      <c:pt idx="716">
                        <c:v>5052.1064315416133</c:v>
                      </c:pt>
                      <c:pt idx="717">
                        <c:v>9984.1498147355233</c:v>
                      </c:pt>
                      <c:pt idx="718">
                        <c:v>16997.637548099239</c:v>
                      </c:pt>
                      <c:pt idx="719">
                        <c:v>26274.2695893501</c:v>
                      </c:pt>
                      <c:pt idx="720">
                        <c:v>33178.42484800503</c:v>
                      </c:pt>
                      <c:pt idx="721">
                        <c:v>38552.404951784309</c:v>
                      </c:pt>
                      <c:pt idx="722">
                        <c:v>42861.929588693449</c:v>
                      </c:pt>
                      <c:pt idx="723">
                        <c:v>46335.833826139031</c:v>
                      </c:pt>
                      <c:pt idx="724">
                        <c:v>49102.842674997366</c:v>
                      </c:pt>
                      <c:pt idx="725">
                        <c:v>51242.327848527522</c:v>
                      </c:pt>
                      <c:pt idx="726">
                        <c:v>52805.464547574018</c:v>
                      </c:pt>
                      <c:pt idx="727">
                        <c:v>53825.207556342262</c:v>
                      </c:pt>
                      <c:pt idx="728">
                        <c:v>54321.394826900803</c:v>
                      </c:pt>
                      <c:pt idx="729">
                        <c:v>54303.408119072898</c:v>
                      </c:pt>
                      <c:pt idx="730">
                        <c:v>53771.408446251029</c:v>
                      </c:pt>
                      <c:pt idx="731">
                        <c:v>52716.566235261089</c:v>
                      </c:pt>
                      <c:pt idx="732">
                        <c:v>51120.389418362589</c:v>
                      </c:pt>
                      <c:pt idx="733">
                        <c:v>48953.0030709657</c:v>
                      </c:pt>
                      <c:pt idx="734">
                        <c:v>46169.904243097699</c:v>
                      </c:pt>
                      <c:pt idx="735">
                        <c:v>42706.074946380853</c:v>
                      </c:pt>
                      <c:pt idx="736">
                        <c:v>38464.822943142499</c:v>
                      </c:pt>
                      <c:pt idx="737">
                        <c:v>33295.011225252332</c:v>
                      </c:pt>
                      <c:pt idx="738">
                        <c:v>26945.98002867118</c:v>
                      </c:pt>
                      <c:pt idx="739">
                        <c:v>19100.361690774072</c:v>
                      </c:pt>
                      <c:pt idx="740">
                        <c:v>11620.852891648783</c:v>
                      </c:pt>
                      <c:pt idx="741">
                        <c:v>6622.6077149779903</c:v>
                      </c:pt>
                      <c:pt idx="742">
                        <c:v>2850.9005330825771</c:v>
                      </c:pt>
                      <c:pt idx="743">
                        <c:v>-259.62029987943288</c:v>
                      </c:pt>
                      <c:pt idx="744">
                        <c:v>-2957.9049960410534</c:v>
                      </c:pt>
                      <c:pt idx="745">
                        <c:v>-5368.2764251886601</c:v>
                      </c:pt>
                      <c:pt idx="746">
                        <c:v>-7558.8107580172846</c:v>
                      </c:pt>
                      <c:pt idx="747">
                        <c:v>-9569.1931752258879</c:v>
                      </c:pt>
                      <c:pt idx="748">
                        <c:v>-11423.522185606553</c:v>
                      </c:pt>
                      <c:pt idx="749">
                        <c:v>-13136.74936838151</c:v>
                      </c:pt>
                      <c:pt idx="750">
                        <c:v>-14718.149105769451</c:v>
                      </c:pt>
                      <c:pt idx="751">
                        <c:v>-16173.300182812956</c:v>
                      </c:pt>
                      <c:pt idx="752">
                        <c:v>-17505.287409586657</c:v>
                      </c:pt>
                      <c:pt idx="753">
                        <c:v>-18715.493069867181</c:v>
                      </c:pt>
                      <c:pt idx="754">
                        <c:v>-19804.196698157793</c:v>
                      </c:pt>
                      <c:pt idx="755">
                        <c:v>-20771.143967351949</c:v>
                      </c:pt>
                      <c:pt idx="756">
                        <c:v>-21616.250592381311</c:v>
                      </c:pt>
                      <c:pt idx="757">
                        <c:v>-22340.681149706419</c:v>
                      </c:pt>
                      <c:pt idx="758">
                        <c:v>-22948.734800886621</c:v>
                      </c:pt>
                      <c:pt idx="759">
                        <c:v>-23451.420483762013</c:v>
                      </c:pt>
                      <c:pt idx="760">
                        <c:v>-23873.704532624604</c:v>
                      </c:pt>
                      <c:pt idx="761">
                        <c:v>-24270.357761806055</c:v>
                      </c:pt>
                      <c:pt idx="762">
                        <c:v>-24764.229247879783</c:v>
                      </c:pt>
                      <c:pt idx="763">
                        <c:v>-25651.119577499834</c:v>
                      </c:pt>
                      <c:pt idx="764">
                        <c:v>-27706.082324946019</c:v>
                      </c:pt>
                      <c:pt idx="765">
                        <c:v>-32280.975357507767</c:v>
                      </c:pt>
                      <c:pt idx="766">
                        <c:v>-37511.943052453062</c:v>
                      </c:pt>
                      <c:pt idx="767">
                        <c:v>-42179.318113722933</c:v>
                      </c:pt>
                      <c:pt idx="768">
                        <c:v>-46178.665798694979</c:v>
                      </c:pt>
                      <c:pt idx="769">
                        <c:v>-49564.149715816435</c:v>
                      </c:pt>
                      <c:pt idx="770">
                        <c:v>-52394.896759268689</c:v>
                      </c:pt>
                      <c:pt idx="771">
                        <c:v>-54715.796942318935</c:v>
                      </c:pt>
                      <c:pt idx="772">
                        <c:v>-56557.564476503307</c:v>
                      </c:pt>
                      <c:pt idx="773">
                        <c:v>-57938.922916770643</c:v>
                      </c:pt>
                      <c:pt idx="774">
                        <c:v>-58868.194537937918</c:v>
                      </c:pt>
                      <c:pt idx="775">
                        <c:v>-59343.911467046411</c:v>
                      </c:pt>
                      <c:pt idx="776">
                        <c:v>-59354.351954068123</c:v>
                      </c:pt>
                      <c:pt idx="777">
                        <c:v>-58875.739950411713</c:v>
                      </c:pt>
                      <c:pt idx="778">
                        <c:v>-57868.420323188569</c:v>
                      </c:pt>
                      <c:pt idx="779">
                        <c:v>-56269.390673176495</c:v>
                      </c:pt>
                      <c:pt idx="780">
                        <c:v>-53977.252371100141</c:v>
                      </c:pt>
                      <c:pt idx="781">
                        <c:v>-50818.940109056748</c:v>
                      </c:pt>
                      <c:pt idx="782">
                        <c:v>-46464.818460488168</c:v>
                      </c:pt>
                      <c:pt idx="783">
                        <c:v>-40175.38677580822</c:v>
                      </c:pt>
                      <c:pt idx="784">
                        <c:v>-30660.898126135806</c:v>
                      </c:pt>
                      <c:pt idx="785">
                        <c:v>-23144.5813977166</c:v>
                      </c:pt>
                      <c:pt idx="786">
                        <c:v>-16813.371665054587</c:v>
                      </c:pt>
                      <c:pt idx="787">
                        <c:v>-10959.040929805369</c:v>
                      </c:pt>
                      <c:pt idx="788">
                        <c:v>-5160.0295115310728</c:v>
                      </c:pt>
                      <c:pt idx="789">
                        <c:v>924.92787591127285</c:v>
                      </c:pt>
                      <c:pt idx="790">
                        <c:v>7680.6941819140829</c:v>
                      </c:pt>
                      <c:pt idx="791">
                        <c:v>15670.858815760101</c:v>
                      </c:pt>
                      <c:pt idx="792">
                        <c:v>25134.536267252206</c:v>
                      </c:pt>
                      <c:pt idx="793">
                        <c:v>32026.277919274049</c:v>
                      </c:pt>
                      <c:pt idx="794">
                        <c:v>36895.235314917787</c:v>
                      </c:pt>
                      <c:pt idx="795">
                        <c:v>40512.492224161615</c:v>
                      </c:pt>
                      <c:pt idx="796">
                        <c:v>43248.877272668295</c:v>
                      </c:pt>
                      <c:pt idx="797">
                        <c:v>45301.14889986669</c:v>
                      </c:pt>
                      <c:pt idx="798">
                        <c:v>46785.189094220288</c:v>
                      </c:pt>
                      <c:pt idx="799">
                        <c:v>47774.050443909095</c:v>
                      </c:pt>
                      <c:pt idx="800">
                        <c:v>48315.368977635044</c:v>
                      </c:pt>
                      <c:pt idx="801">
                        <c:v>48440.104754851447</c:v>
                      </c:pt>
                      <c:pt idx="802">
                        <c:v>48167.156519870783</c:v>
                      </c:pt>
                      <c:pt idx="803">
                        <c:v>47505.744353031761</c:v>
                      </c:pt>
                      <c:pt idx="804">
                        <c:v>46456.370758523364</c:v>
                      </c:pt>
                      <c:pt idx="805">
                        <c:v>45010.635041804744</c:v>
                      </c:pt>
                      <c:pt idx="806">
                        <c:v>43149.796845281147</c:v>
                      </c:pt>
                      <c:pt idx="807">
                        <c:v>40841.523062896675</c:v>
                      </c:pt>
                      <c:pt idx="808">
                        <c:v>38033.369327869943</c:v>
                      </c:pt>
                      <c:pt idx="809">
                        <c:v>34639.381669652656</c:v>
                      </c:pt>
                      <c:pt idx="810">
                        <c:v>30510.037923291675</c:v>
                      </c:pt>
                      <c:pt idx="811">
                        <c:v>25357.775643064706</c:v>
                      </c:pt>
                      <c:pt idx="812">
                        <c:v>18646.482737215978</c:v>
                      </c:pt>
                      <c:pt idx="813">
                        <c:v>13117.46939920948</c:v>
                      </c:pt>
                      <c:pt idx="814">
                        <c:v>9218.7859469681844</c:v>
                      </c:pt>
                      <c:pt idx="815">
                        <c:v>6047.8460014865395</c:v>
                      </c:pt>
                      <c:pt idx="816">
                        <c:v>3378.4322304289908</c:v>
                      </c:pt>
                      <c:pt idx="817">
                        <c:v>1243.1426776829201</c:v>
                      </c:pt>
                      <c:pt idx="818">
                        <c:v>-229.58068522373094</c:v>
                      </c:pt>
                      <c:pt idx="819">
                        <c:v>-947.76285550176965</c:v>
                      </c:pt>
                      <c:pt idx="820">
                        <c:v>-924.69786208643541</c:v>
                      </c:pt>
                      <c:pt idx="821">
                        <c:v>-253.49779908068638</c:v>
                      </c:pt>
                      <c:pt idx="822">
                        <c:v>947.45084675418434</c:v>
                      </c:pt>
                      <c:pt idx="823">
                        <c:v>2567.5058225635444</c:v>
                      </c:pt>
                      <c:pt idx="824">
                        <c:v>4514.0924628922539</c:v>
                      </c:pt>
                      <c:pt idx="825">
                        <c:v>6712.2272772569468</c:v>
                      </c:pt>
                      <c:pt idx="826">
                        <c:v>9100.7400937428029</c:v>
                      </c:pt>
                      <c:pt idx="827">
                        <c:v>11628.109779579732</c:v>
                      </c:pt>
                      <c:pt idx="828">
                        <c:v>14248.644346578387</c:v>
                      </c:pt>
                      <c:pt idx="829">
                        <c:v>16918.898284045477</c:v>
                      </c:pt>
                      <c:pt idx="830">
                        <c:v>19593.855643237654</c:v>
                      </c:pt>
                      <c:pt idx="831">
                        <c:v>22222.058536010136</c:v>
                      </c:pt>
                      <c:pt idx="832">
                        <c:v>24738.175635282667</c:v>
                      </c:pt>
                      <c:pt idx="833">
                        <c:v>27049.883403091564</c:v>
                      </c:pt>
                      <c:pt idx="834">
                        <c:v>29011.887807784697</c:v>
                      </c:pt>
                      <c:pt idx="835">
                        <c:v>30369.880128867706</c:v>
                      </c:pt>
                      <c:pt idx="836">
                        <c:v>30639.609501464744</c:v>
                      </c:pt>
                      <c:pt idx="837">
                        <c:v>28963.018192224798</c:v>
                      </c:pt>
                      <c:pt idx="838">
                        <c:v>24878.656892706291</c:v>
                      </c:pt>
                      <c:pt idx="839">
                        <c:v>19711.714174914552</c:v>
                      </c:pt>
                      <c:pt idx="840">
                        <c:v>14440.122311876756</c:v>
                      </c:pt>
                      <c:pt idx="841">
                        <c:v>9453.3893055664448</c:v>
                      </c:pt>
                      <c:pt idx="842">
                        <c:v>5069.0792296001964</c:v>
                      </c:pt>
                      <c:pt idx="843">
                        <c:v>1511.8963135920699</c:v>
                      </c:pt>
                      <c:pt idx="844">
                        <c:v>-1235.5880926792483</c:v>
                      </c:pt>
                      <c:pt idx="845">
                        <c:v>-3342.617480833921</c:v>
                      </c:pt>
                      <c:pt idx="846">
                        <c:v>-4980.8018393875245</c:v>
                      </c:pt>
                      <c:pt idx="847">
                        <c:v>-6273.6120533125049</c:v>
                      </c:pt>
                      <c:pt idx="848">
                        <c:v>-7301.5911673130931</c:v>
                      </c:pt>
                      <c:pt idx="849">
                        <c:v>-8116.8219518857322</c:v>
                      </c:pt>
                      <c:pt idx="850">
                        <c:v>-8753.7518032496937</c:v>
                      </c:pt>
                      <c:pt idx="851">
                        <c:v>-9235.825101953089</c:v>
                      </c:pt>
                      <c:pt idx="852">
                        <c:v>-9579.3714286181348</c:v>
                      </c:pt>
                      <c:pt idx="853">
                        <c:v>-9795.8936061697568</c:v>
                      </c:pt>
                      <c:pt idx="854">
                        <c:v>-9893.4349109699615</c:v>
                      </c:pt>
                      <c:pt idx="855">
                        <c:v>-9877.4009901855225</c:v>
                      </c:pt>
                      <c:pt idx="856">
                        <c:v>-9751.039748938194</c:v>
                      </c:pt>
                      <c:pt idx="857">
                        <c:v>-9515.6858189824397</c:v>
                      </c:pt>
                      <c:pt idx="858">
                        <c:v>-9170.8181352919182</c:v>
                      </c:pt>
                      <c:pt idx="859">
                        <c:v>-8713.9376229751051</c:v>
                      </c:pt>
                      <c:pt idx="860">
                        <c:v>-8140.2320467096133</c:v>
                      </c:pt>
                      <c:pt idx="861">
                        <c:v>-7441.9418953056183</c:v>
                      </c:pt>
                      <c:pt idx="862">
                        <c:v>-6607.2524630773169</c:v>
                      </c:pt>
                      <c:pt idx="863">
                        <c:v>-5618.3699788755566</c:v>
                      </c:pt>
                      <c:pt idx="864">
                        <c:v>-4448.1013731560097</c:v>
                      </c:pt>
                      <c:pt idx="865">
                        <c:v>-3053.542025976104</c:v>
                      </c:pt>
                      <c:pt idx="866">
                        <c:v>-1363.9299031812297</c:v>
                      </c:pt>
                      <c:pt idx="867">
                        <c:v>743.50352123268578</c:v>
                      </c:pt>
                      <c:pt idx="868">
                        <c:v>3490.9119334699253</c:v>
                      </c:pt>
                      <c:pt idx="869">
                        <c:v>7273.1211284913334</c:v>
                      </c:pt>
                      <c:pt idx="870">
                        <c:v>12596.235712027245</c:v>
                      </c:pt>
                      <c:pt idx="871">
                        <c:v>19186.969286434611</c:v>
                      </c:pt>
                      <c:pt idx="872">
                        <c:v>25758.126473562836</c:v>
                      </c:pt>
                      <c:pt idx="873">
                        <c:v>31670.044489198444</c:v>
                      </c:pt>
                      <c:pt idx="874">
                        <c:v>36764.448095547254</c:v>
                      </c:pt>
                      <c:pt idx="875">
                        <c:v>41028.790473192697</c:v>
                      </c:pt>
                      <c:pt idx="876">
                        <c:v>44502.705307230288</c:v>
                      </c:pt>
                      <c:pt idx="877">
                        <c:v>47241.650075879341</c:v>
                      </c:pt>
                      <c:pt idx="878">
                        <c:v>49299.949608916453</c:v>
                      </c:pt>
                      <c:pt idx="879">
                        <c:v>50724.104572176191</c:v>
                      </c:pt>
                      <c:pt idx="880">
                        <c:v>51550.912827635242</c:v>
                      </c:pt>
                      <c:pt idx="881">
                        <c:v>51807.423067433665</c:v>
                      </c:pt>
                      <c:pt idx="882">
                        <c:v>51511.333405577636</c:v>
                      </c:pt>
                      <c:pt idx="883">
                        <c:v>50671.222816050613</c:v>
                      </c:pt>
                      <c:pt idx="884">
                        <c:v>49286.306473778946</c:v>
                      </c:pt>
                      <c:pt idx="885">
                        <c:v>47345.465446891525</c:v>
                      </c:pt>
                      <c:pt idx="886">
                        <c:v>44825.210895332246</c:v>
                      </c:pt>
                      <c:pt idx="887">
                        <c:v>41686.017379227749</c:v>
                      </c:pt>
                      <c:pt idx="888">
                        <c:v>37866.122590278399</c:v>
                      </c:pt>
                      <c:pt idx="889">
                        <c:v>33271.968946979941</c:v>
                      </c:pt>
                      <c:pt idx="890">
                        <c:v>27769.921509163731</c:v>
                      </c:pt>
                      <c:pt idx="891">
                        <c:v>21240.193791285001</c:v>
                      </c:pt>
                      <c:pt idx="892">
                        <c:v>14258.300851048174</c:v>
                      </c:pt>
                      <c:pt idx="893">
                        <c:v>9683.3995490314119</c:v>
                      </c:pt>
                      <c:pt idx="894">
                        <c:v>7001.3731836851694</c:v>
                      </c:pt>
                      <c:pt idx="895">
                        <c:v>5239.3084156460927</c:v>
                      </c:pt>
                      <c:pt idx="896">
                        <c:v>4020.6944582041697</c:v>
                      </c:pt>
                      <c:pt idx="897">
                        <c:v>3292.5770145779811</c:v>
                      </c:pt>
                      <c:pt idx="898">
                        <c:v>3223.3574754695928</c:v>
                      </c:pt>
                      <c:pt idx="899">
                        <c:v>4105.6856270519474</c:v>
                      </c:pt>
                      <c:pt idx="900">
                        <c:v>6120.3681120416286</c:v>
                      </c:pt>
                      <c:pt idx="901">
                        <c:v>9129.7120035122098</c:v>
                      </c:pt>
                      <c:pt idx="902">
                        <c:v>12787.554735557038</c:v>
                      </c:pt>
                      <c:pt idx="903">
                        <c:v>16754.710996563783</c:v>
                      </c:pt>
                      <c:pt idx="904">
                        <c:v>20780.937878732704</c:v>
                      </c:pt>
                      <c:pt idx="905">
                        <c:v>24695.681570682187</c:v>
                      </c:pt>
                      <c:pt idx="906">
                        <c:v>28380.373365470452</c:v>
                      </c:pt>
                      <c:pt idx="907">
                        <c:v>31746.112398476784</c:v>
                      </c:pt>
                      <c:pt idx="908">
                        <c:v>34718.73435612148</c:v>
                      </c:pt>
                      <c:pt idx="909">
                        <c:v>37228.856260721885</c:v>
                      </c:pt>
                      <c:pt idx="910">
                        <c:v>39204.669429779547</c:v>
                      </c:pt>
                      <c:pt idx="911">
                        <c:v>40566.057751094442</c:v>
                      </c:pt>
                      <c:pt idx="912">
                        <c:v>41219.406133501412</c:v>
                      </c:pt>
                      <c:pt idx="913">
                        <c:v>41053.560417781868</c:v>
                      </c:pt>
                      <c:pt idx="914">
                        <c:v>39939.774868819375</c:v>
                      </c:pt>
                      <c:pt idx="915">
                        <c:v>37743.96867473676</c:v>
                      </c:pt>
                      <c:pt idx="916">
                        <c:v>34368.900499780902</c:v>
                      </c:pt>
                      <c:pt idx="917">
                        <c:v>29842.152023177772</c:v>
                      </c:pt>
                      <c:pt idx="918">
                        <c:v>24402.060194806436</c:v>
                      </c:pt>
                      <c:pt idx="919">
                        <c:v>18458.027855458869</c:v>
                      </c:pt>
                      <c:pt idx="920">
                        <c:v>12515.544582644785</c:v>
                      </c:pt>
                      <c:pt idx="921">
                        <c:v>7194.9990620087683</c:v>
                      </c:pt>
                      <c:pt idx="922">
                        <c:v>2921.6105790336765</c:v>
                      </c:pt>
                      <c:pt idx="923">
                        <c:v>-338.09617014933531</c:v>
                      </c:pt>
                      <c:pt idx="924">
                        <c:v>-2809.7207297823225</c:v>
                      </c:pt>
                      <c:pt idx="925">
                        <c:v>-4695.6114199307976</c:v>
                      </c:pt>
                      <c:pt idx="926">
                        <c:v>-6136.131039368036</c:v>
                      </c:pt>
                      <c:pt idx="927">
                        <c:v>-7223.8674324500917</c:v>
                      </c:pt>
                      <c:pt idx="928">
                        <c:v>-8020.4482190614926</c:v>
                      </c:pt>
                      <c:pt idx="929">
                        <c:v>-8567.874104596709</c:v>
                      </c:pt>
                      <c:pt idx="930">
                        <c:v>-8895.3910907401241</c:v>
                      </c:pt>
                      <c:pt idx="931">
                        <c:v>-9023.594766837803</c:v>
                      </c:pt>
                      <c:pt idx="932">
                        <c:v>-8966.8987107804223</c:v>
                      </c:pt>
                      <c:pt idx="933">
                        <c:v>-8735.0188085323953</c:v>
                      </c:pt>
                      <c:pt idx="934">
                        <c:v>-8333.8314581366612</c:v>
                      </c:pt>
                      <c:pt idx="935">
                        <c:v>-7765.7916892562407</c:v>
                      </c:pt>
                      <c:pt idx="936">
                        <c:v>-7029.9886710409719</c:v>
                      </c:pt>
                      <c:pt idx="937">
                        <c:v>-6121.8311369565554</c:v>
                      </c:pt>
                      <c:pt idx="938">
                        <c:v>-5032.2611748091304</c:v>
                      </c:pt>
                      <c:pt idx="939">
                        <c:v>-3746.2487671266058</c:v>
                      </c:pt>
                      <c:pt idx="940">
                        <c:v>-2240.0369452044424</c:v>
                      </c:pt>
                      <c:pt idx="941">
                        <c:v>-475.98034957497958</c:v>
                      </c:pt>
                      <c:pt idx="942">
                        <c:v>1607.7417068103857</c:v>
                      </c:pt>
                      <c:pt idx="943">
                        <c:v>4119.6671654036109</c:v>
                      </c:pt>
                      <c:pt idx="944">
                        <c:v>7271.4404885457607</c:v>
                      </c:pt>
                      <c:pt idx="945">
                        <c:v>11544.297735220991</c:v>
                      </c:pt>
                      <c:pt idx="946">
                        <c:v>18157.028347738349</c:v>
                      </c:pt>
                      <c:pt idx="947">
                        <c:v>25879.237452323676</c:v>
                      </c:pt>
                      <c:pt idx="948">
                        <c:v>32132.519594904981</c:v>
                      </c:pt>
                      <c:pt idx="949">
                        <c:v>37221.59473312465</c:v>
                      </c:pt>
                      <c:pt idx="950">
                        <c:v>41389.230983123169</c:v>
                      </c:pt>
                      <c:pt idx="951">
                        <c:v>44773.852848397983</c:v>
                      </c:pt>
                      <c:pt idx="952">
                        <c:v>47461.429424004658</c:v>
                      </c:pt>
                      <c:pt idx="953">
                        <c:v>49508.981286507696</c:v>
                      </c:pt>
                      <c:pt idx="954">
                        <c:v>50954.88148531715</c:v>
                      </c:pt>
                      <c:pt idx="955">
                        <c:v>51823.72396726103</c:v>
                      </c:pt>
                      <c:pt idx="956">
                        <c:v>52128.638217847874</c:v>
                      </c:pt>
                      <c:pt idx="957">
                        <c:v>51872.080910059325</c:v>
                      </c:pt>
                      <c:pt idx="958">
                        <c:v>51045.374562194964</c:v>
                      </c:pt>
                      <c:pt idx="959">
                        <c:v>49626.797332063827</c:v>
                      </c:pt>
                      <c:pt idx="960">
                        <c:v>47577.475428800783</c:v>
                      </c:pt>
                      <c:pt idx="961">
                        <c:v>44833.25717447338</c:v>
                      </c:pt>
                      <c:pt idx="962">
                        <c:v>41288.111927001803</c:v>
                      </c:pt>
                      <c:pt idx="963">
                        <c:v>36757.071237929573</c:v>
                      </c:pt>
                      <c:pt idx="964">
                        <c:v>30882.706087638289</c:v>
                      </c:pt>
                      <c:pt idx="965">
                        <c:v>22894.843508439099</c:v>
                      </c:pt>
                      <c:pt idx="966">
                        <c:v>12760.103745954566</c:v>
                      </c:pt>
                      <c:pt idx="967">
                        <c:v>5285.4984562560358</c:v>
                      </c:pt>
                      <c:pt idx="968">
                        <c:v>-897.95734435662644</c:v>
                      </c:pt>
                      <c:pt idx="969">
                        <c:v>-6469.082416116099</c:v>
                      </c:pt>
                      <c:pt idx="970">
                        <c:v>-11827.591222644856</c:v>
                      </c:pt>
                      <c:pt idx="971">
                        <c:v>-17346.093671664603</c:v>
                      </c:pt>
                      <c:pt idx="972">
                        <c:v>-23546.610795110075</c:v>
                      </c:pt>
                      <c:pt idx="973">
                        <c:v>-31318.179956221746</c:v>
                      </c:pt>
                      <c:pt idx="974">
                        <c:v>-40560.569057309091</c:v>
                      </c:pt>
                      <c:pt idx="975">
                        <c:v>-47738.293342657722</c:v>
                      </c:pt>
                      <c:pt idx="976">
                        <c:v>-53221.803880665044</c:v>
                      </c:pt>
                      <c:pt idx="977">
                        <c:v>-57535.79364889182</c:v>
                      </c:pt>
                      <c:pt idx="978">
                        <c:v>-60976.39013877204</c:v>
                      </c:pt>
                      <c:pt idx="979">
                        <c:v>-63717.165143139762</c:v>
                      </c:pt>
                      <c:pt idx="980">
                        <c:v>-65867.486616567141</c:v>
                      </c:pt>
                      <c:pt idx="981">
                        <c:v>-67500.205057463172</c:v>
                      </c:pt>
                      <c:pt idx="982">
                        <c:v>-68665.627205175624</c:v>
                      </c:pt>
                      <c:pt idx="983">
                        <c:v>-69399.093921143256</c:v>
                      </c:pt>
                      <c:pt idx="984">
                        <c:v>-69725.330704963824</c:v>
                      </c:pt>
                      <c:pt idx="985">
                        <c:v>-69661.035636695844</c:v>
                      </c:pt>
                      <c:pt idx="986">
                        <c:v>-69216.425518477583</c:v>
                      </c:pt>
                      <c:pt idx="987">
                        <c:v>-68396.109552391368</c:v>
                      </c:pt>
                      <c:pt idx="988">
                        <c:v>-67199.478534214199</c:v>
                      </c:pt>
                      <c:pt idx="989">
                        <c:v>-65620.692506811378</c:v>
                      </c:pt>
                      <c:pt idx="990">
                        <c:v>-63648.277928502059</c:v>
                      </c:pt>
                      <c:pt idx="991">
                        <c:v>-61264.285136946783</c:v>
                      </c:pt>
                      <c:pt idx="992">
                        <c:v>-58442.900630957898</c:v>
                      </c:pt>
                      <c:pt idx="993">
                        <c:v>-55148.377722378915</c:v>
                      </c:pt>
                      <c:pt idx="994">
                        <c:v>-51332.283391910263</c:v>
                      </c:pt>
                      <c:pt idx="995">
                        <c:v>-46931.064178349006</c:v>
                      </c:pt>
                      <c:pt idx="996">
                        <c:v>-41870.490176348474</c:v>
                      </c:pt>
                      <c:pt idx="997">
                        <c:v>-36114.705226437662</c:v>
                      </c:pt>
                      <c:pt idx="998">
                        <c:v>-29969.215226261884</c:v>
                      </c:pt>
                      <c:pt idx="999">
                        <c:v>-25026.006897839652</c:v>
                      </c:pt>
                      <c:pt idx="1000">
                        <c:v>-22029.557316013583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B683-4322-A2E5-108F22F86DAD}"/>
                  </c:ext>
                </c:extLst>
              </c15:ser>
            </c15:filteredScatterSeries>
          </c:ext>
        </c:extLst>
      </c:scatterChart>
      <c:valAx>
        <c:axId val="1811891231"/>
        <c:scaling>
          <c:orientation val="minMax"/>
          <c:max val="100000"/>
          <c:min val="-100000"/>
        </c:scaling>
        <c:delete val="1"/>
        <c:axPos val="b"/>
        <c:numFmt formatCode="General" sourceLinked="1"/>
        <c:majorTickMark val="none"/>
        <c:minorTickMark val="none"/>
        <c:tickLblPos val="nextTo"/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1"/>
        <c:axPos val="l"/>
        <c:numFmt formatCode="General" sourceLinked="1"/>
        <c:majorTickMark val="none"/>
        <c:minorTickMark val="none"/>
        <c:tickLblPos val="nextTo"/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862898845913107"/>
          <c:y val="6.9818796197223615E-2"/>
          <c:w val="0.68812128464456113"/>
          <c:h val="5.55806097959433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97971</xdr:colOff>
      <xdr:row>1</xdr:row>
      <xdr:rowOff>103412</xdr:rowOff>
    </xdr:from>
    <xdr:to>
      <xdr:col>19</xdr:col>
      <xdr:colOff>500742</xdr:colOff>
      <xdr:row>44</xdr:row>
      <xdr:rowOff>32657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1</xdr:row>
          <xdr:rowOff>38100</xdr:rowOff>
        </xdr:from>
        <xdr:to>
          <xdr:col>13</xdr:col>
          <xdr:colOff>2308860</xdr:colOff>
          <xdr:row>3</xdr:row>
          <xdr:rowOff>106680</xdr:rowOff>
        </xdr:to>
        <xdr:sp macro="" textlink="">
          <xdr:nvSpPr>
            <xdr:cNvPr id="3073" name="Manon, pèse su'l pi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12</xdr:col>
      <xdr:colOff>462148</xdr:colOff>
      <xdr:row>50</xdr:row>
      <xdr:rowOff>43543</xdr:rowOff>
    </xdr:to>
    <xdr:graphicFrame macro="">
      <xdr:nvGraphicFramePr>
        <xdr:cNvPr id="4" name="Graphique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P1309"/>
  <sheetViews>
    <sheetView tabSelected="1" zoomScale="70" zoomScaleNormal="70" workbookViewId="0">
      <selection activeCell="A18" sqref="A18:E18"/>
    </sheetView>
  </sheetViews>
  <sheetFormatPr baseColWidth="10" defaultRowHeight="14.4" x14ac:dyDescent="0.3"/>
  <cols>
    <col min="1" max="1" width="30.5546875" bestFit="1" customWidth="1"/>
    <col min="3" max="3" width="12" bestFit="1" customWidth="1"/>
    <col min="5" max="5" width="16.88671875" bestFit="1" customWidth="1"/>
  </cols>
  <sheetData>
    <row r="2" spans="1:5" ht="11.4" customHeight="1" x14ac:dyDescent="0.3"/>
    <row r="3" spans="1:5" hidden="1" x14ac:dyDescent="0.3"/>
    <row r="4" spans="1:5" ht="22.95" customHeight="1" thickBot="1" x14ac:dyDescent="0.35">
      <c r="A4" s="84" t="s">
        <v>5</v>
      </c>
      <c r="B4" s="85"/>
      <c r="C4" s="85"/>
      <c r="D4" s="85"/>
      <c r="E4" s="86"/>
    </row>
    <row r="5" spans="1:5" ht="15.6" x14ac:dyDescent="0.3">
      <c r="A5" s="26" t="s">
        <v>6</v>
      </c>
      <c r="B5" s="22" t="s">
        <v>23</v>
      </c>
      <c r="C5" s="92">
        <v>0.5</v>
      </c>
      <c r="D5" s="92"/>
      <c r="E5" s="93"/>
    </row>
    <row r="6" spans="1:5" ht="15.6" x14ac:dyDescent="0.3">
      <c r="A6" s="27" t="s">
        <v>7</v>
      </c>
      <c r="B6" s="11" t="s">
        <v>24</v>
      </c>
      <c r="C6" s="82">
        <v>0</v>
      </c>
      <c r="D6" s="82"/>
      <c r="E6" s="94"/>
    </row>
    <row r="7" spans="1:5" ht="15.6" x14ac:dyDescent="0.3">
      <c r="A7" s="28" t="s">
        <v>8</v>
      </c>
      <c r="B7" s="29" t="s">
        <v>25</v>
      </c>
      <c r="C7" s="95">
        <v>1</v>
      </c>
      <c r="D7" s="95"/>
      <c r="E7" s="96"/>
    </row>
    <row r="8" spans="1:5" ht="15.6" x14ac:dyDescent="0.3">
      <c r="A8" s="76"/>
      <c r="B8" s="76"/>
      <c r="C8" s="76"/>
      <c r="D8" s="76"/>
      <c r="E8" s="76"/>
    </row>
    <row r="9" spans="1:5" ht="21.6" thickBot="1" x14ac:dyDescent="0.45">
      <c r="A9" s="87" t="s">
        <v>9</v>
      </c>
      <c r="B9" s="88"/>
      <c r="C9" s="88"/>
      <c r="D9" s="88"/>
      <c r="E9" s="89"/>
    </row>
    <row r="10" spans="1:5" ht="15.6" x14ac:dyDescent="0.3">
      <c r="A10" s="27" t="s">
        <v>10</v>
      </c>
      <c r="B10" s="9" t="s">
        <v>26</v>
      </c>
      <c r="C10" s="82">
        <v>1</v>
      </c>
      <c r="D10" s="82"/>
      <c r="E10" s="30" t="s">
        <v>31</v>
      </c>
    </row>
    <row r="11" spans="1:5" ht="18" x14ac:dyDescent="0.4">
      <c r="A11" s="26" t="s">
        <v>11</v>
      </c>
      <c r="B11" s="23" t="s">
        <v>53</v>
      </c>
      <c r="C11" s="24">
        <v>0</v>
      </c>
      <c r="D11" s="24">
        <v>0</v>
      </c>
      <c r="E11" s="31" t="s">
        <v>30</v>
      </c>
    </row>
    <row r="12" spans="1:5" ht="18" x14ac:dyDescent="0.4">
      <c r="A12" s="27" t="s">
        <v>12</v>
      </c>
      <c r="B12" s="9" t="s">
        <v>54</v>
      </c>
      <c r="C12" s="12">
        <v>0</v>
      </c>
      <c r="D12" s="12">
        <v>0</v>
      </c>
      <c r="E12" s="30" t="s">
        <v>32</v>
      </c>
    </row>
    <row r="13" spans="1:5" ht="18.600000000000001" x14ac:dyDescent="0.4">
      <c r="A13" s="26" t="s">
        <v>27</v>
      </c>
      <c r="B13" s="23" t="s">
        <v>55</v>
      </c>
      <c r="C13" s="24">
        <v>0</v>
      </c>
      <c r="D13" s="24">
        <v>0</v>
      </c>
      <c r="E13" s="31" t="s">
        <v>43</v>
      </c>
    </row>
    <row r="14" spans="1:5" ht="15.6" x14ac:dyDescent="0.3">
      <c r="A14" s="32" t="s">
        <v>28</v>
      </c>
      <c r="B14" s="33" t="s">
        <v>29</v>
      </c>
      <c r="C14" s="81">
        <v>2500</v>
      </c>
      <c r="D14" s="81"/>
      <c r="E14" s="34" t="s">
        <v>30</v>
      </c>
    </row>
    <row r="15" spans="1:5" ht="15.6" x14ac:dyDescent="0.3">
      <c r="A15" s="1"/>
      <c r="B15" s="1"/>
      <c r="C15" s="1"/>
      <c r="D15" s="1"/>
      <c r="E15" s="1"/>
    </row>
    <row r="16" spans="1:5" ht="21.6" thickBot="1" x14ac:dyDescent="0.45">
      <c r="A16" s="87" t="s">
        <v>13</v>
      </c>
      <c r="B16" s="88"/>
      <c r="C16" s="88"/>
      <c r="D16" s="88"/>
      <c r="E16" s="89"/>
    </row>
    <row r="17" spans="1:5" ht="18" x14ac:dyDescent="0.35">
      <c r="A17" s="104"/>
      <c r="B17" s="105"/>
      <c r="C17" s="105"/>
      <c r="D17" s="105"/>
      <c r="E17" s="106"/>
    </row>
    <row r="18" spans="1:5" ht="18" customHeight="1" x14ac:dyDescent="0.35">
      <c r="A18" s="113" t="s">
        <v>14</v>
      </c>
      <c r="B18" s="114"/>
      <c r="C18" s="114"/>
      <c r="D18" s="114"/>
      <c r="E18" s="115"/>
    </row>
    <row r="19" spans="1:5" ht="17.399999999999999" customHeight="1" x14ac:dyDescent="0.4">
      <c r="A19" s="35" t="s">
        <v>15</v>
      </c>
      <c r="B19" s="7" t="s">
        <v>49</v>
      </c>
      <c r="C19" s="8">
        <v>20000</v>
      </c>
      <c r="D19" s="8">
        <v>20000</v>
      </c>
      <c r="E19" s="36" t="s">
        <v>30</v>
      </c>
    </row>
    <row r="20" spans="1:5" ht="18" x14ac:dyDescent="0.4">
      <c r="A20" s="27" t="s">
        <v>4</v>
      </c>
      <c r="B20" s="9" t="s">
        <v>50</v>
      </c>
      <c r="C20" s="82">
        <v>7500</v>
      </c>
      <c r="D20" s="82"/>
      <c r="E20" s="30" t="s">
        <v>30</v>
      </c>
    </row>
    <row r="21" spans="1:5" ht="18.600000000000001" x14ac:dyDescent="0.4">
      <c r="A21" s="35" t="s">
        <v>16</v>
      </c>
      <c r="B21" s="5" t="s">
        <v>51</v>
      </c>
      <c r="C21" s="83">
        <v>1</v>
      </c>
      <c r="D21" s="83"/>
      <c r="E21" s="36" t="s">
        <v>44</v>
      </c>
    </row>
    <row r="22" spans="1:5" ht="18.600000000000001" x14ac:dyDescent="0.4">
      <c r="A22" s="37" t="s">
        <v>17</v>
      </c>
      <c r="B22" s="10" t="s">
        <v>60</v>
      </c>
      <c r="C22" s="90">
        <f>4/3*PI()*C20^3</f>
        <v>1767145867644.2585</v>
      </c>
      <c r="D22" s="90"/>
      <c r="E22" s="38" t="s">
        <v>61</v>
      </c>
    </row>
    <row r="23" spans="1:5" ht="18" x14ac:dyDescent="0.4">
      <c r="A23" s="39" t="s">
        <v>18</v>
      </c>
      <c r="B23" s="6" t="s">
        <v>62</v>
      </c>
      <c r="C23" s="91">
        <f>IF(C25="Attraction",C22*C21,(C22*C21)*-1)</f>
        <v>1767145867644.2585</v>
      </c>
      <c r="D23" s="91"/>
      <c r="E23" s="40" t="s">
        <v>31</v>
      </c>
    </row>
    <row r="24" spans="1:5" ht="18" x14ac:dyDescent="0.4">
      <c r="A24" s="37" t="s">
        <v>19</v>
      </c>
      <c r="B24" s="10" t="s">
        <v>63</v>
      </c>
      <c r="C24" s="90">
        <f>C20*$C$7</f>
        <v>7500</v>
      </c>
      <c r="D24" s="90"/>
      <c r="E24" s="38" t="s">
        <v>30</v>
      </c>
    </row>
    <row r="25" spans="1:5" ht="18" x14ac:dyDescent="0.4">
      <c r="A25" s="35" t="s">
        <v>20</v>
      </c>
      <c r="B25" s="5" t="s">
        <v>52</v>
      </c>
      <c r="C25" s="83" t="s">
        <v>33</v>
      </c>
      <c r="D25" s="83"/>
      <c r="E25" s="36" t="s">
        <v>42</v>
      </c>
    </row>
    <row r="26" spans="1:5" ht="18.600000000000001" customHeight="1" x14ac:dyDescent="0.3">
      <c r="A26" s="97"/>
      <c r="B26" s="98"/>
      <c r="C26" s="98"/>
      <c r="D26" s="98"/>
      <c r="E26" s="99"/>
    </row>
    <row r="27" spans="1:5" ht="15" customHeight="1" x14ac:dyDescent="0.35">
      <c r="A27" s="107" t="s">
        <v>21</v>
      </c>
      <c r="B27" s="108"/>
      <c r="C27" s="108"/>
      <c r="D27" s="108"/>
      <c r="E27" s="109"/>
    </row>
    <row r="28" spans="1:5" ht="18" x14ac:dyDescent="0.4">
      <c r="A28" s="41" t="s">
        <v>15</v>
      </c>
      <c r="B28" s="17" t="s">
        <v>45</v>
      </c>
      <c r="C28" s="18">
        <v>-20000</v>
      </c>
      <c r="D28" s="19">
        <v>20000</v>
      </c>
      <c r="E28" s="42" t="s">
        <v>30</v>
      </c>
    </row>
    <row r="29" spans="1:5" ht="18" x14ac:dyDescent="0.4">
      <c r="A29" s="27" t="s">
        <v>4</v>
      </c>
      <c r="B29" s="9" t="s">
        <v>46</v>
      </c>
      <c r="C29" s="82">
        <v>7500</v>
      </c>
      <c r="D29" s="82"/>
      <c r="E29" s="30" t="s">
        <v>30</v>
      </c>
    </row>
    <row r="30" spans="1:5" ht="18.600000000000001" x14ac:dyDescent="0.4">
      <c r="A30" s="41" t="s">
        <v>16</v>
      </c>
      <c r="B30" s="20" t="s">
        <v>47</v>
      </c>
      <c r="C30" s="110">
        <v>1</v>
      </c>
      <c r="D30" s="110"/>
      <c r="E30" s="42" t="s">
        <v>44</v>
      </c>
    </row>
    <row r="31" spans="1:5" ht="18.600000000000001" x14ac:dyDescent="0.4">
      <c r="A31" s="43" t="s">
        <v>17</v>
      </c>
      <c r="B31" s="13" t="s">
        <v>68</v>
      </c>
      <c r="C31" s="111">
        <f>4/3*PI()*C29^3</f>
        <v>1767145867644.2585</v>
      </c>
      <c r="D31" s="111"/>
      <c r="E31" s="44" t="s">
        <v>65</v>
      </c>
    </row>
    <row r="32" spans="1:5" ht="18" x14ac:dyDescent="0.4">
      <c r="A32" s="45" t="s">
        <v>18</v>
      </c>
      <c r="B32" s="21" t="s">
        <v>69</v>
      </c>
      <c r="C32" s="112">
        <f>IF(C34="Attraction",C30*C31,(C31*C30)*-1)</f>
        <v>1767145867644.2585</v>
      </c>
      <c r="D32" s="112"/>
      <c r="E32" s="46" t="s">
        <v>31</v>
      </c>
    </row>
    <row r="33" spans="1:5" ht="18" x14ac:dyDescent="0.4">
      <c r="A33" s="43" t="s">
        <v>19</v>
      </c>
      <c r="B33" s="13" t="s">
        <v>70</v>
      </c>
      <c r="C33" s="111">
        <f>C29*$C$7</f>
        <v>7500</v>
      </c>
      <c r="D33" s="111"/>
      <c r="E33" s="44" t="s">
        <v>30</v>
      </c>
    </row>
    <row r="34" spans="1:5" ht="18" x14ac:dyDescent="0.4">
      <c r="A34" s="41" t="s">
        <v>20</v>
      </c>
      <c r="B34" s="20" t="s">
        <v>48</v>
      </c>
      <c r="C34" s="110" t="s">
        <v>33</v>
      </c>
      <c r="D34" s="110"/>
      <c r="E34" s="42" t="s">
        <v>42</v>
      </c>
    </row>
    <row r="35" spans="1:5" ht="18.600000000000001" customHeight="1" x14ac:dyDescent="0.3">
      <c r="A35" s="97"/>
      <c r="B35" s="98"/>
      <c r="C35" s="98"/>
      <c r="D35" s="98"/>
      <c r="E35" s="99"/>
    </row>
    <row r="36" spans="1:5" ht="15" customHeight="1" x14ac:dyDescent="0.35">
      <c r="A36" s="47" t="s">
        <v>22</v>
      </c>
      <c r="B36" s="25"/>
      <c r="C36" s="25"/>
      <c r="D36" s="25"/>
      <c r="E36" s="48"/>
    </row>
    <row r="37" spans="1:5" ht="18" x14ac:dyDescent="0.4">
      <c r="A37" s="49" t="s">
        <v>15</v>
      </c>
      <c r="B37" s="4" t="s">
        <v>56</v>
      </c>
      <c r="C37" s="14">
        <v>-5000</v>
      </c>
      <c r="D37" s="14">
        <v>-35000</v>
      </c>
      <c r="E37" s="50" t="s">
        <v>30</v>
      </c>
    </row>
    <row r="38" spans="1:5" ht="18" x14ac:dyDescent="0.4">
      <c r="A38" s="51" t="s">
        <v>4</v>
      </c>
      <c r="B38" s="2" t="s">
        <v>57</v>
      </c>
      <c r="C38" s="76">
        <v>7500</v>
      </c>
      <c r="D38" s="76"/>
      <c r="E38" s="52" t="s">
        <v>30</v>
      </c>
    </row>
    <row r="39" spans="1:5" ht="18.600000000000001" x14ac:dyDescent="0.4">
      <c r="A39" s="49" t="s">
        <v>16</v>
      </c>
      <c r="B39" s="15" t="s">
        <v>58</v>
      </c>
      <c r="C39" s="77">
        <v>1</v>
      </c>
      <c r="D39" s="77"/>
      <c r="E39" s="50" t="s">
        <v>44</v>
      </c>
    </row>
    <row r="40" spans="1:5" ht="18.600000000000001" x14ac:dyDescent="0.4">
      <c r="A40" s="53" t="s">
        <v>17</v>
      </c>
      <c r="B40" s="3" t="s">
        <v>64</v>
      </c>
      <c r="C40" s="78">
        <f>4/3*PI()*C38^3</f>
        <v>1767145867644.2585</v>
      </c>
      <c r="D40" s="78"/>
      <c r="E40" s="54" t="s">
        <v>65</v>
      </c>
    </row>
    <row r="41" spans="1:5" ht="18" x14ac:dyDescent="0.4">
      <c r="A41" s="55" t="s">
        <v>18</v>
      </c>
      <c r="B41" s="16" t="s">
        <v>66</v>
      </c>
      <c r="C41" s="79">
        <f>IF(C43="Attraction",C39*C40,(C40*C39)*-1)</f>
        <v>1767145867644.2585</v>
      </c>
      <c r="D41" s="79"/>
      <c r="E41" s="56" t="s">
        <v>31</v>
      </c>
    </row>
    <row r="42" spans="1:5" ht="18" x14ac:dyDescent="0.4">
      <c r="A42" s="53" t="s">
        <v>19</v>
      </c>
      <c r="B42" s="3" t="s">
        <v>67</v>
      </c>
      <c r="C42" s="78">
        <f>C38*$C$7</f>
        <v>7500</v>
      </c>
      <c r="D42" s="78"/>
      <c r="E42" s="54" t="s">
        <v>30</v>
      </c>
    </row>
    <row r="43" spans="1:5" ht="18" x14ac:dyDescent="0.4">
      <c r="A43" s="57" t="s">
        <v>20</v>
      </c>
      <c r="B43" s="58" t="s">
        <v>59</v>
      </c>
      <c r="C43" s="80" t="s">
        <v>33</v>
      </c>
      <c r="D43" s="80"/>
      <c r="E43" s="59" t="s">
        <v>42</v>
      </c>
    </row>
    <row r="277" spans="1:11" x14ac:dyDescent="0.3">
      <c r="B277" t="s">
        <v>33</v>
      </c>
    </row>
    <row r="278" spans="1:11" x14ac:dyDescent="0.3">
      <c r="B278" t="s">
        <v>82</v>
      </c>
    </row>
    <row r="281" spans="1:11" x14ac:dyDescent="0.3">
      <c r="A281" s="100" t="s">
        <v>71</v>
      </c>
      <c r="B281" s="101"/>
      <c r="C281" s="101"/>
      <c r="D281" s="101"/>
      <c r="E281" s="101"/>
      <c r="F281" s="101"/>
      <c r="G281" s="101"/>
      <c r="H281" s="101"/>
      <c r="I281" s="101"/>
      <c r="J281" s="101"/>
      <c r="K281" s="102"/>
    </row>
    <row r="282" spans="1:11" x14ac:dyDescent="0.3">
      <c r="A282" s="65" t="s">
        <v>0</v>
      </c>
      <c r="B282" s="66" t="s">
        <v>1</v>
      </c>
      <c r="C282" s="66"/>
      <c r="D282" s="66" t="s">
        <v>2</v>
      </c>
      <c r="E282" s="66" t="s">
        <v>3</v>
      </c>
      <c r="F282" s="66"/>
      <c r="G282" s="66" t="s">
        <v>2</v>
      </c>
      <c r="H282" s="66" t="s">
        <v>3</v>
      </c>
      <c r="I282" s="66"/>
      <c r="J282" s="66" t="s">
        <v>2</v>
      </c>
      <c r="K282" s="67" t="s">
        <v>3</v>
      </c>
    </row>
    <row r="283" spans="1:11" x14ac:dyDescent="0.3">
      <c r="A283" s="68"/>
      <c r="B283" s="68"/>
      <c r="C283" s="63"/>
      <c r="D283" s="68"/>
      <c r="E283" s="68"/>
      <c r="F283" s="63"/>
      <c r="G283" s="68"/>
      <c r="H283" s="68"/>
      <c r="I283" s="63"/>
      <c r="J283" s="68"/>
      <c r="K283" s="68"/>
    </row>
    <row r="284" spans="1:11" x14ac:dyDescent="0.3">
      <c r="A284" s="69">
        <v>0</v>
      </c>
      <c r="B284" s="69">
        <f>A284*2*PI()/20</f>
        <v>0</v>
      </c>
      <c r="C284" s="63"/>
      <c r="D284" s="69">
        <f>$C$20*COS(B284)+$C$19</f>
        <v>27500</v>
      </c>
      <c r="E284" s="69">
        <f>$C$20*SIN(B284)+$D$19</f>
        <v>20000</v>
      </c>
      <c r="F284" s="63"/>
      <c r="G284" s="69">
        <f>$C$29*COS(B284)+$C$28</f>
        <v>-12500</v>
      </c>
      <c r="H284" s="69">
        <f>$C$29*SIN(B284)+$D$28</f>
        <v>20000</v>
      </c>
      <c r="I284" s="63"/>
      <c r="J284" s="69">
        <f>$C$38*COS(B284)+$C$37</f>
        <v>2500</v>
      </c>
      <c r="K284" s="69">
        <f>$C$38*SIN(B284)+$D$37</f>
        <v>-35000</v>
      </c>
    </row>
    <row r="285" spans="1:11" x14ac:dyDescent="0.3">
      <c r="A285" s="69">
        <v>1</v>
      </c>
      <c r="B285" s="69">
        <f>A285*2*PI()/20</f>
        <v>0.31415926535897931</v>
      </c>
      <c r="C285" s="63"/>
      <c r="D285" s="69">
        <f t="shared" ref="D285:D304" si="0">$C$20*COS(B285)+$C$19</f>
        <v>27132.923872213651</v>
      </c>
      <c r="E285" s="69">
        <f t="shared" ref="E285:E304" si="1">$C$20*SIN(B285)+$D$19</f>
        <v>22317.627457812105</v>
      </c>
      <c r="F285" s="63"/>
      <c r="G285" s="69">
        <f t="shared" ref="G285:G304" si="2">$C$29*COS(B285)+$C$28</f>
        <v>-12867.076127786349</v>
      </c>
      <c r="H285" s="69">
        <f t="shared" ref="H285:H304" si="3">$C$29*SIN(B285)+$D$28</f>
        <v>22317.627457812105</v>
      </c>
      <c r="I285" s="63"/>
      <c r="J285" s="69">
        <f t="shared" ref="J285:J304" si="4">$C$38*COS(B285)+$C$37</f>
        <v>2132.9238722136515</v>
      </c>
      <c r="K285" s="69">
        <f t="shared" ref="K285:K304" si="5">$C$38*SIN(B285)+$D$37</f>
        <v>-32682.372542187895</v>
      </c>
    </row>
    <row r="286" spans="1:11" x14ac:dyDescent="0.3">
      <c r="A286" s="69">
        <v>2</v>
      </c>
      <c r="B286" s="69">
        <f t="shared" ref="B286:B304" si="6">A286*2*PI()/20</f>
        <v>0.62831853071795862</v>
      </c>
      <c r="C286" s="63"/>
      <c r="D286" s="69">
        <f t="shared" si="0"/>
        <v>26067.627457812105</v>
      </c>
      <c r="E286" s="69">
        <f t="shared" si="1"/>
        <v>24408.389392193549</v>
      </c>
      <c r="F286" s="63"/>
      <c r="G286" s="69">
        <f t="shared" si="2"/>
        <v>-13932.372542187895</v>
      </c>
      <c r="H286" s="69">
        <f t="shared" si="3"/>
        <v>24408.389392193549</v>
      </c>
      <c r="I286" s="63"/>
      <c r="J286" s="69">
        <f t="shared" si="4"/>
        <v>1067.6274578121056</v>
      </c>
      <c r="K286" s="69">
        <f t="shared" si="5"/>
        <v>-30591.610607806451</v>
      </c>
    </row>
    <row r="287" spans="1:11" x14ac:dyDescent="0.3">
      <c r="A287" s="69">
        <v>3</v>
      </c>
      <c r="B287" s="69">
        <f t="shared" si="6"/>
        <v>0.94247779607693793</v>
      </c>
      <c r="C287" s="63"/>
      <c r="D287" s="69">
        <f>$C$20*COS(B287)+$C$19</f>
        <v>24408.389392193549</v>
      </c>
      <c r="E287" s="69">
        <f t="shared" si="1"/>
        <v>26067.627457812105</v>
      </c>
      <c r="F287" s="63"/>
      <c r="G287" s="69">
        <f t="shared" si="2"/>
        <v>-15591.610607806451</v>
      </c>
      <c r="H287" s="69">
        <f t="shared" si="3"/>
        <v>26067.627457812105</v>
      </c>
      <c r="I287" s="63"/>
      <c r="J287" s="69">
        <f t="shared" si="4"/>
        <v>-591.6106078064513</v>
      </c>
      <c r="K287" s="69">
        <f t="shared" si="5"/>
        <v>-28932.372542187895</v>
      </c>
    </row>
    <row r="288" spans="1:11" x14ac:dyDescent="0.3">
      <c r="A288" s="69">
        <v>4</v>
      </c>
      <c r="B288" s="69">
        <f t="shared" si="6"/>
        <v>1.2566370614359172</v>
      </c>
      <c r="C288" s="63"/>
      <c r="D288" s="69">
        <f t="shared" si="0"/>
        <v>22317.627457812105</v>
      </c>
      <c r="E288" s="69">
        <f t="shared" si="1"/>
        <v>27132.923872213651</v>
      </c>
      <c r="F288" s="63"/>
      <c r="G288" s="69">
        <f t="shared" si="2"/>
        <v>-17682.372542187895</v>
      </c>
      <c r="H288" s="69">
        <f t="shared" si="3"/>
        <v>27132.923872213651</v>
      </c>
      <c r="I288" s="63"/>
      <c r="J288" s="69">
        <f t="shared" si="4"/>
        <v>-2682.3725421878939</v>
      </c>
      <c r="K288" s="69">
        <f t="shared" si="5"/>
        <v>-27867.076127786349</v>
      </c>
    </row>
    <row r="289" spans="1:11" x14ac:dyDescent="0.3">
      <c r="A289" s="69">
        <v>5</v>
      </c>
      <c r="B289" s="69">
        <f t="shared" si="6"/>
        <v>1.5707963267948966</v>
      </c>
      <c r="C289" s="63"/>
      <c r="D289" s="69">
        <f t="shared" si="0"/>
        <v>20000</v>
      </c>
      <c r="E289" s="69">
        <f t="shared" si="1"/>
        <v>27500</v>
      </c>
      <c r="F289" s="63"/>
      <c r="G289" s="69">
        <f t="shared" si="2"/>
        <v>-20000</v>
      </c>
      <c r="H289" s="69">
        <f t="shared" si="3"/>
        <v>27500</v>
      </c>
      <c r="I289" s="63"/>
      <c r="J289" s="69">
        <f t="shared" si="4"/>
        <v>-4999.9999999999991</v>
      </c>
      <c r="K289" s="69">
        <f t="shared" si="5"/>
        <v>-27500</v>
      </c>
    </row>
    <row r="290" spans="1:11" x14ac:dyDescent="0.3">
      <c r="A290" s="69">
        <v>6</v>
      </c>
      <c r="B290" s="69">
        <f t="shared" si="6"/>
        <v>1.8849555921538759</v>
      </c>
      <c r="C290" s="63"/>
      <c r="D290" s="69">
        <f t="shared" si="0"/>
        <v>17682.372542187895</v>
      </c>
      <c r="E290" s="69">
        <f t="shared" si="1"/>
        <v>27132.923872213651</v>
      </c>
      <c r="F290" s="63"/>
      <c r="G290" s="69">
        <f t="shared" si="2"/>
        <v>-22317.627457812105</v>
      </c>
      <c r="H290" s="69">
        <f t="shared" si="3"/>
        <v>27132.923872213651</v>
      </c>
      <c r="I290" s="63"/>
      <c r="J290" s="69">
        <f t="shared" si="4"/>
        <v>-7317.6274578121047</v>
      </c>
      <c r="K290" s="69">
        <f t="shared" si="5"/>
        <v>-27867.076127786349</v>
      </c>
    </row>
    <row r="291" spans="1:11" x14ac:dyDescent="0.3">
      <c r="A291" s="69">
        <v>7</v>
      </c>
      <c r="B291" s="69">
        <f t="shared" si="6"/>
        <v>2.1991148575128552</v>
      </c>
      <c r="C291" s="63"/>
      <c r="D291" s="69">
        <f t="shared" si="0"/>
        <v>15591.610607806451</v>
      </c>
      <c r="E291" s="69">
        <f t="shared" si="1"/>
        <v>26067.627457812105</v>
      </c>
      <c r="F291" s="63"/>
      <c r="G291" s="69">
        <f t="shared" si="2"/>
        <v>-24408.389392193549</v>
      </c>
      <c r="H291" s="69">
        <f t="shared" si="3"/>
        <v>26067.627457812105</v>
      </c>
      <c r="I291" s="63"/>
      <c r="J291" s="69">
        <f t="shared" si="4"/>
        <v>-9408.3893921935487</v>
      </c>
      <c r="K291" s="69">
        <f t="shared" si="5"/>
        <v>-28932.372542187895</v>
      </c>
    </row>
    <row r="292" spans="1:11" x14ac:dyDescent="0.3">
      <c r="A292" s="69">
        <v>8</v>
      </c>
      <c r="B292" s="69">
        <f t="shared" si="6"/>
        <v>2.5132741228718345</v>
      </c>
      <c r="C292" s="63"/>
      <c r="D292" s="69">
        <f t="shared" si="0"/>
        <v>13932.372542187895</v>
      </c>
      <c r="E292" s="69">
        <f t="shared" si="1"/>
        <v>24408.389392193549</v>
      </c>
      <c r="F292" s="63"/>
      <c r="G292" s="69">
        <f t="shared" si="2"/>
        <v>-26067.627457812105</v>
      </c>
      <c r="H292" s="69">
        <f t="shared" si="3"/>
        <v>24408.389392193549</v>
      </c>
      <c r="I292" s="63"/>
      <c r="J292" s="69">
        <f t="shared" si="4"/>
        <v>-11067.627457812105</v>
      </c>
      <c r="K292" s="69">
        <f t="shared" si="5"/>
        <v>-30591.610607806451</v>
      </c>
    </row>
    <row r="293" spans="1:11" x14ac:dyDescent="0.3">
      <c r="A293" s="69">
        <v>9</v>
      </c>
      <c r="B293" s="69">
        <f t="shared" si="6"/>
        <v>2.8274333882308138</v>
      </c>
      <c r="C293" s="63"/>
      <c r="D293" s="69">
        <f t="shared" si="0"/>
        <v>12867.076127786349</v>
      </c>
      <c r="E293" s="69">
        <f t="shared" si="1"/>
        <v>22317.627457812108</v>
      </c>
      <c r="F293" s="63"/>
      <c r="G293" s="69">
        <f t="shared" si="2"/>
        <v>-27132.923872213651</v>
      </c>
      <c r="H293" s="69">
        <f t="shared" si="3"/>
        <v>22317.627457812108</v>
      </c>
      <c r="I293" s="63"/>
      <c r="J293" s="69">
        <f t="shared" si="4"/>
        <v>-12132.923872213651</v>
      </c>
      <c r="K293" s="69">
        <f t="shared" si="5"/>
        <v>-32682.372542187892</v>
      </c>
    </row>
    <row r="294" spans="1:11" x14ac:dyDescent="0.3">
      <c r="A294" s="69">
        <v>10</v>
      </c>
      <c r="B294" s="69">
        <f t="shared" si="6"/>
        <v>3.1415926535897931</v>
      </c>
      <c r="C294" s="63"/>
      <c r="D294" s="69">
        <f t="shared" si="0"/>
        <v>12500</v>
      </c>
      <c r="E294" s="69">
        <f t="shared" si="1"/>
        <v>20000</v>
      </c>
      <c r="F294" s="63"/>
      <c r="G294" s="69">
        <f t="shared" si="2"/>
        <v>-27500</v>
      </c>
      <c r="H294" s="69">
        <f t="shared" si="3"/>
        <v>20000</v>
      </c>
      <c r="I294" s="63"/>
      <c r="J294" s="69">
        <f t="shared" si="4"/>
        <v>-12500</v>
      </c>
      <c r="K294" s="69">
        <f t="shared" si="5"/>
        <v>-35000</v>
      </c>
    </row>
    <row r="295" spans="1:11" x14ac:dyDescent="0.3">
      <c r="A295" s="69">
        <v>11</v>
      </c>
      <c r="B295" s="69">
        <f t="shared" si="6"/>
        <v>3.455751918948772</v>
      </c>
      <c r="C295" s="63"/>
      <c r="D295" s="69">
        <f t="shared" si="0"/>
        <v>12867.076127786346</v>
      </c>
      <c r="E295" s="69">
        <f t="shared" si="1"/>
        <v>17682.372542187899</v>
      </c>
      <c r="F295" s="63"/>
      <c r="G295" s="69">
        <f t="shared" si="2"/>
        <v>-27132.923872213654</v>
      </c>
      <c r="H295" s="69">
        <f t="shared" si="3"/>
        <v>17682.372542187899</v>
      </c>
      <c r="I295" s="63"/>
      <c r="J295" s="69">
        <f t="shared" si="4"/>
        <v>-12132.923872213654</v>
      </c>
      <c r="K295" s="69">
        <f t="shared" si="5"/>
        <v>-37317.627457812101</v>
      </c>
    </row>
    <row r="296" spans="1:11" x14ac:dyDescent="0.3">
      <c r="A296" s="69">
        <v>12</v>
      </c>
      <c r="B296" s="69">
        <f t="shared" si="6"/>
        <v>3.7699111843077517</v>
      </c>
      <c r="C296" s="63"/>
      <c r="D296" s="69">
        <f t="shared" si="0"/>
        <v>13932.372542187893</v>
      </c>
      <c r="E296" s="69">
        <f t="shared" si="1"/>
        <v>15591.610607806451</v>
      </c>
      <c r="F296" s="63"/>
      <c r="G296" s="69">
        <f t="shared" si="2"/>
        <v>-26067.627457812108</v>
      </c>
      <c r="H296" s="69">
        <f t="shared" si="3"/>
        <v>15591.610607806451</v>
      </c>
      <c r="I296" s="63"/>
      <c r="J296" s="69">
        <f t="shared" si="4"/>
        <v>-11067.627457812107</v>
      </c>
      <c r="K296" s="69">
        <f t="shared" si="5"/>
        <v>-39408.389392193545</v>
      </c>
    </row>
    <row r="297" spans="1:11" x14ac:dyDescent="0.3">
      <c r="A297" s="69">
        <v>13</v>
      </c>
      <c r="B297" s="69">
        <f t="shared" si="6"/>
        <v>4.0840704496667311</v>
      </c>
      <c r="C297" s="63"/>
      <c r="D297" s="69">
        <f t="shared" si="0"/>
        <v>15591.610607806451</v>
      </c>
      <c r="E297" s="69">
        <f t="shared" si="1"/>
        <v>13932.372542187895</v>
      </c>
      <c r="F297" s="63"/>
      <c r="G297" s="69">
        <f t="shared" si="2"/>
        <v>-24408.389392193549</v>
      </c>
      <c r="H297" s="69">
        <f t="shared" si="3"/>
        <v>13932.372542187895</v>
      </c>
      <c r="I297" s="63"/>
      <c r="J297" s="69">
        <f t="shared" si="4"/>
        <v>-9408.3893921935487</v>
      </c>
      <c r="K297" s="69">
        <f t="shared" si="5"/>
        <v>-41067.627457812108</v>
      </c>
    </row>
    <row r="298" spans="1:11" x14ac:dyDescent="0.3">
      <c r="A298" s="69">
        <v>14</v>
      </c>
      <c r="B298" s="69">
        <f t="shared" si="6"/>
        <v>4.3982297150257104</v>
      </c>
      <c r="C298" s="63"/>
      <c r="D298" s="69">
        <f t="shared" si="0"/>
        <v>17682.372542187892</v>
      </c>
      <c r="E298" s="69">
        <f t="shared" si="1"/>
        <v>12867.076127786349</v>
      </c>
      <c r="F298" s="63"/>
      <c r="G298" s="69">
        <f t="shared" si="2"/>
        <v>-22317.627457812108</v>
      </c>
      <c r="H298" s="69">
        <f t="shared" si="3"/>
        <v>12867.076127786349</v>
      </c>
      <c r="I298" s="63"/>
      <c r="J298" s="69">
        <f t="shared" si="4"/>
        <v>-7317.6274578121065</v>
      </c>
      <c r="K298" s="69">
        <f t="shared" si="5"/>
        <v>-42132.923872213651</v>
      </c>
    </row>
    <row r="299" spans="1:11" x14ac:dyDescent="0.3">
      <c r="A299" s="69">
        <v>15</v>
      </c>
      <c r="B299" s="69">
        <f t="shared" si="6"/>
        <v>4.7123889803846897</v>
      </c>
      <c r="C299" s="63"/>
      <c r="D299" s="69">
        <f t="shared" si="0"/>
        <v>20000</v>
      </c>
      <c r="E299" s="69">
        <f t="shared" si="1"/>
        <v>12500</v>
      </c>
      <c r="F299" s="63"/>
      <c r="G299" s="69">
        <f t="shared" si="2"/>
        <v>-20000</v>
      </c>
      <c r="H299" s="69">
        <f t="shared" si="3"/>
        <v>12500</v>
      </c>
      <c r="I299" s="63"/>
      <c r="J299" s="69">
        <f t="shared" si="4"/>
        <v>-5000.0000000000018</v>
      </c>
      <c r="K299" s="69">
        <f t="shared" si="5"/>
        <v>-42500</v>
      </c>
    </row>
    <row r="300" spans="1:11" x14ac:dyDescent="0.3">
      <c r="A300" s="69">
        <v>16</v>
      </c>
      <c r="B300" s="69">
        <f t="shared" si="6"/>
        <v>5.026548245743669</v>
      </c>
      <c r="C300" s="63"/>
      <c r="D300" s="69">
        <f t="shared" si="0"/>
        <v>22317.627457812105</v>
      </c>
      <c r="E300" s="69">
        <f t="shared" si="1"/>
        <v>12867.076127786348</v>
      </c>
      <c r="F300" s="63"/>
      <c r="G300" s="69">
        <f t="shared" si="2"/>
        <v>-17682.372542187895</v>
      </c>
      <c r="H300" s="69">
        <f t="shared" si="3"/>
        <v>12867.076127786348</v>
      </c>
      <c r="I300" s="63"/>
      <c r="J300" s="69">
        <f t="shared" si="4"/>
        <v>-2682.3725421878958</v>
      </c>
      <c r="K300" s="69">
        <f t="shared" si="5"/>
        <v>-42132.923872213651</v>
      </c>
    </row>
    <row r="301" spans="1:11" x14ac:dyDescent="0.3">
      <c r="A301" s="69">
        <v>17</v>
      </c>
      <c r="B301" s="69">
        <f t="shared" si="6"/>
        <v>5.3407075111026483</v>
      </c>
      <c r="C301" s="63"/>
      <c r="D301" s="69">
        <f t="shared" si="0"/>
        <v>24408.389392193545</v>
      </c>
      <c r="E301" s="69">
        <f t="shared" si="1"/>
        <v>13932.372542187893</v>
      </c>
      <c r="F301" s="63"/>
      <c r="G301" s="69">
        <f t="shared" si="2"/>
        <v>-15591.610607806453</v>
      </c>
      <c r="H301" s="69">
        <f t="shared" si="3"/>
        <v>13932.372542187893</v>
      </c>
      <c r="I301" s="63"/>
      <c r="J301" s="69">
        <f t="shared" si="4"/>
        <v>-591.61060780645312</v>
      </c>
      <c r="K301" s="69">
        <f t="shared" si="5"/>
        <v>-41067.627457812108</v>
      </c>
    </row>
    <row r="302" spans="1:11" x14ac:dyDescent="0.3">
      <c r="A302" s="69">
        <v>18</v>
      </c>
      <c r="B302" s="69">
        <f t="shared" si="6"/>
        <v>5.6548667764616276</v>
      </c>
      <c r="C302" s="63"/>
      <c r="D302" s="69">
        <f t="shared" si="0"/>
        <v>26067.627457812105</v>
      </c>
      <c r="E302" s="69">
        <f t="shared" si="1"/>
        <v>15591.610607806449</v>
      </c>
      <c r="F302" s="63"/>
      <c r="G302" s="69">
        <f t="shared" si="2"/>
        <v>-13932.372542187895</v>
      </c>
      <c r="H302" s="69">
        <f t="shared" si="3"/>
        <v>15591.610607806449</v>
      </c>
      <c r="I302" s="63"/>
      <c r="J302" s="69">
        <f t="shared" si="4"/>
        <v>1067.6274578121047</v>
      </c>
      <c r="K302" s="69">
        <f t="shared" si="5"/>
        <v>-39408.389392193552</v>
      </c>
    </row>
    <row r="303" spans="1:11" x14ac:dyDescent="0.3">
      <c r="A303" s="69">
        <v>19</v>
      </c>
      <c r="B303" s="69">
        <f t="shared" si="6"/>
        <v>5.9690260418206069</v>
      </c>
      <c r="C303" s="63"/>
      <c r="D303" s="69">
        <f t="shared" si="0"/>
        <v>27132.923872213651</v>
      </c>
      <c r="E303" s="69">
        <f t="shared" si="1"/>
        <v>17682.372542187892</v>
      </c>
      <c r="F303" s="63"/>
      <c r="G303" s="69">
        <f t="shared" si="2"/>
        <v>-12867.076127786349</v>
      </c>
      <c r="H303" s="69">
        <f t="shared" si="3"/>
        <v>17682.372542187892</v>
      </c>
      <c r="I303" s="63"/>
      <c r="J303" s="69">
        <f t="shared" si="4"/>
        <v>2132.9238722136515</v>
      </c>
      <c r="K303" s="69">
        <f t="shared" si="5"/>
        <v>-37317.627457812108</v>
      </c>
    </row>
    <row r="304" spans="1:11" x14ac:dyDescent="0.3">
      <c r="A304" s="70">
        <v>20</v>
      </c>
      <c r="B304" s="70">
        <f t="shared" si="6"/>
        <v>6.2831853071795862</v>
      </c>
      <c r="C304" s="64"/>
      <c r="D304" s="70">
        <f t="shared" si="0"/>
        <v>27500</v>
      </c>
      <c r="E304" s="70">
        <f t="shared" si="1"/>
        <v>19999.999999999996</v>
      </c>
      <c r="F304" s="64"/>
      <c r="G304" s="70">
        <f t="shared" si="2"/>
        <v>-12500</v>
      </c>
      <c r="H304" s="70">
        <f t="shared" si="3"/>
        <v>19999.999999999996</v>
      </c>
      <c r="I304" s="64"/>
      <c r="J304" s="70">
        <f t="shared" si="4"/>
        <v>2500</v>
      </c>
      <c r="K304" s="70">
        <f t="shared" si="5"/>
        <v>-35000</v>
      </c>
    </row>
    <row r="306" spans="1:16" x14ac:dyDescent="0.3">
      <c r="A306" s="103" t="s">
        <v>74</v>
      </c>
      <c r="B306" s="103"/>
      <c r="C306" s="103"/>
      <c r="D306" s="103"/>
      <c r="E306" s="103"/>
      <c r="F306" s="103"/>
      <c r="G306" s="103"/>
      <c r="H306" s="103"/>
      <c r="I306" s="103"/>
      <c r="J306" s="103"/>
      <c r="K306" s="103"/>
      <c r="L306" s="103"/>
      <c r="M306" s="103"/>
      <c r="N306" s="103"/>
      <c r="O306" s="103"/>
      <c r="P306" s="103"/>
    </row>
    <row r="307" spans="1:16" x14ac:dyDescent="0.3">
      <c r="A307" s="60"/>
      <c r="B307" s="75" t="s">
        <v>38</v>
      </c>
      <c r="C307" s="75"/>
      <c r="D307" s="75" t="s">
        <v>36</v>
      </c>
      <c r="E307" s="75"/>
      <c r="F307" s="75" t="s">
        <v>35</v>
      </c>
      <c r="G307" s="75"/>
      <c r="H307" s="75" t="s">
        <v>39</v>
      </c>
      <c r="I307" s="75"/>
      <c r="J307" s="75"/>
      <c r="K307" s="75" t="s">
        <v>40</v>
      </c>
      <c r="L307" s="75"/>
      <c r="M307" s="75"/>
      <c r="N307" s="75" t="s">
        <v>41</v>
      </c>
      <c r="O307" s="75"/>
      <c r="P307" s="75"/>
    </row>
    <row r="308" spans="1:16" ht="18" x14ac:dyDescent="0.35">
      <c r="A308" s="61" t="s">
        <v>34</v>
      </c>
      <c r="B308" s="62" t="s">
        <v>2</v>
      </c>
      <c r="C308" s="62" t="s">
        <v>3</v>
      </c>
      <c r="D308" s="62" t="s">
        <v>2</v>
      </c>
      <c r="E308" s="62" t="s">
        <v>3</v>
      </c>
      <c r="F308" s="62" t="s">
        <v>2</v>
      </c>
      <c r="G308" s="62" t="s">
        <v>3</v>
      </c>
      <c r="H308" s="62" t="s">
        <v>37</v>
      </c>
      <c r="I308" s="62" t="s">
        <v>72</v>
      </c>
      <c r="J308" s="62" t="s">
        <v>73</v>
      </c>
      <c r="K308" s="62" t="s">
        <v>75</v>
      </c>
      <c r="L308" s="62" t="s">
        <v>76</v>
      </c>
      <c r="M308" s="62" t="s">
        <v>77</v>
      </c>
      <c r="N308" s="62" t="s">
        <v>78</v>
      </c>
      <c r="O308" s="62" t="s">
        <v>79</v>
      </c>
      <c r="P308" s="62" t="s">
        <v>80</v>
      </c>
    </row>
    <row r="309" spans="1:16" ht="18" x14ac:dyDescent="0.35">
      <c r="A309" s="71">
        <v>0</v>
      </c>
      <c r="B309" s="73">
        <f>$D$11</f>
        <v>0</v>
      </c>
      <c r="C309" s="73">
        <f>$C$11</f>
        <v>0</v>
      </c>
      <c r="D309" s="73">
        <f>$C$12</f>
        <v>0</v>
      </c>
      <c r="E309" s="73">
        <f>$D$12</f>
        <v>0</v>
      </c>
      <c r="F309" s="73">
        <f>$C$13</f>
        <v>0</v>
      </c>
      <c r="G309" s="73">
        <f>$D$13</f>
        <v>0</v>
      </c>
      <c r="H309" s="73"/>
      <c r="I309" s="73"/>
      <c r="J309" s="73"/>
      <c r="K309" s="73"/>
      <c r="L309" s="73"/>
      <c r="M309" s="73"/>
      <c r="N309" s="73"/>
      <c r="O309" s="73"/>
      <c r="P309" s="73"/>
    </row>
    <row r="310" spans="1:16" x14ac:dyDescent="0.3">
      <c r="A310" s="72">
        <f>A309+$C$5</f>
        <v>0.5</v>
      </c>
      <c r="B310" s="74">
        <f>B309+D309*(A310-A309)+F309*(A310-A309)^2</f>
        <v>0</v>
      </c>
      <c r="C310" s="74">
        <f>C309+E309*(A310-A309)+G309*(A310-A309)^2</f>
        <v>0</v>
      </c>
      <c r="D310" s="74">
        <f>D309+F309*(A310-A309)</f>
        <v>0</v>
      </c>
      <c r="E310" s="74">
        <f>E309+G309*(A310-A309)</f>
        <v>0</v>
      </c>
      <c r="F310" s="74">
        <f t="shared" ref="F310:F373" si="7">$C$23*(H310/(J310^2+$C$24^2)^1.5)+$C$32*(K310/(M310^2+$C$33^2)^1.5)+C$41*(N310/(P310^2+$C$42^2)^1.5)</f>
        <v>-187.15565265618332</v>
      </c>
      <c r="G310" s="74">
        <f t="shared" ref="G310:G373" si="8">$C$23*(I310/(J310^2+$C$24^2)^1.5)+$C$32*(L310/(M310^2+$C$33^2)^1.5)+C$41*(O310/(P310^2+$C$42^2)^1.5)</f>
        <v>1511.0950935019519</v>
      </c>
      <c r="H310" s="74">
        <f>$C$19-B310</f>
        <v>20000</v>
      </c>
      <c r="I310" s="74">
        <f>$D$19-C310</f>
        <v>20000</v>
      </c>
      <c r="J310" s="74">
        <f>SQRT(H310^2+I310^2)</f>
        <v>28284.2712474619</v>
      </c>
      <c r="K310" s="74">
        <f>$C$28-B310</f>
        <v>-20000</v>
      </c>
      <c r="L310" s="74">
        <f>$D$28-C310</f>
        <v>20000</v>
      </c>
      <c r="M310" s="74">
        <f>SQRT(K310^2+L310^2)</f>
        <v>28284.2712474619</v>
      </c>
      <c r="N310" s="74">
        <f>$C$37-B310</f>
        <v>-5000</v>
      </c>
      <c r="O310" s="74">
        <f>$D$37-C310</f>
        <v>-35000</v>
      </c>
      <c r="P310" s="74">
        <f>SQRT(N310^2+O310^2)</f>
        <v>35355.33905932738</v>
      </c>
    </row>
    <row r="311" spans="1:16" x14ac:dyDescent="0.3">
      <c r="A311" s="72">
        <f>A310+$C$5</f>
        <v>1</v>
      </c>
      <c r="B311" s="74">
        <f t="shared" ref="B311:B374" si="9">B310+D310*(A311-A310)+F310*(A311-A310)^2</f>
        <v>-46.78891316404583</v>
      </c>
      <c r="C311" s="74">
        <f t="shared" ref="C311:C374" si="10">C310+E310*(A311-A310)+G310*(A311-A310)^2</f>
        <v>377.77377337548796</v>
      </c>
      <c r="D311" s="74">
        <f t="shared" ref="D311:D374" si="11">D310+F310*(A311-A310)</f>
        <v>-93.57782632809166</v>
      </c>
      <c r="E311" s="74">
        <f t="shared" ref="E311:E374" si="12">E310+G310*(A311-A310)</f>
        <v>755.54754675097593</v>
      </c>
      <c r="F311" s="74">
        <f t="shared" si="7"/>
        <v>-182.86843632625744</v>
      </c>
      <c r="G311" s="74">
        <f t="shared" si="8"/>
        <v>1556.6302341077333</v>
      </c>
      <c r="H311" s="74">
        <f t="shared" ref="H311:H374" si="13">$C$19-B311</f>
        <v>20046.788913164044</v>
      </c>
      <c r="I311" s="74">
        <f t="shared" ref="I311:I374" si="14">$D$19-C311</f>
        <v>19622.226226624512</v>
      </c>
      <c r="J311" s="74">
        <f t="shared" ref="J311:J374" si="15">SQRT(H311^2+I311^2)</f>
        <v>28051.836086391701</v>
      </c>
      <c r="K311" s="74">
        <f t="shared" ref="K311:K374" si="16">$C$28-B311</f>
        <v>-19953.211086835956</v>
      </c>
      <c r="L311" s="74">
        <f t="shared" ref="L311:L374" si="17">$D$28-C311</f>
        <v>19622.226226624512</v>
      </c>
      <c r="M311" s="74">
        <f t="shared" ref="M311:M374" si="18">SQRT(K311^2+L311^2)</f>
        <v>27985.038766538528</v>
      </c>
      <c r="N311" s="74">
        <f t="shared" ref="N311:N374" si="19">$C$37-B311</f>
        <v>-4953.2110868359541</v>
      </c>
      <c r="O311" s="74">
        <f t="shared" ref="O311:O374" si="20">$D$37-C311</f>
        <v>-35377.773773375491</v>
      </c>
      <c r="P311" s="74">
        <f t="shared" ref="P311:P374" si="21">SQRT(N311^2+O311^2)</f>
        <v>35722.838314317763</v>
      </c>
    </row>
    <row r="312" spans="1:16" x14ac:dyDescent="0.3">
      <c r="A312" s="72">
        <f t="shared" ref="A312:A374" si="22">A311+$C$5</f>
        <v>1.5</v>
      </c>
      <c r="B312" s="74">
        <f t="shared" si="9"/>
        <v>-139.29493540965603</v>
      </c>
      <c r="C312" s="74">
        <f t="shared" si="10"/>
        <v>1144.7051052779093</v>
      </c>
      <c r="D312" s="74">
        <f t="shared" si="11"/>
        <v>-185.01204449122037</v>
      </c>
      <c r="E312" s="74">
        <f t="shared" si="12"/>
        <v>1533.8626638048427</v>
      </c>
      <c r="F312" s="74">
        <f t="shared" si="7"/>
        <v>-176.58850768637345</v>
      </c>
      <c r="G312" s="74">
        <f t="shared" si="8"/>
        <v>1643.9862571422129</v>
      </c>
      <c r="H312" s="74">
        <f t="shared" si="13"/>
        <v>20139.294935409656</v>
      </c>
      <c r="I312" s="74">
        <f t="shared" si="14"/>
        <v>18855.29489472209</v>
      </c>
      <c r="J312" s="74">
        <f t="shared" si="15"/>
        <v>27588.282767550972</v>
      </c>
      <c r="K312" s="74">
        <f t="shared" si="16"/>
        <v>-19860.705064590344</v>
      </c>
      <c r="L312" s="74">
        <f t="shared" si="17"/>
        <v>18855.29489472209</v>
      </c>
      <c r="M312" s="74">
        <f t="shared" si="18"/>
        <v>27385.575605226513</v>
      </c>
      <c r="N312" s="74">
        <f t="shared" si="19"/>
        <v>-4860.7050645903437</v>
      </c>
      <c r="O312" s="74">
        <f t="shared" si="20"/>
        <v>-36144.705105277906</v>
      </c>
      <c r="P312" s="74">
        <f t="shared" si="21"/>
        <v>36470.072125956052</v>
      </c>
    </row>
    <row r="313" spans="1:16" x14ac:dyDescent="0.3">
      <c r="A313" s="72">
        <f t="shared" si="22"/>
        <v>2</v>
      </c>
      <c r="B313" s="74">
        <f>B312+D312*(A313-A312)+F312*(A313-A312)^2</f>
        <v>-275.94808457685957</v>
      </c>
      <c r="C313" s="74">
        <f t="shared" si="10"/>
        <v>2322.6330014658838</v>
      </c>
      <c r="D313" s="74">
        <f t="shared" si="11"/>
        <v>-273.30629833440707</v>
      </c>
      <c r="E313" s="74">
        <f t="shared" si="12"/>
        <v>2355.855792375949</v>
      </c>
      <c r="F313" s="74">
        <f t="shared" si="7"/>
        <v>-173.54846502778761</v>
      </c>
      <c r="G313" s="74">
        <f t="shared" si="8"/>
        <v>1763.5573827812293</v>
      </c>
      <c r="H313" s="74">
        <f t="shared" si="13"/>
        <v>20275.948084576859</v>
      </c>
      <c r="I313" s="74">
        <f t="shared" si="14"/>
        <v>17677.366998534115</v>
      </c>
      <c r="J313" s="74">
        <f t="shared" si="15"/>
        <v>26899.876853422938</v>
      </c>
      <c r="K313" s="74">
        <f t="shared" si="16"/>
        <v>-19724.051915423141</v>
      </c>
      <c r="L313" s="74">
        <f t="shared" si="17"/>
        <v>17677.366998534115</v>
      </c>
      <c r="M313" s="74">
        <f t="shared" si="18"/>
        <v>26486.364944309935</v>
      </c>
      <c r="N313" s="74">
        <f t="shared" si="19"/>
        <v>-4724.0519154231406</v>
      </c>
      <c r="O313" s="74">
        <f t="shared" si="20"/>
        <v>-37322.633001465882</v>
      </c>
      <c r="P313" s="74">
        <f t="shared" si="21"/>
        <v>37620.414679555608</v>
      </c>
    </row>
    <row r="314" spans="1:16" x14ac:dyDescent="0.3">
      <c r="A314" s="72">
        <f t="shared" si="22"/>
        <v>2.5</v>
      </c>
      <c r="B314" s="74">
        <f t="shared" si="9"/>
        <v>-455.98835000101002</v>
      </c>
      <c r="C314" s="74">
        <f t="shared" si="10"/>
        <v>3941.4502433491657</v>
      </c>
      <c r="D314" s="74">
        <f t="shared" si="11"/>
        <v>-360.0805308483009</v>
      </c>
      <c r="E314" s="74">
        <f>E313+G313*(A314-A313)</f>
        <v>3237.6344837665638</v>
      </c>
      <c r="F314" s="74">
        <f t="shared" si="7"/>
        <v>-183.67773008589762</v>
      </c>
      <c r="G314" s="74">
        <f t="shared" si="8"/>
        <v>1894.3778698040771</v>
      </c>
      <c r="H314" s="74">
        <f t="shared" si="13"/>
        <v>20455.988350001011</v>
      </c>
      <c r="I314" s="74">
        <f t="shared" si="14"/>
        <v>16058.549756650835</v>
      </c>
      <c r="J314" s="74">
        <f t="shared" si="15"/>
        <v>26006.239244885208</v>
      </c>
      <c r="K314" s="74">
        <f t="shared" si="16"/>
        <v>-19544.011649998989</v>
      </c>
      <c r="L314" s="74">
        <f t="shared" si="17"/>
        <v>16058.549756650835</v>
      </c>
      <c r="M314" s="74">
        <f t="shared" si="18"/>
        <v>25295.165776529848</v>
      </c>
      <c r="N314" s="74">
        <f t="shared" si="19"/>
        <v>-4544.0116499989899</v>
      </c>
      <c r="O314" s="74">
        <f t="shared" si="20"/>
        <v>-38941.450243349165</v>
      </c>
      <c r="P314" s="74">
        <f t="shared" si="21"/>
        <v>39205.670367059982</v>
      </c>
    </row>
    <row r="315" spans="1:16" x14ac:dyDescent="0.3">
      <c r="A315" s="72">
        <f t="shared" si="22"/>
        <v>3</v>
      </c>
      <c r="B315" s="74">
        <f t="shared" si="9"/>
        <v>-681.94804794663492</v>
      </c>
      <c r="C315" s="74">
        <f t="shared" si="10"/>
        <v>6033.8619526834664</v>
      </c>
      <c r="D315" s="74">
        <f t="shared" si="11"/>
        <v>-451.91939589124968</v>
      </c>
      <c r="E315" s="74">
        <f t="shared" si="12"/>
        <v>4184.8234186686022</v>
      </c>
      <c r="F315" s="74">
        <f t="shared" si="7"/>
        <v>-225.50699582321059</v>
      </c>
      <c r="G315" s="74">
        <f t="shared" si="8"/>
        <v>1993.0402985710357</v>
      </c>
      <c r="H315" s="74">
        <f t="shared" si="13"/>
        <v>20681.948047946637</v>
      </c>
      <c r="I315" s="74">
        <f t="shared" si="14"/>
        <v>13966.138047316534</v>
      </c>
      <c r="J315" s="74">
        <f t="shared" si="15"/>
        <v>24955.880810235212</v>
      </c>
      <c r="K315" s="74">
        <f t="shared" si="16"/>
        <v>-19318.051952053363</v>
      </c>
      <c r="L315" s="74">
        <f t="shared" si="17"/>
        <v>13966.138047316534</v>
      </c>
      <c r="M315" s="74">
        <f t="shared" si="18"/>
        <v>23837.788135205315</v>
      </c>
      <c r="N315" s="74">
        <f t="shared" si="19"/>
        <v>-4318.0519520533653</v>
      </c>
      <c r="O315" s="74">
        <f t="shared" si="20"/>
        <v>-41033.861952683466</v>
      </c>
      <c r="P315" s="74">
        <f t="shared" si="21"/>
        <v>41260.433824822001</v>
      </c>
    </row>
    <row r="316" spans="1:16" x14ac:dyDescent="0.3">
      <c r="A316" s="72">
        <f t="shared" si="22"/>
        <v>3.5</v>
      </c>
      <c r="B316" s="74">
        <f t="shared" si="9"/>
        <v>-964.28449484806242</v>
      </c>
      <c r="C316" s="74">
        <f t="shared" si="10"/>
        <v>8624.5337366605272</v>
      </c>
      <c r="D316" s="74">
        <f t="shared" si="11"/>
        <v>-564.67289380285501</v>
      </c>
      <c r="E316" s="74">
        <f t="shared" si="12"/>
        <v>5181.3435679541199</v>
      </c>
      <c r="F316" s="74">
        <f t="shared" si="7"/>
        <v>-333.23712010982899</v>
      </c>
      <c r="G316" s="74">
        <f t="shared" si="8"/>
        <v>1975.1343022247113</v>
      </c>
      <c r="H316" s="74">
        <f t="shared" si="13"/>
        <v>20964.284494848063</v>
      </c>
      <c r="I316" s="74">
        <f t="shared" si="14"/>
        <v>11375.466263339473</v>
      </c>
      <c r="J316" s="74">
        <f t="shared" si="15"/>
        <v>23851.676190349837</v>
      </c>
      <c r="K316" s="74">
        <f t="shared" si="16"/>
        <v>-19035.715505151937</v>
      </c>
      <c r="L316" s="74">
        <f t="shared" si="17"/>
        <v>11375.466263339473</v>
      </c>
      <c r="M316" s="74">
        <f t="shared" si="18"/>
        <v>22175.655514583021</v>
      </c>
      <c r="N316" s="74">
        <f t="shared" si="19"/>
        <v>-4035.7155051519376</v>
      </c>
      <c r="O316" s="74">
        <f t="shared" si="20"/>
        <v>-43624.533736660524</v>
      </c>
      <c r="P316" s="74">
        <f t="shared" si="21"/>
        <v>43810.808522321931</v>
      </c>
    </row>
    <row r="317" spans="1:16" x14ac:dyDescent="0.3">
      <c r="A317" s="72">
        <f t="shared" si="22"/>
        <v>4</v>
      </c>
      <c r="B317" s="74">
        <f t="shared" si="9"/>
        <v>-1329.9302217769473</v>
      </c>
      <c r="C317" s="74">
        <f t="shared" si="10"/>
        <v>11708.989096193765</v>
      </c>
      <c r="D317" s="74">
        <f t="shared" si="11"/>
        <v>-731.29145385776951</v>
      </c>
      <c r="E317" s="74">
        <f t="shared" si="12"/>
        <v>6168.9107190664754</v>
      </c>
      <c r="F317" s="74">
        <f t="shared" si="7"/>
        <v>-563.41653747016824</v>
      </c>
      <c r="G317" s="74">
        <f t="shared" si="8"/>
        <v>1698.1021426649108</v>
      </c>
      <c r="H317" s="74">
        <f t="shared" si="13"/>
        <v>21329.930221776947</v>
      </c>
      <c r="I317" s="74">
        <f t="shared" si="14"/>
        <v>8291.0109038062346</v>
      </c>
      <c r="J317" s="74">
        <f t="shared" si="15"/>
        <v>22884.640811533562</v>
      </c>
      <c r="K317" s="74">
        <f t="shared" si="16"/>
        <v>-18670.069778223053</v>
      </c>
      <c r="L317" s="74">
        <f t="shared" si="17"/>
        <v>8291.0109038062346</v>
      </c>
      <c r="M317" s="74">
        <f t="shared" si="18"/>
        <v>20428.22477188734</v>
      </c>
      <c r="N317" s="74">
        <f t="shared" si="19"/>
        <v>-3670.0697782230527</v>
      </c>
      <c r="O317" s="74">
        <f t="shared" si="20"/>
        <v>-46708.989096193764</v>
      </c>
      <c r="P317" s="74">
        <f t="shared" si="21"/>
        <v>46852.951609961288</v>
      </c>
    </row>
    <row r="318" spans="1:16" x14ac:dyDescent="0.3">
      <c r="A318" s="72">
        <f t="shared" si="22"/>
        <v>4.5</v>
      </c>
      <c r="B318" s="74">
        <f t="shared" si="9"/>
        <v>-1836.4300830733741</v>
      </c>
      <c r="C318" s="74">
        <f t="shared" si="10"/>
        <v>15217.969991393231</v>
      </c>
      <c r="D318" s="74">
        <f t="shared" si="11"/>
        <v>-1012.9997225928537</v>
      </c>
      <c r="E318" s="74">
        <f t="shared" si="12"/>
        <v>7017.961790398931</v>
      </c>
      <c r="F318" s="74">
        <f t="shared" si="7"/>
        <v>-978.73092430862914</v>
      </c>
      <c r="G318" s="74">
        <f t="shared" si="8"/>
        <v>992.18624408152277</v>
      </c>
      <c r="H318" s="74">
        <f t="shared" si="13"/>
        <v>21836.430083073374</v>
      </c>
      <c r="I318" s="74">
        <f t="shared" si="14"/>
        <v>4782.0300086067691</v>
      </c>
      <c r="J318" s="74">
        <f t="shared" si="15"/>
        <v>22353.914417304357</v>
      </c>
      <c r="K318" s="74">
        <f t="shared" si="16"/>
        <v>-18163.569916926626</v>
      </c>
      <c r="L318" s="74">
        <f t="shared" si="17"/>
        <v>4782.0300086067691</v>
      </c>
      <c r="M318" s="74">
        <f t="shared" si="18"/>
        <v>18782.52068094955</v>
      </c>
      <c r="N318" s="74">
        <f t="shared" si="19"/>
        <v>-3163.5699169266259</v>
      </c>
      <c r="O318" s="74">
        <f t="shared" si="20"/>
        <v>-50217.969991393227</v>
      </c>
      <c r="P318" s="74">
        <f t="shared" si="21"/>
        <v>50317.51866572669</v>
      </c>
    </row>
    <row r="319" spans="1:16" x14ac:dyDescent="0.3">
      <c r="A319" s="72">
        <f t="shared" si="22"/>
        <v>5</v>
      </c>
      <c r="B319" s="74">
        <f t="shared" si="9"/>
        <v>-2587.6126754469583</v>
      </c>
      <c r="C319" s="74">
        <f t="shared" si="10"/>
        <v>18974.997447613077</v>
      </c>
      <c r="D319" s="74">
        <f t="shared" si="11"/>
        <v>-1502.3651847471683</v>
      </c>
      <c r="E319" s="74">
        <f t="shared" si="12"/>
        <v>7514.0549124396921</v>
      </c>
      <c r="F319" s="74">
        <f t="shared" si="7"/>
        <v>-1569.3448406148659</v>
      </c>
      <c r="G319" s="74">
        <f t="shared" si="8"/>
        <v>-189.07561021716754</v>
      </c>
      <c r="H319" s="74">
        <f t="shared" si="13"/>
        <v>22587.612675446959</v>
      </c>
      <c r="I319" s="74">
        <f t="shared" si="14"/>
        <v>1025.0025523869226</v>
      </c>
      <c r="J319" s="74">
        <f t="shared" si="15"/>
        <v>22610.85749387696</v>
      </c>
      <c r="K319" s="74">
        <f t="shared" si="16"/>
        <v>-17412.387324553041</v>
      </c>
      <c r="L319" s="74">
        <f t="shared" si="17"/>
        <v>1025.0025523869226</v>
      </c>
      <c r="M319" s="74">
        <f t="shared" si="18"/>
        <v>17442.530280112893</v>
      </c>
      <c r="N319" s="74">
        <f t="shared" si="19"/>
        <v>-2412.3873245530417</v>
      </c>
      <c r="O319" s="74">
        <f t="shared" si="20"/>
        <v>-53974.997447613074</v>
      </c>
      <c r="P319" s="74">
        <f t="shared" si="21"/>
        <v>54028.88081455604</v>
      </c>
    </row>
    <row r="320" spans="1:16" x14ac:dyDescent="0.3">
      <c r="A320" s="72">
        <f t="shared" si="22"/>
        <v>5.5</v>
      </c>
      <c r="B320" s="74">
        <f t="shared" si="9"/>
        <v>-3731.1314779742588</v>
      </c>
      <c r="C320" s="74">
        <f t="shared" si="10"/>
        <v>22684.756001278631</v>
      </c>
      <c r="D320" s="74">
        <f t="shared" si="11"/>
        <v>-2287.037605054601</v>
      </c>
      <c r="E320" s="74">
        <f t="shared" si="12"/>
        <v>7419.5171073311085</v>
      </c>
      <c r="F320" s="74">
        <f t="shared" si="7"/>
        <v>-2174.6278667461356</v>
      </c>
      <c r="G320" s="74">
        <f t="shared" si="8"/>
        <v>-1618.1496090816036</v>
      </c>
      <c r="H320" s="74">
        <f t="shared" si="13"/>
        <v>23731.131477974261</v>
      </c>
      <c r="I320" s="74">
        <f t="shared" si="14"/>
        <v>-2684.7560012786307</v>
      </c>
      <c r="J320" s="74">
        <f t="shared" si="15"/>
        <v>23882.514859438535</v>
      </c>
      <c r="K320" s="74">
        <f t="shared" si="16"/>
        <v>-16268.868522025741</v>
      </c>
      <c r="L320" s="74">
        <f t="shared" si="17"/>
        <v>-2684.7560012786307</v>
      </c>
      <c r="M320" s="74">
        <f t="shared" si="18"/>
        <v>16488.905293358974</v>
      </c>
      <c r="N320" s="74">
        <f t="shared" si="19"/>
        <v>-1268.8685220257412</v>
      </c>
      <c r="O320" s="74">
        <f t="shared" si="20"/>
        <v>-57684.756001278627</v>
      </c>
      <c r="P320" s="74">
        <f t="shared" si="21"/>
        <v>57698.709710471325</v>
      </c>
    </row>
    <row r="321" spans="1:16" x14ac:dyDescent="0.3">
      <c r="A321" s="72">
        <f t="shared" si="22"/>
        <v>6</v>
      </c>
      <c r="B321" s="74">
        <f t="shared" si="9"/>
        <v>-5418.3072471880932</v>
      </c>
      <c r="C321" s="74">
        <f t="shared" si="10"/>
        <v>25989.977152673782</v>
      </c>
      <c r="D321" s="74">
        <f t="shared" si="11"/>
        <v>-3374.3515384276689</v>
      </c>
      <c r="E321" s="74">
        <f t="shared" si="12"/>
        <v>6610.4423027903067</v>
      </c>
      <c r="F321" s="74">
        <f t="shared" si="7"/>
        <v>-2600.7983777965874</v>
      </c>
      <c r="G321" s="74">
        <f t="shared" si="8"/>
        <v>-2981.8176379952083</v>
      </c>
      <c r="H321" s="74">
        <f t="shared" si="13"/>
        <v>25418.307247188095</v>
      </c>
      <c r="I321" s="74">
        <f t="shared" si="14"/>
        <v>-5989.9771526737823</v>
      </c>
      <c r="J321" s="74">
        <f t="shared" si="15"/>
        <v>26114.558575668259</v>
      </c>
      <c r="K321" s="74">
        <f t="shared" si="16"/>
        <v>-14581.692752811907</v>
      </c>
      <c r="L321" s="74">
        <f t="shared" si="17"/>
        <v>-5989.9771526737823</v>
      </c>
      <c r="M321" s="74">
        <f t="shared" si="18"/>
        <v>15764.060067982524</v>
      </c>
      <c r="N321" s="74">
        <f t="shared" si="19"/>
        <v>418.30724718809324</v>
      </c>
      <c r="O321" s="74">
        <f t="shared" si="20"/>
        <v>-60989.977152673782</v>
      </c>
      <c r="P321" s="74">
        <f t="shared" si="21"/>
        <v>60991.411641613282</v>
      </c>
    </row>
    <row r="322" spans="1:16" x14ac:dyDescent="0.3">
      <c r="A322" s="72">
        <f t="shared" si="22"/>
        <v>6.5</v>
      </c>
      <c r="B322" s="74">
        <f t="shared" si="9"/>
        <v>-7755.6826108510741</v>
      </c>
      <c r="C322" s="74">
        <f t="shared" si="10"/>
        <v>28549.743894570136</v>
      </c>
      <c r="D322" s="74">
        <f t="shared" si="11"/>
        <v>-4674.7507273259625</v>
      </c>
      <c r="E322" s="74">
        <f t="shared" si="12"/>
        <v>5119.5334837927021</v>
      </c>
      <c r="F322" s="74">
        <f t="shared" si="7"/>
        <v>-2800.2861373638689</v>
      </c>
      <c r="G322" s="74">
        <f t="shared" si="8"/>
        <v>-4224.5485016467383</v>
      </c>
      <c r="H322" s="74">
        <f t="shared" si="13"/>
        <v>27755.682610851072</v>
      </c>
      <c r="I322" s="74">
        <f t="shared" si="14"/>
        <v>-8549.743894570136</v>
      </c>
      <c r="J322" s="74">
        <f t="shared" si="15"/>
        <v>29042.658932285107</v>
      </c>
      <c r="K322" s="74">
        <f t="shared" si="16"/>
        <v>-12244.317389148926</v>
      </c>
      <c r="L322" s="74">
        <f t="shared" si="17"/>
        <v>-8549.743894570136</v>
      </c>
      <c r="M322" s="74">
        <f t="shared" si="18"/>
        <v>14933.902001451397</v>
      </c>
      <c r="N322" s="74">
        <f t="shared" si="19"/>
        <v>2755.6826108510741</v>
      </c>
      <c r="O322" s="74">
        <f t="shared" si="20"/>
        <v>-63549.743894570136</v>
      </c>
      <c r="P322" s="74">
        <f t="shared" si="21"/>
        <v>63609.462627168934</v>
      </c>
    </row>
    <row r="323" spans="1:16" x14ac:dyDescent="0.3">
      <c r="A323" s="72">
        <f t="shared" si="22"/>
        <v>7</v>
      </c>
      <c r="B323" s="74">
        <f t="shared" si="9"/>
        <v>-10793.129508855021</v>
      </c>
      <c r="C323" s="74">
        <f t="shared" si="10"/>
        <v>30053.3735110548</v>
      </c>
      <c r="D323" s="74">
        <f t="shared" si="11"/>
        <v>-6074.8937960078965</v>
      </c>
      <c r="E323" s="74">
        <f t="shared" si="12"/>
        <v>3007.259232969333</v>
      </c>
      <c r="F323" s="74">
        <f t="shared" si="7"/>
        <v>-2803.0548621253783</v>
      </c>
      <c r="G323" s="74">
        <f t="shared" si="8"/>
        <v>-5604.5173189604848</v>
      </c>
      <c r="H323" s="74">
        <f t="shared" si="13"/>
        <v>30793.129508855021</v>
      </c>
      <c r="I323" s="74">
        <f t="shared" si="14"/>
        <v>-10053.3735110548</v>
      </c>
      <c r="J323" s="74">
        <f t="shared" si="15"/>
        <v>32392.702016069859</v>
      </c>
      <c r="K323" s="74">
        <f t="shared" si="16"/>
        <v>-9206.8704911449786</v>
      </c>
      <c r="L323" s="74">
        <f t="shared" si="17"/>
        <v>-10053.3735110548</v>
      </c>
      <c r="M323" s="74">
        <f t="shared" si="18"/>
        <v>13632.19656524562</v>
      </c>
      <c r="N323" s="74">
        <f t="shared" si="19"/>
        <v>5793.1295088550214</v>
      </c>
      <c r="O323" s="74">
        <f t="shared" si="20"/>
        <v>-65053.3735110548</v>
      </c>
      <c r="P323" s="74">
        <f t="shared" si="21"/>
        <v>65310.808865571198</v>
      </c>
    </row>
    <row r="324" spans="1:16" x14ac:dyDescent="0.3">
      <c r="A324" s="72">
        <f t="shared" si="22"/>
        <v>7.5</v>
      </c>
      <c r="B324" s="74">
        <f t="shared" si="9"/>
        <v>-14531.340122390315</v>
      </c>
      <c r="C324" s="74">
        <f t="shared" si="10"/>
        <v>30155.873797799348</v>
      </c>
      <c r="D324" s="74">
        <f t="shared" si="11"/>
        <v>-7476.4212270705857</v>
      </c>
      <c r="E324" s="74">
        <f t="shared" si="12"/>
        <v>205.00057348909058</v>
      </c>
      <c r="F324" s="74">
        <f t="shared" si="7"/>
        <v>-2424.8923407138832</v>
      </c>
      <c r="G324" s="74">
        <f t="shared" si="8"/>
        <v>-7647.4342511361683</v>
      </c>
      <c r="H324" s="74">
        <f t="shared" si="13"/>
        <v>34531.340122390313</v>
      </c>
      <c r="I324" s="74">
        <f t="shared" si="14"/>
        <v>-10155.873797799348</v>
      </c>
      <c r="J324" s="74">
        <f t="shared" si="15"/>
        <v>35993.822014965714</v>
      </c>
      <c r="K324" s="74">
        <f t="shared" si="16"/>
        <v>-5468.6598776096853</v>
      </c>
      <c r="L324" s="74">
        <f t="shared" si="17"/>
        <v>-10155.873797799348</v>
      </c>
      <c r="M324" s="74">
        <f t="shared" si="18"/>
        <v>11534.644054057555</v>
      </c>
      <c r="N324" s="74">
        <f t="shared" si="19"/>
        <v>9531.3401223903147</v>
      </c>
      <c r="O324" s="74">
        <f t="shared" si="20"/>
        <v>-65155.873797799344</v>
      </c>
      <c r="P324" s="74">
        <f t="shared" si="21"/>
        <v>65849.330557595211</v>
      </c>
    </row>
    <row r="325" spans="1:16" x14ac:dyDescent="0.3">
      <c r="A325" s="72">
        <f t="shared" si="22"/>
        <v>8</v>
      </c>
      <c r="B325" s="74">
        <f t="shared" si="9"/>
        <v>-18875.773821104078</v>
      </c>
      <c r="C325" s="74">
        <f t="shared" si="10"/>
        <v>28346.515521759851</v>
      </c>
      <c r="D325" s="74">
        <f t="shared" si="11"/>
        <v>-8688.867397427528</v>
      </c>
      <c r="E325" s="74">
        <f t="shared" si="12"/>
        <v>-3618.7165520789936</v>
      </c>
      <c r="F325" s="74">
        <f t="shared" si="7"/>
        <v>-260.0323394431739</v>
      </c>
      <c r="G325" s="74">
        <f t="shared" si="8"/>
        <v>-10908.944275476657</v>
      </c>
      <c r="H325" s="74">
        <f t="shared" si="13"/>
        <v>38875.773821104078</v>
      </c>
      <c r="I325" s="74">
        <f t="shared" si="14"/>
        <v>-8346.5155217598513</v>
      </c>
      <c r="J325" s="74">
        <f t="shared" si="15"/>
        <v>39761.666357744856</v>
      </c>
      <c r="K325" s="74">
        <f t="shared" si="16"/>
        <v>-1124.2261788959222</v>
      </c>
      <c r="L325" s="74">
        <f t="shared" si="17"/>
        <v>-8346.5155217598513</v>
      </c>
      <c r="M325" s="74">
        <f t="shared" si="18"/>
        <v>8421.8884970232812</v>
      </c>
      <c r="N325" s="74">
        <f t="shared" si="19"/>
        <v>13875.773821104078</v>
      </c>
      <c r="O325" s="74">
        <f t="shared" si="20"/>
        <v>-63346.515521759851</v>
      </c>
      <c r="P325" s="74">
        <f t="shared" si="21"/>
        <v>64848.424251349381</v>
      </c>
    </row>
    <row r="326" spans="1:16" x14ac:dyDescent="0.3">
      <c r="A326" s="72">
        <f t="shared" si="22"/>
        <v>8.5</v>
      </c>
      <c r="B326" s="74">
        <f t="shared" si="9"/>
        <v>-23285.215604678637</v>
      </c>
      <c r="C326" s="74">
        <f t="shared" si="10"/>
        <v>23809.921176851189</v>
      </c>
      <c r="D326" s="74">
        <f t="shared" si="11"/>
        <v>-8818.8835671491142</v>
      </c>
      <c r="E326" s="74">
        <f t="shared" si="12"/>
        <v>-9073.1886898173216</v>
      </c>
      <c r="F326" s="74">
        <f t="shared" si="7"/>
        <v>8909.4431532372055</v>
      </c>
      <c r="G326" s="74">
        <f t="shared" si="8"/>
        <v>-9654.571694265971</v>
      </c>
      <c r="H326" s="74">
        <f t="shared" si="13"/>
        <v>43285.21560467864</v>
      </c>
      <c r="I326" s="74">
        <f t="shared" si="14"/>
        <v>-3809.9211768511886</v>
      </c>
      <c r="J326" s="74">
        <f t="shared" si="15"/>
        <v>43452.564818631065</v>
      </c>
      <c r="K326" s="74">
        <f t="shared" si="16"/>
        <v>3285.2156046786367</v>
      </c>
      <c r="L326" s="74">
        <f t="shared" si="17"/>
        <v>-3809.9211768511886</v>
      </c>
      <c r="M326" s="74">
        <f t="shared" si="18"/>
        <v>5030.7197241590757</v>
      </c>
      <c r="N326" s="74">
        <f t="shared" si="19"/>
        <v>18285.215604678637</v>
      </c>
      <c r="O326" s="74">
        <f t="shared" si="20"/>
        <v>-58809.921176851189</v>
      </c>
      <c r="P326" s="74">
        <f t="shared" si="21"/>
        <v>61586.97864432897</v>
      </c>
    </row>
    <row r="327" spans="1:16" x14ac:dyDescent="0.3">
      <c r="A327" s="72">
        <f t="shared" si="22"/>
        <v>9</v>
      </c>
      <c r="B327" s="74">
        <f t="shared" si="9"/>
        <v>-25467.296599943893</v>
      </c>
      <c r="C327" s="74">
        <f t="shared" si="10"/>
        <v>16859.683908376035</v>
      </c>
      <c r="D327" s="74">
        <f t="shared" si="11"/>
        <v>-4364.1619905305115</v>
      </c>
      <c r="E327" s="74">
        <f t="shared" si="12"/>
        <v>-13900.474536950307</v>
      </c>
      <c r="F327" s="74">
        <f t="shared" si="7"/>
        <v>11289.696160063902</v>
      </c>
      <c r="G327" s="74">
        <f t="shared" si="8"/>
        <v>5441.0844407496716</v>
      </c>
      <c r="H327" s="74">
        <f t="shared" si="13"/>
        <v>45467.296599943889</v>
      </c>
      <c r="I327" s="74">
        <f t="shared" si="14"/>
        <v>3140.3160916239649</v>
      </c>
      <c r="J327" s="74">
        <f t="shared" si="15"/>
        <v>45575.614590069781</v>
      </c>
      <c r="K327" s="74">
        <f t="shared" si="16"/>
        <v>5467.2965999438929</v>
      </c>
      <c r="L327" s="74">
        <f t="shared" si="17"/>
        <v>3140.3160916239649</v>
      </c>
      <c r="M327" s="74">
        <f t="shared" si="18"/>
        <v>6304.9914565422259</v>
      </c>
      <c r="N327" s="74">
        <f t="shared" si="19"/>
        <v>20467.296599943893</v>
      </c>
      <c r="O327" s="74">
        <f t="shared" si="20"/>
        <v>-51859.683908376035</v>
      </c>
      <c r="P327" s="74">
        <f t="shared" si="21"/>
        <v>55752.462234297345</v>
      </c>
    </row>
    <row r="328" spans="1:16" x14ac:dyDescent="0.3">
      <c r="A328" s="72">
        <f t="shared" si="22"/>
        <v>9.5</v>
      </c>
      <c r="B328" s="74">
        <f t="shared" si="9"/>
        <v>-24826.953555193173</v>
      </c>
      <c r="C328" s="74">
        <f t="shared" si="10"/>
        <v>11269.717750088299</v>
      </c>
      <c r="D328" s="74">
        <f t="shared" si="11"/>
        <v>1280.6860895014397</v>
      </c>
      <c r="E328" s="74">
        <f t="shared" si="12"/>
        <v>-11179.932316575472</v>
      </c>
      <c r="F328" s="74">
        <f t="shared" si="7"/>
        <v>5452.5257742692384</v>
      </c>
      <c r="G328" s="74">
        <f t="shared" si="8"/>
        <v>7471.1106925311633</v>
      </c>
      <c r="H328" s="74">
        <f t="shared" si="13"/>
        <v>44826.953555193177</v>
      </c>
      <c r="I328" s="74">
        <f t="shared" si="14"/>
        <v>8730.282249911701</v>
      </c>
      <c r="J328" s="74">
        <f t="shared" si="15"/>
        <v>45669.17552575883</v>
      </c>
      <c r="K328" s="74">
        <f t="shared" si="16"/>
        <v>4826.9535551931731</v>
      </c>
      <c r="L328" s="74">
        <f t="shared" si="17"/>
        <v>8730.282249911701</v>
      </c>
      <c r="M328" s="74">
        <f t="shared" si="18"/>
        <v>9975.836245002989</v>
      </c>
      <c r="N328" s="74">
        <f t="shared" si="19"/>
        <v>19826.953555193173</v>
      </c>
      <c r="O328" s="74">
        <f t="shared" si="20"/>
        <v>-46269.717750088297</v>
      </c>
      <c r="P328" s="74">
        <f t="shared" si="21"/>
        <v>50338.800819572803</v>
      </c>
    </row>
    <row r="329" spans="1:16" x14ac:dyDescent="0.3">
      <c r="A329" s="72">
        <f t="shared" si="22"/>
        <v>10</v>
      </c>
      <c r="B329" s="74">
        <f t="shared" si="9"/>
        <v>-22823.479066875145</v>
      </c>
      <c r="C329" s="74">
        <f t="shared" si="10"/>
        <v>7547.5292649333533</v>
      </c>
      <c r="D329" s="74">
        <f t="shared" si="11"/>
        <v>4006.9489766360589</v>
      </c>
      <c r="E329" s="74">
        <f t="shared" si="12"/>
        <v>-7444.3769703098906</v>
      </c>
      <c r="F329" s="74">
        <f t="shared" si="7"/>
        <v>2663.2791765661827</v>
      </c>
      <c r="G329" s="74">
        <f t="shared" si="8"/>
        <v>6277.9647333332005</v>
      </c>
      <c r="H329" s="74">
        <f t="shared" si="13"/>
        <v>42823.479066875145</v>
      </c>
      <c r="I329" s="74">
        <f t="shared" si="14"/>
        <v>12452.470735066647</v>
      </c>
      <c r="J329" s="74">
        <f t="shared" si="15"/>
        <v>44597.24640377234</v>
      </c>
      <c r="K329" s="74">
        <f t="shared" si="16"/>
        <v>2823.4790668751448</v>
      </c>
      <c r="L329" s="74">
        <f t="shared" si="17"/>
        <v>12452.470735066647</v>
      </c>
      <c r="M329" s="74">
        <f t="shared" si="18"/>
        <v>12768.557532030523</v>
      </c>
      <c r="N329" s="74">
        <f t="shared" si="19"/>
        <v>17823.479066875145</v>
      </c>
      <c r="O329" s="74">
        <f t="shared" si="20"/>
        <v>-42547.529264933357</v>
      </c>
      <c r="P329" s="74">
        <f t="shared" si="21"/>
        <v>46129.910606868696</v>
      </c>
    </row>
    <row r="330" spans="1:16" x14ac:dyDescent="0.3">
      <c r="A330" s="72">
        <f t="shared" si="22"/>
        <v>10.5</v>
      </c>
      <c r="B330" s="74">
        <f t="shared" si="9"/>
        <v>-20154.184784415571</v>
      </c>
      <c r="C330" s="74">
        <f t="shared" si="10"/>
        <v>5394.8319631117083</v>
      </c>
      <c r="D330" s="74">
        <f t="shared" si="11"/>
        <v>5338.5885649191505</v>
      </c>
      <c r="E330" s="74">
        <f t="shared" si="12"/>
        <v>-4305.3946036432899</v>
      </c>
      <c r="F330" s="74">
        <f t="shared" si="7"/>
        <v>1249.6193792413351</v>
      </c>
      <c r="G330" s="74">
        <f t="shared" si="8"/>
        <v>5296.9901377367723</v>
      </c>
      <c r="H330" s="74">
        <f t="shared" si="13"/>
        <v>40154.184784415571</v>
      </c>
      <c r="I330" s="74">
        <f t="shared" si="14"/>
        <v>14605.168036888292</v>
      </c>
      <c r="J330" s="74">
        <f t="shared" si="15"/>
        <v>42727.853785168452</v>
      </c>
      <c r="K330" s="74">
        <f t="shared" si="16"/>
        <v>154.1847844155709</v>
      </c>
      <c r="L330" s="74">
        <f t="shared" si="17"/>
        <v>14605.168036888292</v>
      </c>
      <c r="M330" s="74">
        <f t="shared" si="18"/>
        <v>14605.981868176088</v>
      </c>
      <c r="N330" s="74">
        <f t="shared" si="19"/>
        <v>15154.184784415571</v>
      </c>
      <c r="O330" s="74">
        <f t="shared" si="20"/>
        <v>-40394.831963111705</v>
      </c>
      <c r="P330" s="74">
        <f t="shared" si="21"/>
        <v>43143.849686928072</v>
      </c>
    </row>
    <row r="331" spans="1:16" x14ac:dyDescent="0.3">
      <c r="A331" s="72">
        <f t="shared" si="22"/>
        <v>11</v>
      </c>
      <c r="B331" s="74">
        <f t="shared" si="9"/>
        <v>-17172.485657145662</v>
      </c>
      <c r="C331" s="74">
        <f t="shared" si="10"/>
        <v>4566.3821957242562</v>
      </c>
      <c r="D331" s="74">
        <f t="shared" si="11"/>
        <v>5963.3982545398176</v>
      </c>
      <c r="E331" s="74">
        <f t="shared" si="12"/>
        <v>-1656.8995347749037</v>
      </c>
      <c r="F331" s="74">
        <f t="shared" si="7"/>
        <v>296.07216215448659</v>
      </c>
      <c r="G331" s="74">
        <f t="shared" si="8"/>
        <v>4643.7523603714708</v>
      </c>
      <c r="H331" s="74">
        <f t="shared" si="13"/>
        <v>37172.485657145662</v>
      </c>
      <c r="I331" s="74">
        <f t="shared" si="14"/>
        <v>15433.617804275744</v>
      </c>
      <c r="J331" s="74">
        <f t="shared" si="15"/>
        <v>40249.10245532386</v>
      </c>
      <c r="K331" s="74">
        <f t="shared" si="16"/>
        <v>-2827.5143428543379</v>
      </c>
      <c r="L331" s="74">
        <f t="shared" si="17"/>
        <v>15433.617804275744</v>
      </c>
      <c r="M331" s="74">
        <f t="shared" si="18"/>
        <v>15690.487433075628</v>
      </c>
      <c r="N331" s="74">
        <f t="shared" si="19"/>
        <v>12172.485657145662</v>
      </c>
      <c r="O331" s="74">
        <f t="shared" si="20"/>
        <v>-39566.382195724254</v>
      </c>
      <c r="P331" s="74">
        <f t="shared" si="21"/>
        <v>41396.473365874321</v>
      </c>
    </row>
    <row r="332" spans="1:16" x14ac:dyDescent="0.3">
      <c r="A332" s="72">
        <f t="shared" si="22"/>
        <v>11.5</v>
      </c>
      <c r="B332" s="74">
        <f t="shared" si="9"/>
        <v>-14116.768489337132</v>
      </c>
      <c r="C332" s="74">
        <f t="shared" si="10"/>
        <v>4898.8705184296723</v>
      </c>
      <c r="D332" s="74">
        <f t="shared" si="11"/>
        <v>6111.4343356170612</v>
      </c>
      <c r="E332" s="74">
        <f t="shared" si="12"/>
        <v>664.97664541083168</v>
      </c>
      <c r="F332" s="74">
        <f t="shared" si="7"/>
        <v>-508.00668524117305</v>
      </c>
      <c r="G332" s="74">
        <f t="shared" si="8"/>
        <v>4191.2553054045766</v>
      </c>
      <c r="H332" s="74">
        <f t="shared" si="13"/>
        <v>34116.768489337133</v>
      </c>
      <c r="I332" s="74">
        <f t="shared" si="14"/>
        <v>15101.129481570328</v>
      </c>
      <c r="J332" s="74">
        <f t="shared" si="15"/>
        <v>37309.489460111618</v>
      </c>
      <c r="K332" s="74">
        <f t="shared" si="16"/>
        <v>-5883.2315106628685</v>
      </c>
      <c r="L332" s="74">
        <f t="shared" si="17"/>
        <v>15101.129481570328</v>
      </c>
      <c r="M332" s="74">
        <f t="shared" si="18"/>
        <v>16206.681481019148</v>
      </c>
      <c r="N332" s="74">
        <f t="shared" si="19"/>
        <v>9116.7684893371315</v>
      </c>
      <c r="O332" s="74">
        <f t="shared" si="20"/>
        <v>-39898.87051842967</v>
      </c>
      <c r="P332" s="74">
        <f t="shared" si="21"/>
        <v>40927.195559121647</v>
      </c>
    </row>
    <row r="333" spans="1:16" x14ac:dyDescent="0.3">
      <c r="A333" s="72">
        <f t="shared" si="22"/>
        <v>12</v>
      </c>
      <c r="B333" s="74">
        <f t="shared" si="9"/>
        <v>-11188.052992838895</v>
      </c>
      <c r="C333" s="74">
        <f t="shared" si="10"/>
        <v>6279.172667486233</v>
      </c>
      <c r="D333" s="74">
        <f t="shared" si="11"/>
        <v>5857.4309929964747</v>
      </c>
      <c r="E333" s="74">
        <f t="shared" si="12"/>
        <v>2760.60429811312</v>
      </c>
      <c r="F333" s="74">
        <f t="shared" si="7"/>
        <v>-1251.7941322154993</v>
      </c>
      <c r="G333" s="74">
        <f t="shared" si="8"/>
        <v>3807.7425926704987</v>
      </c>
      <c r="H333" s="74">
        <f t="shared" si="13"/>
        <v>31188.052992838893</v>
      </c>
      <c r="I333" s="74">
        <f t="shared" si="14"/>
        <v>13720.827332513767</v>
      </c>
      <c r="J333" s="74">
        <f t="shared" si="15"/>
        <v>34072.800767955428</v>
      </c>
      <c r="K333" s="74">
        <f t="shared" si="16"/>
        <v>-8811.9470071611049</v>
      </c>
      <c r="L333" s="74">
        <f t="shared" si="17"/>
        <v>13720.827332513767</v>
      </c>
      <c r="M333" s="74">
        <f t="shared" si="18"/>
        <v>16306.793453823851</v>
      </c>
      <c r="N333" s="74">
        <f t="shared" si="19"/>
        <v>6188.0529928388951</v>
      </c>
      <c r="O333" s="74">
        <f t="shared" si="20"/>
        <v>-41279.172667486229</v>
      </c>
      <c r="P333" s="74">
        <f t="shared" si="21"/>
        <v>41740.413222131909</v>
      </c>
    </row>
    <row r="334" spans="1:16" x14ac:dyDescent="0.3">
      <c r="A334" s="72">
        <f t="shared" si="22"/>
        <v>12.5</v>
      </c>
      <c r="B334" s="74">
        <f t="shared" si="9"/>
        <v>-8572.2860293945323</v>
      </c>
      <c r="C334" s="74">
        <f t="shared" si="10"/>
        <v>8611.4104647104177</v>
      </c>
      <c r="D334" s="74">
        <f t="shared" si="11"/>
        <v>5231.5339268887255</v>
      </c>
      <c r="E334" s="74">
        <f t="shared" si="12"/>
        <v>4664.4755944483695</v>
      </c>
      <c r="F334" s="74">
        <f t="shared" si="7"/>
        <v>-1922.510002096619</v>
      </c>
      <c r="G334" s="74">
        <f t="shared" si="8"/>
        <v>3326.9543290527308</v>
      </c>
      <c r="H334" s="74">
        <f t="shared" si="13"/>
        <v>28572.286029394534</v>
      </c>
      <c r="I334" s="74">
        <f t="shared" si="14"/>
        <v>11388.589535289582</v>
      </c>
      <c r="J334" s="74">
        <f t="shared" si="15"/>
        <v>30758.340341260962</v>
      </c>
      <c r="K334" s="74">
        <f t="shared" si="16"/>
        <v>-11427.713970605468</v>
      </c>
      <c r="L334" s="74">
        <f t="shared" si="17"/>
        <v>11388.589535289582</v>
      </c>
      <c r="M334" s="74">
        <f t="shared" si="18"/>
        <v>16133.586650130799</v>
      </c>
      <c r="N334" s="74">
        <f t="shared" si="19"/>
        <v>3572.2860293945323</v>
      </c>
      <c r="O334" s="74">
        <f t="shared" si="20"/>
        <v>-43611.410464710418</v>
      </c>
      <c r="P334" s="74">
        <f t="shared" si="21"/>
        <v>43757.471935627873</v>
      </c>
    </row>
    <row r="335" spans="1:16" x14ac:dyDescent="0.3">
      <c r="A335" s="72">
        <f t="shared" si="22"/>
        <v>13</v>
      </c>
      <c r="B335" s="74">
        <f t="shared" si="9"/>
        <v>-6437.1465664743246</v>
      </c>
      <c r="C335" s="74">
        <f t="shared" si="10"/>
        <v>11775.386844197785</v>
      </c>
      <c r="D335" s="74">
        <f t="shared" si="11"/>
        <v>4270.2789258404164</v>
      </c>
      <c r="E335" s="74">
        <f t="shared" si="12"/>
        <v>6327.9527589747349</v>
      </c>
      <c r="F335" s="74">
        <f t="shared" si="7"/>
        <v>-2434.1123987455626</v>
      </c>
      <c r="G335" s="74">
        <f t="shared" si="8"/>
        <v>2530.2091755692131</v>
      </c>
      <c r="H335" s="74">
        <f t="shared" si="13"/>
        <v>26437.146566474323</v>
      </c>
      <c r="I335" s="74">
        <f t="shared" si="14"/>
        <v>8224.6131558022153</v>
      </c>
      <c r="J335" s="74">
        <f t="shared" si="15"/>
        <v>27686.946024071345</v>
      </c>
      <c r="K335" s="74">
        <f t="shared" si="16"/>
        <v>-13562.853433525675</v>
      </c>
      <c r="L335" s="74">
        <f t="shared" si="17"/>
        <v>8224.6131558022153</v>
      </c>
      <c r="M335" s="74">
        <f t="shared" si="18"/>
        <v>15861.754468591867</v>
      </c>
      <c r="N335" s="74">
        <f t="shared" si="19"/>
        <v>1437.1465664743246</v>
      </c>
      <c r="O335" s="74">
        <f t="shared" si="20"/>
        <v>-46775.386844197783</v>
      </c>
      <c r="P335" s="74">
        <f t="shared" si="21"/>
        <v>46797.459382725901</v>
      </c>
    </row>
    <row r="336" spans="1:16" x14ac:dyDescent="0.3">
      <c r="A336" s="72">
        <f t="shared" si="22"/>
        <v>13.5</v>
      </c>
      <c r="B336" s="74">
        <f t="shared" si="9"/>
        <v>-4910.5352032405071</v>
      </c>
      <c r="C336" s="74">
        <f t="shared" si="10"/>
        <v>15571.915517577456</v>
      </c>
      <c r="D336" s="74">
        <f t="shared" si="11"/>
        <v>3053.2227264676349</v>
      </c>
      <c r="E336" s="74">
        <f t="shared" si="12"/>
        <v>7593.0573467593413</v>
      </c>
      <c r="F336" s="74">
        <f t="shared" si="7"/>
        <v>-2647.7848218287272</v>
      </c>
      <c r="G336" s="74">
        <f t="shared" si="8"/>
        <v>1236.6239168379468</v>
      </c>
      <c r="H336" s="74">
        <f t="shared" si="13"/>
        <v>24910.535203240506</v>
      </c>
      <c r="I336" s="74">
        <f t="shared" si="14"/>
        <v>4428.0844824225442</v>
      </c>
      <c r="J336" s="74">
        <f t="shared" si="15"/>
        <v>25301.04140732859</v>
      </c>
      <c r="K336" s="74">
        <f t="shared" si="16"/>
        <v>-15089.464796759494</v>
      </c>
      <c r="L336" s="74">
        <f t="shared" si="17"/>
        <v>4428.0844824225442</v>
      </c>
      <c r="M336" s="74">
        <f t="shared" si="18"/>
        <v>15725.771206402418</v>
      </c>
      <c r="N336" s="74">
        <f t="shared" si="19"/>
        <v>-89.464796759492856</v>
      </c>
      <c r="O336" s="74">
        <f t="shared" si="20"/>
        <v>-50571.915517577458</v>
      </c>
      <c r="P336" s="74">
        <f t="shared" si="21"/>
        <v>50571.994651851048</v>
      </c>
    </row>
    <row r="337" spans="1:16" x14ac:dyDescent="0.3">
      <c r="A337" s="72">
        <f t="shared" si="22"/>
        <v>14</v>
      </c>
      <c r="B337" s="74">
        <f t="shared" si="9"/>
        <v>-4045.8700454638715</v>
      </c>
      <c r="C337" s="74">
        <f t="shared" si="10"/>
        <v>19677.60017016661</v>
      </c>
      <c r="D337" s="74">
        <f t="shared" si="11"/>
        <v>1729.3303155532712</v>
      </c>
      <c r="E337" s="74">
        <f t="shared" si="12"/>
        <v>8211.3693051783139</v>
      </c>
      <c r="F337" s="74">
        <f t="shared" si="7"/>
        <v>-2494.9807760944636</v>
      </c>
      <c r="G337" s="74">
        <f t="shared" si="8"/>
        <v>-434.95752960428291</v>
      </c>
      <c r="H337" s="74">
        <f t="shared" si="13"/>
        <v>24045.870045463871</v>
      </c>
      <c r="I337" s="74">
        <f t="shared" si="14"/>
        <v>322.39982983338996</v>
      </c>
      <c r="J337" s="74">
        <f t="shared" si="15"/>
        <v>24048.031268559454</v>
      </c>
      <c r="K337" s="74">
        <f t="shared" si="16"/>
        <v>-15954.129954536129</v>
      </c>
      <c r="L337" s="74">
        <f t="shared" si="17"/>
        <v>322.39982983338996</v>
      </c>
      <c r="M337" s="74">
        <f t="shared" si="18"/>
        <v>15957.387137514199</v>
      </c>
      <c r="N337" s="74">
        <f t="shared" si="19"/>
        <v>-954.12995453612848</v>
      </c>
      <c r="O337" s="74">
        <f t="shared" si="20"/>
        <v>-54677.60017016661</v>
      </c>
      <c r="P337" s="74">
        <f t="shared" si="21"/>
        <v>54685.924371256144</v>
      </c>
    </row>
    <row r="338" spans="1:16" x14ac:dyDescent="0.3">
      <c r="A338" s="72">
        <f t="shared" si="22"/>
        <v>14.5</v>
      </c>
      <c r="B338" s="74">
        <f t="shared" si="9"/>
        <v>-3804.9500817108519</v>
      </c>
      <c r="C338" s="74">
        <f t="shared" si="10"/>
        <v>23674.545440354694</v>
      </c>
      <c r="D338" s="74">
        <f t="shared" si="11"/>
        <v>481.83992750603943</v>
      </c>
      <c r="E338" s="74">
        <f t="shared" si="12"/>
        <v>7993.8905403761728</v>
      </c>
      <c r="F338" s="74">
        <f t="shared" si="7"/>
        <v>-2120.3686533423775</v>
      </c>
      <c r="G338" s="74">
        <f t="shared" si="8"/>
        <v>-1978.3687855390226</v>
      </c>
      <c r="H338" s="74">
        <f t="shared" si="13"/>
        <v>23804.950081710853</v>
      </c>
      <c r="I338" s="74">
        <f t="shared" si="14"/>
        <v>-3674.5454403546937</v>
      </c>
      <c r="J338" s="74">
        <f t="shared" si="15"/>
        <v>24086.882998552905</v>
      </c>
      <c r="K338" s="74">
        <f t="shared" si="16"/>
        <v>-16195.049918289147</v>
      </c>
      <c r="L338" s="74">
        <f t="shared" si="17"/>
        <v>-3674.5454403546937</v>
      </c>
      <c r="M338" s="74">
        <f t="shared" si="18"/>
        <v>16606.683174225636</v>
      </c>
      <c r="N338" s="74">
        <f t="shared" si="19"/>
        <v>-1195.0499182891481</v>
      </c>
      <c r="O338" s="74">
        <f t="shared" si="20"/>
        <v>-58674.54544035469</v>
      </c>
      <c r="P338" s="74">
        <f t="shared" si="21"/>
        <v>58686.714228515557</v>
      </c>
    </row>
    <row r="339" spans="1:16" x14ac:dyDescent="0.3">
      <c r="A339" s="72">
        <f t="shared" si="22"/>
        <v>15</v>
      </c>
      <c r="B339" s="74">
        <f>B338+D338*(A339-A338)+F338*(A339-A338)^2</f>
        <v>-4094.1222812934266</v>
      </c>
      <c r="C339" s="74">
        <f t="shared" si="10"/>
        <v>27176.898514158027</v>
      </c>
      <c r="D339" s="74">
        <f t="shared" si="11"/>
        <v>-578.3443991651493</v>
      </c>
      <c r="E339" s="74">
        <f t="shared" si="12"/>
        <v>7004.706147606661</v>
      </c>
      <c r="F339" s="74">
        <f t="shared" si="7"/>
        <v>-1750.7348284799598</v>
      </c>
      <c r="G339" s="74">
        <f t="shared" si="8"/>
        <v>-3000.4549727390304</v>
      </c>
      <c r="H339" s="74">
        <f t="shared" si="13"/>
        <v>24094.122281293428</v>
      </c>
      <c r="I339" s="74">
        <f t="shared" si="14"/>
        <v>-7176.898514158027</v>
      </c>
      <c r="J339" s="74">
        <f t="shared" si="15"/>
        <v>25140.298343266415</v>
      </c>
      <c r="K339" s="74">
        <f t="shared" si="16"/>
        <v>-15905.877718706573</v>
      </c>
      <c r="L339" s="74">
        <f t="shared" si="17"/>
        <v>-7176.898514158027</v>
      </c>
      <c r="M339" s="74">
        <f t="shared" si="18"/>
        <v>17450.066426377005</v>
      </c>
      <c r="N339" s="74">
        <f t="shared" si="19"/>
        <v>-905.87771870657343</v>
      </c>
      <c r="O339" s="74">
        <f t="shared" si="20"/>
        <v>-62176.898514158027</v>
      </c>
      <c r="P339" s="74">
        <f t="shared" si="21"/>
        <v>62183.497194039803</v>
      </c>
    </row>
    <row r="340" spans="1:16" x14ac:dyDescent="0.3">
      <c r="A340" s="72">
        <f t="shared" si="22"/>
        <v>15.5</v>
      </c>
      <c r="B340" s="74">
        <f t="shared" si="9"/>
        <v>-4820.978187995991</v>
      </c>
      <c r="C340" s="74">
        <f t="shared" si="10"/>
        <v>29929.1378447766</v>
      </c>
      <c r="D340" s="74">
        <f t="shared" si="11"/>
        <v>-1453.7118134051293</v>
      </c>
      <c r="E340" s="74">
        <f t="shared" si="12"/>
        <v>5504.4786612371463</v>
      </c>
      <c r="F340" s="74">
        <f t="shared" si="7"/>
        <v>-1499.4276278659759</v>
      </c>
      <c r="G340" s="74">
        <f t="shared" si="8"/>
        <v>-3551.1710366823818</v>
      </c>
      <c r="H340" s="74">
        <f t="shared" si="13"/>
        <v>24820.978187995992</v>
      </c>
      <c r="I340" s="74">
        <f t="shared" si="14"/>
        <v>-9929.1378447766001</v>
      </c>
      <c r="J340" s="74">
        <f t="shared" si="15"/>
        <v>26733.288921297128</v>
      </c>
      <c r="K340" s="74">
        <f t="shared" si="16"/>
        <v>-15179.021812004008</v>
      </c>
      <c r="L340" s="74">
        <f t="shared" si="17"/>
        <v>-9929.1378447766001</v>
      </c>
      <c r="M340" s="74">
        <f t="shared" si="18"/>
        <v>18138.094759645192</v>
      </c>
      <c r="N340" s="74">
        <f t="shared" si="19"/>
        <v>-179.02181200400901</v>
      </c>
      <c r="O340" s="74">
        <f t="shared" si="20"/>
        <v>-64929.137844776604</v>
      </c>
      <c r="P340" s="74">
        <f t="shared" si="21"/>
        <v>64929.384642665253</v>
      </c>
    </row>
    <row r="341" spans="1:16" x14ac:dyDescent="0.3">
      <c r="A341" s="72">
        <f t="shared" si="22"/>
        <v>16</v>
      </c>
      <c r="B341" s="74">
        <f t="shared" si="9"/>
        <v>-5922.691001665049</v>
      </c>
      <c r="C341" s="74">
        <f t="shared" si="10"/>
        <v>31793.584416224578</v>
      </c>
      <c r="D341" s="74">
        <f t="shared" si="11"/>
        <v>-2203.425627338117</v>
      </c>
      <c r="E341" s="74">
        <f t="shared" si="12"/>
        <v>3728.8931428959554</v>
      </c>
      <c r="F341" s="74">
        <f t="shared" si="7"/>
        <v>-1388.055034846785</v>
      </c>
      <c r="G341" s="74">
        <f t="shared" si="8"/>
        <v>-3874.3735422300156</v>
      </c>
      <c r="H341" s="74">
        <f t="shared" si="13"/>
        <v>25922.691001665051</v>
      </c>
      <c r="I341" s="74">
        <f t="shared" si="14"/>
        <v>-11793.584416224578</v>
      </c>
      <c r="J341" s="74">
        <f t="shared" si="15"/>
        <v>28479.370466188702</v>
      </c>
      <c r="K341" s="74">
        <f t="shared" si="16"/>
        <v>-14077.308998334951</v>
      </c>
      <c r="L341" s="74">
        <f t="shared" si="17"/>
        <v>-11793.584416224578</v>
      </c>
      <c r="M341" s="74">
        <f t="shared" si="18"/>
        <v>18364.61984407021</v>
      </c>
      <c r="N341" s="74">
        <f t="shared" si="19"/>
        <v>922.69100166504904</v>
      </c>
      <c r="O341" s="74">
        <f t="shared" si="20"/>
        <v>-66793.584416224578</v>
      </c>
      <c r="P341" s="74">
        <f t="shared" si="21"/>
        <v>66799.95716953621</v>
      </c>
    </row>
    <row r="342" spans="1:16" x14ac:dyDescent="0.3">
      <c r="A342" s="72">
        <f t="shared" si="22"/>
        <v>16.5</v>
      </c>
      <c r="B342" s="74">
        <f t="shared" si="9"/>
        <v>-7371.417574045804</v>
      </c>
      <c r="C342" s="74">
        <f t="shared" si="10"/>
        <v>32689.437602115057</v>
      </c>
      <c r="D342" s="74">
        <f t="shared" si="11"/>
        <v>-2897.4531447615095</v>
      </c>
      <c r="E342" s="74">
        <f t="shared" si="12"/>
        <v>1791.7063717809476</v>
      </c>
      <c r="F342" s="74">
        <f t="shared" si="7"/>
        <v>-1428.5932575347031</v>
      </c>
      <c r="G342" s="74">
        <f t="shared" si="8"/>
        <v>-4190.7442362427273</v>
      </c>
      <c r="H342" s="74">
        <f t="shared" si="13"/>
        <v>27371.417574045805</v>
      </c>
      <c r="I342" s="74">
        <f t="shared" si="14"/>
        <v>-12689.437602115057</v>
      </c>
      <c r="J342" s="74">
        <f t="shared" si="15"/>
        <v>30169.79162458294</v>
      </c>
      <c r="K342" s="74">
        <f t="shared" si="16"/>
        <v>-12628.582425954195</v>
      </c>
      <c r="L342" s="74">
        <f t="shared" si="17"/>
        <v>-12689.437602115057</v>
      </c>
      <c r="M342" s="74">
        <f t="shared" si="18"/>
        <v>17902.59536344076</v>
      </c>
      <c r="N342" s="74">
        <f t="shared" si="19"/>
        <v>2371.417574045804</v>
      </c>
      <c r="O342" s="74">
        <f t="shared" si="20"/>
        <v>-67689.437602115053</v>
      </c>
      <c r="P342" s="74">
        <f t="shared" si="21"/>
        <v>67730.964736973299</v>
      </c>
    </row>
    <row r="343" spans="1:16" x14ac:dyDescent="0.3">
      <c r="A343" s="72">
        <f t="shared" si="22"/>
        <v>17</v>
      </c>
      <c r="B343" s="74">
        <f t="shared" si="9"/>
        <v>-9177.2924608102348</v>
      </c>
      <c r="C343" s="74">
        <f t="shared" si="10"/>
        <v>32537.604728944847</v>
      </c>
      <c r="D343" s="74">
        <f t="shared" si="11"/>
        <v>-3611.7497735288612</v>
      </c>
      <c r="E343" s="74">
        <f t="shared" si="12"/>
        <v>-303.66574634041604</v>
      </c>
      <c r="F343" s="74">
        <f t="shared" si="7"/>
        <v>-1674.6368228237329</v>
      </c>
      <c r="G343" s="74">
        <f t="shared" si="8"/>
        <v>-4702.1763594769391</v>
      </c>
      <c r="H343" s="74">
        <f t="shared" si="13"/>
        <v>29177.292460810233</v>
      </c>
      <c r="I343" s="74">
        <f t="shared" si="14"/>
        <v>-12537.604728944847</v>
      </c>
      <c r="J343" s="74">
        <f t="shared" si="15"/>
        <v>31756.982345350665</v>
      </c>
      <c r="K343" s="74">
        <f t="shared" si="16"/>
        <v>-10822.707539189765</v>
      </c>
      <c r="L343" s="74">
        <f t="shared" si="17"/>
        <v>-12537.604728944847</v>
      </c>
      <c r="M343" s="74">
        <f t="shared" si="18"/>
        <v>16562.684891589746</v>
      </c>
      <c r="N343" s="74">
        <f t="shared" si="19"/>
        <v>4177.2924608102348</v>
      </c>
      <c r="O343" s="74">
        <f t="shared" si="20"/>
        <v>-67537.604728944847</v>
      </c>
      <c r="P343" s="74">
        <f t="shared" si="21"/>
        <v>67666.667014316103</v>
      </c>
    </row>
    <row r="344" spans="1:16" x14ac:dyDescent="0.3">
      <c r="A344" s="72">
        <f t="shared" si="22"/>
        <v>17.5</v>
      </c>
      <c r="B344" s="74">
        <f t="shared" si="9"/>
        <v>-11401.826553280598</v>
      </c>
      <c r="C344" s="74">
        <f t="shared" si="10"/>
        <v>31210.227765905402</v>
      </c>
      <c r="D344" s="74">
        <f t="shared" si="11"/>
        <v>-4449.0681849407274</v>
      </c>
      <c r="E344" s="74">
        <f t="shared" si="12"/>
        <v>-2654.7539260788853</v>
      </c>
      <c r="F344" s="74">
        <f t="shared" si="7"/>
        <v>-2284.9588374641685</v>
      </c>
      <c r="G344" s="74">
        <f t="shared" si="8"/>
        <v>-5727.1073454115985</v>
      </c>
      <c r="H344" s="74">
        <f t="shared" si="13"/>
        <v>31401.826553280596</v>
      </c>
      <c r="I344" s="74">
        <f t="shared" si="14"/>
        <v>-11210.227765905402</v>
      </c>
      <c r="J344" s="74">
        <f t="shared" si="15"/>
        <v>33342.824077240293</v>
      </c>
      <c r="K344" s="74">
        <f t="shared" si="16"/>
        <v>-8598.1734467194019</v>
      </c>
      <c r="L344" s="74">
        <f t="shared" si="17"/>
        <v>-11210.227765905402</v>
      </c>
      <c r="M344" s="74">
        <f t="shared" si="18"/>
        <v>14127.908308852624</v>
      </c>
      <c r="N344" s="74">
        <f t="shared" si="19"/>
        <v>6401.8265532805981</v>
      </c>
      <c r="O344" s="74">
        <f t="shared" si="20"/>
        <v>-66210.227765905409</v>
      </c>
      <c r="P344" s="74">
        <f t="shared" si="21"/>
        <v>66519.002127447457</v>
      </c>
    </row>
    <row r="345" spans="1:16" x14ac:dyDescent="0.3">
      <c r="A345" s="72">
        <f t="shared" si="22"/>
        <v>18</v>
      </c>
      <c r="B345" s="74">
        <f t="shared" si="9"/>
        <v>-14197.600355117003</v>
      </c>
      <c r="C345" s="74">
        <f t="shared" si="10"/>
        <v>28451.07396651306</v>
      </c>
      <c r="D345" s="74">
        <f t="shared" si="11"/>
        <v>-5591.5476036728114</v>
      </c>
      <c r="E345" s="74">
        <f t="shared" si="12"/>
        <v>-5518.3075987846842</v>
      </c>
      <c r="F345" s="74">
        <f t="shared" si="7"/>
        <v>-3649.5095234091514</v>
      </c>
      <c r="G345" s="74">
        <f t="shared" si="8"/>
        <v>-8024.0118221141693</v>
      </c>
      <c r="H345" s="74">
        <f t="shared" si="13"/>
        <v>34197.600355117</v>
      </c>
      <c r="I345" s="74">
        <f t="shared" si="14"/>
        <v>-8451.0739665130604</v>
      </c>
      <c r="J345" s="74">
        <f t="shared" si="15"/>
        <v>35226.361169382413</v>
      </c>
      <c r="K345" s="74">
        <f t="shared" si="16"/>
        <v>-5802.3996448829967</v>
      </c>
      <c r="L345" s="74">
        <f t="shared" si="17"/>
        <v>-8451.0739665130604</v>
      </c>
      <c r="M345" s="74">
        <f t="shared" si="18"/>
        <v>10251.267864338202</v>
      </c>
      <c r="N345" s="74">
        <f t="shared" si="19"/>
        <v>9197.6003551170033</v>
      </c>
      <c r="O345" s="74">
        <f t="shared" si="20"/>
        <v>-63451.07396651306</v>
      </c>
      <c r="P345" s="74">
        <f t="shared" si="21"/>
        <v>64114.231179952243</v>
      </c>
    </row>
    <row r="346" spans="1:16" x14ac:dyDescent="0.3">
      <c r="A346" s="72">
        <f t="shared" si="22"/>
        <v>18.5</v>
      </c>
      <c r="B346" s="74">
        <f t="shared" si="9"/>
        <v>-17905.7515378057</v>
      </c>
      <c r="C346" s="74">
        <f t="shared" si="10"/>
        <v>23685.917211592176</v>
      </c>
      <c r="D346" s="74">
        <f t="shared" si="11"/>
        <v>-7416.3023653773871</v>
      </c>
      <c r="E346" s="74">
        <f t="shared" si="12"/>
        <v>-9530.3135098417697</v>
      </c>
      <c r="F346" s="74">
        <f t="shared" si="7"/>
        <v>-4539.5784941714337</v>
      </c>
      <c r="G346" s="74">
        <f t="shared" si="8"/>
        <v>-10764.816578680429</v>
      </c>
      <c r="H346" s="74">
        <f t="shared" si="13"/>
        <v>37905.7515378057</v>
      </c>
      <c r="I346" s="74">
        <f t="shared" si="14"/>
        <v>-3685.9172115921756</v>
      </c>
      <c r="J346" s="74">
        <f t="shared" si="15"/>
        <v>38084.537352271604</v>
      </c>
      <c r="K346" s="74">
        <f t="shared" si="16"/>
        <v>-2094.2484621943004</v>
      </c>
      <c r="L346" s="74">
        <f t="shared" si="17"/>
        <v>-3685.9172115921756</v>
      </c>
      <c r="M346" s="74">
        <f t="shared" si="18"/>
        <v>4239.3233318673192</v>
      </c>
      <c r="N346" s="74">
        <f t="shared" si="19"/>
        <v>12905.7515378057</v>
      </c>
      <c r="O346" s="74">
        <f t="shared" si="20"/>
        <v>-58685.917211592176</v>
      </c>
      <c r="P346" s="74">
        <f t="shared" si="21"/>
        <v>60088.229310917668</v>
      </c>
    </row>
    <row r="347" spans="1:16" x14ac:dyDescent="0.3">
      <c r="A347" s="72">
        <f t="shared" si="22"/>
        <v>19</v>
      </c>
      <c r="B347" s="74">
        <f t="shared" si="9"/>
        <v>-22748.797344037252</v>
      </c>
      <c r="C347" s="74">
        <f t="shared" si="10"/>
        <v>16229.556312001183</v>
      </c>
      <c r="D347" s="74">
        <f t="shared" si="11"/>
        <v>-9686.091612463104</v>
      </c>
      <c r="E347" s="74">
        <f t="shared" si="12"/>
        <v>-14912.721799181985</v>
      </c>
      <c r="F347" s="74">
        <f t="shared" si="7"/>
        <v>8153.297186509003</v>
      </c>
      <c r="G347" s="74">
        <f t="shared" si="8"/>
        <v>9196.4916984897136</v>
      </c>
      <c r="H347" s="74">
        <f t="shared" si="13"/>
        <v>42748.797344037252</v>
      </c>
      <c r="I347" s="74">
        <f t="shared" si="14"/>
        <v>3770.443687998817</v>
      </c>
      <c r="J347" s="74">
        <f t="shared" si="15"/>
        <v>42914.751775653283</v>
      </c>
      <c r="K347" s="74">
        <f t="shared" si="16"/>
        <v>2748.7973440372516</v>
      </c>
      <c r="L347" s="74">
        <f t="shared" si="17"/>
        <v>3770.443687998817</v>
      </c>
      <c r="M347" s="74">
        <f t="shared" si="18"/>
        <v>4666.0617701608244</v>
      </c>
      <c r="N347" s="74">
        <f t="shared" si="19"/>
        <v>17748.797344037252</v>
      </c>
      <c r="O347" s="74">
        <f t="shared" si="20"/>
        <v>-51229.556312001179</v>
      </c>
      <c r="P347" s="74">
        <f t="shared" si="21"/>
        <v>54217.038346669251</v>
      </c>
    </row>
    <row r="348" spans="1:16" x14ac:dyDescent="0.3">
      <c r="A348" s="72">
        <f t="shared" si="22"/>
        <v>19.5</v>
      </c>
      <c r="B348" s="74">
        <f t="shared" si="9"/>
        <v>-25553.518853641552</v>
      </c>
      <c r="C348" s="74">
        <f t="shared" si="10"/>
        <v>11072.318337032619</v>
      </c>
      <c r="D348" s="74">
        <f t="shared" si="11"/>
        <v>-5609.443019208602</v>
      </c>
      <c r="E348" s="74">
        <f t="shared" si="12"/>
        <v>-10314.475949937128</v>
      </c>
      <c r="F348" s="74">
        <f t="shared" si="7"/>
        <v>5603.8286917384821</v>
      </c>
      <c r="G348" s="74">
        <f t="shared" si="8"/>
        <v>6861.8995927674814</v>
      </c>
      <c r="H348" s="74">
        <f t="shared" si="13"/>
        <v>45553.518853641552</v>
      </c>
      <c r="I348" s="74">
        <f t="shared" si="14"/>
        <v>8927.6816629673813</v>
      </c>
      <c r="J348" s="74">
        <f t="shared" si="15"/>
        <v>46420.109648991143</v>
      </c>
      <c r="K348" s="74">
        <f t="shared" si="16"/>
        <v>5553.5188536415517</v>
      </c>
      <c r="L348" s="74">
        <f t="shared" si="17"/>
        <v>8927.6816629673813</v>
      </c>
      <c r="M348" s="74">
        <f t="shared" si="18"/>
        <v>10514.041636451522</v>
      </c>
      <c r="N348" s="74">
        <f t="shared" si="19"/>
        <v>20553.518853641552</v>
      </c>
      <c r="O348" s="74">
        <f t="shared" si="20"/>
        <v>-46072.318337032615</v>
      </c>
      <c r="P348" s="74">
        <f t="shared" si="21"/>
        <v>50449.040171403365</v>
      </c>
    </row>
    <row r="349" spans="1:16" x14ac:dyDescent="0.3">
      <c r="A349" s="72">
        <f t="shared" si="22"/>
        <v>20</v>
      </c>
      <c r="B349" s="74">
        <f t="shared" si="9"/>
        <v>-26957.283190311231</v>
      </c>
      <c r="C349" s="74">
        <f t="shared" si="10"/>
        <v>7630.5552602559246</v>
      </c>
      <c r="D349" s="74">
        <f t="shared" si="11"/>
        <v>-2807.5286733393609</v>
      </c>
      <c r="E349" s="74">
        <f t="shared" si="12"/>
        <v>-6883.5261535533882</v>
      </c>
      <c r="F349" s="74">
        <f t="shared" si="7"/>
        <v>4011.5754095716643</v>
      </c>
      <c r="G349" s="74">
        <f t="shared" si="8"/>
        <v>4810.5737429384053</v>
      </c>
      <c r="H349" s="74">
        <f t="shared" si="13"/>
        <v>46957.283190311231</v>
      </c>
      <c r="I349" s="74">
        <f t="shared" si="14"/>
        <v>12369.444739744074</v>
      </c>
      <c r="J349" s="74">
        <f t="shared" si="15"/>
        <v>48559.135163063482</v>
      </c>
      <c r="K349" s="74">
        <f t="shared" si="16"/>
        <v>6957.283190311231</v>
      </c>
      <c r="L349" s="74">
        <f t="shared" si="17"/>
        <v>12369.444739744074</v>
      </c>
      <c r="M349" s="74">
        <f t="shared" si="18"/>
        <v>14191.791731834623</v>
      </c>
      <c r="N349" s="74">
        <f t="shared" si="19"/>
        <v>21957.283190311231</v>
      </c>
      <c r="O349" s="74">
        <f t="shared" si="20"/>
        <v>-42630.555260255926</v>
      </c>
      <c r="P349" s="74">
        <f t="shared" si="21"/>
        <v>47952.961607154757</v>
      </c>
    </row>
    <row r="350" spans="1:16" x14ac:dyDescent="0.3">
      <c r="A350" s="72">
        <f t="shared" si="22"/>
        <v>20.5</v>
      </c>
      <c r="B350" s="74">
        <f t="shared" si="9"/>
        <v>-27358.153674587993</v>
      </c>
      <c r="C350" s="74">
        <f t="shared" si="10"/>
        <v>5391.4356192138321</v>
      </c>
      <c r="D350" s="74">
        <f t="shared" si="11"/>
        <v>-801.74096855352877</v>
      </c>
      <c r="E350" s="74">
        <f t="shared" si="12"/>
        <v>-4478.2392820841851</v>
      </c>
      <c r="F350" s="74">
        <f t="shared" si="7"/>
        <v>3282.3097739255563</v>
      </c>
      <c r="G350" s="74">
        <f t="shared" si="8"/>
        <v>3937.955789884455</v>
      </c>
      <c r="H350" s="74">
        <f t="shared" si="13"/>
        <v>47358.153674587993</v>
      </c>
      <c r="I350" s="74">
        <f t="shared" si="14"/>
        <v>14608.564380786167</v>
      </c>
      <c r="J350" s="74">
        <f t="shared" si="15"/>
        <v>49560.113728011827</v>
      </c>
      <c r="K350" s="74">
        <f t="shared" si="16"/>
        <v>7358.153674587993</v>
      </c>
      <c r="L350" s="74">
        <f t="shared" si="17"/>
        <v>14608.564380786167</v>
      </c>
      <c r="M350" s="74">
        <f t="shared" si="18"/>
        <v>16357.034534610089</v>
      </c>
      <c r="N350" s="74">
        <f t="shared" si="19"/>
        <v>22358.153674587993</v>
      </c>
      <c r="O350" s="74">
        <f t="shared" si="20"/>
        <v>-40391.435619213829</v>
      </c>
      <c r="P350" s="74">
        <f t="shared" si="21"/>
        <v>46166.601641420268</v>
      </c>
    </row>
    <row r="351" spans="1:16" x14ac:dyDescent="0.3">
      <c r="A351" s="72">
        <f t="shared" si="22"/>
        <v>21</v>
      </c>
      <c r="B351" s="74">
        <f t="shared" si="9"/>
        <v>-26938.446715383368</v>
      </c>
      <c r="C351" s="74">
        <f t="shared" si="10"/>
        <v>4136.804925642853</v>
      </c>
      <c r="D351" s="74">
        <f t="shared" si="11"/>
        <v>839.41391840924939</v>
      </c>
      <c r="E351" s="74">
        <f t="shared" si="12"/>
        <v>-2509.2613871419576</v>
      </c>
      <c r="F351" s="74">
        <f t="shared" si="7"/>
        <v>2896.2044231620612</v>
      </c>
      <c r="G351" s="74">
        <f t="shared" si="8"/>
        <v>3660.819362403126</v>
      </c>
      <c r="H351" s="74">
        <f t="shared" si="13"/>
        <v>46938.446715383368</v>
      </c>
      <c r="I351" s="74">
        <f t="shared" si="14"/>
        <v>15863.195074357147</v>
      </c>
      <c r="J351" s="74">
        <f t="shared" si="15"/>
        <v>49546.531039215981</v>
      </c>
      <c r="K351" s="74">
        <f t="shared" si="16"/>
        <v>6938.4467153833684</v>
      </c>
      <c r="L351" s="74">
        <f t="shared" si="17"/>
        <v>15863.195074357147</v>
      </c>
      <c r="M351" s="74">
        <f t="shared" si="18"/>
        <v>17314.242714866945</v>
      </c>
      <c r="N351" s="74">
        <f t="shared" si="19"/>
        <v>21938.446715383368</v>
      </c>
      <c r="O351" s="74">
        <f t="shared" si="20"/>
        <v>-39136.804925642849</v>
      </c>
      <c r="P351" s="74">
        <f t="shared" si="21"/>
        <v>44866.300762059022</v>
      </c>
    </row>
    <row r="352" spans="1:16" x14ac:dyDescent="0.3">
      <c r="A352" s="72">
        <f t="shared" si="22"/>
        <v>21.5</v>
      </c>
      <c r="B352" s="74">
        <f t="shared" si="9"/>
        <v>-25794.688650388227</v>
      </c>
      <c r="C352" s="74">
        <f t="shared" si="10"/>
        <v>3797.3790726726556</v>
      </c>
      <c r="D352" s="74">
        <f t="shared" si="11"/>
        <v>2287.5161299902802</v>
      </c>
      <c r="E352" s="74">
        <f t="shared" si="12"/>
        <v>-678.8517059403946</v>
      </c>
      <c r="F352" s="74">
        <f t="shared" si="7"/>
        <v>2642.4527783150943</v>
      </c>
      <c r="G352" s="74">
        <f t="shared" si="8"/>
        <v>3800.0958115626063</v>
      </c>
      <c r="H352" s="74">
        <f t="shared" si="13"/>
        <v>45794.688650388227</v>
      </c>
      <c r="I352" s="74">
        <f t="shared" si="14"/>
        <v>16202.620927327345</v>
      </c>
      <c r="J352" s="74">
        <f t="shared" si="15"/>
        <v>48576.521422397695</v>
      </c>
      <c r="K352" s="74">
        <f t="shared" si="16"/>
        <v>5794.688650388227</v>
      </c>
      <c r="L352" s="74">
        <f t="shared" si="17"/>
        <v>16202.620927327345</v>
      </c>
      <c r="M352" s="74">
        <f t="shared" si="18"/>
        <v>17207.653572454445</v>
      </c>
      <c r="N352" s="74">
        <f t="shared" si="19"/>
        <v>20794.688650388227</v>
      </c>
      <c r="O352" s="74">
        <f t="shared" si="20"/>
        <v>-38797.379072672658</v>
      </c>
      <c r="P352" s="74">
        <f t="shared" si="21"/>
        <v>44018.8107401284</v>
      </c>
    </row>
    <row r="353" spans="1:16" x14ac:dyDescent="0.3">
      <c r="A353" s="72">
        <f t="shared" si="22"/>
        <v>22</v>
      </c>
      <c r="B353" s="74">
        <f t="shared" si="9"/>
        <v>-23990.317390814311</v>
      </c>
      <c r="C353" s="74">
        <f t="shared" si="10"/>
        <v>4407.9771725931096</v>
      </c>
      <c r="D353" s="74">
        <f t="shared" si="11"/>
        <v>3608.7425191478274</v>
      </c>
      <c r="E353" s="74">
        <f t="shared" si="12"/>
        <v>1221.1961998409085</v>
      </c>
      <c r="F353" s="74">
        <f t="shared" si="7"/>
        <v>2379.3861153407097</v>
      </c>
      <c r="G353" s="74">
        <f t="shared" si="8"/>
        <v>4386.1123834225791</v>
      </c>
      <c r="H353" s="74">
        <f t="shared" si="13"/>
        <v>43990.317390814307</v>
      </c>
      <c r="I353" s="74">
        <f t="shared" si="14"/>
        <v>15592.02282740689</v>
      </c>
      <c r="J353" s="74">
        <f t="shared" si="15"/>
        <v>46671.824476818525</v>
      </c>
      <c r="K353" s="74">
        <f t="shared" si="16"/>
        <v>3990.3173908143108</v>
      </c>
      <c r="L353" s="74">
        <f t="shared" si="17"/>
        <v>15592.02282740689</v>
      </c>
      <c r="M353" s="74">
        <f t="shared" si="18"/>
        <v>16094.527291281738</v>
      </c>
      <c r="N353" s="74">
        <f t="shared" si="19"/>
        <v>18990.317390814311</v>
      </c>
      <c r="O353" s="74">
        <f t="shared" si="20"/>
        <v>-39407.977172593106</v>
      </c>
      <c r="P353" s="74">
        <f t="shared" si="21"/>
        <v>43744.951930931224</v>
      </c>
    </row>
    <row r="354" spans="1:16" x14ac:dyDescent="0.3">
      <c r="A354" s="72">
        <f t="shared" si="22"/>
        <v>22.5</v>
      </c>
      <c r="B354" s="74">
        <f t="shared" si="9"/>
        <v>-21591.099602405222</v>
      </c>
      <c r="C354" s="74">
        <f t="shared" si="10"/>
        <v>6115.1033683692085</v>
      </c>
      <c r="D354" s="74">
        <f t="shared" si="11"/>
        <v>4798.4355768181822</v>
      </c>
      <c r="E354" s="74">
        <f t="shared" si="12"/>
        <v>3414.2523915521979</v>
      </c>
      <c r="F354" s="74">
        <f t="shared" si="7"/>
        <v>1862.0531917129265</v>
      </c>
      <c r="G354" s="74">
        <f t="shared" si="8"/>
        <v>5628.8578546154995</v>
      </c>
      <c r="H354" s="74">
        <f t="shared" si="13"/>
        <v>41591.099602405222</v>
      </c>
      <c r="I354" s="74">
        <f t="shared" si="14"/>
        <v>13884.896631630792</v>
      </c>
      <c r="J354" s="74">
        <f t="shared" si="15"/>
        <v>43847.575994668892</v>
      </c>
      <c r="K354" s="74">
        <f t="shared" si="16"/>
        <v>1591.099602405222</v>
      </c>
      <c r="L354" s="74">
        <f t="shared" si="17"/>
        <v>13884.896631630792</v>
      </c>
      <c r="M354" s="74">
        <f t="shared" si="18"/>
        <v>13975.763035192254</v>
      </c>
      <c r="N354" s="74">
        <f t="shared" si="19"/>
        <v>16591.099602405222</v>
      </c>
      <c r="O354" s="74">
        <f t="shared" si="20"/>
        <v>-41115.103368369208</v>
      </c>
      <c r="P354" s="74">
        <f t="shared" si="21"/>
        <v>44336.399391567822</v>
      </c>
    </row>
    <row r="355" spans="1:16" x14ac:dyDescent="0.3">
      <c r="A355" s="72">
        <f t="shared" si="22"/>
        <v>23</v>
      </c>
      <c r="B355" s="74">
        <f t="shared" si="9"/>
        <v>-18726.368516067898</v>
      </c>
      <c r="C355" s="74">
        <f t="shared" si="10"/>
        <v>9229.4440277991816</v>
      </c>
      <c r="D355" s="74">
        <f t="shared" si="11"/>
        <v>5729.4621726746454</v>
      </c>
      <c r="E355" s="74">
        <f t="shared" si="12"/>
        <v>6228.6813188599481</v>
      </c>
      <c r="F355" s="74">
        <f t="shared" si="7"/>
        <v>254.27212164990814</v>
      </c>
      <c r="G355" s="74">
        <f t="shared" si="8"/>
        <v>7822.7423457668974</v>
      </c>
      <c r="H355" s="74">
        <f t="shared" si="13"/>
        <v>38726.368516067902</v>
      </c>
      <c r="I355" s="74">
        <f t="shared" si="14"/>
        <v>10770.555972200818</v>
      </c>
      <c r="J355" s="74">
        <f t="shared" si="15"/>
        <v>40196.224877376306</v>
      </c>
      <c r="K355" s="74">
        <f t="shared" si="16"/>
        <v>-1273.6314839321021</v>
      </c>
      <c r="L355" s="74">
        <f t="shared" si="17"/>
        <v>10770.555972200818</v>
      </c>
      <c r="M355" s="74">
        <f t="shared" si="18"/>
        <v>10845.598789701462</v>
      </c>
      <c r="N355" s="74">
        <f t="shared" si="19"/>
        <v>13726.368516067898</v>
      </c>
      <c r="O355" s="74">
        <f t="shared" si="20"/>
        <v>-44229.444027799182</v>
      </c>
      <c r="P355" s="74">
        <f t="shared" si="21"/>
        <v>46310.440633264552</v>
      </c>
    </row>
    <row r="356" spans="1:16" x14ac:dyDescent="0.3">
      <c r="A356" s="72">
        <f t="shared" si="22"/>
        <v>23.5</v>
      </c>
      <c r="B356" s="74">
        <f t="shared" si="9"/>
        <v>-15798.069399318099</v>
      </c>
      <c r="C356" s="74">
        <f t="shared" si="10"/>
        <v>14299.47027367088</v>
      </c>
      <c r="D356" s="74">
        <f t="shared" si="11"/>
        <v>5856.5982334995997</v>
      </c>
      <c r="E356" s="74">
        <f t="shared" si="12"/>
        <v>10140.052491743398</v>
      </c>
      <c r="F356" s="74">
        <f t="shared" si="7"/>
        <v>-5374.571662510768</v>
      </c>
      <c r="G356" s="74">
        <f t="shared" si="8"/>
        <v>8720.993927796495</v>
      </c>
      <c r="H356" s="74">
        <f t="shared" si="13"/>
        <v>35798.069399318098</v>
      </c>
      <c r="I356" s="74">
        <f t="shared" si="14"/>
        <v>5700.5297263291195</v>
      </c>
      <c r="J356" s="74">
        <f t="shared" si="15"/>
        <v>36249.107739076237</v>
      </c>
      <c r="K356" s="74">
        <f t="shared" si="16"/>
        <v>-4201.9306006819006</v>
      </c>
      <c r="L356" s="74">
        <f t="shared" si="17"/>
        <v>5700.5297263291195</v>
      </c>
      <c r="M356" s="74">
        <f t="shared" si="18"/>
        <v>7081.8260310253954</v>
      </c>
      <c r="N356" s="74">
        <f t="shared" si="19"/>
        <v>10798.069399318099</v>
      </c>
      <c r="O356" s="74">
        <f t="shared" si="20"/>
        <v>-49299.470273670879</v>
      </c>
      <c r="P356" s="74">
        <f t="shared" si="21"/>
        <v>50468.168898990669</v>
      </c>
    </row>
    <row r="357" spans="1:16" x14ac:dyDescent="0.3">
      <c r="A357" s="72">
        <f t="shared" si="22"/>
        <v>24</v>
      </c>
      <c r="B357" s="74">
        <f t="shared" si="9"/>
        <v>-14213.413198195991</v>
      </c>
      <c r="C357" s="74">
        <f t="shared" si="10"/>
        <v>21549.745001491705</v>
      </c>
      <c r="D357" s="74">
        <f t="shared" si="11"/>
        <v>3169.3124022442157</v>
      </c>
      <c r="E357" s="74">
        <f t="shared" si="12"/>
        <v>14500.549455641645</v>
      </c>
      <c r="F357" s="74">
        <f t="shared" si="7"/>
        <v>-10075.124256556182</v>
      </c>
      <c r="G357" s="74">
        <f t="shared" si="8"/>
        <v>-3678.0931592494826</v>
      </c>
      <c r="H357" s="74">
        <f t="shared" si="13"/>
        <v>34213.413198195994</v>
      </c>
      <c r="I357" s="74">
        <f t="shared" si="14"/>
        <v>-1549.7450014917049</v>
      </c>
      <c r="J357" s="74">
        <f t="shared" si="15"/>
        <v>34248.494160183749</v>
      </c>
      <c r="K357" s="74">
        <f t="shared" si="16"/>
        <v>-5786.5868018040092</v>
      </c>
      <c r="L357" s="74">
        <f t="shared" si="17"/>
        <v>-1549.7450014917049</v>
      </c>
      <c r="M357" s="74">
        <f t="shared" si="18"/>
        <v>5990.5172050884612</v>
      </c>
      <c r="N357" s="74">
        <f t="shared" si="19"/>
        <v>9213.4131981959908</v>
      </c>
      <c r="O357" s="74">
        <f t="shared" si="20"/>
        <v>-56549.745001491705</v>
      </c>
      <c r="P357" s="74">
        <f t="shared" si="21"/>
        <v>57295.380638358867</v>
      </c>
    </row>
    <row r="358" spans="1:16" x14ac:dyDescent="0.3">
      <c r="A358" s="72">
        <f t="shared" si="22"/>
        <v>24.5</v>
      </c>
      <c r="B358" s="74">
        <f t="shared" si="9"/>
        <v>-15147.538061212928</v>
      </c>
      <c r="C358" s="74">
        <f t="shared" si="10"/>
        <v>27880.496439500155</v>
      </c>
      <c r="D358" s="74">
        <f t="shared" si="11"/>
        <v>-1868.2497260338755</v>
      </c>
      <c r="E358" s="74">
        <f t="shared" si="12"/>
        <v>12661.502876016904</v>
      </c>
      <c r="F358" s="74">
        <f t="shared" si="7"/>
        <v>-3758.0038564145038</v>
      </c>
      <c r="G358" s="74">
        <f t="shared" si="8"/>
        <v>-8939.5366809934658</v>
      </c>
      <c r="H358" s="74">
        <f t="shared" si="13"/>
        <v>35147.53806121293</v>
      </c>
      <c r="I358" s="74">
        <f t="shared" si="14"/>
        <v>-7880.4964395001552</v>
      </c>
      <c r="J358" s="74">
        <f t="shared" si="15"/>
        <v>36020.156244766433</v>
      </c>
      <c r="K358" s="74">
        <f t="shared" si="16"/>
        <v>-4852.4619387870716</v>
      </c>
      <c r="L358" s="74">
        <f t="shared" si="17"/>
        <v>-7880.4964395001552</v>
      </c>
      <c r="M358" s="74">
        <f t="shared" si="18"/>
        <v>9254.65347813476</v>
      </c>
      <c r="N358" s="74">
        <f t="shared" si="19"/>
        <v>10147.538061212928</v>
      </c>
      <c r="O358" s="74">
        <f t="shared" si="20"/>
        <v>-62880.496439500159</v>
      </c>
      <c r="P358" s="74">
        <f t="shared" si="21"/>
        <v>63694.029242792902</v>
      </c>
    </row>
    <row r="359" spans="1:16" x14ac:dyDescent="0.3">
      <c r="A359" s="72">
        <f t="shared" si="22"/>
        <v>25</v>
      </c>
      <c r="B359" s="74">
        <f t="shared" si="9"/>
        <v>-17021.163888333493</v>
      </c>
      <c r="C359" s="74">
        <f t="shared" si="10"/>
        <v>31976.36370726024</v>
      </c>
      <c r="D359" s="74">
        <f t="shared" si="11"/>
        <v>-3747.2516542411277</v>
      </c>
      <c r="E359" s="74">
        <f t="shared" si="12"/>
        <v>8191.7345355201714</v>
      </c>
      <c r="F359" s="74">
        <f t="shared" si="7"/>
        <v>-630.14860826591564</v>
      </c>
      <c r="G359" s="74">
        <f t="shared" si="8"/>
        <v>-7735.8841562167827</v>
      </c>
      <c r="H359" s="74">
        <f t="shared" si="13"/>
        <v>37021.163888333496</v>
      </c>
      <c r="I359" s="74">
        <f t="shared" si="14"/>
        <v>-11976.36370726024</v>
      </c>
      <c r="J359" s="74">
        <f t="shared" si="15"/>
        <v>38910.151160017725</v>
      </c>
      <c r="K359" s="74">
        <f t="shared" si="16"/>
        <v>-2978.8361116665073</v>
      </c>
      <c r="L359" s="74">
        <f t="shared" si="17"/>
        <v>-11976.36370726024</v>
      </c>
      <c r="M359" s="74">
        <f t="shared" si="18"/>
        <v>12341.26218134712</v>
      </c>
      <c r="N359" s="74">
        <f t="shared" si="19"/>
        <v>12021.163888333493</v>
      </c>
      <c r="O359" s="74">
        <f t="shared" si="20"/>
        <v>-66976.363707260243</v>
      </c>
      <c r="P359" s="74">
        <f t="shared" si="21"/>
        <v>68046.613998621426</v>
      </c>
    </row>
    <row r="360" spans="1:16" x14ac:dyDescent="0.3">
      <c r="A360" s="72">
        <f t="shared" si="22"/>
        <v>25.5</v>
      </c>
      <c r="B360" s="74">
        <f t="shared" si="9"/>
        <v>-19052.326867520533</v>
      </c>
      <c r="C360" s="74">
        <f t="shared" si="10"/>
        <v>34138.259935966133</v>
      </c>
      <c r="D360" s="74">
        <f t="shared" si="11"/>
        <v>-4062.3259583740855</v>
      </c>
      <c r="E360" s="74">
        <f t="shared" si="12"/>
        <v>4323.7924574117806</v>
      </c>
      <c r="F360" s="74">
        <f t="shared" si="7"/>
        <v>581.14606480261807</v>
      </c>
      <c r="G360" s="74">
        <f t="shared" si="8"/>
        <v>-6737.2101069028076</v>
      </c>
      <c r="H360" s="74">
        <f t="shared" si="13"/>
        <v>39052.326867520533</v>
      </c>
      <c r="I360" s="74">
        <f t="shared" si="14"/>
        <v>-14138.259935966133</v>
      </c>
      <c r="J360" s="74">
        <f t="shared" si="15"/>
        <v>41532.81386788778</v>
      </c>
      <c r="K360" s="74">
        <f t="shared" si="16"/>
        <v>-947.67313247946731</v>
      </c>
      <c r="L360" s="74">
        <f t="shared" si="17"/>
        <v>-14138.259935966133</v>
      </c>
      <c r="M360" s="74">
        <f t="shared" si="18"/>
        <v>14169.985122891574</v>
      </c>
      <c r="N360" s="74">
        <f t="shared" si="19"/>
        <v>14052.326867520533</v>
      </c>
      <c r="O360" s="74">
        <f t="shared" si="20"/>
        <v>-69138.25993596614</v>
      </c>
      <c r="P360" s="74">
        <f t="shared" si="21"/>
        <v>70551.873663035061</v>
      </c>
    </row>
    <row r="361" spans="1:16" x14ac:dyDescent="0.3">
      <c r="A361" s="72">
        <f t="shared" si="22"/>
        <v>26</v>
      </c>
      <c r="B361" s="74">
        <f t="shared" si="9"/>
        <v>-20938.203330506924</v>
      </c>
      <c r="C361" s="74">
        <f t="shared" si="10"/>
        <v>34615.853637946318</v>
      </c>
      <c r="D361" s="74">
        <f t="shared" si="11"/>
        <v>-3771.7529259727767</v>
      </c>
      <c r="E361" s="74">
        <f t="shared" si="12"/>
        <v>955.18740396037674</v>
      </c>
      <c r="F361" s="74">
        <f t="shared" si="7"/>
        <v>1291.0533464551029</v>
      </c>
      <c r="G361" s="74">
        <f t="shared" si="8"/>
        <v>-6430.5721668061615</v>
      </c>
      <c r="H361" s="74">
        <f t="shared" si="13"/>
        <v>40938.20333050692</v>
      </c>
      <c r="I361" s="74">
        <f t="shared" si="14"/>
        <v>-14615.853637946318</v>
      </c>
      <c r="J361" s="74">
        <f t="shared" si="15"/>
        <v>43469.065661638007</v>
      </c>
      <c r="K361" s="74">
        <f t="shared" si="16"/>
        <v>938.20333050692352</v>
      </c>
      <c r="L361" s="74">
        <f t="shared" si="17"/>
        <v>-14615.853637946318</v>
      </c>
      <c r="M361" s="74">
        <f t="shared" si="18"/>
        <v>14645.934693806432</v>
      </c>
      <c r="N361" s="74">
        <f t="shared" si="19"/>
        <v>15938.203330506924</v>
      </c>
      <c r="O361" s="74">
        <f t="shared" si="20"/>
        <v>-69615.853637946318</v>
      </c>
      <c r="P361" s="74">
        <f t="shared" si="21"/>
        <v>71417.038605255439</v>
      </c>
    </row>
    <row r="362" spans="1:16" x14ac:dyDescent="0.3">
      <c r="A362" s="72">
        <f t="shared" si="22"/>
        <v>26.5</v>
      </c>
      <c r="B362" s="74">
        <f t="shared" si="9"/>
        <v>-22501.316456879536</v>
      </c>
      <c r="C362" s="74">
        <f t="shared" si="10"/>
        <v>33485.804298224961</v>
      </c>
      <c r="D362" s="74">
        <f t="shared" si="11"/>
        <v>-3126.2262527452253</v>
      </c>
      <c r="E362" s="74">
        <f t="shared" si="12"/>
        <v>-2260.098679442704</v>
      </c>
      <c r="F362" s="74">
        <f t="shared" si="7"/>
        <v>2055.6354947679383</v>
      </c>
      <c r="G362" s="74">
        <f t="shared" si="8"/>
        <v>-6833.0738613132271</v>
      </c>
      <c r="H362" s="74">
        <f t="shared" si="13"/>
        <v>42501.316456879533</v>
      </c>
      <c r="I362" s="74">
        <f t="shared" si="14"/>
        <v>-13485.804298224961</v>
      </c>
      <c r="J362" s="74">
        <f t="shared" si="15"/>
        <v>44589.559519441791</v>
      </c>
      <c r="K362" s="74">
        <f t="shared" si="16"/>
        <v>2501.3164568795364</v>
      </c>
      <c r="L362" s="74">
        <f t="shared" si="17"/>
        <v>-13485.804298224961</v>
      </c>
      <c r="M362" s="74">
        <f t="shared" si="18"/>
        <v>13715.812100910367</v>
      </c>
      <c r="N362" s="74">
        <f t="shared" si="19"/>
        <v>17501.316456879536</v>
      </c>
      <c r="O362" s="74">
        <f t="shared" si="20"/>
        <v>-68485.804298224961</v>
      </c>
      <c r="P362" s="74">
        <f t="shared" si="21"/>
        <v>70686.642784182433</v>
      </c>
    </row>
    <row r="363" spans="1:16" x14ac:dyDescent="0.3">
      <c r="A363" s="72">
        <f t="shared" si="22"/>
        <v>27</v>
      </c>
      <c r="B363" s="74">
        <f t="shared" si="9"/>
        <v>-23550.520709560165</v>
      </c>
      <c r="C363" s="74">
        <f t="shared" si="10"/>
        <v>30647.486493175304</v>
      </c>
      <c r="D363" s="74">
        <f t="shared" si="11"/>
        <v>-2098.4085053612562</v>
      </c>
      <c r="E363" s="74">
        <f t="shared" si="12"/>
        <v>-5676.635610099318</v>
      </c>
      <c r="F363" s="74">
        <f t="shared" si="7"/>
        <v>3471.4526235965604</v>
      </c>
      <c r="G363" s="74">
        <f t="shared" si="8"/>
        <v>-8208.2600302362061</v>
      </c>
      <c r="H363" s="74">
        <f t="shared" si="13"/>
        <v>43550.520709560165</v>
      </c>
      <c r="I363" s="74">
        <f t="shared" si="14"/>
        <v>-10647.486493175304</v>
      </c>
      <c r="J363" s="74">
        <f t="shared" si="15"/>
        <v>44833.211157535654</v>
      </c>
      <c r="K363" s="74">
        <f t="shared" si="16"/>
        <v>3550.5207095601654</v>
      </c>
      <c r="L363" s="74">
        <f t="shared" si="17"/>
        <v>-10647.486493175304</v>
      </c>
      <c r="M363" s="74">
        <f t="shared" si="18"/>
        <v>11223.865908472275</v>
      </c>
      <c r="N363" s="74">
        <f t="shared" si="19"/>
        <v>18550.520709560165</v>
      </c>
      <c r="O363" s="74">
        <f t="shared" si="20"/>
        <v>-65647.486493175296</v>
      </c>
      <c r="P363" s="74">
        <f t="shared" si="21"/>
        <v>68218.137628254364</v>
      </c>
    </row>
    <row r="364" spans="1:16" x14ac:dyDescent="0.3">
      <c r="A364" s="72">
        <f t="shared" si="22"/>
        <v>27.5</v>
      </c>
      <c r="B364" s="74">
        <f t="shared" si="9"/>
        <v>-23731.861806341654</v>
      </c>
      <c r="C364" s="74">
        <f t="shared" si="10"/>
        <v>25757.103680566594</v>
      </c>
      <c r="D364" s="74">
        <f t="shared" si="11"/>
        <v>-362.68219356297595</v>
      </c>
      <c r="E364" s="74">
        <f t="shared" si="12"/>
        <v>-9780.7656252174202</v>
      </c>
      <c r="F364" s="74">
        <f t="shared" si="7"/>
        <v>7268.3204084890176</v>
      </c>
      <c r="G364" s="74">
        <f t="shared" si="8"/>
        <v>-10209.86315192572</v>
      </c>
      <c r="H364" s="74">
        <f t="shared" si="13"/>
        <v>43731.861806341651</v>
      </c>
      <c r="I364" s="74">
        <f t="shared" si="14"/>
        <v>-5757.1036805665935</v>
      </c>
      <c r="J364" s="74">
        <f t="shared" si="15"/>
        <v>44109.182488884973</v>
      </c>
      <c r="K364" s="74">
        <f t="shared" si="16"/>
        <v>3731.8618063416543</v>
      </c>
      <c r="L364" s="74">
        <f t="shared" si="17"/>
        <v>-5757.1036805665935</v>
      </c>
      <c r="M364" s="74">
        <f t="shared" si="18"/>
        <v>6860.8334282669339</v>
      </c>
      <c r="N364" s="74">
        <f t="shared" si="19"/>
        <v>18731.861806341654</v>
      </c>
      <c r="O364" s="74">
        <f t="shared" si="20"/>
        <v>-60757.103680566594</v>
      </c>
      <c r="P364" s="74">
        <f t="shared" si="21"/>
        <v>63579.149840045829</v>
      </c>
    </row>
    <row r="365" spans="1:16" x14ac:dyDescent="0.3">
      <c r="A365" s="72">
        <f t="shared" si="22"/>
        <v>28</v>
      </c>
      <c r="B365" s="74">
        <f t="shared" si="9"/>
        <v>-22096.122801000889</v>
      </c>
      <c r="C365" s="74">
        <f t="shared" si="10"/>
        <v>18314.255079976454</v>
      </c>
      <c r="D365" s="74">
        <f t="shared" si="11"/>
        <v>3271.4780106815329</v>
      </c>
      <c r="E365" s="74">
        <f t="shared" si="12"/>
        <v>-14885.697201180279</v>
      </c>
      <c r="F365" s="74">
        <f t="shared" si="7"/>
        <v>8439.7504468790648</v>
      </c>
      <c r="G365" s="74">
        <f t="shared" si="8"/>
        <v>5404.4855548036585</v>
      </c>
      <c r="H365" s="74">
        <f t="shared" si="13"/>
        <v>42096.122801000893</v>
      </c>
      <c r="I365" s="74">
        <f t="shared" si="14"/>
        <v>1685.744920023546</v>
      </c>
      <c r="J365" s="74">
        <f t="shared" si="15"/>
        <v>42129.862221615826</v>
      </c>
      <c r="K365" s="74">
        <f t="shared" si="16"/>
        <v>2096.122801000889</v>
      </c>
      <c r="L365" s="74">
        <f t="shared" si="17"/>
        <v>1685.744920023546</v>
      </c>
      <c r="M365" s="74">
        <f t="shared" si="18"/>
        <v>2689.8822896664092</v>
      </c>
      <c r="N365" s="74">
        <f t="shared" si="19"/>
        <v>17096.122801000889</v>
      </c>
      <c r="O365" s="74">
        <f t="shared" si="20"/>
        <v>-53314.255079976458</v>
      </c>
      <c r="P365" s="74">
        <f t="shared" si="21"/>
        <v>55988.277429830778</v>
      </c>
    </row>
    <row r="366" spans="1:16" x14ac:dyDescent="0.3">
      <c r="A366" s="72">
        <f t="shared" si="22"/>
        <v>28.5</v>
      </c>
      <c r="B366" s="74">
        <f t="shared" si="9"/>
        <v>-18350.446183940359</v>
      </c>
      <c r="C366" s="74">
        <f t="shared" si="10"/>
        <v>12222.527868087229</v>
      </c>
      <c r="D366" s="74">
        <f t="shared" si="11"/>
        <v>7491.3532341210648</v>
      </c>
      <c r="E366" s="74">
        <f t="shared" si="12"/>
        <v>-12183.45442377845</v>
      </c>
      <c r="F366" s="74">
        <f t="shared" si="7"/>
        <v>-968.27651445548952</v>
      </c>
      <c r="G366" s="74">
        <f t="shared" si="8"/>
        <v>10061.521408844781</v>
      </c>
      <c r="H366" s="74">
        <f t="shared" si="13"/>
        <v>38350.446183940359</v>
      </c>
      <c r="I366" s="74">
        <f t="shared" si="14"/>
        <v>7777.4721319127711</v>
      </c>
      <c r="J366" s="74">
        <f t="shared" si="15"/>
        <v>39131.135880140071</v>
      </c>
      <c r="K366" s="74">
        <f t="shared" si="16"/>
        <v>-1649.5538160596407</v>
      </c>
      <c r="L366" s="74">
        <f t="shared" si="17"/>
        <v>7777.4721319127711</v>
      </c>
      <c r="M366" s="74">
        <f t="shared" si="18"/>
        <v>7950.4780079412021</v>
      </c>
      <c r="N366" s="74">
        <f t="shared" si="19"/>
        <v>13350.446183940359</v>
      </c>
      <c r="O366" s="74">
        <f t="shared" si="20"/>
        <v>-47222.527868087229</v>
      </c>
      <c r="P366" s="74">
        <f t="shared" si="21"/>
        <v>49073.430199676921</v>
      </c>
    </row>
    <row r="367" spans="1:16" x14ac:dyDescent="0.3">
      <c r="A367" s="72">
        <f t="shared" si="22"/>
        <v>29</v>
      </c>
      <c r="B367" s="74">
        <f t="shared" si="9"/>
        <v>-14846.838695493698</v>
      </c>
      <c r="C367" s="74">
        <f t="shared" si="10"/>
        <v>8646.1810084091994</v>
      </c>
      <c r="D367" s="74">
        <f t="shared" si="11"/>
        <v>7007.2149768933205</v>
      </c>
      <c r="E367" s="74">
        <f t="shared" si="12"/>
        <v>-7152.6937193560598</v>
      </c>
      <c r="F367" s="74">
        <f t="shared" si="7"/>
        <v>-1593.5226571011326</v>
      </c>
      <c r="G367" s="74">
        <f t="shared" si="8"/>
        <v>6070.3487451097189</v>
      </c>
      <c r="H367" s="74">
        <f t="shared" si="13"/>
        <v>34846.838695493701</v>
      </c>
      <c r="I367" s="74">
        <f t="shared" si="14"/>
        <v>11353.818991590801</v>
      </c>
      <c r="J367" s="74">
        <f t="shared" si="15"/>
        <v>36649.848195641483</v>
      </c>
      <c r="K367" s="74">
        <f t="shared" si="16"/>
        <v>-5153.1613045063023</v>
      </c>
      <c r="L367" s="74">
        <f t="shared" si="17"/>
        <v>11353.818991590801</v>
      </c>
      <c r="M367" s="74">
        <f t="shared" si="18"/>
        <v>12468.531474238216</v>
      </c>
      <c r="N367" s="74">
        <f t="shared" si="19"/>
        <v>9846.8386954936977</v>
      </c>
      <c r="O367" s="74">
        <f t="shared" si="20"/>
        <v>-43646.181008409199</v>
      </c>
      <c r="P367" s="74">
        <f t="shared" si="21"/>
        <v>44743.14862539171</v>
      </c>
    </row>
    <row r="368" spans="1:16" x14ac:dyDescent="0.3">
      <c r="A368" s="72">
        <f t="shared" si="22"/>
        <v>29.5</v>
      </c>
      <c r="B368" s="74">
        <f t="shared" si="9"/>
        <v>-11741.61187132232</v>
      </c>
      <c r="C368" s="74">
        <f t="shared" si="10"/>
        <v>6587.4213350085993</v>
      </c>
      <c r="D368" s="74">
        <f t="shared" si="11"/>
        <v>6210.4536483427546</v>
      </c>
      <c r="E368" s="74">
        <f t="shared" si="12"/>
        <v>-4117.5193468012003</v>
      </c>
      <c r="F368" s="74">
        <f t="shared" si="7"/>
        <v>-1317.6605301977957</v>
      </c>
      <c r="G368" s="74">
        <f t="shared" si="8"/>
        <v>4066.6196574568221</v>
      </c>
      <c r="H368" s="74">
        <f t="shared" si="13"/>
        <v>31741.611871322319</v>
      </c>
      <c r="I368" s="74">
        <f t="shared" si="14"/>
        <v>13412.578664991401</v>
      </c>
      <c r="J368" s="74">
        <f t="shared" si="15"/>
        <v>34459.065434719101</v>
      </c>
      <c r="K368" s="74">
        <f t="shared" si="16"/>
        <v>-8258.3881286776796</v>
      </c>
      <c r="L368" s="74">
        <f t="shared" si="17"/>
        <v>13412.578664991401</v>
      </c>
      <c r="M368" s="74">
        <f t="shared" si="18"/>
        <v>15751.134591783124</v>
      </c>
      <c r="N368" s="74">
        <f t="shared" si="19"/>
        <v>6741.6118713223204</v>
      </c>
      <c r="O368" s="74">
        <f t="shared" si="20"/>
        <v>-41587.421335008599</v>
      </c>
      <c r="P368" s="74">
        <f t="shared" si="21"/>
        <v>42130.309088814938</v>
      </c>
    </row>
    <row r="369" spans="1:16" x14ac:dyDescent="0.3">
      <c r="A369" s="72">
        <f t="shared" si="22"/>
        <v>30</v>
      </c>
      <c r="B369" s="74">
        <f t="shared" si="9"/>
        <v>-8965.8001797003926</v>
      </c>
      <c r="C369" s="74">
        <f t="shared" si="10"/>
        <v>5545.3165759722051</v>
      </c>
      <c r="D369" s="74">
        <f t="shared" si="11"/>
        <v>5551.6233832438566</v>
      </c>
      <c r="E369" s="74">
        <f t="shared" si="12"/>
        <v>-2084.2095180727893</v>
      </c>
      <c r="F369" s="74">
        <f t="shared" si="7"/>
        <v>-1068.1750504094191</v>
      </c>
      <c r="G369" s="74">
        <f t="shared" si="8"/>
        <v>3044.0534333030114</v>
      </c>
      <c r="H369" s="74">
        <f t="shared" si="13"/>
        <v>28965.800179700393</v>
      </c>
      <c r="I369" s="74">
        <f t="shared" si="14"/>
        <v>14454.683424027795</v>
      </c>
      <c r="J369" s="74">
        <f t="shared" si="15"/>
        <v>32372.140073513758</v>
      </c>
      <c r="K369" s="74">
        <f t="shared" si="16"/>
        <v>-11034.199820299607</v>
      </c>
      <c r="L369" s="74">
        <f t="shared" si="17"/>
        <v>14454.683424027795</v>
      </c>
      <c r="M369" s="74">
        <f t="shared" si="18"/>
        <v>18184.923386232997</v>
      </c>
      <c r="N369" s="74">
        <f t="shared" si="19"/>
        <v>3965.8001797003926</v>
      </c>
      <c r="O369" s="74">
        <f t="shared" si="20"/>
        <v>-40545.316575972203</v>
      </c>
      <c r="P369" s="74">
        <f t="shared" si="21"/>
        <v>40738.805423221704</v>
      </c>
    </row>
    <row r="370" spans="1:16" x14ac:dyDescent="0.3">
      <c r="A370" s="72">
        <f t="shared" si="22"/>
        <v>30.5</v>
      </c>
      <c r="B370" s="74">
        <f t="shared" si="9"/>
        <v>-6457.0322506808197</v>
      </c>
      <c r="C370" s="74">
        <f t="shared" si="10"/>
        <v>5264.2251752615639</v>
      </c>
      <c r="D370" s="74">
        <f t="shared" si="11"/>
        <v>5017.5358580391467</v>
      </c>
      <c r="E370" s="74">
        <f t="shared" si="12"/>
        <v>-562.18280142128356</v>
      </c>
      <c r="F370" s="74">
        <f t="shared" si="7"/>
        <v>-874.29159008095371</v>
      </c>
      <c r="G370" s="74">
        <f t="shared" si="8"/>
        <v>2490.9616046570686</v>
      </c>
      <c r="H370" s="74">
        <f t="shared" si="13"/>
        <v>26457.032250680819</v>
      </c>
      <c r="I370" s="74">
        <f t="shared" si="14"/>
        <v>14735.774824738437</v>
      </c>
      <c r="J370" s="74">
        <f t="shared" si="15"/>
        <v>30283.949795212648</v>
      </c>
      <c r="K370" s="74">
        <f t="shared" si="16"/>
        <v>-13542.967749319181</v>
      </c>
      <c r="L370" s="74">
        <f t="shared" si="17"/>
        <v>14735.774824738437</v>
      </c>
      <c r="M370" s="74">
        <f t="shared" si="18"/>
        <v>20013.871068448865</v>
      </c>
      <c r="N370" s="74">
        <f t="shared" si="19"/>
        <v>1457.0322506808197</v>
      </c>
      <c r="O370" s="74">
        <f t="shared" si="20"/>
        <v>-40264.225175261563</v>
      </c>
      <c r="P370" s="74">
        <f t="shared" si="21"/>
        <v>40290.579195932281</v>
      </c>
    </row>
    <row r="371" spans="1:16" x14ac:dyDescent="0.3">
      <c r="A371" s="72">
        <f t="shared" si="22"/>
        <v>31</v>
      </c>
      <c r="B371" s="74">
        <f t="shared" si="9"/>
        <v>-4166.8372191814851</v>
      </c>
      <c r="C371" s="74">
        <f t="shared" si="10"/>
        <v>5605.8741757151893</v>
      </c>
      <c r="D371" s="74">
        <f t="shared" si="11"/>
        <v>4580.3900629986701</v>
      </c>
      <c r="E371" s="74">
        <f t="shared" si="12"/>
        <v>683.29800090725075</v>
      </c>
      <c r="F371" s="74">
        <f t="shared" si="7"/>
        <v>-689.99319362808501</v>
      </c>
      <c r="G371" s="74">
        <f t="shared" si="8"/>
        <v>2194.4495274860074</v>
      </c>
      <c r="H371" s="74">
        <f t="shared" si="13"/>
        <v>24166.837219181485</v>
      </c>
      <c r="I371" s="74">
        <f t="shared" si="14"/>
        <v>14394.125824284811</v>
      </c>
      <c r="J371" s="74">
        <f t="shared" si="15"/>
        <v>28128.755383481835</v>
      </c>
      <c r="K371" s="74">
        <f t="shared" si="16"/>
        <v>-15833.162780818515</v>
      </c>
      <c r="L371" s="74">
        <f t="shared" si="17"/>
        <v>14394.125824284811</v>
      </c>
      <c r="M371" s="74">
        <f t="shared" si="18"/>
        <v>21398.128466976723</v>
      </c>
      <c r="N371" s="74">
        <f t="shared" si="19"/>
        <v>-833.16278081851488</v>
      </c>
      <c r="O371" s="74">
        <f t="shared" si="20"/>
        <v>-40605.874175715187</v>
      </c>
      <c r="P371" s="74">
        <f t="shared" si="21"/>
        <v>40614.420810758274</v>
      </c>
    </row>
    <row r="372" spans="1:16" x14ac:dyDescent="0.3">
      <c r="A372" s="72">
        <f t="shared" si="22"/>
        <v>31.5</v>
      </c>
      <c r="B372" s="74">
        <f t="shared" si="9"/>
        <v>-2049.1404860891712</v>
      </c>
      <c r="C372" s="74">
        <f t="shared" si="10"/>
        <v>6496.135558040316</v>
      </c>
      <c r="D372" s="74">
        <f t="shared" si="11"/>
        <v>4235.3934661846279</v>
      </c>
      <c r="E372" s="74">
        <f t="shared" si="12"/>
        <v>1780.5227646502544</v>
      </c>
      <c r="F372" s="74">
        <f t="shared" si="7"/>
        <v>-460.46868610576507</v>
      </c>
      <c r="G372" s="74">
        <f t="shared" si="8"/>
        <v>2048.8987687857352</v>
      </c>
      <c r="H372" s="74">
        <f t="shared" si="13"/>
        <v>22049.140486089171</v>
      </c>
      <c r="I372" s="74">
        <f t="shared" si="14"/>
        <v>13503.864441959684</v>
      </c>
      <c r="J372" s="74">
        <f t="shared" si="15"/>
        <v>25855.733426884639</v>
      </c>
      <c r="K372" s="74">
        <f t="shared" si="16"/>
        <v>-17950.859513910829</v>
      </c>
      <c r="L372" s="74">
        <f t="shared" si="17"/>
        <v>13503.864441959684</v>
      </c>
      <c r="M372" s="74">
        <f t="shared" si="18"/>
        <v>22463.029897032728</v>
      </c>
      <c r="N372" s="74">
        <f t="shared" si="19"/>
        <v>-2950.8595139108288</v>
      </c>
      <c r="O372" s="74">
        <f t="shared" si="20"/>
        <v>-41496.135558040318</v>
      </c>
      <c r="P372" s="74">
        <f t="shared" si="21"/>
        <v>41600.923524870166</v>
      </c>
    </row>
    <row r="373" spans="1:16" x14ac:dyDescent="0.3">
      <c r="A373" s="72">
        <f t="shared" si="22"/>
        <v>32</v>
      </c>
      <c r="B373" s="74">
        <f t="shared" si="9"/>
        <v>-46.560924523298524</v>
      </c>
      <c r="C373" s="74">
        <f t="shared" si="10"/>
        <v>7898.621632561877</v>
      </c>
      <c r="D373" s="74">
        <f t="shared" si="11"/>
        <v>4005.1591231317452</v>
      </c>
      <c r="E373" s="74">
        <f t="shared" si="12"/>
        <v>2804.972149043122</v>
      </c>
      <c r="F373" s="74">
        <f t="shared" si="7"/>
        <v>-114.98136386381202</v>
      </c>
      <c r="G373" s="74">
        <f t="shared" si="8"/>
        <v>1990.3443922060562</v>
      </c>
      <c r="H373" s="74">
        <f t="shared" si="13"/>
        <v>20046.560924523299</v>
      </c>
      <c r="I373" s="74">
        <f t="shared" si="14"/>
        <v>12101.378367438123</v>
      </c>
      <c r="J373" s="74">
        <f t="shared" si="15"/>
        <v>23415.976667491876</v>
      </c>
      <c r="K373" s="74">
        <f t="shared" si="16"/>
        <v>-19953.439075476701</v>
      </c>
      <c r="L373" s="74">
        <f t="shared" si="17"/>
        <v>12101.378367438123</v>
      </c>
      <c r="M373" s="74">
        <f t="shared" si="18"/>
        <v>23336.304106063151</v>
      </c>
      <c r="N373" s="74">
        <f t="shared" si="19"/>
        <v>-4953.4390754767019</v>
      </c>
      <c r="O373" s="74">
        <f t="shared" si="20"/>
        <v>-42898.621632561873</v>
      </c>
      <c r="P373" s="74">
        <f t="shared" si="21"/>
        <v>43183.6577497572</v>
      </c>
    </row>
    <row r="374" spans="1:16" x14ac:dyDescent="0.3">
      <c r="A374" s="72">
        <f t="shared" si="22"/>
        <v>32.5</v>
      </c>
      <c r="B374" s="74">
        <f t="shared" si="9"/>
        <v>1927.2732960766211</v>
      </c>
      <c r="C374" s="74">
        <f t="shared" si="10"/>
        <v>9798.6938051349516</v>
      </c>
      <c r="D374" s="74">
        <f t="shared" si="11"/>
        <v>3947.6684411998394</v>
      </c>
      <c r="E374" s="74">
        <f t="shared" si="12"/>
        <v>3800.14434514615</v>
      </c>
      <c r="F374" s="74">
        <f t="shared" ref="F374:F437" si="23">$C$23*(H374/(J374^2+$C$24^2)^1.5)+$C$32*(K374/(M374^2+$C$33^2)^1.5)+C$41*(N374/(P374^2+$C$42^2)^1.5)</f>
        <v>459.0693256606163</v>
      </c>
      <c r="G374" s="74">
        <f t="shared" ref="G374:G437" si="24">$C$23*(I374/(J374^2+$C$24^2)^1.5)+$C$32*(L374/(M374^2+$C$33^2)^1.5)+C$41*(O374/(P374^2+$C$42^2)^1.5)</f>
        <v>1972.0749929086851</v>
      </c>
      <c r="H374" s="74">
        <f t="shared" si="13"/>
        <v>18072.726703923377</v>
      </c>
      <c r="I374" s="74">
        <f t="shared" si="14"/>
        <v>10201.306194865048</v>
      </c>
      <c r="J374" s="74">
        <f t="shared" si="15"/>
        <v>20753.074437203206</v>
      </c>
      <c r="K374" s="74">
        <f t="shared" si="16"/>
        <v>-21927.273296076623</v>
      </c>
      <c r="L374" s="74">
        <f t="shared" si="17"/>
        <v>10201.306194865048</v>
      </c>
      <c r="M374" s="74">
        <f t="shared" si="18"/>
        <v>24184.126245995056</v>
      </c>
      <c r="N374" s="74">
        <f t="shared" si="19"/>
        <v>-6927.2732960766207</v>
      </c>
      <c r="O374" s="74">
        <f t="shared" si="20"/>
        <v>-44798.69380513495</v>
      </c>
      <c r="P374" s="74">
        <f t="shared" si="21"/>
        <v>45331.116045877061</v>
      </c>
    </row>
    <row r="375" spans="1:16" x14ac:dyDescent="0.3">
      <c r="A375" s="72">
        <f t="shared" ref="A375:A438" si="25">A374+$C$5</f>
        <v>33</v>
      </c>
      <c r="B375" s="74">
        <f t="shared" ref="B375:B438" si="26">B374+D374*(A375-A374)+F374*(A375-A374)^2</f>
        <v>4015.8748480916947</v>
      </c>
      <c r="C375" s="74">
        <f t="shared" ref="C375:C438" si="27">C374+E374*(A375-A374)+G374*(A375-A374)^2</f>
        <v>12191.784725935198</v>
      </c>
      <c r="D375" s="74">
        <f t="shared" ref="D375:D438" si="28">D374+F374*(A375-A374)</f>
        <v>4177.2031040301472</v>
      </c>
      <c r="E375" s="74">
        <f t="shared" ref="E375:E438" si="29">E374+G374*(A375-A374)</f>
        <v>4786.1818416004926</v>
      </c>
      <c r="F375" s="74">
        <f t="shared" si="23"/>
        <v>1465.6186455244838</v>
      </c>
      <c r="G375" s="74">
        <f t="shared" si="24"/>
        <v>1947.1149082243819</v>
      </c>
      <c r="H375" s="74">
        <f t="shared" ref="H375:H438" si="30">$C$19-B375</f>
        <v>15984.125151908305</v>
      </c>
      <c r="I375" s="74">
        <f t="shared" ref="I375:I438" si="31">$D$19-C375</f>
        <v>7808.2152740648016</v>
      </c>
      <c r="J375" s="74">
        <f t="shared" ref="J375:J438" si="32">SQRT(H375^2+I375^2)</f>
        <v>17789.336205660024</v>
      </c>
      <c r="K375" s="74">
        <f t="shared" ref="K375:K438" si="33">$C$28-B375</f>
        <v>-24015.874848091695</v>
      </c>
      <c r="L375" s="74">
        <f t="shared" ref="L375:L438" si="34">$D$28-C375</f>
        <v>7808.2152740648016</v>
      </c>
      <c r="M375" s="74">
        <f t="shared" ref="M375:M438" si="35">SQRT(K375^2+L375^2)</f>
        <v>25253.325929178955</v>
      </c>
      <c r="N375" s="74">
        <f t="shared" ref="N375:N438" si="36">$C$37-B375</f>
        <v>-9015.8748480916947</v>
      </c>
      <c r="O375" s="74">
        <f t="shared" ref="O375:O438" si="37">$D$37-C375</f>
        <v>-47191.784725935198</v>
      </c>
      <c r="P375" s="74">
        <f t="shared" ref="P375:P438" si="38">SQRT(N375^2+O375^2)</f>
        <v>48045.296803073899</v>
      </c>
    </row>
    <row r="376" spans="1:16" x14ac:dyDescent="0.3">
      <c r="A376" s="72">
        <f t="shared" si="25"/>
        <v>33.5</v>
      </c>
      <c r="B376" s="74">
        <f t="shared" si="26"/>
        <v>6470.8810614878894</v>
      </c>
      <c r="C376" s="74">
        <f t="shared" si="27"/>
        <v>15071.65437379154</v>
      </c>
      <c r="D376" s="74">
        <f t="shared" si="28"/>
        <v>4910.0124267923893</v>
      </c>
      <c r="E376" s="74">
        <f t="shared" si="29"/>
        <v>5759.7392957126831</v>
      </c>
      <c r="F376" s="74">
        <f t="shared" si="23"/>
        <v>3299.9861001173804</v>
      </c>
      <c r="G376" s="74">
        <f t="shared" si="24"/>
        <v>1801.6241972660102</v>
      </c>
      <c r="H376" s="74">
        <f t="shared" si="30"/>
        <v>13529.118938512111</v>
      </c>
      <c r="I376" s="74">
        <f t="shared" si="31"/>
        <v>4928.3456262084601</v>
      </c>
      <c r="J376" s="74">
        <f t="shared" si="32"/>
        <v>14398.807237537945</v>
      </c>
      <c r="K376" s="74">
        <f t="shared" si="33"/>
        <v>-26470.881061487889</v>
      </c>
      <c r="L376" s="74">
        <f t="shared" si="34"/>
        <v>4928.3456262084601</v>
      </c>
      <c r="M376" s="74">
        <f t="shared" si="35"/>
        <v>26925.752260295463</v>
      </c>
      <c r="N376" s="74">
        <f t="shared" si="36"/>
        <v>-11470.881061487889</v>
      </c>
      <c r="O376" s="74">
        <f t="shared" si="37"/>
        <v>-50071.654373791542</v>
      </c>
      <c r="P376" s="74">
        <f t="shared" si="38"/>
        <v>51368.781220262943</v>
      </c>
    </row>
    <row r="377" spans="1:16" x14ac:dyDescent="0.3">
      <c r="A377" s="72">
        <f t="shared" si="25"/>
        <v>34</v>
      </c>
      <c r="B377" s="74">
        <f t="shared" si="26"/>
        <v>9750.8837999134284</v>
      </c>
      <c r="C377" s="74">
        <f t="shared" si="27"/>
        <v>18401.930070964383</v>
      </c>
      <c r="D377" s="74">
        <f t="shared" si="28"/>
        <v>6560.0054768510799</v>
      </c>
      <c r="E377" s="74">
        <f t="shared" si="29"/>
        <v>6660.5513943456881</v>
      </c>
      <c r="F377" s="74">
        <f t="shared" si="23"/>
        <v>6673.6168453568944</v>
      </c>
      <c r="G377" s="74">
        <f t="shared" si="24"/>
        <v>903.83400021129262</v>
      </c>
      <c r="H377" s="74">
        <f t="shared" si="30"/>
        <v>10249.116200086572</v>
      </c>
      <c r="I377" s="74">
        <f t="shared" si="31"/>
        <v>1598.069929035617</v>
      </c>
      <c r="J377" s="74">
        <f t="shared" si="32"/>
        <v>10372.955720572845</v>
      </c>
      <c r="K377" s="74">
        <f t="shared" si="33"/>
        <v>-29750.883799913427</v>
      </c>
      <c r="L377" s="74">
        <f t="shared" si="34"/>
        <v>1598.069929035617</v>
      </c>
      <c r="M377" s="74">
        <f t="shared" si="35"/>
        <v>29793.773080528739</v>
      </c>
      <c r="N377" s="74">
        <f t="shared" si="36"/>
        <v>-14750.883799913428</v>
      </c>
      <c r="O377" s="74">
        <f t="shared" si="37"/>
        <v>-53401.930070964387</v>
      </c>
      <c r="P377" s="74">
        <f t="shared" si="38"/>
        <v>55401.757266197965</v>
      </c>
    </row>
    <row r="378" spans="1:16" x14ac:dyDescent="0.3">
      <c r="A378" s="72">
        <f t="shared" si="25"/>
        <v>34.5</v>
      </c>
      <c r="B378" s="74">
        <f t="shared" si="26"/>
        <v>14699.290749678192</v>
      </c>
      <c r="C378" s="74">
        <f t="shared" si="27"/>
        <v>21958.164268190052</v>
      </c>
      <c r="D378" s="74">
        <f t="shared" si="28"/>
        <v>9896.8138995295267</v>
      </c>
      <c r="E378" s="74">
        <f t="shared" si="29"/>
        <v>7112.4683944513345</v>
      </c>
      <c r="F378" s="74">
        <f t="shared" si="23"/>
        <v>9792.248027596057</v>
      </c>
      <c r="G378" s="74">
        <f t="shared" si="24"/>
        <v>-4705.1055554002269</v>
      </c>
      <c r="H378" s="74">
        <f t="shared" si="30"/>
        <v>5300.7092503218082</v>
      </c>
      <c r="I378" s="74">
        <f t="shared" si="31"/>
        <v>-1958.1642681900521</v>
      </c>
      <c r="J378" s="74">
        <f t="shared" si="32"/>
        <v>5650.8340851296871</v>
      </c>
      <c r="K378" s="74">
        <f t="shared" si="33"/>
        <v>-34699.290749678192</v>
      </c>
      <c r="L378" s="74">
        <f t="shared" si="34"/>
        <v>-1958.1642681900521</v>
      </c>
      <c r="M378" s="74">
        <f t="shared" si="35"/>
        <v>34754.4987855086</v>
      </c>
      <c r="N378" s="74">
        <f t="shared" si="36"/>
        <v>-19699.290749678192</v>
      </c>
      <c r="O378" s="74">
        <f t="shared" si="37"/>
        <v>-56958.164268190056</v>
      </c>
      <c r="P378" s="74">
        <f t="shared" si="38"/>
        <v>60268.520247658969</v>
      </c>
    </row>
    <row r="379" spans="1:16" x14ac:dyDescent="0.3">
      <c r="A379" s="72">
        <f t="shared" si="25"/>
        <v>35</v>
      </c>
      <c r="B379" s="74">
        <f t="shared" si="26"/>
        <v>22095.759706341971</v>
      </c>
      <c r="C379" s="74">
        <f t="shared" si="27"/>
        <v>24338.122076565662</v>
      </c>
      <c r="D379" s="74">
        <f t="shared" si="28"/>
        <v>14792.937913327554</v>
      </c>
      <c r="E379" s="74">
        <f t="shared" si="29"/>
        <v>4759.915616751221</v>
      </c>
      <c r="F379" s="74">
        <f t="shared" si="23"/>
        <v>-6334.7156917735056</v>
      </c>
      <c r="G379" s="74">
        <f t="shared" si="24"/>
        <v>-11289.751051281817</v>
      </c>
      <c r="H379" s="74">
        <f t="shared" si="30"/>
        <v>-2095.7597063419707</v>
      </c>
      <c r="I379" s="74">
        <f t="shared" si="31"/>
        <v>-4338.1220765656617</v>
      </c>
      <c r="J379" s="74">
        <f t="shared" si="32"/>
        <v>4817.8326971692313</v>
      </c>
      <c r="K379" s="74">
        <f t="shared" si="33"/>
        <v>-42095.759706341967</v>
      </c>
      <c r="L379" s="74">
        <f t="shared" si="34"/>
        <v>-4338.1220765656617</v>
      </c>
      <c r="M379" s="74">
        <f t="shared" si="35"/>
        <v>42318.699039612147</v>
      </c>
      <c r="N379" s="74">
        <f t="shared" si="36"/>
        <v>-27095.759706341971</v>
      </c>
      <c r="O379" s="74">
        <f t="shared" si="37"/>
        <v>-59338.122076565662</v>
      </c>
      <c r="P379" s="74">
        <f t="shared" si="38"/>
        <v>65231.839814903535</v>
      </c>
    </row>
    <row r="380" spans="1:16" x14ac:dyDescent="0.3">
      <c r="A380" s="72">
        <f t="shared" si="25"/>
        <v>35.5</v>
      </c>
      <c r="B380" s="74">
        <f t="shared" si="26"/>
        <v>27908.549740062372</v>
      </c>
      <c r="C380" s="74">
        <f t="shared" si="27"/>
        <v>23895.642122120818</v>
      </c>
      <c r="D380" s="74">
        <f t="shared" si="28"/>
        <v>11625.580067440802</v>
      </c>
      <c r="E380" s="74">
        <f t="shared" si="29"/>
        <v>-884.95990888968754</v>
      </c>
      <c r="F380" s="74">
        <f t="shared" si="23"/>
        <v>-9933.8926493461604</v>
      </c>
      <c r="G380" s="74">
        <f t="shared" si="24"/>
        <v>-4832.0305697691183</v>
      </c>
      <c r="H380" s="74">
        <f t="shared" si="30"/>
        <v>-7908.5497400623717</v>
      </c>
      <c r="I380" s="74">
        <f t="shared" si="31"/>
        <v>-3895.6421221208184</v>
      </c>
      <c r="J380" s="74">
        <f t="shared" si="32"/>
        <v>8815.9620311502367</v>
      </c>
      <c r="K380" s="74">
        <f t="shared" si="33"/>
        <v>-47908.549740062372</v>
      </c>
      <c r="L380" s="74">
        <f t="shared" si="34"/>
        <v>-3895.6421221208184</v>
      </c>
      <c r="M380" s="74">
        <f t="shared" si="35"/>
        <v>48066.674169737104</v>
      </c>
      <c r="N380" s="74">
        <f t="shared" si="36"/>
        <v>-32908.549740062372</v>
      </c>
      <c r="O380" s="74">
        <f t="shared" si="37"/>
        <v>-58895.642122120815</v>
      </c>
      <c r="P380" s="74">
        <f t="shared" si="38"/>
        <v>67466.060407964324</v>
      </c>
    </row>
    <row r="381" spans="1:16" x14ac:dyDescent="0.3">
      <c r="A381" s="72">
        <f t="shared" si="25"/>
        <v>36</v>
      </c>
      <c r="B381" s="74">
        <f t="shared" si="26"/>
        <v>31237.866611446236</v>
      </c>
      <c r="C381" s="74">
        <f t="shared" si="27"/>
        <v>22245.154525233695</v>
      </c>
      <c r="D381" s="74">
        <f t="shared" si="28"/>
        <v>6658.6337427677217</v>
      </c>
      <c r="E381" s="74">
        <f t="shared" si="29"/>
        <v>-3300.9751937742467</v>
      </c>
      <c r="F381" s="74">
        <f t="shared" si="23"/>
        <v>-8582.3256574900624</v>
      </c>
      <c r="G381" s="74">
        <f t="shared" si="24"/>
        <v>-1892.2090312225666</v>
      </c>
      <c r="H381" s="74">
        <f t="shared" si="30"/>
        <v>-11237.866611446236</v>
      </c>
      <c r="I381" s="74">
        <f t="shared" si="31"/>
        <v>-2245.1545252336946</v>
      </c>
      <c r="J381" s="74">
        <f t="shared" si="32"/>
        <v>11459.94610889752</v>
      </c>
      <c r="K381" s="74">
        <f t="shared" si="33"/>
        <v>-51237.866611446239</v>
      </c>
      <c r="L381" s="74">
        <f t="shared" si="34"/>
        <v>-2245.1545252336946</v>
      </c>
      <c r="M381" s="74">
        <f t="shared" si="35"/>
        <v>51287.032413023611</v>
      </c>
      <c r="N381" s="74">
        <f t="shared" si="36"/>
        <v>-36237.866611446239</v>
      </c>
      <c r="O381" s="74">
        <f t="shared" si="37"/>
        <v>-57245.154525233695</v>
      </c>
      <c r="P381" s="74">
        <f t="shared" si="38"/>
        <v>67750.946068426638</v>
      </c>
    </row>
    <row r="382" spans="1:16" x14ac:dyDescent="0.3">
      <c r="A382" s="72">
        <f t="shared" si="25"/>
        <v>36.5</v>
      </c>
      <c r="B382" s="74">
        <f t="shared" si="26"/>
        <v>32421.602068457585</v>
      </c>
      <c r="C382" s="74">
        <f t="shared" si="27"/>
        <v>20121.61467054093</v>
      </c>
      <c r="D382" s="74">
        <f t="shared" si="28"/>
        <v>2367.4709140226905</v>
      </c>
      <c r="E382" s="74">
        <f t="shared" si="29"/>
        <v>-4247.0797093855299</v>
      </c>
      <c r="F382" s="74">
        <f t="shared" si="23"/>
        <v>-8027.5135550351633</v>
      </c>
      <c r="G382" s="74">
        <f t="shared" si="24"/>
        <v>-395.00456990723615</v>
      </c>
      <c r="H382" s="74">
        <f t="shared" si="30"/>
        <v>-12421.602068457585</v>
      </c>
      <c r="I382" s="74">
        <f t="shared" si="31"/>
        <v>-121.61467054093009</v>
      </c>
      <c r="J382" s="74">
        <f t="shared" si="32"/>
        <v>12422.19739318292</v>
      </c>
      <c r="K382" s="74">
        <f t="shared" si="33"/>
        <v>-52421.602068457585</v>
      </c>
      <c r="L382" s="74">
        <f t="shared" si="34"/>
        <v>-121.61467054093009</v>
      </c>
      <c r="M382" s="74">
        <f t="shared" si="35"/>
        <v>52421.743137288053</v>
      </c>
      <c r="N382" s="74">
        <f t="shared" si="36"/>
        <v>-37421.602068457585</v>
      </c>
      <c r="O382" s="74">
        <f t="shared" si="37"/>
        <v>-55121.614670540934</v>
      </c>
      <c r="P382" s="74">
        <f t="shared" si="38"/>
        <v>66624.085023792868</v>
      </c>
    </row>
    <row r="383" spans="1:16" x14ac:dyDescent="0.3">
      <c r="A383" s="72">
        <f t="shared" si="25"/>
        <v>37</v>
      </c>
      <c r="B383" s="74">
        <f t="shared" si="26"/>
        <v>31598.459136710138</v>
      </c>
      <c r="C383" s="74">
        <f t="shared" si="27"/>
        <v>17899.323673371357</v>
      </c>
      <c r="D383" s="74">
        <f t="shared" si="28"/>
        <v>-1646.2858634948911</v>
      </c>
      <c r="E383" s="74">
        <f t="shared" si="29"/>
        <v>-4444.581994339148</v>
      </c>
      <c r="F383" s="74">
        <f t="shared" si="23"/>
        <v>-8395.9613858495231</v>
      </c>
      <c r="G383" s="74">
        <f t="shared" si="24"/>
        <v>1043.2565283984416</v>
      </c>
      <c r="H383" s="74">
        <f t="shared" si="30"/>
        <v>-11598.459136710138</v>
      </c>
      <c r="I383" s="74">
        <f t="shared" si="31"/>
        <v>2100.6763266286434</v>
      </c>
      <c r="J383" s="74">
        <f t="shared" si="32"/>
        <v>11787.158070340489</v>
      </c>
      <c r="K383" s="74">
        <f t="shared" si="33"/>
        <v>-51598.459136710138</v>
      </c>
      <c r="L383" s="74">
        <f t="shared" si="34"/>
        <v>2100.6763266286434</v>
      </c>
      <c r="M383" s="74">
        <f t="shared" si="35"/>
        <v>51641.202796914054</v>
      </c>
      <c r="N383" s="74">
        <f t="shared" si="36"/>
        <v>-36598.459136710138</v>
      </c>
      <c r="O383" s="74">
        <f t="shared" si="37"/>
        <v>-52899.323673371357</v>
      </c>
      <c r="P383" s="74">
        <f t="shared" si="38"/>
        <v>64325.622082351823</v>
      </c>
    </row>
    <row r="384" spans="1:16" x14ac:dyDescent="0.3">
      <c r="A384" s="72">
        <f t="shared" si="25"/>
        <v>37.5</v>
      </c>
      <c r="B384" s="74">
        <f t="shared" si="26"/>
        <v>28676.32585850031</v>
      </c>
      <c r="C384" s="74">
        <f t="shared" si="27"/>
        <v>15937.846808301394</v>
      </c>
      <c r="D384" s="74">
        <f t="shared" si="28"/>
        <v>-5844.2665564196523</v>
      </c>
      <c r="E384" s="74">
        <f t="shared" si="29"/>
        <v>-3922.9537301399273</v>
      </c>
      <c r="F384" s="74">
        <f t="shared" si="23"/>
        <v>-9481.3534577756964</v>
      </c>
      <c r="G384" s="74">
        <f t="shared" si="24"/>
        <v>3658.630863701223</v>
      </c>
      <c r="H384" s="74">
        <f t="shared" si="30"/>
        <v>-8676.3258585003096</v>
      </c>
      <c r="I384" s="74">
        <f t="shared" si="31"/>
        <v>4062.153191698606</v>
      </c>
      <c r="J384" s="74">
        <f t="shared" si="32"/>
        <v>9580.1732215919928</v>
      </c>
      <c r="K384" s="74">
        <f t="shared" si="33"/>
        <v>-48676.325858500306</v>
      </c>
      <c r="L384" s="74">
        <f t="shared" si="34"/>
        <v>4062.153191698606</v>
      </c>
      <c r="M384" s="74">
        <f t="shared" si="35"/>
        <v>48845.529863394186</v>
      </c>
      <c r="N384" s="74">
        <f t="shared" si="36"/>
        <v>-33676.325858500306</v>
      </c>
      <c r="O384" s="74">
        <f t="shared" si="37"/>
        <v>-50937.846808301394</v>
      </c>
      <c r="P384" s="74">
        <f t="shared" si="38"/>
        <v>61063.566558086633</v>
      </c>
    </row>
    <row r="385" spans="1:16" x14ac:dyDescent="0.3">
      <c r="A385" s="72">
        <f t="shared" si="25"/>
        <v>38</v>
      </c>
      <c r="B385" s="74">
        <f t="shared" si="26"/>
        <v>23383.854215846561</v>
      </c>
      <c r="C385" s="74">
        <f t="shared" si="27"/>
        <v>14891.027659156736</v>
      </c>
      <c r="D385" s="74">
        <f t="shared" si="28"/>
        <v>-10584.943285307501</v>
      </c>
      <c r="E385" s="74">
        <f t="shared" si="29"/>
        <v>-2093.6382982893156</v>
      </c>
      <c r="F385" s="74">
        <f t="shared" si="23"/>
        <v>-7721.1649259459537</v>
      </c>
      <c r="G385" s="74">
        <f t="shared" si="24"/>
        <v>9586.9225400356518</v>
      </c>
      <c r="H385" s="74">
        <f t="shared" si="30"/>
        <v>-3383.8542158465607</v>
      </c>
      <c r="I385" s="74">
        <f t="shared" si="31"/>
        <v>5108.9723408432637</v>
      </c>
      <c r="J385" s="74">
        <f t="shared" si="32"/>
        <v>6127.9741949198879</v>
      </c>
      <c r="K385" s="74">
        <f t="shared" si="33"/>
        <v>-43383.854215846557</v>
      </c>
      <c r="L385" s="74">
        <f t="shared" si="34"/>
        <v>5108.9723408432637</v>
      </c>
      <c r="M385" s="74">
        <f t="shared" si="35"/>
        <v>43683.640015471792</v>
      </c>
      <c r="N385" s="74">
        <f t="shared" si="36"/>
        <v>-28383.854215846561</v>
      </c>
      <c r="O385" s="74">
        <f t="shared" si="37"/>
        <v>-49891.027659156738</v>
      </c>
      <c r="P385" s="74">
        <f t="shared" si="38"/>
        <v>57399.981019449588</v>
      </c>
    </row>
    <row r="386" spans="1:16" x14ac:dyDescent="0.3">
      <c r="A386" s="72">
        <f t="shared" si="25"/>
        <v>38.5</v>
      </c>
      <c r="B386" s="74">
        <f t="shared" si="26"/>
        <v>16161.09134170632</v>
      </c>
      <c r="C386" s="74">
        <f t="shared" si="27"/>
        <v>16240.939145020991</v>
      </c>
      <c r="D386" s="74">
        <f t="shared" si="28"/>
        <v>-14445.525748280477</v>
      </c>
      <c r="E386" s="74">
        <f t="shared" si="29"/>
        <v>2699.8229717285103</v>
      </c>
      <c r="F386" s="74">
        <f t="shared" si="23"/>
        <v>7175.9333260776666</v>
      </c>
      <c r="G386" s="74">
        <f t="shared" si="24"/>
        <v>8071.7295385489051</v>
      </c>
      <c r="H386" s="74">
        <f t="shared" si="30"/>
        <v>3838.9086582936798</v>
      </c>
      <c r="I386" s="74">
        <f t="shared" si="31"/>
        <v>3759.0608549790086</v>
      </c>
      <c r="J386" s="74">
        <f t="shared" si="32"/>
        <v>5372.8724345695846</v>
      </c>
      <c r="K386" s="74">
        <f t="shared" si="33"/>
        <v>-36161.09134170632</v>
      </c>
      <c r="L386" s="74">
        <f t="shared" si="34"/>
        <v>3759.0608549790086</v>
      </c>
      <c r="M386" s="74">
        <f t="shared" si="35"/>
        <v>36355.949520465882</v>
      </c>
      <c r="N386" s="74">
        <f t="shared" si="36"/>
        <v>-21161.09134170632</v>
      </c>
      <c r="O386" s="74">
        <f t="shared" si="37"/>
        <v>-51240.939145020995</v>
      </c>
      <c r="P386" s="74">
        <f t="shared" si="38"/>
        <v>55438.485109495763</v>
      </c>
    </row>
    <row r="387" spans="1:16" x14ac:dyDescent="0.3">
      <c r="A387" s="72">
        <f t="shared" si="25"/>
        <v>39</v>
      </c>
      <c r="B387" s="74">
        <f t="shared" si="26"/>
        <v>10732.311799085499</v>
      </c>
      <c r="C387" s="74">
        <f t="shared" si="27"/>
        <v>19608.783015522473</v>
      </c>
      <c r="D387" s="74">
        <f t="shared" si="28"/>
        <v>-10857.559085241644</v>
      </c>
      <c r="E387" s="74">
        <f t="shared" si="29"/>
        <v>6735.6877410029629</v>
      </c>
      <c r="F387" s="74">
        <f t="shared" si="23"/>
        <v>7785.9576369158603</v>
      </c>
      <c r="G387" s="74">
        <f t="shared" si="24"/>
        <v>-83.206930853670826</v>
      </c>
      <c r="H387" s="74">
        <f t="shared" si="30"/>
        <v>9267.6882009145011</v>
      </c>
      <c r="I387" s="74">
        <f t="shared" si="31"/>
        <v>391.21698447752715</v>
      </c>
      <c r="J387" s="74">
        <f t="shared" si="32"/>
        <v>9275.9417483247253</v>
      </c>
      <c r="K387" s="74">
        <f t="shared" si="33"/>
        <v>-30732.311799085499</v>
      </c>
      <c r="L387" s="74">
        <f t="shared" si="34"/>
        <v>391.21698447752715</v>
      </c>
      <c r="M387" s="74">
        <f t="shared" si="35"/>
        <v>30734.801760303471</v>
      </c>
      <c r="N387" s="74">
        <f t="shared" si="36"/>
        <v>-15732.311799085499</v>
      </c>
      <c r="O387" s="74">
        <f t="shared" si="37"/>
        <v>-54608.783015522473</v>
      </c>
      <c r="P387" s="74">
        <f t="shared" si="38"/>
        <v>56829.788113101924</v>
      </c>
    </row>
    <row r="388" spans="1:16" x14ac:dyDescent="0.3">
      <c r="A388" s="72">
        <f t="shared" si="25"/>
        <v>39.5</v>
      </c>
      <c r="B388" s="74">
        <f t="shared" si="26"/>
        <v>7250.0216656936418</v>
      </c>
      <c r="C388" s="74">
        <f t="shared" si="27"/>
        <v>22955.825153310536</v>
      </c>
      <c r="D388" s="74">
        <f t="shared" si="28"/>
        <v>-6964.5802667837143</v>
      </c>
      <c r="E388" s="74">
        <f t="shared" si="29"/>
        <v>6694.0842755761278</v>
      </c>
      <c r="F388" s="74">
        <f t="shared" si="23"/>
        <v>4363.9456779374395</v>
      </c>
      <c r="G388" s="74">
        <f t="shared" si="24"/>
        <v>-2230.4592923747205</v>
      </c>
      <c r="H388" s="74">
        <f t="shared" si="30"/>
        <v>12749.978334306357</v>
      </c>
      <c r="I388" s="74">
        <f t="shared" si="31"/>
        <v>-2955.8251533105358</v>
      </c>
      <c r="J388" s="74">
        <f t="shared" si="32"/>
        <v>13088.118652511703</v>
      </c>
      <c r="K388" s="74">
        <f t="shared" si="33"/>
        <v>-27250.021665693643</v>
      </c>
      <c r="L388" s="74">
        <f t="shared" si="34"/>
        <v>-2955.8251533105358</v>
      </c>
      <c r="M388" s="74">
        <f t="shared" si="35"/>
        <v>27409.862880315839</v>
      </c>
      <c r="N388" s="74">
        <f t="shared" si="36"/>
        <v>-12250.021665693643</v>
      </c>
      <c r="O388" s="74">
        <f t="shared" si="37"/>
        <v>-57955.825153310536</v>
      </c>
      <c r="P388" s="74">
        <f t="shared" si="38"/>
        <v>59236.312343114892</v>
      </c>
    </row>
    <row r="389" spans="1:16" x14ac:dyDescent="0.3">
      <c r="A389" s="72">
        <f t="shared" si="25"/>
        <v>40</v>
      </c>
      <c r="B389" s="74">
        <f t="shared" si="26"/>
        <v>4858.7179517861441</v>
      </c>
      <c r="C389" s="74">
        <f t="shared" si="27"/>
        <v>25745.252468004917</v>
      </c>
      <c r="D389" s="74">
        <f t="shared" si="28"/>
        <v>-4782.6074278149945</v>
      </c>
      <c r="E389" s="74">
        <f t="shared" si="29"/>
        <v>5578.8546293887675</v>
      </c>
      <c r="F389" s="74">
        <f t="shared" si="23"/>
        <v>2298.0676403033294</v>
      </c>
      <c r="G389" s="74">
        <f t="shared" si="24"/>
        <v>-2776.3501153960615</v>
      </c>
      <c r="H389" s="74">
        <f t="shared" si="30"/>
        <v>15141.282048213856</v>
      </c>
      <c r="I389" s="74">
        <f t="shared" si="31"/>
        <v>-5745.2524680049173</v>
      </c>
      <c r="J389" s="74">
        <f t="shared" si="32"/>
        <v>16194.639483010413</v>
      </c>
      <c r="K389" s="74">
        <f t="shared" si="33"/>
        <v>-24858.717951786144</v>
      </c>
      <c r="L389" s="74">
        <f t="shared" si="34"/>
        <v>-5745.2524680049173</v>
      </c>
      <c r="M389" s="74">
        <f t="shared" si="35"/>
        <v>25513.99192850016</v>
      </c>
      <c r="N389" s="74">
        <f t="shared" si="36"/>
        <v>-9858.7179517861441</v>
      </c>
      <c r="O389" s="74">
        <f t="shared" si="37"/>
        <v>-60745.252468004917</v>
      </c>
      <c r="P389" s="74">
        <f t="shared" si="38"/>
        <v>61540.068386820371</v>
      </c>
    </row>
    <row r="390" spans="1:16" x14ac:dyDescent="0.3">
      <c r="A390" s="72">
        <f t="shared" si="25"/>
        <v>40.5</v>
      </c>
      <c r="B390" s="74">
        <f t="shared" si="26"/>
        <v>3041.9311479544795</v>
      </c>
      <c r="C390" s="74">
        <f t="shared" si="27"/>
        <v>27840.592253850285</v>
      </c>
      <c r="D390" s="74">
        <f t="shared" si="28"/>
        <v>-3633.5736076633298</v>
      </c>
      <c r="E390" s="74">
        <f t="shared" si="29"/>
        <v>4190.6795716907363</v>
      </c>
      <c r="F390" s="74">
        <f t="shared" si="23"/>
        <v>1153.2041287073466</v>
      </c>
      <c r="G390" s="74">
        <f t="shared" si="24"/>
        <v>-2964.4579826808676</v>
      </c>
      <c r="H390" s="74">
        <f t="shared" si="30"/>
        <v>16958.068852045522</v>
      </c>
      <c r="I390" s="74">
        <f t="shared" si="31"/>
        <v>-7840.5922538502855</v>
      </c>
      <c r="J390" s="74">
        <f t="shared" si="32"/>
        <v>18682.90625362804</v>
      </c>
      <c r="K390" s="74">
        <f t="shared" si="33"/>
        <v>-23041.931147954478</v>
      </c>
      <c r="L390" s="74">
        <f t="shared" si="34"/>
        <v>-7840.5922538502855</v>
      </c>
      <c r="M390" s="74">
        <f t="shared" si="35"/>
        <v>24339.381214776429</v>
      </c>
      <c r="N390" s="74">
        <f t="shared" si="36"/>
        <v>-8041.9311479544795</v>
      </c>
      <c r="O390" s="74">
        <f t="shared" si="37"/>
        <v>-62840.592253850285</v>
      </c>
      <c r="P390" s="74">
        <f t="shared" si="38"/>
        <v>63353.079573159732</v>
      </c>
    </row>
    <row r="391" spans="1:16" x14ac:dyDescent="0.3">
      <c r="A391" s="72">
        <f t="shared" si="25"/>
        <v>41</v>
      </c>
      <c r="B391" s="74">
        <f t="shared" si="26"/>
        <v>1513.4453762996513</v>
      </c>
      <c r="C391" s="74">
        <f t="shared" si="27"/>
        <v>29194.817544025438</v>
      </c>
      <c r="D391" s="74">
        <f t="shared" si="28"/>
        <v>-3056.9715433096562</v>
      </c>
      <c r="E391" s="74">
        <f t="shared" si="29"/>
        <v>2708.4505803503025</v>
      </c>
      <c r="F391" s="74">
        <f t="shared" si="23"/>
        <v>476.40490523822155</v>
      </c>
      <c r="G391" s="74">
        <f t="shared" si="24"/>
        <v>-3042.3724363177694</v>
      </c>
      <c r="H391" s="74">
        <f t="shared" si="30"/>
        <v>18486.554623700347</v>
      </c>
      <c r="I391" s="74">
        <f t="shared" si="31"/>
        <v>-9194.8175440254381</v>
      </c>
      <c r="J391" s="74">
        <f t="shared" si="32"/>
        <v>20646.970032500525</v>
      </c>
      <c r="K391" s="74">
        <f t="shared" si="33"/>
        <v>-21513.445376299653</v>
      </c>
      <c r="L391" s="74">
        <f t="shared" si="34"/>
        <v>-9194.8175440254381</v>
      </c>
      <c r="M391" s="74">
        <f t="shared" si="35"/>
        <v>23396.00396706555</v>
      </c>
      <c r="N391" s="74">
        <f t="shared" si="36"/>
        <v>-6513.4453762996509</v>
      </c>
      <c r="O391" s="74">
        <f t="shared" si="37"/>
        <v>-64194.817544025442</v>
      </c>
      <c r="P391" s="74">
        <f t="shared" si="38"/>
        <v>64524.410653494197</v>
      </c>
    </row>
    <row r="392" spans="1:16" x14ac:dyDescent="0.3">
      <c r="A392" s="72">
        <f t="shared" si="25"/>
        <v>41.5</v>
      </c>
      <c r="B392" s="74">
        <f t="shared" si="26"/>
        <v>104.06083095437862</v>
      </c>
      <c r="C392" s="74">
        <f t="shared" si="27"/>
        <v>29788.449725121147</v>
      </c>
      <c r="D392" s="74">
        <f t="shared" si="28"/>
        <v>-2818.7690906905455</v>
      </c>
      <c r="E392" s="74">
        <f t="shared" si="29"/>
        <v>1187.2643621914178</v>
      </c>
      <c r="F392" s="74">
        <f t="shared" si="23"/>
        <v>1.0631440636956953</v>
      </c>
      <c r="G392" s="74">
        <f t="shared" si="24"/>
        <v>-3076.1740790179997</v>
      </c>
      <c r="H392" s="74">
        <f t="shared" si="30"/>
        <v>19895.939169045621</v>
      </c>
      <c r="I392" s="74">
        <f t="shared" si="31"/>
        <v>-9788.4497251211469</v>
      </c>
      <c r="J392" s="74">
        <f t="shared" si="32"/>
        <v>22173.455829878843</v>
      </c>
      <c r="K392" s="74">
        <f t="shared" si="33"/>
        <v>-20104.060830954379</v>
      </c>
      <c r="L392" s="74">
        <f t="shared" si="34"/>
        <v>-9788.4497251211469</v>
      </c>
      <c r="M392" s="74">
        <f t="shared" si="35"/>
        <v>22360.389306001322</v>
      </c>
      <c r="N392" s="74">
        <f t="shared" si="36"/>
        <v>-5104.0608309543786</v>
      </c>
      <c r="O392" s="74">
        <f t="shared" si="37"/>
        <v>-64788.449725121143</v>
      </c>
      <c r="P392" s="74">
        <f t="shared" si="38"/>
        <v>64989.188752827438</v>
      </c>
    </row>
    <row r="393" spans="1:16" x14ac:dyDescent="0.3">
      <c r="A393" s="72">
        <f t="shared" si="25"/>
        <v>42</v>
      </c>
      <c r="B393" s="74">
        <f t="shared" si="26"/>
        <v>-1305.0579283749703</v>
      </c>
      <c r="C393" s="74">
        <f t="shared" si="27"/>
        <v>29613.038386462355</v>
      </c>
      <c r="D393" s="74">
        <f t="shared" si="28"/>
        <v>-2818.2375186586978</v>
      </c>
      <c r="E393" s="74">
        <f t="shared" si="29"/>
        <v>-350.82267731758202</v>
      </c>
      <c r="F393" s="74">
        <f t="shared" si="23"/>
        <v>-449.52186491726377</v>
      </c>
      <c r="G393" s="74">
        <f t="shared" si="24"/>
        <v>-3089.1990243098749</v>
      </c>
      <c r="H393" s="74">
        <f t="shared" si="30"/>
        <v>21305.057928374968</v>
      </c>
      <c r="I393" s="74">
        <f t="shared" si="31"/>
        <v>-9613.0383864623545</v>
      </c>
      <c r="J393" s="74">
        <f t="shared" si="32"/>
        <v>23373.403696317142</v>
      </c>
      <c r="K393" s="74">
        <f t="shared" si="33"/>
        <v>-18694.942071625032</v>
      </c>
      <c r="L393" s="74">
        <f t="shared" si="34"/>
        <v>-9613.0383864623545</v>
      </c>
      <c r="M393" s="74">
        <f t="shared" si="35"/>
        <v>21021.687993142092</v>
      </c>
      <c r="N393" s="74">
        <f t="shared" si="36"/>
        <v>-3694.9420716250297</v>
      </c>
      <c r="O393" s="74">
        <f t="shared" si="37"/>
        <v>-64613.038386462358</v>
      </c>
      <c r="P393" s="74">
        <f t="shared" si="38"/>
        <v>64718.601085338079</v>
      </c>
    </row>
    <row r="394" spans="1:16" x14ac:dyDescent="0.3">
      <c r="A394" s="72">
        <f t="shared" si="25"/>
        <v>42.5</v>
      </c>
      <c r="B394" s="74">
        <f t="shared" si="26"/>
        <v>-2826.5571539336352</v>
      </c>
      <c r="C394" s="74">
        <f t="shared" si="27"/>
        <v>28665.327291726095</v>
      </c>
      <c r="D394" s="74">
        <f t="shared" si="28"/>
        <v>-3042.9984511173298</v>
      </c>
      <c r="E394" s="74">
        <f t="shared" si="29"/>
        <v>-1895.4221894725194</v>
      </c>
      <c r="F394" s="74">
        <f t="shared" si="23"/>
        <v>-1042.1321158401622</v>
      </c>
      <c r="G394" s="74">
        <f t="shared" si="24"/>
        <v>-3085.2385214562428</v>
      </c>
      <c r="H394" s="74">
        <f t="shared" si="30"/>
        <v>22826.557153933634</v>
      </c>
      <c r="I394" s="74">
        <f t="shared" si="31"/>
        <v>-8665.3272917260947</v>
      </c>
      <c r="J394" s="74">
        <f t="shared" si="32"/>
        <v>24415.970359060724</v>
      </c>
      <c r="K394" s="74">
        <f t="shared" si="33"/>
        <v>-17173.442846066366</v>
      </c>
      <c r="L394" s="74">
        <f t="shared" si="34"/>
        <v>-8665.3272917260947</v>
      </c>
      <c r="M394" s="74">
        <f t="shared" si="35"/>
        <v>19235.774906663915</v>
      </c>
      <c r="N394" s="74">
        <f t="shared" si="36"/>
        <v>-2173.4428460663648</v>
      </c>
      <c r="O394" s="74">
        <f t="shared" si="37"/>
        <v>-63665.327291726091</v>
      </c>
      <c r="P394" s="74">
        <f t="shared" si="38"/>
        <v>63702.415597587191</v>
      </c>
    </row>
    <row r="395" spans="1:16" x14ac:dyDescent="0.3">
      <c r="A395" s="72">
        <f t="shared" si="25"/>
        <v>43</v>
      </c>
      <c r="B395" s="74">
        <f t="shared" si="26"/>
        <v>-4608.5894084523406</v>
      </c>
      <c r="C395" s="74">
        <f t="shared" si="27"/>
        <v>26946.306566625775</v>
      </c>
      <c r="D395" s="74">
        <f t="shared" si="28"/>
        <v>-3564.064509037411</v>
      </c>
      <c r="E395" s="74">
        <f t="shared" si="29"/>
        <v>-3438.0414502006406</v>
      </c>
      <c r="F395" s="74">
        <f t="shared" si="23"/>
        <v>-2016.442766691209</v>
      </c>
      <c r="G395" s="74">
        <f t="shared" si="24"/>
        <v>-3045.2452088294649</v>
      </c>
      <c r="H395" s="74">
        <f t="shared" si="30"/>
        <v>24608.589408452339</v>
      </c>
      <c r="I395" s="74">
        <f t="shared" si="31"/>
        <v>-6946.3065666257753</v>
      </c>
      <c r="J395" s="74">
        <f t="shared" si="32"/>
        <v>25570.174962079182</v>
      </c>
      <c r="K395" s="74">
        <f t="shared" si="33"/>
        <v>-15391.410591547659</v>
      </c>
      <c r="L395" s="74">
        <f t="shared" si="34"/>
        <v>-6946.3065666257753</v>
      </c>
      <c r="M395" s="74">
        <f t="shared" si="35"/>
        <v>16886.287185617621</v>
      </c>
      <c r="N395" s="74">
        <f t="shared" si="36"/>
        <v>-391.41059154765935</v>
      </c>
      <c r="O395" s="74">
        <f t="shared" si="37"/>
        <v>-61946.306566625775</v>
      </c>
      <c r="P395" s="74">
        <f t="shared" si="38"/>
        <v>61947.543127210134</v>
      </c>
    </row>
    <row r="396" spans="1:16" x14ac:dyDescent="0.3">
      <c r="A396" s="72">
        <f t="shared" si="25"/>
        <v>43.5</v>
      </c>
      <c r="B396" s="74">
        <f t="shared" si="26"/>
        <v>-6894.7323546438483</v>
      </c>
      <c r="C396" s="74">
        <f t="shared" si="27"/>
        <v>24465.974539318089</v>
      </c>
      <c r="D396" s="74">
        <f t="shared" si="28"/>
        <v>-4572.2858923830154</v>
      </c>
      <c r="E396" s="74">
        <f t="shared" si="29"/>
        <v>-4960.6640546153731</v>
      </c>
      <c r="F396" s="74">
        <f t="shared" si="23"/>
        <v>-3814.0307541962634</v>
      </c>
      <c r="G396" s="74">
        <f t="shared" si="24"/>
        <v>-2857.8434946514708</v>
      </c>
      <c r="H396" s="74">
        <f t="shared" si="30"/>
        <v>26894.732354643849</v>
      </c>
      <c r="I396" s="74">
        <f t="shared" si="31"/>
        <v>-4465.9745393180892</v>
      </c>
      <c r="J396" s="74">
        <f t="shared" si="32"/>
        <v>27263.00711612283</v>
      </c>
      <c r="K396" s="74">
        <f t="shared" si="33"/>
        <v>-13105.267645356151</v>
      </c>
      <c r="L396" s="74">
        <f t="shared" si="34"/>
        <v>-4465.9745393180892</v>
      </c>
      <c r="M396" s="74">
        <f t="shared" si="35"/>
        <v>13845.322988007762</v>
      </c>
      <c r="N396" s="74">
        <f t="shared" si="36"/>
        <v>1894.7323546438483</v>
      </c>
      <c r="O396" s="74">
        <f t="shared" si="37"/>
        <v>-59465.974539318093</v>
      </c>
      <c r="P396" s="74">
        <f t="shared" si="38"/>
        <v>59496.152300855232</v>
      </c>
    </row>
    <row r="397" spans="1:16" x14ac:dyDescent="0.3">
      <c r="A397" s="72">
        <f t="shared" si="25"/>
        <v>44</v>
      </c>
      <c r="B397" s="74">
        <f t="shared" si="26"/>
        <v>-10134.382989384421</v>
      </c>
      <c r="C397" s="74">
        <f t="shared" si="27"/>
        <v>21271.181638347534</v>
      </c>
      <c r="D397" s="74">
        <f t="shared" si="28"/>
        <v>-6479.3012694811468</v>
      </c>
      <c r="E397" s="74">
        <f t="shared" si="29"/>
        <v>-6389.585801941108</v>
      </c>
      <c r="F397" s="74">
        <f t="shared" si="23"/>
        <v>-7194.4676292461772</v>
      </c>
      <c r="G397" s="74">
        <f t="shared" si="24"/>
        <v>-1773.63241077867</v>
      </c>
      <c r="H397" s="74">
        <f t="shared" si="30"/>
        <v>30134.382989384423</v>
      </c>
      <c r="I397" s="74">
        <f t="shared" si="31"/>
        <v>-1271.1816383475343</v>
      </c>
      <c r="J397" s="74">
        <f t="shared" si="32"/>
        <v>30161.182684181556</v>
      </c>
      <c r="K397" s="74">
        <f t="shared" si="33"/>
        <v>-9865.6170106155787</v>
      </c>
      <c r="L397" s="74">
        <f t="shared" si="34"/>
        <v>-1271.1816383475343</v>
      </c>
      <c r="M397" s="74">
        <f t="shared" si="35"/>
        <v>9947.17556685411</v>
      </c>
      <c r="N397" s="74">
        <f t="shared" si="36"/>
        <v>5134.3829893844213</v>
      </c>
      <c r="O397" s="74">
        <f t="shared" si="37"/>
        <v>-56271.181638347538</v>
      </c>
      <c r="P397" s="74">
        <f t="shared" si="38"/>
        <v>56504.935816772515</v>
      </c>
    </row>
    <row r="398" spans="1:16" x14ac:dyDescent="0.3">
      <c r="A398" s="72">
        <f t="shared" si="25"/>
        <v>44.5</v>
      </c>
      <c r="B398" s="74">
        <f t="shared" si="26"/>
        <v>-15172.650531436539</v>
      </c>
      <c r="C398" s="74">
        <f t="shared" si="27"/>
        <v>17632.980634682313</v>
      </c>
      <c r="D398" s="74">
        <f t="shared" si="28"/>
        <v>-10076.535084104235</v>
      </c>
      <c r="E398" s="74">
        <f t="shared" si="29"/>
        <v>-7276.4020073304428</v>
      </c>
      <c r="F398" s="74">
        <f t="shared" si="23"/>
        <v>-9414.7086064137929</v>
      </c>
      <c r="G398" s="74">
        <f t="shared" si="24"/>
        <v>4825.8173077265792</v>
      </c>
      <c r="H398" s="74">
        <f t="shared" si="30"/>
        <v>35172.650531436535</v>
      </c>
      <c r="I398" s="74">
        <f t="shared" si="31"/>
        <v>2367.0193653176866</v>
      </c>
      <c r="J398" s="74">
        <f t="shared" si="32"/>
        <v>35252.207393046352</v>
      </c>
      <c r="K398" s="74">
        <f t="shared" si="33"/>
        <v>-4827.3494685634614</v>
      </c>
      <c r="L398" s="74">
        <f t="shared" si="34"/>
        <v>2367.0193653176866</v>
      </c>
      <c r="M398" s="74">
        <f t="shared" si="35"/>
        <v>5376.4378139646396</v>
      </c>
      <c r="N398" s="74">
        <f t="shared" si="36"/>
        <v>10172.650531436539</v>
      </c>
      <c r="O398" s="74">
        <f t="shared" si="37"/>
        <v>-52632.980634682317</v>
      </c>
      <c r="P398" s="74">
        <f t="shared" si="38"/>
        <v>53607.028170992467</v>
      </c>
    </row>
    <row r="399" spans="1:16" x14ac:dyDescent="0.3">
      <c r="A399" s="72">
        <f t="shared" si="25"/>
        <v>45</v>
      </c>
      <c r="B399" s="74">
        <f t="shared" si="26"/>
        <v>-22564.595225092104</v>
      </c>
      <c r="C399" s="74">
        <f t="shared" si="27"/>
        <v>15201.233957948738</v>
      </c>
      <c r="D399" s="74">
        <f t="shared" si="28"/>
        <v>-14783.88938731113</v>
      </c>
      <c r="E399" s="74">
        <f t="shared" si="29"/>
        <v>-4863.4933534671527</v>
      </c>
      <c r="F399" s="74">
        <f t="shared" si="23"/>
        <v>6811.9315722553247</v>
      </c>
      <c r="G399" s="74">
        <f t="shared" si="24"/>
        <v>10190.46648256439</v>
      </c>
      <c r="H399" s="74">
        <f t="shared" si="30"/>
        <v>42564.595225092104</v>
      </c>
      <c r="I399" s="74">
        <f t="shared" si="31"/>
        <v>4798.766042051262</v>
      </c>
      <c r="J399" s="74">
        <f t="shared" si="32"/>
        <v>42834.249406313611</v>
      </c>
      <c r="K399" s="74">
        <f t="shared" si="33"/>
        <v>2564.5952250921036</v>
      </c>
      <c r="L399" s="74">
        <f t="shared" si="34"/>
        <v>4798.766042051262</v>
      </c>
      <c r="M399" s="74">
        <f t="shared" si="35"/>
        <v>5441.0756468651998</v>
      </c>
      <c r="N399" s="74">
        <f t="shared" si="36"/>
        <v>17564.595225092104</v>
      </c>
      <c r="O399" s="74">
        <f t="shared" si="37"/>
        <v>-50201.233957948738</v>
      </c>
      <c r="P399" s="74">
        <f t="shared" si="38"/>
        <v>53185.325949194237</v>
      </c>
    </row>
    <row r="400" spans="1:16" x14ac:dyDescent="0.3">
      <c r="A400" s="72">
        <f t="shared" si="25"/>
        <v>45.5</v>
      </c>
      <c r="B400" s="74">
        <f t="shared" si="26"/>
        <v>-28253.557025683836</v>
      </c>
      <c r="C400" s="74">
        <f t="shared" si="27"/>
        <v>15317.103901856261</v>
      </c>
      <c r="D400" s="74">
        <f t="shared" si="28"/>
        <v>-11377.923601183467</v>
      </c>
      <c r="E400" s="74">
        <f t="shared" si="29"/>
        <v>231.73988781504249</v>
      </c>
      <c r="F400" s="74">
        <f t="shared" si="23"/>
        <v>9199.2836409830252</v>
      </c>
      <c r="G400" s="74">
        <f t="shared" si="24"/>
        <v>4238.4846121088403</v>
      </c>
      <c r="H400" s="74">
        <f t="shared" si="30"/>
        <v>48253.55702568384</v>
      </c>
      <c r="I400" s="74">
        <f t="shared" si="31"/>
        <v>4682.8960981437394</v>
      </c>
      <c r="J400" s="74">
        <f t="shared" si="32"/>
        <v>48480.256615419559</v>
      </c>
      <c r="K400" s="74">
        <f t="shared" si="33"/>
        <v>8253.5570256838364</v>
      </c>
      <c r="L400" s="74">
        <f t="shared" si="34"/>
        <v>4682.8960981437394</v>
      </c>
      <c r="M400" s="74">
        <f t="shared" si="35"/>
        <v>9489.5057533163908</v>
      </c>
      <c r="N400" s="74">
        <f t="shared" si="36"/>
        <v>23253.557025683836</v>
      </c>
      <c r="O400" s="74">
        <f t="shared" si="37"/>
        <v>-50317.103901856259</v>
      </c>
      <c r="P400" s="74">
        <f t="shared" si="38"/>
        <v>55430.486732635938</v>
      </c>
    </row>
    <row r="401" spans="1:16" x14ac:dyDescent="0.3">
      <c r="A401" s="72">
        <f t="shared" si="25"/>
        <v>46</v>
      </c>
      <c r="B401" s="74">
        <f t="shared" si="26"/>
        <v>-31642.697916029814</v>
      </c>
      <c r="C401" s="74">
        <f t="shared" si="27"/>
        <v>16492.594998790992</v>
      </c>
      <c r="D401" s="74">
        <f t="shared" si="28"/>
        <v>-6778.2817806919547</v>
      </c>
      <c r="E401" s="74">
        <f t="shared" si="29"/>
        <v>2350.9821938694627</v>
      </c>
      <c r="F401" s="74">
        <f t="shared" si="23"/>
        <v>7929.3326861359556</v>
      </c>
      <c r="G401" s="74">
        <f t="shared" si="24"/>
        <v>1713.4635735296083</v>
      </c>
      <c r="H401" s="74">
        <f t="shared" si="30"/>
        <v>51642.697916029814</v>
      </c>
      <c r="I401" s="74">
        <f t="shared" si="31"/>
        <v>3507.4050012090083</v>
      </c>
      <c r="J401" s="74">
        <f t="shared" si="32"/>
        <v>51761.666683838688</v>
      </c>
      <c r="K401" s="74">
        <f t="shared" si="33"/>
        <v>11642.697916029814</v>
      </c>
      <c r="L401" s="74">
        <f t="shared" si="34"/>
        <v>3507.4050012090083</v>
      </c>
      <c r="M401" s="74">
        <f t="shared" si="35"/>
        <v>12159.535542381171</v>
      </c>
      <c r="N401" s="74">
        <f t="shared" si="36"/>
        <v>26642.697916029814</v>
      </c>
      <c r="O401" s="74">
        <f t="shared" si="37"/>
        <v>-51492.594998790992</v>
      </c>
      <c r="P401" s="74">
        <f t="shared" si="38"/>
        <v>57976.897915931433</v>
      </c>
    </row>
    <row r="402" spans="1:16" x14ac:dyDescent="0.3">
      <c r="A402" s="72">
        <f t="shared" si="25"/>
        <v>46.5</v>
      </c>
      <c r="B402" s="74">
        <f t="shared" si="26"/>
        <v>-33049.5056348418</v>
      </c>
      <c r="C402" s="74">
        <f t="shared" si="27"/>
        <v>18096.451989108125</v>
      </c>
      <c r="D402" s="74">
        <f t="shared" si="28"/>
        <v>-2813.615437623977</v>
      </c>
      <c r="E402" s="74">
        <f t="shared" si="29"/>
        <v>3207.7139806342666</v>
      </c>
      <c r="F402" s="74">
        <f t="shared" si="23"/>
        <v>7436.1509168286175</v>
      </c>
      <c r="G402" s="74">
        <f t="shared" si="24"/>
        <v>561.81357412989428</v>
      </c>
      <c r="H402" s="74">
        <f t="shared" si="30"/>
        <v>53049.5056348418</v>
      </c>
      <c r="I402" s="74">
        <f t="shared" si="31"/>
        <v>1903.5480108918746</v>
      </c>
      <c r="J402" s="74">
        <f t="shared" si="32"/>
        <v>53083.646663835018</v>
      </c>
      <c r="K402" s="74">
        <f t="shared" si="33"/>
        <v>13049.5056348418</v>
      </c>
      <c r="L402" s="74">
        <f t="shared" si="34"/>
        <v>1903.5480108918746</v>
      </c>
      <c r="M402" s="74">
        <f t="shared" si="35"/>
        <v>13187.61132061217</v>
      </c>
      <c r="N402" s="74">
        <f t="shared" si="36"/>
        <v>28049.5056348418</v>
      </c>
      <c r="O402" s="74">
        <f t="shared" si="37"/>
        <v>-53096.451989108129</v>
      </c>
      <c r="P402" s="74">
        <f t="shared" si="38"/>
        <v>60050.045630213193</v>
      </c>
    </row>
    <row r="403" spans="1:16" x14ac:dyDescent="0.3">
      <c r="A403" s="72">
        <f t="shared" si="25"/>
        <v>47</v>
      </c>
      <c r="B403" s="74">
        <f t="shared" si="26"/>
        <v>-32597.275624446633</v>
      </c>
      <c r="C403" s="74">
        <f t="shared" si="27"/>
        <v>19840.762372957732</v>
      </c>
      <c r="D403" s="74">
        <f t="shared" si="28"/>
        <v>904.46002079033178</v>
      </c>
      <c r="E403" s="74">
        <f t="shared" si="29"/>
        <v>3488.6207676992135</v>
      </c>
      <c r="F403" s="74">
        <f t="shared" si="23"/>
        <v>7888.9383806292135</v>
      </c>
      <c r="G403" s="74">
        <f t="shared" si="24"/>
        <v>-318.44783016220737</v>
      </c>
      <c r="H403" s="74">
        <f t="shared" si="30"/>
        <v>52597.275624446629</v>
      </c>
      <c r="I403" s="74">
        <f t="shared" si="31"/>
        <v>159.23762704226829</v>
      </c>
      <c r="J403" s="74">
        <f t="shared" si="32"/>
        <v>52597.516668906275</v>
      </c>
      <c r="K403" s="74">
        <f t="shared" si="33"/>
        <v>12597.275624446633</v>
      </c>
      <c r="L403" s="74">
        <f t="shared" si="34"/>
        <v>159.23762704226829</v>
      </c>
      <c r="M403" s="74">
        <f t="shared" si="35"/>
        <v>12598.282017011024</v>
      </c>
      <c r="N403" s="74">
        <f t="shared" si="36"/>
        <v>27597.275624446633</v>
      </c>
      <c r="O403" s="74">
        <f t="shared" si="37"/>
        <v>-54840.762372957732</v>
      </c>
      <c r="P403" s="74">
        <f t="shared" si="38"/>
        <v>61393.149776981576</v>
      </c>
    </row>
    <row r="404" spans="1:16" x14ac:dyDescent="0.3">
      <c r="A404" s="72">
        <f t="shared" si="25"/>
        <v>47.5</v>
      </c>
      <c r="B404" s="74">
        <f t="shared" si="26"/>
        <v>-30172.811018894161</v>
      </c>
      <c r="C404" s="74">
        <f t="shared" si="27"/>
        <v>21505.460799266788</v>
      </c>
      <c r="D404" s="74">
        <f t="shared" si="28"/>
        <v>4848.9292111049381</v>
      </c>
      <c r="E404" s="74">
        <f t="shared" si="29"/>
        <v>3329.3968526181097</v>
      </c>
      <c r="F404" s="74">
        <f t="shared" si="23"/>
        <v>9580.3530333127819</v>
      </c>
      <c r="G404" s="74">
        <f t="shared" si="24"/>
        <v>-1723.2690757462697</v>
      </c>
      <c r="H404" s="74">
        <f t="shared" si="30"/>
        <v>50172.811018894165</v>
      </c>
      <c r="I404" s="74">
        <f t="shared" si="31"/>
        <v>-1505.4607992667879</v>
      </c>
      <c r="J404" s="74">
        <f t="shared" si="32"/>
        <v>50195.391997232146</v>
      </c>
      <c r="K404" s="74">
        <f t="shared" si="33"/>
        <v>10172.811018894161</v>
      </c>
      <c r="L404" s="74">
        <f t="shared" si="34"/>
        <v>-1505.4607992667879</v>
      </c>
      <c r="M404" s="74">
        <f t="shared" si="35"/>
        <v>10283.603271434748</v>
      </c>
      <c r="N404" s="74">
        <f t="shared" si="36"/>
        <v>25172.811018894161</v>
      </c>
      <c r="O404" s="74">
        <f t="shared" si="37"/>
        <v>-56505.460799266788</v>
      </c>
      <c r="P404" s="74">
        <f t="shared" si="38"/>
        <v>61859.013205275391</v>
      </c>
    </row>
    <row r="405" spans="1:16" x14ac:dyDescent="0.3">
      <c r="A405" s="72">
        <f t="shared" si="25"/>
        <v>48</v>
      </c>
      <c r="B405" s="74">
        <f t="shared" si="26"/>
        <v>-25353.258155013496</v>
      </c>
      <c r="C405" s="74">
        <f t="shared" si="27"/>
        <v>22739.341956639277</v>
      </c>
      <c r="D405" s="74">
        <f t="shared" si="28"/>
        <v>9639.105727761329</v>
      </c>
      <c r="E405" s="74">
        <f t="shared" si="29"/>
        <v>2467.7623147449749</v>
      </c>
      <c r="F405" s="74">
        <f t="shared" si="23"/>
        <v>11622.799469044778</v>
      </c>
      <c r="G405" s="74">
        <f t="shared" si="24"/>
        <v>-5933.5775991475357</v>
      </c>
      <c r="H405" s="74">
        <f t="shared" si="30"/>
        <v>45353.258155013493</v>
      </c>
      <c r="I405" s="74">
        <f t="shared" si="31"/>
        <v>-2739.3419566392768</v>
      </c>
      <c r="J405" s="74">
        <f t="shared" si="32"/>
        <v>45435.911123589263</v>
      </c>
      <c r="K405" s="74">
        <f t="shared" si="33"/>
        <v>5353.2581550134964</v>
      </c>
      <c r="L405" s="74">
        <f t="shared" si="34"/>
        <v>-2739.3419566392768</v>
      </c>
      <c r="M405" s="74">
        <f t="shared" si="35"/>
        <v>6013.4322337266594</v>
      </c>
      <c r="N405" s="74">
        <f t="shared" si="36"/>
        <v>20353.258155013496</v>
      </c>
      <c r="O405" s="74">
        <f t="shared" si="37"/>
        <v>-57739.341956639277</v>
      </c>
      <c r="P405" s="74">
        <f t="shared" si="38"/>
        <v>61221.619768757737</v>
      </c>
    </row>
    <row r="406" spans="1:16" x14ac:dyDescent="0.3">
      <c r="A406" s="72">
        <f t="shared" si="25"/>
        <v>48.5</v>
      </c>
      <c r="B406" s="74">
        <f t="shared" si="26"/>
        <v>-17628.005423871637</v>
      </c>
      <c r="C406" s="74">
        <f t="shared" si="27"/>
        <v>22489.828714224881</v>
      </c>
      <c r="D406" s="74">
        <f t="shared" si="28"/>
        <v>15450.505462283718</v>
      </c>
      <c r="E406" s="74">
        <f t="shared" si="29"/>
        <v>-499.02648482879295</v>
      </c>
      <c r="F406" s="74">
        <f t="shared" si="23"/>
        <v>-6186.0738068544024</v>
      </c>
      <c r="G406" s="74">
        <f t="shared" si="24"/>
        <v>-8397.1838629903759</v>
      </c>
      <c r="H406" s="74">
        <f t="shared" si="30"/>
        <v>37628.00542387164</v>
      </c>
      <c r="I406" s="74">
        <f t="shared" si="31"/>
        <v>-2489.828714224881</v>
      </c>
      <c r="J406" s="74">
        <f t="shared" si="32"/>
        <v>37710.290892607714</v>
      </c>
      <c r="K406" s="74">
        <f t="shared" si="33"/>
        <v>-2371.9945761283634</v>
      </c>
      <c r="L406" s="74">
        <f t="shared" si="34"/>
        <v>-2489.828714224881</v>
      </c>
      <c r="M406" s="74">
        <f t="shared" si="35"/>
        <v>3438.8377826470819</v>
      </c>
      <c r="N406" s="74">
        <f t="shared" si="36"/>
        <v>12628.005423871637</v>
      </c>
      <c r="O406" s="74">
        <f t="shared" si="37"/>
        <v>-57489.828714224881</v>
      </c>
      <c r="P406" s="74">
        <f t="shared" si="38"/>
        <v>58860.402025268631</v>
      </c>
    </row>
    <row r="407" spans="1:16" x14ac:dyDescent="0.3">
      <c r="A407" s="72">
        <f t="shared" si="25"/>
        <v>49</v>
      </c>
      <c r="B407" s="74">
        <f t="shared" si="26"/>
        <v>-11449.271144443377</v>
      </c>
      <c r="C407" s="74">
        <f t="shared" si="27"/>
        <v>20141.01950606289</v>
      </c>
      <c r="D407" s="74">
        <f t="shared" si="28"/>
        <v>12357.468558856517</v>
      </c>
      <c r="E407" s="74">
        <f t="shared" si="29"/>
        <v>-4697.6184163239814</v>
      </c>
      <c r="F407" s="74">
        <f t="shared" si="23"/>
        <v>-8557.9482542290752</v>
      </c>
      <c r="G407" s="74">
        <f t="shared" si="24"/>
        <v>-730.93043701558463</v>
      </c>
      <c r="H407" s="74">
        <f t="shared" si="30"/>
        <v>31449.271144443377</v>
      </c>
      <c r="I407" s="74">
        <f t="shared" si="31"/>
        <v>-141.01950606289029</v>
      </c>
      <c r="J407" s="74">
        <f t="shared" si="32"/>
        <v>31449.58731077101</v>
      </c>
      <c r="K407" s="74">
        <f t="shared" si="33"/>
        <v>-8550.7288555566229</v>
      </c>
      <c r="L407" s="74">
        <f t="shared" si="34"/>
        <v>-141.01950606289029</v>
      </c>
      <c r="M407" s="74">
        <f t="shared" si="35"/>
        <v>8551.8916306475094</v>
      </c>
      <c r="N407" s="74">
        <f t="shared" si="36"/>
        <v>6449.2711444433771</v>
      </c>
      <c r="O407" s="74">
        <f t="shared" si="37"/>
        <v>-55141.01950606289</v>
      </c>
      <c r="P407" s="74">
        <f t="shared" si="38"/>
        <v>55516.890497060063</v>
      </c>
    </row>
    <row r="408" spans="1:16" x14ac:dyDescent="0.3">
      <c r="A408" s="72">
        <f t="shared" si="25"/>
        <v>49.5</v>
      </c>
      <c r="B408" s="74">
        <f t="shared" si="26"/>
        <v>-7410.0239285723874</v>
      </c>
      <c r="C408" s="74">
        <f t="shared" si="27"/>
        <v>17609.477688647003</v>
      </c>
      <c r="D408" s="74">
        <f t="shared" si="28"/>
        <v>8078.4944317419795</v>
      </c>
      <c r="E408" s="74">
        <f t="shared" si="29"/>
        <v>-5063.0836348317735</v>
      </c>
      <c r="F408" s="74">
        <f t="shared" si="23"/>
        <v>-4679.4580900943529</v>
      </c>
      <c r="G408" s="74">
        <f t="shared" si="24"/>
        <v>854.98425836934427</v>
      </c>
      <c r="H408" s="74">
        <f t="shared" si="30"/>
        <v>27410.023928572387</v>
      </c>
      <c r="I408" s="74">
        <f t="shared" si="31"/>
        <v>2390.5223113529973</v>
      </c>
      <c r="J408" s="74">
        <f t="shared" si="32"/>
        <v>27514.069286203146</v>
      </c>
      <c r="K408" s="74">
        <f t="shared" si="33"/>
        <v>-12589.976071427613</v>
      </c>
      <c r="L408" s="74">
        <f t="shared" si="34"/>
        <v>2390.5223113529973</v>
      </c>
      <c r="M408" s="74">
        <f t="shared" si="35"/>
        <v>12814.916870592502</v>
      </c>
      <c r="N408" s="74">
        <f t="shared" si="36"/>
        <v>2410.0239285723874</v>
      </c>
      <c r="O408" s="74">
        <f t="shared" si="37"/>
        <v>-52609.477688647006</v>
      </c>
      <c r="P408" s="74">
        <f t="shared" si="38"/>
        <v>52664.649984676995</v>
      </c>
    </row>
    <row r="409" spans="1:16" x14ac:dyDescent="0.3">
      <c r="A409" s="72">
        <f t="shared" si="25"/>
        <v>50</v>
      </c>
      <c r="B409" s="74">
        <f t="shared" si="26"/>
        <v>-4540.6412352249863</v>
      </c>
      <c r="C409" s="74">
        <f t="shared" si="27"/>
        <v>15291.681935823452</v>
      </c>
      <c r="D409" s="74">
        <f t="shared" si="28"/>
        <v>5738.7653866948031</v>
      </c>
      <c r="E409" s="74">
        <f t="shared" si="29"/>
        <v>-4635.5915056471013</v>
      </c>
      <c r="F409" s="74">
        <f t="shared" si="23"/>
        <v>-2395.037678459677</v>
      </c>
      <c r="G409" s="74">
        <f t="shared" si="24"/>
        <v>1263.9309406933826</v>
      </c>
      <c r="H409" s="74">
        <f t="shared" si="30"/>
        <v>24540.641235224986</v>
      </c>
      <c r="I409" s="74">
        <f t="shared" si="31"/>
        <v>4708.3180641765484</v>
      </c>
      <c r="J409" s="74">
        <f t="shared" si="32"/>
        <v>24988.223851035837</v>
      </c>
      <c r="K409" s="74">
        <f t="shared" si="33"/>
        <v>-15459.358764775014</v>
      </c>
      <c r="L409" s="74">
        <f t="shared" si="34"/>
        <v>4708.3180641765484</v>
      </c>
      <c r="M409" s="74">
        <f t="shared" si="35"/>
        <v>16160.446541215289</v>
      </c>
      <c r="N409" s="74">
        <f t="shared" si="36"/>
        <v>-459.3587647750137</v>
      </c>
      <c r="O409" s="74">
        <f t="shared" si="37"/>
        <v>-50291.68193582345</v>
      </c>
      <c r="P409" s="74">
        <f t="shared" si="38"/>
        <v>50293.779758622302</v>
      </c>
    </row>
    <row r="410" spans="1:16" x14ac:dyDescent="0.3">
      <c r="A410" s="72">
        <f t="shared" si="25"/>
        <v>50.5</v>
      </c>
      <c r="B410" s="74">
        <f t="shared" si="26"/>
        <v>-2270.0179614925041</v>
      </c>
      <c r="C410" s="74">
        <f t="shared" si="27"/>
        <v>13289.868918173246</v>
      </c>
      <c r="D410" s="74">
        <f t="shared" si="28"/>
        <v>4541.2465474649644</v>
      </c>
      <c r="E410" s="74">
        <f t="shared" si="29"/>
        <v>-4003.62603530041</v>
      </c>
      <c r="F410" s="74">
        <f t="shared" si="23"/>
        <v>-1042.3932522080017</v>
      </c>
      <c r="G410" s="74">
        <f t="shared" si="24"/>
        <v>1484.0686748171042</v>
      </c>
      <c r="H410" s="74">
        <f t="shared" si="30"/>
        <v>22270.017961492504</v>
      </c>
      <c r="I410" s="74">
        <f t="shared" si="31"/>
        <v>6710.1310818267539</v>
      </c>
      <c r="J410" s="74">
        <f t="shared" si="32"/>
        <v>23258.967284479684</v>
      </c>
      <c r="K410" s="74">
        <f t="shared" si="33"/>
        <v>-17729.982038507496</v>
      </c>
      <c r="L410" s="74">
        <f t="shared" si="34"/>
        <v>6710.1310818267539</v>
      </c>
      <c r="M410" s="74">
        <f t="shared" si="35"/>
        <v>18957.270959214988</v>
      </c>
      <c r="N410" s="74">
        <f t="shared" si="36"/>
        <v>-2729.9820385074959</v>
      </c>
      <c r="O410" s="74">
        <f t="shared" si="37"/>
        <v>-48289.868918173248</v>
      </c>
      <c r="P410" s="74">
        <f t="shared" si="38"/>
        <v>48366.974704491578</v>
      </c>
    </row>
    <row r="411" spans="1:16" x14ac:dyDescent="0.3">
      <c r="A411" s="72">
        <f t="shared" si="25"/>
        <v>51</v>
      </c>
      <c r="B411" s="74">
        <f t="shared" si="26"/>
        <v>-259.99300081202239</v>
      </c>
      <c r="C411" s="74">
        <f t="shared" si="27"/>
        <v>11659.073069227317</v>
      </c>
      <c r="D411" s="74">
        <f t="shared" si="28"/>
        <v>4020.0499213609637</v>
      </c>
      <c r="E411" s="74">
        <f t="shared" si="29"/>
        <v>-3261.5916978918576</v>
      </c>
      <c r="F411" s="74">
        <f t="shared" si="23"/>
        <v>-175.89486008794671</v>
      </c>
      <c r="G411" s="74">
        <f t="shared" si="24"/>
        <v>1676.6207185253525</v>
      </c>
      <c r="H411" s="74">
        <f t="shared" si="30"/>
        <v>20259.993000812021</v>
      </c>
      <c r="I411" s="74">
        <f t="shared" si="31"/>
        <v>8340.9269307726827</v>
      </c>
      <c r="J411" s="74">
        <f t="shared" si="32"/>
        <v>21909.778147152498</v>
      </c>
      <c r="K411" s="74">
        <f t="shared" si="33"/>
        <v>-19740.006999187979</v>
      </c>
      <c r="L411" s="74">
        <f t="shared" si="34"/>
        <v>8340.9269307726827</v>
      </c>
      <c r="M411" s="74">
        <f t="shared" si="35"/>
        <v>21429.860904646102</v>
      </c>
      <c r="N411" s="74">
        <f t="shared" si="36"/>
        <v>-4740.0069991879773</v>
      </c>
      <c r="O411" s="74">
        <f t="shared" si="37"/>
        <v>-46659.073069227321</v>
      </c>
      <c r="P411" s="74">
        <f t="shared" si="38"/>
        <v>46899.219247572189</v>
      </c>
    </row>
    <row r="412" spans="1:16" x14ac:dyDescent="0.3">
      <c r="A412" s="72">
        <f t="shared" si="25"/>
        <v>51.5</v>
      </c>
      <c r="B412" s="74">
        <f t="shared" si="26"/>
        <v>1706.0582448464729</v>
      </c>
      <c r="C412" s="74">
        <f t="shared" si="27"/>
        <v>10447.432399912726</v>
      </c>
      <c r="D412" s="74">
        <f t="shared" si="28"/>
        <v>3932.1024913169904</v>
      </c>
      <c r="E412" s="74">
        <f t="shared" si="29"/>
        <v>-2423.2813386291814</v>
      </c>
      <c r="F412" s="74">
        <f t="shared" si="23"/>
        <v>443.10591508585355</v>
      </c>
      <c r="G412" s="74">
        <f t="shared" si="24"/>
        <v>1895.098687068132</v>
      </c>
      <c r="H412" s="74">
        <f t="shared" si="30"/>
        <v>18293.941755153526</v>
      </c>
      <c r="I412" s="74">
        <f t="shared" si="31"/>
        <v>9552.5676000872736</v>
      </c>
      <c r="J412" s="74">
        <f t="shared" si="32"/>
        <v>20637.825774416906</v>
      </c>
      <c r="K412" s="74">
        <f t="shared" si="33"/>
        <v>-21706.058244846474</v>
      </c>
      <c r="L412" s="74">
        <f t="shared" si="34"/>
        <v>9552.5676000872736</v>
      </c>
      <c r="M412" s="74">
        <f t="shared" si="35"/>
        <v>23715.069307992857</v>
      </c>
      <c r="N412" s="74">
        <f t="shared" si="36"/>
        <v>-6706.0582448464729</v>
      </c>
      <c r="O412" s="74">
        <f t="shared" si="37"/>
        <v>-45447.432399912723</v>
      </c>
      <c r="P412" s="74">
        <f t="shared" si="38"/>
        <v>45939.529045560645</v>
      </c>
    </row>
    <row r="413" spans="1:16" x14ac:dyDescent="0.3">
      <c r="A413" s="72">
        <f t="shared" si="25"/>
        <v>52</v>
      </c>
      <c r="B413" s="74">
        <f t="shared" si="26"/>
        <v>3782.8859692764313</v>
      </c>
      <c r="C413" s="74">
        <f t="shared" si="27"/>
        <v>9709.566402365168</v>
      </c>
      <c r="D413" s="74">
        <f t="shared" si="28"/>
        <v>4153.6554488599168</v>
      </c>
      <c r="E413" s="74">
        <f t="shared" si="29"/>
        <v>-1475.7319950951155</v>
      </c>
      <c r="F413" s="74">
        <f t="shared" si="23"/>
        <v>970.99271310813879</v>
      </c>
      <c r="G413" s="74">
        <f t="shared" si="24"/>
        <v>2198.3165238016936</v>
      </c>
      <c r="H413" s="74">
        <f t="shared" si="30"/>
        <v>16217.114030723569</v>
      </c>
      <c r="I413" s="74">
        <f t="shared" si="31"/>
        <v>10290.433597634832</v>
      </c>
      <c r="J413" s="74">
        <f t="shared" si="32"/>
        <v>19206.452330215048</v>
      </c>
      <c r="K413" s="74">
        <f t="shared" si="33"/>
        <v>-23782.885969276431</v>
      </c>
      <c r="L413" s="74">
        <f t="shared" si="34"/>
        <v>10290.433597634832</v>
      </c>
      <c r="M413" s="74">
        <f t="shared" si="35"/>
        <v>25913.677636625365</v>
      </c>
      <c r="N413" s="74">
        <f t="shared" si="36"/>
        <v>-8782.8859692764308</v>
      </c>
      <c r="O413" s="74">
        <f t="shared" si="37"/>
        <v>-44709.56640236517</v>
      </c>
      <c r="P413" s="74">
        <f t="shared" si="38"/>
        <v>45564.069329207341</v>
      </c>
    </row>
    <row r="414" spans="1:16" x14ac:dyDescent="0.3">
      <c r="A414" s="72">
        <f t="shared" si="25"/>
        <v>52.5</v>
      </c>
      <c r="B414" s="74">
        <f t="shared" si="26"/>
        <v>6102.4618719834243</v>
      </c>
      <c r="C414" s="74">
        <f t="shared" si="27"/>
        <v>9521.2795357680334</v>
      </c>
      <c r="D414" s="74">
        <f t="shared" si="28"/>
        <v>4639.151805413986</v>
      </c>
      <c r="E414" s="74">
        <f t="shared" si="29"/>
        <v>-376.5737331942687</v>
      </c>
      <c r="F414" s="74">
        <f t="shared" si="23"/>
        <v>1542.4162677948432</v>
      </c>
      <c r="G414" s="74">
        <f t="shared" si="24"/>
        <v>2687.9639536766858</v>
      </c>
      <c r="H414" s="74">
        <f t="shared" si="30"/>
        <v>13897.538128016575</v>
      </c>
      <c r="I414" s="74">
        <f t="shared" si="31"/>
        <v>10478.720464231967</v>
      </c>
      <c r="J414" s="74">
        <f t="shared" si="32"/>
        <v>17405.319548551477</v>
      </c>
      <c r="K414" s="74">
        <f t="shared" si="33"/>
        <v>-26102.461871983425</v>
      </c>
      <c r="L414" s="74">
        <f t="shared" si="34"/>
        <v>10478.720464231967</v>
      </c>
      <c r="M414" s="74">
        <f t="shared" si="35"/>
        <v>28127.248325171488</v>
      </c>
      <c r="N414" s="74">
        <f t="shared" si="36"/>
        <v>-11102.461871983425</v>
      </c>
      <c r="O414" s="74">
        <f t="shared" si="37"/>
        <v>-44521.27953576803</v>
      </c>
      <c r="P414" s="74">
        <f t="shared" si="38"/>
        <v>45884.735927330374</v>
      </c>
    </row>
    <row r="415" spans="1:16" x14ac:dyDescent="0.3">
      <c r="A415" s="72">
        <f t="shared" si="25"/>
        <v>53</v>
      </c>
      <c r="B415" s="74">
        <f t="shared" si="26"/>
        <v>8807.641841639128</v>
      </c>
      <c r="C415" s="74">
        <f t="shared" si="27"/>
        <v>10004.98365759007</v>
      </c>
      <c r="D415" s="74">
        <f t="shared" si="28"/>
        <v>5410.3599393114073</v>
      </c>
      <c r="E415" s="74">
        <f t="shared" si="29"/>
        <v>967.40824364407422</v>
      </c>
      <c r="F415" s="74">
        <f t="shared" si="23"/>
        <v>2320.0918208467701</v>
      </c>
      <c r="G415" s="74">
        <f t="shared" si="24"/>
        <v>3577.5669523174579</v>
      </c>
      <c r="H415" s="74">
        <f t="shared" si="30"/>
        <v>11192.358158360872</v>
      </c>
      <c r="I415" s="74">
        <f t="shared" si="31"/>
        <v>9995.0163424099301</v>
      </c>
      <c r="J415" s="74">
        <f t="shared" si="32"/>
        <v>15005.640034002841</v>
      </c>
      <c r="K415" s="74">
        <f t="shared" si="33"/>
        <v>-28807.641841639128</v>
      </c>
      <c r="L415" s="74">
        <f t="shared" si="34"/>
        <v>9995.0163424099301</v>
      </c>
      <c r="M415" s="74">
        <f t="shared" si="35"/>
        <v>30492.303621753457</v>
      </c>
      <c r="N415" s="74">
        <f t="shared" si="36"/>
        <v>-13807.641841639128</v>
      </c>
      <c r="O415" s="74">
        <f t="shared" si="37"/>
        <v>-45004.98365759007</v>
      </c>
      <c r="P415" s="74">
        <f t="shared" si="38"/>
        <v>47075.466298773215</v>
      </c>
    </row>
    <row r="416" spans="1:16" x14ac:dyDescent="0.3">
      <c r="A416" s="72">
        <f t="shared" si="25"/>
        <v>53.5</v>
      </c>
      <c r="B416" s="74">
        <f t="shared" si="26"/>
        <v>12092.844766506523</v>
      </c>
      <c r="C416" s="74">
        <f t="shared" si="27"/>
        <v>11383.079517491471</v>
      </c>
      <c r="D416" s="74">
        <f t="shared" si="28"/>
        <v>6570.4058497347924</v>
      </c>
      <c r="E416" s="74">
        <f t="shared" si="29"/>
        <v>2756.1917198028032</v>
      </c>
      <c r="F416" s="74">
        <f t="shared" si="23"/>
        <v>3534.1360784813301</v>
      </c>
      <c r="G416" s="74">
        <f t="shared" si="24"/>
        <v>5407.5357626951773</v>
      </c>
      <c r="H416" s="74">
        <f t="shared" si="30"/>
        <v>7907.1552334934768</v>
      </c>
      <c r="I416" s="74">
        <f t="shared" si="31"/>
        <v>8616.9204825085289</v>
      </c>
      <c r="J416" s="74">
        <f t="shared" si="32"/>
        <v>11695.059747108533</v>
      </c>
      <c r="K416" s="74">
        <f t="shared" si="33"/>
        <v>-32092.844766506525</v>
      </c>
      <c r="L416" s="74">
        <f t="shared" si="34"/>
        <v>8616.9204825085289</v>
      </c>
      <c r="M416" s="74">
        <f t="shared" si="35"/>
        <v>33229.535112742102</v>
      </c>
      <c r="N416" s="74">
        <f t="shared" si="36"/>
        <v>-17092.844766506525</v>
      </c>
      <c r="O416" s="74">
        <f t="shared" si="37"/>
        <v>-46383.079517491467</v>
      </c>
      <c r="P416" s="74">
        <f t="shared" si="38"/>
        <v>49432.331603292056</v>
      </c>
    </row>
    <row r="417" spans="1:16" x14ac:dyDescent="0.3">
      <c r="A417" s="72">
        <f t="shared" si="25"/>
        <v>54</v>
      </c>
      <c r="B417" s="74">
        <f t="shared" si="26"/>
        <v>16261.581710994251</v>
      </c>
      <c r="C417" s="74">
        <f t="shared" si="27"/>
        <v>14113.059318066666</v>
      </c>
      <c r="D417" s="74">
        <f t="shared" si="28"/>
        <v>8337.4738889754572</v>
      </c>
      <c r="E417" s="74">
        <f t="shared" si="29"/>
        <v>5459.9596011503918</v>
      </c>
      <c r="F417" s="74">
        <f t="shared" si="23"/>
        <v>4696.7115638988862</v>
      </c>
      <c r="G417" s="74">
        <f t="shared" si="24"/>
        <v>9332.704532289612</v>
      </c>
      <c r="H417" s="74">
        <f t="shared" si="30"/>
        <v>3738.4182890057491</v>
      </c>
      <c r="I417" s="74">
        <f t="shared" si="31"/>
        <v>5886.9406819333344</v>
      </c>
      <c r="J417" s="74">
        <f t="shared" si="32"/>
        <v>6973.6534109585909</v>
      </c>
      <c r="K417" s="74">
        <f t="shared" si="33"/>
        <v>-36261.581710994251</v>
      </c>
      <c r="L417" s="74">
        <f t="shared" si="34"/>
        <v>5886.9406819333344</v>
      </c>
      <c r="M417" s="74">
        <f t="shared" si="35"/>
        <v>36736.335946521867</v>
      </c>
      <c r="N417" s="74">
        <f t="shared" si="36"/>
        <v>-21261.581710994251</v>
      </c>
      <c r="O417" s="74">
        <f t="shared" si="37"/>
        <v>-49113.059318066662</v>
      </c>
      <c r="P417" s="74">
        <f t="shared" si="38"/>
        <v>53517.730262345955</v>
      </c>
    </row>
    <row r="418" spans="1:16" x14ac:dyDescent="0.3">
      <c r="A418" s="72">
        <f t="shared" si="25"/>
        <v>54.5</v>
      </c>
      <c r="B418" s="74">
        <f t="shared" si="26"/>
        <v>21604.496546456703</v>
      </c>
      <c r="C418" s="74">
        <f t="shared" si="27"/>
        <v>19176.215251714264</v>
      </c>
      <c r="D418" s="74">
        <f t="shared" si="28"/>
        <v>10685.829670924901</v>
      </c>
      <c r="E418" s="74">
        <f t="shared" si="29"/>
        <v>10126.311867295197</v>
      </c>
      <c r="F418" s="74">
        <f t="shared" si="23"/>
        <v>-7358.8725196679352</v>
      </c>
      <c r="G418" s="74">
        <f t="shared" si="24"/>
        <v>2765.3156921997047</v>
      </c>
      <c r="H418" s="74">
        <f t="shared" si="30"/>
        <v>-1604.4965464567031</v>
      </c>
      <c r="I418" s="74">
        <f t="shared" si="31"/>
        <v>823.78474828573599</v>
      </c>
      <c r="J418" s="74">
        <f t="shared" si="32"/>
        <v>1803.6159455659292</v>
      </c>
      <c r="K418" s="74">
        <f t="shared" si="33"/>
        <v>-41604.496546456707</v>
      </c>
      <c r="L418" s="74">
        <f t="shared" si="34"/>
        <v>823.78474828573599</v>
      </c>
      <c r="M418" s="74">
        <f t="shared" si="35"/>
        <v>41612.651371856089</v>
      </c>
      <c r="N418" s="74">
        <f t="shared" si="36"/>
        <v>-26604.496546456703</v>
      </c>
      <c r="O418" s="74">
        <f t="shared" si="37"/>
        <v>-54176.215251714268</v>
      </c>
      <c r="P418" s="74">
        <f t="shared" si="38"/>
        <v>60356.122601526549</v>
      </c>
    </row>
    <row r="419" spans="1:16" x14ac:dyDescent="0.3">
      <c r="A419" s="72">
        <f t="shared" si="25"/>
        <v>55</v>
      </c>
      <c r="B419" s="74">
        <f t="shared" si="26"/>
        <v>25107.693252002173</v>
      </c>
      <c r="C419" s="74">
        <f t="shared" si="27"/>
        <v>24930.700108411787</v>
      </c>
      <c r="D419" s="74">
        <f t="shared" si="28"/>
        <v>7006.3934110909331</v>
      </c>
      <c r="E419" s="74">
        <f t="shared" si="29"/>
        <v>11508.969713395049</v>
      </c>
      <c r="F419" s="74">
        <f t="shared" si="23"/>
        <v>-9187.5561463584654</v>
      </c>
      <c r="G419" s="74">
        <f t="shared" si="24"/>
        <v>-8345.2449948600242</v>
      </c>
      <c r="H419" s="74">
        <f t="shared" si="30"/>
        <v>-5107.6932520021728</v>
      </c>
      <c r="I419" s="74">
        <f t="shared" si="31"/>
        <v>-4930.7001084117874</v>
      </c>
      <c r="J419" s="74">
        <f t="shared" si="32"/>
        <v>7099.3192571992804</v>
      </c>
      <c r="K419" s="74">
        <f t="shared" si="33"/>
        <v>-45107.693252002173</v>
      </c>
      <c r="L419" s="74">
        <f t="shared" si="34"/>
        <v>-4930.7001084117874</v>
      </c>
      <c r="M419" s="74">
        <f t="shared" si="35"/>
        <v>45376.379252600294</v>
      </c>
      <c r="N419" s="74">
        <f t="shared" si="36"/>
        <v>-30107.693252002173</v>
      </c>
      <c r="O419" s="74">
        <f t="shared" si="37"/>
        <v>-59930.700108411787</v>
      </c>
      <c r="P419" s="74">
        <f t="shared" si="38"/>
        <v>67068.338345608689</v>
      </c>
    </row>
    <row r="420" spans="1:16" x14ac:dyDescent="0.3">
      <c r="A420" s="72">
        <f t="shared" si="25"/>
        <v>55.5</v>
      </c>
      <c r="B420" s="74">
        <f t="shared" si="26"/>
        <v>26314.000920958024</v>
      </c>
      <c r="C420" s="74">
        <f t="shared" si="27"/>
        <v>28598.873716394304</v>
      </c>
      <c r="D420" s="74">
        <f t="shared" si="28"/>
        <v>2412.6153379117004</v>
      </c>
      <c r="E420" s="74">
        <f t="shared" si="29"/>
        <v>7336.3472159650364</v>
      </c>
      <c r="F420" s="74">
        <f t="shared" si="23"/>
        <v>-5938.263881537775</v>
      </c>
      <c r="G420" s="74">
        <f t="shared" si="24"/>
        <v>-7302.3360752192011</v>
      </c>
      <c r="H420" s="74">
        <f t="shared" si="30"/>
        <v>-6314.0009209580239</v>
      </c>
      <c r="I420" s="74">
        <f t="shared" si="31"/>
        <v>-8598.8737163943042</v>
      </c>
      <c r="J420" s="74">
        <f t="shared" si="32"/>
        <v>10668.0474699148</v>
      </c>
      <c r="K420" s="74">
        <f t="shared" si="33"/>
        <v>-46314.000920958024</v>
      </c>
      <c r="L420" s="74">
        <f t="shared" si="34"/>
        <v>-8598.8737163943042</v>
      </c>
      <c r="M420" s="74">
        <f t="shared" si="35"/>
        <v>47105.491298754088</v>
      </c>
      <c r="N420" s="74">
        <f t="shared" si="36"/>
        <v>-31314.000920958024</v>
      </c>
      <c r="O420" s="74">
        <f t="shared" si="37"/>
        <v>-63598.873716394301</v>
      </c>
      <c r="P420" s="74">
        <f t="shared" si="38"/>
        <v>70889.938578557325</v>
      </c>
    </row>
    <row r="421" spans="1:16" x14ac:dyDescent="0.3">
      <c r="A421" s="72">
        <f t="shared" si="25"/>
        <v>56</v>
      </c>
      <c r="B421" s="74">
        <f t="shared" si="26"/>
        <v>26035.742619529432</v>
      </c>
      <c r="C421" s="74">
        <f t="shared" si="27"/>
        <v>30441.463305572022</v>
      </c>
      <c r="D421" s="74">
        <f t="shared" si="28"/>
        <v>-556.51660285718708</v>
      </c>
      <c r="E421" s="74">
        <f t="shared" si="29"/>
        <v>3685.1791783554359</v>
      </c>
      <c r="F421" s="74">
        <f t="shared" si="23"/>
        <v>-4610.3886947683295</v>
      </c>
      <c r="G421" s="74">
        <f t="shared" si="24"/>
        <v>-6909.6331403793401</v>
      </c>
      <c r="H421" s="74">
        <f t="shared" si="30"/>
        <v>-6035.742619529432</v>
      </c>
      <c r="I421" s="74">
        <f t="shared" si="31"/>
        <v>-10441.463305572022</v>
      </c>
      <c r="J421" s="74">
        <f t="shared" si="32"/>
        <v>12060.445469832823</v>
      </c>
      <c r="K421" s="74">
        <f t="shared" si="33"/>
        <v>-46035.742619529432</v>
      </c>
      <c r="L421" s="74">
        <f t="shared" si="34"/>
        <v>-10441.463305572022</v>
      </c>
      <c r="M421" s="74">
        <f t="shared" si="35"/>
        <v>47205.018318958057</v>
      </c>
      <c r="N421" s="74">
        <f t="shared" si="36"/>
        <v>-31035.742619529432</v>
      </c>
      <c r="O421" s="74">
        <f t="shared" si="37"/>
        <v>-65441.463305572019</v>
      </c>
      <c r="P421" s="74">
        <f t="shared" si="38"/>
        <v>72427.912019608877</v>
      </c>
    </row>
    <row r="422" spans="1:16" x14ac:dyDescent="0.3">
      <c r="A422" s="72">
        <f t="shared" si="25"/>
        <v>56.5</v>
      </c>
      <c r="B422" s="74">
        <f t="shared" si="26"/>
        <v>24604.887144408756</v>
      </c>
      <c r="C422" s="74">
        <f t="shared" si="27"/>
        <v>30556.644609654904</v>
      </c>
      <c r="D422" s="74">
        <f t="shared" si="28"/>
        <v>-2861.7109502413518</v>
      </c>
      <c r="E422" s="74">
        <f t="shared" si="29"/>
        <v>230.36260816576578</v>
      </c>
      <c r="F422" s="74">
        <f t="shared" si="23"/>
        <v>-4059.351730625443</v>
      </c>
      <c r="G422" s="74">
        <f t="shared" si="24"/>
        <v>-7677.9608935868628</v>
      </c>
      <c r="H422" s="74">
        <f t="shared" si="30"/>
        <v>-4604.8871444087563</v>
      </c>
      <c r="I422" s="74">
        <f t="shared" si="31"/>
        <v>-10556.644609654904</v>
      </c>
      <c r="J422" s="74">
        <f t="shared" si="32"/>
        <v>11517.279671315488</v>
      </c>
      <c r="K422" s="74">
        <f t="shared" si="33"/>
        <v>-44604.887144408756</v>
      </c>
      <c r="L422" s="74">
        <f t="shared" si="34"/>
        <v>-10556.644609654904</v>
      </c>
      <c r="M422" s="74">
        <f t="shared" si="35"/>
        <v>45837.08872277991</v>
      </c>
      <c r="N422" s="74">
        <f t="shared" si="36"/>
        <v>-29604.887144408756</v>
      </c>
      <c r="O422" s="74">
        <f t="shared" si="37"/>
        <v>-65556.644609654904</v>
      </c>
      <c r="P422" s="74">
        <f t="shared" si="38"/>
        <v>71931.376987443902</v>
      </c>
    </row>
    <row r="423" spans="1:16" x14ac:dyDescent="0.3">
      <c r="A423" s="72">
        <f t="shared" si="25"/>
        <v>57</v>
      </c>
      <c r="B423" s="74">
        <f t="shared" si="26"/>
        <v>22159.193736631722</v>
      </c>
      <c r="C423" s="74">
        <f t="shared" si="27"/>
        <v>28752.335690341071</v>
      </c>
      <c r="D423" s="74">
        <f t="shared" si="28"/>
        <v>-4891.3868155540731</v>
      </c>
      <c r="E423" s="74">
        <f t="shared" si="29"/>
        <v>-3608.6178386276656</v>
      </c>
      <c r="F423" s="74">
        <f t="shared" si="23"/>
        <v>-3400.1893763188555</v>
      </c>
      <c r="G423" s="74">
        <f t="shared" si="24"/>
        <v>-10109.060362143347</v>
      </c>
      <c r="H423" s="74">
        <f t="shared" si="30"/>
        <v>-2159.1937366317215</v>
      </c>
      <c r="I423" s="74">
        <f t="shared" si="31"/>
        <v>-8752.3356903410713</v>
      </c>
      <c r="J423" s="74">
        <f t="shared" si="32"/>
        <v>9014.7378014409132</v>
      </c>
      <c r="K423" s="74">
        <f t="shared" si="33"/>
        <v>-42159.193736631722</v>
      </c>
      <c r="L423" s="74">
        <f t="shared" si="34"/>
        <v>-8752.3356903410713</v>
      </c>
      <c r="M423" s="74">
        <f t="shared" si="35"/>
        <v>43058.11185548277</v>
      </c>
      <c r="N423" s="74">
        <f t="shared" si="36"/>
        <v>-27159.193736631722</v>
      </c>
      <c r="O423" s="74">
        <f t="shared" si="37"/>
        <v>-63752.335690341075</v>
      </c>
      <c r="P423" s="74">
        <f t="shared" si="38"/>
        <v>69296.335475967498</v>
      </c>
    </row>
    <row r="424" spans="1:16" x14ac:dyDescent="0.3">
      <c r="A424" s="72">
        <f t="shared" si="25"/>
        <v>57.5</v>
      </c>
      <c r="B424" s="74">
        <f t="shared" si="26"/>
        <v>18863.452984774973</v>
      </c>
      <c r="C424" s="74">
        <f t="shared" si="27"/>
        <v>24420.7616804914</v>
      </c>
      <c r="D424" s="74">
        <f t="shared" si="28"/>
        <v>-6591.4815037135013</v>
      </c>
      <c r="E424" s="74">
        <f t="shared" si="29"/>
        <v>-8663.1480196993398</v>
      </c>
      <c r="F424" s="74">
        <f t="shared" si="23"/>
        <v>1723.0815862224158</v>
      </c>
      <c r="G424" s="74">
        <f t="shared" si="24"/>
        <v>-12058.43083710867</v>
      </c>
      <c r="H424" s="74">
        <f t="shared" si="30"/>
        <v>1136.5470152250273</v>
      </c>
      <c r="I424" s="74">
        <f t="shared" si="31"/>
        <v>-4420.7616804913996</v>
      </c>
      <c r="J424" s="74">
        <f t="shared" si="32"/>
        <v>4564.523299701521</v>
      </c>
      <c r="K424" s="74">
        <f t="shared" si="33"/>
        <v>-38863.452984774973</v>
      </c>
      <c r="L424" s="74">
        <f t="shared" si="34"/>
        <v>-4420.7616804913996</v>
      </c>
      <c r="M424" s="74">
        <f t="shared" si="35"/>
        <v>39114.078178266151</v>
      </c>
      <c r="N424" s="74">
        <f t="shared" si="36"/>
        <v>-23863.452984774973</v>
      </c>
      <c r="O424" s="74">
        <f t="shared" si="37"/>
        <v>-59420.7616804914</v>
      </c>
      <c r="P424" s="74">
        <f t="shared" si="38"/>
        <v>64033.517059789243</v>
      </c>
    </row>
    <row r="425" spans="1:16" x14ac:dyDescent="0.3">
      <c r="A425" s="72">
        <f t="shared" si="25"/>
        <v>58</v>
      </c>
      <c r="B425" s="74">
        <f t="shared" si="26"/>
        <v>15998.482629473827</v>
      </c>
      <c r="C425" s="74">
        <f t="shared" si="27"/>
        <v>17074.579961364565</v>
      </c>
      <c r="D425" s="74">
        <f t="shared" si="28"/>
        <v>-5729.9407106022936</v>
      </c>
      <c r="E425" s="74">
        <f t="shared" si="29"/>
        <v>-14692.363438253675</v>
      </c>
      <c r="F425" s="74">
        <f t="shared" si="23"/>
        <v>8260.8005910406009</v>
      </c>
      <c r="G425" s="74">
        <f t="shared" si="24"/>
        <v>6711.850712495585</v>
      </c>
      <c r="H425" s="74">
        <f t="shared" si="30"/>
        <v>4001.5173705261732</v>
      </c>
      <c r="I425" s="74">
        <f t="shared" si="31"/>
        <v>2925.420038635435</v>
      </c>
      <c r="J425" s="74">
        <f t="shared" si="32"/>
        <v>4956.8360542862874</v>
      </c>
      <c r="K425" s="74">
        <f t="shared" si="33"/>
        <v>-35998.48262947383</v>
      </c>
      <c r="L425" s="74">
        <f t="shared" si="34"/>
        <v>2925.420038635435</v>
      </c>
      <c r="M425" s="74">
        <f t="shared" si="35"/>
        <v>36117.154290267375</v>
      </c>
      <c r="N425" s="74">
        <f t="shared" si="36"/>
        <v>-20998.482629473827</v>
      </c>
      <c r="O425" s="74">
        <f t="shared" si="37"/>
        <v>-52074.579961364565</v>
      </c>
      <c r="P425" s="74">
        <f t="shared" si="38"/>
        <v>56148.892695162438</v>
      </c>
    </row>
    <row r="426" spans="1:16" x14ac:dyDescent="0.3">
      <c r="A426" s="72">
        <f t="shared" si="25"/>
        <v>58.5</v>
      </c>
      <c r="B426" s="74">
        <f t="shared" si="26"/>
        <v>15198.712421932831</v>
      </c>
      <c r="C426" s="74">
        <f t="shared" si="27"/>
        <v>11406.360920361623</v>
      </c>
      <c r="D426" s="74">
        <f t="shared" si="28"/>
        <v>-1599.5404150819932</v>
      </c>
      <c r="E426" s="74">
        <f t="shared" si="29"/>
        <v>-11336.438082005883</v>
      </c>
      <c r="F426" s="74">
        <f t="shared" si="23"/>
        <v>2982.1152777506204</v>
      </c>
      <c r="G426" s="74">
        <f t="shared" si="24"/>
        <v>7699.8901167342992</v>
      </c>
      <c r="H426" s="74">
        <f t="shared" si="30"/>
        <v>4801.2875780671693</v>
      </c>
      <c r="I426" s="74">
        <f t="shared" si="31"/>
        <v>8593.6390796383766</v>
      </c>
      <c r="J426" s="74">
        <f t="shared" si="32"/>
        <v>9843.9318891584189</v>
      </c>
      <c r="K426" s="74">
        <f t="shared" si="33"/>
        <v>-35198.712421932833</v>
      </c>
      <c r="L426" s="74">
        <f t="shared" si="34"/>
        <v>8593.6390796383766</v>
      </c>
      <c r="M426" s="74">
        <f t="shared" si="35"/>
        <v>36232.581867609391</v>
      </c>
      <c r="N426" s="74">
        <f t="shared" si="36"/>
        <v>-20198.712421932833</v>
      </c>
      <c r="O426" s="74">
        <f t="shared" si="37"/>
        <v>-46406.360920361622</v>
      </c>
      <c r="P426" s="74">
        <f t="shared" si="38"/>
        <v>50611.642113004098</v>
      </c>
    </row>
    <row r="427" spans="1:16" x14ac:dyDescent="0.3">
      <c r="A427" s="72">
        <f t="shared" si="25"/>
        <v>59</v>
      </c>
      <c r="B427" s="74">
        <f t="shared" si="26"/>
        <v>15144.47103382949</v>
      </c>
      <c r="C427" s="74">
        <f t="shared" si="27"/>
        <v>7663.1144085422566</v>
      </c>
      <c r="D427" s="74">
        <f t="shared" si="28"/>
        <v>-108.48277620668296</v>
      </c>
      <c r="E427" s="74">
        <f t="shared" si="29"/>
        <v>-7486.4930236387336</v>
      </c>
      <c r="F427" s="74">
        <f t="shared" si="23"/>
        <v>968.94012606241427</v>
      </c>
      <c r="G427" s="74">
        <f t="shared" si="24"/>
        <v>5874.4222288208357</v>
      </c>
      <c r="H427" s="74">
        <f t="shared" si="30"/>
        <v>4855.5289661705101</v>
      </c>
      <c r="I427" s="74">
        <f t="shared" si="31"/>
        <v>12336.885591457743</v>
      </c>
      <c r="J427" s="74">
        <f t="shared" si="32"/>
        <v>13258.012959642125</v>
      </c>
      <c r="K427" s="74">
        <f t="shared" si="33"/>
        <v>-35144.47103382949</v>
      </c>
      <c r="L427" s="74">
        <f t="shared" si="34"/>
        <v>12336.885591457743</v>
      </c>
      <c r="M427" s="74">
        <f t="shared" si="35"/>
        <v>37246.913836509964</v>
      </c>
      <c r="N427" s="74">
        <f t="shared" si="36"/>
        <v>-20144.47103382949</v>
      </c>
      <c r="O427" s="74">
        <f t="shared" si="37"/>
        <v>-42663.114408542257</v>
      </c>
      <c r="P427" s="74">
        <f t="shared" si="38"/>
        <v>47179.87965509409</v>
      </c>
    </row>
    <row r="428" spans="1:16" x14ac:dyDescent="0.3">
      <c r="A428" s="72">
        <f t="shared" si="25"/>
        <v>59.5</v>
      </c>
      <c r="B428" s="74">
        <f t="shared" si="26"/>
        <v>15332.464677241753</v>
      </c>
      <c r="C428" s="74">
        <f t="shared" si="27"/>
        <v>5388.4734539280989</v>
      </c>
      <c r="D428" s="74">
        <f t="shared" si="28"/>
        <v>375.98728682452418</v>
      </c>
      <c r="E428" s="74">
        <f t="shared" si="29"/>
        <v>-4549.2819092283153</v>
      </c>
      <c r="F428" s="74">
        <f t="shared" si="23"/>
        <v>228.33767283655743</v>
      </c>
      <c r="G428" s="74">
        <f t="shared" si="24"/>
        <v>4882.5890159377186</v>
      </c>
      <c r="H428" s="74">
        <f t="shared" si="30"/>
        <v>4667.5353227582473</v>
      </c>
      <c r="I428" s="74">
        <f t="shared" si="31"/>
        <v>14611.526546071902</v>
      </c>
      <c r="J428" s="74">
        <f t="shared" si="32"/>
        <v>15338.924147271862</v>
      </c>
      <c r="K428" s="74">
        <f t="shared" si="33"/>
        <v>-35332.464677241755</v>
      </c>
      <c r="L428" s="74">
        <f t="shared" si="34"/>
        <v>14611.526546071902</v>
      </c>
      <c r="M428" s="74">
        <f t="shared" si="35"/>
        <v>38234.536327450085</v>
      </c>
      <c r="N428" s="74">
        <f t="shared" si="36"/>
        <v>-20332.464677241755</v>
      </c>
      <c r="O428" s="74">
        <f t="shared" si="37"/>
        <v>-40388.473453928098</v>
      </c>
      <c r="P428" s="74">
        <f t="shared" si="38"/>
        <v>45217.672516284365</v>
      </c>
    </row>
    <row r="429" spans="1:16" x14ac:dyDescent="0.3">
      <c r="A429" s="72">
        <f t="shared" si="25"/>
        <v>60</v>
      </c>
      <c r="B429" s="74">
        <f t="shared" si="26"/>
        <v>15577.542738863154</v>
      </c>
      <c r="C429" s="74">
        <f t="shared" si="27"/>
        <v>4334.4797532983712</v>
      </c>
      <c r="D429" s="74">
        <f t="shared" si="28"/>
        <v>490.15612324280289</v>
      </c>
      <c r="E429" s="74">
        <f t="shared" si="29"/>
        <v>-2107.987401259456</v>
      </c>
      <c r="F429" s="74">
        <f t="shared" si="23"/>
        <v>-54.138511669913555</v>
      </c>
      <c r="G429" s="74">
        <f t="shared" si="24"/>
        <v>4492.9925652449238</v>
      </c>
      <c r="H429" s="74">
        <f t="shared" si="30"/>
        <v>4422.4572611368458</v>
      </c>
      <c r="I429" s="74">
        <f t="shared" si="31"/>
        <v>15665.520246701628</v>
      </c>
      <c r="J429" s="74">
        <f t="shared" si="32"/>
        <v>16277.796313580062</v>
      </c>
      <c r="K429" s="74">
        <f t="shared" si="33"/>
        <v>-35577.542738863151</v>
      </c>
      <c r="L429" s="74">
        <f t="shared" si="34"/>
        <v>15665.520246701628</v>
      </c>
      <c r="M429" s="74">
        <f t="shared" si="35"/>
        <v>38873.771002251029</v>
      </c>
      <c r="N429" s="74">
        <f t="shared" si="36"/>
        <v>-20577.542738863154</v>
      </c>
      <c r="O429" s="74">
        <f t="shared" si="37"/>
        <v>-39334.479753298372</v>
      </c>
      <c r="P429" s="74">
        <f t="shared" si="38"/>
        <v>44391.852435242879</v>
      </c>
    </row>
    <row r="430" spans="1:16" x14ac:dyDescent="0.3">
      <c r="A430" s="72">
        <f t="shared" si="25"/>
        <v>60.5</v>
      </c>
      <c r="B430" s="74">
        <f t="shared" si="26"/>
        <v>15809.086172567077</v>
      </c>
      <c r="C430" s="74">
        <f t="shared" si="27"/>
        <v>4403.7341939798744</v>
      </c>
      <c r="D430" s="74">
        <f t="shared" si="28"/>
        <v>463.08686740784611</v>
      </c>
      <c r="E430" s="74">
        <f t="shared" si="29"/>
        <v>138.50888136300591</v>
      </c>
      <c r="F430" s="74">
        <f t="shared" si="23"/>
        <v>-92.590972625000973</v>
      </c>
      <c r="G430" s="74">
        <f t="shared" si="24"/>
        <v>4565.3124287122055</v>
      </c>
      <c r="H430" s="74">
        <f t="shared" si="30"/>
        <v>4190.9138274329234</v>
      </c>
      <c r="I430" s="74">
        <f t="shared" si="31"/>
        <v>15596.265806020125</v>
      </c>
      <c r="J430" s="74">
        <f t="shared" si="32"/>
        <v>16149.528346084942</v>
      </c>
      <c r="K430" s="74">
        <f t="shared" si="33"/>
        <v>-35809.086172567077</v>
      </c>
      <c r="L430" s="74">
        <f t="shared" si="34"/>
        <v>15596.265806020125</v>
      </c>
      <c r="M430" s="74">
        <f t="shared" si="35"/>
        <v>39058.086993686309</v>
      </c>
      <c r="N430" s="74">
        <f t="shared" si="36"/>
        <v>-20809.086172567077</v>
      </c>
      <c r="O430" s="74">
        <f t="shared" si="37"/>
        <v>-39403.734193979872</v>
      </c>
      <c r="P430" s="74">
        <f t="shared" si="38"/>
        <v>44560.883471573368</v>
      </c>
    </row>
    <row r="431" spans="1:16" x14ac:dyDescent="0.3">
      <c r="A431" s="72">
        <f t="shared" si="25"/>
        <v>61</v>
      </c>
      <c r="B431" s="74">
        <f t="shared" si="26"/>
        <v>16017.481863114748</v>
      </c>
      <c r="C431" s="74">
        <f t="shared" si="27"/>
        <v>5614.3167418394287</v>
      </c>
      <c r="D431" s="74">
        <f t="shared" si="28"/>
        <v>416.79138109534563</v>
      </c>
      <c r="E431" s="74">
        <f t="shared" si="29"/>
        <v>2421.1650957191086</v>
      </c>
      <c r="F431" s="74">
        <f t="shared" si="23"/>
        <v>103.93860979067551</v>
      </c>
      <c r="G431" s="74">
        <f t="shared" si="24"/>
        <v>5144.5290929520525</v>
      </c>
      <c r="H431" s="74">
        <f t="shared" si="30"/>
        <v>3982.5181368852518</v>
      </c>
      <c r="I431" s="74">
        <f t="shared" si="31"/>
        <v>14385.68325816057</v>
      </c>
      <c r="J431" s="74">
        <f t="shared" si="32"/>
        <v>14926.765674945838</v>
      </c>
      <c r="K431" s="74">
        <f t="shared" si="33"/>
        <v>-36017.48186311475</v>
      </c>
      <c r="L431" s="74">
        <f t="shared" si="34"/>
        <v>14385.68325816057</v>
      </c>
      <c r="M431" s="74">
        <f t="shared" si="35"/>
        <v>38784.106056011158</v>
      </c>
      <c r="N431" s="74">
        <f t="shared" si="36"/>
        <v>-21017.48186311475</v>
      </c>
      <c r="O431" s="74">
        <f t="shared" si="37"/>
        <v>-40614.31674183943</v>
      </c>
      <c r="P431" s="74">
        <f t="shared" si="38"/>
        <v>45730.266435620251</v>
      </c>
    </row>
    <row r="432" spans="1:16" x14ac:dyDescent="0.3">
      <c r="A432" s="72">
        <f t="shared" si="25"/>
        <v>61.5</v>
      </c>
      <c r="B432" s="74">
        <f t="shared" si="26"/>
        <v>16251.86220611009</v>
      </c>
      <c r="C432" s="74">
        <f t="shared" si="27"/>
        <v>8111.0315629369961</v>
      </c>
      <c r="D432" s="74">
        <f t="shared" si="28"/>
        <v>468.76068599068338</v>
      </c>
      <c r="E432" s="74">
        <f t="shared" si="29"/>
        <v>4993.4296421951349</v>
      </c>
      <c r="F432" s="74">
        <f t="shared" si="23"/>
        <v>735.0885118731336</v>
      </c>
      <c r="G432" s="74">
        <f t="shared" si="24"/>
        <v>6519.0428992397246</v>
      </c>
      <c r="H432" s="74">
        <f t="shared" si="30"/>
        <v>3748.1377938899095</v>
      </c>
      <c r="I432" s="74">
        <f t="shared" si="31"/>
        <v>11888.968437063004</v>
      </c>
      <c r="J432" s="74">
        <f t="shared" si="32"/>
        <v>12465.797504350303</v>
      </c>
      <c r="K432" s="74">
        <f t="shared" si="33"/>
        <v>-36251.86220611009</v>
      </c>
      <c r="L432" s="74">
        <f t="shared" si="34"/>
        <v>11888.968437063004</v>
      </c>
      <c r="M432" s="74">
        <f t="shared" si="35"/>
        <v>38151.606570474505</v>
      </c>
      <c r="N432" s="74">
        <f t="shared" si="36"/>
        <v>-21251.86220611009</v>
      </c>
      <c r="O432" s="74">
        <f t="shared" si="37"/>
        <v>-43111.031562936994</v>
      </c>
      <c r="P432" s="74">
        <f t="shared" si="38"/>
        <v>48064.567923242997</v>
      </c>
    </row>
    <row r="433" spans="1:16" x14ac:dyDescent="0.3">
      <c r="A433" s="72">
        <f t="shared" si="25"/>
        <v>62</v>
      </c>
      <c r="B433" s="74">
        <f t="shared" si="26"/>
        <v>16670.014677073716</v>
      </c>
      <c r="C433" s="74">
        <f t="shared" si="27"/>
        <v>12237.507108844493</v>
      </c>
      <c r="D433" s="74">
        <f t="shared" si="28"/>
        <v>836.30494192725018</v>
      </c>
      <c r="E433" s="74">
        <f t="shared" si="29"/>
        <v>8252.9510918149972</v>
      </c>
      <c r="F433" s="74">
        <f t="shared" si="23"/>
        <v>2658.1864881368288</v>
      </c>
      <c r="G433" s="74">
        <f t="shared" si="24"/>
        <v>9186.5146919733688</v>
      </c>
      <c r="H433" s="74">
        <f t="shared" si="30"/>
        <v>3329.9853229262844</v>
      </c>
      <c r="I433" s="74">
        <f t="shared" si="31"/>
        <v>7762.4928911555071</v>
      </c>
      <c r="J433" s="74">
        <f t="shared" si="32"/>
        <v>8446.6027570937804</v>
      </c>
      <c r="K433" s="74">
        <f t="shared" si="33"/>
        <v>-36670.014677073719</v>
      </c>
      <c r="L433" s="74">
        <f t="shared" si="34"/>
        <v>7762.4928911555071</v>
      </c>
      <c r="M433" s="74">
        <f t="shared" si="35"/>
        <v>37482.61293322601</v>
      </c>
      <c r="N433" s="74">
        <f t="shared" si="36"/>
        <v>-21670.014677073716</v>
      </c>
      <c r="O433" s="74">
        <f t="shared" si="37"/>
        <v>-47237.507108844497</v>
      </c>
      <c r="P433" s="74">
        <f t="shared" si="38"/>
        <v>51970.87274582489</v>
      </c>
    </row>
    <row r="434" spans="1:16" x14ac:dyDescent="0.3">
      <c r="A434" s="72">
        <f t="shared" si="25"/>
        <v>62.5</v>
      </c>
      <c r="B434" s="74">
        <f t="shared" si="26"/>
        <v>17752.713770071547</v>
      </c>
      <c r="C434" s="74">
        <f t="shared" si="27"/>
        <v>18660.611327745333</v>
      </c>
      <c r="D434" s="74">
        <f t="shared" si="28"/>
        <v>2165.3981859956648</v>
      </c>
      <c r="E434" s="74">
        <f t="shared" si="29"/>
        <v>12846.208437801681</v>
      </c>
      <c r="F434" s="74">
        <f t="shared" si="23"/>
        <v>6558.095557067526</v>
      </c>
      <c r="G434" s="74">
        <f t="shared" si="24"/>
        <v>4296.9144491671659</v>
      </c>
      <c r="H434" s="74">
        <f t="shared" si="30"/>
        <v>2247.2862299284534</v>
      </c>
      <c r="I434" s="74">
        <f t="shared" si="31"/>
        <v>1339.3886722546667</v>
      </c>
      <c r="J434" s="74">
        <f t="shared" si="32"/>
        <v>2616.1531710873046</v>
      </c>
      <c r="K434" s="74">
        <f t="shared" si="33"/>
        <v>-37752.713770071547</v>
      </c>
      <c r="L434" s="74">
        <f t="shared" si="34"/>
        <v>1339.3886722546667</v>
      </c>
      <c r="M434" s="74">
        <f t="shared" si="35"/>
        <v>37776.465676665859</v>
      </c>
      <c r="N434" s="74">
        <f t="shared" si="36"/>
        <v>-22752.713770071547</v>
      </c>
      <c r="O434" s="74">
        <f t="shared" si="37"/>
        <v>-53660.611327745333</v>
      </c>
      <c r="P434" s="74">
        <f t="shared" si="38"/>
        <v>58285.051187848796</v>
      </c>
    </row>
    <row r="435" spans="1:16" x14ac:dyDescent="0.3">
      <c r="A435" s="72">
        <f t="shared" si="25"/>
        <v>63</v>
      </c>
      <c r="B435" s="74">
        <f t="shared" si="26"/>
        <v>20474.93675233626</v>
      </c>
      <c r="C435" s="74">
        <f t="shared" si="27"/>
        <v>26157.944158937964</v>
      </c>
      <c r="D435" s="74">
        <f t="shared" si="28"/>
        <v>5444.4459645294282</v>
      </c>
      <c r="E435" s="74">
        <f t="shared" si="29"/>
        <v>14994.665662385263</v>
      </c>
      <c r="F435" s="74">
        <f t="shared" si="23"/>
        <v>-2058.9523221817849</v>
      </c>
      <c r="G435" s="74">
        <f t="shared" si="24"/>
        <v>-12380.842208616115</v>
      </c>
      <c r="H435" s="74">
        <f t="shared" si="30"/>
        <v>-474.93675233625981</v>
      </c>
      <c r="I435" s="74">
        <f t="shared" si="31"/>
        <v>-6157.9441589379639</v>
      </c>
      <c r="J435" s="74">
        <f t="shared" si="32"/>
        <v>6176.2319567287877</v>
      </c>
      <c r="K435" s="74">
        <f t="shared" si="33"/>
        <v>-40474.93675233626</v>
      </c>
      <c r="L435" s="74">
        <f t="shared" si="34"/>
        <v>-6157.9441589379639</v>
      </c>
      <c r="M435" s="74">
        <f t="shared" si="35"/>
        <v>40940.69834981102</v>
      </c>
      <c r="N435" s="74">
        <f t="shared" si="36"/>
        <v>-25474.93675233626</v>
      </c>
      <c r="O435" s="74">
        <f t="shared" si="37"/>
        <v>-61157.944158937964</v>
      </c>
      <c r="P435" s="74">
        <f t="shared" si="38"/>
        <v>66251.539878581738</v>
      </c>
    </row>
    <row r="436" spans="1:16" x14ac:dyDescent="0.3">
      <c r="A436" s="72">
        <f t="shared" si="25"/>
        <v>63.5</v>
      </c>
      <c r="B436" s="74">
        <f t="shared" si="26"/>
        <v>22682.421654055528</v>
      </c>
      <c r="C436" s="74">
        <f t="shared" si="27"/>
        <v>30560.066437976566</v>
      </c>
      <c r="D436" s="74">
        <f t="shared" si="28"/>
        <v>4414.9698034385356</v>
      </c>
      <c r="E436" s="74">
        <f t="shared" si="29"/>
        <v>8804.2445580772055</v>
      </c>
      <c r="F436" s="74">
        <f t="shared" si="23"/>
        <v>-3031.7223646103894</v>
      </c>
      <c r="G436" s="74">
        <f t="shared" si="24"/>
        <v>-8590.0612782191511</v>
      </c>
      <c r="H436" s="74">
        <f t="shared" si="30"/>
        <v>-2682.4216540555281</v>
      </c>
      <c r="I436" s="74">
        <f t="shared" si="31"/>
        <v>-10560.066437976566</v>
      </c>
      <c r="J436" s="74">
        <f t="shared" si="32"/>
        <v>10895.429734738555</v>
      </c>
      <c r="K436" s="74">
        <f t="shared" si="33"/>
        <v>-42682.421654055528</v>
      </c>
      <c r="L436" s="74">
        <f t="shared" si="34"/>
        <v>-10560.066437976566</v>
      </c>
      <c r="M436" s="74">
        <f t="shared" si="35"/>
        <v>43969.354344009502</v>
      </c>
      <c r="N436" s="74">
        <f t="shared" si="36"/>
        <v>-27682.421654055528</v>
      </c>
      <c r="O436" s="74">
        <f t="shared" si="37"/>
        <v>-65560.066437976566</v>
      </c>
      <c r="P436" s="74">
        <f t="shared" si="38"/>
        <v>71164.870406576461</v>
      </c>
    </row>
    <row r="437" spans="1:16" x14ac:dyDescent="0.3">
      <c r="A437" s="72">
        <f t="shared" si="25"/>
        <v>64</v>
      </c>
      <c r="B437" s="74">
        <f t="shared" si="26"/>
        <v>24131.975964622197</v>
      </c>
      <c r="C437" s="74">
        <f t="shared" si="27"/>
        <v>32814.673397460378</v>
      </c>
      <c r="D437" s="74">
        <f t="shared" si="28"/>
        <v>2899.1086211333409</v>
      </c>
      <c r="E437" s="74">
        <f t="shared" si="29"/>
        <v>4509.21391896763</v>
      </c>
      <c r="F437" s="74">
        <f t="shared" si="23"/>
        <v>-2893.0689404364616</v>
      </c>
      <c r="G437" s="74">
        <f t="shared" si="24"/>
        <v>-6703.3525833007088</v>
      </c>
      <c r="H437" s="74">
        <f t="shared" si="30"/>
        <v>-4131.9759646221974</v>
      </c>
      <c r="I437" s="74">
        <f t="shared" si="31"/>
        <v>-12814.673397460378</v>
      </c>
      <c r="J437" s="74">
        <f t="shared" si="32"/>
        <v>13464.363321590599</v>
      </c>
      <c r="K437" s="74">
        <f t="shared" si="33"/>
        <v>-44131.975964622194</v>
      </c>
      <c r="L437" s="74">
        <f t="shared" si="34"/>
        <v>-12814.673397460378</v>
      </c>
      <c r="M437" s="74">
        <f t="shared" si="35"/>
        <v>45954.838230871508</v>
      </c>
      <c r="N437" s="74">
        <f t="shared" si="36"/>
        <v>-29131.975964622197</v>
      </c>
      <c r="O437" s="74">
        <f t="shared" si="37"/>
        <v>-67814.67339746037</v>
      </c>
      <c r="P437" s="74">
        <f t="shared" si="38"/>
        <v>73807.194443411441</v>
      </c>
    </row>
    <row r="438" spans="1:16" x14ac:dyDescent="0.3">
      <c r="A438" s="72">
        <f t="shared" si="25"/>
        <v>64.5</v>
      </c>
      <c r="B438" s="74">
        <f t="shared" si="26"/>
        <v>24858.26304007975</v>
      </c>
      <c r="C438" s="74">
        <f t="shared" si="27"/>
        <v>33393.442211119014</v>
      </c>
      <c r="D438" s="74">
        <f t="shared" si="28"/>
        <v>1452.5741509151101</v>
      </c>
      <c r="E438" s="74">
        <f t="shared" si="29"/>
        <v>1157.5376273172756</v>
      </c>
      <c r="F438" s="74">
        <f t="shared" ref="F438:F501" si="39">$C$23*(H438/(J438^2+$C$24^2)^1.5)+$C$32*(K438/(M438^2+$C$33^2)^1.5)+C$41*(N438/(P438^2+$C$42^2)^1.5)</f>
        <v>-2925.7200571594981</v>
      </c>
      <c r="G438" s="74">
        <f t="shared" ref="G438:G501" si="40">$C$23*(I438/(J438^2+$C$24^2)^1.5)+$C$32*(L438/(M438^2+$C$33^2)^1.5)+C$41*(O438/(P438^2+$C$42^2)^1.5)</f>
        <v>-6178.998488753009</v>
      </c>
      <c r="H438" s="74">
        <f t="shared" si="30"/>
        <v>-4858.2630400797498</v>
      </c>
      <c r="I438" s="74">
        <f t="shared" si="31"/>
        <v>-13393.442211119014</v>
      </c>
      <c r="J438" s="74">
        <f t="shared" si="32"/>
        <v>14247.351123250579</v>
      </c>
      <c r="K438" s="74">
        <f t="shared" si="33"/>
        <v>-44858.26304007975</v>
      </c>
      <c r="L438" s="74">
        <f t="shared" si="34"/>
        <v>-13393.442211119014</v>
      </c>
      <c r="M438" s="74">
        <f t="shared" si="35"/>
        <v>46815.040929551367</v>
      </c>
      <c r="N438" s="74">
        <f t="shared" si="36"/>
        <v>-29858.26304007975</v>
      </c>
      <c r="O438" s="74">
        <f t="shared" si="37"/>
        <v>-68393.442211119022</v>
      </c>
      <c r="P438" s="74">
        <f t="shared" si="38"/>
        <v>74626.930857809435</v>
      </c>
    </row>
    <row r="439" spans="1:16" x14ac:dyDescent="0.3">
      <c r="A439" s="72">
        <f t="shared" ref="A439:A502" si="41">A438+$C$5</f>
        <v>65</v>
      </c>
      <c r="B439" s="74">
        <f t="shared" ref="B439:B502" si="42">B438+D438*(A439-A438)+F438*(A439-A438)^2</f>
        <v>24853.12010124743</v>
      </c>
      <c r="C439" s="74">
        <f t="shared" ref="C439:C502" si="43">C438+E438*(A439-A438)+G438*(A439-A438)^2</f>
        <v>32427.461402589397</v>
      </c>
      <c r="D439" s="74">
        <f t="shared" ref="D439:D502" si="44">D438+F438*(A439-A438)</f>
        <v>-10.285877664638974</v>
      </c>
      <c r="E439" s="74">
        <f t="shared" ref="E439:E502" si="45">E438+G438*(A439-A438)</f>
        <v>-1931.961617059229</v>
      </c>
      <c r="F439" s="74">
        <f t="shared" si="39"/>
        <v>-3278.1959184961956</v>
      </c>
      <c r="G439" s="74">
        <f t="shared" si="40"/>
        <v>-6627.8354124309944</v>
      </c>
      <c r="H439" s="74">
        <f t="shared" ref="H439:H502" si="46">$C$19-B439</f>
        <v>-4853.1201012474303</v>
      </c>
      <c r="I439" s="74">
        <f t="shared" ref="I439:I502" si="47">$D$19-C439</f>
        <v>-12427.461402589397</v>
      </c>
      <c r="J439" s="74">
        <f t="shared" ref="J439:J502" si="48">SQRT(H439^2+I439^2)</f>
        <v>13341.460625807847</v>
      </c>
      <c r="K439" s="74">
        <f t="shared" ref="K439:K502" si="49">$C$28-B439</f>
        <v>-44853.120101247434</v>
      </c>
      <c r="L439" s="74">
        <f t="shared" ref="L439:L502" si="50">$D$28-C439</f>
        <v>-12427.461402589397</v>
      </c>
      <c r="M439" s="74">
        <f t="shared" ref="M439:M502" si="51">SQRT(K439^2+L439^2)</f>
        <v>46542.928353615396</v>
      </c>
      <c r="N439" s="74">
        <f t="shared" ref="N439:N502" si="52">$C$37-B439</f>
        <v>-29853.12010124743</v>
      </c>
      <c r="O439" s="74">
        <f t="shared" ref="O439:O502" si="53">$D$37-C439</f>
        <v>-67427.461402589397</v>
      </c>
      <c r="P439" s="74">
        <f t="shared" ref="P439:P502" si="54">SQRT(N439^2+O439^2)</f>
        <v>73740.567742438667</v>
      </c>
    </row>
    <row r="440" spans="1:16" x14ac:dyDescent="0.3">
      <c r="A440" s="72">
        <f t="shared" si="41"/>
        <v>65.5</v>
      </c>
      <c r="B440" s="74">
        <f t="shared" si="42"/>
        <v>24028.428182791064</v>
      </c>
      <c r="C440" s="74">
        <f t="shared" si="43"/>
        <v>29804.521740952034</v>
      </c>
      <c r="D440" s="74">
        <f t="shared" si="44"/>
        <v>-1649.3838369127368</v>
      </c>
      <c r="E440" s="74">
        <f t="shared" si="45"/>
        <v>-5245.8793232747266</v>
      </c>
      <c r="F440" s="74">
        <f t="shared" si="39"/>
        <v>-4206.2791856816257</v>
      </c>
      <c r="G440" s="74">
        <f t="shared" si="40"/>
        <v>-8409.5993833406101</v>
      </c>
      <c r="H440" s="74">
        <f t="shared" si="46"/>
        <v>-4028.4281827910636</v>
      </c>
      <c r="I440" s="74">
        <f t="shared" si="47"/>
        <v>-9804.5217409520337</v>
      </c>
      <c r="J440" s="74">
        <f t="shared" si="48"/>
        <v>10599.852838257068</v>
      </c>
      <c r="K440" s="74">
        <f t="shared" si="49"/>
        <v>-44028.42818279106</v>
      </c>
      <c r="L440" s="74">
        <f t="shared" si="50"/>
        <v>-9804.5217409520337</v>
      </c>
      <c r="M440" s="74">
        <f t="shared" si="51"/>
        <v>45106.885669662355</v>
      </c>
      <c r="N440" s="74">
        <f t="shared" si="52"/>
        <v>-29028.428182791064</v>
      </c>
      <c r="O440" s="74">
        <f t="shared" si="53"/>
        <v>-64804.521740952034</v>
      </c>
      <c r="P440" s="74">
        <f t="shared" si="54"/>
        <v>71008.983099583842</v>
      </c>
    </row>
    <row r="441" spans="1:16" x14ac:dyDescent="0.3">
      <c r="A441" s="72">
        <f t="shared" si="41"/>
        <v>66</v>
      </c>
      <c r="B441" s="74">
        <f t="shared" si="42"/>
        <v>22152.166467914292</v>
      </c>
      <c r="C441" s="74">
        <f t="shared" si="43"/>
        <v>25079.182233479518</v>
      </c>
      <c r="D441" s="74">
        <f t="shared" si="44"/>
        <v>-3752.5234297535499</v>
      </c>
      <c r="E441" s="74">
        <f t="shared" si="45"/>
        <v>-9450.6790149450317</v>
      </c>
      <c r="F441" s="74">
        <f t="shared" si="39"/>
        <v>-5806.3859881327116</v>
      </c>
      <c r="G441" s="74">
        <f t="shared" si="40"/>
        <v>-11597.529102756187</v>
      </c>
      <c r="H441" s="74">
        <f t="shared" si="46"/>
        <v>-2152.1664679142923</v>
      </c>
      <c r="I441" s="74">
        <f t="shared" si="47"/>
        <v>-5079.1822334795179</v>
      </c>
      <c r="J441" s="74">
        <f t="shared" si="48"/>
        <v>5516.3314500226206</v>
      </c>
      <c r="K441" s="74">
        <f t="shared" si="49"/>
        <v>-42152.166467914292</v>
      </c>
      <c r="L441" s="74">
        <f t="shared" si="50"/>
        <v>-5079.1822334795179</v>
      </c>
      <c r="M441" s="74">
        <f t="shared" si="51"/>
        <v>42457.075147725991</v>
      </c>
      <c r="N441" s="74">
        <f t="shared" si="52"/>
        <v>-27152.166467914292</v>
      </c>
      <c r="O441" s="74">
        <f t="shared" si="53"/>
        <v>-60079.182233479514</v>
      </c>
      <c r="P441" s="74">
        <f t="shared" si="54"/>
        <v>65929.873970340399</v>
      </c>
    </row>
    <row r="442" spans="1:16" x14ac:dyDescent="0.3">
      <c r="A442" s="72">
        <f t="shared" si="41"/>
        <v>66.5</v>
      </c>
      <c r="B442" s="74">
        <f t="shared" si="42"/>
        <v>18824.30825600434</v>
      </c>
      <c r="C442" s="74">
        <f t="shared" si="43"/>
        <v>17454.460450317954</v>
      </c>
      <c r="D442" s="74">
        <f t="shared" si="44"/>
        <v>-6655.7164238199057</v>
      </c>
      <c r="E442" s="74">
        <f t="shared" si="45"/>
        <v>-15249.443566323125</v>
      </c>
      <c r="F442" s="74">
        <f t="shared" si="39"/>
        <v>2729.7079452095941</v>
      </c>
      <c r="G442" s="74">
        <f t="shared" si="40"/>
        <v>8362.4125475570545</v>
      </c>
      <c r="H442" s="74">
        <f t="shared" si="46"/>
        <v>1175.6917439956596</v>
      </c>
      <c r="I442" s="74">
        <f t="shared" si="47"/>
        <v>2545.5395496820456</v>
      </c>
      <c r="J442" s="74">
        <f t="shared" si="48"/>
        <v>2803.9298628701517</v>
      </c>
      <c r="K442" s="74">
        <f t="shared" si="49"/>
        <v>-38824.30825600434</v>
      </c>
      <c r="L442" s="74">
        <f t="shared" si="50"/>
        <v>2545.5395496820456</v>
      </c>
      <c r="M442" s="74">
        <f t="shared" si="51"/>
        <v>38907.668693411099</v>
      </c>
      <c r="N442" s="74">
        <f t="shared" si="52"/>
        <v>-23824.30825600434</v>
      </c>
      <c r="O442" s="74">
        <f t="shared" si="53"/>
        <v>-52454.460450317958</v>
      </c>
      <c r="P442" s="74">
        <f t="shared" si="54"/>
        <v>57611.353785613188</v>
      </c>
    </row>
    <row r="443" spans="1:16" x14ac:dyDescent="0.3">
      <c r="A443" s="72">
        <f t="shared" si="41"/>
        <v>67</v>
      </c>
      <c r="B443" s="74">
        <f t="shared" si="42"/>
        <v>16178.877030396787</v>
      </c>
      <c r="C443" s="74">
        <f t="shared" si="43"/>
        <v>11920.341804045654</v>
      </c>
      <c r="D443" s="74">
        <f t="shared" si="44"/>
        <v>-5290.8624512151091</v>
      </c>
      <c r="E443" s="74">
        <f t="shared" si="45"/>
        <v>-11068.237292544598</v>
      </c>
      <c r="F443" s="74">
        <f t="shared" si="39"/>
        <v>2803.7466225405674</v>
      </c>
      <c r="G443" s="74">
        <f t="shared" si="40"/>
        <v>8664.275835482993</v>
      </c>
      <c r="H443" s="74">
        <f t="shared" si="46"/>
        <v>3821.1229696032133</v>
      </c>
      <c r="I443" s="74">
        <f t="shared" si="47"/>
        <v>8079.6581959543455</v>
      </c>
      <c r="J443" s="74">
        <f t="shared" si="48"/>
        <v>8937.6650928685794</v>
      </c>
      <c r="K443" s="74">
        <f t="shared" si="49"/>
        <v>-36178.87703039679</v>
      </c>
      <c r="L443" s="74">
        <f t="shared" si="50"/>
        <v>8079.6581959543455</v>
      </c>
      <c r="M443" s="74">
        <f t="shared" si="51"/>
        <v>37070.096030952292</v>
      </c>
      <c r="N443" s="74">
        <f t="shared" si="52"/>
        <v>-21178.877030396787</v>
      </c>
      <c r="O443" s="74">
        <f t="shared" si="53"/>
        <v>-46920.341804045653</v>
      </c>
      <c r="P443" s="74">
        <f t="shared" si="54"/>
        <v>51478.765595895384</v>
      </c>
    </row>
    <row r="444" spans="1:16" x14ac:dyDescent="0.3">
      <c r="A444" s="72">
        <f t="shared" si="41"/>
        <v>67.5</v>
      </c>
      <c r="B444" s="74">
        <f t="shared" si="42"/>
        <v>14234.382460424375</v>
      </c>
      <c r="C444" s="74">
        <f t="shared" si="43"/>
        <v>8552.2921166441047</v>
      </c>
      <c r="D444" s="74">
        <f t="shared" si="44"/>
        <v>-3888.9891399448252</v>
      </c>
      <c r="E444" s="74">
        <f t="shared" si="45"/>
        <v>-6736.0993748031015</v>
      </c>
      <c r="F444" s="74">
        <f t="shared" si="39"/>
        <v>1600.1169030047295</v>
      </c>
      <c r="G444" s="74">
        <f t="shared" si="40"/>
        <v>5892.9199446009052</v>
      </c>
      <c r="H444" s="74">
        <f t="shared" si="46"/>
        <v>5765.6175395756254</v>
      </c>
      <c r="I444" s="74">
        <f t="shared" si="47"/>
        <v>11447.707883355895</v>
      </c>
      <c r="J444" s="74">
        <f t="shared" si="48"/>
        <v>12817.658186865134</v>
      </c>
      <c r="K444" s="74">
        <f t="shared" si="49"/>
        <v>-34234.382460424371</v>
      </c>
      <c r="L444" s="74">
        <f t="shared" si="50"/>
        <v>11447.707883355895</v>
      </c>
      <c r="M444" s="74">
        <f t="shared" si="51"/>
        <v>36097.686327924959</v>
      </c>
      <c r="N444" s="74">
        <f t="shared" si="52"/>
        <v>-19234.382460424375</v>
      </c>
      <c r="O444" s="74">
        <f t="shared" si="53"/>
        <v>-43552.292116644108</v>
      </c>
      <c r="P444" s="74">
        <f t="shared" si="54"/>
        <v>47610.541030819855</v>
      </c>
    </row>
    <row r="445" spans="1:16" x14ac:dyDescent="0.3">
      <c r="A445" s="72">
        <f t="shared" si="41"/>
        <v>68</v>
      </c>
      <c r="B445" s="74">
        <f t="shared" si="42"/>
        <v>12689.917116203145</v>
      </c>
      <c r="C445" s="74">
        <f t="shared" si="43"/>
        <v>6657.47241539278</v>
      </c>
      <c r="D445" s="74">
        <f t="shared" si="44"/>
        <v>-3088.9306884424605</v>
      </c>
      <c r="E445" s="74">
        <f t="shared" si="45"/>
        <v>-3789.6394025026489</v>
      </c>
      <c r="F445" s="74">
        <f t="shared" si="39"/>
        <v>1094.9163135907406</v>
      </c>
      <c r="G445" s="74">
        <f t="shared" si="40"/>
        <v>4570.3104069930396</v>
      </c>
      <c r="H445" s="74">
        <f t="shared" si="46"/>
        <v>7310.0828837968547</v>
      </c>
      <c r="I445" s="74">
        <f t="shared" si="47"/>
        <v>13342.52758460722</v>
      </c>
      <c r="J445" s="74">
        <f t="shared" si="48"/>
        <v>15213.821154265759</v>
      </c>
      <c r="K445" s="74">
        <f t="shared" si="49"/>
        <v>-32689.917116203145</v>
      </c>
      <c r="L445" s="74">
        <f t="shared" si="50"/>
        <v>13342.52758460722</v>
      </c>
      <c r="M445" s="74">
        <f t="shared" si="51"/>
        <v>35307.983847994437</v>
      </c>
      <c r="N445" s="74">
        <f t="shared" si="52"/>
        <v>-17689.917116203145</v>
      </c>
      <c r="O445" s="74">
        <f t="shared" si="53"/>
        <v>-41657.472415392782</v>
      </c>
      <c r="P445" s="74">
        <f t="shared" si="54"/>
        <v>45257.907326978202</v>
      </c>
    </row>
    <row r="446" spans="1:16" x14ac:dyDescent="0.3">
      <c r="A446" s="72">
        <f t="shared" si="41"/>
        <v>68.5</v>
      </c>
      <c r="B446" s="74">
        <f t="shared" si="42"/>
        <v>11419.180850379602</v>
      </c>
      <c r="C446" s="74">
        <f t="shared" si="43"/>
        <v>5905.2303158897157</v>
      </c>
      <c r="D446" s="74">
        <f t="shared" si="44"/>
        <v>-2541.4725316470904</v>
      </c>
      <c r="E446" s="74">
        <f t="shared" si="45"/>
        <v>-1504.4841990061291</v>
      </c>
      <c r="F446" s="74">
        <f t="shared" si="39"/>
        <v>953.33106563606248</v>
      </c>
      <c r="G446" s="74">
        <f t="shared" si="40"/>
        <v>3942.8164582810155</v>
      </c>
      <c r="H446" s="74">
        <f t="shared" si="46"/>
        <v>8580.8191496203981</v>
      </c>
      <c r="I446" s="74">
        <f t="shared" si="47"/>
        <v>14094.769684110284</v>
      </c>
      <c r="J446" s="74">
        <f t="shared" si="48"/>
        <v>16501.302667565567</v>
      </c>
      <c r="K446" s="74">
        <f t="shared" si="49"/>
        <v>-31419.180850379602</v>
      </c>
      <c r="L446" s="74">
        <f t="shared" si="50"/>
        <v>14094.769684110284</v>
      </c>
      <c r="M446" s="74">
        <f t="shared" si="51"/>
        <v>34435.845535676555</v>
      </c>
      <c r="N446" s="74">
        <f t="shared" si="52"/>
        <v>-16419.180850379602</v>
      </c>
      <c r="O446" s="74">
        <f t="shared" si="53"/>
        <v>-40905.230315889712</v>
      </c>
      <c r="P446" s="74">
        <f t="shared" si="54"/>
        <v>44077.515435803034</v>
      </c>
    </row>
    <row r="447" spans="1:16" x14ac:dyDescent="0.3">
      <c r="A447" s="72">
        <f t="shared" si="41"/>
        <v>69</v>
      </c>
      <c r="B447" s="74">
        <f t="shared" si="42"/>
        <v>10386.777350965072</v>
      </c>
      <c r="C447" s="74">
        <f t="shared" si="43"/>
        <v>6138.6923309569056</v>
      </c>
      <c r="D447" s="74">
        <f t="shared" si="44"/>
        <v>-2064.806998829059</v>
      </c>
      <c r="E447" s="74">
        <f t="shared" si="45"/>
        <v>466.92403013437865</v>
      </c>
      <c r="F447" s="74">
        <f t="shared" si="39"/>
        <v>1054.0358673633723</v>
      </c>
      <c r="G447" s="74">
        <f t="shared" si="40"/>
        <v>3682.3122303695081</v>
      </c>
      <c r="H447" s="74">
        <f t="shared" si="46"/>
        <v>9613.2226490349276</v>
      </c>
      <c r="I447" s="74">
        <f t="shared" si="47"/>
        <v>13861.307669043093</v>
      </c>
      <c r="J447" s="74">
        <f t="shared" si="48"/>
        <v>16868.606937023309</v>
      </c>
      <c r="K447" s="74">
        <f t="shared" si="49"/>
        <v>-30386.777350965072</v>
      </c>
      <c r="L447" s="74">
        <f t="shared" si="50"/>
        <v>13861.307669043093</v>
      </c>
      <c r="M447" s="74">
        <f t="shared" si="51"/>
        <v>33398.983338913131</v>
      </c>
      <c r="N447" s="74">
        <f t="shared" si="52"/>
        <v>-15386.777350965072</v>
      </c>
      <c r="O447" s="74">
        <f t="shared" si="53"/>
        <v>-41138.692330956903</v>
      </c>
      <c r="P447" s="74">
        <f t="shared" si="54"/>
        <v>43922.032329450602</v>
      </c>
    </row>
    <row r="448" spans="1:16" x14ac:dyDescent="0.3">
      <c r="A448" s="72">
        <f t="shared" si="41"/>
        <v>69.5</v>
      </c>
      <c r="B448" s="74">
        <f t="shared" si="42"/>
        <v>9617.8828183913865</v>
      </c>
      <c r="C448" s="74">
        <f t="shared" si="43"/>
        <v>7292.7324036164719</v>
      </c>
      <c r="D448" s="74">
        <f t="shared" si="44"/>
        <v>-1537.7890651473729</v>
      </c>
      <c r="E448" s="74">
        <f t="shared" si="45"/>
        <v>2308.0801453191325</v>
      </c>
      <c r="F448" s="74">
        <f t="shared" si="39"/>
        <v>1402.8273396592965</v>
      </c>
      <c r="G448" s="74">
        <f t="shared" si="40"/>
        <v>3643.2139175798484</v>
      </c>
      <c r="H448" s="74">
        <f t="shared" si="46"/>
        <v>10382.117181608613</v>
      </c>
      <c r="I448" s="74">
        <f t="shared" si="47"/>
        <v>12707.267596383528</v>
      </c>
      <c r="J448" s="74">
        <f t="shared" si="48"/>
        <v>16409.235416031777</v>
      </c>
      <c r="K448" s="74">
        <f t="shared" si="49"/>
        <v>-29617.882818391387</v>
      </c>
      <c r="L448" s="74">
        <f t="shared" si="50"/>
        <v>12707.267596383528</v>
      </c>
      <c r="M448" s="74">
        <f t="shared" si="51"/>
        <v>32228.770259041263</v>
      </c>
      <c r="N448" s="74">
        <f t="shared" si="52"/>
        <v>-14617.882818391387</v>
      </c>
      <c r="O448" s="74">
        <f t="shared" si="53"/>
        <v>-42292.732403616472</v>
      </c>
      <c r="P448" s="74">
        <f t="shared" si="54"/>
        <v>44747.711810282912</v>
      </c>
    </row>
    <row r="449" spans="1:16" x14ac:dyDescent="0.3">
      <c r="A449" s="72">
        <f t="shared" si="41"/>
        <v>70</v>
      </c>
      <c r="B449" s="74">
        <f t="shared" si="42"/>
        <v>9199.6951207325255</v>
      </c>
      <c r="C449" s="74">
        <f t="shared" si="43"/>
        <v>9357.575955671</v>
      </c>
      <c r="D449" s="74">
        <f t="shared" si="44"/>
        <v>-836.37539531772461</v>
      </c>
      <c r="E449" s="74">
        <f t="shared" si="45"/>
        <v>4129.6871041090562</v>
      </c>
      <c r="F449" s="74">
        <f t="shared" si="39"/>
        <v>2124.7208771290238</v>
      </c>
      <c r="G449" s="74">
        <f t="shared" si="40"/>
        <v>3713.9993237344224</v>
      </c>
      <c r="H449" s="74">
        <f t="shared" si="46"/>
        <v>10800.304879267474</v>
      </c>
      <c r="I449" s="74">
        <f t="shared" si="47"/>
        <v>10642.424044329</v>
      </c>
      <c r="J449" s="74">
        <f t="shared" si="48"/>
        <v>15162.710015839544</v>
      </c>
      <c r="K449" s="74">
        <f t="shared" si="49"/>
        <v>-29199.695120732526</v>
      </c>
      <c r="L449" s="74">
        <f t="shared" si="50"/>
        <v>10642.424044329</v>
      </c>
      <c r="M449" s="74">
        <f t="shared" si="51"/>
        <v>31078.664461058215</v>
      </c>
      <c r="N449" s="74">
        <f t="shared" si="52"/>
        <v>-14199.695120732526</v>
      </c>
      <c r="O449" s="74">
        <f t="shared" si="53"/>
        <v>-44357.575955670996</v>
      </c>
      <c r="P449" s="74">
        <f t="shared" si="54"/>
        <v>46574.949127024032</v>
      </c>
    </row>
    <row r="450" spans="1:16" x14ac:dyDescent="0.3">
      <c r="A450" s="72">
        <f t="shared" si="41"/>
        <v>70.5</v>
      </c>
      <c r="B450" s="74">
        <f t="shared" si="42"/>
        <v>9312.6876423559188</v>
      </c>
      <c r="C450" s="74">
        <f t="shared" si="43"/>
        <v>12350.919338659134</v>
      </c>
      <c r="D450" s="74">
        <f t="shared" si="44"/>
        <v>225.98504324678731</v>
      </c>
      <c r="E450" s="74">
        <f t="shared" si="45"/>
        <v>5986.6867659762675</v>
      </c>
      <c r="F450" s="74">
        <f t="shared" si="39"/>
        <v>3544.6568185357646</v>
      </c>
      <c r="G450" s="74">
        <f t="shared" si="40"/>
        <v>3677.7200351552428</v>
      </c>
      <c r="H450" s="74">
        <f t="shared" si="46"/>
        <v>10687.312357644081</v>
      </c>
      <c r="I450" s="74">
        <f t="shared" si="47"/>
        <v>7649.0806613408658</v>
      </c>
      <c r="J450" s="74">
        <f t="shared" si="48"/>
        <v>13142.567496252423</v>
      </c>
      <c r="K450" s="74">
        <f t="shared" si="49"/>
        <v>-29312.687642355919</v>
      </c>
      <c r="L450" s="74">
        <f t="shared" si="50"/>
        <v>7649.0806613408658</v>
      </c>
      <c r="M450" s="74">
        <f t="shared" si="51"/>
        <v>30294.258396303816</v>
      </c>
      <c r="N450" s="74">
        <f t="shared" si="52"/>
        <v>-14312.687642355919</v>
      </c>
      <c r="O450" s="74">
        <f t="shared" si="53"/>
        <v>-47350.919338659136</v>
      </c>
      <c r="P450" s="74">
        <f t="shared" si="54"/>
        <v>49466.782690648593</v>
      </c>
    </row>
    <row r="451" spans="1:16" x14ac:dyDescent="0.3">
      <c r="A451" s="72">
        <f t="shared" si="41"/>
        <v>71</v>
      </c>
      <c r="B451" s="74">
        <f t="shared" si="42"/>
        <v>10311.844368613252</v>
      </c>
      <c r="C451" s="74">
        <f t="shared" si="43"/>
        <v>16263.69273043608</v>
      </c>
      <c r="D451" s="74">
        <f t="shared" si="44"/>
        <v>1998.3134525146697</v>
      </c>
      <c r="E451" s="74">
        <f t="shared" si="45"/>
        <v>7825.5467835538893</v>
      </c>
      <c r="F451" s="74">
        <f t="shared" si="39"/>
        <v>6252.6669000492921</v>
      </c>
      <c r="G451" s="74">
        <f t="shared" si="40"/>
        <v>2779.496912345382</v>
      </c>
      <c r="H451" s="74">
        <f t="shared" si="46"/>
        <v>9688.1556313867477</v>
      </c>
      <c r="I451" s="74">
        <f t="shared" si="47"/>
        <v>3736.3072695639203</v>
      </c>
      <c r="J451" s="74">
        <f t="shared" si="48"/>
        <v>10383.657908009438</v>
      </c>
      <c r="K451" s="74">
        <f t="shared" si="49"/>
        <v>-30311.844368613252</v>
      </c>
      <c r="L451" s="74">
        <f t="shared" si="50"/>
        <v>3736.3072695639203</v>
      </c>
      <c r="M451" s="74">
        <f t="shared" si="51"/>
        <v>30541.249172874825</v>
      </c>
      <c r="N451" s="74">
        <f t="shared" si="52"/>
        <v>-15311.844368613252</v>
      </c>
      <c r="O451" s="74">
        <f t="shared" si="53"/>
        <v>-51263.69273043608</v>
      </c>
      <c r="P451" s="74">
        <f t="shared" si="54"/>
        <v>53501.577269545975</v>
      </c>
    </row>
    <row r="452" spans="1:16" x14ac:dyDescent="0.3">
      <c r="A452" s="72">
        <f t="shared" si="41"/>
        <v>71.5</v>
      </c>
      <c r="B452" s="74">
        <f t="shared" si="42"/>
        <v>12874.16781988291</v>
      </c>
      <c r="C452" s="74">
        <f t="shared" si="43"/>
        <v>20871.340350299368</v>
      </c>
      <c r="D452" s="74">
        <f t="shared" si="44"/>
        <v>5124.6469025393162</v>
      </c>
      <c r="E452" s="74">
        <f t="shared" si="45"/>
        <v>9215.2952397265799</v>
      </c>
      <c r="F452" s="74">
        <f t="shared" si="39"/>
        <v>9586.2500294249712</v>
      </c>
      <c r="G452" s="74">
        <f t="shared" si="40"/>
        <v>-1893.4740119051389</v>
      </c>
      <c r="H452" s="74">
        <f t="shared" si="46"/>
        <v>7125.8321801170896</v>
      </c>
      <c r="I452" s="74">
        <f t="shared" si="47"/>
        <v>-871.34035029936786</v>
      </c>
      <c r="J452" s="74">
        <f t="shared" si="48"/>
        <v>7178.9078741304447</v>
      </c>
      <c r="K452" s="74">
        <f t="shared" si="49"/>
        <v>-32874.16781988291</v>
      </c>
      <c r="L452" s="74">
        <f t="shared" si="50"/>
        <v>-871.34035029936786</v>
      </c>
      <c r="M452" s="74">
        <f t="shared" si="51"/>
        <v>32885.71337003175</v>
      </c>
      <c r="N452" s="74">
        <f t="shared" si="52"/>
        <v>-17874.16781988291</v>
      </c>
      <c r="O452" s="74">
        <f t="shared" si="53"/>
        <v>-55871.340350299368</v>
      </c>
      <c r="P452" s="74">
        <f t="shared" si="54"/>
        <v>58660.826347677103</v>
      </c>
    </row>
    <row r="453" spans="1:16" x14ac:dyDescent="0.3">
      <c r="A453" s="72">
        <f t="shared" si="41"/>
        <v>72</v>
      </c>
      <c r="B453" s="74">
        <f t="shared" si="42"/>
        <v>17833.053778508813</v>
      </c>
      <c r="C453" s="74">
        <f t="shared" si="43"/>
        <v>25005.61946718637</v>
      </c>
      <c r="D453" s="74">
        <f t="shared" si="44"/>
        <v>9917.7719172518009</v>
      </c>
      <c r="E453" s="74">
        <f t="shared" si="45"/>
        <v>8268.5582337740107</v>
      </c>
      <c r="F453" s="74">
        <f t="shared" si="39"/>
        <v>3515.4834178332721</v>
      </c>
      <c r="G453" s="74">
        <f t="shared" si="40"/>
        <v>-11633.912715262648</v>
      </c>
      <c r="H453" s="74">
        <f t="shared" si="46"/>
        <v>2166.9462214911873</v>
      </c>
      <c r="I453" s="74">
        <f t="shared" si="47"/>
        <v>-5005.6194671863705</v>
      </c>
      <c r="J453" s="74">
        <f t="shared" si="48"/>
        <v>5454.5285934817593</v>
      </c>
      <c r="K453" s="74">
        <f t="shared" si="49"/>
        <v>-37833.053778508809</v>
      </c>
      <c r="L453" s="74">
        <f t="shared" si="50"/>
        <v>-5005.6194671863705</v>
      </c>
      <c r="M453" s="74">
        <f t="shared" si="51"/>
        <v>38162.759130568833</v>
      </c>
      <c r="N453" s="74">
        <f t="shared" si="52"/>
        <v>-22833.053778508813</v>
      </c>
      <c r="O453" s="74">
        <f t="shared" si="53"/>
        <v>-60005.61946718637</v>
      </c>
      <c r="P453" s="74">
        <f t="shared" si="54"/>
        <v>64202.980557705036</v>
      </c>
    </row>
    <row r="454" spans="1:16" x14ac:dyDescent="0.3">
      <c r="A454" s="72">
        <f t="shared" si="41"/>
        <v>72.5</v>
      </c>
      <c r="B454" s="74">
        <f t="shared" si="42"/>
        <v>23670.810591593032</v>
      </c>
      <c r="C454" s="74">
        <f t="shared" si="43"/>
        <v>26231.420405257715</v>
      </c>
      <c r="D454" s="74">
        <f t="shared" si="44"/>
        <v>11675.513626168437</v>
      </c>
      <c r="E454" s="74">
        <f t="shared" si="45"/>
        <v>2451.6018761426867</v>
      </c>
      <c r="F454" s="74">
        <f t="shared" si="39"/>
        <v>-6757.6404155105984</v>
      </c>
      <c r="G454" s="74">
        <f t="shared" si="40"/>
        <v>-10202.675235398036</v>
      </c>
      <c r="H454" s="74">
        <f t="shared" si="46"/>
        <v>-3670.8105915930319</v>
      </c>
      <c r="I454" s="74">
        <f t="shared" si="47"/>
        <v>-6231.4204052577152</v>
      </c>
      <c r="J454" s="74">
        <f t="shared" si="48"/>
        <v>7232.2507330991921</v>
      </c>
      <c r="K454" s="74">
        <f t="shared" si="49"/>
        <v>-43670.810591593035</v>
      </c>
      <c r="L454" s="74">
        <f t="shared" si="50"/>
        <v>-6231.4204052577152</v>
      </c>
      <c r="M454" s="74">
        <f t="shared" si="51"/>
        <v>44113.153344482831</v>
      </c>
      <c r="N454" s="74">
        <f t="shared" si="52"/>
        <v>-28670.810591593032</v>
      </c>
      <c r="O454" s="74">
        <f t="shared" si="53"/>
        <v>-61231.420405257712</v>
      </c>
      <c r="P454" s="74">
        <f t="shared" si="54"/>
        <v>67611.406026087148</v>
      </c>
    </row>
    <row r="455" spans="1:16" x14ac:dyDescent="0.3">
      <c r="A455" s="72">
        <f t="shared" si="41"/>
        <v>73</v>
      </c>
      <c r="B455" s="74">
        <f t="shared" si="42"/>
        <v>27819.157300799601</v>
      </c>
      <c r="C455" s="74">
        <f t="shared" si="43"/>
        <v>24906.55253447955</v>
      </c>
      <c r="D455" s="74">
        <f t="shared" si="44"/>
        <v>8296.6934184131369</v>
      </c>
      <c r="E455" s="74">
        <f t="shared" si="45"/>
        <v>-2649.735741556331</v>
      </c>
      <c r="F455" s="74">
        <f t="shared" si="39"/>
        <v>-9124.8476930491652</v>
      </c>
      <c r="G455" s="74">
        <f t="shared" si="40"/>
        <v>-5554.7968829462579</v>
      </c>
      <c r="H455" s="74">
        <f t="shared" si="46"/>
        <v>-7819.1573007996012</v>
      </c>
      <c r="I455" s="74">
        <f t="shared" si="47"/>
        <v>-4906.5525344795496</v>
      </c>
      <c r="J455" s="74">
        <f t="shared" si="48"/>
        <v>9231.1147034502501</v>
      </c>
      <c r="K455" s="74">
        <f t="shared" si="49"/>
        <v>-47819.157300799605</v>
      </c>
      <c r="L455" s="74">
        <f t="shared" si="50"/>
        <v>-4906.5525344795496</v>
      </c>
      <c r="M455" s="74">
        <f t="shared" si="51"/>
        <v>48070.220123609004</v>
      </c>
      <c r="N455" s="74">
        <f t="shared" si="52"/>
        <v>-32819.157300799605</v>
      </c>
      <c r="O455" s="74">
        <f t="shared" si="53"/>
        <v>-59906.552534479546</v>
      </c>
      <c r="P455" s="74">
        <f t="shared" si="54"/>
        <v>68307.335788339638</v>
      </c>
    </row>
    <row r="456" spans="1:16" x14ac:dyDescent="0.3">
      <c r="A456" s="72">
        <f t="shared" si="41"/>
        <v>73.5</v>
      </c>
      <c r="B456" s="74">
        <f t="shared" si="42"/>
        <v>29686.292086743881</v>
      </c>
      <c r="C456" s="74">
        <f t="shared" si="43"/>
        <v>22192.985442964819</v>
      </c>
      <c r="D456" s="74">
        <f t="shared" si="44"/>
        <v>3734.2695718885543</v>
      </c>
      <c r="E456" s="74">
        <f t="shared" si="45"/>
        <v>-5427.1341830294605</v>
      </c>
      <c r="F456" s="74">
        <f t="shared" si="39"/>
        <v>-9771.2604961879078</v>
      </c>
      <c r="G456" s="74">
        <f t="shared" si="40"/>
        <v>-2372.382128890099</v>
      </c>
      <c r="H456" s="74">
        <f t="shared" si="46"/>
        <v>-9686.2920867438806</v>
      </c>
      <c r="I456" s="74">
        <f t="shared" si="47"/>
        <v>-2192.9854429648185</v>
      </c>
      <c r="J456" s="74">
        <f t="shared" si="48"/>
        <v>9931.4369324268846</v>
      </c>
      <c r="K456" s="74">
        <f t="shared" si="49"/>
        <v>-49686.292086743881</v>
      </c>
      <c r="L456" s="74">
        <f t="shared" si="50"/>
        <v>-2192.9854429648185</v>
      </c>
      <c r="M456" s="74">
        <f t="shared" si="51"/>
        <v>49734.664033069363</v>
      </c>
      <c r="N456" s="74">
        <f t="shared" si="52"/>
        <v>-34686.292086743881</v>
      </c>
      <c r="O456" s="74">
        <f t="shared" si="53"/>
        <v>-57192.985442964819</v>
      </c>
      <c r="P456" s="74">
        <f t="shared" si="54"/>
        <v>66889.284961091456</v>
      </c>
    </row>
    <row r="457" spans="1:16" x14ac:dyDescent="0.3">
      <c r="A457" s="72">
        <f t="shared" si="41"/>
        <v>74</v>
      </c>
      <c r="B457" s="74">
        <f t="shared" si="42"/>
        <v>29110.611748641179</v>
      </c>
      <c r="C457" s="74">
        <f t="shared" si="43"/>
        <v>18886.322819227564</v>
      </c>
      <c r="D457" s="74">
        <f t="shared" si="44"/>
        <v>-1151.3606762053996</v>
      </c>
      <c r="E457" s="74">
        <f t="shared" si="45"/>
        <v>-6613.3252474745095</v>
      </c>
      <c r="F457" s="74">
        <f t="shared" si="39"/>
        <v>-10602.874655512458</v>
      </c>
      <c r="G457" s="74">
        <f t="shared" si="40"/>
        <v>838.22312354244264</v>
      </c>
      <c r="H457" s="74">
        <f t="shared" si="46"/>
        <v>-9110.6117486411786</v>
      </c>
      <c r="I457" s="74">
        <f t="shared" si="47"/>
        <v>1113.6771807724363</v>
      </c>
      <c r="J457" s="74">
        <f t="shared" si="48"/>
        <v>9178.427060093245</v>
      </c>
      <c r="K457" s="74">
        <f t="shared" si="49"/>
        <v>-49110.611748641182</v>
      </c>
      <c r="L457" s="74">
        <f t="shared" si="50"/>
        <v>1113.6771807724363</v>
      </c>
      <c r="M457" s="74">
        <f t="shared" si="51"/>
        <v>49123.23750719965</v>
      </c>
      <c r="N457" s="74">
        <f t="shared" si="52"/>
        <v>-34110.611748641182</v>
      </c>
      <c r="O457" s="74">
        <f t="shared" si="53"/>
        <v>-53886.322819227564</v>
      </c>
      <c r="P457" s="74">
        <f t="shared" si="54"/>
        <v>63775.148928438757</v>
      </c>
    </row>
    <row r="458" spans="1:16" x14ac:dyDescent="0.3">
      <c r="A458" s="72">
        <f t="shared" si="41"/>
        <v>74.5</v>
      </c>
      <c r="B458" s="74">
        <f t="shared" si="42"/>
        <v>25884.212746660367</v>
      </c>
      <c r="C458" s="74">
        <f t="shared" si="43"/>
        <v>15789.215976375919</v>
      </c>
      <c r="D458" s="74">
        <f t="shared" si="44"/>
        <v>-6452.7980039616286</v>
      </c>
      <c r="E458" s="74">
        <f t="shared" si="45"/>
        <v>-6194.2136857032883</v>
      </c>
      <c r="F458" s="74">
        <f t="shared" si="39"/>
        <v>-10238.050703707457</v>
      </c>
      <c r="G458" s="74">
        <f t="shared" si="40"/>
        <v>6230.3174068236794</v>
      </c>
      <c r="H458" s="74">
        <f t="shared" si="46"/>
        <v>-5884.212746660367</v>
      </c>
      <c r="I458" s="74">
        <f t="shared" si="47"/>
        <v>4210.7840236240809</v>
      </c>
      <c r="J458" s="74">
        <f t="shared" si="48"/>
        <v>7235.6521296679366</v>
      </c>
      <c r="K458" s="74">
        <f t="shared" si="49"/>
        <v>-45884.212746660371</v>
      </c>
      <c r="L458" s="74">
        <f t="shared" si="50"/>
        <v>4210.7840236240809</v>
      </c>
      <c r="M458" s="74">
        <f t="shared" si="51"/>
        <v>46077.01901679836</v>
      </c>
      <c r="N458" s="74">
        <f t="shared" si="52"/>
        <v>-30884.212746660367</v>
      </c>
      <c r="O458" s="74">
        <f t="shared" si="53"/>
        <v>-50789.215976375919</v>
      </c>
      <c r="P458" s="74">
        <f t="shared" si="54"/>
        <v>59442.232936490014</v>
      </c>
    </row>
    <row r="459" spans="1:16" x14ac:dyDescent="0.3">
      <c r="A459" s="72">
        <f t="shared" si="41"/>
        <v>75</v>
      </c>
      <c r="B459" s="74">
        <f t="shared" si="42"/>
        <v>20098.301068752688</v>
      </c>
      <c r="C459" s="74">
        <f t="shared" si="43"/>
        <v>14249.688485230194</v>
      </c>
      <c r="D459" s="74">
        <f t="shared" si="44"/>
        <v>-11571.823355815357</v>
      </c>
      <c r="E459" s="74">
        <f t="shared" si="45"/>
        <v>-3079.0549822914486</v>
      </c>
      <c r="F459" s="74">
        <f t="shared" si="39"/>
        <v>-1474.7295953682737</v>
      </c>
      <c r="G459" s="74">
        <f t="shared" si="40"/>
        <v>11680.402240870524</v>
      </c>
      <c r="H459" s="74">
        <f t="shared" si="46"/>
        <v>-98.30106875268757</v>
      </c>
      <c r="I459" s="74">
        <f t="shared" si="47"/>
        <v>5750.3115147698063</v>
      </c>
      <c r="J459" s="74">
        <f t="shared" si="48"/>
        <v>5751.1516774479305</v>
      </c>
      <c r="K459" s="74">
        <f t="shared" si="49"/>
        <v>-40098.301068752684</v>
      </c>
      <c r="L459" s="74">
        <f t="shared" si="50"/>
        <v>5750.3115147698063</v>
      </c>
      <c r="M459" s="74">
        <f t="shared" si="51"/>
        <v>40508.515538306601</v>
      </c>
      <c r="N459" s="74">
        <f t="shared" si="52"/>
        <v>-25098.301068752688</v>
      </c>
      <c r="O459" s="74">
        <f t="shared" si="53"/>
        <v>-49249.688485230196</v>
      </c>
      <c r="P459" s="74">
        <f t="shared" si="54"/>
        <v>55276.184134127492</v>
      </c>
    </row>
    <row r="460" spans="1:16" x14ac:dyDescent="0.3">
      <c r="A460" s="72">
        <f t="shared" si="41"/>
        <v>75.5</v>
      </c>
      <c r="B460" s="74">
        <f t="shared" si="42"/>
        <v>13943.706992002939</v>
      </c>
      <c r="C460" s="74">
        <f t="shared" si="43"/>
        <v>15630.261554302102</v>
      </c>
      <c r="D460" s="74">
        <f t="shared" si="44"/>
        <v>-12309.188153499494</v>
      </c>
      <c r="E460" s="74">
        <f t="shared" si="45"/>
        <v>2761.1461381438135</v>
      </c>
      <c r="F460" s="74">
        <f t="shared" si="39"/>
        <v>7425.7828181683581</v>
      </c>
      <c r="G460" s="74">
        <f t="shared" si="40"/>
        <v>6141.9138669536142</v>
      </c>
      <c r="H460" s="74">
        <f t="shared" si="46"/>
        <v>6056.2930079970611</v>
      </c>
      <c r="I460" s="74">
        <f t="shared" si="47"/>
        <v>4369.738445697898</v>
      </c>
      <c r="J460" s="74">
        <f t="shared" si="48"/>
        <v>7468.1523205224175</v>
      </c>
      <c r="K460" s="74">
        <f t="shared" si="49"/>
        <v>-33943.706992002939</v>
      </c>
      <c r="L460" s="74">
        <f t="shared" si="50"/>
        <v>4369.738445697898</v>
      </c>
      <c r="M460" s="74">
        <f t="shared" si="51"/>
        <v>34223.820044564862</v>
      </c>
      <c r="N460" s="74">
        <f t="shared" si="52"/>
        <v>-18943.706992002939</v>
      </c>
      <c r="O460" s="74">
        <f t="shared" si="53"/>
        <v>-50630.261554302102</v>
      </c>
      <c r="P460" s="74">
        <f t="shared" si="54"/>
        <v>54058.185500957232</v>
      </c>
    </row>
    <row r="461" spans="1:16" x14ac:dyDescent="0.3">
      <c r="A461" s="72">
        <f t="shared" si="41"/>
        <v>76</v>
      </c>
      <c r="B461" s="74">
        <f t="shared" si="42"/>
        <v>9645.5586197952816</v>
      </c>
      <c r="C461" s="74">
        <f t="shared" si="43"/>
        <v>18546.313090112413</v>
      </c>
      <c r="D461" s="74">
        <f t="shared" si="44"/>
        <v>-8596.2967444153146</v>
      </c>
      <c r="E461" s="74">
        <f t="shared" si="45"/>
        <v>5832.1030716206205</v>
      </c>
      <c r="F461" s="74">
        <f t="shared" si="39"/>
        <v>6614.9904234817541</v>
      </c>
      <c r="G461" s="74">
        <f t="shared" si="40"/>
        <v>756.92549327878271</v>
      </c>
      <c r="H461" s="74">
        <f t="shared" si="46"/>
        <v>10354.441380204718</v>
      </c>
      <c r="I461" s="74">
        <f t="shared" si="47"/>
        <v>1453.6869098875868</v>
      </c>
      <c r="J461" s="74">
        <f t="shared" si="48"/>
        <v>10455.986894027476</v>
      </c>
      <c r="K461" s="74">
        <f t="shared" si="49"/>
        <v>-29645.55861979528</v>
      </c>
      <c r="L461" s="74">
        <f t="shared" si="50"/>
        <v>1453.6869098875868</v>
      </c>
      <c r="M461" s="74">
        <f t="shared" si="51"/>
        <v>29681.178405038045</v>
      </c>
      <c r="N461" s="74">
        <f t="shared" si="52"/>
        <v>-14645.558619795282</v>
      </c>
      <c r="O461" s="74">
        <f t="shared" si="53"/>
        <v>-53546.31309011241</v>
      </c>
      <c r="P461" s="74">
        <f t="shared" si="54"/>
        <v>55513.06182179293</v>
      </c>
    </row>
    <row r="462" spans="1:16" x14ac:dyDescent="0.3">
      <c r="A462" s="72">
        <f t="shared" si="41"/>
        <v>76.5</v>
      </c>
      <c r="B462" s="74">
        <f t="shared" si="42"/>
        <v>7001.1578534580631</v>
      </c>
      <c r="C462" s="74">
        <f t="shared" si="43"/>
        <v>21651.595999242421</v>
      </c>
      <c r="D462" s="74">
        <f t="shared" si="44"/>
        <v>-5288.8015326744371</v>
      </c>
      <c r="E462" s="74">
        <f t="shared" si="45"/>
        <v>6210.5658182600118</v>
      </c>
      <c r="F462" s="74">
        <f t="shared" si="39"/>
        <v>4411.15706395691</v>
      </c>
      <c r="G462" s="74">
        <f t="shared" si="40"/>
        <v>-1482.8085949012766</v>
      </c>
      <c r="H462" s="74">
        <f t="shared" si="46"/>
        <v>12998.842146541938</v>
      </c>
      <c r="I462" s="74">
        <f t="shared" si="47"/>
        <v>-1651.5959992424214</v>
      </c>
      <c r="J462" s="74">
        <f t="shared" si="48"/>
        <v>13103.345622222922</v>
      </c>
      <c r="K462" s="74">
        <f t="shared" si="49"/>
        <v>-27001.157853458062</v>
      </c>
      <c r="L462" s="74">
        <f t="shared" si="50"/>
        <v>-1651.5959992424214</v>
      </c>
      <c r="M462" s="74">
        <f t="shared" si="51"/>
        <v>27051.622775206546</v>
      </c>
      <c r="N462" s="74">
        <f t="shared" si="52"/>
        <v>-12001.157853458062</v>
      </c>
      <c r="O462" s="74">
        <f t="shared" si="53"/>
        <v>-56651.595999242418</v>
      </c>
      <c r="P462" s="74">
        <f t="shared" si="54"/>
        <v>57908.817282733355</v>
      </c>
    </row>
    <row r="463" spans="1:16" x14ac:dyDescent="0.3">
      <c r="A463" s="72">
        <f t="shared" si="41"/>
        <v>77</v>
      </c>
      <c r="B463" s="74">
        <f t="shared" si="42"/>
        <v>5459.5463531100722</v>
      </c>
      <c r="C463" s="74">
        <f t="shared" si="43"/>
        <v>24386.176759647107</v>
      </c>
      <c r="D463" s="74">
        <f t="shared" si="44"/>
        <v>-3083.2230006959821</v>
      </c>
      <c r="E463" s="74">
        <f t="shared" si="45"/>
        <v>5469.1615208093735</v>
      </c>
      <c r="F463" s="74">
        <f t="shared" si="39"/>
        <v>2893.7692777439393</v>
      </c>
      <c r="G463" s="74">
        <f t="shared" si="40"/>
        <v>-2460.776310685113</v>
      </c>
      <c r="H463" s="74">
        <f t="shared" si="46"/>
        <v>14540.453646889928</v>
      </c>
      <c r="I463" s="74">
        <f t="shared" si="47"/>
        <v>-4386.1767596471072</v>
      </c>
      <c r="J463" s="74">
        <f t="shared" si="48"/>
        <v>15187.604775744692</v>
      </c>
      <c r="K463" s="74">
        <f t="shared" si="49"/>
        <v>-25459.546353110072</v>
      </c>
      <c r="L463" s="74">
        <f t="shared" si="50"/>
        <v>-4386.1767596471072</v>
      </c>
      <c r="M463" s="74">
        <f t="shared" si="51"/>
        <v>25834.609481721003</v>
      </c>
      <c r="N463" s="74">
        <f t="shared" si="52"/>
        <v>-10459.546353110072</v>
      </c>
      <c r="O463" s="74">
        <f t="shared" si="53"/>
        <v>-59386.176759647104</v>
      </c>
      <c r="P463" s="74">
        <f t="shared" si="54"/>
        <v>60300.249585228979</v>
      </c>
    </row>
    <row r="464" spans="1:16" x14ac:dyDescent="0.3">
      <c r="A464" s="72">
        <f t="shared" si="41"/>
        <v>77.5</v>
      </c>
      <c r="B464" s="74">
        <f t="shared" si="42"/>
        <v>4641.3771721980665</v>
      </c>
      <c r="C464" s="74">
        <f t="shared" si="43"/>
        <v>26505.563442380513</v>
      </c>
      <c r="D464" s="74">
        <f t="shared" si="44"/>
        <v>-1636.3383618240125</v>
      </c>
      <c r="E464" s="74">
        <f t="shared" si="45"/>
        <v>4238.7733654668173</v>
      </c>
      <c r="F464" s="74">
        <f t="shared" si="39"/>
        <v>2045.671739213067</v>
      </c>
      <c r="G464" s="74">
        <f t="shared" si="40"/>
        <v>-2933.4433397340022</v>
      </c>
      <c r="H464" s="74">
        <f t="shared" si="46"/>
        <v>15358.622827801933</v>
      </c>
      <c r="I464" s="74">
        <f t="shared" si="47"/>
        <v>-6505.5634423805132</v>
      </c>
      <c r="J464" s="74">
        <f t="shared" si="48"/>
        <v>16679.617827441867</v>
      </c>
      <c r="K464" s="74">
        <f t="shared" si="49"/>
        <v>-24641.377172198067</v>
      </c>
      <c r="L464" s="74">
        <f t="shared" si="50"/>
        <v>-6505.5634423805132</v>
      </c>
      <c r="M464" s="74">
        <f t="shared" si="51"/>
        <v>25485.678814686529</v>
      </c>
      <c r="N464" s="74">
        <f t="shared" si="52"/>
        <v>-9641.3771721980665</v>
      </c>
      <c r="O464" s="74">
        <f t="shared" si="53"/>
        <v>-61505.563442380517</v>
      </c>
      <c r="P464" s="74">
        <f t="shared" si="54"/>
        <v>62256.650151941809</v>
      </c>
    </row>
    <row r="465" spans="1:16" x14ac:dyDescent="0.3">
      <c r="A465" s="72">
        <f t="shared" si="41"/>
        <v>78</v>
      </c>
      <c r="B465" s="74">
        <f t="shared" si="42"/>
        <v>4334.6259260893275</v>
      </c>
      <c r="C465" s="74">
        <f t="shared" si="43"/>
        <v>27891.589290180422</v>
      </c>
      <c r="D465" s="74">
        <f t="shared" si="44"/>
        <v>-613.50249221747902</v>
      </c>
      <c r="E465" s="74">
        <f t="shared" si="45"/>
        <v>2772.0516955998164</v>
      </c>
      <c r="F465" s="74">
        <f t="shared" si="39"/>
        <v>1654.7974343831022</v>
      </c>
      <c r="G465" s="74">
        <f t="shared" si="40"/>
        <v>-3168.2513983227527</v>
      </c>
      <c r="H465" s="74">
        <f t="shared" si="46"/>
        <v>15665.374073910672</v>
      </c>
      <c r="I465" s="74">
        <f t="shared" si="47"/>
        <v>-7891.5892901804218</v>
      </c>
      <c r="J465" s="74">
        <f t="shared" si="48"/>
        <v>17540.841667389937</v>
      </c>
      <c r="K465" s="74">
        <f t="shared" si="49"/>
        <v>-24334.625926089328</v>
      </c>
      <c r="L465" s="74">
        <f t="shared" si="50"/>
        <v>-7891.5892901804218</v>
      </c>
      <c r="M465" s="74">
        <f t="shared" si="51"/>
        <v>25582.24385169505</v>
      </c>
      <c r="N465" s="74">
        <f t="shared" si="52"/>
        <v>-9334.6259260893275</v>
      </c>
      <c r="O465" s="74">
        <f t="shared" si="53"/>
        <v>-62891.589290180418</v>
      </c>
      <c r="P465" s="74">
        <f t="shared" si="54"/>
        <v>63580.557127354237</v>
      </c>
    </row>
    <row r="466" spans="1:16" x14ac:dyDescent="0.3">
      <c r="A466" s="72">
        <f t="shared" si="41"/>
        <v>78.5</v>
      </c>
      <c r="B466" s="74">
        <f t="shared" si="42"/>
        <v>4441.5740385763638</v>
      </c>
      <c r="C466" s="74">
        <f t="shared" si="43"/>
        <v>28485.552288399642</v>
      </c>
      <c r="D466" s="74">
        <f t="shared" si="44"/>
        <v>213.89622497407208</v>
      </c>
      <c r="E466" s="74">
        <f t="shared" si="45"/>
        <v>1187.9259964384401</v>
      </c>
      <c r="F466" s="74">
        <f t="shared" si="39"/>
        <v>1586.6633673855117</v>
      </c>
      <c r="G466" s="74">
        <f t="shared" si="40"/>
        <v>-3287.0843242741012</v>
      </c>
      <c r="H466" s="74">
        <f t="shared" si="46"/>
        <v>15558.425961423636</v>
      </c>
      <c r="I466" s="74">
        <f t="shared" si="47"/>
        <v>-8485.5522883996418</v>
      </c>
      <c r="J466" s="74">
        <f t="shared" si="48"/>
        <v>17721.998082503716</v>
      </c>
      <c r="K466" s="74">
        <f t="shared" si="49"/>
        <v>-24441.574038576364</v>
      </c>
      <c r="L466" s="74">
        <f t="shared" si="50"/>
        <v>-8485.5522883996418</v>
      </c>
      <c r="M466" s="74">
        <f t="shared" si="51"/>
        <v>25872.671665724331</v>
      </c>
      <c r="N466" s="74">
        <f t="shared" si="52"/>
        <v>-9441.5740385763638</v>
      </c>
      <c r="O466" s="74">
        <f t="shared" si="53"/>
        <v>-63485.552288399645</v>
      </c>
      <c r="P466" s="74">
        <f t="shared" si="54"/>
        <v>64183.788215475754</v>
      </c>
    </row>
    <row r="467" spans="1:16" x14ac:dyDescent="0.3">
      <c r="A467" s="72">
        <f t="shared" si="41"/>
        <v>79</v>
      </c>
      <c r="B467" s="74">
        <f t="shared" si="42"/>
        <v>4945.1879929097777</v>
      </c>
      <c r="C467" s="74">
        <f t="shared" si="43"/>
        <v>28257.744205550338</v>
      </c>
      <c r="D467" s="74">
        <f t="shared" si="44"/>
        <v>1007.2279086668279</v>
      </c>
      <c r="E467" s="74">
        <f t="shared" si="45"/>
        <v>-455.61616569861053</v>
      </c>
      <c r="F467" s="74">
        <f t="shared" si="39"/>
        <v>1818.1270113693122</v>
      </c>
      <c r="G467" s="74">
        <f t="shared" si="40"/>
        <v>-3350.546460525431</v>
      </c>
      <c r="H467" s="74">
        <f t="shared" si="46"/>
        <v>15054.812007090222</v>
      </c>
      <c r="I467" s="74">
        <f t="shared" si="47"/>
        <v>-8257.7442055503379</v>
      </c>
      <c r="J467" s="74">
        <f t="shared" si="48"/>
        <v>17170.838766150246</v>
      </c>
      <c r="K467" s="74">
        <f t="shared" si="49"/>
        <v>-24945.187992909778</v>
      </c>
      <c r="L467" s="74">
        <f t="shared" si="50"/>
        <v>-8257.7442055503379</v>
      </c>
      <c r="M467" s="74">
        <f t="shared" si="51"/>
        <v>26276.467482633776</v>
      </c>
      <c r="N467" s="74">
        <f t="shared" si="52"/>
        <v>-9945.1879929097777</v>
      </c>
      <c r="O467" s="74">
        <f t="shared" si="53"/>
        <v>-63257.744205550334</v>
      </c>
      <c r="P467" s="74">
        <f t="shared" si="54"/>
        <v>64034.748115294038</v>
      </c>
    </row>
    <row r="468" spans="1:16" x14ac:dyDescent="0.3">
      <c r="A468" s="72">
        <f t="shared" si="41"/>
        <v>79.5</v>
      </c>
      <c r="B468" s="74">
        <f t="shared" si="42"/>
        <v>5903.3337000855199</v>
      </c>
      <c r="C468" s="74">
        <f t="shared" si="43"/>
        <v>27192.299507569674</v>
      </c>
      <c r="D468" s="74">
        <f t="shared" si="44"/>
        <v>1916.291414351484</v>
      </c>
      <c r="E468" s="74">
        <f t="shared" si="45"/>
        <v>-2130.889395961326</v>
      </c>
      <c r="F468" s="74">
        <f t="shared" si="39"/>
        <v>2457.5318837159293</v>
      </c>
      <c r="G468" s="74">
        <f t="shared" si="40"/>
        <v>-3378.4783694936709</v>
      </c>
      <c r="H468" s="74">
        <f t="shared" si="46"/>
        <v>14096.666299914479</v>
      </c>
      <c r="I468" s="74">
        <f t="shared" si="47"/>
        <v>-7192.2995075696745</v>
      </c>
      <c r="J468" s="74">
        <f t="shared" si="48"/>
        <v>15825.459645069763</v>
      </c>
      <c r="K468" s="74">
        <f t="shared" si="49"/>
        <v>-25903.333700085521</v>
      </c>
      <c r="L468" s="74">
        <f t="shared" si="50"/>
        <v>-7192.2995075696745</v>
      </c>
      <c r="M468" s="74">
        <f t="shared" si="51"/>
        <v>26883.3009317043</v>
      </c>
      <c r="N468" s="74">
        <f t="shared" si="52"/>
        <v>-10903.333700085521</v>
      </c>
      <c r="O468" s="74">
        <f t="shared" si="53"/>
        <v>-62192.299507569674</v>
      </c>
      <c r="P468" s="74">
        <f t="shared" si="54"/>
        <v>63140.833094081616</v>
      </c>
    </row>
    <row r="469" spans="1:16" x14ac:dyDescent="0.3">
      <c r="A469" s="72">
        <f t="shared" si="41"/>
        <v>80</v>
      </c>
      <c r="B469" s="74">
        <f t="shared" si="42"/>
        <v>7475.8623781902443</v>
      </c>
      <c r="C469" s="74">
        <f t="shared" si="43"/>
        <v>25282.235217215592</v>
      </c>
      <c r="D469" s="74">
        <f t="shared" si="44"/>
        <v>3145.0573562094487</v>
      </c>
      <c r="E469" s="74">
        <f t="shared" si="45"/>
        <v>-3820.1285807081613</v>
      </c>
      <c r="F469" s="74">
        <f t="shared" si="39"/>
        <v>3825.2181430707719</v>
      </c>
      <c r="G469" s="74">
        <f t="shared" si="40"/>
        <v>-3325.5799605148522</v>
      </c>
      <c r="H469" s="74">
        <f t="shared" si="46"/>
        <v>12524.137621809756</v>
      </c>
      <c r="I469" s="74">
        <f t="shared" si="47"/>
        <v>-5282.2352172155915</v>
      </c>
      <c r="J469" s="74">
        <f t="shared" si="48"/>
        <v>13592.499110171873</v>
      </c>
      <c r="K469" s="74">
        <f t="shared" si="49"/>
        <v>-27475.862378190242</v>
      </c>
      <c r="L469" s="74">
        <f t="shared" si="50"/>
        <v>-5282.2352172155915</v>
      </c>
      <c r="M469" s="74">
        <f t="shared" si="51"/>
        <v>27979.010388418719</v>
      </c>
      <c r="N469" s="74">
        <f t="shared" si="52"/>
        <v>-12475.862378190244</v>
      </c>
      <c r="O469" s="74">
        <f t="shared" si="53"/>
        <v>-60282.235217215595</v>
      </c>
      <c r="P469" s="74">
        <f t="shared" si="54"/>
        <v>61559.686685876259</v>
      </c>
    </row>
    <row r="470" spans="1:16" x14ac:dyDescent="0.3">
      <c r="A470" s="72">
        <f t="shared" si="41"/>
        <v>80.5</v>
      </c>
      <c r="B470" s="74">
        <f t="shared" si="42"/>
        <v>10004.695592062661</v>
      </c>
      <c r="C470" s="74">
        <f t="shared" si="43"/>
        <v>22540.7759367328</v>
      </c>
      <c r="D470" s="74">
        <f t="shared" si="44"/>
        <v>5057.6664277448344</v>
      </c>
      <c r="E470" s="74">
        <f t="shared" si="45"/>
        <v>-5482.9185609655869</v>
      </c>
      <c r="F470" s="74">
        <f t="shared" si="39"/>
        <v>6620.5992072936024</v>
      </c>
      <c r="G470" s="74">
        <f t="shared" si="40"/>
        <v>-2787.7762997045265</v>
      </c>
      <c r="H470" s="74">
        <f t="shared" si="46"/>
        <v>9995.3044079373394</v>
      </c>
      <c r="I470" s="74">
        <f t="shared" si="47"/>
        <v>-2540.7759367327999</v>
      </c>
      <c r="J470" s="74">
        <f t="shared" si="48"/>
        <v>10313.17858703184</v>
      </c>
      <c r="K470" s="74">
        <f t="shared" si="49"/>
        <v>-30004.695592062661</v>
      </c>
      <c r="L470" s="74">
        <f t="shared" si="50"/>
        <v>-2540.7759367327999</v>
      </c>
      <c r="M470" s="74">
        <f t="shared" si="51"/>
        <v>30112.078970622817</v>
      </c>
      <c r="N470" s="74">
        <f t="shared" si="52"/>
        <v>-15004.695592062661</v>
      </c>
      <c r="O470" s="74">
        <f t="shared" si="53"/>
        <v>-57540.775936732796</v>
      </c>
      <c r="P470" s="74">
        <f t="shared" si="54"/>
        <v>59464.962668883876</v>
      </c>
    </row>
    <row r="471" spans="1:16" x14ac:dyDescent="0.3">
      <c r="A471" s="72">
        <f t="shared" si="41"/>
        <v>81</v>
      </c>
      <c r="B471" s="74">
        <f t="shared" si="42"/>
        <v>14188.67860775848</v>
      </c>
      <c r="C471" s="74">
        <f t="shared" si="43"/>
        <v>19102.372581323874</v>
      </c>
      <c r="D471" s="74">
        <f t="shared" si="44"/>
        <v>8367.9660313916356</v>
      </c>
      <c r="E471" s="74">
        <f t="shared" si="45"/>
        <v>-6876.8067108178502</v>
      </c>
      <c r="F471" s="74">
        <f t="shared" si="39"/>
        <v>10281.485544028099</v>
      </c>
      <c r="G471" s="74">
        <f t="shared" si="40"/>
        <v>1376.7092602992773</v>
      </c>
      <c r="H471" s="74">
        <f t="shared" si="46"/>
        <v>5811.3213922415198</v>
      </c>
      <c r="I471" s="74">
        <f t="shared" si="47"/>
        <v>897.62741867612567</v>
      </c>
      <c r="J471" s="74">
        <f t="shared" si="48"/>
        <v>5880.2373512200238</v>
      </c>
      <c r="K471" s="74">
        <f t="shared" si="49"/>
        <v>-34188.678607758484</v>
      </c>
      <c r="L471" s="74">
        <f t="shared" si="50"/>
        <v>897.62741867612567</v>
      </c>
      <c r="M471" s="74">
        <f t="shared" si="51"/>
        <v>34200.460229759505</v>
      </c>
      <c r="N471" s="74">
        <f t="shared" si="52"/>
        <v>-19188.67860775848</v>
      </c>
      <c r="O471" s="74">
        <f t="shared" si="53"/>
        <v>-54102.372581323871</v>
      </c>
      <c r="P471" s="74">
        <f t="shared" si="54"/>
        <v>57404.460677200273</v>
      </c>
    </row>
    <row r="472" spans="1:16" x14ac:dyDescent="0.3">
      <c r="A472" s="72">
        <f t="shared" si="41"/>
        <v>81.5</v>
      </c>
      <c r="B472" s="74">
        <f t="shared" si="42"/>
        <v>20943.03300946132</v>
      </c>
      <c r="C472" s="74">
        <f t="shared" si="43"/>
        <v>16008.146540989768</v>
      </c>
      <c r="D472" s="74">
        <f t="shared" si="44"/>
        <v>13508.708803405685</v>
      </c>
      <c r="E472" s="74">
        <f t="shared" si="45"/>
        <v>-6188.4520806682112</v>
      </c>
      <c r="F472" s="74">
        <f t="shared" si="39"/>
        <v>-3895.8273712030527</v>
      </c>
      <c r="G472" s="74">
        <f t="shared" si="40"/>
        <v>10920.418734411673</v>
      </c>
      <c r="H472" s="74">
        <f t="shared" si="46"/>
        <v>-943.03300946132003</v>
      </c>
      <c r="I472" s="74">
        <f t="shared" si="47"/>
        <v>3991.8534590102317</v>
      </c>
      <c r="J472" s="74">
        <f t="shared" si="48"/>
        <v>4101.7319872397347</v>
      </c>
      <c r="K472" s="74">
        <f t="shared" si="49"/>
        <v>-40943.033009461316</v>
      </c>
      <c r="L472" s="74">
        <f t="shared" si="50"/>
        <v>3991.8534590102317</v>
      </c>
      <c r="M472" s="74">
        <f t="shared" si="51"/>
        <v>41137.171099287458</v>
      </c>
      <c r="N472" s="74">
        <f t="shared" si="52"/>
        <v>-25943.03300946132</v>
      </c>
      <c r="O472" s="74">
        <f t="shared" si="53"/>
        <v>-51008.146540989765</v>
      </c>
      <c r="P472" s="74">
        <f t="shared" si="54"/>
        <v>57226.497143168614</v>
      </c>
    </row>
    <row r="473" spans="1:16" x14ac:dyDescent="0.3">
      <c r="A473" s="72">
        <f t="shared" si="41"/>
        <v>82</v>
      </c>
      <c r="B473" s="74">
        <f t="shared" si="42"/>
        <v>26723.430568363401</v>
      </c>
      <c r="C473" s="74">
        <f t="shared" si="43"/>
        <v>15644.02518425858</v>
      </c>
      <c r="D473" s="74">
        <f t="shared" si="44"/>
        <v>11560.795117804159</v>
      </c>
      <c r="E473" s="74">
        <f t="shared" si="45"/>
        <v>-728.24271346237492</v>
      </c>
      <c r="F473" s="74">
        <f t="shared" si="39"/>
        <v>-10016.105413942969</v>
      </c>
      <c r="G473" s="74">
        <f t="shared" si="40"/>
        <v>5486.6206532146707</v>
      </c>
      <c r="H473" s="74">
        <f t="shared" si="46"/>
        <v>-6723.4305683634011</v>
      </c>
      <c r="I473" s="74">
        <f t="shared" si="47"/>
        <v>4355.9748157414197</v>
      </c>
      <c r="J473" s="74">
        <f t="shared" si="48"/>
        <v>8011.1818855258116</v>
      </c>
      <c r="K473" s="74">
        <f t="shared" si="49"/>
        <v>-46723.430568363401</v>
      </c>
      <c r="L473" s="74">
        <f t="shared" si="50"/>
        <v>4355.9748157414197</v>
      </c>
      <c r="M473" s="74">
        <f t="shared" si="51"/>
        <v>46926.04267005741</v>
      </c>
      <c r="N473" s="74">
        <f t="shared" si="52"/>
        <v>-31723.430568363401</v>
      </c>
      <c r="O473" s="74">
        <f t="shared" si="53"/>
        <v>-50644.025184258579</v>
      </c>
      <c r="P473" s="74">
        <f t="shared" si="54"/>
        <v>59759.462295853955</v>
      </c>
    </row>
    <row r="474" spans="1:16" x14ac:dyDescent="0.3">
      <c r="A474" s="72">
        <f t="shared" si="41"/>
        <v>82.5</v>
      </c>
      <c r="B474" s="74">
        <f t="shared" si="42"/>
        <v>29999.801773779735</v>
      </c>
      <c r="C474" s="74">
        <f t="shared" si="43"/>
        <v>16651.558990831061</v>
      </c>
      <c r="D474" s="74">
        <f t="shared" si="44"/>
        <v>6552.7424108326741</v>
      </c>
      <c r="E474" s="74">
        <f t="shared" si="45"/>
        <v>2015.0676131449604</v>
      </c>
      <c r="F474" s="74">
        <f t="shared" si="39"/>
        <v>-9083.0461270465094</v>
      </c>
      <c r="G474" s="74">
        <f t="shared" si="40"/>
        <v>2408.2758120902158</v>
      </c>
      <c r="H474" s="74">
        <f t="shared" si="46"/>
        <v>-9999.8017737797345</v>
      </c>
      <c r="I474" s="74">
        <f t="shared" si="47"/>
        <v>3348.4410091689388</v>
      </c>
      <c r="J474" s="74">
        <f t="shared" si="48"/>
        <v>10545.524771521454</v>
      </c>
      <c r="K474" s="74">
        <f t="shared" si="49"/>
        <v>-49999.801773779735</v>
      </c>
      <c r="L474" s="74">
        <f t="shared" si="50"/>
        <v>3348.4410091689388</v>
      </c>
      <c r="M474" s="74">
        <f t="shared" si="51"/>
        <v>50111.797359595395</v>
      </c>
      <c r="N474" s="74">
        <f t="shared" si="52"/>
        <v>-34999.801773779735</v>
      </c>
      <c r="O474" s="74">
        <f t="shared" si="53"/>
        <v>-51651.558990831065</v>
      </c>
      <c r="P474" s="74">
        <f t="shared" si="54"/>
        <v>62392.865540758554</v>
      </c>
    </row>
    <row r="475" spans="1:16" x14ac:dyDescent="0.3">
      <c r="A475" s="72">
        <f t="shared" si="41"/>
        <v>83</v>
      </c>
      <c r="B475" s="74">
        <f t="shared" si="42"/>
        <v>31005.411447434439</v>
      </c>
      <c r="C475" s="74">
        <f t="shared" si="43"/>
        <v>18261.161750426094</v>
      </c>
      <c r="D475" s="74">
        <f t="shared" si="44"/>
        <v>2011.2193473094194</v>
      </c>
      <c r="E475" s="74">
        <f t="shared" si="45"/>
        <v>3219.2055191900681</v>
      </c>
      <c r="F475" s="74">
        <f t="shared" si="39"/>
        <v>-8918.2901315306408</v>
      </c>
      <c r="G475" s="74">
        <f t="shared" si="40"/>
        <v>943.53151100175751</v>
      </c>
      <c r="H475" s="74">
        <f t="shared" si="46"/>
        <v>-11005.411447434439</v>
      </c>
      <c r="I475" s="74">
        <f t="shared" si="47"/>
        <v>1738.8382495739061</v>
      </c>
      <c r="J475" s="74">
        <f t="shared" si="48"/>
        <v>11141.931591313161</v>
      </c>
      <c r="K475" s="74">
        <f t="shared" si="49"/>
        <v>-51005.411447434439</v>
      </c>
      <c r="L475" s="74">
        <f t="shared" si="50"/>
        <v>1738.8382495739061</v>
      </c>
      <c r="M475" s="74">
        <f t="shared" si="51"/>
        <v>51035.042425575171</v>
      </c>
      <c r="N475" s="74">
        <f t="shared" si="52"/>
        <v>-36005.411447434439</v>
      </c>
      <c r="O475" s="74">
        <f t="shared" si="53"/>
        <v>-53261.161750426094</v>
      </c>
      <c r="P475" s="74">
        <f t="shared" si="54"/>
        <v>64289.509288095323</v>
      </c>
    </row>
    <row r="476" spans="1:16" x14ac:dyDescent="0.3">
      <c r="A476" s="72">
        <f t="shared" si="41"/>
        <v>83.5</v>
      </c>
      <c r="B476" s="74">
        <f t="shared" si="42"/>
        <v>29781.448588206491</v>
      </c>
      <c r="C476" s="74">
        <f t="shared" si="43"/>
        <v>20106.647387771565</v>
      </c>
      <c r="D476" s="74">
        <f t="shared" si="44"/>
        <v>-2447.925718455901</v>
      </c>
      <c r="E476" s="74">
        <f t="shared" si="45"/>
        <v>3690.9712746909468</v>
      </c>
      <c r="F476" s="74">
        <f t="shared" si="39"/>
        <v>-10136.681855594017</v>
      </c>
      <c r="G476" s="74">
        <f t="shared" si="40"/>
        <v>-447.13718927314562</v>
      </c>
      <c r="H476" s="74">
        <f t="shared" si="46"/>
        <v>-9781.448588206491</v>
      </c>
      <c r="I476" s="74">
        <f t="shared" si="47"/>
        <v>-106.64738777156526</v>
      </c>
      <c r="J476" s="74">
        <f t="shared" si="48"/>
        <v>9782.0299605473119</v>
      </c>
      <c r="K476" s="74">
        <f t="shared" si="49"/>
        <v>-49781.448588206491</v>
      </c>
      <c r="L476" s="74">
        <f t="shared" si="50"/>
        <v>-106.64738777156526</v>
      </c>
      <c r="M476" s="74">
        <f t="shared" si="51"/>
        <v>49781.562824057306</v>
      </c>
      <c r="N476" s="74">
        <f t="shared" si="52"/>
        <v>-34781.448588206491</v>
      </c>
      <c r="O476" s="74">
        <f t="shared" si="53"/>
        <v>-55106.647387771562</v>
      </c>
      <c r="P476" s="74">
        <f t="shared" si="54"/>
        <v>65165.11146475729</v>
      </c>
    </row>
    <row r="477" spans="1:16" x14ac:dyDescent="0.3">
      <c r="A477" s="72">
        <f t="shared" si="41"/>
        <v>84</v>
      </c>
      <c r="B477" s="74">
        <f t="shared" si="42"/>
        <v>26023.315265080037</v>
      </c>
      <c r="C477" s="74">
        <f t="shared" si="43"/>
        <v>21840.348727798755</v>
      </c>
      <c r="D477" s="74">
        <f t="shared" si="44"/>
        <v>-7516.2666462529096</v>
      </c>
      <c r="E477" s="74">
        <f t="shared" si="45"/>
        <v>3467.4026800543738</v>
      </c>
      <c r="F477" s="74">
        <f t="shared" si="39"/>
        <v>-12329.025656287424</v>
      </c>
      <c r="G477" s="74">
        <f t="shared" si="40"/>
        <v>-3856.5980135573777</v>
      </c>
      <c r="H477" s="74">
        <f t="shared" si="46"/>
        <v>-6023.3152650800366</v>
      </c>
      <c r="I477" s="74">
        <f t="shared" si="47"/>
        <v>-1840.3487277987551</v>
      </c>
      <c r="J477" s="74">
        <f t="shared" si="48"/>
        <v>6298.191027783826</v>
      </c>
      <c r="K477" s="74">
        <f t="shared" si="49"/>
        <v>-46023.315265080033</v>
      </c>
      <c r="L477" s="74">
        <f t="shared" si="50"/>
        <v>-1840.3487277987551</v>
      </c>
      <c r="M477" s="74">
        <f t="shared" si="51"/>
        <v>46060.095868645985</v>
      </c>
      <c r="N477" s="74">
        <f t="shared" si="52"/>
        <v>-31023.315265080037</v>
      </c>
      <c r="O477" s="74">
        <f t="shared" si="53"/>
        <v>-56840.348727798759</v>
      </c>
      <c r="P477" s="74">
        <f t="shared" si="54"/>
        <v>64755.473386690042</v>
      </c>
    </row>
    <row r="478" spans="1:16" x14ac:dyDescent="0.3">
      <c r="A478" s="72">
        <f t="shared" si="41"/>
        <v>84.5</v>
      </c>
      <c r="B478" s="74">
        <f t="shared" si="42"/>
        <v>19182.925527881725</v>
      </c>
      <c r="C478" s="74">
        <f t="shared" si="43"/>
        <v>22609.900564436597</v>
      </c>
      <c r="D478" s="74">
        <f t="shared" si="44"/>
        <v>-13680.779474396622</v>
      </c>
      <c r="E478" s="74">
        <f t="shared" si="45"/>
        <v>1539.103673275685</v>
      </c>
      <c r="F478" s="74">
        <f t="shared" si="39"/>
        <v>1583.0318867714761</v>
      </c>
      <c r="G478" s="74">
        <f t="shared" si="40"/>
        <v>-9546.1495472960942</v>
      </c>
      <c r="H478" s="74">
        <f t="shared" si="46"/>
        <v>817.07447211827457</v>
      </c>
      <c r="I478" s="74">
        <f t="shared" si="47"/>
        <v>-2609.9005644365971</v>
      </c>
      <c r="J478" s="74">
        <f t="shared" si="48"/>
        <v>2734.8110810865574</v>
      </c>
      <c r="K478" s="74">
        <f t="shared" si="49"/>
        <v>-39182.925527881729</v>
      </c>
      <c r="L478" s="74">
        <f t="shared" si="50"/>
        <v>-2609.9005644365971</v>
      </c>
      <c r="M478" s="74">
        <f t="shared" si="51"/>
        <v>39269.749602967575</v>
      </c>
      <c r="N478" s="74">
        <f t="shared" si="52"/>
        <v>-24182.925527881725</v>
      </c>
      <c r="O478" s="74">
        <f t="shared" si="53"/>
        <v>-57609.900564436597</v>
      </c>
      <c r="P478" s="74">
        <f t="shared" si="54"/>
        <v>62479.712948535111</v>
      </c>
    </row>
    <row r="479" spans="1:16" x14ac:dyDescent="0.3">
      <c r="A479" s="72">
        <f t="shared" si="41"/>
        <v>85</v>
      </c>
      <c r="B479" s="74">
        <f t="shared" si="42"/>
        <v>12738.293762376283</v>
      </c>
      <c r="C479" s="74">
        <f t="shared" si="43"/>
        <v>20992.915014250415</v>
      </c>
      <c r="D479" s="74">
        <f t="shared" si="44"/>
        <v>-12889.263531010884</v>
      </c>
      <c r="E479" s="74">
        <f t="shared" si="45"/>
        <v>-3233.9711003723623</v>
      </c>
      <c r="F479" s="74">
        <f t="shared" si="39"/>
        <v>9451.8317745579152</v>
      </c>
      <c r="G479" s="74">
        <f t="shared" si="40"/>
        <v>-2044.4074600738459</v>
      </c>
      <c r="H479" s="74">
        <f t="shared" si="46"/>
        <v>7261.7062376237172</v>
      </c>
      <c r="I479" s="74">
        <f t="shared" si="47"/>
        <v>-992.91501425041497</v>
      </c>
      <c r="J479" s="74">
        <f t="shared" si="48"/>
        <v>7329.2740231940506</v>
      </c>
      <c r="K479" s="74">
        <f t="shared" si="49"/>
        <v>-32738.293762376285</v>
      </c>
      <c r="L479" s="74">
        <f t="shared" si="50"/>
        <v>-992.91501425041497</v>
      </c>
      <c r="M479" s="74">
        <f t="shared" si="51"/>
        <v>32753.347289966714</v>
      </c>
      <c r="N479" s="74">
        <f t="shared" si="52"/>
        <v>-17738.293762376285</v>
      </c>
      <c r="O479" s="74">
        <f t="shared" si="53"/>
        <v>-55992.915014250415</v>
      </c>
      <c r="P479" s="74">
        <f t="shared" si="54"/>
        <v>58735.45434738227</v>
      </c>
    </row>
    <row r="480" spans="1:16" x14ac:dyDescent="0.3">
      <c r="A480" s="72">
        <f t="shared" si="41"/>
        <v>85.5</v>
      </c>
      <c r="B480" s="74">
        <f t="shared" si="42"/>
        <v>8656.6199405103198</v>
      </c>
      <c r="C480" s="74">
        <f t="shared" si="43"/>
        <v>18864.82759904577</v>
      </c>
      <c r="D480" s="74">
        <f t="shared" si="44"/>
        <v>-8163.3476437319259</v>
      </c>
      <c r="E480" s="74">
        <f t="shared" si="45"/>
        <v>-4256.1748304092853</v>
      </c>
      <c r="F480" s="74">
        <f t="shared" si="39"/>
        <v>5807.8028898421608</v>
      </c>
      <c r="G480" s="74">
        <f t="shared" si="40"/>
        <v>326.55707497184403</v>
      </c>
      <c r="H480" s="74">
        <f t="shared" si="46"/>
        <v>11343.38005948968</v>
      </c>
      <c r="I480" s="74">
        <f t="shared" si="47"/>
        <v>1135.1724009542304</v>
      </c>
      <c r="J480" s="74">
        <f t="shared" si="48"/>
        <v>11400.038927736883</v>
      </c>
      <c r="K480" s="74">
        <f t="shared" si="49"/>
        <v>-28656.619940510318</v>
      </c>
      <c r="L480" s="74">
        <f t="shared" si="50"/>
        <v>1135.1724009542304</v>
      </c>
      <c r="M480" s="74">
        <f t="shared" si="51"/>
        <v>28679.094874049664</v>
      </c>
      <c r="N480" s="74">
        <f t="shared" si="52"/>
        <v>-13656.61994051032</v>
      </c>
      <c r="O480" s="74">
        <f t="shared" si="53"/>
        <v>-53864.82759904577</v>
      </c>
      <c r="P480" s="74">
        <f t="shared" si="54"/>
        <v>55569.08241526458</v>
      </c>
    </row>
    <row r="481" spans="1:16" x14ac:dyDescent="0.3">
      <c r="A481" s="72">
        <f t="shared" si="41"/>
        <v>86</v>
      </c>
      <c r="B481" s="74">
        <f t="shared" si="42"/>
        <v>6026.8968411048972</v>
      </c>
      <c r="C481" s="74">
        <f t="shared" si="43"/>
        <v>16818.379452584089</v>
      </c>
      <c r="D481" s="74">
        <f t="shared" si="44"/>
        <v>-5259.4461988108451</v>
      </c>
      <c r="E481" s="74">
        <f t="shared" si="45"/>
        <v>-4092.896292923363</v>
      </c>
      <c r="F481" s="74">
        <f t="shared" si="39"/>
        <v>3440.5924320224299</v>
      </c>
      <c r="G481" s="74">
        <f t="shared" si="40"/>
        <v>1008.0780744973098</v>
      </c>
      <c r="H481" s="74">
        <f t="shared" si="46"/>
        <v>13973.103158895103</v>
      </c>
      <c r="I481" s="74">
        <f t="shared" si="47"/>
        <v>3181.6205474159106</v>
      </c>
      <c r="J481" s="74">
        <f t="shared" si="48"/>
        <v>14330.747405382017</v>
      </c>
      <c r="K481" s="74">
        <f t="shared" si="49"/>
        <v>-26026.896841104899</v>
      </c>
      <c r="L481" s="74">
        <f t="shared" si="50"/>
        <v>3181.6205474159106</v>
      </c>
      <c r="M481" s="74">
        <f t="shared" si="51"/>
        <v>26220.642030378574</v>
      </c>
      <c r="N481" s="74">
        <f t="shared" si="52"/>
        <v>-11026.896841104897</v>
      </c>
      <c r="O481" s="74">
        <f t="shared" si="53"/>
        <v>-51818.379452584093</v>
      </c>
      <c r="P481" s="74">
        <f t="shared" si="54"/>
        <v>52978.645726711045</v>
      </c>
    </row>
    <row r="482" spans="1:16" x14ac:dyDescent="0.3">
      <c r="A482" s="72">
        <f t="shared" si="41"/>
        <v>86.5</v>
      </c>
      <c r="B482" s="74">
        <f t="shared" si="42"/>
        <v>4257.3218497050821</v>
      </c>
      <c r="C482" s="74">
        <f t="shared" si="43"/>
        <v>15023.950824746735</v>
      </c>
      <c r="D482" s="74">
        <f t="shared" si="44"/>
        <v>-3539.1499827996304</v>
      </c>
      <c r="E482" s="74">
        <f t="shared" si="45"/>
        <v>-3588.8572556747081</v>
      </c>
      <c r="F482" s="74">
        <f t="shared" si="39"/>
        <v>2069.966919108113</v>
      </c>
      <c r="G482" s="74">
        <f t="shared" si="40"/>
        <v>1332.2020697530188</v>
      </c>
      <c r="H482" s="74">
        <f t="shared" si="46"/>
        <v>15742.678150294918</v>
      </c>
      <c r="I482" s="74">
        <f t="shared" si="47"/>
        <v>4976.0491752532653</v>
      </c>
      <c r="J482" s="74">
        <f t="shared" si="48"/>
        <v>16510.390084377526</v>
      </c>
      <c r="K482" s="74">
        <f t="shared" si="49"/>
        <v>-24257.321849705084</v>
      </c>
      <c r="L482" s="74">
        <f t="shared" si="50"/>
        <v>4976.0491752532653</v>
      </c>
      <c r="M482" s="74">
        <f t="shared" si="51"/>
        <v>24762.445935624339</v>
      </c>
      <c r="N482" s="74">
        <f t="shared" si="52"/>
        <v>-9257.3218497050821</v>
      </c>
      <c r="O482" s="74">
        <f t="shared" si="53"/>
        <v>-50023.950824746731</v>
      </c>
      <c r="P482" s="74">
        <f t="shared" si="54"/>
        <v>50873.309936996498</v>
      </c>
    </row>
    <row r="483" spans="1:16" x14ac:dyDescent="0.3">
      <c r="A483" s="72">
        <f t="shared" si="41"/>
        <v>87</v>
      </c>
      <c r="B483" s="74">
        <f t="shared" si="42"/>
        <v>3005.2385880822949</v>
      </c>
      <c r="C483" s="74">
        <f t="shared" si="43"/>
        <v>13562.572714347634</v>
      </c>
      <c r="D483" s="74">
        <f t="shared" si="44"/>
        <v>-2504.1665232455739</v>
      </c>
      <c r="E483" s="74">
        <f t="shared" si="45"/>
        <v>-2922.7562207981987</v>
      </c>
      <c r="F483" s="74">
        <f t="shared" si="39"/>
        <v>1247.7782812705009</v>
      </c>
      <c r="G483" s="74">
        <f t="shared" si="40"/>
        <v>1526.3318506492683</v>
      </c>
      <c r="H483" s="74">
        <f t="shared" si="46"/>
        <v>16994.761411917705</v>
      </c>
      <c r="I483" s="74">
        <f t="shared" si="47"/>
        <v>6437.4272856523658</v>
      </c>
      <c r="J483" s="74">
        <f t="shared" si="48"/>
        <v>18173.122612970747</v>
      </c>
      <c r="K483" s="74">
        <f t="shared" si="49"/>
        <v>-23005.238588082295</v>
      </c>
      <c r="L483" s="74">
        <f t="shared" si="50"/>
        <v>6437.4272856523658</v>
      </c>
      <c r="M483" s="74">
        <f t="shared" si="51"/>
        <v>23888.940381537483</v>
      </c>
      <c r="N483" s="74">
        <f t="shared" si="52"/>
        <v>-8005.2385880822949</v>
      </c>
      <c r="O483" s="74">
        <f t="shared" si="53"/>
        <v>-48562.572714347632</v>
      </c>
      <c r="P483" s="74">
        <f t="shared" si="54"/>
        <v>49217.957225878672</v>
      </c>
    </row>
    <row r="484" spans="1:16" x14ac:dyDescent="0.3">
      <c r="A484" s="72">
        <f t="shared" si="41"/>
        <v>87.5</v>
      </c>
      <c r="B484" s="74">
        <f t="shared" si="42"/>
        <v>2065.0998967771329</v>
      </c>
      <c r="C484" s="74">
        <f t="shared" si="43"/>
        <v>12482.777566610852</v>
      </c>
      <c r="D484" s="74">
        <f t="shared" si="44"/>
        <v>-1880.2773826103235</v>
      </c>
      <c r="E484" s="74">
        <f t="shared" si="45"/>
        <v>-2159.5902954735648</v>
      </c>
      <c r="F484" s="74">
        <f t="shared" si="39"/>
        <v>735.91437936730313</v>
      </c>
      <c r="G484" s="74">
        <f t="shared" si="40"/>
        <v>1640.3098997972957</v>
      </c>
      <c r="H484" s="74">
        <f t="shared" si="46"/>
        <v>17934.900103222866</v>
      </c>
      <c r="I484" s="74">
        <f t="shared" si="47"/>
        <v>7517.2224333891481</v>
      </c>
      <c r="J484" s="74">
        <f t="shared" si="48"/>
        <v>19446.574886741178</v>
      </c>
      <c r="K484" s="74">
        <f t="shared" si="49"/>
        <v>-22065.099896777134</v>
      </c>
      <c r="L484" s="74">
        <f t="shared" si="50"/>
        <v>7517.2224333891481</v>
      </c>
      <c r="M484" s="74">
        <f t="shared" si="51"/>
        <v>23310.454018911845</v>
      </c>
      <c r="N484" s="74">
        <f t="shared" si="52"/>
        <v>-7065.0998967771329</v>
      </c>
      <c r="O484" s="74">
        <f t="shared" si="53"/>
        <v>-47482.77756661085</v>
      </c>
      <c r="P484" s="74">
        <f t="shared" si="54"/>
        <v>48005.518453524521</v>
      </c>
    </row>
    <row r="485" spans="1:16" x14ac:dyDescent="0.3">
      <c r="A485" s="72">
        <f t="shared" si="41"/>
        <v>88</v>
      </c>
      <c r="B485" s="74">
        <f t="shared" si="42"/>
        <v>1308.9398003137969</v>
      </c>
      <c r="C485" s="74">
        <f t="shared" si="43"/>
        <v>11813.059893823392</v>
      </c>
      <c r="D485" s="74">
        <f t="shared" si="44"/>
        <v>-1512.320192926672</v>
      </c>
      <c r="E485" s="74">
        <f t="shared" si="45"/>
        <v>-1339.4353455749169</v>
      </c>
      <c r="F485" s="74">
        <f t="shared" si="39"/>
        <v>398.22961286127298</v>
      </c>
      <c r="G485" s="74">
        <f t="shared" si="40"/>
        <v>1694.7887977999953</v>
      </c>
      <c r="H485" s="74">
        <f t="shared" si="46"/>
        <v>18691.060199686202</v>
      </c>
      <c r="I485" s="74">
        <f t="shared" si="47"/>
        <v>8186.9401061766075</v>
      </c>
      <c r="J485" s="74">
        <f t="shared" si="48"/>
        <v>20405.433582514652</v>
      </c>
      <c r="K485" s="74">
        <f t="shared" si="49"/>
        <v>-21308.939800313798</v>
      </c>
      <c r="L485" s="74">
        <f t="shared" si="50"/>
        <v>8186.9401061766075</v>
      </c>
      <c r="M485" s="74">
        <f t="shared" si="51"/>
        <v>22827.547036760661</v>
      </c>
      <c r="N485" s="74">
        <f t="shared" si="52"/>
        <v>-6308.9398003137967</v>
      </c>
      <c r="O485" s="74">
        <f t="shared" si="53"/>
        <v>-46813.059893823389</v>
      </c>
      <c r="P485" s="74">
        <f t="shared" si="54"/>
        <v>47236.271000436514</v>
      </c>
    </row>
    <row r="486" spans="1:16" x14ac:dyDescent="0.3">
      <c r="A486" s="72">
        <f t="shared" si="41"/>
        <v>88.5</v>
      </c>
      <c r="B486" s="74">
        <f t="shared" si="42"/>
        <v>652.33710706577915</v>
      </c>
      <c r="C486" s="74">
        <f t="shared" si="43"/>
        <v>11567.039420485933</v>
      </c>
      <c r="D486" s="74">
        <f t="shared" si="44"/>
        <v>-1313.2053864960355</v>
      </c>
      <c r="E486" s="74">
        <f t="shared" si="45"/>
        <v>-492.04094667491927</v>
      </c>
      <c r="F486" s="74">
        <f t="shared" si="39"/>
        <v>149.67069698280554</v>
      </c>
      <c r="G486" s="74">
        <f t="shared" si="40"/>
        <v>1701.7333252116568</v>
      </c>
      <c r="H486" s="74">
        <f t="shared" si="46"/>
        <v>19347.662892934222</v>
      </c>
      <c r="I486" s="74">
        <f t="shared" si="47"/>
        <v>8432.9605795140669</v>
      </c>
      <c r="J486" s="74">
        <f t="shared" si="48"/>
        <v>21105.612607888503</v>
      </c>
      <c r="K486" s="74">
        <f t="shared" si="49"/>
        <v>-20652.337107065778</v>
      </c>
      <c r="L486" s="74">
        <f t="shared" si="50"/>
        <v>8432.9605795140669</v>
      </c>
      <c r="M486" s="74">
        <f t="shared" si="51"/>
        <v>22307.708356519375</v>
      </c>
      <c r="N486" s="74">
        <f t="shared" si="52"/>
        <v>-5652.3371070657795</v>
      </c>
      <c r="O486" s="74">
        <f t="shared" si="53"/>
        <v>-46567.039420485933</v>
      </c>
      <c r="P486" s="74">
        <f t="shared" si="54"/>
        <v>46908.827262691222</v>
      </c>
    </row>
    <row r="487" spans="1:16" x14ac:dyDescent="0.3">
      <c r="A487" s="72">
        <f t="shared" si="41"/>
        <v>89</v>
      </c>
      <c r="B487" s="74">
        <f t="shared" si="42"/>
        <v>33.152088063462763</v>
      </c>
      <c r="C487" s="74">
        <f t="shared" si="43"/>
        <v>11746.452278451388</v>
      </c>
      <c r="D487" s="74">
        <f t="shared" si="44"/>
        <v>-1238.3700380046328</v>
      </c>
      <c r="E487" s="74">
        <f t="shared" si="45"/>
        <v>358.82571593090915</v>
      </c>
      <c r="F487" s="74">
        <f t="shared" si="39"/>
        <v>-69.839089053706772</v>
      </c>
      <c r="G487" s="74">
        <f t="shared" si="40"/>
        <v>1663.9272898694637</v>
      </c>
      <c r="H487" s="74">
        <f t="shared" si="46"/>
        <v>19966.847911936537</v>
      </c>
      <c r="I487" s="74">
        <f t="shared" si="47"/>
        <v>8253.5477215486117</v>
      </c>
      <c r="J487" s="74">
        <f t="shared" si="48"/>
        <v>21605.463788826306</v>
      </c>
      <c r="K487" s="74">
        <f t="shared" si="49"/>
        <v>-20033.152088063463</v>
      </c>
      <c r="L487" s="74">
        <f t="shared" si="50"/>
        <v>8253.5477215486117</v>
      </c>
      <c r="M487" s="74">
        <f t="shared" si="51"/>
        <v>21666.7540848961</v>
      </c>
      <c r="N487" s="74">
        <f t="shared" si="52"/>
        <v>-5033.1520880634625</v>
      </c>
      <c r="O487" s="74">
        <f t="shared" si="53"/>
        <v>-46746.45227845139</v>
      </c>
      <c r="P487" s="74">
        <f t="shared" si="54"/>
        <v>47016.629191841377</v>
      </c>
    </row>
    <row r="488" spans="1:16" x14ac:dyDescent="0.3">
      <c r="A488" s="72">
        <f t="shared" si="41"/>
        <v>89.5</v>
      </c>
      <c r="B488" s="74">
        <f t="shared" si="42"/>
        <v>-603.49270320228027</v>
      </c>
      <c r="C488" s="74">
        <f t="shared" si="43"/>
        <v>12341.846958884209</v>
      </c>
      <c r="D488" s="74">
        <f t="shared" si="44"/>
        <v>-1273.2895825314861</v>
      </c>
      <c r="E488" s="74">
        <f t="shared" si="45"/>
        <v>1190.7893608656409</v>
      </c>
      <c r="F488" s="74">
        <f t="shared" si="39"/>
        <v>-312.62204901075029</v>
      </c>
      <c r="G488" s="74">
        <f t="shared" si="40"/>
        <v>1573.4667835025075</v>
      </c>
      <c r="H488" s="74">
        <f t="shared" si="46"/>
        <v>20603.492703202279</v>
      </c>
      <c r="I488" s="74">
        <f t="shared" si="47"/>
        <v>7658.153041115791</v>
      </c>
      <c r="J488" s="74">
        <f t="shared" si="48"/>
        <v>21980.701070986353</v>
      </c>
      <c r="K488" s="74">
        <f t="shared" si="49"/>
        <v>-19396.507296797721</v>
      </c>
      <c r="L488" s="74">
        <f t="shared" si="50"/>
        <v>7658.153041115791</v>
      </c>
      <c r="M488" s="74">
        <f t="shared" si="51"/>
        <v>20853.580107882633</v>
      </c>
      <c r="N488" s="74">
        <f t="shared" si="52"/>
        <v>-4396.5072967977194</v>
      </c>
      <c r="O488" s="74">
        <f t="shared" si="53"/>
        <v>-47341.846958884213</v>
      </c>
      <c r="P488" s="74">
        <f t="shared" si="54"/>
        <v>47545.554470309944</v>
      </c>
    </row>
    <row r="489" spans="1:16" x14ac:dyDescent="0.3">
      <c r="A489" s="72">
        <f t="shared" si="41"/>
        <v>90</v>
      </c>
      <c r="B489" s="74">
        <f t="shared" si="42"/>
        <v>-1318.2930067207108</v>
      </c>
      <c r="C489" s="74">
        <f t="shared" si="43"/>
        <v>13330.608335192657</v>
      </c>
      <c r="D489" s="74">
        <f t="shared" si="44"/>
        <v>-1429.6006070368612</v>
      </c>
      <c r="E489" s="74">
        <f t="shared" si="45"/>
        <v>1977.5227526168946</v>
      </c>
      <c r="F489" s="74">
        <f t="shared" si="39"/>
        <v>-636.81569456023306</v>
      </c>
      <c r="G489" s="74">
        <f t="shared" si="40"/>
        <v>1412.7927269057163</v>
      </c>
      <c r="H489" s="74">
        <f t="shared" si="46"/>
        <v>21318.293006720713</v>
      </c>
      <c r="I489" s="74">
        <f t="shared" si="47"/>
        <v>6669.3916648073427</v>
      </c>
      <c r="J489" s="74">
        <f t="shared" si="48"/>
        <v>22337.197718133735</v>
      </c>
      <c r="K489" s="74">
        <f t="shared" si="49"/>
        <v>-18681.706993279287</v>
      </c>
      <c r="L489" s="74">
        <f t="shared" si="50"/>
        <v>6669.3916648073427</v>
      </c>
      <c r="M489" s="74">
        <f t="shared" si="51"/>
        <v>19836.505774993282</v>
      </c>
      <c r="N489" s="74">
        <f t="shared" si="52"/>
        <v>-3681.7069932792892</v>
      </c>
      <c r="O489" s="74">
        <f t="shared" si="53"/>
        <v>-48330.608335192657</v>
      </c>
      <c r="P489" s="74">
        <f t="shared" si="54"/>
        <v>48470.637177926139</v>
      </c>
    </row>
    <row r="490" spans="1:16" x14ac:dyDescent="0.3">
      <c r="A490" s="72">
        <f t="shared" si="41"/>
        <v>90.5</v>
      </c>
      <c r="B490" s="74">
        <f t="shared" si="42"/>
        <v>-2192.2972338791997</v>
      </c>
      <c r="C490" s="74">
        <f t="shared" si="43"/>
        <v>14672.567893227535</v>
      </c>
      <c r="D490" s="74">
        <f t="shared" si="44"/>
        <v>-1748.0084543169778</v>
      </c>
      <c r="E490" s="74">
        <f t="shared" si="45"/>
        <v>2683.9191160697528</v>
      </c>
      <c r="F490" s="74">
        <f t="shared" si="39"/>
        <v>-1118.387710490377</v>
      </c>
      <c r="G490" s="74">
        <f t="shared" si="40"/>
        <v>1158.9833755893255</v>
      </c>
      <c r="H490" s="74">
        <f t="shared" si="46"/>
        <v>22192.297233879199</v>
      </c>
      <c r="I490" s="74">
        <f t="shared" si="47"/>
        <v>5327.432106772465</v>
      </c>
      <c r="J490" s="74">
        <f t="shared" si="48"/>
        <v>22822.786625850764</v>
      </c>
      <c r="K490" s="74">
        <f t="shared" si="49"/>
        <v>-17807.702766120801</v>
      </c>
      <c r="L490" s="74">
        <f t="shared" si="50"/>
        <v>5327.432106772465</v>
      </c>
      <c r="M490" s="74">
        <f t="shared" si="51"/>
        <v>18587.51760345573</v>
      </c>
      <c r="N490" s="74">
        <f t="shared" si="52"/>
        <v>-2807.7027661208003</v>
      </c>
      <c r="O490" s="74">
        <f t="shared" si="53"/>
        <v>-49672.567893227533</v>
      </c>
      <c r="P490" s="74">
        <f t="shared" si="54"/>
        <v>49751.856205876189</v>
      </c>
    </row>
    <row r="491" spans="1:16" x14ac:dyDescent="0.3">
      <c r="A491" s="72">
        <f t="shared" si="41"/>
        <v>91</v>
      </c>
      <c r="B491" s="74">
        <f t="shared" si="42"/>
        <v>-3345.8983886602828</v>
      </c>
      <c r="C491" s="74">
        <f t="shared" si="43"/>
        <v>16304.273295159743</v>
      </c>
      <c r="D491" s="74">
        <f t="shared" si="44"/>
        <v>-2307.2023095621662</v>
      </c>
      <c r="E491" s="74">
        <f t="shared" si="45"/>
        <v>3263.4108038644154</v>
      </c>
      <c r="F491" s="74">
        <f t="shared" si="39"/>
        <v>-1863.2776132138836</v>
      </c>
      <c r="G491" s="74">
        <f t="shared" si="40"/>
        <v>788.05026825344385</v>
      </c>
      <c r="H491" s="74">
        <f t="shared" si="46"/>
        <v>23345.898388660284</v>
      </c>
      <c r="I491" s="74">
        <f t="shared" si="47"/>
        <v>3695.7267048402573</v>
      </c>
      <c r="J491" s="74">
        <f t="shared" si="48"/>
        <v>23636.610743728052</v>
      </c>
      <c r="K491" s="74">
        <f t="shared" si="49"/>
        <v>-16654.101611339716</v>
      </c>
      <c r="L491" s="74">
        <f t="shared" si="50"/>
        <v>3695.7267048402573</v>
      </c>
      <c r="M491" s="74">
        <f t="shared" si="51"/>
        <v>17059.234928850048</v>
      </c>
      <c r="N491" s="74">
        <f t="shared" si="52"/>
        <v>-1654.1016113397172</v>
      </c>
      <c r="O491" s="74">
        <f t="shared" si="53"/>
        <v>-51304.273295159743</v>
      </c>
      <c r="P491" s="74">
        <f t="shared" si="54"/>
        <v>51330.931322985729</v>
      </c>
    </row>
    <row r="492" spans="1:16" x14ac:dyDescent="0.3">
      <c r="A492" s="72">
        <f t="shared" si="41"/>
        <v>91.5</v>
      </c>
      <c r="B492" s="74">
        <f t="shared" si="42"/>
        <v>-4965.3189467448365</v>
      </c>
      <c r="C492" s="74">
        <f t="shared" si="43"/>
        <v>18132.991264155313</v>
      </c>
      <c r="D492" s="74">
        <f t="shared" si="44"/>
        <v>-3238.8411161691079</v>
      </c>
      <c r="E492" s="74">
        <f t="shared" si="45"/>
        <v>3657.4359379911375</v>
      </c>
      <c r="F492" s="74">
        <f t="shared" si="39"/>
        <v>-3028.3320995442232</v>
      </c>
      <c r="G492" s="74">
        <f t="shared" si="40"/>
        <v>260.06365382641707</v>
      </c>
      <c r="H492" s="74">
        <f t="shared" si="46"/>
        <v>24965.318946744836</v>
      </c>
      <c r="I492" s="74">
        <f t="shared" si="47"/>
        <v>1867.0087358446872</v>
      </c>
      <c r="J492" s="74">
        <f t="shared" si="48"/>
        <v>25035.032888582689</v>
      </c>
      <c r="K492" s="74">
        <f t="shared" si="49"/>
        <v>-15034.681053255164</v>
      </c>
      <c r="L492" s="74">
        <f t="shared" si="50"/>
        <v>1867.0087358446872</v>
      </c>
      <c r="M492" s="74">
        <f t="shared" si="51"/>
        <v>15150.160262942112</v>
      </c>
      <c r="N492" s="74">
        <f t="shared" si="52"/>
        <v>-34.681053255163533</v>
      </c>
      <c r="O492" s="74">
        <f t="shared" si="53"/>
        <v>-53132.991264155309</v>
      </c>
      <c r="P492" s="74">
        <f t="shared" si="54"/>
        <v>53133.002582691101</v>
      </c>
    </row>
    <row r="493" spans="1:16" x14ac:dyDescent="0.3">
      <c r="A493" s="72">
        <f t="shared" si="41"/>
        <v>92</v>
      </c>
      <c r="B493" s="74">
        <f t="shared" si="42"/>
        <v>-7341.8225297154459</v>
      </c>
      <c r="C493" s="74">
        <f t="shared" si="43"/>
        <v>20026.725146607489</v>
      </c>
      <c r="D493" s="74">
        <f t="shared" si="44"/>
        <v>-4753.0071659412197</v>
      </c>
      <c r="E493" s="74">
        <f t="shared" si="45"/>
        <v>3787.467764904346</v>
      </c>
      <c r="F493" s="74">
        <f t="shared" si="39"/>
        <v>-4878.6996366192307</v>
      </c>
      <c r="G493" s="74">
        <f t="shared" si="40"/>
        <v>-583.10893210109975</v>
      </c>
      <c r="H493" s="74">
        <f t="shared" si="46"/>
        <v>27341.822529715446</v>
      </c>
      <c r="I493" s="74">
        <f t="shared" si="47"/>
        <v>-26.725146607488568</v>
      </c>
      <c r="J493" s="74">
        <f t="shared" si="48"/>
        <v>27341.835590902017</v>
      </c>
      <c r="K493" s="74">
        <f t="shared" si="49"/>
        <v>-12658.177470284554</v>
      </c>
      <c r="L493" s="74">
        <f t="shared" si="50"/>
        <v>-26.725146607488568</v>
      </c>
      <c r="M493" s="74">
        <f t="shared" si="51"/>
        <v>12658.205682587113</v>
      </c>
      <c r="N493" s="74">
        <f t="shared" si="52"/>
        <v>2341.8225297154459</v>
      </c>
      <c r="O493" s="74">
        <f t="shared" si="53"/>
        <v>-55026.725146607489</v>
      </c>
      <c r="P493" s="74">
        <f t="shared" si="54"/>
        <v>55076.534142236727</v>
      </c>
    </row>
    <row r="494" spans="1:16" x14ac:dyDescent="0.3">
      <c r="A494" s="72">
        <f t="shared" si="41"/>
        <v>92.5</v>
      </c>
      <c r="B494" s="74">
        <f t="shared" si="42"/>
        <v>-10938.001021840864</v>
      </c>
      <c r="C494" s="74">
        <f t="shared" si="43"/>
        <v>21774.681796034387</v>
      </c>
      <c r="D494" s="74">
        <f t="shared" si="44"/>
        <v>-7192.356984250835</v>
      </c>
      <c r="E494" s="74">
        <f t="shared" si="45"/>
        <v>3495.9132988537963</v>
      </c>
      <c r="F494" s="74">
        <f t="shared" si="39"/>
        <v>-7770.2327227708502</v>
      </c>
      <c r="G494" s="74">
        <f t="shared" si="40"/>
        <v>-2485.258767851059</v>
      </c>
      <c r="H494" s="74">
        <f t="shared" si="46"/>
        <v>30938.001021840864</v>
      </c>
      <c r="I494" s="74">
        <f t="shared" si="47"/>
        <v>-1774.6817960343869</v>
      </c>
      <c r="J494" s="74">
        <f t="shared" si="48"/>
        <v>30988.859332098724</v>
      </c>
      <c r="K494" s="74">
        <f t="shared" si="49"/>
        <v>-9061.9989781591357</v>
      </c>
      <c r="L494" s="74">
        <f t="shared" si="50"/>
        <v>-1774.6817960343869</v>
      </c>
      <c r="M494" s="74">
        <f t="shared" si="51"/>
        <v>9234.1388855341065</v>
      </c>
      <c r="N494" s="74">
        <f t="shared" si="52"/>
        <v>5938.0010218408643</v>
      </c>
      <c r="O494" s="74">
        <f t="shared" si="53"/>
        <v>-56774.681796034391</v>
      </c>
      <c r="P494" s="74">
        <f t="shared" si="54"/>
        <v>57084.361686685625</v>
      </c>
    </row>
    <row r="495" spans="1:16" x14ac:dyDescent="0.3">
      <c r="A495" s="72">
        <f t="shared" si="41"/>
        <v>93</v>
      </c>
      <c r="B495" s="74">
        <f t="shared" si="42"/>
        <v>-16476.737694658994</v>
      </c>
      <c r="C495" s="74">
        <f t="shared" si="43"/>
        <v>22901.32375349852</v>
      </c>
      <c r="D495" s="74">
        <f t="shared" si="44"/>
        <v>-11077.473345636259</v>
      </c>
      <c r="E495" s="74">
        <f t="shared" si="45"/>
        <v>2253.2839149282668</v>
      </c>
      <c r="F495" s="74">
        <f t="shared" si="39"/>
        <v>-7867.0304961745924</v>
      </c>
      <c r="G495" s="74">
        <f t="shared" si="40"/>
        <v>-8160.1934538776204</v>
      </c>
      <c r="H495" s="74">
        <f t="shared" si="46"/>
        <v>36476.737694658994</v>
      </c>
      <c r="I495" s="74">
        <f t="shared" si="47"/>
        <v>-2901.3237534985201</v>
      </c>
      <c r="J495" s="74">
        <f t="shared" si="48"/>
        <v>36591.939991855732</v>
      </c>
      <c r="K495" s="74">
        <f t="shared" si="49"/>
        <v>-3523.2623053410061</v>
      </c>
      <c r="L495" s="74">
        <f t="shared" si="50"/>
        <v>-2901.3237534985201</v>
      </c>
      <c r="M495" s="74">
        <f t="shared" si="51"/>
        <v>4564.1052567673723</v>
      </c>
      <c r="N495" s="74">
        <f t="shared" si="52"/>
        <v>11476.737694658994</v>
      </c>
      <c r="O495" s="74">
        <f t="shared" si="53"/>
        <v>-57901.323753498524</v>
      </c>
      <c r="P495" s="74">
        <f t="shared" si="54"/>
        <v>59027.779905053685</v>
      </c>
    </row>
    <row r="496" spans="1:16" x14ac:dyDescent="0.3">
      <c r="A496" s="72">
        <f t="shared" si="41"/>
        <v>93.5</v>
      </c>
      <c r="B496" s="74">
        <f t="shared" si="42"/>
        <v>-23982.23199152077</v>
      </c>
      <c r="C496" s="74">
        <f t="shared" si="43"/>
        <v>21987.917347493247</v>
      </c>
      <c r="D496" s="74">
        <f t="shared" si="44"/>
        <v>-15010.988593723556</v>
      </c>
      <c r="E496" s="74">
        <f t="shared" si="45"/>
        <v>-1826.8128120105434</v>
      </c>
      <c r="F496" s="74">
        <f t="shared" si="39"/>
        <v>11632.469434831417</v>
      </c>
      <c r="G496" s="74">
        <f t="shared" si="40"/>
        <v>-5789.3249450280691</v>
      </c>
      <c r="H496" s="74">
        <f t="shared" si="46"/>
        <v>43982.23199152077</v>
      </c>
      <c r="I496" s="74">
        <f t="shared" si="47"/>
        <v>-1987.9173474932468</v>
      </c>
      <c r="J496" s="74">
        <f t="shared" si="48"/>
        <v>44027.134205355876</v>
      </c>
      <c r="K496" s="74">
        <f t="shared" si="49"/>
        <v>3982.23199152077</v>
      </c>
      <c r="L496" s="74">
        <f t="shared" si="50"/>
        <v>-1987.9173474932468</v>
      </c>
      <c r="M496" s="74">
        <f t="shared" si="51"/>
        <v>4450.8411581133814</v>
      </c>
      <c r="N496" s="74">
        <f t="shared" si="52"/>
        <v>18982.23199152077</v>
      </c>
      <c r="O496" s="74">
        <f t="shared" si="53"/>
        <v>-56987.917347493247</v>
      </c>
      <c r="P496" s="74">
        <f t="shared" si="54"/>
        <v>60066.19560938279</v>
      </c>
    </row>
    <row r="497" spans="1:16" x14ac:dyDescent="0.3">
      <c r="A497" s="72">
        <f t="shared" si="41"/>
        <v>94</v>
      </c>
      <c r="B497" s="74">
        <f t="shared" si="42"/>
        <v>-28579.60892967469</v>
      </c>
      <c r="C497" s="74">
        <f t="shared" si="43"/>
        <v>19627.179705230956</v>
      </c>
      <c r="D497" s="74">
        <f t="shared" si="44"/>
        <v>-9194.7538763078483</v>
      </c>
      <c r="E497" s="74">
        <f t="shared" si="45"/>
        <v>-4721.4752845245785</v>
      </c>
      <c r="F497" s="74">
        <f t="shared" si="39"/>
        <v>11144.901050081879</v>
      </c>
      <c r="G497" s="74">
        <f t="shared" si="40"/>
        <v>2.4450281558751499</v>
      </c>
      <c r="H497" s="74">
        <f t="shared" si="46"/>
        <v>48579.608929674694</v>
      </c>
      <c r="I497" s="74">
        <f t="shared" si="47"/>
        <v>372.82029476904427</v>
      </c>
      <c r="J497" s="74">
        <f t="shared" si="48"/>
        <v>48581.039498268474</v>
      </c>
      <c r="K497" s="74">
        <f t="shared" si="49"/>
        <v>8579.6089296746904</v>
      </c>
      <c r="L497" s="74">
        <f t="shared" si="50"/>
        <v>372.82029476904427</v>
      </c>
      <c r="M497" s="74">
        <f t="shared" si="51"/>
        <v>8587.7054186986043</v>
      </c>
      <c r="N497" s="74">
        <f t="shared" si="52"/>
        <v>23579.60892967469</v>
      </c>
      <c r="O497" s="74">
        <f t="shared" si="53"/>
        <v>-54627.179705230956</v>
      </c>
      <c r="P497" s="74">
        <f t="shared" si="54"/>
        <v>59498.964023115492</v>
      </c>
    </row>
    <row r="498" spans="1:16" x14ac:dyDescent="0.3">
      <c r="A498" s="72">
        <f t="shared" si="41"/>
        <v>94.5</v>
      </c>
      <c r="B498" s="74">
        <f t="shared" si="42"/>
        <v>-30390.76060530814</v>
      </c>
      <c r="C498" s="74">
        <f t="shared" si="43"/>
        <v>17267.053320007635</v>
      </c>
      <c r="D498" s="74">
        <f t="shared" si="44"/>
        <v>-3622.303351266909</v>
      </c>
      <c r="E498" s="74">
        <f t="shared" si="45"/>
        <v>-4720.2527704466411</v>
      </c>
      <c r="F498" s="74">
        <f t="shared" si="39"/>
        <v>9055.9566051991642</v>
      </c>
      <c r="G498" s="74">
        <f t="shared" si="40"/>
        <v>1723.9674138844821</v>
      </c>
      <c r="H498" s="74">
        <f t="shared" si="46"/>
        <v>50390.76060530814</v>
      </c>
      <c r="I498" s="74">
        <f t="shared" si="47"/>
        <v>2732.9466799923648</v>
      </c>
      <c r="J498" s="74">
        <f t="shared" si="48"/>
        <v>50464.816971204367</v>
      </c>
      <c r="K498" s="74">
        <f t="shared" si="49"/>
        <v>10390.76060530814</v>
      </c>
      <c r="L498" s="74">
        <f t="shared" si="50"/>
        <v>2732.9466799923648</v>
      </c>
      <c r="M498" s="74">
        <f t="shared" si="51"/>
        <v>10744.15671481503</v>
      </c>
      <c r="N498" s="74">
        <f t="shared" si="52"/>
        <v>25390.76060530814</v>
      </c>
      <c r="O498" s="74">
        <f t="shared" si="53"/>
        <v>-52267.053320007632</v>
      </c>
      <c r="P498" s="74">
        <f t="shared" si="54"/>
        <v>58107.96491766502</v>
      </c>
    </row>
    <row r="499" spans="1:16" x14ac:dyDescent="0.3">
      <c r="A499" s="72">
        <f t="shared" si="41"/>
        <v>95</v>
      </c>
      <c r="B499" s="74">
        <f t="shared" si="42"/>
        <v>-29937.9231296418</v>
      </c>
      <c r="C499" s="74">
        <f t="shared" si="43"/>
        <v>15337.918788255436</v>
      </c>
      <c r="D499" s="74">
        <f t="shared" si="44"/>
        <v>905.67495133267312</v>
      </c>
      <c r="E499" s="74">
        <f t="shared" si="45"/>
        <v>-3858.2690635044</v>
      </c>
      <c r="F499" s="74">
        <f t="shared" si="39"/>
        <v>8392.4642268454809</v>
      </c>
      <c r="G499" s="74">
        <f t="shared" si="40"/>
        <v>3080.613553069049</v>
      </c>
      <c r="H499" s="74">
        <f t="shared" si="46"/>
        <v>49937.9231296418</v>
      </c>
      <c r="I499" s="74">
        <f t="shared" si="47"/>
        <v>4662.0812117445639</v>
      </c>
      <c r="J499" s="74">
        <f t="shared" si="48"/>
        <v>50155.071206478366</v>
      </c>
      <c r="K499" s="74">
        <f t="shared" si="49"/>
        <v>9937.9231296418002</v>
      </c>
      <c r="L499" s="74">
        <f t="shared" si="50"/>
        <v>4662.0812117445639</v>
      </c>
      <c r="M499" s="74">
        <f t="shared" si="51"/>
        <v>10977.127008264555</v>
      </c>
      <c r="N499" s="74">
        <f t="shared" si="52"/>
        <v>24937.9231296418</v>
      </c>
      <c r="O499" s="74">
        <f t="shared" si="53"/>
        <v>-50337.91878825544</v>
      </c>
      <c r="P499" s="74">
        <f t="shared" si="54"/>
        <v>56176.561642315952</v>
      </c>
    </row>
    <row r="500" spans="1:16" x14ac:dyDescent="0.3">
      <c r="A500" s="72">
        <f t="shared" si="41"/>
        <v>95.5</v>
      </c>
      <c r="B500" s="74">
        <f t="shared" si="42"/>
        <v>-27386.969597264095</v>
      </c>
      <c r="C500" s="74">
        <f t="shared" si="43"/>
        <v>14178.9376447705</v>
      </c>
      <c r="D500" s="74">
        <f t="shared" si="44"/>
        <v>5101.9070647554136</v>
      </c>
      <c r="E500" s="74">
        <f t="shared" si="45"/>
        <v>-2317.9622869698755</v>
      </c>
      <c r="F500" s="74">
        <f t="shared" si="39"/>
        <v>8484.9313728121015</v>
      </c>
      <c r="G500" s="74">
        <f t="shared" si="40"/>
        <v>5465.4817078425058</v>
      </c>
      <c r="H500" s="74">
        <f t="shared" si="46"/>
        <v>47386.969597264091</v>
      </c>
      <c r="I500" s="74">
        <f t="shared" si="47"/>
        <v>5821.0623552295001</v>
      </c>
      <c r="J500" s="74">
        <f t="shared" si="48"/>
        <v>47743.163432637157</v>
      </c>
      <c r="K500" s="74">
        <f t="shared" si="49"/>
        <v>7386.9695972640948</v>
      </c>
      <c r="L500" s="74">
        <f t="shared" si="50"/>
        <v>5821.0623552295001</v>
      </c>
      <c r="M500" s="74">
        <f t="shared" si="51"/>
        <v>9404.8969571374928</v>
      </c>
      <c r="N500" s="74">
        <f t="shared" si="52"/>
        <v>22386.969597264095</v>
      </c>
      <c r="O500" s="74">
        <f t="shared" si="53"/>
        <v>-49178.9376447705</v>
      </c>
      <c r="P500" s="74">
        <f t="shared" si="54"/>
        <v>54034.658466738292</v>
      </c>
    </row>
    <row r="501" spans="1:16" x14ac:dyDescent="0.3">
      <c r="A501" s="72">
        <f t="shared" si="41"/>
        <v>96</v>
      </c>
      <c r="B501" s="74">
        <f t="shared" si="42"/>
        <v>-22714.783221683363</v>
      </c>
      <c r="C501" s="74">
        <f t="shared" si="43"/>
        <v>14386.326928246188</v>
      </c>
      <c r="D501" s="74">
        <f t="shared" si="44"/>
        <v>9344.3727511614634</v>
      </c>
      <c r="E501" s="74">
        <f t="shared" si="45"/>
        <v>414.77856695137734</v>
      </c>
      <c r="F501" s="74">
        <f t="shared" si="39"/>
        <v>6283.1065531761606</v>
      </c>
      <c r="G501" s="74">
        <f t="shared" si="40"/>
        <v>10223.486475879667</v>
      </c>
      <c r="H501" s="74">
        <f t="shared" si="46"/>
        <v>42714.783221683363</v>
      </c>
      <c r="I501" s="74">
        <f t="shared" si="47"/>
        <v>5613.6730717538121</v>
      </c>
      <c r="J501" s="74">
        <f t="shared" si="48"/>
        <v>43082.084803685349</v>
      </c>
      <c r="K501" s="74">
        <f t="shared" si="49"/>
        <v>2714.7832216833631</v>
      </c>
      <c r="L501" s="74">
        <f t="shared" si="50"/>
        <v>5613.6730717538121</v>
      </c>
      <c r="M501" s="74">
        <f t="shared" si="51"/>
        <v>6235.6533977817735</v>
      </c>
      <c r="N501" s="74">
        <f t="shared" si="52"/>
        <v>17714.783221683363</v>
      </c>
      <c r="O501" s="74">
        <f t="shared" si="53"/>
        <v>-49386.326928246184</v>
      </c>
      <c r="P501" s="74">
        <f t="shared" si="54"/>
        <v>52467.350152784049</v>
      </c>
    </row>
    <row r="502" spans="1:16" x14ac:dyDescent="0.3">
      <c r="A502" s="72">
        <f t="shared" si="41"/>
        <v>96.5</v>
      </c>
      <c r="B502" s="74">
        <f t="shared" si="42"/>
        <v>-16471.820207808592</v>
      </c>
      <c r="C502" s="74">
        <f t="shared" si="43"/>
        <v>17149.587830691791</v>
      </c>
      <c r="D502" s="74">
        <f t="shared" si="44"/>
        <v>12485.926027749543</v>
      </c>
      <c r="E502" s="74">
        <f t="shared" si="45"/>
        <v>5526.5218048912102</v>
      </c>
      <c r="F502" s="74">
        <f t="shared" ref="F502:F565" si="55">$C$23*(H502/(J502^2+$C$24^2)^1.5)+$C$32*(K502/(M502^2+$C$33^2)^1.5)+C$41*(N502/(P502^2+$C$42^2)^1.5)</f>
        <v>-7892.606244167554</v>
      </c>
      <c r="G502" s="74">
        <f t="shared" ref="G502:G565" si="56">$C$23*(I502/(J502^2+$C$24^2)^1.5)+$C$32*(L502/(M502^2+$C$33^2)^1.5)+C$41*(O502/(P502^2+$C$42^2)^1.5)</f>
        <v>6989.6115301517093</v>
      </c>
      <c r="H502" s="74">
        <f t="shared" si="46"/>
        <v>36471.820207808589</v>
      </c>
      <c r="I502" s="74">
        <f t="shared" si="47"/>
        <v>2850.4121693082088</v>
      </c>
      <c r="J502" s="74">
        <f t="shared" si="48"/>
        <v>36583.035942983945</v>
      </c>
      <c r="K502" s="74">
        <f t="shared" si="49"/>
        <v>-3528.1797921914076</v>
      </c>
      <c r="L502" s="74">
        <f t="shared" si="50"/>
        <v>2850.4121693082088</v>
      </c>
      <c r="M502" s="74">
        <f t="shared" si="51"/>
        <v>4535.7361233837373</v>
      </c>
      <c r="N502" s="74">
        <f t="shared" si="52"/>
        <v>11471.820207808592</v>
      </c>
      <c r="O502" s="74">
        <f t="shared" si="53"/>
        <v>-52149.587830691788</v>
      </c>
      <c r="P502" s="74">
        <f t="shared" si="54"/>
        <v>53396.462146768885</v>
      </c>
    </row>
    <row r="503" spans="1:16" x14ac:dyDescent="0.3">
      <c r="A503" s="72">
        <f t="shared" ref="A503:A566" si="57">A502+$C$5</f>
        <v>97</v>
      </c>
      <c r="B503" s="74">
        <f t="shared" ref="B503:B566" si="58">B502+D502*(A503-A502)+F502*(A503-A502)^2</f>
        <v>-12202.00875497571</v>
      </c>
      <c r="C503" s="74">
        <f t="shared" ref="C503:C566" si="59">C502+E502*(A503-A502)+G502*(A503-A502)^2</f>
        <v>21660.251615675326</v>
      </c>
      <c r="D503" s="74">
        <f t="shared" ref="D503:D566" si="60">D502+F502*(A503-A502)</f>
        <v>8539.6229056657667</v>
      </c>
      <c r="E503" s="74">
        <f t="shared" ref="E503:E566" si="61">E502+G502*(A503-A502)</f>
        <v>9021.3275699670648</v>
      </c>
      <c r="F503" s="74">
        <f t="shared" si="55"/>
        <v>-8872.2545718453603</v>
      </c>
      <c r="G503" s="74">
        <f t="shared" si="56"/>
        <v>-2841.695247207927</v>
      </c>
      <c r="H503" s="74">
        <f t="shared" ref="H503:H566" si="62">$C$19-B503</f>
        <v>32202.008754975708</v>
      </c>
      <c r="I503" s="74">
        <f t="shared" ref="I503:I566" si="63">$D$19-C503</f>
        <v>-1660.2516156753263</v>
      </c>
      <c r="J503" s="74">
        <f t="shared" ref="J503:J566" si="64">SQRT(H503^2+I503^2)</f>
        <v>32244.779473317609</v>
      </c>
      <c r="K503" s="74">
        <f t="shared" ref="K503:K566" si="65">$C$28-B503</f>
        <v>-7797.99124502429</v>
      </c>
      <c r="L503" s="74">
        <f t="shared" ref="L503:L566" si="66">$D$28-C503</f>
        <v>-1660.2516156753263</v>
      </c>
      <c r="M503" s="74">
        <f t="shared" ref="M503:M566" si="67">SQRT(K503^2+L503^2)</f>
        <v>7972.7725970849069</v>
      </c>
      <c r="N503" s="74">
        <f t="shared" ref="N503:N566" si="68">$C$37-B503</f>
        <v>7202.00875497571</v>
      </c>
      <c r="O503" s="74">
        <f t="shared" ref="O503:O566" si="69">$D$37-C503</f>
        <v>-56660.251615675326</v>
      </c>
      <c r="P503" s="74">
        <f t="shared" ref="P503:P566" si="70">SQRT(N503^2+O503^2)</f>
        <v>57116.136452480619</v>
      </c>
    </row>
    <row r="504" spans="1:16" x14ac:dyDescent="0.3">
      <c r="A504" s="72">
        <f t="shared" si="57"/>
        <v>97.5</v>
      </c>
      <c r="B504" s="74">
        <f t="shared" si="58"/>
        <v>-10150.260945104166</v>
      </c>
      <c r="C504" s="74">
        <f t="shared" si="59"/>
        <v>25460.491588856876</v>
      </c>
      <c r="D504" s="74">
        <f t="shared" si="60"/>
        <v>4103.4956197430865</v>
      </c>
      <c r="E504" s="74">
        <f t="shared" si="61"/>
        <v>7600.4799463631016</v>
      </c>
      <c r="F504" s="74">
        <f t="shared" si="55"/>
        <v>-5289.0725550663437</v>
      </c>
      <c r="G504" s="74">
        <f t="shared" si="56"/>
        <v>-4670.0340175973497</v>
      </c>
      <c r="H504" s="74">
        <f t="shared" si="62"/>
        <v>30150.260945104164</v>
      </c>
      <c r="I504" s="74">
        <f t="shared" si="63"/>
        <v>-5460.4915888568758</v>
      </c>
      <c r="J504" s="74">
        <f t="shared" si="64"/>
        <v>30640.744172585793</v>
      </c>
      <c r="K504" s="74">
        <f t="shared" si="65"/>
        <v>-9849.7390548958338</v>
      </c>
      <c r="L504" s="74">
        <f t="shared" si="66"/>
        <v>-5460.4915888568758</v>
      </c>
      <c r="M504" s="74">
        <f t="shared" si="67"/>
        <v>11262.07475741113</v>
      </c>
      <c r="N504" s="74">
        <f t="shared" si="68"/>
        <v>5150.2609451041662</v>
      </c>
      <c r="O504" s="74">
        <f t="shared" si="69"/>
        <v>-60460.491588856879</v>
      </c>
      <c r="P504" s="74">
        <f t="shared" si="70"/>
        <v>60679.454768223644</v>
      </c>
    </row>
    <row r="505" spans="1:16" x14ac:dyDescent="0.3">
      <c r="A505" s="72">
        <f t="shared" si="57"/>
        <v>98</v>
      </c>
      <c r="B505" s="74">
        <f t="shared" si="58"/>
        <v>-9420.7812739992078</v>
      </c>
      <c r="C505" s="74">
        <f t="shared" si="59"/>
        <v>28093.223057639087</v>
      </c>
      <c r="D505" s="74">
        <f t="shared" si="60"/>
        <v>1458.9593422099147</v>
      </c>
      <c r="E505" s="74">
        <f t="shared" si="61"/>
        <v>5265.4629375644272</v>
      </c>
      <c r="F505" s="74">
        <f t="shared" si="55"/>
        <v>-3527.7768711575859</v>
      </c>
      <c r="G505" s="74">
        <f t="shared" si="56"/>
        <v>-4896.4910464909617</v>
      </c>
      <c r="H505" s="74">
        <f t="shared" si="62"/>
        <v>29420.781273999208</v>
      </c>
      <c r="I505" s="74">
        <f t="shared" si="63"/>
        <v>-8093.2230576390866</v>
      </c>
      <c r="J505" s="74">
        <f t="shared" si="64"/>
        <v>30513.646622998102</v>
      </c>
      <c r="K505" s="74">
        <f t="shared" si="65"/>
        <v>-10579.218726000792</v>
      </c>
      <c r="L505" s="74">
        <f t="shared" si="66"/>
        <v>-8093.2230576390866</v>
      </c>
      <c r="M505" s="74">
        <f t="shared" si="67"/>
        <v>13319.914726201019</v>
      </c>
      <c r="N505" s="74">
        <f t="shared" si="68"/>
        <v>4420.7812739992078</v>
      </c>
      <c r="O505" s="74">
        <f t="shared" si="69"/>
        <v>-63093.223057639087</v>
      </c>
      <c r="P505" s="74">
        <f t="shared" si="70"/>
        <v>63247.909869603936</v>
      </c>
    </row>
    <row r="506" spans="1:16" x14ac:dyDescent="0.3">
      <c r="A506" s="72">
        <f t="shared" si="57"/>
        <v>98.5</v>
      </c>
      <c r="B506" s="74">
        <f t="shared" si="58"/>
        <v>-9573.2458206836473</v>
      </c>
      <c r="C506" s="74">
        <f t="shared" si="59"/>
        <v>29501.83176479856</v>
      </c>
      <c r="D506" s="74">
        <f t="shared" si="60"/>
        <v>-304.92909336887828</v>
      </c>
      <c r="E506" s="74">
        <f t="shared" si="61"/>
        <v>2817.2174143189463</v>
      </c>
      <c r="F506" s="74">
        <f t="shared" si="55"/>
        <v>-2887.3006145326785</v>
      </c>
      <c r="G506" s="74">
        <f t="shared" si="56"/>
        <v>-5045.2243516718836</v>
      </c>
      <c r="H506" s="74">
        <f t="shared" si="62"/>
        <v>29573.245820683645</v>
      </c>
      <c r="I506" s="74">
        <f t="shared" si="63"/>
        <v>-9501.8317647985605</v>
      </c>
      <c r="J506" s="74">
        <f t="shared" si="64"/>
        <v>31062.222638715306</v>
      </c>
      <c r="K506" s="74">
        <f t="shared" si="65"/>
        <v>-10426.754179316353</v>
      </c>
      <c r="L506" s="74">
        <f t="shared" si="66"/>
        <v>-9501.8317647985605</v>
      </c>
      <c r="M506" s="74">
        <f t="shared" si="67"/>
        <v>14106.807207955526</v>
      </c>
      <c r="N506" s="74">
        <f t="shared" si="68"/>
        <v>4573.2458206836473</v>
      </c>
      <c r="O506" s="74">
        <f t="shared" si="69"/>
        <v>-64501.83176479856</v>
      </c>
      <c r="P506" s="74">
        <f t="shared" si="70"/>
        <v>64663.752430173561</v>
      </c>
    </row>
    <row r="507" spans="1:16" x14ac:dyDescent="0.3">
      <c r="A507" s="72">
        <f t="shared" si="57"/>
        <v>99</v>
      </c>
      <c r="B507" s="74">
        <f t="shared" si="58"/>
        <v>-10447.535521001257</v>
      </c>
      <c r="C507" s="74">
        <f t="shared" si="59"/>
        <v>29649.134384040062</v>
      </c>
      <c r="D507" s="74">
        <f t="shared" si="60"/>
        <v>-1748.5794006352176</v>
      </c>
      <c r="E507" s="74">
        <f t="shared" si="61"/>
        <v>294.60523848300454</v>
      </c>
      <c r="F507" s="74">
        <f t="shared" si="55"/>
        <v>-2964.9195155740385</v>
      </c>
      <c r="G507" s="74">
        <f t="shared" si="56"/>
        <v>-5461.7378768104372</v>
      </c>
      <c r="H507" s="74">
        <f t="shared" si="62"/>
        <v>30447.535521001257</v>
      </c>
      <c r="I507" s="74">
        <f t="shared" si="63"/>
        <v>-9649.1343840400623</v>
      </c>
      <c r="J507" s="74">
        <f t="shared" si="64"/>
        <v>31939.915680287846</v>
      </c>
      <c r="K507" s="74">
        <f t="shared" si="65"/>
        <v>-9552.4644789987433</v>
      </c>
      <c r="L507" s="74">
        <f t="shared" si="66"/>
        <v>-9649.1343840400623</v>
      </c>
      <c r="M507" s="74">
        <f t="shared" si="67"/>
        <v>13577.752832622817</v>
      </c>
      <c r="N507" s="74">
        <f t="shared" si="68"/>
        <v>5447.5355210012567</v>
      </c>
      <c r="O507" s="74">
        <f t="shared" si="69"/>
        <v>-64649.134384040066</v>
      </c>
      <c r="P507" s="74">
        <f t="shared" si="70"/>
        <v>64878.241497887735</v>
      </c>
    </row>
    <row r="508" spans="1:16" x14ac:dyDescent="0.3">
      <c r="A508" s="72">
        <f t="shared" si="57"/>
        <v>99.5</v>
      </c>
      <c r="B508" s="74">
        <f t="shared" si="58"/>
        <v>-12063.055100212376</v>
      </c>
      <c r="C508" s="74">
        <f t="shared" si="59"/>
        <v>28431.002534078954</v>
      </c>
      <c r="D508" s="74">
        <f t="shared" si="60"/>
        <v>-3231.0391584222371</v>
      </c>
      <c r="E508" s="74">
        <f t="shared" si="61"/>
        <v>-2436.2636999222141</v>
      </c>
      <c r="F508" s="74">
        <f t="shared" si="55"/>
        <v>-3851.8556705129608</v>
      </c>
      <c r="G508" s="74">
        <f t="shared" si="56"/>
        <v>-6475.9166819181737</v>
      </c>
      <c r="H508" s="74">
        <f t="shared" si="62"/>
        <v>32063.055100212376</v>
      </c>
      <c r="I508" s="74">
        <f t="shared" si="63"/>
        <v>-8431.0025340789543</v>
      </c>
      <c r="J508" s="74">
        <f t="shared" si="64"/>
        <v>33152.998447936814</v>
      </c>
      <c r="K508" s="74">
        <f t="shared" si="65"/>
        <v>-7936.9448997876243</v>
      </c>
      <c r="L508" s="74">
        <f t="shared" si="66"/>
        <v>-8431.0025340789543</v>
      </c>
      <c r="M508" s="74">
        <f t="shared" si="67"/>
        <v>11579.157917219651</v>
      </c>
      <c r="N508" s="74">
        <f t="shared" si="68"/>
        <v>7063.0551002123757</v>
      </c>
      <c r="O508" s="74">
        <f t="shared" si="69"/>
        <v>-63431.002534078958</v>
      </c>
      <c r="P508" s="74">
        <f t="shared" si="70"/>
        <v>63823.027426054985</v>
      </c>
    </row>
    <row r="509" spans="1:16" x14ac:dyDescent="0.3">
      <c r="A509" s="72">
        <f t="shared" si="57"/>
        <v>100</v>
      </c>
      <c r="B509" s="74">
        <f t="shared" si="58"/>
        <v>-14641.538597051735</v>
      </c>
      <c r="C509" s="74">
        <f t="shared" si="59"/>
        <v>25593.891513638304</v>
      </c>
      <c r="D509" s="74">
        <f t="shared" si="60"/>
        <v>-5156.9669936787177</v>
      </c>
      <c r="E509" s="74">
        <f t="shared" si="61"/>
        <v>-5674.2220408813009</v>
      </c>
      <c r="F509" s="74">
        <f t="shared" si="55"/>
        <v>-6157.2193651777789</v>
      </c>
      <c r="G509" s="74">
        <f t="shared" si="56"/>
        <v>-8553.5884764086131</v>
      </c>
      <c r="H509" s="74">
        <f t="shared" si="62"/>
        <v>34641.538597051738</v>
      </c>
      <c r="I509" s="74">
        <f t="shared" si="63"/>
        <v>-5593.8915136383039</v>
      </c>
      <c r="J509" s="74">
        <f t="shared" si="64"/>
        <v>35090.280971194574</v>
      </c>
      <c r="K509" s="74">
        <f t="shared" si="65"/>
        <v>-5358.4614029482655</v>
      </c>
      <c r="L509" s="74">
        <f t="shared" si="66"/>
        <v>-5593.8915136383039</v>
      </c>
      <c r="M509" s="74">
        <f t="shared" si="67"/>
        <v>7746.2720629500827</v>
      </c>
      <c r="N509" s="74">
        <f t="shared" si="68"/>
        <v>9641.5385970517345</v>
      </c>
      <c r="O509" s="74">
        <f t="shared" si="69"/>
        <v>-60593.8915136383</v>
      </c>
      <c r="P509" s="74">
        <f t="shared" si="70"/>
        <v>61356.16477001318</v>
      </c>
    </row>
    <row r="510" spans="1:16" x14ac:dyDescent="0.3">
      <c r="A510" s="72">
        <f t="shared" si="57"/>
        <v>100.5</v>
      </c>
      <c r="B510" s="74">
        <f t="shared" si="58"/>
        <v>-18759.326935185538</v>
      </c>
      <c r="C510" s="74">
        <f t="shared" si="59"/>
        <v>20618.383374095501</v>
      </c>
      <c r="D510" s="74">
        <f t="shared" si="60"/>
        <v>-8235.5766762676067</v>
      </c>
      <c r="E510" s="74">
        <f t="shared" si="61"/>
        <v>-9951.0162790856084</v>
      </c>
      <c r="F510" s="74">
        <f t="shared" si="55"/>
        <v>-3702.7273300778061</v>
      </c>
      <c r="G510" s="74">
        <f t="shared" si="56"/>
        <v>-2990.1600432751547</v>
      </c>
      <c r="H510" s="74">
        <f t="shared" si="62"/>
        <v>38759.326935185542</v>
      </c>
      <c r="I510" s="74">
        <f t="shared" si="63"/>
        <v>-618.38337409550149</v>
      </c>
      <c r="J510" s="74">
        <f t="shared" si="64"/>
        <v>38764.259601673773</v>
      </c>
      <c r="K510" s="74">
        <f t="shared" si="65"/>
        <v>-1240.6730648144621</v>
      </c>
      <c r="L510" s="74">
        <f t="shared" si="66"/>
        <v>-618.38337409550149</v>
      </c>
      <c r="M510" s="74">
        <f t="shared" si="67"/>
        <v>1386.2422772062059</v>
      </c>
      <c r="N510" s="74">
        <f t="shared" si="68"/>
        <v>13759.326935185538</v>
      </c>
      <c r="O510" s="74">
        <f t="shared" si="69"/>
        <v>-55618.383374095501</v>
      </c>
      <c r="P510" s="74">
        <f t="shared" si="70"/>
        <v>57295.057787362297</v>
      </c>
    </row>
    <row r="511" spans="1:16" x14ac:dyDescent="0.3">
      <c r="A511" s="72">
        <f t="shared" si="57"/>
        <v>101</v>
      </c>
      <c r="B511" s="74">
        <f t="shared" si="58"/>
        <v>-23802.797105838792</v>
      </c>
      <c r="C511" s="74">
        <f t="shared" si="59"/>
        <v>14895.33522373391</v>
      </c>
      <c r="D511" s="74">
        <f t="shared" si="60"/>
        <v>-10086.94034130651</v>
      </c>
      <c r="E511" s="74">
        <f t="shared" si="61"/>
        <v>-11446.096300723186</v>
      </c>
      <c r="F511" s="74">
        <f t="shared" si="55"/>
        <v>8137.0867067251365</v>
      </c>
      <c r="G511" s="74">
        <f t="shared" si="56"/>
        <v>9012.2353949076441</v>
      </c>
      <c r="H511" s="74">
        <f t="shared" si="62"/>
        <v>43802.797105838792</v>
      </c>
      <c r="I511" s="74">
        <f t="shared" si="63"/>
        <v>5104.6647762660905</v>
      </c>
      <c r="J511" s="74">
        <f t="shared" si="64"/>
        <v>44099.236237981844</v>
      </c>
      <c r="K511" s="74">
        <f t="shared" si="65"/>
        <v>3802.797105838792</v>
      </c>
      <c r="L511" s="74">
        <f t="shared" si="66"/>
        <v>5104.6647762660905</v>
      </c>
      <c r="M511" s="74">
        <f t="shared" si="67"/>
        <v>6365.4432922010728</v>
      </c>
      <c r="N511" s="74">
        <f t="shared" si="68"/>
        <v>18802.797105838792</v>
      </c>
      <c r="O511" s="74">
        <f t="shared" si="69"/>
        <v>-49895.335223733913</v>
      </c>
      <c r="P511" s="74">
        <f t="shared" si="70"/>
        <v>53320.630679804621</v>
      </c>
    </row>
    <row r="512" spans="1:16" x14ac:dyDescent="0.3">
      <c r="A512" s="72">
        <f t="shared" si="57"/>
        <v>101.5</v>
      </c>
      <c r="B512" s="74">
        <f t="shared" si="58"/>
        <v>-26811.995599810762</v>
      </c>
      <c r="C512" s="74">
        <f t="shared" si="59"/>
        <v>11425.345922099228</v>
      </c>
      <c r="D512" s="74">
        <f t="shared" si="60"/>
        <v>-6018.3969879439419</v>
      </c>
      <c r="E512" s="74">
        <f t="shared" si="61"/>
        <v>-6939.9786032693637</v>
      </c>
      <c r="F512" s="74">
        <f t="shared" si="55"/>
        <v>6164.1968966879203</v>
      </c>
      <c r="G512" s="74">
        <f t="shared" si="56"/>
        <v>6026.3917503700559</v>
      </c>
      <c r="H512" s="74">
        <f t="shared" si="62"/>
        <v>46811.995599810762</v>
      </c>
      <c r="I512" s="74">
        <f t="shared" si="63"/>
        <v>8574.6540779007719</v>
      </c>
      <c r="J512" s="74">
        <f t="shared" si="64"/>
        <v>47590.835510551427</v>
      </c>
      <c r="K512" s="74">
        <f t="shared" si="65"/>
        <v>6811.9955998107616</v>
      </c>
      <c r="L512" s="74">
        <f t="shared" si="66"/>
        <v>8574.6540779007719</v>
      </c>
      <c r="M512" s="74">
        <f t="shared" si="67"/>
        <v>10951.163253622946</v>
      </c>
      <c r="N512" s="74">
        <f t="shared" si="68"/>
        <v>21811.995599810762</v>
      </c>
      <c r="O512" s="74">
        <f t="shared" si="69"/>
        <v>-46425.34592209923</v>
      </c>
      <c r="P512" s="74">
        <f t="shared" si="70"/>
        <v>51294.01423200118</v>
      </c>
    </row>
    <row r="513" spans="1:16" x14ac:dyDescent="0.3">
      <c r="A513" s="72">
        <f t="shared" si="57"/>
        <v>102</v>
      </c>
      <c r="B513" s="74">
        <f t="shared" si="58"/>
        <v>-28280.144869610751</v>
      </c>
      <c r="C513" s="74">
        <f t="shared" si="59"/>
        <v>9461.9545580570611</v>
      </c>
      <c r="D513" s="74">
        <f t="shared" si="60"/>
        <v>-2936.2985395999817</v>
      </c>
      <c r="E513" s="74">
        <f t="shared" si="61"/>
        <v>-3926.7827280843358</v>
      </c>
      <c r="F513" s="74">
        <f t="shared" si="55"/>
        <v>5037.5603968640198</v>
      </c>
      <c r="G513" s="74">
        <f t="shared" si="56"/>
        <v>4688.8566892955296</v>
      </c>
      <c r="H513" s="74">
        <f t="shared" si="62"/>
        <v>48280.144869610755</v>
      </c>
      <c r="I513" s="74">
        <f t="shared" si="63"/>
        <v>10538.045441942939</v>
      </c>
      <c r="J513" s="74">
        <f t="shared" si="64"/>
        <v>49416.826996146323</v>
      </c>
      <c r="K513" s="74">
        <f t="shared" si="65"/>
        <v>8280.1448696107509</v>
      </c>
      <c r="L513" s="74">
        <f t="shared" si="66"/>
        <v>10538.045441942939</v>
      </c>
      <c r="M513" s="74">
        <f t="shared" si="67"/>
        <v>13401.910341372815</v>
      </c>
      <c r="N513" s="74">
        <f t="shared" si="68"/>
        <v>23280.144869610751</v>
      </c>
      <c r="O513" s="74">
        <f t="shared" si="69"/>
        <v>-44461.954558057063</v>
      </c>
      <c r="P513" s="74">
        <f t="shared" si="70"/>
        <v>50187.952222349086</v>
      </c>
    </row>
    <row r="514" spans="1:16" x14ac:dyDescent="0.3">
      <c r="A514" s="72">
        <f t="shared" si="57"/>
        <v>102.5</v>
      </c>
      <c r="B514" s="74">
        <f t="shared" si="58"/>
        <v>-28488.904040194735</v>
      </c>
      <c r="C514" s="74">
        <f t="shared" si="59"/>
        <v>8670.7773663387761</v>
      </c>
      <c r="D514" s="74">
        <f t="shared" si="60"/>
        <v>-417.51834116797181</v>
      </c>
      <c r="E514" s="74">
        <f t="shared" si="61"/>
        <v>-1582.354383436571</v>
      </c>
      <c r="F514" s="74">
        <f t="shared" si="55"/>
        <v>4648.3267928813566</v>
      </c>
      <c r="G514" s="74">
        <f t="shared" si="56"/>
        <v>4413.8317517718078</v>
      </c>
      <c r="H514" s="74">
        <f t="shared" si="62"/>
        <v>48488.904040194735</v>
      </c>
      <c r="I514" s="74">
        <f t="shared" si="63"/>
        <v>11329.222633661224</v>
      </c>
      <c r="J514" s="74">
        <f t="shared" si="64"/>
        <v>49794.830057971631</v>
      </c>
      <c r="K514" s="74">
        <f t="shared" si="65"/>
        <v>8488.904040194735</v>
      </c>
      <c r="L514" s="74">
        <f t="shared" si="66"/>
        <v>11329.222633661224</v>
      </c>
      <c r="M514" s="74">
        <f t="shared" si="67"/>
        <v>14156.721982390423</v>
      </c>
      <c r="N514" s="74">
        <f t="shared" si="68"/>
        <v>23488.904040194735</v>
      </c>
      <c r="O514" s="74">
        <f t="shared" si="69"/>
        <v>-43670.777366338778</v>
      </c>
      <c r="P514" s="74">
        <f t="shared" si="70"/>
        <v>49586.94796808737</v>
      </c>
    </row>
    <row r="515" spans="1:16" x14ac:dyDescent="0.3">
      <c r="A515" s="72">
        <f t="shared" si="57"/>
        <v>103</v>
      </c>
      <c r="B515" s="74">
        <f t="shared" si="58"/>
        <v>-27535.581512558383</v>
      </c>
      <c r="C515" s="74">
        <f t="shared" si="59"/>
        <v>8983.0581125634435</v>
      </c>
      <c r="D515" s="74">
        <f t="shared" si="60"/>
        <v>1906.6450552727065</v>
      </c>
      <c r="E515" s="74">
        <f t="shared" si="61"/>
        <v>624.56149244933295</v>
      </c>
      <c r="F515" s="74">
        <f t="shared" si="55"/>
        <v>4727.4743330976762</v>
      </c>
      <c r="G515" s="74">
        <f t="shared" si="56"/>
        <v>4964.1759659472909</v>
      </c>
      <c r="H515" s="74">
        <f t="shared" si="62"/>
        <v>47535.581512558383</v>
      </c>
      <c r="I515" s="74">
        <f t="shared" si="63"/>
        <v>11016.941887436556</v>
      </c>
      <c r="J515" s="74">
        <f t="shared" si="64"/>
        <v>48795.537893215573</v>
      </c>
      <c r="K515" s="74">
        <f t="shared" si="65"/>
        <v>7535.5815125583831</v>
      </c>
      <c r="L515" s="74">
        <f t="shared" si="66"/>
        <v>11016.941887436556</v>
      </c>
      <c r="M515" s="74">
        <f t="shared" si="67"/>
        <v>13347.583949298309</v>
      </c>
      <c r="N515" s="74">
        <f t="shared" si="68"/>
        <v>22535.581512558383</v>
      </c>
      <c r="O515" s="74">
        <f t="shared" si="69"/>
        <v>-43983.058112563442</v>
      </c>
      <c r="P515" s="74">
        <f t="shared" si="70"/>
        <v>49420.257334844951</v>
      </c>
    </row>
    <row r="516" spans="1:16" x14ac:dyDescent="0.3">
      <c r="A516" s="72">
        <f t="shared" si="57"/>
        <v>103.5</v>
      </c>
      <c r="B516" s="74">
        <f t="shared" si="58"/>
        <v>-25400.390401647612</v>
      </c>
      <c r="C516" s="74">
        <f t="shared" si="59"/>
        <v>10536.382850274931</v>
      </c>
      <c r="D516" s="74">
        <f t="shared" si="60"/>
        <v>4270.3822218215446</v>
      </c>
      <c r="E516" s="74">
        <f t="shared" si="61"/>
        <v>3106.6494754229784</v>
      </c>
      <c r="F516" s="74">
        <f t="shared" si="55"/>
        <v>5177.6395522268967</v>
      </c>
      <c r="G516" s="74">
        <f t="shared" si="56"/>
        <v>6760.410482500688</v>
      </c>
      <c r="H516" s="74">
        <f t="shared" si="62"/>
        <v>45400.390401647615</v>
      </c>
      <c r="I516" s="74">
        <f t="shared" si="63"/>
        <v>9463.6171497250689</v>
      </c>
      <c r="J516" s="74">
        <f t="shared" si="64"/>
        <v>46376.238508298484</v>
      </c>
      <c r="K516" s="74">
        <f t="shared" si="65"/>
        <v>5400.3904016476117</v>
      </c>
      <c r="L516" s="74">
        <f t="shared" si="66"/>
        <v>9463.6171497250689</v>
      </c>
      <c r="M516" s="74">
        <f t="shared" si="67"/>
        <v>10896.066540122545</v>
      </c>
      <c r="N516" s="74">
        <f t="shared" si="68"/>
        <v>20400.390401647612</v>
      </c>
      <c r="O516" s="74">
        <f t="shared" si="69"/>
        <v>-45536.382850274931</v>
      </c>
      <c r="P516" s="74">
        <f t="shared" si="70"/>
        <v>49897.275392815282</v>
      </c>
    </row>
    <row r="517" spans="1:16" x14ac:dyDescent="0.3">
      <c r="A517" s="72">
        <f t="shared" si="57"/>
        <v>104</v>
      </c>
      <c r="B517" s="74">
        <f t="shared" si="58"/>
        <v>-21970.789402680115</v>
      </c>
      <c r="C517" s="74">
        <f t="shared" si="59"/>
        <v>13779.810208611592</v>
      </c>
      <c r="D517" s="74">
        <f t="shared" si="60"/>
        <v>6859.2019979349934</v>
      </c>
      <c r="E517" s="74">
        <f t="shared" si="61"/>
        <v>6486.8547166733224</v>
      </c>
      <c r="F517" s="74">
        <f t="shared" si="55"/>
        <v>4683.1717096905513</v>
      </c>
      <c r="G517" s="74">
        <f t="shared" si="56"/>
        <v>10719.645372630795</v>
      </c>
      <c r="H517" s="74">
        <f t="shared" si="62"/>
        <v>41970.789402680115</v>
      </c>
      <c r="I517" s="74">
        <f t="shared" si="63"/>
        <v>6220.1897913884077</v>
      </c>
      <c r="J517" s="74">
        <f t="shared" si="64"/>
        <v>42429.21074124545</v>
      </c>
      <c r="K517" s="74">
        <f t="shared" si="65"/>
        <v>1970.789402680115</v>
      </c>
      <c r="L517" s="74">
        <f t="shared" si="66"/>
        <v>6220.1897913884077</v>
      </c>
      <c r="M517" s="74">
        <f t="shared" si="67"/>
        <v>6524.9346288379629</v>
      </c>
      <c r="N517" s="74">
        <f t="shared" si="68"/>
        <v>16970.789402680115</v>
      </c>
      <c r="O517" s="74">
        <f t="shared" si="69"/>
        <v>-48779.81020861159</v>
      </c>
      <c r="P517" s="74">
        <f t="shared" si="70"/>
        <v>51647.628957564812</v>
      </c>
    </row>
    <row r="518" spans="1:16" x14ac:dyDescent="0.3">
      <c r="A518" s="72">
        <f t="shared" si="57"/>
        <v>104.5</v>
      </c>
      <c r="B518" s="74">
        <f t="shared" si="58"/>
        <v>-17370.395476289981</v>
      </c>
      <c r="C518" s="74">
        <f t="shared" si="59"/>
        <v>19703.148910105952</v>
      </c>
      <c r="D518" s="74">
        <f t="shared" si="60"/>
        <v>9200.7878527802695</v>
      </c>
      <c r="E518" s="74">
        <f t="shared" si="61"/>
        <v>11846.67740298872</v>
      </c>
      <c r="F518" s="74">
        <f t="shared" si="55"/>
        <v>-7924.0782441830133</v>
      </c>
      <c r="G518" s="74">
        <f t="shared" si="56"/>
        <v>518.65126373397277</v>
      </c>
      <c r="H518" s="74">
        <f t="shared" si="62"/>
        <v>37370.395476289981</v>
      </c>
      <c r="I518" s="74">
        <f t="shared" si="63"/>
        <v>296.85108989404762</v>
      </c>
      <c r="J518" s="74">
        <f t="shared" si="64"/>
        <v>37371.574473440181</v>
      </c>
      <c r="K518" s="74">
        <f t="shared" si="65"/>
        <v>-2629.6045237100188</v>
      </c>
      <c r="L518" s="74">
        <f t="shared" si="66"/>
        <v>296.85108989404762</v>
      </c>
      <c r="M518" s="74">
        <f t="shared" si="67"/>
        <v>2646.3069588933704</v>
      </c>
      <c r="N518" s="74">
        <f t="shared" si="68"/>
        <v>12370.395476289981</v>
      </c>
      <c r="O518" s="74">
        <f t="shared" si="69"/>
        <v>-54703.148910105956</v>
      </c>
      <c r="P518" s="74">
        <f t="shared" si="70"/>
        <v>56084.411246985932</v>
      </c>
    </row>
    <row r="519" spans="1:16" x14ac:dyDescent="0.3">
      <c r="A519" s="72">
        <f t="shared" si="57"/>
        <v>105</v>
      </c>
      <c r="B519" s="74">
        <f t="shared" si="58"/>
        <v>-14751.021110945601</v>
      </c>
      <c r="C519" s="74">
        <f t="shared" si="59"/>
        <v>25756.150427533808</v>
      </c>
      <c r="D519" s="74">
        <f t="shared" si="60"/>
        <v>5238.7487306887633</v>
      </c>
      <c r="E519" s="74">
        <f t="shared" si="61"/>
        <v>12106.003034855707</v>
      </c>
      <c r="F519" s="74">
        <f t="shared" si="55"/>
        <v>-5948.4832801935472</v>
      </c>
      <c r="G519" s="74">
        <f t="shared" si="56"/>
        <v>-8712.781144047136</v>
      </c>
      <c r="H519" s="74">
        <f t="shared" si="62"/>
        <v>34751.0211109456</v>
      </c>
      <c r="I519" s="74">
        <f t="shared" si="63"/>
        <v>-5756.1504275338084</v>
      </c>
      <c r="J519" s="74">
        <f t="shared" si="64"/>
        <v>35224.51896048808</v>
      </c>
      <c r="K519" s="74">
        <f t="shared" si="65"/>
        <v>-5248.9788890543987</v>
      </c>
      <c r="L519" s="74">
        <f t="shared" si="66"/>
        <v>-5756.1504275338084</v>
      </c>
      <c r="M519" s="74">
        <f t="shared" si="67"/>
        <v>7790.0607906573096</v>
      </c>
      <c r="N519" s="74">
        <f t="shared" si="68"/>
        <v>9751.0211109456013</v>
      </c>
      <c r="O519" s="74">
        <f t="shared" si="69"/>
        <v>-60756.150427533808</v>
      </c>
      <c r="P519" s="74">
        <f t="shared" si="70"/>
        <v>61533.667430758775</v>
      </c>
    </row>
    <row r="520" spans="1:16" x14ac:dyDescent="0.3">
      <c r="A520" s="72">
        <f t="shared" si="57"/>
        <v>105.5</v>
      </c>
      <c r="B520" s="74">
        <f t="shared" si="58"/>
        <v>-13618.767565649607</v>
      </c>
      <c r="C520" s="74">
        <f t="shared" si="59"/>
        <v>29630.956658949875</v>
      </c>
      <c r="D520" s="74">
        <f t="shared" si="60"/>
        <v>2264.5070905919897</v>
      </c>
      <c r="E520" s="74">
        <f t="shared" si="61"/>
        <v>7749.6124628321386</v>
      </c>
      <c r="F520" s="74">
        <f t="shared" si="55"/>
        <v>-2962.7339890718954</v>
      </c>
      <c r="G520" s="74">
        <f t="shared" si="56"/>
        <v>-7288.5329928450119</v>
      </c>
      <c r="H520" s="74">
        <f t="shared" si="62"/>
        <v>33618.767565649607</v>
      </c>
      <c r="I520" s="74">
        <f t="shared" si="63"/>
        <v>-9630.9566589498754</v>
      </c>
      <c r="J520" s="74">
        <f t="shared" si="64"/>
        <v>34971.08603975211</v>
      </c>
      <c r="K520" s="74">
        <f t="shared" si="65"/>
        <v>-6381.2324343503933</v>
      </c>
      <c r="L520" s="74">
        <f t="shared" si="66"/>
        <v>-9630.9566589498754</v>
      </c>
      <c r="M520" s="74">
        <f t="shared" si="67"/>
        <v>11553.157730585019</v>
      </c>
      <c r="N520" s="74">
        <f t="shared" si="68"/>
        <v>8618.7675656496067</v>
      </c>
      <c r="O520" s="74">
        <f t="shared" si="69"/>
        <v>-64630.956658949872</v>
      </c>
      <c r="P520" s="74">
        <f t="shared" si="70"/>
        <v>65203.095885101582</v>
      </c>
    </row>
    <row r="521" spans="1:16" x14ac:dyDescent="0.3">
      <c r="A521" s="72">
        <f t="shared" si="57"/>
        <v>106</v>
      </c>
      <c r="B521" s="74">
        <f t="shared" si="58"/>
        <v>-13227.197517621586</v>
      </c>
      <c r="C521" s="74">
        <f t="shared" si="59"/>
        <v>31683.62964215469</v>
      </c>
      <c r="D521" s="74">
        <f t="shared" si="60"/>
        <v>783.14009605604201</v>
      </c>
      <c r="E521" s="74">
        <f t="shared" si="61"/>
        <v>4105.3459664096326</v>
      </c>
      <c r="F521" s="74">
        <f t="shared" si="55"/>
        <v>-1942.4271005266312</v>
      </c>
      <c r="G521" s="74">
        <f t="shared" si="56"/>
        <v>-6424.5006061161685</v>
      </c>
      <c r="H521" s="74">
        <f t="shared" si="62"/>
        <v>33227.197517621586</v>
      </c>
      <c r="I521" s="74">
        <f t="shared" si="63"/>
        <v>-11683.62964215469</v>
      </c>
      <c r="J521" s="74">
        <f t="shared" si="64"/>
        <v>35221.497079057757</v>
      </c>
      <c r="K521" s="74">
        <f t="shared" si="65"/>
        <v>-6772.8024823784144</v>
      </c>
      <c r="L521" s="74">
        <f t="shared" si="66"/>
        <v>-11683.62964215469</v>
      </c>
      <c r="M521" s="74">
        <f t="shared" si="67"/>
        <v>13504.741947936174</v>
      </c>
      <c r="N521" s="74">
        <f t="shared" si="68"/>
        <v>8227.1975176215856</v>
      </c>
      <c r="O521" s="74">
        <f t="shared" si="69"/>
        <v>-66683.629642154687</v>
      </c>
      <c r="P521" s="74">
        <f t="shared" si="70"/>
        <v>67189.234563626407</v>
      </c>
    </row>
    <row r="522" spans="1:16" x14ac:dyDescent="0.3">
      <c r="A522" s="72">
        <f t="shared" si="57"/>
        <v>106.5</v>
      </c>
      <c r="B522" s="74">
        <f t="shared" si="58"/>
        <v>-13321.234244725223</v>
      </c>
      <c r="C522" s="74">
        <f t="shared" si="59"/>
        <v>32130.177473830467</v>
      </c>
      <c r="D522" s="74">
        <f t="shared" si="60"/>
        <v>-188.07345420727358</v>
      </c>
      <c r="E522" s="74">
        <f t="shared" si="61"/>
        <v>893.09566335154841</v>
      </c>
      <c r="F522" s="74">
        <f t="shared" si="55"/>
        <v>-1738.7206777166355</v>
      </c>
      <c r="G522" s="74">
        <f t="shared" si="56"/>
        <v>-6315.201296552581</v>
      </c>
      <c r="H522" s="74">
        <f t="shared" si="62"/>
        <v>33321.234244725223</v>
      </c>
      <c r="I522" s="74">
        <f t="shared" si="63"/>
        <v>-12130.177473830467</v>
      </c>
      <c r="J522" s="74">
        <f t="shared" si="64"/>
        <v>35460.483035887613</v>
      </c>
      <c r="K522" s="74">
        <f t="shared" si="65"/>
        <v>-6678.7657552747769</v>
      </c>
      <c r="L522" s="74">
        <f t="shared" si="66"/>
        <v>-12130.177473830467</v>
      </c>
      <c r="M522" s="74">
        <f t="shared" si="67"/>
        <v>13847.278344875398</v>
      </c>
      <c r="N522" s="74">
        <f t="shared" si="68"/>
        <v>8321.2342447252231</v>
      </c>
      <c r="O522" s="74">
        <f t="shared" si="69"/>
        <v>-67130.177473830467</v>
      </c>
      <c r="P522" s="74">
        <f t="shared" si="70"/>
        <v>67643.947748660881</v>
      </c>
    </row>
    <row r="523" spans="1:16" x14ac:dyDescent="0.3">
      <c r="A523" s="72">
        <f t="shared" si="57"/>
        <v>107</v>
      </c>
      <c r="B523" s="74">
        <f t="shared" si="58"/>
        <v>-13849.95114125802</v>
      </c>
      <c r="C523" s="74">
        <f t="shared" si="59"/>
        <v>30997.924981368094</v>
      </c>
      <c r="D523" s="74">
        <f t="shared" si="60"/>
        <v>-1057.4337930655913</v>
      </c>
      <c r="E523" s="74">
        <f t="shared" si="61"/>
        <v>-2264.5049849247421</v>
      </c>
      <c r="F523" s="74">
        <f t="shared" si="55"/>
        <v>-2151.7539569612068</v>
      </c>
      <c r="G523" s="74">
        <f t="shared" si="56"/>
        <v>-6955.1776078254607</v>
      </c>
      <c r="H523" s="74">
        <f t="shared" si="62"/>
        <v>33849.951141258018</v>
      </c>
      <c r="I523" s="74">
        <f t="shared" si="63"/>
        <v>-10997.924981368094</v>
      </c>
      <c r="J523" s="74">
        <f t="shared" si="64"/>
        <v>35591.762335705651</v>
      </c>
      <c r="K523" s="74">
        <f t="shared" si="65"/>
        <v>-6150.0488587419804</v>
      </c>
      <c r="L523" s="74">
        <f t="shared" si="66"/>
        <v>-10997.924981368094</v>
      </c>
      <c r="M523" s="74">
        <f t="shared" si="67"/>
        <v>12600.692634165549</v>
      </c>
      <c r="N523" s="74">
        <f t="shared" si="68"/>
        <v>8849.9511412580196</v>
      </c>
      <c r="O523" s="74">
        <f t="shared" si="69"/>
        <v>-65997.924981368094</v>
      </c>
      <c r="P523" s="74">
        <f t="shared" si="70"/>
        <v>66588.645706673924</v>
      </c>
    </row>
    <row r="524" spans="1:16" x14ac:dyDescent="0.3">
      <c r="A524" s="72">
        <f t="shared" si="57"/>
        <v>107.5</v>
      </c>
      <c r="B524" s="74">
        <f t="shared" si="58"/>
        <v>-14916.606527031117</v>
      </c>
      <c r="C524" s="74">
        <f t="shared" si="59"/>
        <v>28126.878086949357</v>
      </c>
      <c r="D524" s="74">
        <f t="shared" si="60"/>
        <v>-2133.3107715461947</v>
      </c>
      <c r="E524" s="74">
        <f t="shared" si="61"/>
        <v>-5742.0937888374719</v>
      </c>
      <c r="F524" s="74">
        <f t="shared" si="55"/>
        <v>-3660.6705247820646</v>
      </c>
      <c r="G524" s="74">
        <f t="shared" si="56"/>
        <v>-8676.4138784426941</v>
      </c>
      <c r="H524" s="74">
        <f t="shared" si="62"/>
        <v>34916.606527031116</v>
      </c>
      <c r="I524" s="74">
        <f t="shared" si="63"/>
        <v>-8126.8780869493567</v>
      </c>
      <c r="J524" s="74">
        <f t="shared" si="64"/>
        <v>35849.903190994104</v>
      </c>
      <c r="K524" s="74">
        <f t="shared" si="65"/>
        <v>-5083.3934729688826</v>
      </c>
      <c r="L524" s="74">
        <f t="shared" si="66"/>
        <v>-8126.8780869493567</v>
      </c>
      <c r="M524" s="74">
        <f t="shared" si="67"/>
        <v>9585.772615765527</v>
      </c>
      <c r="N524" s="74">
        <f t="shared" si="68"/>
        <v>9916.6065270311174</v>
      </c>
      <c r="O524" s="74">
        <f t="shared" si="69"/>
        <v>-63126.878086949357</v>
      </c>
      <c r="P524" s="74">
        <f t="shared" si="70"/>
        <v>63901.031462852952</v>
      </c>
    </row>
    <row r="525" spans="1:16" x14ac:dyDescent="0.3">
      <c r="A525" s="72">
        <f t="shared" si="57"/>
        <v>108</v>
      </c>
      <c r="B525" s="74">
        <f t="shared" si="58"/>
        <v>-16898.42954399973</v>
      </c>
      <c r="C525" s="74">
        <f t="shared" si="59"/>
        <v>23086.727722919946</v>
      </c>
      <c r="D525" s="74">
        <f t="shared" si="60"/>
        <v>-3963.646033937227</v>
      </c>
      <c r="E525" s="74">
        <f t="shared" si="61"/>
        <v>-10080.300728058819</v>
      </c>
      <c r="F525" s="74">
        <f t="shared" si="55"/>
        <v>-7064.0182080543473</v>
      </c>
      <c r="G525" s="74">
        <f t="shared" si="56"/>
        <v>-8913.7131919505209</v>
      </c>
      <c r="H525" s="74">
        <f t="shared" si="62"/>
        <v>36898.42954399973</v>
      </c>
      <c r="I525" s="74">
        <f t="shared" si="63"/>
        <v>-3086.7277229199462</v>
      </c>
      <c r="J525" s="74">
        <f t="shared" si="64"/>
        <v>37027.314118755021</v>
      </c>
      <c r="K525" s="74">
        <f t="shared" si="65"/>
        <v>-3101.5704560002705</v>
      </c>
      <c r="L525" s="74">
        <f t="shared" si="66"/>
        <v>-3086.7277229199462</v>
      </c>
      <c r="M525" s="74">
        <f t="shared" si="67"/>
        <v>4375.8001929905668</v>
      </c>
      <c r="N525" s="74">
        <f t="shared" si="68"/>
        <v>11898.42954399973</v>
      </c>
      <c r="O525" s="74">
        <f t="shared" si="69"/>
        <v>-58086.727722919946</v>
      </c>
      <c r="P525" s="74">
        <f t="shared" si="70"/>
        <v>59292.837368186068</v>
      </c>
    </row>
    <row r="526" spans="1:16" x14ac:dyDescent="0.3">
      <c r="A526" s="72">
        <f t="shared" si="57"/>
        <v>108.5</v>
      </c>
      <c r="B526" s="74">
        <f t="shared" si="58"/>
        <v>-20646.25711298193</v>
      </c>
      <c r="C526" s="74">
        <f t="shared" si="59"/>
        <v>15818.149060902906</v>
      </c>
      <c r="D526" s="74">
        <f t="shared" si="60"/>
        <v>-7495.6551379644006</v>
      </c>
      <c r="E526" s="74">
        <f t="shared" si="61"/>
        <v>-14537.15732403408</v>
      </c>
      <c r="F526" s="74">
        <f t="shared" si="55"/>
        <v>2968.7666391319358</v>
      </c>
      <c r="G526" s="74">
        <f t="shared" si="56"/>
        <v>11095.564242181303</v>
      </c>
      <c r="H526" s="74">
        <f t="shared" si="62"/>
        <v>40646.257112981926</v>
      </c>
      <c r="I526" s="74">
        <f t="shared" si="63"/>
        <v>4181.8509390970939</v>
      </c>
      <c r="J526" s="74">
        <f t="shared" si="64"/>
        <v>40860.813679752646</v>
      </c>
      <c r="K526" s="74">
        <f t="shared" si="65"/>
        <v>646.25711298192982</v>
      </c>
      <c r="L526" s="74">
        <f t="shared" si="66"/>
        <v>4181.8509390970939</v>
      </c>
      <c r="M526" s="74">
        <f t="shared" si="67"/>
        <v>4231.4921166069753</v>
      </c>
      <c r="N526" s="74">
        <f t="shared" si="68"/>
        <v>15646.25711298193</v>
      </c>
      <c r="O526" s="74">
        <f t="shared" si="69"/>
        <v>-50818.149060902906</v>
      </c>
      <c r="P526" s="74">
        <f t="shared" si="70"/>
        <v>53172.26378123922</v>
      </c>
    </row>
    <row r="527" spans="1:16" x14ac:dyDescent="0.3">
      <c r="A527" s="72">
        <f t="shared" si="57"/>
        <v>109</v>
      </c>
      <c r="B527" s="74">
        <f t="shared" si="58"/>
        <v>-23651.893022181146</v>
      </c>
      <c r="C527" s="74">
        <f t="shared" si="59"/>
        <v>11323.461459431192</v>
      </c>
      <c r="D527" s="74">
        <f t="shared" si="60"/>
        <v>-6011.2718183984325</v>
      </c>
      <c r="E527" s="74">
        <f t="shared" si="61"/>
        <v>-8989.375202943429</v>
      </c>
      <c r="F527" s="74">
        <f t="shared" si="55"/>
        <v>4796.089664655502</v>
      </c>
      <c r="G527" s="74">
        <f t="shared" si="56"/>
        <v>8324.4691109998275</v>
      </c>
      <c r="H527" s="74">
        <f t="shared" si="62"/>
        <v>43651.893022181146</v>
      </c>
      <c r="I527" s="74">
        <f t="shared" si="63"/>
        <v>8676.5385405688085</v>
      </c>
      <c r="J527" s="74">
        <f t="shared" si="64"/>
        <v>44505.843273281804</v>
      </c>
      <c r="K527" s="74">
        <f t="shared" si="65"/>
        <v>3651.8930221811461</v>
      </c>
      <c r="L527" s="74">
        <f t="shared" si="66"/>
        <v>8676.5385405688085</v>
      </c>
      <c r="M527" s="74">
        <f t="shared" si="67"/>
        <v>9413.7475901699872</v>
      </c>
      <c r="N527" s="74">
        <f t="shared" si="68"/>
        <v>18651.893022181146</v>
      </c>
      <c r="O527" s="74">
        <f t="shared" si="69"/>
        <v>-46323.461459431193</v>
      </c>
      <c r="P527" s="74">
        <f t="shared" si="70"/>
        <v>49937.522915081565</v>
      </c>
    </row>
    <row r="528" spans="1:16" x14ac:dyDescent="0.3">
      <c r="A528" s="72">
        <f t="shared" si="57"/>
        <v>109.5</v>
      </c>
      <c r="B528" s="74">
        <f t="shared" si="58"/>
        <v>-25458.506515216486</v>
      </c>
      <c r="C528" s="74">
        <f t="shared" si="59"/>
        <v>8909.891135709433</v>
      </c>
      <c r="D528" s="74">
        <f t="shared" si="60"/>
        <v>-3613.2269860706815</v>
      </c>
      <c r="E528" s="74">
        <f t="shared" si="61"/>
        <v>-4827.1406474435153</v>
      </c>
      <c r="F528" s="74">
        <f t="shared" si="55"/>
        <v>4253.4265595490524</v>
      </c>
      <c r="G528" s="74">
        <f t="shared" si="56"/>
        <v>6009.8872731985521</v>
      </c>
      <c r="H528" s="74">
        <f t="shared" si="62"/>
        <v>45458.50651521649</v>
      </c>
      <c r="I528" s="74">
        <f t="shared" si="63"/>
        <v>11090.108864290567</v>
      </c>
      <c r="J528" s="74">
        <f t="shared" si="64"/>
        <v>46791.733556428495</v>
      </c>
      <c r="K528" s="74">
        <f t="shared" si="65"/>
        <v>5458.5065152164862</v>
      </c>
      <c r="L528" s="74">
        <f t="shared" si="66"/>
        <v>11090.108864290567</v>
      </c>
      <c r="M528" s="74">
        <f t="shared" si="67"/>
        <v>12360.655645979183</v>
      </c>
      <c r="N528" s="74">
        <f t="shared" si="68"/>
        <v>20458.506515216486</v>
      </c>
      <c r="O528" s="74">
        <f t="shared" si="69"/>
        <v>-43909.891135709433</v>
      </c>
      <c r="P528" s="74">
        <f t="shared" si="70"/>
        <v>48442.017179128794</v>
      </c>
    </row>
    <row r="529" spans="1:16" x14ac:dyDescent="0.3">
      <c r="A529" s="72">
        <f t="shared" si="57"/>
        <v>110</v>
      </c>
      <c r="B529" s="74">
        <f t="shared" si="58"/>
        <v>-26201.763368364562</v>
      </c>
      <c r="C529" s="74">
        <f t="shared" si="59"/>
        <v>7998.7926302873129</v>
      </c>
      <c r="D529" s="74">
        <f t="shared" si="60"/>
        <v>-1486.5137062961553</v>
      </c>
      <c r="E529" s="74">
        <f t="shared" si="61"/>
        <v>-1822.1970108442392</v>
      </c>
      <c r="F529" s="74">
        <f t="shared" si="55"/>
        <v>4022.5309069050422</v>
      </c>
      <c r="G529" s="74">
        <f t="shared" si="56"/>
        <v>5272.150523619096</v>
      </c>
      <c r="H529" s="74">
        <f t="shared" si="62"/>
        <v>46201.763368364562</v>
      </c>
      <c r="I529" s="74">
        <f t="shared" si="63"/>
        <v>12001.207369712687</v>
      </c>
      <c r="J529" s="74">
        <f t="shared" si="64"/>
        <v>47735.017719460418</v>
      </c>
      <c r="K529" s="74">
        <f t="shared" si="65"/>
        <v>6201.7633683645618</v>
      </c>
      <c r="L529" s="74">
        <f t="shared" si="66"/>
        <v>12001.207369712687</v>
      </c>
      <c r="M529" s="74">
        <f t="shared" si="67"/>
        <v>13508.917321829853</v>
      </c>
      <c r="N529" s="74">
        <f t="shared" si="68"/>
        <v>21201.763368364562</v>
      </c>
      <c r="O529" s="74">
        <f t="shared" si="69"/>
        <v>-42998.792630287309</v>
      </c>
      <c r="P529" s="74">
        <f t="shared" si="70"/>
        <v>47941.745249735912</v>
      </c>
    </row>
    <row r="530" spans="1:16" x14ac:dyDescent="0.3">
      <c r="A530" s="72">
        <f t="shared" si="57"/>
        <v>110.5</v>
      </c>
      <c r="B530" s="74">
        <f t="shared" si="58"/>
        <v>-25939.387494786381</v>
      </c>
      <c r="C530" s="74">
        <f t="shared" si="59"/>
        <v>8405.7317557699662</v>
      </c>
      <c r="D530" s="74">
        <f t="shared" si="60"/>
        <v>524.75174715636581</v>
      </c>
      <c r="E530" s="74">
        <f t="shared" si="61"/>
        <v>813.87825096530878</v>
      </c>
      <c r="F530" s="74">
        <f t="shared" si="55"/>
        <v>4144.5842687375962</v>
      </c>
      <c r="G530" s="74">
        <f t="shared" si="56"/>
        <v>5556.8395338562013</v>
      </c>
      <c r="H530" s="74">
        <f t="shared" si="62"/>
        <v>45939.387494786381</v>
      </c>
      <c r="I530" s="74">
        <f t="shared" si="63"/>
        <v>11594.268244230034</v>
      </c>
      <c r="J530" s="74">
        <f t="shared" si="64"/>
        <v>47379.894253948019</v>
      </c>
      <c r="K530" s="74">
        <f t="shared" si="65"/>
        <v>5939.3874947863806</v>
      </c>
      <c r="L530" s="74">
        <f t="shared" si="66"/>
        <v>11594.268244230034</v>
      </c>
      <c r="M530" s="74">
        <f t="shared" si="67"/>
        <v>13027.024983947249</v>
      </c>
      <c r="N530" s="74">
        <f t="shared" si="68"/>
        <v>20939.387494786381</v>
      </c>
      <c r="O530" s="74">
        <f t="shared" si="69"/>
        <v>-43405.731755769964</v>
      </c>
      <c r="P530" s="74">
        <f t="shared" si="70"/>
        <v>48192.483832135826</v>
      </c>
    </row>
    <row r="531" spans="1:16" x14ac:dyDescent="0.3">
      <c r="A531" s="72">
        <f t="shared" si="57"/>
        <v>111</v>
      </c>
      <c r="B531" s="74">
        <f t="shared" si="58"/>
        <v>-24640.8655540238</v>
      </c>
      <c r="C531" s="74">
        <f t="shared" si="59"/>
        <v>10201.880764716672</v>
      </c>
      <c r="D531" s="74">
        <f t="shared" si="60"/>
        <v>2597.0438815251637</v>
      </c>
      <c r="E531" s="74">
        <f t="shared" si="61"/>
        <v>3592.2980178934095</v>
      </c>
      <c r="F531" s="74">
        <f t="shared" si="55"/>
        <v>4653.7662898602057</v>
      </c>
      <c r="G531" s="74">
        <f t="shared" si="56"/>
        <v>7086.9950528009276</v>
      </c>
      <c r="H531" s="74">
        <f t="shared" si="62"/>
        <v>44640.865554023796</v>
      </c>
      <c r="I531" s="74">
        <f t="shared" si="63"/>
        <v>9798.1192352833277</v>
      </c>
      <c r="J531" s="74">
        <f t="shared" si="64"/>
        <v>45703.501156489721</v>
      </c>
      <c r="K531" s="74">
        <f t="shared" si="65"/>
        <v>4640.8655540237996</v>
      </c>
      <c r="L531" s="74">
        <f t="shared" si="66"/>
        <v>9798.1192352833277</v>
      </c>
      <c r="M531" s="74">
        <f t="shared" si="67"/>
        <v>10841.622278946716</v>
      </c>
      <c r="N531" s="74">
        <f t="shared" si="68"/>
        <v>19640.8655540238</v>
      </c>
      <c r="O531" s="74">
        <f t="shared" si="69"/>
        <v>-45201.880764716669</v>
      </c>
      <c r="P531" s="74">
        <f t="shared" si="70"/>
        <v>49284.618537418966</v>
      </c>
    </row>
    <row r="532" spans="1:16" x14ac:dyDescent="0.3">
      <c r="A532" s="72">
        <f t="shared" si="57"/>
        <v>111.5</v>
      </c>
      <c r="B532" s="74">
        <f t="shared" si="58"/>
        <v>-22178.902040796169</v>
      </c>
      <c r="C532" s="74">
        <f t="shared" si="59"/>
        <v>13769.778536863609</v>
      </c>
      <c r="D532" s="74">
        <f t="shared" si="60"/>
        <v>4923.927026455267</v>
      </c>
      <c r="E532" s="74">
        <f t="shared" si="61"/>
        <v>7135.7955442938728</v>
      </c>
      <c r="F532" s="74">
        <f t="shared" si="55"/>
        <v>4992.7815440681943</v>
      </c>
      <c r="G532" s="74">
        <f t="shared" si="56"/>
        <v>10572.072976238778</v>
      </c>
      <c r="H532" s="74">
        <f t="shared" si="62"/>
        <v>42178.902040796165</v>
      </c>
      <c r="I532" s="74">
        <f t="shared" si="63"/>
        <v>6230.2214631363913</v>
      </c>
      <c r="J532" s="74">
        <f t="shared" si="64"/>
        <v>42636.550480154983</v>
      </c>
      <c r="K532" s="74">
        <f t="shared" si="65"/>
        <v>2178.9020407961689</v>
      </c>
      <c r="L532" s="74">
        <f t="shared" si="66"/>
        <v>6230.2214631363913</v>
      </c>
      <c r="M532" s="74">
        <f t="shared" si="67"/>
        <v>6600.2479940613639</v>
      </c>
      <c r="N532" s="74">
        <f t="shared" si="68"/>
        <v>17178.902040796169</v>
      </c>
      <c r="O532" s="74">
        <f t="shared" si="69"/>
        <v>-48769.77853686361</v>
      </c>
      <c r="P532" s="74">
        <f t="shared" si="70"/>
        <v>51706.923848378305</v>
      </c>
    </row>
    <row r="533" spans="1:16" x14ac:dyDescent="0.3">
      <c r="A533" s="72">
        <f t="shared" si="57"/>
        <v>112</v>
      </c>
      <c r="B533" s="74">
        <f t="shared" si="58"/>
        <v>-18468.743141551487</v>
      </c>
      <c r="C533" s="74">
        <f t="shared" si="59"/>
        <v>19980.69455307024</v>
      </c>
      <c r="D533" s="74">
        <f t="shared" si="60"/>
        <v>7420.3177984893646</v>
      </c>
      <c r="E533" s="74">
        <f t="shared" si="61"/>
        <v>12421.832032413262</v>
      </c>
      <c r="F533" s="74">
        <f t="shared" si="55"/>
        <v>-4775.9351503691396</v>
      </c>
      <c r="G533" s="74">
        <f t="shared" si="56"/>
        <v>-445.22732806381953</v>
      </c>
      <c r="H533" s="74">
        <f t="shared" si="62"/>
        <v>38468.743141551487</v>
      </c>
      <c r="I533" s="74">
        <f t="shared" si="63"/>
        <v>19.305446929760365</v>
      </c>
      <c r="J533" s="74">
        <f t="shared" si="64"/>
        <v>38468.747985747417</v>
      </c>
      <c r="K533" s="74">
        <f t="shared" si="65"/>
        <v>-1531.2568584485125</v>
      </c>
      <c r="L533" s="74">
        <f t="shared" si="66"/>
        <v>19.305446929760365</v>
      </c>
      <c r="M533" s="74">
        <f t="shared" si="67"/>
        <v>1531.3785511188164</v>
      </c>
      <c r="N533" s="74">
        <f t="shared" si="68"/>
        <v>13468.743141551487</v>
      </c>
      <c r="O533" s="74">
        <f t="shared" si="69"/>
        <v>-54980.694553070236</v>
      </c>
      <c r="P533" s="74">
        <f t="shared" si="70"/>
        <v>56606.393767410213</v>
      </c>
    </row>
    <row r="534" spans="1:16" x14ac:dyDescent="0.3">
      <c r="A534" s="72">
        <f t="shared" si="57"/>
        <v>112.5</v>
      </c>
      <c r="B534" s="74">
        <f t="shared" si="58"/>
        <v>-15952.568029899092</v>
      </c>
      <c r="C534" s="74">
        <f t="shared" si="59"/>
        <v>26080.303737260914</v>
      </c>
      <c r="D534" s="74">
        <f t="shared" si="60"/>
        <v>5032.3502233047948</v>
      </c>
      <c r="E534" s="74">
        <f t="shared" si="61"/>
        <v>12199.218368381353</v>
      </c>
      <c r="F534" s="74">
        <f t="shared" si="55"/>
        <v>-4922.6135201235729</v>
      </c>
      <c r="G534" s="74">
        <f t="shared" si="56"/>
        <v>-10014.47200371028</v>
      </c>
      <c r="H534" s="74">
        <f t="shared" si="62"/>
        <v>35952.568029899092</v>
      </c>
      <c r="I534" s="74">
        <f t="shared" si="63"/>
        <v>-6080.3037372609142</v>
      </c>
      <c r="J534" s="74">
        <f t="shared" si="64"/>
        <v>36463.09423899556</v>
      </c>
      <c r="K534" s="74">
        <f t="shared" si="65"/>
        <v>-4047.4319701009081</v>
      </c>
      <c r="L534" s="74">
        <f t="shared" si="66"/>
        <v>-6080.3037372609142</v>
      </c>
      <c r="M534" s="74">
        <f t="shared" si="67"/>
        <v>7304.2315879183325</v>
      </c>
      <c r="N534" s="74">
        <f t="shared" si="68"/>
        <v>10952.568029899092</v>
      </c>
      <c r="O534" s="74">
        <f t="shared" si="69"/>
        <v>-61080.303737260911</v>
      </c>
      <c r="P534" s="74">
        <f t="shared" si="70"/>
        <v>62054.510320246802</v>
      </c>
    </row>
    <row r="535" spans="1:16" x14ac:dyDescent="0.3">
      <c r="A535" s="72">
        <f t="shared" si="57"/>
        <v>113</v>
      </c>
      <c r="B535" s="74">
        <f t="shared" si="58"/>
        <v>-14667.046298277588</v>
      </c>
      <c r="C535" s="74">
        <f t="shared" si="59"/>
        <v>29676.294920524022</v>
      </c>
      <c r="D535" s="74">
        <f t="shared" si="60"/>
        <v>2571.0434632430083</v>
      </c>
      <c r="E535" s="74">
        <f t="shared" si="61"/>
        <v>7191.9823665262129</v>
      </c>
      <c r="F535" s="74">
        <f t="shared" si="55"/>
        <v>-2664.9863291308047</v>
      </c>
      <c r="G535" s="74">
        <f t="shared" si="56"/>
        <v>-7925.7159710262258</v>
      </c>
      <c r="H535" s="74">
        <f t="shared" si="62"/>
        <v>34667.046298277586</v>
      </c>
      <c r="I535" s="74">
        <f t="shared" si="63"/>
        <v>-9676.294920524022</v>
      </c>
      <c r="J535" s="74">
        <f t="shared" si="64"/>
        <v>35992.148899945954</v>
      </c>
      <c r="K535" s="74">
        <f t="shared" si="65"/>
        <v>-5332.953701722412</v>
      </c>
      <c r="L535" s="74">
        <f t="shared" si="66"/>
        <v>-9676.294920524022</v>
      </c>
      <c r="M535" s="74">
        <f t="shared" si="67"/>
        <v>11048.578124522348</v>
      </c>
      <c r="N535" s="74">
        <f t="shared" si="68"/>
        <v>9667.046298277588</v>
      </c>
      <c r="O535" s="74">
        <f t="shared" si="69"/>
        <v>-64676.294920524022</v>
      </c>
      <c r="P535" s="74">
        <f t="shared" si="70"/>
        <v>65394.762089785472</v>
      </c>
    </row>
    <row r="536" spans="1:16" x14ac:dyDescent="0.3">
      <c r="A536" s="72">
        <f t="shared" si="57"/>
        <v>113.5</v>
      </c>
      <c r="B536" s="74">
        <f t="shared" si="58"/>
        <v>-14047.771148938786</v>
      </c>
      <c r="C536" s="74">
        <f t="shared" si="59"/>
        <v>31290.857111030571</v>
      </c>
      <c r="D536" s="74">
        <f t="shared" si="60"/>
        <v>1238.550298677606</v>
      </c>
      <c r="E536" s="74">
        <f t="shared" si="61"/>
        <v>3229.1243810131</v>
      </c>
      <c r="F536" s="74">
        <f t="shared" si="55"/>
        <v>-1967.0109692083181</v>
      </c>
      <c r="G536" s="74">
        <f t="shared" si="56"/>
        <v>-6938.9425124669306</v>
      </c>
      <c r="H536" s="74">
        <f t="shared" si="62"/>
        <v>34047.771148938788</v>
      </c>
      <c r="I536" s="74">
        <f t="shared" si="63"/>
        <v>-11290.857111030571</v>
      </c>
      <c r="J536" s="74">
        <f t="shared" si="64"/>
        <v>35871.077130638529</v>
      </c>
      <c r="K536" s="74">
        <f t="shared" si="65"/>
        <v>-5952.2288510612143</v>
      </c>
      <c r="L536" s="74">
        <f t="shared" si="66"/>
        <v>-11290.857111030571</v>
      </c>
      <c r="M536" s="74">
        <f t="shared" si="67"/>
        <v>12763.717428598735</v>
      </c>
      <c r="N536" s="74">
        <f t="shared" si="68"/>
        <v>9047.7711489387857</v>
      </c>
      <c r="O536" s="74">
        <f t="shared" si="69"/>
        <v>-66290.857111030578</v>
      </c>
      <c r="P536" s="74">
        <f t="shared" si="70"/>
        <v>66905.454929165848</v>
      </c>
    </row>
    <row r="537" spans="1:16" x14ac:dyDescent="0.3">
      <c r="A537" s="72">
        <f t="shared" si="57"/>
        <v>114</v>
      </c>
      <c r="B537" s="74">
        <f t="shared" si="58"/>
        <v>-13920.248741902064</v>
      </c>
      <c r="C537" s="74">
        <f t="shared" si="59"/>
        <v>31170.683673420386</v>
      </c>
      <c r="D537" s="74">
        <f t="shared" si="60"/>
        <v>255.0448140734469</v>
      </c>
      <c r="E537" s="74">
        <f t="shared" si="61"/>
        <v>-240.34687522036529</v>
      </c>
      <c r="F537" s="74">
        <f t="shared" si="55"/>
        <v>-2052.4220086414225</v>
      </c>
      <c r="G537" s="74">
        <f t="shared" si="56"/>
        <v>-6924.7798557534297</v>
      </c>
      <c r="H537" s="74">
        <f t="shared" si="62"/>
        <v>33920.248741902062</v>
      </c>
      <c r="I537" s="74">
        <f t="shared" si="63"/>
        <v>-11170.683673420386</v>
      </c>
      <c r="J537" s="74">
        <f t="shared" si="64"/>
        <v>35712.28707943709</v>
      </c>
      <c r="K537" s="74">
        <f t="shared" si="65"/>
        <v>-6079.7512580979364</v>
      </c>
      <c r="L537" s="74">
        <f t="shared" si="66"/>
        <v>-11170.683673420386</v>
      </c>
      <c r="M537" s="74">
        <f t="shared" si="67"/>
        <v>12718.000986474415</v>
      </c>
      <c r="N537" s="74">
        <f t="shared" si="68"/>
        <v>8920.2487419020636</v>
      </c>
      <c r="O537" s="74">
        <f t="shared" si="69"/>
        <v>-66170.683673420383</v>
      </c>
      <c r="P537" s="74">
        <f t="shared" si="70"/>
        <v>66769.231053122581</v>
      </c>
    </row>
    <row r="538" spans="1:16" x14ac:dyDescent="0.3">
      <c r="A538" s="72">
        <f t="shared" si="57"/>
        <v>114.5</v>
      </c>
      <c r="B538" s="74">
        <f t="shared" si="58"/>
        <v>-14305.831837025695</v>
      </c>
      <c r="C538" s="74">
        <f t="shared" si="59"/>
        <v>29319.315271871848</v>
      </c>
      <c r="D538" s="74">
        <f t="shared" si="60"/>
        <v>-771.16619024726435</v>
      </c>
      <c r="E538" s="74">
        <f t="shared" si="61"/>
        <v>-3702.7368030970802</v>
      </c>
      <c r="F538" s="74">
        <f t="shared" si="55"/>
        <v>-3004.2970259294575</v>
      </c>
      <c r="G538" s="74">
        <f t="shared" si="56"/>
        <v>-7831.3319732867212</v>
      </c>
      <c r="H538" s="74">
        <f t="shared" si="62"/>
        <v>34305.831837025697</v>
      </c>
      <c r="I538" s="74">
        <f t="shared" si="63"/>
        <v>-9319.3152718718484</v>
      </c>
      <c r="J538" s="74">
        <f t="shared" si="64"/>
        <v>35549.117220640372</v>
      </c>
      <c r="K538" s="74">
        <f t="shared" si="65"/>
        <v>-5694.1681629743052</v>
      </c>
      <c r="L538" s="74">
        <f t="shared" si="66"/>
        <v>-9319.3152718718484</v>
      </c>
      <c r="M538" s="74">
        <f t="shared" si="67"/>
        <v>10921.226497274656</v>
      </c>
      <c r="N538" s="74">
        <f t="shared" si="68"/>
        <v>9305.8318370256948</v>
      </c>
      <c r="O538" s="74">
        <f t="shared" si="69"/>
        <v>-64319.315271871848</v>
      </c>
      <c r="P538" s="74">
        <f t="shared" si="70"/>
        <v>64989.020789833783</v>
      </c>
    </row>
    <row r="539" spans="1:16" x14ac:dyDescent="0.3">
      <c r="A539" s="72">
        <f t="shared" si="57"/>
        <v>115</v>
      </c>
      <c r="B539" s="74">
        <f t="shared" si="58"/>
        <v>-15442.489188631693</v>
      </c>
      <c r="C539" s="74">
        <f t="shared" si="59"/>
        <v>25510.113877001626</v>
      </c>
      <c r="D539" s="74">
        <f t="shared" si="60"/>
        <v>-2273.3147032119932</v>
      </c>
      <c r="E539" s="74">
        <f t="shared" si="61"/>
        <v>-7618.4027897404412</v>
      </c>
      <c r="F539" s="74">
        <f t="shared" si="55"/>
        <v>-5886.8764262260538</v>
      </c>
      <c r="G539" s="74">
        <f t="shared" si="56"/>
        <v>-9400.1185491817141</v>
      </c>
      <c r="H539" s="74">
        <f t="shared" si="62"/>
        <v>35442.489188631691</v>
      </c>
      <c r="I539" s="74">
        <f t="shared" si="63"/>
        <v>-5510.113877001626</v>
      </c>
      <c r="J539" s="74">
        <f t="shared" si="64"/>
        <v>35868.250512449034</v>
      </c>
      <c r="K539" s="74">
        <f t="shared" si="65"/>
        <v>-4557.5108113683073</v>
      </c>
      <c r="L539" s="74">
        <f t="shared" si="66"/>
        <v>-5510.113877001626</v>
      </c>
      <c r="M539" s="74">
        <f t="shared" si="67"/>
        <v>7150.6824662590698</v>
      </c>
      <c r="N539" s="74">
        <f t="shared" si="68"/>
        <v>10442.489188631693</v>
      </c>
      <c r="O539" s="74">
        <f t="shared" si="69"/>
        <v>-60510.113877001626</v>
      </c>
      <c r="P539" s="74">
        <f t="shared" si="70"/>
        <v>61404.555709347776</v>
      </c>
    </row>
    <row r="540" spans="1:16" x14ac:dyDescent="0.3">
      <c r="A540" s="72">
        <f t="shared" si="57"/>
        <v>115.5</v>
      </c>
      <c r="B540" s="74">
        <f t="shared" si="58"/>
        <v>-18050.865646794202</v>
      </c>
      <c r="C540" s="74">
        <f t="shared" si="59"/>
        <v>19350.882844835975</v>
      </c>
      <c r="D540" s="74">
        <f t="shared" si="60"/>
        <v>-5216.7529163250201</v>
      </c>
      <c r="E540" s="74">
        <f t="shared" si="61"/>
        <v>-12318.462064331299</v>
      </c>
      <c r="F540" s="74">
        <f t="shared" si="55"/>
        <v>-6044.0733265906483</v>
      </c>
      <c r="G540" s="74">
        <f t="shared" si="56"/>
        <v>1923.5936680652649</v>
      </c>
      <c r="H540" s="74">
        <f t="shared" si="62"/>
        <v>38050.865646794206</v>
      </c>
      <c r="I540" s="74">
        <f t="shared" si="63"/>
        <v>649.11715516402546</v>
      </c>
      <c r="J540" s="74">
        <f t="shared" si="64"/>
        <v>38056.401952253858</v>
      </c>
      <c r="K540" s="74">
        <f t="shared" si="65"/>
        <v>-1949.1343532057981</v>
      </c>
      <c r="L540" s="74">
        <f t="shared" si="66"/>
        <v>649.11715516402546</v>
      </c>
      <c r="M540" s="74">
        <f t="shared" si="67"/>
        <v>2054.3801517672482</v>
      </c>
      <c r="N540" s="74">
        <f t="shared" si="68"/>
        <v>13050.865646794202</v>
      </c>
      <c r="O540" s="74">
        <f t="shared" si="69"/>
        <v>-54350.882844835971</v>
      </c>
      <c r="P540" s="74">
        <f t="shared" si="70"/>
        <v>55895.827752559118</v>
      </c>
    </row>
    <row r="541" spans="1:16" x14ac:dyDescent="0.3">
      <c r="A541" s="72">
        <f t="shared" si="57"/>
        <v>116</v>
      </c>
      <c r="B541" s="74">
        <f t="shared" si="58"/>
        <v>-22170.260436604374</v>
      </c>
      <c r="C541" s="74">
        <f t="shared" si="59"/>
        <v>13672.550229686642</v>
      </c>
      <c r="D541" s="74">
        <f t="shared" si="60"/>
        <v>-8238.7895796203447</v>
      </c>
      <c r="E541" s="74">
        <f t="shared" si="61"/>
        <v>-11356.665230298666</v>
      </c>
      <c r="F541" s="74">
        <f t="shared" si="55"/>
        <v>4910.5622983557505</v>
      </c>
      <c r="G541" s="74">
        <f t="shared" si="56"/>
        <v>10547.893612387888</v>
      </c>
      <c r="H541" s="74">
        <f t="shared" si="62"/>
        <v>42170.260436604374</v>
      </c>
      <c r="I541" s="74">
        <f t="shared" si="63"/>
        <v>6327.4497703133584</v>
      </c>
      <c r="J541" s="74">
        <f t="shared" si="64"/>
        <v>42642.320362368635</v>
      </c>
      <c r="K541" s="74">
        <f t="shared" si="65"/>
        <v>2170.2604366043743</v>
      </c>
      <c r="L541" s="74">
        <f t="shared" si="66"/>
        <v>6327.4497703133584</v>
      </c>
      <c r="M541" s="74">
        <f t="shared" si="67"/>
        <v>6689.293756333981</v>
      </c>
      <c r="N541" s="74">
        <f t="shared" si="68"/>
        <v>17170.260436604374</v>
      </c>
      <c r="O541" s="74">
        <f t="shared" si="69"/>
        <v>-48672.55022968664</v>
      </c>
      <c r="P541" s="74">
        <f t="shared" si="70"/>
        <v>51612.353069029807</v>
      </c>
    </row>
    <row r="542" spans="1:16" x14ac:dyDescent="0.3">
      <c r="A542" s="72">
        <f t="shared" si="57"/>
        <v>116.5</v>
      </c>
      <c r="B542" s="74">
        <f t="shared" si="58"/>
        <v>-25062.014651825608</v>
      </c>
      <c r="C542" s="74">
        <f t="shared" si="59"/>
        <v>10631.191017634281</v>
      </c>
      <c r="D542" s="74">
        <f t="shared" si="60"/>
        <v>-5783.508430442469</v>
      </c>
      <c r="E542" s="74">
        <f t="shared" si="61"/>
        <v>-6082.7184241047216</v>
      </c>
      <c r="F542" s="74">
        <f t="shared" si="55"/>
        <v>5110.3280622268503</v>
      </c>
      <c r="G542" s="74">
        <f t="shared" si="56"/>
        <v>7026.2752563157319</v>
      </c>
      <c r="H542" s="74">
        <f t="shared" si="62"/>
        <v>45062.014651825608</v>
      </c>
      <c r="I542" s="74">
        <f t="shared" si="63"/>
        <v>9368.8089823657192</v>
      </c>
      <c r="J542" s="74">
        <f t="shared" si="64"/>
        <v>46025.642268515956</v>
      </c>
      <c r="K542" s="74">
        <f t="shared" si="65"/>
        <v>5062.0146518256079</v>
      </c>
      <c r="L542" s="74">
        <f t="shared" si="66"/>
        <v>9368.8089823657192</v>
      </c>
      <c r="M542" s="74">
        <f t="shared" si="67"/>
        <v>10648.876658284371</v>
      </c>
      <c r="N542" s="74">
        <f t="shared" si="68"/>
        <v>20062.014651825608</v>
      </c>
      <c r="O542" s="74">
        <f t="shared" si="69"/>
        <v>-45631.191017634279</v>
      </c>
      <c r="P542" s="74">
        <f t="shared" si="70"/>
        <v>49846.665139985969</v>
      </c>
    </row>
    <row r="543" spans="1:16" x14ac:dyDescent="0.3">
      <c r="A543" s="72">
        <f t="shared" si="57"/>
        <v>117</v>
      </c>
      <c r="B543" s="74">
        <f t="shared" si="58"/>
        <v>-26676.186851490129</v>
      </c>
      <c r="C543" s="74">
        <f t="shared" si="59"/>
        <v>9346.4006196608534</v>
      </c>
      <c r="D543" s="74">
        <f t="shared" si="60"/>
        <v>-3228.3443993290439</v>
      </c>
      <c r="E543" s="74">
        <f t="shared" si="61"/>
        <v>-2569.5807959468557</v>
      </c>
      <c r="F543" s="74">
        <f t="shared" si="55"/>
        <v>4792.7109000548508</v>
      </c>
      <c r="G543" s="74">
        <f t="shared" si="56"/>
        <v>5536.0391887867927</v>
      </c>
      <c r="H543" s="74">
        <f t="shared" si="62"/>
        <v>46676.186851490129</v>
      </c>
      <c r="I543" s="74">
        <f t="shared" si="63"/>
        <v>10653.599380339147</v>
      </c>
      <c r="J543" s="74">
        <f t="shared" si="64"/>
        <v>47876.566279882507</v>
      </c>
      <c r="K543" s="74">
        <f t="shared" si="65"/>
        <v>6676.1868514901289</v>
      </c>
      <c r="L543" s="74">
        <f t="shared" si="66"/>
        <v>10653.599380339147</v>
      </c>
      <c r="M543" s="74">
        <f t="shared" si="67"/>
        <v>12572.615107159383</v>
      </c>
      <c r="N543" s="74">
        <f t="shared" si="68"/>
        <v>21676.186851490129</v>
      </c>
      <c r="O543" s="74">
        <f t="shared" si="69"/>
        <v>-44346.400619660853</v>
      </c>
      <c r="P543" s="74">
        <f t="shared" si="70"/>
        <v>49360.513817627245</v>
      </c>
    </row>
    <row r="544" spans="1:16" x14ac:dyDescent="0.3">
      <c r="A544" s="72">
        <f t="shared" si="57"/>
        <v>117.5</v>
      </c>
      <c r="B544" s="74">
        <f t="shared" si="58"/>
        <v>-27092.181326140937</v>
      </c>
      <c r="C544" s="74">
        <f t="shared" si="59"/>
        <v>9445.6200188841249</v>
      </c>
      <c r="D544" s="74">
        <f t="shared" si="60"/>
        <v>-831.9889493016185</v>
      </c>
      <c r="E544" s="74">
        <f t="shared" si="61"/>
        <v>198.43879844654066</v>
      </c>
      <c r="F544" s="74">
        <f t="shared" si="55"/>
        <v>4918.2411232015802</v>
      </c>
      <c r="G544" s="74">
        <f t="shared" si="56"/>
        <v>5335.920876782252</v>
      </c>
      <c r="H544" s="74">
        <f t="shared" si="62"/>
        <v>47092.181326140941</v>
      </c>
      <c r="I544" s="74">
        <f t="shared" si="63"/>
        <v>10554.379981115875</v>
      </c>
      <c r="J544" s="74">
        <f t="shared" si="64"/>
        <v>48260.423525285369</v>
      </c>
      <c r="K544" s="74">
        <f t="shared" si="65"/>
        <v>7092.181326140937</v>
      </c>
      <c r="L544" s="74">
        <f t="shared" si="66"/>
        <v>10554.379981115875</v>
      </c>
      <c r="M544" s="74">
        <f t="shared" si="67"/>
        <v>12715.89449266711</v>
      </c>
      <c r="N544" s="74">
        <f t="shared" si="68"/>
        <v>22092.181326140937</v>
      </c>
      <c r="O544" s="74">
        <f t="shared" si="69"/>
        <v>-44445.620018884125</v>
      </c>
      <c r="P544" s="74">
        <f t="shared" si="70"/>
        <v>49633.43242825468</v>
      </c>
    </row>
    <row r="545" spans="1:16" x14ac:dyDescent="0.3">
      <c r="A545" s="72">
        <f t="shared" si="57"/>
        <v>118</v>
      </c>
      <c r="B545" s="74">
        <f t="shared" si="58"/>
        <v>-26278.615519991348</v>
      </c>
      <c r="C545" s="74">
        <f t="shared" si="59"/>
        <v>10878.819637302957</v>
      </c>
      <c r="D545" s="74">
        <f t="shared" si="60"/>
        <v>1627.1316122991716</v>
      </c>
      <c r="E545" s="74">
        <f t="shared" si="61"/>
        <v>2866.3992368376666</v>
      </c>
      <c r="F545" s="74">
        <f t="shared" si="55"/>
        <v>5670.1050207980625</v>
      </c>
      <c r="G545" s="74">
        <f t="shared" si="56"/>
        <v>6279.2303286302331</v>
      </c>
      <c r="H545" s="74">
        <f t="shared" si="62"/>
        <v>46278.615519991348</v>
      </c>
      <c r="I545" s="74">
        <f t="shared" si="63"/>
        <v>9121.1803626970432</v>
      </c>
      <c r="J545" s="74">
        <f t="shared" si="64"/>
        <v>47168.911219743393</v>
      </c>
      <c r="K545" s="74">
        <f t="shared" si="65"/>
        <v>6278.6155199913483</v>
      </c>
      <c r="L545" s="74">
        <f t="shared" si="66"/>
        <v>9121.1803626970432</v>
      </c>
      <c r="M545" s="74">
        <f t="shared" si="67"/>
        <v>11073.253544316882</v>
      </c>
      <c r="N545" s="74">
        <f t="shared" si="68"/>
        <v>21278.615519991348</v>
      </c>
      <c r="O545" s="74">
        <f t="shared" si="69"/>
        <v>-45878.819637302957</v>
      </c>
      <c r="P545" s="74">
        <f t="shared" si="70"/>
        <v>50573.170453905623</v>
      </c>
    </row>
    <row r="546" spans="1:16" x14ac:dyDescent="0.3">
      <c r="A546" s="72">
        <f t="shared" si="57"/>
        <v>118.5</v>
      </c>
      <c r="B546" s="74">
        <f t="shared" si="58"/>
        <v>-24047.523458642248</v>
      </c>
      <c r="C546" s="74">
        <f t="shared" si="59"/>
        <v>13881.826837879349</v>
      </c>
      <c r="D546" s="74">
        <f t="shared" si="60"/>
        <v>4462.1841226982033</v>
      </c>
      <c r="E546" s="74">
        <f t="shared" si="61"/>
        <v>6006.0144011527827</v>
      </c>
      <c r="F546" s="74">
        <f t="shared" si="55"/>
        <v>7269.0481760459497</v>
      </c>
      <c r="G546" s="74">
        <f t="shared" si="56"/>
        <v>8900.6740308762528</v>
      </c>
      <c r="H546" s="74">
        <f t="shared" si="62"/>
        <v>44047.523458642245</v>
      </c>
      <c r="I546" s="74">
        <f t="shared" si="63"/>
        <v>6118.1731621206509</v>
      </c>
      <c r="J546" s="74">
        <f t="shared" si="64"/>
        <v>44470.39875784039</v>
      </c>
      <c r="K546" s="74">
        <f t="shared" si="65"/>
        <v>4047.5234586422484</v>
      </c>
      <c r="L546" s="74">
        <f t="shared" si="66"/>
        <v>6118.1731621206509</v>
      </c>
      <c r="M546" s="74">
        <f t="shared" si="67"/>
        <v>7335.8359435004213</v>
      </c>
      <c r="N546" s="74">
        <f t="shared" si="68"/>
        <v>19047.523458642248</v>
      </c>
      <c r="O546" s="74">
        <f t="shared" si="69"/>
        <v>-48881.826837879351</v>
      </c>
      <c r="P546" s="74">
        <f t="shared" si="70"/>
        <v>52461.80653500172</v>
      </c>
    </row>
    <row r="547" spans="1:16" x14ac:dyDescent="0.3">
      <c r="A547" s="72">
        <f t="shared" si="57"/>
        <v>119</v>
      </c>
      <c r="B547" s="74">
        <f t="shared" si="58"/>
        <v>-19999.169353281661</v>
      </c>
      <c r="C547" s="74">
        <f t="shared" si="59"/>
        <v>19110.002546174805</v>
      </c>
      <c r="D547" s="74">
        <f t="shared" si="60"/>
        <v>8096.7082107211781</v>
      </c>
      <c r="E547" s="74">
        <f t="shared" si="61"/>
        <v>10456.351416590909</v>
      </c>
      <c r="F547" s="74">
        <f t="shared" si="55"/>
        <v>1190.3648536823534</v>
      </c>
      <c r="G547" s="74">
        <f t="shared" si="56"/>
        <v>3147.9660762954391</v>
      </c>
      <c r="H547" s="74">
        <f t="shared" si="62"/>
        <v>39999.169353281657</v>
      </c>
      <c r="I547" s="74">
        <f t="shared" si="63"/>
        <v>889.99745382519541</v>
      </c>
      <c r="J547" s="74">
        <f t="shared" si="64"/>
        <v>40009.069527050015</v>
      </c>
      <c r="K547" s="74">
        <f t="shared" si="65"/>
        <v>-0.83064671833926695</v>
      </c>
      <c r="L547" s="74">
        <f t="shared" si="66"/>
        <v>889.99745382519541</v>
      </c>
      <c r="M547" s="74">
        <f t="shared" si="67"/>
        <v>889.99784145204615</v>
      </c>
      <c r="N547" s="74">
        <f t="shared" si="68"/>
        <v>14999.169353281661</v>
      </c>
      <c r="O547" s="74">
        <f t="shared" si="69"/>
        <v>-54110.002546174801</v>
      </c>
      <c r="P547" s="74">
        <f t="shared" si="70"/>
        <v>56150.400326582421</v>
      </c>
    </row>
    <row r="548" spans="1:16" x14ac:dyDescent="0.3">
      <c r="A548" s="72">
        <f t="shared" si="57"/>
        <v>119.5</v>
      </c>
      <c r="B548" s="74">
        <f t="shared" si="58"/>
        <v>-15653.224034500483</v>
      </c>
      <c r="C548" s="74">
        <f t="shared" si="59"/>
        <v>25125.169773544119</v>
      </c>
      <c r="D548" s="74">
        <f t="shared" si="60"/>
        <v>8691.8906375623556</v>
      </c>
      <c r="E548" s="74">
        <f t="shared" si="61"/>
        <v>12030.33445473863</v>
      </c>
      <c r="F548" s="74">
        <f t="shared" si="55"/>
        <v>-6175.6534631126488</v>
      </c>
      <c r="G548" s="74">
        <f t="shared" si="56"/>
        <v>-9506.6184830769998</v>
      </c>
      <c r="H548" s="74">
        <f t="shared" si="62"/>
        <v>35653.224034500483</v>
      </c>
      <c r="I548" s="74">
        <f t="shared" si="63"/>
        <v>-5125.1697735441194</v>
      </c>
      <c r="J548" s="74">
        <f t="shared" si="64"/>
        <v>36019.713342306502</v>
      </c>
      <c r="K548" s="74">
        <f t="shared" si="65"/>
        <v>-4346.775965499517</v>
      </c>
      <c r="L548" s="74">
        <f t="shared" si="66"/>
        <v>-5125.1697735441194</v>
      </c>
      <c r="M548" s="74">
        <f t="shared" si="67"/>
        <v>6720.2549432216138</v>
      </c>
      <c r="N548" s="74">
        <f t="shared" si="68"/>
        <v>10653.224034500483</v>
      </c>
      <c r="O548" s="74">
        <f t="shared" si="69"/>
        <v>-60125.169773544119</v>
      </c>
      <c r="P548" s="74">
        <f t="shared" si="70"/>
        <v>61061.667375095174</v>
      </c>
    </row>
    <row r="549" spans="1:16" x14ac:dyDescent="0.3">
      <c r="A549" s="72">
        <f t="shared" si="57"/>
        <v>120</v>
      </c>
      <c r="B549" s="74">
        <f t="shared" si="58"/>
        <v>-12851.192081497467</v>
      </c>
      <c r="C549" s="74">
        <f t="shared" si="59"/>
        <v>28763.682380144186</v>
      </c>
      <c r="D549" s="74">
        <f t="shared" si="60"/>
        <v>5604.0639060060312</v>
      </c>
      <c r="E549" s="74">
        <f t="shared" si="61"/>
        <v>7277.0252132001297</v>
      </c>
      <c r="F549" s="74">
        <f t="shared" si="55"/>
        <v>-3628.3201336113048</v>
      </c>
      <c r="G549" s="74">
        <f t="shared" si="56"/>
        <v>-6980.2147001756102</v>
      </c>
      <c r="H549" s="74">
        <f t="shared" si="62"/>
        <v>32851.192081497466</v>
      </c>
      <c r="I549" s="74">
        <f t="shared" si="63"/>
        <v>-8763.682380144186</v>
      </c>
      <c r="J549" s="74">
        <f t="shared" si="64"/>
        <v>34000.043382847194</v>
      </c>
      <c r="K549" s="74">
        <f t="shared" si="65"/>
        <v>-7148.8079185025326</v>
      </c>
      <c r="L549" s="74">
        <f t="shared" si="66"/>
        <v>-8763.682380144186</v>
      </c>
      <c r="M549" s="74">
        <f t="shared" si="67"/>
        <v>11309.623491332246</v>
      </c>
      <c r="N549" s="74">
        <f t="shared" si="68"/>
        <v>7851.1920814974674</v>
      </c>
      <c r="O549" s="74">
        <f t="shared" si="69"/>
        <v>-63763.682380144186</v>
      </c>
      <c r="P549" s="74">
        <f t="shared" si="70"/>
        <v>64245.220894448474</v>
      </c>
    </row>
    <row r="550" spans="1:16" x14ac:dyDescent="0.3">
      <c r="A550" s="72">
        <f t="shared" si="57"/>
        <v>120.5</v>
      </c>
      <c r="B550" s="74">
        <f t="shared" si="58"/>
        <v>-10956.240161897278</v>
      </c>
      <c r="C550" s="74">
        <f t="shared" si="59"/>
        <v>30657.14131170035</v>
      </c>
      <c r="D550" s="74">
        <f t="shared" si="60"/>
        <v>3789.9038392003786</v>
      </c>
      <c r="E550" s="74">
        <f t="shared" si="61"/>
        <v>3786.9178631123245</v>
      </c>
      <c r="F550" s="74">
        <f t="shared" si="55"/>
        <v>-2524.4461795808093</v>
      </c>
      <c r="G550" s="74">
        <f t="shared" si="56"/>
        <v>-5612.7847060261447</v>
      </c>
      <c r="H550" s="74">
        <f t="shared" si="62"/>
        <v>30956.24016189728</v>
      </c>
      <c r="I550" s="74">
        <f t="shared" si="63"/>
        <v>-10657.14131170035</v>
      </c>
      <c r="J550" s="74">
        <f t="shared" si="64"/>
        <v>32739.325984183186</v>
      </c>
      <c r="K550" s="74">
        <f t="shared" si="65"/>
        <v>-9043.7598381027219</v>
      </c>
      <c r="L550" s="74">
        <f t="shared" si="66"/>
        <v>-10657.14131170035</v>
      </c>
      <c r="M550" s="74">
        <f t="shared" si="67"/>
        <v>13977.276306449337</v>
      </c>
      <c r="N550" s="74">
        <f t="shared" si="68"/>
        <v>5956.2401618972781</v>
      </c>
      <c r="O550" s="74">
        <f t="shared" si="69"/>
        <v>-65657.141311700354</v>
      </c>
      <c r="P550" s="74">
        <f t="shared" si="70"/>
        <v>65926.754827541663</v>
      </c>
    </row>
    <row r="551" spans="1:16" x14ac:dyDescent="0.3">
      <c r="A551" s="72">
        <f t="shared" si="57"/>
        <v>121</v>
      </c>
      <c r="B551" s="74">
        <f t="shared" si="58"/>
        <v>-9692.3997871922911</v>
      </c>
      <c r="C551" s="74">
        <f t="shared" si="59"/>
        <v>31147.404066749976</v>
      </c>
      <c r="D551" s="74">
        <f t="shared" si="60"/>
        <v>2527.6807494099739</v>
      </c>
      <c r="E551" s="74">
        <f t="shared" si="61"/>
        <v>980.52551009925219</v>
      </c>
      <c r="F551" s="74">
        <f t="shared" si="55"/>
        <v>-2207.3381725515783</v>
      </c>
      <c r="G551" s="74">
        <f t="shared" si="56"/>
        <v>-5018.9756760712453</v>
      </c>
      <c r="H551" s="74">
        <f t="shared" si="62"/>
        <v>29692.399787192291</v>
      </c>
      <c r="I551" s="74">
        <f t="shared" si="63"/>
        <v>-11147.404066749976</v>
      </c>
      <c r="J551" s="74">
        <f t="shared" si="64"/>
        <v>31715.977401774184</v>
      </c>
      <c r="K551" s="74">
        <f t="shared" si="65"/>
        <v>-10307.600212807709</v>
      </c>
      <c r="L551" s="74">
        <f t="shared" si="66"/>
        <v>-11147.404066749976</v>
      </c>
      <c r="M551" s="74">
        <f t="shared" si="67"/>
        <v>15182.596601848691</v>
      </c>
      <c r="N551" s="74">
        <f t="shared" si="68"/>
        <v>4692.3997871922911</v>
      </c>
      <c r="O551" s="74">
        <f t="shared" si="69"/>
        <v>-66147.404066749979</v>
      </c>
      <c r="P551" s="74">
        <f t="shared" si="70"/>
        <v>66313.631181927703</v>
      </c>
    </row>
    <row r="552" spans="1:16" x14ac:dyDescent="0.3">
      <c r="A552" s="72">
        <f t="shared" si="57"/>
        <v>121.5</v>
      </c>
      <c r="B552" s="74">
        <f t="shared" si="58"/>
        <v>-8980.3939556251989</v>
      </c>
      <c r="C552" s="74">
        <f t="shared" si="59"/>
        <v>30382.922902781789</v>
      </c>
      <c r="D552" s="74">
        <f t="shared" si="60"/>
        <v>1424.0116631341848</v>
      </c>
      <c r="E552" s="74">
        <f t="shared" si="61"/>
        <v>-1528.9623279363705</v>
      </c>
      <c r="F552" s="74">
        <f t="shared" si="55"/>
        <v>-2402.4520494010435</v>
      </c>
      <c r="G552" s="74">
        <f t="shared" si="56"/>
        <v>-4783.7181229338694</v>
      </c>
      <c r="H552" s="74">
        <f t="shared" si="62"/>
        <v>28980.393955625201</v>
      </c>
      <c r="I552" s="74">
        <f t="shared" si="63"/>
        <v>-10382.922902781789</v>
      </c>
      <c r="J552" s="74">
        <f t="shared" si="64"/>
        <v>30784.22196236813</v>
      </c>
      <c r="K552" s="74">
        <f t="shared" si="65"/>
        <v>-11019.606044374801</v>
      </c>
      <c r="L552" s="74">
        <f t="shared" si="66"/>
        <v>-10382.922902781789</v>
      </c>
      <c r="M552" s="74">
        <f t="shared" si="67"/>
        <v>15140.568198661907</v>
      </c>
      <c r="N552" s="74">
        <f t="shared" si="68"/>
        <v>3980.3939556251989</v>
      </c>
      <c r="O552" s="74">
        <f t="shared" si="69"/>
        <v>-65382.922902781793</v>
      </c>
      <c r="P552" s="74">
        <f t="shared" si="70"/>
        <v>65503.970439608354</v>
      </c>
    </row>
    <row r="553" spans="1:16" x14ac:dyDescent="0.3">
      <c r="A553" s="72">
        <f t="shared" si="57"/>
        <v>122</v>
      </c>
      <c r="B553" s="74">
        <f t="shared" si="58"/>
        <v>-8869.0011364083675</v>
      </c>
      <c r="C553" s="74">
        <f t="shared" si="59"/>
        <v>28422.512208080134</v>
      </c>
      <c r="D553" s="74">
        <f t="shared" si="60"/>
        <v>222.78563843366305</v>
      </c>
      <c r="E553" s="74">
        <f t="shared" si="61"/>
        <v>-3920.8213894033051</v>
      </c>
      <c r="F553" s="74">
        <f t="shared" si="55"/>
        <v>-3204.2737085995741</v>
      </c>
      <c r="G553" s="74">
        <f t="shared" si="56"/>
        <v>-4668.7181785869216</v>
      </c>
      <c r="H553" s="74">
        <f t="shared" si="62"/>
        <v>28869.001136408369</v>
      </c>
      <c r="I553" s="74">
        <f t="shared" si="63"/>
        <v>-8422.5122080801339</v>
      </c>
      <c r="J553" s="74">
        <f t="shared" si="64"/>
        <v>30072.54459651206</v>
      </c>
      <c r="K553" s="74">
        <f t="shared" si="65"/>
        <v>-11130.998863591632</v>
      </c>
      <c r="L553" s="74">
        <f t="shared" si="66"/>
        <v>-8422.5122080801339</v>
      </c>
      <c r="M553" s="74">
        <f t="shared" si="67"/>
        <v>13958.432848874443</v>
      </c>
      <c r="N553" s="74">
        <f t="shared" si="68"/>
        <v>3869.0011364083675</v>
      </c>
      <c r="O553" s="74">
        <f t="shared" si="69"/>
        <v>-63422.512208080137</v>
      </c>
      <c r="P553" s="74">
        <f t="shared" si="70"/>
        <v>63540.414104549265</v>
      </c>
    </row>
    <row r="554" spans="1:16" x14ac:dyDescent="0.3">
      <c r="A554" s="72">
        <f t="shared" si="57"/>
        <v>122.5</v>
      </c>
      <c r="B554" s="74">
        <f t="shared" si="58"/>
        <v>-9558.6767443414301</v>
      </c>
      <c r="C554" s="74">
        <f t="shared" si="59"/>
        <v>25294.921968731753</v>
      </c>
      <c r="D554" s="74">
        <f t="shared" si="60"/>
        <v>-1379.351215866124</v>
      </c>
      <c r="E554" s="74">
        <f t="shared" si="61"/>
        <v>-6255.1804786967659</v>
      </c>
      <c r="F554" s="74">
        <f t="shared" si="55"/>
        <v>-5068.0142839960963</v>
      </c>
      <c r="G554" s="74">
        <f t="shared" si="56"/>
        <v>-4268.0358763660706</v>
      </c>
      <c r="H554" s="74">
        <f t="shared" si="62"/>
        <v>29558.676744341428</v>
      </c>
      <c r="I554" s="74">
        <f t="shared" si="63"/>
        <v>-5294.9219687317527</v>
      </c>
      <c r="J554" s="74">
        <f t="shared" si="64"/>
        <v>30029.178635644181</v>
      </c>
      <c r="K554" s="74">
        <f t="shared" si="65"/>
        <v>-10441.32325565857</v>
      </c>
      <c r="L554" s="74">
        <f t="shared" si="66"/>
        <v>-5294.9219687317527</v>
      </c>
      <c r="M554" s="74">
        <f t="shared" si="67"/>
        <v>11707.152941006392</v>
      </c>
      <c r="N554" s="74">
        <f t="shared" si="68"/>
        <v>4558.6767443414301</v>
      </c>
      <c r="O554" s="74">
        <f t="shared" si="69"/>
        <v>-60294.921968731753</v>
      </c>
      <c r="P554" s="74">
        <f t="shared" si="70"/>
        <v>60467.008764076054</v>
      </c>
    </row>
    <row r="555" spans="1:16" x14ac:dyDescent="0.3">
      <c r="A555" s="72">
        <f t="shared" si="57"/>
        <v>123</v>
      </c>
      <c r="B555" s="74">
        <f t="shared" si="58"/>
        <v>-11515.355923273517</v>
      </c>
      <c r="C555" s="74">
        <f t="shared" si="59"/>
        <v>21100.322760291849</v>
      </c>
      <c r="D555" s="74">
        <f t="shared" si="60"/>
        <v>-3913.3583578641719</v>
      </c>
      <c r="E555" s="74">
        <f t="shared" si="61"/>
        <v>-8389.1984168798008</v>
      </c>
      <c r="F555" s="74">
        <f t="shared" si="55"/>
        <v>-8482.6032735988265</v>
      </c>
      <c r="G555" s="74">
        <f t="shared" si="56"/>
        <v>-1913.3696089570221</v>
      </c>
      <c r="H555" s="74">
        <f t="shared" si="62"/>
        <v>31515.355923273517</v>
      </c>
      <c r="I555" s="74">
        <f t="shared" si="63"/>
        <v>-1100.3227602918487</v>
      </c>
      <c r="J555" s="74">
        <f t="shared" si="64"/>
        <v>31534.558331256638</v>
      </c>
      <c r="K555" s="74">
        <f t="shared" si="65"/>
        <v>-8484.644076726483</v>
      </c>
      <c r="L555" s="74">
        <f t="shared" si="66"/>
        <v>-1100.3227602918487</v>
      </c>
      <c r="M555" s="74">
        <f t="shared" si="67"/>
        <v>8555.6937349081199</v>
      </c>
      <c r="N555" s="74">
        <f t="shared" si="68"/>
        <v>6515.355923273517</v>
      </c>
      <c r="O555" s="74">
        <f t="shared" si="69"/>
        <v>-56100.322760291849</v>
      </c>
      <c r="P555" s="74">
        <f t="shared" si="70"/>
        <v>56477.394385858977</v>
      </c>
    </row>
    <row r="556" spans="1:16" x14ac:dyDescent="0.3">
      <c r="A556" s="72">
        <f t="shared" si="57"/>
        <v>123.5</v>
      </c>
      <c r="B556" s="74">
        <f t="shared" si="58"/>
        <v>-15592.685920605309</v>
      </c>
      <c r="C556" s="74">
        <f t="shared" si="59"/>
        <v>16427.381149612695</v>
      </c>
      <c r="D556" s="74">
        <f t="shared" si="60"/>
        <v>-8154.6599946635852</v>
      </c>
      <c r="E556" s="74">
        <f t="shared" si="61"/>
        <v>-9345.8832213583119</v>
      </c>
      <c r="F556" s="74">
        <f t="shared" si="55"/>
        <v>-7950.8852021209022</v>
      </c>
      <c r="G556" s="74">
        <f t="shared" si="56"/>
        <v>7111.2756881099785</v>
      </c>
      <c r="H556" s="74">
        <f t="shared" si="62"/>
        <v>35592.685920605305</v>
      </c>
      <c r="I556" s="74">
        <f t="shared" si="63"/>
        <v>3572.6188503873054</v>
      </c>
      <c r="J556" s="74">
        <f t="shared" si="64"/>
        <v>35771.537519276375</v>
      </c>
      <c r="K556" s="74">
        <f t="shared" si="65"/>
        <v>-4407.3140793946914</v>
      </c>
      <c r="L556" s="74">
        <f t="shared" si="66"/>
        <v>3572.6188503873054</v>
      </c>
      <c r="M556" s="74">
        <f t="shared" si="67"/>
        <v>5673.4489373372689</v>
      </c>
      <c r="N556" s="74">
        <f t="shared" si="68"/>
        <v>10592.685920605309</v>
      </c>
      <c r="O556" s="74">
        <f t="shared" si="69"/>
        <v>-51427.381149612695</v>
      </c>
      <c r="P556" s="74">
        <f t="shared" si="70"/>
        <v>52506.956938296556</v>
      </c>
    </row>
    <row r="557" spans="1:16" x14ac:dyDescent="0.3">
      <c r="A557" s="72">
        <f t="shared" si="57"/>
        <v>124</v>
      </c>
      <c r="B557" s="74">
        <f t="shared" si="58"/>
        <v>-21657.737218467326</v>
      </c>
      <c r="C557" s="74">
        <f t="shared" si="59"/>
        <v>13532.258460961033</v>
      </c>
      <c r="D557" s="74">
        <f t="shared" si="60"/>
        <v>-12130.102595724036</v>
      </c>
      <c r="E557" s="74">
        <f t="shared" si="61"/>
        <v>-5790.245377303323</v>
      </c>
      <c r="F557" s="74">
        <f t="shared" si="55"/>
        <v>4042.1721303260329</v>
      </c>
      <c r="G557" s="74">
        <f t="shared" si="56"/>
        <v>10819.212131893697</v>
      </c>
      <c r="H557" s="74">
        <f t="shared" si="62"/>
        <v>41657.73721846733</v>
      </c>
      <c r="I557" s="74">
        <f t="shared" si="63"/>
        <v>6467.7415390389669</v>
      </c>
      <c r="J557" s="74">
        <f t="shared" si="64"/>
        <v>42156.835160845367</v>
      </c>
      <c r="K557" s="74">
        <f t="shared" si="65"/>
        <v>1657.7372184673259</v>
      </c>
      <c r="L557" s="74">
        <f t="shared" si="66"/>
        <v>6467.7415390389669</v>
      </c>
      <c r="M557" s="74">
        <f t="shared" si="67"/>
        <v>6676.8086164950046</v>
      </c>
      <c r="N557" s="74">
        <f t="shared" si="68"/>
        <v>16657.737218467326</v>
      </c>
      <c r="O557" s="74">
        <f t="shared" si="69"/>
        <v>-48532.258460961035</v>
      </c>
      <c r="P557" s="74">
        <f t="shared" si="70"/>
        <v>51311.405365289262</v>
      </c>
    </row>
    <row r="558" spans="1:16" x14ac:dyDescent="0.3">
      <c r="A558" s="72">
        <f t="shared" si="57"/>
        <v>124.5</v>
      </c>
      <c r="B558" s="74">
        <f t="shared" si="58"/>
        <v>-26712.245483747836</v>
      </c>
      <c r="C558" s="74">
        <f t="shared" si="59"/>
        <v>13341.938805282796</v>
      </c>
      <c r="D558" s="74">
        <f t="shared" si="60"/>
        <v>-10109.016530561021</v>
      </c>
      <c r="E558" s="74">
        <f t="shared" si="61"/>
        <v>-380.63931135647454</v>
      </c>
      <c r="F558" s="74">
        <f t="shared" si="55"/>
        <v>7756.2819256474422</v>
      </c>
      <c r="G558" s="74">
        <f t="shared" si="56"/>
        <v>6245.3255512170572</v>
      </c>
      <c r="H558" s="74">
        <f t="shared" si="62"/>
        <v>46712.245483747836</v>
      </c>
      <c r="I558" s="74">
        <f t="shared" si="63"/>
        <v>6658.0611947172038</v>
      </c>
      <c r="J558" s="74">
        <f t="shared" si="64"/>
        <v>47184.358181568175</v>
      </c>
      <c r="K558" s="74">
        <f t="shared" si="65"/>
        <v>6712.2454837478363</v>
      </c>
      <c r="L558" s="74">
        <f t="shared" si="66"/>
        <v>6658.0611947172038</v>
      </c>
      <c r="M558" s="74">
        <f t="shared" si="67"/>
        <v>9454.3121540751072</v>
      </c>
      <c r="N558" s="74">
        <f t="shared" si="68"/>
        <v>21712.245483747836</v>
      </c>
      <c r="O558" s="74">
        <f t="shared" si="69"/>
        <v>-48341.9388052828</v>
      </c>
      <c r="P558" s="74">
        <f t="shared" si="70"/>
        <v>52994.005806319605</v>
      </c>
    </row>
    <row r="559" spans="1:16" x14ac:dyDescent="0.3">
      <c r="A559" s="72">
        <f t="shared" si="57"/>
        <v>125</v>
      </c>
      <c r="B559" s="74">
        <f t="shared" si="58"/>
        <v>-29827.683267616485</v>
      </c>
      <c r="C559" s="74">
        <f t="shared" si="59"/>
        <v>14712.950537408824</v>
      </c>
      <c r="D559" s="74">
        <f t="shared" si="60"/>
        <v>-6230.8755677372992</v>
      </c>
      <c r="E559" s="74">
        <f t="shared" si="61"/>
        <v>2742.0234642520541</v>
      </c>
      <c r="F559" s="74">
        <f t="shared" si="55"/>
        <v>8070.4555591809813</v>
      </c>
      <c r="G559" s="74">
        <f t="shared" si="56"/>
        <v>3417.1108230784776</v>
      </c>
      <c r="H559" s="74">
        <f t="shared" si="62"/>
        <v>49827.683267616485</v>
      </c>
      <c r="I559" s="74">
        <f t="shared" si="63"/>
        <v>5287.0494625911761</v>
      </c>
      <c r="J559" s="74">
        <f t="shared" si="64"/>
        <v>50107.393784129235</v>
      </c>
      <c r="K559" s="74">
        <f t="shared" si="65"/>
        <v>9827.683267616485</v>
      </c>
      <c r="L559" s="74">
        <f t="shared" si="66"/>
        <v>5287.0494625911761</v>
      </c>
      <c r="M559" s="74">
        <f t="shared" si="67"/>
        <v>11159.581104525147</v>
      </c>
      <c r="N559" s="74">
        <f t="shared" si="68"/>
        <v>24827.683267616485</v>
      </c>
      <c r="O559" s="74">
        <f t="shared" si="69"/>
        <v>-49712.950537408826</v>
      </c>
      <c r="P559" s="74">
        <f t="shared" si="70"/>
        <v>55567.898174862974</v>
      </c>
    </row>
    <row r="560" spans="1:16" x14ac:dyDescent="0.3">
      <c r="A560" s="72">
        <f t="shared" si="57"/>
        <v>125.5</v>
      </c>
      <c r="B560" s="74">
        <f t="shared" si="58"/>
        <v>-30925.507161689889</v>
      </c>
      <c r="C560" s="74">
        <f t="shared" si="59"/>
        <v>16938.23997530447</v>
      </c>
      <c r="D560" s="74">
        <f t="shared" si="60"/>
        <v>-2195.6477881468086</v>
      </c>
      <c r="E560" s="74">
        <f t="shared" si="61"/>
        <v>4450.5788757912924</v>
      </c>
      <c r="F560" s="74">
        <f t="shared" si="55"/>
        <v>8558.1982262023575</v>
      </c>
      <c r="G560" s="74">
        <f t="shared" si="56"/>
        <v>1732.1457255133259</v>
      </c>
      <c r="H560" s="74">
        <f t="shared" si="62"/>
        <v>50925.507161689893</v>
      </c>
      <c r="I560" s="74">
        <f t="shared" si="63"/>
        <v>3061.7600246955299</v>
      </c>
      <c r="J560" s="74">
        <f t="shared" si="64"/>
        <v>51017.464207113939</v>
      </c>
      <c r="K560" s="74">
        <f t="shared" si="65"/>
        <v>10925.507161689889</v>
      </c>
      <c r="L560" s="74">
        <f t="shared" si="66"/>
        <v>3061.7600246955299</v>
      </c>
      <c r="M560" s="74">
        <f t="shared" si="67"/>
        <v>11346.412701332551</v>
      </c>
      <c r="N560" s="74">
        <f t="shared" si="68"/>
        <v>25925.507161689889</v>
      </c>
      <c r="O560" s="74">
        <f t="shared" si="69"/>
        <v>-51938.239975304474</v>
      </c>
      <c r="P560" s="74">
        <f t="shared" si="70"/>
        <v>58049.226466191169</v>
      </c>
    </row>
    <row r="561" spans="1:16" x14ac:dyDescent="0.3">
      <c r="A561" s="72">
        <f t="shared" si="57"/>
        <v>126</v>
      </c>
      <c r="B561" s="74">
        <f t="shared" si="58"/>
        <v>-29883.781499212706</v>
      </c>
      <c r="C561" s="74">
        <f t="shared" si="59"/>
        <v>19596.565844578447</v>
      </c>
      <c r="D561" s="74">
        <f t="shared" si="60"/>
        <v>2083.4513249543702</v>
      </c>
      <c r="E561" s="74">
        <f t="shared" si="61"/>
        <v>5316.6517385479556</v>
      </c>
      <c r="F561" s="74">
        <f t="shared" si="55"/>
        <v>10015.843163691616</v>
      </c>
      <c r="G561" s="74">
        <f t="shared" si="56"/>
        <v>-58.170491249947588</v>
      </c>
      <c r="H561" s="74">
        <f t="shared" si="62"/>
        <v>49883.78149921271</v>
      </c>
      <c r="I561" s="74">
        <f t="shared" si="63"/>
        <v>403.43415542155344</v>
      </c>
      <c r="J561" s="74">
        <f t="shared" si="64"/>
        <v>49885.41285565307</v>
      </c>
      <c r="K561" s="74">
        <f t="shared" si="65"/>
        <v>9883.781499212706</v>
      </c>
      <c r="L561" s="74">
        <f t="shared" si="66"/>
        <v>403.43415542155344</v>
      </c>
      <c r="M561" s="74">
        <f t="shared" si="67"/>
        <v>9892.0117186515745</v>
      </c>
      <c r="N561" s="74">
        <f t="shared" si="68"/>
        <v>24883.781499212706</v>
      </c>
      <c r="O561" s="74">
        <f t="shared" si="69"/>
        <v>-54596.56584457845</v>
      </c>
      <c r="P561" s="74">
        <f t="shared" si="70"/>
        <v>59999.896530927042</v>
      </c>
    </row>
    <row r="562" spans="1:16" x14ac:dyDescent="0.3">
      <c r="A562" s="72">
        <f t="shared" si="57"/>
        <v>126.5</v>
      </c>
      <c r="B562" s="74">
        <f t="shared" si="58"/>
        <v>-26338.095045812617</v>
      </c>
      <c r="C562" s="74">
        <f t="shared" si="59"/>
        <v>22240.349091039938</v>
      </c>
      <c r="D562" s="74">
        <f t="shared" si="60"/>
        <v>7091.3729068001776</v>
      </c>
      <c r="E562" s="74">
        <f t="shared" si="61"/>
        <v>5287.5664929229815</v>
      </c>
      <c r="F562" s="74">
        <f t="shared" si="55"/>
        <v>11913.315035205589</v>
      </c>
      <c r="G562" s="74">
        <f t="shared" si="56"/>
        <v>-4346.9994606076707</v>
      </c>
      <c r="H562" s="74">
        <f t="shared" si="62"/>
        <v>46338.095045812617</v>
      </c>
      <c r="I562" s="74">
        <f t="shared" si="63"/>
        <v>-2240.3490910399378</v>
      </c>
      <c r="J562" s="74">
        <f t="shared" si="64"/>
        <v>46392.221508831492</v>
      </c>
      <c r="K562" s="74">
        <f t="shared" si="65"/>
        <v>6338.0950458126172</v>
      </c>
      <c r="L562" s="74">
        <f t="shared" si="66"/>
        <v>-2240.3490910399378</v>
      </c>
      <c r="M562" s="74">
        <f t="shared" si="67"/>
        <v>6722.3963628662896</v>
      </c>
      <c r="N562" s="74">
        <f t="shared" si="68"/>
        <v>21338.095045812617</v>
      </c>
      <c r="O562" s="74">
        <f t="shared" si="69"/>
        <v>-57240.349091039941</v>
      </c>
      <c r="P562" s="74">
        <f t="shared" si="70"/>
        <v>61088.230161367828</v>
      </c>
    </row>
    <row r="563" spans="1:16" x14ac:dyDescent="0.3">
      <c r="A563" s="72">
        <f t="shared" si="57"/>
        <v>127</v>
      </c>
      <c r="B563" s="74">
        <f t="shared" si="58"/>
        <v>-19814.079833611133</v>
      </c>
      <c r="C563" s="74">
        <f t="shared" si="59"/>
        <v>23797.382472349513</v>
      </c>
      <c r="D563" s="74">
        <f t="shared" si="60"/>
        <v>13048.030424402972</v>
      </c>
      <c r="E563" s="74">
        <f t="shared" si="61"/>
        <v>3114.0667626191462</v>
      </c>
      <c r="F563" s="74">
        <f t="shared" si="55"/>
        <v>606.36897970427458</v>
      </c>
      <c r="G563" s="74">
        <f t="shared" si="56"/>
        <v>-11842.336335725275</v>
      </c>
      <c r="H563" s="74">
        <f t="shared" si="62"/>
        <v>39814.079833611133</v>
      </c>
      <c r="I563" s="74">
        <f t="shared" si="63"/>
        <v>-3797.3824723495127</v>
      </c>
      <c r="J563" s="74">
        <f t="shared" si="64"/>
        <v>39994.762990152449</v>
      </c>
      <c r="K563" s="74">
        <f t="shared" si="65"/>
        <v>-185.92016638886707</v>
      </c>
      <c r="L563" s="74">
        <f t="shared" si="66"/>
        <v>-3797.3824723495127</v>
      </c>
      <c r="M563" s="74">
        <f t="shared" si="67"/>
        <v>3801.9310816448738</v>
      </c>
      <c r="N563" s="74">
        <f t="shared" si="68"/>
        <v>14814.079833611133</v>
      </c>
      <c r="O563" s="74">
        <f t="shared" si="69"/>
        <v>-58797.382472349513</v>
      </c>
      <c r="P563" s="74">
        <f t="shared" si="70"/>
        <v>60634.883911131205</v>
      </c>
    </row>
    <row r="564" spans="1:16" x14ac:dyDescent="0.3">
      <c r="A564" s="72">
        <f t="shared" si="57"/>
        <v>127.5</v>
      </c>
      <c r="B564" s="74">
        <f t="shared" si="58"/>
        <v>-13138.472376483578</v>
      </c>
      <c r="C564" s="74">
        <f t="shared" si="59"/>
        <v>22393.831769727767</v>
      </c>
      <c r="D564" s="74">
        <f t="shared" si="60"/>
        <v>13351.21491425511</v>
      </c>
      <c r="E564" s="74">
        <f t="shared" si="61"/>
        <v>-2807.1014052434912</v>
      </c>
      <c r="F564" s="74">
        <f t="shared" si="55"/>
        <v>-9092.0743861201026</v>
      </c>
      <c r="G564" s="74">
        <f t="shared" si="56"/>
        <v>-4329.1012100484204</v>
      </c>
      <c r="H564" s="74">
        <f t="shared" si="62"/>
        <v>33138.47237648358</v>
      </c>
      <c r="I564" s="74">
        <f t="shared" si="63"/>
        <v>-2393.8317697277671</v>
      </c>
      <c r="J564" s="74">
        <f t="shared" si="64"/>
        <v>33224.821775123542</v>
      </c>
      <c r="K564" s="74">
        <f t="shared" si="65"/>
        <v>-6861.527623516422</v>
      </c>
      <c r="L564" s="74">
        <f t="shared" si="66"/>
        <v>-2393.8317697277671</v>
      </c>
      <c r="M564" s="74">
        <f t="shared" si="67"/>
        <v>7267.1171636376475</v>
      </c>
      <c r="N564" s="74">
        <f t="shared" si="68"/>
        <v>8138.472376483578</v>
      </c>
      <c r="O564" s="74">
        <f t="shared" si="69"/>
        <v>-57393.831769727767</v>
      </c>
      <c r="P564" s="74">
        <f t="shared" si="70"/>
        <v>57967.979590758536</v>
      </c>
    </row>
    <row r="565" spans="1:16" x14ac:dyDescent="0.3">
      <c r="A565" s="72">
        <f t="shared" si="57"/>
        <v>128</v>
      </c>
      <c r="B565" s="74">
        <f t="shared" si="58"/>
        <v>-8735.8835158860493</v>
      </c>
      <c r="C565" s="74">
        <f t="shared" si="59"/>
        <v>19908.005764593916</v>
      </c>
      <c r="D565" s="74">
        <f t="shared" si="60"/>
        <v>8805.1777211950575</v>
      </c>
      <c r="E565" s="74">
        <f t="shared" si="61"/>
        <v>-4971.6520102677014</v>
      </c>
      <c r="F565" s="74">
        <f t="shared" si="55"/>
        <v>-6054.4222903949203</v>
      </c>
      <c r="G565" s="74">
        <f t="shared" si="56"/>
        <v>-494.44596681253034</v>
      </c>
      <c r="H565" s="74">
        <f t="shared" si="62"/>
        <v>28735.883515886049</v>
      </c>
      <c r="I565" s="74">
        <f t="shared" si="63"/>
        <v>91.994235406084044</v>
      </c>
      <c r="J565" s="74">
        <f t="shared" si="64"/>
        <v>28736.03076936548</v>
      </c>
      <c r="K565" s="74">
        <f t="shared" si="65"/>
        <v>-11264.116484113951</v>
      </c>
      <c r="L565" s="74">
        <f t="shared" si="66"/>
        <v>91.994235406084044</v>
      </c>
      <c r="M565" s="74">
        <f t="shared" si="67"/>
        <v>11264.492137111001</v>
      </c>
      <c r="N565" s="74">
        <f t="shared" si="68"/>
        <v>3735.8835158860493</v>
      </c>
      <c r="O565" s="74">
        <f t="shared" si="69"/>
        <v>-54908.005764593916</v>
      </c>
      <c r="P565" s="74">
        <f t="shared" si="70"/>
        <v>55034.951827806188</v>
      </c>
    </row>
    <row r="566" spans="1:16" x14ac:dyDescent="0.3">
      <c r="A566" s="72">
        <f t="shared" si="57"/>
        <v>128.5</v>
      </c>
      <c r="B566" s="74">
        <f t="shared" si="58"/>
        <v>-5846.9002278872504</v>
      </c>
      <c r="C566" s="74">
        <f t="shared" si="59"/>
        <v>17298.568267756931</v>
      </c>
      <c r="D566" s="74">
        <f t="shared" si="60"/>
        <v>5777.9665759975978</v>
      </c>
      <c r="E566" s="74">
        <f t="shared" si="61"/>
        <v>-5218.8749936739669</v>
      </c>
      <c r="F566" s="74">
        <f t="shared" ref="F566:F629" si="71">$C$23*(H566/(J566^2+$C$24^2)^1.5)+$C$32*(K566/(M566^2+$C$33^2)^1.5)+C$41*(N566/(P566^2+$C$42^2)^1.5)</f>
        <v>-3517.0932721188287</v>
      </c>
      <c r="G566" s="74">
        <f t="shared" ref="G566:G629" si="72">$C$23*(I566/(J566^2+$C$24^2)^1.5)+$C$32*(L566/(M566^2+$C$33^2)^1.5)+C$41*(O566/(P566^2+$C$42^2)^1.5)</f>
        <v>728.63093376041593</v>
      </c>
      <c r="H566" s="74">
        <f t="shared" si="62"/>
        <v>25846.90022788725</v>
      </c>
      <c r="I566" s="74">
        <f t="shared" si="63"/>
        <v>2701.4317322430688</v>
      </c>
      <c r="J566" s="74">
        <f t="shared" si="64"/>
        <v>25987.689100693962</v>
      </c>
      <c r="K566" s="74">
        <f t="shared" si="65"/>
        <v>-14153.09977211275</v>
      </c>
      <c r="L566" s="74">
        <f t="shared" si="66"/>
        <v>2701.4317322430688</v>
      </c>
      <c r="M566" s="74">
        <f t="shared" si="67"/>
        <v>14408.607377652697</v>
      </c>
      <c r="N566" s="74">
        <f t="shared" si="68"/>
        <v>846.90022788725037</v>
      </c>
      <c r="O566" s="74">
        <f t="shared" si="69"/>
        <v>-52298.568267756928</v>
      </c>
      <c r="P566" s="74">
        <f t="shared" si="70"/>
        <v>52305.424984921279</v>
      </c>
    </row>
    <row r="567" spans="1:16" x14ac:dyDescent="0.3">
      <c r="A567" s="72">
        <f t="shared" ref="A567:A630" si="73">A566+$C$5</f>
        <v>129</v>
      </c>
      <c r="B567" s="74">
        <f t="shared" ref="B567:B630" si="74">B566+D566*(A567-A566)+F566*(A567-A566)^2</f>
        <v>-3837.1902579181587</v>
      </c>
      <c r="C567" s="74">
        <f t="shared" ref="C567:C630" si="75">C566+E566*(A567-A566)+G566*(A567-A566)^2</f>
        <v>14871.288504360053</v>
      </c>
      <c r="D567" s="74">
        <f t="shared" ref="D567:D630" si="76">D566+F566*(A567-A566)</f>
        <v>4019.4199399381832</v>
      </c>
      <c r="E567" s="74">
        <f t="shared" ref="E567:E630" si="77">E566+G566*(A567-A566)</f>
        <v>-4854.5595267937588</v>
      </c>
      <c r="F567" s="74">
        <f t="shared" si="71"/>
        <v>-1959.3303944649654</v>
      </c>
      <c r="G567" s="74">
        <f t="shared" si="72"/>
        <v>1281.2215075275208</v>
      </c>
      <c r="H567" s="74">
        <f t="shared" ref="H567:H630" si="78">$C$19-B567</f>
        <v>23837.190257918159</v>
      </c>
      <c r="I567" s="74">
        <f t="shared" ref="I567:I630" si="79">$D$19-C567</f>
        <v>5128.7114956399473</v>
      </c>
      <c r="J567" s="74">
        <f t="shared" ref="J567:J630" si="80">SQRT(H567^2+I567^2)</f>
        <v>24382.684860320405</v>
      </c>
      <c r="K567" s="74">
        <f t="shared" ref="K567:K630" si="81">$C$28-B567</f>
        <v>-16162.809742081841</v>
      </c>
      <c r="L567" s="74">
        <f t="shared" ref="L567:L630" si="82">$D$28-C567</f>
        <v>5128.7114956399473</v>
      </c>
      <c r="M567" s="74">
        <f t="shared" ref="M567:M630" si="83">SQRT(K567^2+L567^2)</f>
        <v>16957.007411811941</v>
      </c>
      <c r="N567" s="74">
        <f t="shared" ref="N567:N630" si="84">$C$37-B567</f>
        <v>-1162.8097420818413</v>
      </c>
      <c r="O567" s="74">
        <f t="shared" ref="O567:O630" si="85">$D$37-C567</f>
        <v>-49871.288504360055</v>
      </c>
      <c r="P567" s="74">
        <f t="shared" ref="P567:P630" si="86">SQRT(N567^2+O567^2)</f>
        <v>49884.84282406226</v>
      </c>
    </row>
    <row r="568" spans="1:16" x14ac:dyDescent="0.3">
      <c r="A568" s="72">
        <f t="shared" si="73"/>
        <v>129.5</v>
      </c>
      <c r="B568" s="74">
        <f t="shared" si="74"/>
        <v>-2317.3128865653084</v>
      </c>
      <c r="C568" s="74">
        <f t="shared" si="75"/>
        <v>12764.314117845055</v>
      </c>
      <c r="D568" s="74">
        <f t="shared" si="76"/>
        <v>3039.7547427057007</v>
      </c>
      <c r="E568" s="74">
        <f t="shared" si="77"/>
        <v>-4213.9487730299988</v>
      </c>
      <c r="F568" s="74">
        <f t="shared" si="71"/>
        <v>-1016.2238651610853</v>
      </c>
      <c r="G568" s="74">
        <f t="shared" si="72"/>
        <v>1591.0942317547085</v>
      </c>
      <c r="H568" s="74">
        <f t="shared" si="78"/>
        <v>22317.312886565309</v>
      </c>
      <c r="I568" s="74">
        <f t="shared" si="79"/>
        <v>7235.6858821549449</v>
      </c>
      <c r="J568" s="74">
        <f t="shared" si="80"/>
        <v>23460.980471030412</v>
      </c>
      <c r="K568" s="74">
        <f t="shared" si="81"/>
        <v>-17682.687113434691</v>
      </c>
      <c r="L568" s="74">
        <f t="shared" si="82"/>
        <v>7235.6858821549449</v>
      </c>
      <c r="M568" s="74">
        <f t="shared" si="83"/>
        <v>19105.825649179511</v>
      </c>
      <c r="N568" s="74">
        <f t="shared" si="84"/>
        <v>-2682.6871134346916</v>
      </c>
      <c r="O568" s="74">
        <f t="shared" si="85"/>
        <v>-47764.314117845053</v>
      </c>
      <c r="P568" s="74">
        <f t="shared" si="86"/>
        <v>47839.591483380806</v>
      </c>
    </row>
    <row r="569" spans="1:16" x14ac:dyDescent="0.3">
      <c r="A569" s="72">
        <f t="shared" si="73"/>
        <v>130</v>
      </c>
      <c r="B569" s="74">
        <f t="shared" si="74"/>
        <v>-1051.4914815027294</v>
      </c>
      <c r="C569" s="74">
        <f t="shared" si="75"/>
        <v>11055.113289268733</v>
      </c>
      <c r="D569" s="74">
        <f t="shared" si="76"/>
        <v>2531.6428101251581</v>
      </c>
      <c r="E569" s="74">
        <f t="shared" si="77"/>
        <v>-3418.4016571526445</v>
      </c>
      <c r="F569" s="74">
        <f t="shared" si="71"/>
        <v>-438.36899607677202</v>
      </c>
      <c r="G569" s="74">
        <f t="shared" si="72"/>
        <v>1774.7345772817321</v>
      </c>
      <c r="H569" s="74">
        <f t="shared" si="78"/>
        <v>21051.49148150273</v>
      </c>
      <c r="I569" s="74">
        <f t="shared" si="79"/>
        <v>8944.8867107312672</v>
      </c>
      <c r="J569" s="74">
        <f t="shared" si="80"/>
        <v>22873.047279791968</v>
      </c>
      <c r="K569" s="74">
        <f t="shared" si="81"/>
        <v>-18948.50851849727</v>
      </c>
      <c r="L569" s="74">
        <f t="shared" si="82"/>
        <v>8944.8867107312672</v>
      </c>
      <c r="M569" s="74">
        <f t="shared" si="83"/>
        <v>20953.686390308041</v>
      </c>
      <c r="N569" s="74">
        <f t="shared" si="84"/>
        <v>-3948.5085184972704</v>
      </c>
      <c r="O569" s="74">
        <f t="shared" si="85"/>
        <v>-46055.113289268731</v>
      </c>
      <c r="P569" s="74">
        <f t="shared" si="86"/>
        <v>46224.064940331926</v>
      </c>
    </row>
    <row r="570" spans="1:16" x14ac:dyDescent="0.3">
      <c r="A570" s="72">
        <f t="shared" si="73"/>
        <v>130.5</v>
      </c>
      <c r="B570" s="74">
        <f t="shared" si="74"/>
        <v>104.7376745406567</v>
      </c>
      <c r="C570" s="74">
        <f t="shared" si="75"/>
        <v>9789.5961050128444</v>
      </c>
      <c r="D570" s="74">
        <f t="shared" si="76"/>
        <v>2312.4583120867719</v>
      </c>
      <c r="E570" s="74">
        <f t="shared" si="77"/>
        <v>-2531.0343685117787</v>
      </c>
      <c r="F570" s="74">
        <f t="shared" si="71"/>
        <v>-62.692035890767414</v>
      </c>
      <c r="G570" s="74">
        <f t="shared" si="72"/>
        <v>1890.3195991700063</v>
      </c>
      <c r="H570" s="74">
        <f t="shared" si="78"/>
        <v>19895.262325459342</v>
      </c>
      <c r="I570" s="74">
        <f t="shared" si="79"/>
        <v>10210.403894987156</v>
      </c>
      <c r="J570" s="74">
        <f t="shared" si="80"/>
        <v>22362.330171464931</v>
      </c>
      <c r="K570" s="74">
        <f t="shared" si="81"/>
        <v>-20104.737674540658</v>
      </c>
      <c r="L570" s="74">
        <f t="shared" si="82"/>
        <v>10210.403894987156</v>
      </c>
      <c r="M570" s="74">
        <f t="shared" si="83"/>
        <v>22548.898524337357</v>
      </c>
      <c r="N570" s="74">
        <f t="shared" si="84"/>
        <v>-5104.7376745406564</v>
      </c>
      <c r="O570" s="74">
        <f t="shared" si="85"/>
        <v>-44789.596105012846</v>
      </c>
      <c r="P570" s="74">
        <f t="shared" si="86"/>
        <v>45079.554855566807</v>
      </c>
    </row>
    <row r="571" spans="1:16" x14ac:dyDescent="0.3">
      <c r="A571" s="72">
        <f t="shared" si="73"/>
        <v>131</v>
      </c>
      <c r="B571" s="74">
        <f t="shared" si="74"/>
        <v>1245.2938216113507</v>
      </c>
      <c r="C571" s="74">
        <f t="shared" si="75"/>
        <v>8996.6588205494554</v>
      </c>
      <c r="D571" s="74">
        <f t="shared" si="76"/>
        <v>2281.1122941413882</v>
      </c>
      <c r="E571" s="74">
        <f t="shared" si="77"/>
        <v>-1585.8745689267755</v>
      </c>
      <c r="F571" s="74">
        <f t="shared" si="71"/>
        <v>221.20227209475541</v>
      </c>
      <c r="G571" s="74">
        <f t="shared" si="72"/>
        <v>1981.9174137150171</v>
      </c>
      <c r="H571" s="74">
        <f t="shared" si="78"/>
        <v>18754.706178388649</v>
      </c>
      <c r="I571" s="74">
        <f t="shared" si="79"/>
        <v>11003.341179450545</v>
      </c>
      <c r="J571" s="74">
        <f t="shared" si="80"/>
        <v>21744.252595779912</v>
      </c>
      <c r="K571" s="74">
        <f t="shared" si="81"/>
        <v>-21245.293821611351</v>
      </c>
      <c r="L571" s="74">
        <f t="shared" si="82"/>
        <v>11003.341179450545</v>
      </c>
      <c r="M571" s="74">
        <f t="shared" si="83"/>
        <v>23925.635345335962</v>
      </c>
      <c r="N571" s="74">
        <f t="shared" si="84"/>
        <v>-6245.2938216113507</v>
      </c>
      <c r="O571" s="74">
        <f t="shared" si="85"/>
        <v>-43996.658820549455</v>
      </c>
      <c r="P571" s="74">
        <f t="shared" si="86"/>
        <v>44437.705637106075</v>
      </c>
    </row>
    <row r="572" spans="1:16" x14ac:dyDescent="0.3">
      <c r="A572" s="72">
        <f t="shared" si="73"/>
        <v>131.5</v>
      </c>
      <c r="B572" s="74">
        <f t="shared" si="74"/>
        <v>2441.1505367057339</v>
      </c>
      <c r="C572" s="74">
        <f t="shared" si="75"/>
        <v>8699.2008895148228</v>
      </c>
      <c r="D572" s="74">
        <f t="shared" si="76"/>
        <v>2391.7134301887659</v>
      </c>
      <c r="E572" s="74">
        <f t="shared" si="77"/>
        <v>-594.91586206926695</v>
      </c>
      <c r="F572" s="74">
        <f t="shared" si="71"/>
        <v>496.60807782140552</v>
      </c>
      <c r="G572" s="74">
        <f t="shared" si="72"/>
        <v>2086.2866761162145</v>
      </c>
      <c r="H572" s="74">
        <f t="shared" si="78"/>
        <v>17558.849463294267</v>
      </c>
      <c r="I572" s="74">
        <f t="shared" si="79"/>
        <v>11300.799110485177</v>
      </c>
      <c r="J572" s="74">
        <f t="shared" si="80"/>
        <v>20881.121976804119</v>
      </c>
      <c r="K572" s="74">
        <f t="shared" si="81"/>
        <v>-22441.150536705733</v>
      </c>
      <c r="L572" s="74">
        <f t="shared" si="82"/>
        <v>11300.799110485177</v>
      </c>
      <c r="M572" s="74">
        <f t="shared" si="83"/>
        <v>25125.948697444852</v>
      </c>
      <c r="N572" s="74">
        <f t="shared" si="84"/>
        <v>-7441.1505367057343</v>
      </c>
      <c r="O572" s="74">
        <f t="shared" si="85"/>
        <v>-43699.200889514825</v>
      </c>
      <c r="P572" s="74">
        <f t="shared" si="86"/>
        <v>44328.217646236233</v>
      </c>
    </row>
    <row r="573" spans="1:16" x14ac:dyDescent="0.3">
      <c r="A573" s="72">
        <f t="shared" si="73"/>
        <v>132</v>
      </c>
      <c r="B573" s="74">
        <f t="shared" si="74"/>
        <v>3761.1592712554684</v>
      </c>
      <c r="C573" s="74">
        <f t="shared" si="75"/>
        <v>8923.314627509244</v>
      </c>
      <c r="D573" s="74">
        <f t="shared" si="76"/>
        <v>2640.0174690994686</v>
      </c>
      <c r="E573" s="74">
        <f t="shared" si="77"/>
        <v>448.2274759888403</v>
      </c>
      <c r="F573" s="74">
        <f t="shared" si="71"/>
        <v>845.0421293209771</v>
      </c>
      <c r="G573" s="74">
        <f t="shared" si="72"/>
        <v>2238.4988362529257</v>
      </c>
      <c r="H573" s="74">
        <f t="shared" si="78"/>
        <v>16238.840728744532</v>
      </c>
      <c r="I573" s="74">
        <f t="shared" si="79"/>
        <v>11076.685372490756</v>
      </c>
      <c r="J573" s="74">
        <f t="shared" si="80"/>
        <v>19656.87938241172</v>
      </c>
      <c r="K573" s="74">
        <f t="shared" si="81"/>
        <v>-23761.15927125547</v>
      </c>
      <c r="L573" s="74">
        <f t="shared" si="82"/>
        <v>11076.685372490756</v>
      </c>
      <c r="M573" s="74">
        <f t="shared" si="83"/>
        <v>26216.133367739803</v>
      </c>
      <c r="N573" s="74">
        <f t="shared" si="84"/>
        <v>-8761.1592712554684</v>
      </c>
      <c r="O573" s="74">
        <f t="shared" si="85"/>
        <v>-43923.314627509244</v>
      </c>
      <c r="P573" s="74">
        <f t="shared" si="86"/>
        <v>44788.56416144051</v>
      </c>
    </row>
    <row r="574" spans="1:16" x14ac:dyDescent="0.3">
      <c r="A574" s="72">
        <f t="shared" si="73"/>
        <v>132.5</v>
      </c>
      <c r="B574" s="74">
        <f t="shared" si="74"/>
        <v>5292.4285381354466</v>
      </c>
      <c r="C574" s="74">
        <f t="shared" si="75"/>
        <v>9707.0530745668948</v>
      </c>
      <c r="D574" s="74">
        <f t="shared" si="76"/>
        <v>3062.5385337599573</v>
      </c>
      <c r="E574" s="74">
        <f t="shared" si="77"/>
        <v>1567.4768941153031</v>
      </c>
      <c r="F574" s="74">
        <f t="shared" si="71"/>
        <v>1380.086922231631</v>
      </c>
      <c r="G574" s="74">
        <f t="shared" si="72"/>
        <v>2484.5232887746774</v>
      </c>
      <c r="H574" s="74">
        <f t="shared" si="78"/>
        <v>14707.571461864554</v>
      </c>
      <c r="I574" s="74">
        <f t="shared" si="79"/>
        <v>10292.946925433105</v>
      </c>
      <c r="J574" s="74">
        <f t="shared" si="80"/>
        <v>17951.529592645733</v>
      </c>
      <c r="K574" s="74">
        <f t="shared" si="81"/>
        <v>-25292.428538135446</v>
      </c>
      <c r="L574" s="74">
        <f t="shared" si="82"/>
        <v>10292.946925433105</v>
      </c>
      <c r="M574" s="74">
        <f t="shared" si="83"/>
        <v>27306.623697675826</v>
      </c>
      <c r="N574" s="74">
        <f t="shared" si="84"/>
        <v>-10292.428538135446</v>
      </c>
      <c r="O574" s="74">
        <f t="shared" si="85"/>
        <v>-44707.053074566895</v>
      </c>
      <c r="P574" s="74">
        <f t="shared" si="86"/>
        <v>45876.515558886618</v>
      </c>
    </row>
    <row r="575" spans="1:16" x14ac:dyDescent="0.3">
      <c r="A575" s="72">
        <f t="shared" si="73"/>
        <v>133</v>
      </c>
      <c r="B575" s="74">
        <f t="shared" si="74"/>
        <v>7168.7195355733329</v>
      </c>
      <c r="C575" s="74">
        <f t="shared" si="75"/>
        <v>11111.922343818214</v>
      </c>
      <c r="D575" s="74">
        <f t="shared" si="76"/>
        <v>3752.5819948757726</v>
      </c>
      <c r="E575" s="74">
        <f t="shared" si="77"/>
        <v>2809.7385385026419</v>
      </c>
      <c r="F575" s="74">
        <f t="shared" si="71"/>
        <v>2314.9664072630317</v>
      </c>
      <c r="G575" s="74">
        <f t="shared" si="72"/>
        <v>2908.6790531914271</v>
      </c>
      <c r="H575" s="74">
        <f t="shared" si="78"/>
        <v>12831.280464426667</v>
      </c>
      <c r="I575" s="74">
        <f t="shared" si="79"/>
        <v>8888.0776561817856</v>
      </c>
      <c r="J575" s="74">
        <f t="shared" si="80"/>
        <v>15608.961617580311</v>
      </c>
      <c r="K575" s="74">
        <f t="shared" si="81"/>
        <v>-27168.719535573335</v>
      </c>
      <c r="L575" s="74">
        <f t="shared" si="82"/>
        <v>8888.0776561817856</v>
      </c>
      <c r="M575" s="74">
        <f t="shared" si="83"/>
        <v>28585.612563402625</v>
      </c>
      <c r="N575" s="74">
        <f t="shared" si="84"/>
        <v>-12168.719535573333</v>
      </c>
      <c r="O575" s="74">
        <f t="shared" si="85"/>
        <v>-46111.922343818216</v>
      </c>
      <c r="P575" s="74">
        <f t="shared" si="86"/>
        <v>47690.534882487591</v>
      </c>
    </row>
    <row r="576" spans="1:16" x14ac:dyDescent="0.3">
      <c r="A576" s="72">
        <f t="shared" si="73"/>
        <v>133.5</v>
      </c>
      <c r="B576" s="74">
        <f t="shared" si="74"/>
        <v>9623.7521348269784</v>
      </c>
      <c r="C576" s="74">
        <f t="shared" si="75"/>
        <v>13243.961376367393</v>
      </c>
      <c r="D576" s="74">
        <f t="shared" si="76"/>
        <v>4910.0651985072882</v>
      </c>
      <c r="E576" s="74">
        <f t="shared" si="77"/>
        <v>4264.0780650983552</v>
      </c>
      <c r="F576" s="74">
        <f t="shared" si="71"/>
        <v>4141.3540266842911</v>
      </c>
      <c r="G576" s="74">
        <f t="shared" si="72"/>
        <v>3681.0178891760279</v>
      </c>
      <c r="H576" s="74">
        <f t="shared" si="78"/>
        <v>10376.247865173022</v>
      </c>
      <c r="I576" s="74">
        <f t="shared" si="79"/>
        <v>6756.0386236326067</v>
      </c>
      <c r="J576" s="74">
        <f t="shared" si="80"/>
        <v>12381.864869377441</v>
      </c>
      <c r="K576" s="74">
        <f t="shared" si="81"/>
        <v>-29623.75213482698</v>
      </c>
      <c r="L576" s="74">
        <f t="shared" si="82"/>
        <v>6756.0386236326067</v>
      </c>
      <c r="M576" s="74">
        <f t="shared" si="83"/>
        <v>30384.383298492034</v>
      </c>
      <c r="N576" s="74">
        <f t="shared" si="84"/>
        <v>-14623.752134826978</v>
      </c>
      <c r="O576" s="74">
        <f t="shared" si="85"/>
        <v>-48243.961376367391</v>
      </c>
      <c r="P576" s="74">
        <f t="shared" si="86"/>
        <v>50411.644843084468</v>
      </c>
    </row>
    <row r="577" spans="1:16" x14ac:dyDescent="0.3">
      <c r="A577" s="72">
        <f t="shared" si="73"/>
        <v>134</v>
      </c>
      <c r="B577" s="74">
        <f t="shared" si="74"/>
        <v>13114.123240751695</v>
      </c>
      <c r="C577" s="74">
        <f t="shared" si="75"/>
        <v>16296.254881210578</v>
      </c>
      <c r="D577" s="74">
        <f t="shared" si="76"/>
        <v>6980.7422118494342</v>
      </c>
      <c r="E577" s="74">
        <f t="shared" si="77"/>
        <v>6104.5870096863691</v>
      </c>
      <c r="F577" s="74">
        <f t="shared" si="71"/>
        <v>7906.0025036368979</v>
      </c>
      <c r="G577" s="74">
        <f t="shared" si="72"/>
        <v>4763.3318672625228</v>
      </c>
      <c r="H577" s="74">
        <f t="shared" si="78"/>
        <v>6885.8767592483055</v>
      </c>
      <c r="I577" s="74">
        <f t="shared" si="79"/>
        <v>3703.7451187894221</v>
      </c>
      <c r="J577" s="74">
        <f t="shared" si="80"/>
        <v>7818.7611965395399</v>
      </c>
      <c r="K577" s="74">
        <f t="shared" si="81"/>
        <v>-33114.123240751695</v>
      </c>
      <c r="L577" s="74">
        <f t="shared" si="82"/>
        <v>3703.7451187894221</v>
      </c>
      <c r="M577" s="74">
        <f t="shared" si="83"/>
        <v>33320.607526103842</v>
      </c>
      <c r="N577" s="74">
        <f t="shared" si="84"/>
        <v>-18114.123240751695</v>
      </c>
      <c r="O577" s="74">
        <f t="shared" si="85"/>
        <v>-51296.254881210582</v>
      </c>
      <c r="P577" s="74">
        <f t="shared" si="86"/>
        <v>54400.617879021018</v>
      </c>
    </row>
    <row r="578" spans="1:16" x14ac:dyDescent="0.3">
      <c r="A578" s="72">
        <f t="shared" si="73"/>
        <v>134.5</v>
      </c>
      <c r="B578" s="74">
        <f t="shared" si="74"/>
        <v>18580.994972585639</v>
      </c>
      <c r="C578" s="74">
        <f t="shared" si="75"/>
        <v>20539.381352869394</v>
      </c>
      <c r="D578" s="74">
        <f t="shared" si="76"/>
        <v>10933.743463667883</v>
      </c>
      <c r="E578" s="74">
        <f t="shared" si="77"/>
        <v>8486.2529433176314</v>
      </c>
      <c r="F578" s="74">
        <f t="shared" si="71"/>
        <v>4288.4722437207893</v>
      </c>
      <c r="G578" s="74">
        <f t="shared" si="72"/>
        <v>-2579.6174472989578</v>
      </c>
      <c r="H578" s="74">
        <f t="shared" si="78"/>
        <v>1419.0050274143614</v>
      </c>
      <c r="I578" s="74">
        <f t="shared" si="79"/>
        <v>-539.3813528693936</v>
      </c>
      <c r="J578" s="74">
        <f t="shared" si="80"/>
        <v>1518.0604440042728</v>
      </c>
      <c r="K578" s="74">
        <f t="shared" si="81"/>
        <v>-38580.994972585642</v>
      </c>
      <c r="L578" s="74">
        <f t="shared" si="82"/>
        <v>-539.3813528693936</v>
      </c>
      <c r="M578" s="74">
        <f t="shared" si="83"/>
        <v>38584.76519714098</v>
      </c>
      <c r="N578" s="74">
        <f t="shared" si="84"/>
        <v>-23580.994972585639</v>
      </c>
      <c r="O578" s="74">
        <f t="shared" si="85"/>
        <v>-55539.381352869394</v>
      </c>
      <c r="P578" s="74">
        <f t="shared" si="86"/>
        <v>60338.099116201578</v>
      </c>
    </row>
    <row r="579" spans="1:16" x14ac:dyDescent="0.3">
      <c r="A579" s="72">
        <f t="shared" si="73"/>
        <v>135</v>
      </c>
      <c r="B579" s="74">
        <f t="shared" si="74"/>
        <v>25119.984765349778</v>
      </c>
      <c r="C579" s="74">
        <f t="shared" si="75"/>
        <v>24137.603462703471</v>
      </c>
      <c r="D579" s="74">
        <f t="shared" si="76"/>
        <v>13077.979585528277</v>
      </c>
      <c r="E579" s="74">
        <f t="shared" si="77"/>
        <v>7196.4442196681521</v>
      </c>
      <c r="F579" s="74">
        <f t="shared" si="71"/>
        <v>-10106.301966390534</v>
      </c>
      <c r="G579" s="74">
        <f t="shared" si="72"/>
        <v>-7783.8700865154606</v>
      </c>
      <c r="H579" s="74">
        <f t="shared" si="78"/>
        <v>-5119.9847653497782</v>
      </c>
      <c r="I579" s="74">
        <f t="shared" si="79"/>
        <v>-4137.6034627034715</v>
      </c>
      <c r="J579" s="74">
        <f t="shared" si="80"/>
        <v>6582.8570098392365</v>
      </c>
      <c r="K579" s="74">
        <f t="shared" si="81"/>
        <v>-45119.984765349778</v>
      </c>
      <c r="L579" s="74">
        <f t="shared" si="82"/>
        <v>-4137.6034627034715</v>
      </c>
      <c r="M579" s="74">
        <f t="shared" si="83"/>
        <v>45309.301336921671</v>
      </c>
      <c r="N579" s="74">
        <f t="shared" si="84"/>
        <v>-30119.984765349778</v>
      </c>
      <c r="O579" s="74">
        <f t="shared" si="85"/>
        <v>-59137.603462703468</v>
      </c>
      <c r="P579" s="74">
        <f t="shared" si="86"/>
        <v>66366.178325837478</v>
      </c>
    </row>
    <row r="580" spans="1:16" x14ac:dyDescent="0.3">
      <c r="A580" s="72">
        <f t="shared" si="73"/>
        <v>135.5</v>
      </c>
      <c r="B580" s="74">
        <f t="shared" si="74"/>
        <v>29132.399066516286</v>
      </c>
      <c r="C580" s="74">
        <f t="shared" si="75"/>
        <v>25789.858050908682</v>
      </c>
      <c r="D580" s="74">
        <f t="shared" si="76"/>
        <v>8024.8286023330102</v>
      </c>
      <c r="E580" s="74">
        <f t="shared" si="77"/>
        <v>3304.5091764104218</v>
      </c>
      <c r="F580" s="74">
        <f t="shared" si="71"/>
        <v>-7949.6651073289013</v>
      </c>
      <c r="G580" s="74">
        <f t="shared" si="72"/>
        <v>-4882.9881210448766</v>
      </c>
      <c r="H580" s="74">
        <f t="shared" si="78"/>
        <v>-9132.3990665162855</v>
      </c>
      <c r="I580" s="74">
        <f t="shared" si="79"/>
        <v>-5789.8580509086823</v>
      </c>
      <c r="J580" s="74">
        <f t="shared" si="80"/>
        <v>10813.101727061463</v>
      </c>
      <c r="K580" s="74">
        <f t="shared" si="81"/>
        <v>-49132.399066516286</v>
      </c>
      <c r="L580" s="74">
        <f t="shared" si="82"/>
        <v>-5789.8580509086823</v>
      </c>
      <c r="M580" s="74">
        <f t="shared" si="83"/>
        <v>49472.366976738464</v>
      </c>
      <c r="N580" s="74">
        <f t="shared" si="84"/>
        <v>-34132.399066516286</v>
      </c>
      <c r="O580" s="74">
        <f t="shared" si="85"/>
        <v>-60789.858050908682</v>
      </c>
      <c r="P580" s="74">
        <f t="shared" si="86"/>
        <v>69716.76633268033</v>
      </c>
    </row>
    <row r="581" spans="1:16" x14ac:dyDescent="0.3">
      <c r="A581" s="72">
        <f t="shared" si="73"/>
        <v>136</v>
      </c>
      <c r="B581" s="74">
        <f t="shared" si="74"/>
        <v>31157.397090850569</v>
      </c>
      <c r="C581" s="74">
        <f t="shared" si="75"/>
        <v>26221.365608852673</v>
      </c>
      <c r="D581" s="74">
        <f t="shared" si="76"/>
        <v>4049.9960486685595</v>
      </c>
      <c r="E581" s="74">
        <f t="shared" si="77"/>
        <v>863.01511588798348</v>
      </c>
      <c r="F581" s="74">
        <f t="shared" si="71"/>
        <v>-6880.2294368115854</v>
      </c>
      <c r="G581" s="74">
        <f t="shared" si="72"/>
        <v>-3755.8870413910713</v>
      </c>
      <c r="H581" s="74">
        <f t="shared" si="78"/>
        <v>-11157.397090850569</v>
      </c>
      <c r="I581" s="74">
        <f t="shared" si="79"/>
        <v>-6221.3656088526732</v>
      </c>
      <c r="J581" s="74">
        <f t="shared" si="80"/>
        <v>12774.697643464426</v>
      </c>
      <c r="K581" s="74">
        <f t="shared" si="81"/>
        <v>-51157.397090850573</v>
      </c>
      <c r="L581" s="74">
        <f t="shared" si="82"/>
        <v>-6221.3656088526732</v>
      </c>
      <c r="M581" s="74">
        <f t="shared" si="83"/>
        <v>51534.305730745822</v>
      </c>
      <c r="N581" s="74">
        <f t="shared" si="84"/>
        <v>-36157.397090850573</v>
      </c>
      <c r="O581" s="74">
        <f t="shared" si="85"/>
        <v>-61221.365608852677</v>
      </c>
      <c r="P581" s="74">
        <f t="shared" si="86"/>
        <v>71101.42735134266</v>
      </c>
    </row>
    <row r="582" spans="1:16" x14ac:dyDescent="0.3">
      <c r="A582" s="72">
        <f t="shared" si="73"/>
        <v>136.5</v>
      </c>
      <c r="B582" s="74">
        <f t="shared" si="74"/>
        <v>31462.337755981949</v>
      </c>
      <c r="C582" s="74">
        <f t="shared" si="75"/>
        <v>25713.901406448895</v>
      </c>
      <c r="D582" s="74">
        <f t="shared" si="76"/>
        <v>609.88133026276682</v>
      </c>
      <c r="E582" s="74">
        <f t="shared" si="77"/>
        <v>-1014.9284048075522</v>
      </c>
      <c r="F582" s="74">
        <f t="shared" si="71"/>
        <v>-7008.8333285677882</v>
      </c>
      <c r="G582" s="74">
        <f t="shared" si="72"/>
        <v>-3455.9195174044457</v>
      </c>
      <c r="H582" s="74">
        <f t="shared" si="78"/>
        <v>-11462.337755981949</v>
      </c>
      <c r="I582" s="74">
        <f t="shared" si="79"/>
        <v>-5713.9014064488947</v>
      </c>
      <c r="J582" s="74">
        <f t="shared" si="80"/>
        <v>12807.57026585558</v>
      </c>
      <c r="K582" s="74">
        <f t="shared" si="81"/>
        <v>-51462.337755981949</v>
      </c>
      <c r="L582" s="74">
        <f t="shared" si="82"/>
        <v>-5713.9014064488947</v>
      </c>
      <c r="M582" s="74">
        <f t="shared" si="83"/>
        <v>51778.575459289954</v>
      </c>
      <c r="N582" s="74">
        <f t="shared" si="84"/>
        <v>-36462.337755981949</v>
      </c>
      <c r="O582" s="74">
        <f t="shared" si="85"/>
        <v>-60713.901406448895</v>
      </c>
      <c r="P582" s="74">
        <f t="shared" si="86"/>
        <v>70821.464956772135</v>
      </c>
    </row>
    <row r="583" spans="1:16" x14ac:dyDescent="0.3">
      <c r="A583" s="72">
        <f t="shared" si="73"/>
        <v>137</v>
      </c>
      <c r="B583" s="74">
        <f t="shared" si="74"/>
        <v>30015.070088971384</v>
      </c>
      <c r="C583" s="74">
        <f t="shared" si="75"/>
        <v>24342.457324694009</v>
      </c>
      <c r="D583" s="74">
        <f t="shared" si="76"/>
        <v>-2894.5353340211273</v>
      </c>
      <c r="E583" s="74">
        <f t="shared" si="77"/>
        <v>-2742.888163509775</v>
      </c>
      <c r="F583" s="74">
        <f t="shared" si="71"/>
        <v>-8479.7751498780945</v>
      </c>
      <c r="G583" s="74">
        <f t="shared" si="72"/>
        <v>-3676.8093511467482</v>
      </c>
      <c r="H583" s="74">
        <f t="shared" si="78"/>
        <v>-10015.070088971384</v>
      </c>
      <c r="I583" s="74">
        <f t="shared" si="79"/>
        <v>-4342.457324694009</v>
      </c>
      <c r="J583" s="74">
        <f t="shared" si="80"/>
        <v>10915.977487325537</v>
      </c>
      <c r="K583" s="74">
        <f t="shared" si="81"/>
        <v>-50015.070088971384</v>
      </c>
      <c r="L583" s="74">
        <f t="shared" si="82"/>
        <v>-4342.457324694009</v>
      </c>
      <c r="M583" s="74">
        <f t="shared" si="83"/>
        <v>50203.228697181512</v>
      </c>
      <c r="N583" s="74">
        <f t="shared" si="84"/>
        <v>-35015.070088971384</v>
      </c>
      <c r="O583" s="74">
        <f t="shared" si="85"/>
        <v>-59342.457324694013</v>
      </c>
      <c r="P583" s="74">
        <f t="shared" si="86"/>
        <v>68902.702230527284</v>
      </c>
    </row>
    <row r="584" spans="1:16" x14ac:dyDescent="0.3">
      <c r="A584" s="72">
        <f t="shared" si="73"/>
        <v>137.5</v>
      </c>
      <c r="B584" s="74">
        <f t="shared" si="74"/>
        <v>26447.858634491295</v>
      </c>
      <c r="C584" s="74">
        <f t="shared" si="75"/>
        <v>22051.810905152437</v>
      </c>
      <c r="D584" s="74">
        <f t="shared" si="76"/>
        <v>-7134.422908960174</v>
      </c>
      <c r="E584" s="74">
        <f t="shared" si="77"/>
        <v>-4581.2928390831494</v>
      </c>
      <c r="F584" s="74">
        <f t="shared" si="71"/>
        <v>-12038.091381512808</v>
      </c>
      <c r="G584" s="74">
        <f t="shared" si="72"/>
        <v>-3910.1803943175992</v>
      </c>
      <c r="H584" s="74">
        <f t="shared" si="78"/>
        <v>-6447.8586344912947</v>
      </c>
      <c r="I584" s="74">
        <f t="shared" si="79"/>
        <v>-2051.810905152437</v>
      </c>
      <c r="J584" s="74">
        <f t="shared" si="80"/>
        <v>6766.4472924043685</v>
      </c>
      <c r="K584" s="74">
        <f t="shared" si="81"/>
        <v>-46447.858634491291</v>
      </c>
      <c r="L584" s="74">
        <f t="shared" si="82"/>
        <v>-2051.810905152437</v>
      </c>
      <c r="M584" s="74">
        <f t="shared" si="83"/>
        <v>46493.155407223006</v>
      </c>
      <c r="N584" s="74">
        <f t="shared" si="84"/>
        <v>-31447.858634491295</v>
      </c>
      <c r="O584" s="74">
        <f t="shared" si="85"/>
        <v>-57051.810905152437</v>
      </c>
      <c r="P584" s="74">
        <f t="shared" si="86"/>
        <v>65145.045400645926</v>
      </c>
    </row>
    <row r="585" spans="1:16" x14ac:dyDescent="0.3">
      <c r="A585" s="72">
        <f t="shared" si="73"/>
        <v>138</v>
      </c>
      <c r="B585" s="74">
        <f t="shared" si="74"/>
        <v>19871.124334633008</v>
      </c>
      <c r="C585" s="74">
        <f t="shared" si="75"/>
        <v>18783.61938703146</v>
      </c>
      <c r="D585" s="74">
        <f t="shared" si="76"/>
        <v>-13153.468599716578</v>
      </c>
      <c r="E585" s="74">
        <f t="shared" si="77"/>
        <v>-6536.3830362419485</v>
      </c>
      <c r="F585" s="74">
        <f t="shared" si="71"/>
        <v>-740.97648600829496</v>
      </c>
      <c r="G585" s="74">
        <f t="shared" si="72"/>
        <v>4484.5332155593451</v>
      </c>
      <c r="H585" s="74">
        <f t="shared" si="78"/>
        <v>128.8756653669916</v>
      </c>
      <c r="I585" s="74">
        <f t="shared" si="79"/>
        <v>1216.3806129685399</v>
      </c>
      <c r="J585" s="74">
        <f t="shared" si="80"/>
        <v>1223.1887559692109</v>
      </c>
      <c r="K585" s="74">
        <f t="shared" si="81"/>
        <v>-39871.124334633008</v>
      </c>
      <c r="L585" s="74">
        <f t="shared" si="82"/>
        <v>1216.3806129685399</v>
      </c>
      <c r="M585" s="74">
        <f t="shared" si="83"/>
        <v>39889.674572542834</v>
      </c>
      <c r="N585" s="74">
        <f t="shared" si="84"/>
        <v>-24871.124334633008</v>
      </c>
      <c r="O585" s="74">
        <f t="shared" si="85"/>
        <v>-53783.61938703146</v>
      </c>
      <c r="P585" s="74">
        <f t="shared" si="86"/>
        <v>59255.805960579426</v>
      </c>
    </row>
    <row r="586" spans="1:16" x14ac:dyDescent="0.3">
      <c r="A586" s="72">
        <f t="shared" si="73"/>
        <v>138.5</v>
      </c>
      <c r="B586" s="74">
        <f t="shared" si="74"/>
        <v>13109.145913272645</v>
      </c>
      <c r="C586" s="74">
        <f t="shared" si="75"/>
        <v>16636.561172800324</v>
      </c>
      <c r="D586" s="74">
        <f t="shared" si="76"/>
        <v>-13523.956842720725</v>
      </c>
      <c r="E586" s="74">
        <f t="shared" si="77"/>
        <v>-4294.1164284622755</v>
      </c>
      <c r="F586" s="74">
        <f t="shared" si="71"/>
        <v>8204.472515462121</v>
      </c>
      <c r="G586" s="74">
        <f t="shared" si="72"/>
        <v>4424.7759429324851</v>
      </c>
      <c r="H586" s="74">
        <f t="shared" si="78"/>
        <v>6890.854086727355</v>
      </c>
      <c r="I586" s="74">
        <f t="shared" si="79"/>
        <v>3363.4388271996759</v>
      </c>
      <c r="J586" s="74">
        <f t="shared" si="80"/>
        <v>7667.8935040127817</v>
      </c>
      <c r="K586" s="74">
        <f t="shared" si="81"/>
        <v>-33109.145913272645</v>
      </c>
      <c r="L586" s="74">
        <f t="shared" si="82"/>
        <v>3363.4388271996759</v>
      </c>
      <c r="M586" s="74">
        <f t="shared" si="83"/>
        <v>33279.547230253796</v>
      </c>
      <c r="N586" s="74">
        <f t="shared" si="84"/>
        <v>-18109.145913272645</v>
      </c>
      <c r="O586" s="74">
        <f t="shared" si="85"/>
        <v>-51636.561172800328</v>
      </c>
      <c r="P586" s="74">
        <f t="shared" si="86"/>
        <v>54719.974556468405</v>
      </c>
    </row>
    <row r="587" spans="1:16" x14ac:dyDescent="0.3">
      <c r="A587" s="72">
        <f t="shared" si="73"/>
        <v>139</v>
      </c>
      <c r="B587" s="74">
        <f t="shared" si="74"/>
        <v>8398.2856207778132</v>
      </c>
      <c r="C587" s="74">
        <f t="shared" si="75"/>
        <v>15595.696944302308</v>
      </c>
      <c r="D587" s="74">
        <f t="shared" si="76"/>
        <v>-9421.7205849896636</v>
      </c>
      <c r="E587" s="74">
        <f t="shared" si="77"/>
        <v>-2081.7284569960329</v>
      </c>
      <c r="F587" s="74">
        <f t="shared" si="71"/>
        <v>4649.4221604340146</v>
      </c>
      <c r="G587" s="74">
        <f t="shared" si="72"/>
        <v>2245.2290615881793</v>
      </c>
      <c r="H587" s="74">
        <f t="shared" si="78"/>
        <v>11601.714379222187</v>
      </c>
      <c r="I587" s="74">
        <f t="shared" si="79"/>
        <v>4404.3030556976919</v>
      </c>
      <c r="J587" s="74">
        <f t="shared" si="80"/>
        <v>12409.579442651508</v>
      </c>
      <c r="K587" s="74">
        <f t="shared" si="81"/>
        <v>-28398.285620777813</v>
      </c>
      <c r="L587" s="74">
        <f t="shared" si="82"/>
        <v>4404.3030556976919</v>
      </c>
      <c r="M587" s="74">
        <f t="shared" si="83"/>
        <v>28737.788912957516</v>
      </c>
      <c r="N587" s="74">
        <f t="shared" si="84"/>
        <v>-13398.285620777813</v>
      </c>
      <c r="O587" s="74">
        <f t="shared" si="85"/>
        <v>-50595.696944302312</v>
      </c>
      <c r="P587" s="74">
        <f t="shared" si="86"/>
        <v>52339.646606140013</v>
      </c>
    </row>
    <row r="588" spans="1:16" x14ac:dyDescent="0.3">
      <c r="A588" s="72">
        <f t="shared" si="73"/>
        <v>139.5</v>
      </c>
      <c r="B588" s="74">
        <f t="shared" si="74"/>
        <v>4849.7808683914845</v>
      </c>
      <c r="C588" s="74">
        <f t="shared" si="75"/>
        <v>15116.139981201337</v>
      </c>
      <c r="D588" s="74">
        <f t="shared" si="76"/>
        <v>-7097.0095047726563</v>
      </c>
      <c r="E588" s="74">
        <f t="shared" si="77"/>
        <v>-959.11392620194329</v>
      </c>
      <c r="F588" s="74">
        <f t="shared" si="71"/>
        <v>2404.0844796614238</v>
      </c>
      <c r="G588" s="74">
        <f t="shared" si="72"/>
        <v>1408.6759597039804</v>
      </c>
      <c r="H588" s="74">
        <f t="shared" si="78"/>
        <v>15150.219131608515</v>
      </c>
      <c r="I588" s="74">
        <f t="shared" si="79"/>
        <v>4883.8600187986631</v>
      </c>
      <c r="J588" s="74">
        <f t="shared" si="80"/>
        <v>15917.953022263157</v>
      </c>
      <c r="K588" s="74">
        <f t="shared" si="81"/>
        <v>-24849.780868391485</v>
      </c>
      <c r="L588" s="74">
        <f t="shared" si="82"/>
        <v>4883.8600187986631</v>
      </c>
      <c r="M588" s="74">
        <f t="shared" si="83"/>
        <v>25325.15938528908</v>
      </c>
      <c r="N588" s="74">
        <f t="shared" si="84"/>
        <v>-9849.7808683914845</v>
      </c>
      <c r="O588" s="74">
        <f t="shared" si="85"/>
        <v>-50116.139981201341</v>
      </c>
      <c r="P588" s="74">
        <f t="shared" si="86"/>
        <v>51074.90254293882</v>
      </c>
    </row>
    <row r="589" spans="1:16" x14ac:dyDescent="0.3">
      <c r="A589" s="72">
        <f t="shared" si="73"/>
        <v>140</v>
      </c>
      <c r="B589" s="74">
        <f t="shared" si="74"/>
        <v>1902.2972359205123</v>
      </c>
      <c r="C589" s="74">
        <f t="shared" si="75"/>
        <v>14988.75200802636</v>
      </c>
      <c r="D589" s="74">
        <f t="shared" si="76"/>
        <v>-5894.9672649419444</v>
      </c>
      <c r="E589" s="74">
        <f t="shared" si="77"/>
        <v>-254.77594634995307</v>
      </c>
      <c r="F589" s="74">
        <f t="shared" si="71"/>
        <v>863.8700571075334</v>
      </c>
      <c r="G589" s="74">
        <f t="shared" si="72"/>
        <v>1072.1181106963122</v>
      </c>
      <c r="H589" s="74">
        <f t="shared" si="78"/>
        <v>18097.702764079488</v>
      </c>
      <c r="I589" s="74">
        <f t="shared" si="79"/>
        <v>5011.2479919736397</v>
      </c>
      <c r="J589" s="74">
        <f t="shared" si="80"/>
        <v>18778.696753875924</v>
      </c>
      <c r="K589" s="74">
        <f t="shared" si="81"/>
        <v>-21902.297235920512</v>
      </c>
      <c r="L589" s="74">
        <f t="shared" si="82"/>
        <v>5011.2479919736397</v>
      </c>
      <c r="M589" s="74">
        <f t="shared" si="83"/>
        <v>22468.271643534827</v>
      </c>
      <c r="N589" s="74">
        <f t="shared" si="84"/>
        <v>-6902.2972359205123</v>
      </c>
      <c r="O589" s="74">
        <f t="shared" si="85"/>
        <v>-49988.752008026364</v>
      </c>
      <c r="P589" s="74">
        <f t="shared" si="86"/>
        <v>50463.026409966296</v>
      </c>
    </row>
    <row r="590" spans="1:16" x14ac:dyDescent="0.3">
      <c r="A590" s="72">
        <f t="shared" si="73"/>
        <v>140.5</v>
      </c>
      <c r="B590" s="74">
        <f t="shared" si="74"/>
        <v>-829.21888227357658</v>
      </c>
      <c r="C590" s="74">
        <f t="shared" si="75"/>
        <v>15129.393562525462</v>
      </c>
      <c r="D590" s="74">
        <f t="shared" si="76"/>
        <v>-5463.0322363881778</v>
      </c>
      <c r="E590" s="74">
        <f t="shared" si="77"/>
        <v>281.28310899820303</v>
      </c>
      <c r="F590" s="74">
        <f t="shared" si="71"/>
        <v>-474.5855190801978</v>
      </c>
      <c r="G590" s="74">
        <f t="shared" si="72"/>
        <v>974.81374927480556</v>
      </c>
      <c r="H590" s="74">
        <f t="shared" si="78"/>
        <v>20829.218882273577</v>
      </c>
      <c r="I590" s="74">
        <f t="shared" si="79"/>
        <v>4870.6064374745383</v>
      </c>
      <c r="J590" s="74">
        <f t="shared" si="80"/>
        <v>21391.100166060431</v>
      </c>
      <c r="K590" s="74">
        <f t="shared" si="81"/>
        <v>-19170.781117726423</v>
      </c>
      <c r="L590" s="74">
        <f t="shared" si="82"/>
        <v>4870.6064374745383</v>
      </c>
      <c r="M590" s="74">
        <f t="shared" si="83"/>
        <v>19779.829517277049</v>
      </c>
      <c r="N590" s="74">
        <f t="shared" si="84"/>
        <v>-4170.781117726423</v>
      </c>
      <c r="O590" s="74">
        <f t="shared" si="85"/>
        <v>-50129.39356252546</v>
      </c>
      <c r="P590" s="74">
        <f t="shared" si="86"/>
        <v>50302.599476354619</v>
      </c>
    </row>
    <row r="591" spans="1:16" x14ac:dyDescent="0.3">
      <c r="A591" s="72">
        <f t="shared" si="73"/>
        <v>141</v>
      </c>
      <c r="B591" s="74">
        <f t="shared" si="74"/>
        <v>-3679.3813802377149</v>
      </c>
      <c r="C591" s="74">
        <f t="shared" si="75"/>
        <v>15513.738554343265</v>
      </c>
      <c r="D591" s="74">
        <f t="shared" si="76"/>
        <v>-5700.3249959282766</v>
      </c>
      <c r="E591" s="74">
        <f t="shared" si="77"/>
        <v>768.68998363560581</v>
      </c>
      <c r="F591" s="74">
        <f t="shared" si="71"/>
        <v>-1960.6078403307904</v>
      </c>
      <c r="G591" s="74">
        <f t="shared" si="72"/>
        <v>1072.8427582572708</v>
      </c>
      <c r="H591" s="74">
        <f t="shared" si="78"/>
        <v>23679.381380237715</v>
      </c>
      <c r="I591" s="74">
        <f t="shared" si="79"/>
        <v>4486.2614456567353</v>
      </c>
      <c r="J591" s="74">
        <f t="shared" si="80"/>
        <v>24100.615019321285</v>
      </c>
      <c r="K591" s="74">
        <f t="shared" si="81"/>
        <v>-16320.618619762285</v>
      </c>
      <c r="L591" s="74">
        <f t="shared" si="82"/>
        <v>4486.2614456567353</v>
      </c>
      <c r="M591" s="74">
        <f t="shared" si="83"/>
        <v>16925.989893962404</v>
      </c>
      <c r="N591" s="74">
        <f t="shared" si="84"/>
        <v>-1320.6186197622851</v>
      </c>
      <c r="O591" s="74">
        <f t="shared" si="85"/>
        <v>-50513.738554343261</v>
      </c>
      <c r="P591" s="74">
        <f t="shared" si="86"/>
        <v>50530.998567962291</v>
      </c>
    </row>
    <row r="592" spans="1:16" x14ac:dyDescent="0.3">
      <c r="A592" s="72">
        <f t="shared" si="73"/>
        <v>141.5</v>
      </c>
      <c r="B592" s="74">
        <f t="shared" si="74"/>
        <v>-7019.6958382845514</v>
      </c>
      <c r="C592" s="74">
        <f t="shared" si="75"/>
        <v>16166.294235725385</v>
      </c>
      <c r="D592" s="74">
        <f t="shared" si="76"/>
        <v>-6680.6289160936722</v>
      </c>
      <c r="E592" s="74">
        <f t="shared" si="77"/>
        <v>1305.1113627642412</v>
      </c>
      <c r="F592" s="74">
        <f t="shared" si="71"/>
        <v>-4059.2643540543127</v>
      </c>
      <c r="G592" s="74">
        <f t="shared" si="72"/>
        <v>1475.0681572394492</v>
      </c>
      <c r="H592" s="74">
        <f t="shared" si="78"/>
        <v>27019.695838284551</v>
      </c>
      <c r="I592" s="74">
        <f t="shared" si="79"/>
        <v>3833.7057642746149</v>
      </c>
      <c r="J592" s="74">
        <f t="shared" si="80"/>
        <v>27290.314455506807</v>
      </c>
      <c r="K592" s="74">
        <f t="shared" si="81"/>
        <v>-12980.304161715449</v>
      </c>
      <c r="L592" s="74">
        <f t="shared" si="82"/>
        <v>3833.7057642746149</v>
      </c>
      <c r="M592" s="74">
        <f t="shared" si="83"/>
        <v>13534.607346269038</v>
      </c>
      <c r="N592" s="74">
        <f t="shared" si="84"/>
        <v>2019.6958382845514</v>
      </c>
      <c r="O592" s="74">
        <f t="shared" si="85"/>
        <v>-51166.294235725385</v>
      </c>
      <c r="P592" s="74">
        <f t="shared" si="86"/>
        <v>51206.140619031314</v>
      </c>
    </row>
    <row r="593" spans="1:16" x14ac:dyDescent="0.3">
      <c r="A593" s="72">
        <f t="shared" si="73"/>
        <v>142</v>
      </c>
      <c r="B593" s="74">
        <f t="shared" si="74"/>
        <v>-11374.826384844966</v>
      </c>
      <c r="C593" s="74">
        <f t="shared" si="75"/>
        <v>17187.616956417369</v>
      </c>
      <c r="D593" s="74">
        <f t="shared" si="76"/>
        <v>-8710.2610931208292</v>
      </c>
      <c r="E593" s="74">
        <f t="shared" si="77"/>
        <v>2042.6454413839658</v>
      </c>
      <c r="F593" s="74">
        <f t="shared" si="71"/>
        <v>-7637.6122833990094</v>
      </c>
      <c r="G593" s="74">
        <f t="shared" si="72"/>
        <v>2578.0316420497375</v>
      </c>
      <c r="H593" s="74">
        <f t="shared" si="78"/>
        <v>31374.826384844964</v>
      </c>
      <c r="I593" s="74">
        <f t="shared" si="79"/>
        <v>2812.3830435826312</v>
      </c>
      <c r="J593" s="74">
        <f t="shared" si="80"/>
        <v>31500.622677385203</v>
      </c>
      <c r="K593" s="74">
        <f t="shared" si="81"/>
        <v>-8625.173615155034</v>
      </c>
      <c r="L593" s="74">
        <f t="shared" si="82"/>
        <v>2812.3830435826312</v>
      </c>
      <c r="M593" s="74">
        <f t="shared" si="83"/>
        <v>9072.1066062628288</v>
      </c>
      <c r="N593" s="74">
        <f t="shared" si="84"/>
        <v>6374.826384844966</v>
      </c>
      <c r="O593" s="74">
        <f t="shared" si="85"/>
        <v>-52187.616956417369</v>
      </c>
      <c r="P593" s="74">
        <f t="shared" si="86"/>
        <v>52575.524486462869</v>
      </c>
    </row>
    <row r="594" spans="1:16" x14ac:dyDescent="0.3">
      <c r="A594" s="72">
        <f t="shared" si="73"/>
        <v>142.5</v>
      </c>
      <c r="B594" s="74">
        <f t="shared" si="74"/>
        <v>-17639.360002255133</v>
      </c>
      <c r="C594" s="74">
        <f t="shared" si="75"/>
        <v>18853.447587621788</v>
      </c>
      <c r="D594" s="74">
        <f t="shared" si="76"/>
        <v>-12529.067234820333</v>
      </c>
      <c r="E594" s="74">
        <f t="shared" si="77"/>
        <v>3331.6612624088348</v>
      </c>
      <c r="F594" s="74">
        <f t="shared" si="71"/>
        <v>-7011.8179405662941</v>
      </c>
      <c r="G594" s="74">
        <f t="shared" si="72"/>
        <v>3527.3849194904337</v>
      </c>
      <c r="H594" s="74">
        <f t="shared" si="78"/>
        <v>37639.360002255133</v>
      </c>
      <c r="I594" s="74">
        <f t="shared" si="79"/>
        <v>1146.5524123782125</v>
      </c>
      <c r="J594" s="74">
        <f t="shared" si="80"/>
        <v>37656.818822275651</v>
      </c>
      <c r="K594" s="74">
        <f t="shared" si="81"/>
        <v>-2360.6399977448673</v>
      </c>
      <c r="L594" s="74">
        <f t="shared" si="82"/>
        <v>1146.5524123782125</v>
      </c>
      <c r="M594" s="74">
        <f t="shared" si="83"/>
        <v>2624.3482301865324</v>
      </c>
      <c r="N594" s="74">
        <f t="shared" si="84"/>
        <v>12639.360002255133</v>
      </c>
      <c r="O594" s="74">
        <f t="shared" si="85"/>
        <v>-53853.447587621791</v>
      </c>
      <c r="P594" s="74">
        <f t="shared" si="86"/>
        <v>55316.789841234771</v>
      </c>
    </row>
    <row r="595" spans="1:16" x14ac:dyDescent="0.3">
      <c r="A595" s="72">
        <f t="shared" si="73"/>
        <v>143</v>
      </c>
      <c r="B595" s="74">
        <f t="shared" si="74"/>
        <v>-25656.848104806875</v>
      </c>
      <c r="C595" s="74">
        <f t="shared" si="75"/>
        <v>21401.124448698814</v>
      </c>
      <c r="D595" s="74">
        <f t="shared" si="76"/>
        <v>-16034.976205103481</v>
      </c>
      <c r="E595" s="74">
        <f t="shared" si="77"/>
        <v>5095.3537221540519</v>
      </c>
      <c r="F595" s="74">
        <f t="shared" si="71"/>
        <v>12644.567973861765</v>
      </c>
      <c r="G595" s="74">
        <f t="shared" si="72"/>
        <v>-3363.9957841997025</v>
      </c>
      <c r="H595" s="74">
        <f t="shared" si="78"/>
        <v>45656.848104806879</v>
      </c>
      <c r="I595" s="74">
        <f t="shared" si="79"/>
        <v>-1401.1244486988144</v>
      </c>
      <c r="J595" s="74">
        <f t="shared" si="80"/>
        <v>45678.342007850384</v>
      </c>
      <c r="K595" s="74">
        <f t="shared" si="81"/>
        <v>5656.8481048068752</v>
      </c>
      <c r="L595" s="74">
        <f t="shared" si="82"/>
        <v>-1401.1244486988144</v>
      </c>
      <c r="M595" s="74">
        <f t="shared" si="83"/>
        <v>5827.7851883540361</v>
      </c>
      <c r="N595" s="74">
        <f t="shared" si="84"/>
        <v>20656.848104806875</v>
      </c>
      <c r="O595" s="74">
        <f t="shared" si="85"/>
        <v>-56401.124448698814</v>
      </c>
      <c r="P595" s="74">
        <f t="shared" si="86"/>
        <v>60064.900005766052</v>
      </c>
    </row>
    <row r="596" spans="1:16" x14ac:dyDescent="0.3">
      <c r="A596" s="72">
        <f t="shared" si="73"/>
        <v>143.5</v>
      </c>
      <c r="B596" s="74">
        <f t="shared" si="74"/>
        <v>-30513.194213893177</v>
      </c>
      <c r="C596" s="74">
        <f t="shared" si="75"/>
        <v>23107.802363725914</v>
      </c>
      <c r="D596" s="74">
        <f t="shared" si="76"/>
        <v>-9712.6922181725986</v>
      </c>
      <c r="E596" s="74">
        <f t="shared" si="77"/>
        <v>3413.3558300542009</v>
      </c>
      <c r="F596" s="74">
        <f t="shared" si="71"/>
        <v>8766.6805420582568</v>
      </c>
      <c r="G596" s="74">
        <f t="shared" si="72"/>
        <v>-2777.8938208497948</v>
      </c>
      <c r="H596" s="74">
        <f t="shared" si="78"/>
        <v>50513.194213893177</v>
      </c>
      <c r="I596" s="74">
        <f t="shared" si="79"/>
        <v>-3107.8023637259139</v>
      </c>
      <c r="J596" s="74">
        <f t="shared" si="80"/>
        <v>50608.707009984675</v>
      </c>
      <c r="K596" s="74">
        <f t="shared" si="81"/>
        <v>10513.194213893177</v>
      </c>
      <c r="L596" s="74">
        <f t="shared" si="82"/>
        <v>-3107.8023637259139</v>
      </c>
      <c r="M596" s="74">
        <f t="shared" si="83"/>
        <v>10962.923337824514</v>
      </c>
      <c r="N596" s="74">
        <f t="shared" si="84"/>
        <v>25513.194213893177</v>
      </c>
      <c r="O596" s="74">
        <f t="shared" si="85"/>
        <v>-58107.802363725918</v>
      </c>
      <c r="P596" s="74">
        <f t="shared" si="86"/>
        <v>63462.112906344868</v>
      </c>
    </row>
    <row r="597" spans="1:16" x14ac:dyDescent="0.3">
      <c r="A597" s="72">
        <f t="shared" si="73"/>
        <v>144</v>
      </c>
      <c r="B597" s="74">
        <f t="shared" si="74"/>
        <v>-33177.870187464912</v>
      </c>
      <c r="C597" s="74">
        <f t="shared" si="75"/>
        <v>24120.006823540563</v>
      </c>
      <c r="D597" s="74">
        <f t="shared" si="76"/>
        <v>-5329.3519471434702</v>
      </c>
      <c r="E597" s="74">
        <f t="shared" si="77"/>
        <v>2024.4089196293035</v>
      </c>
      <c r="F597" s="74">
        <f t="shared" si="71"/>
        <v>6778.4805013629839</v>
      </c>
      <c r="G597" s="74">
        <f t="shared" si="72"/>
        <v>-2288.206630716114</v>
      </c>
      <c r="H597" s="74">
        <f t="shared" si="78"/>
        <v>53177.870187464912</v>
      </c>
      <c r="I597" s="74">
        <f t="shared" si="79"/>
        <v>-4120.0068235405633</v>
      </c>
      <c r="J597" s="74">
        <f t="shared" si="80"/>
        <v>53337.232154479956</v>
      </c>
      <c r="K597" s="74">
        <f t="shared" si="81"/>
        <v>13177.870187464912</v>
      </c>
      <c r="L597" s="74">
        <f t="shared" si="82"/>
        <v>-4120.0068235405633</v>
      </c>
      <c r="M597" s="74">
        <f t="shared" si="83"/>
        <v>13806.908376015876</v>
      </c>
      <c r="N597" s="74">
        <f t="shared" si="84"/>
        <v>28177.870187464912</v>
      </c>
      <c r="O597" s="74">
        <f t="shared" si="85"/>
        <v>-59120.006823540563</v>
      </c>
      <c r="P597" s="74">
        <f t="shared" si="86"/>
        <v>65491.736693395957</v>
      </c>
    </row>
    <row r="598" spans="1:16" x14ac:dyDescent="0.3">
      <c r="A598" s="72">
        <f t="shared" si="73"/>
        <v>144.5</v>
      </c>
      <c r="B598" s="74">
        <f t="shared" si="74"/>
        <v>-34147.926035695898</v>
      </c>
      <c r="C598" s="74">
        <f t="shared" si="75"/>
        <v>24560.159625676188</v>
      </c>
      <c r="D598" s="74">
        <f t="shared" si="76"/>
        <v>-1940.1116964619782</v>
      </c>
      <c r="E598" s="74">
        <f t="shared" si="77"/>
        <v>880.30560427124647</v>
      </c>
      <c r="F598" s="74">
        <f t="shared" si="71"/>
        <v>6169.9825692302556</v>
      </c>
      <c r="G598" s="74">
        <f t="shared" si="72"/>
        <v>-2148.9804352821166</v>
      </c>
      <c r="H598" s="74">
        <f t="shared" si="78"/>
        <v>54147.926035695898</v>
      </c>
      <c r="I598" s="74">
        <f t="shared" si="79"/>
        <v>-4560.1596256761877</v>
      </c>
      <c r="J598" s="74">
        <f t="shared" si="80"/>
        <v>54339.607560037097</v>
      </c>
      <c r="K598" s="74">
        <f t="shared" si="81"/>
        <v>14147.926035695898</v>
      </c>
      <c r="L598" s="74">
        <f t="shared" si="82"/>
        <v>-4560.1596256761877</v>
      </c>
      <c r="M598" s="74">
        <f t="shared" si="83"/>
        <v>14864.685227853601</v>
      </c>
      <c r="N598" s="74">
        <f t="shared" si="84"/>
        <v>29147.926035695898</v>
      </c>
      <c r="O598" s="74">
        <f t="shared" si="85"/>
        <v>-59560.159625676184</v>
      </c>
      <c r="P598" s="74">
        <f t="shared" si="86"/>
        <v>66309.985724764163</v>
      </c>
    </row>
    <row r="599" spans="1:16" x14ac:dyDescent="0.3">
      <c r="A599" s="72">
        <f t="shared" si="73"/>
        <v>145</v>
      </c>
      <c r="B599" s="74">
        <f t="shared" si="74"/>
        <v>-33575.486241619321</v>
      </c>
      <c r="C599" s="74">
        <f t="shared" si="75"/>
        <v>24463.067318991281</v>
      </c>
      <c r="D599" s="74">
        <f t="shared" si="76"/>
        <v>1144.8795881531496</v>
      </c>
      <c r="E599" s="74">
        <f t="shared" si="77"/>
        <v>-194.18461336981181</v>
      </c>
      <c r="F599" s="74">
        <f t="shared" si="71"/>
        <v>6471.4655837191594</v>
      </c>
      <c r="G599" s="74">
        <f t="shared" si="72"/>
        <v>-2284.5172350904536</v>
      </c>
      <c r="H599" s="74">
        <f t="shared" si="78"/>
        <v>53575.486241619321</v>
      </c>
      <c r="I599" s="74">
        <f t="shared" si="79"/>
        <v>-4463.0673189912814</v>
      </c>
      <c r="J599" s="74">
        <f t="shared" si="80"/>
        <v>53761.06114949545</v>
      </c>
      <c r="K599" s="74">
        <f t="shared" si="81"/>
        <v>13575.486241619321</v>
      </c>
      <c r="L599" s="74">
        <f t="shared" si="82"/>
        <v>-4463.0673189912814</v>
      </c>
      <c r="M599" s="74">
        <f t="shared" si="83"/>
        <v>14290.304286132032</v>
      </c>
      <c r="N599" s="74">
        <f t="shared" si="84"/>
        <v>28575.486241619321</v>
      </c>
      <c r="O599" s="74">
        <f t="shared" si="85"/>
        <v>-59463.067318991278</v>
      </c>
      <c r="P599" s="74">
        <f t="shared" si="86"/>
        <v>65972.833719098839</v>
      </c>
    </row>
    <row r="600" spans="1:16" x14ac:dyDescent="0.3">
      <c r="A600" s="72">
        <f t="shared" si="73"/>
        <v>145.5</v>
      </c>
      <c r="B600" s="74">
        <f t="shared" si="74"/>
        <v>-31385.180051612955</v>
      </c>
      <c r="C600" s="74">
        <f t="shared" si="75"/>
        <v>23794.845703533763</v>
      </c>
      <c r="D600" s="74">
        <f t="shared" si="76"/>
        <v>4380.6123800127298</v>
      </c>
      <c r="E600" s="74">
        <f t="shared" si="77"/>
        <v>-1336.4432309150386</v>
      </c>
      <c r="F600" s="74">
        <f t="shared" si="71"/>
        <v>7912.6963172776123</v>
      </c>
      <c r="G600" s="74">
        <f t="shared" si="72"/>
        <v>-2794.0567034764767</v>
      </c>
      <c r="H600" s="74">
        <f t="shared" si="78"/>
        <v>51385.180051612959</v>
      </c>
      <c r="I600" s="74">
        <f t="shared" si="79"/>
        <v>-3794.8457035337633</v>
      </c>
      <c r="J600" s="74">
        <f t="shared" si="80"/>
        <v>51525.116039173663</v>
      </c>
      <c r="K600" s="74">
        <f t="shared" si="81"/>
        <v>11385.180051612955</v>
      </c>
      <c r="L600" s="74">
        <f t="shared" si="82"/>
        <v>-3794.8457035337633</v>
      </c>
      <c r="M600" s="74">
        <f t="shared" si="83"/>
        <v>12000.965741192424</v>
      </c>
      <c r="N600" s="74">
        <f t="shared" si="84"/>
        <v>26385.180051612955</v>
      </c>
      <c r="O600" s="74">
        <f t="shared" si="85"/>
        <v>-58794.845703533763</v>
      </c>
      <c r="P600" s="74">
        <f t="shared" si="86"/>
        <v>64443.864003164621</v>
      </c>
    </row>
    <row r="601" spans="1:16" x14ac:dyDescent="0.3">
      <c r="A601" s="72">
        <f t="shared" si="73"/>
        <v>146</v>
      </c>
      <c r="B601" s="74">
        <f t="shared" si="74"/>
        <v>-27216.699782287185</v>
      </c>
      <c r="C601" s="74">
        <f t="shared" si="75"/>
        <v>22428.109912207125</v>
      </c>
      <c r="D601" s="74">
        <f t="shared" si="76"/>
        <v>8336.9605386515359</v>
      </c>
      <c r="E601" s="74">
        <f t="shared" si="77"/>
        <v>-2733.471582653277</v>
      </c>
      <c r="F601" s="74">
        <f t="shared" si="71"/>
        <v>11371.372456840196</v>
      </c>
      <c r="G601" s="74">
        <f t="shared" si="72"/>
        <v>-3979.0158197511728</v>
      </c>
      <c r="H601" s="74">
        <f t="shared" si="78"/>
        <v>47216.699782287185</v>
      </c>
      <c r="I601" s="74">
        <f t="shared" si="79"/>
        <v>-2428.1099122071246</v>
      </c>
      <c r="J601" s="74">
        <f t="shared" si="80"/>
        <v>47279.091108823122</v>
      </c>
      <c r="K601" s="74">
        <f t="shared" si="81"/>
        <v>7216.6997822871854</v>
      </c>
      <c r="L601" s="74">
        <f t="shared" si="82"/>
        <v>-2428.1099122071246</v>
      </c>
      <c r="M601" s="74">
        <f t="shared" si="83"/>
        <v>7614.2283583710832</v>
      </c>
      <c r="N601" s="74">
        <f t="shared" si="84"/>
        <v>22216.699782287185</v>
      </c>
      <c r="O601" s="74">
        <f t="shared" si="85"/>
        <v>-57428.109912207125</v>
      </c>
      <c r="P601" s="74">
        <f t="shared" si="86"/>
        <v>61575.722141967781</v>
      </c>
    </row>
    <row r="602" spans="1:16" x14ac:dyDescent="0.3">
      <c r="A602" s="72">
        <f t="shared" si="73"/>
        <v>146.5</v>
      </c>
      <c r="B602" s="74">
        <f t="shared" si="74"/>
        <v>-20205.37639875137</v>
      </c>
      <c r="C602" s="74">
        <f t="shared" si="75"/>
        <v>20066.620165942692</v>
      </c>
      <c r="D602" s="74">
        <f t="shared" si="76"/>
        <v>14022.646767071634</v>
      </c>
      <c r="E602" s="74">
        <f t="shared" si="77"/>
        <v>-4722.9794925288634</v>
      </c>
      <c r="F602" s="74">
        <f t="shared" si="71"/>
        <v>2038.2170230222127</v>
      </c>
      <c r="G602" s="74">
        <f t="shared" si="72"/>
        <v>-789.17192857721261</v>
      </c>
      <c r="H602" s="74">
        <f t="shared" si="78"/>
        <v>40205.376398751367</v>
      </c>
      <c r="I602" s="74">
        <f t="shared" si="79"/>
        <v>-66.620165942691528</v>
      </c>
      <c r="J602" s="74">
        <f t="shared" si="80"/>
        <v>40205.431593402696</v>
      </c>
      <c r="K602" s="74">
        <f t="shared" si="81"/>
        <v>205.37639875137029</v>
      </c>
      <c r="L602" s="74">
        <f t="shared" si="82"/>
        <v>-66.620165942691528</v>
      </c>
      <c r="M602" s="74">
        <f t="shared" si="83"/>
        <v>215.9113514253329</v>
      </c>
      <c r="N602" s="74">
        <f t="shared" si="84"/>
        <v>15205.37639875137</v>
      </c>
      <c r="O602" s="74">
        <f t="shared" si="85"/>
        <v>-55066.620165942688</v>
      </c>
      <c r="P602" s="74">
        <f t="shared" si="86"/>
        <v>57127.367591443523</v>
      </c>
    </row>
    <row r="603" spans="1:16" x14ac:dyDescent="0.3">
      <c r="A603" s="72">
        <f t="shared" si="73"/>
        <v>147</v>
      </c>
      <c r="B603" s="74">
        <f t="shared" si="74"/>
        <v>-12684.498759460001</v>
      </c>
      <c r="C603" s="74">
        <f t="shared" si="75"/>
        <v>17507.837437533955</v>
      </c>
      <c r="D603" s="74">
        <f t="shared" si="76"/>
        <v>15041.755278582739</v>
      </c>
      <c r="E603" s="74">
        <f t="shared" si="77"/>
        <v>-5117.5654568174696</v>
      </c>
      <c r="F603" s="74">
        <f t="shared" si="71"/>
        <v>-8743.1187783662444</v>
      </c>
      <c r="G603" s="74">
        <f t="shared" si="72"/>
        <v>3039.1297266625534</v>
      </c>
      <c r="H603" s="74">
        <f t="shared" si="78"/>
        <v>32684.498759460002</v>
      </c>
      <c r="I603" s="74">
        <f t="shared" si="79"/>
        <v>2492.1625624660446</v>
      </c>
      <c r="J603" s="74">
        <f t="shared" si="80"/>
        <v>32779.373596743724</v>
      </c>
      <c r="K603" s="74">
        <f t="shared" si="81"/>
        <v>-7315.5012405399993</v>
      </c>
      <c r="L603" s="74">
        <f t="shared" si="82"/>
        <v>2492.1625624660446</v>
      </c>
      <c r="M603" s="74">
        <f t="shared" si="83"/>
        <v>7728.3525177167994</v>
      </c>
      <c r="N603" s="74">
        <f t="shared" si="84"/>
        <v>7684.4987594600007</v>
      </c>
      <c r="O603" s="74">
        <f t="shared" si="85"/>
        <v>-52507.837437533955</v>
      </c>
      <c r="P603" s="74">
        <f t="shared" si="86"/>
        <v>53067.169827970232</v>
      </c>
    </row>
    <row r="604" spans="1:16" x14ac:dyDescent="0.3">
      <c r="A604" s="72">
        <f t="shared" si="73"/>
        <v>147.5</v>
      </c>
      <c r="B604" s="74">
        <f t="shared" si="74"/>
        <v>-7349.4008147601926</v>
      </c>
      <c r="C604" s="74">
        <f t="shared" si="75"/>
        <v>15708.83714079086</v>
      </c>
      <c r="D604" s="74">
        <f t="shared" si="76"/>
        <v>10670.195889399616</v>
      </c>
      <c r="E604" s="74">
        <f t="shared" si="77"/>
        <v>-3598.0005934861929</v>
      </c>
      <c r="F604" s="74">
        <f t="shared" si="71"/>
        <v>-4138.3719906575125</v>
      </c>
      <c r="G604" s="74">
        <f t="shared" si="72"/>
        <v>1767.1695058287801</v>
      </c>
      <c r="H604" s="74">
        <f t="shared" si="78"/>
        <v>27349.400814760193</v>
      </c>
      <c r="I604" s="74">
        <f t="shared" si="79"/>
        <v>4291.1628592091402</v>
      </c>
      <c r="J604" s="74">
        <f t="shared" si="80"/>
        <v>27683.99905379751</v>
      </c>
      <c r="K604" s="74">
        <f t="shared" si="81"/>
        <v>-12650.599185239807</v>
      </c>
      <c r="L604" s="74">
        <f t="shared" si="82"/>
        <v>4291.1628592091402</v>
      </c>
      <c r="M604" s="74">
        <f t="shared" si="83"/>
        <v>13358.582949918231</v>
      </c>
      <c r="N604" s="74">
        <f t="shared" si="84"/>
        <v>2349.4008147601926</v>
      </c>
      <c r="O604" s="74">
        <f t="shared" si="85"/>
        <v>-50708.837140790856</v>
      </c>
      <c r="P604" s="74">
        <f t="shared" si="86"/>
        <v>50763.23323390312</v>
      </c>
    </row>
    <row r="605" spans="1:16" x14ac:dyDescent="0.3">
      <c r="A605" s="72">
        <f t="shared" si="73"/>
        <v>148</v>
      </c>
      <c r="B605" s="74">
        <f t="shared" si="74"/>
        <v>-3048.8958677247629</v>
      </c>
      <c r="C605" s="74">
        <f t="shared" si="75"/>
        <v>14351.629220504959</v>
      </c>
      <c r="D605" s="74">
        <f t="shared" si="76"/>
        <v>8601.0098940708594</v>
      </c>
      <c r="E605" s="74">
        <f t="shared" si="77"/>
        <v>-2714.4158405718026</v>
      </c>
      <c r="F605" s="74">
        <f t="shared" si="71"/>
        <v>-1502.3492293932493</v>
      </c>
      <c r="G605" s="74">
        <f t="shared" si="72"/>
        <v>1319.7690973602685</v>
      </c>
      <c r="H605" s="74">
        <f t="shared" si="78"/>
        <v>23048.895867724765</v>
      </c>
      <c r="I605" s="74">
        <f t="shared" si="79"/>
        <v>5648.3707794950406</v>
      </c>
      <c r="J605" s="74">
        <f t="shared" si="80"/>
        <v>23730.901651304215</v>
      </c>
      <c r="K605" s="74">
        <f t="shared" si="81"/>
        <v>-16951.104132275235</v>
      </c>
      <c r="L605" s="74">
        <f t="shared" si="82"/>
        <v>5648.3707794950406</v>
      </c>
      <c r="M605" s="74">
        <f t="shared" si="83"/>
        <v>17867.401147505811</v>
      </c>
      <c r="N605" s="74">
        <f t="shared" si="84"/>
        <v>-1951.1041322752371</v>
      </c>
      <c r="O605" s="74">
        <f t="shared" si="85"/>
        <v>-49351.629220504961</v>
      </c>
      <c r="P605" s="74">
        <f t="shared" si="86"/>
        <v>49390.182365052882</v>
      </c>
    </row>
    <row r="606" spans="1:16" x14ac:dyDescent="0.3">
      <c r="A606" s="72">
        <f t="shared" si="73"/>
        <v>148.5</v>
      </c>
      <c r="B606" s="74">
        <f t="shared" si="74"/>
        <v>876.02177196235448</v>
      </c>
      <c r="C606" s="74">
        <f t="shared" si="75"/>
        <v>13324.363574559125</v>
      </c>
      <c r="D606" s="74">
        <f t="shared" si="76"/>
        <v>7849.8352793742351</v>
      </c>
      <c r="E606" s="74">
        <f t="shared" si="77"/>
        <v>-2054.5312918916684</v>
      </c>
      <c r="F606" s="74">
        <f t="shared" si="71"/>
        <v>299.06167519411315</v>
      </c>
      <c r="G606" s="74">
        <f t="shared" si="72"/>
        <v>1404.9955029934267</v>
      </c>
      <c r="H606" s="74">
        <f t="shared" si="78"/>
        <v>19123.978228037646</v>
      </c>
      <c r="I606" s="74">
        <f t="shared" si="79"/>
        <v>6675.6364254408745</v>
      </c>
      <c r="J606" s="74">
        <f t="shared" si="80"/>
        <v>20255.632919045776</v>
      </c>
      <c r="K606" s="74">
        <f t="shared" si="81"/>
        <v>-20876.021771962354</v>
      </c>
      <c r="L606" s="74">
        <f t="shared" si="82"/>
        <v>6675.6364254408745</v>
      </c>
      <c r="M606" s="74">
        <f t="shared" si="83"/>
        <v>21917.399633809648</v>
      </c>
      <c r="N606" s="74">
        <f t="shared" si="84"/>
        <v>-5876.0217719623543</v>
      </c>
      <c r="O606" s="74">
        <f t="shared" si="85"/>
        <v>-48324.363574559124</v>
      </c>
      <c r="P606" s="74">
        <f t="shared" si="86"/>
        <v>48680.301424197773</v>
      </c>
    </row>
    <row r="607" spans="1:16" x14ac:dyDescent="0.3">
      <c r="A607" s="72">
        <f t="shared" si="73"/>
        <v>149</v>
      </c>
      <c r="B607" s="74">
        <f t="shared" si="74"/>
        <v>4875.7048304480004</v>
      </c>
      <c r="C607" s="74">
        <f t="shared" si="75"/>
        <v>12648.346804361649</v>
      </c>
      <c r="D607" s="74">
        <f t="shared" si="76"/>
        <v>7999.3661169712914</v>
      </c>
      <c r="E607" s="74">
        <f t="shared" si="77"/>
        <v>-1352.033540394955</v>
      </c>
      <c r="F607" s="74">
        <f t="shared" si="71"/>
        <v>1902.1151639372511</v>
      </c>
      <c r="G607" s="74">
        <f t="shared" si="72"/>
        <v>2035.45748122549</v>
      </c>
      <c r="H607" s="74">
        <f t="shared" si="78"/>
        <v>15124.295169551999</v>
      </c>
      <c r="I607" s="74">
        <f t="shared" si="79"/>
        <v>7351.6531956383515</v>
      </c>
      <c r="J607" s="74">
        <f t="shared" si="80"/>
        <v>16816.394057129892</v>
      </c>
      <c r="K607" s="74">
        <f t="shared" si="81"/>
        <v>-24875.704830448001</v>
      </c>
      <c r="L607" s="74">
        <f t="shared" si="82"/>
        <v>7351.6531956383515</v>
      </c>
      <c r="M607" s="74">
        <f t="shared" si="83"/>
        <v>25939.30406777548</v>
      </c>
      <c r="N607" s="74">
        <f t="shared" si="84"/>
        <v>-9875.7048304480013</v>
      </c>
      <c r="O607" s="74">
        <f t="shared" si="85"/>
        <v>-47648.346804361645</v>
      </c>
      <c r="P607" s="74">
        <f t="shared" si="86"/>
        <v>48661.016215106472</v>
      </c>
    </row>
    <row r="608" spans="1:16" x14ac:dyDescent="0.3">
      <c r="A608" s="72">
        <f t="shared" si="73"/>
        <v>149.5</v>
      </c>
      <c r="B608" s="74">
        <f t="shared" si="74"/>
        <v>9350.9166799179584</v>
      </c>
      <c r="C608" s="74">
        <f t="shared" si="75"/>
        <v>12481.194404470543</v>
      </c>
      <c r="D608" s="74">
        <f t="shared" si="76"/>
        <v>8950.4236989399178</v>
      </c>
      <c r="E608" s="74">
        <f t="shared" si="77"/>
        <v>-334.30479978221001</v>
      </c>
      <c r="F608" s="74">
        <f t="shared" si="71"/>
        <v>3625.5798571202999</v>
      </c>
      <c r="G608" s="74">
        <f t="shared" si="72"/>
        <v>3678.2629114631509</v>
      </c>
      <c r="H608" s="74">
        <f t="shared" si="78"/>
        <v>10649.083320082042</v>
      </c>
      <c r="I608" s="74">
        <f t="shared" si="79"/>
        <v>7518.8055955294567</v>
      </c>
      <c r="J608" s="74">
        <f t="shared" si="80"/>
        <v>13035.927782149403</v>
      </c>
      <c r="K608" s="74">
        <f t="shared" si="81"/>
        <v>-29350.916679917958</v>
      </c>
      <c r="L608" s="74">
        <f t="shared" si="82"/>
        <v>7518.8055955294567</v>
      </c>
      <c r="M608" s="74">
        <f t="shared" si="83"/>
        <v>30298.659170578016</v>
      </c>
      <c r="N608" s="74">
        <f t="shared" si="84"/>
        <v>-14350.916679917958</v>
      </c>
      <c r="O608" s="74">
        <f t="shared" si="85"/>
        <v>-47481.194404470545</v>
      </c>
      <c r="P608" s="74">
        <f t="shared" si="86"/>
        <v>49602.546624433235</v>
      </c>
    </row>
    <row r="609" spans="1:16" x14ac:dyDescent="0.3">
      <c r="A609" s="72">
        <f t="shared" si="73"/>
        <v>150</v>
      </c>
      <c r="B609" s="74">
        <f t="shared" si="74"/>
        <v>14732.523493667992</v>
      </c>
      <c r="C609" s="74">
        <f t="shared" si="75"/>
        <v>13233.607732445225</v>
      </c>
      <c r="D609" s="74">
        <f t="shared" si="76"/>
        <v>10763.213627500068</v>
      </c>
      <c r="E609" s="74">
        <f t="shared" si="77"/>
        <v>1504.8266559493654</v>
      </c>
      <c r="F609" s="74">
        <f t="shared" si="71"/>
        <v>4760.1385826908563</v>
      </c>
      <c r="G609" s="74">
        <f t="shared" si="72"/>
        <v>7756.1939236290073</v>
      </c>
      <c r="H609" s="74">
        <f t="shared" si="78"/>
        <v>5267.4765063320083</v>
      </c>
      <c r="I609" s="74">
        <f t="shared" si="79"/>
        <v>6766.3922675547747</v>
      </c>
      <c r="J609" s="74">
        <f t="shared" si="80"/>
        <v>8574.985309794105</v>
      </c>
      <c r="K609" s="74">
        <f t="shared" si="81"/>
        <v>-34732.523493667992</v>
      </c>
      <c r="L609" s="74">
        <f t="shared" si="82"/>
        <v>6766.3922675547747</v>
      </c>
      <c r="M609" s="74">
        <f t="shared" si="83"/>
        <v>35385.480815676703</v>
      </c>
      <c r="N609" s="74">
        <f t="shared" si="84"/>
        <v>-19732.523493667992</v>
      </c>
      <c r="O609" s="74">
        <f t="shared" si="85"/>
        <v>-48233.607732445227</v>
      </c>
      <c r="P609" s="74">
        <f t="shared" si="86"/>
        <v>52113.850350128225</v>
      </c>
    </row>
    <row r="610" spans="1:16" x14ac:dyDescent="0.3">
      <c r="A610" s="72">
        <f t="shared" si="73"/>
        <v>150.5</v>
      </c>
      <c r="B610" s="74">
        <f t="shared" si="74"/>
        <v>21304.164953090738</v>
      </c>
      <c r="C610" s="74">
        <f t="shared" si="75"/>
        <v>15925.069541327159</v>
      </c>
      <c r="D610" s="74">
        <f t="shared" si="76"/>
        <v>13143.282918845496</v>
      </c>
      <c r="E610" s="74">
        <f t="shared" si="77"/>
        <v>5382.9236177638686</v>
      </c>
      <c r="F610" s="74">
        <f t="shared" si="71"/>
        <v>-4793.4807874703702</v>
      </c>
      <c r="G610" s="74">
        <f t="shared" si="72"/>
        <v>10815.947010132599</v>
      </c>
      <c r="H610" s="74">
        <f t="shared" si="78"/>
        <v>-1304.164953090738</v>
      </c>
      <c r="I610" s="74">
        <f t="shared" si="79"/>
        <v>4074.9304586728413</v>
      </c>
      <c r="J610" s="74">
        <f t="shared" si="80"/>
        <v>4278.5399925546817</v>
      </c>
      <c r="K610" s="74">
        <f t="shared" si="81"/>
        <v>-41304.164953090738</v>
      </c>
      <c r="L610" s="74">
        <f t="shared" si="82"/>
        <v>4074.9304586728413</v>
      </c>
      <c r="M610" s="74">
        <f t="shared" si="83"/>
        <v>41504.687695670575</v>
      </c>
      <c r="N610" s="74">
        <f t="shared" si="84"/>
        <v>-26304.164953090738</v>
      </c>
      <c r="O610" s="74">
        <f t="shared" si="85"/>
        <v>-50925.069541327161</v>
      </c>
      <c r="P610" s="74">
        <f t="shared" si="86"/>
        <v>57317.290599507702</v>
      </c>
    </row>
    <row r="611" spans="1:16" x14ac:dyDescent="0.3">
      <c r="A611" s="72">
        <f t="shared" si="73"/>
        <v>151</v>
      </c>
      <c r="B611" s="74">
        <f t="shared" si="74"/>
        <v>26677.436215645892</v>
      </c>
      <c r="C611" s="74">
        <f t="shared" si="75"/>
        <v>21320.518102742244</v>
      </c>
      <c r="D611" s="74">
        <f t="shared" si="76"/>
        <v>10746.542525110312</v>
      </c>
      <c r="E611" s="74">
        <f t="shared" si="77"/>
        <v>10790.897122830167</v>
      </c>
      <c r="F611" s="74">
        <f t="shared" si="71"/>
        <v>-12340.405008951484</v>
      </c>
      <c r="G611" s="74">
        <f t="shared" si="72"/>
        <v>-2629.6100219842006</v>
      </c>
      <c r="H611" s="74">
        <f t="shared" si="78"/>
        <v>-6677.4362156458919</v>
      </c>
      <c r="I611" s="74">
        <f t="shared" si="79"/>
        <v>-1320.5181027422441</v>
      </c>
      <c r="J611" s="74">
        <f t="shared" si="80"/>
        <v>6806.7556496240786</v>
      </c>
      <c r="K611" s="74">
        <f t="shared" si="81"/>
        <v>-46677.436215645896</v>
      </c>
      <c r="L611" s="74">
        <f t="shared" si="82"/>
        <v>-1320.5181027422441</v>
      </c>
      <c r="M611" s="74">
        <f t="shared" si="83"/>
        <v>46696.111398331239</v>
      </c>
      <c r="N611" s="74">
        <f t="shared" si="84"/>
        <v>-31677.436215645892</v>
      </c>
      <c r="O611" s="74">
        <f t="shared" si="85"/>
        <v>-56320.518102742244</v>
      </c>
      <c r="P611" s="74">
        <f t="shared" si="86"/>
        <v>64617.805011913166</v>
      </c>
    </row>
    <row r="612" spans="1:16" x14ac:dyDescent="0.3">
      <c r="A612" s="72">
        <f t="shared" si="73"/>
        <v>151.5</v>
      </c>
      <c r="B612" s="74">
        <f t="shared" si="74"/>
        <v>28965.606225963176</v>
      </c>
      <c r="C612" s="74">
        <f t="shared" si="75"/>
        <v>26058.564158661276</v>
      </c>
      <c r="D612" s="74">
        <f t="shared" si="76"/>
        <v>4576.3400206345696</v>
      </c>
      <c r="E612" s="74">
        <f t="shared" si="77"/>
        <v>9476.0921118380666</v>
      </c>
      <c r="F612" s="74">
        <f t="shared" si="71"/>
        <v>-7811.5460091753093</v>
      </c>
      <c r="G612" s="74">
        <f t="shared" si="72"/>
        <v>-5088.4594952195848</v>
      </c>
      <c r="H612" s="74">
        <f t="shared" si="78"/>
        <v>-8965.6062259631763</v>
      </c>
      <c r="I612" s="74">
        <f t="shared" si="79"/>
        <v>-6058.5641586612765</v>
      </c>
      <c r="J612" s="74">
        <f t="shared" si="80"/>
        <v>10820.734478936478</v>
      </c>
      <c r="K612" s="74">
        <f t="shared" si="81"/>
        <v>-48965.606225963173</v>
      </c>
      <c r="L612" s="74">
        <f t="shared" si="82"/>
        <v>-6058.5641586612765</v>
      </c>
      <c r="M612" s="74">
        <f t="shared" si="83"/>
        <v>49338.998700223929</v>
      </c>
      <c r="N612" s="74">
        <f t="shared" si="84"/>
        <v>-33965.606225963173</v>
      </c>
      <c r="O612" s="74">
        <f t="shared" si="85"/>
        <v>-61058.564158661276</v>
      </c>
      <c r="P612" s="74">
        <f t="shared" si="86"/>
        <v>69869.955370062627</v>
      </c>
    </row>
    <row r="613" spans="1:16" x14ac:dyDescent="0.3">
      <c r="A613" s="72">
        <f t="shared" si="73"/>
        <v>152</v>
      </c>
      <c r="B613" s="74">
        <f t="shared" si="74"/>
        <v>29300.889733986634</v>
      </c>
      <c r="C613" s="74">
        <f t="shared" si="75"/>
        <v>29524.495340775411</v>
      </c>
      <c r="D613" s="74">
        <f t="shared" si="76"/>
        <v>670.56701604691489</v>
      </c>
      <c r="E613" s="74">
        <f t="shared" si="77"/>
        <v>6931.8623642282746</v>
      </c>
      <c r="F613" s="74">
        <f t="shared" si="71"/>
        <v>-5425.9378410725358</v>
      </c>
      <c r="G613" s="74">
        <f t="shared" si="72"/>
        <v>-5134.2974658850499</v>
      </c>
      <c r="H613" s="74">
        <f t="shared" si="78"/>
        <v>-9300.8897339866344</v>
      </c>
      <c r="I613" s="74">
        <f t="shared" si="79"/>
        <v>-9524.495340775411</v>
      </c>
      <c r="J613" s="74">
        <f t="shared" si="80"/>
        <v>13312.496435313344</v>
      </c>
      <c r="K613" s="74">
        <f t="shared" si="81"/>
        <v>-49300.889733986638</v>
      </c>
      <c r="L613" s="74">
        <f t="shared" si="82"/>
        <v>-9524.495340775411</v>
      </c>
      <c r="M613" s="74">
        <f t="shared" si="83"/>
        <v>50212.485898023027</v>
      </c>
      <c r="N613" s="74">
        <f t="shared" si="84"/>
        <v>-34300.889733986638</v>
      </c>
      <c r="O613" s="74">
        <f t="shared" si="85"/>
        <v>-64524.495340775407</v>
      </c>
      <c r="P613" s="74">
        <f t="shared" si="86"/>
        <v>73075.040441486286</v>
      </c>
    </row>
    <row r="614" spans="1:16" x14ac:dyDescent="0.3">
      <c r="A614" s="72">
        <f t="shared" si="73"/>
        <v>152.5</v>
      </c>
      <c r="B614" s="74">
        <f t="shared" si="74"/>
        <v>28279.688781741959</v>
      </c>
      <c r="C614" s="74">
        <f t="shared" si="75"/>
        <v>31706.852156418285</v>
      </c>
      <c r="D614" s="74">
        <f t="shared" si="76"/>
        <v>-2042.401904489353</v>
      </c>
      <c r="E614" s="74">
        <f t="shared" si="77"/>
        <v>4364.7136312857492</v>
      </c>
      <c r="F614" s="74">
        <f t="shared" si="71"/>
        <v>-4265.5767712221113</v>
      </c>
      <c r="G614" s="74">
        <f t="shared" si="72"/>
        <v>-5325.6996683626276</v>
      </c>
      <c r="H614" s="74">
        <f t="shared" si="78"/>
        <v>-8279.6887817419592</v>
      </c>
      <c r="I614" s="74">
        <f t="shared" si="79"/>
        <v>-11706.852156418285</v>
      </c>
      <c r="J614" s="74">
        <f t="shared" si="80"/>
        <v>14338.885372815388</v>
      </c>
      <c r="K614" s="74">
        <f t="shared" si="81"/>
        <v>-48279.688781741963</v>
      </c>
      <c r="L614" s="74">
        <f t="shared" si="82"/>
        <v>-11706.852156418285</v>
      </c>
      <c r="M614" s="74">
        <f t="shared" si="83"/>
        <v>49678.755381693045</v>
      </c>
      <c r="N614" s="74">
        <f t="shared" si="84"/>
        <v>-33279.688781741963</v>
      </c>
      <c r="O614" s="74">
        <f t="shared" si="85"/>
        <v>-66706.852156418288</v>
      </c>
      <c r="P614" s="74">
        <f t="shared" si="86"/>
        <v>74547.580846247787</v>
      </c>
    </row>
    <row r="615" spans="1:16" x14ac:dyDescent="0.3">
      <c r="A615" s="72">
        <f t="shared" si="73"/>
        <v>153</v>
      </c>
      <c r="B615" s="74">
        <f t="shared" si="74"/>
        <v>26192.093636691756</v>
      </c>
      <c r="C615" s="74">
        <f t="shared" si="75"/>
        <v>32557.784054970507</v>
      </c>
      <c r="D615" s="74">
        <f t="shared" si="76"/>
        <v>-4175.1902901004087</v>
      </c>
      <c r="E615" s="74">
        <f t="shared" si="77"/>
        <v>1701.8637971044354</v>
      </c>
      <c r="F615" s="74">
        <f t="shared" si="71"/>
        <v>-3579.992052200073</v>
      </c>
      <c r="G615" s="74">
        <f t="shared" si="72"/>
        <v>-6018.2643205043696</v>
      </c>
      <c r="H615" s="74">
        <f t="shared" si="78"/>
        <v>-6192.0936366917558</v>
      </c>
      <c r="I615" s="74">
        <f t="shared" si="79"/>
        <v>-12557.784054970507</v>
      </c>
      <c r="J615" s="74">
        <f t="shared" si="80"/>
        <v>14001.427212139128</v>
      </c>
      <c r="K615" s="74">
        <f t="shared" si="81"/>
        <v>-46192.093636691759</v>
      </c>
      <c r="L615" s="74">
        <f t="shared" si="82"/>
        <v>-12557.784054970507</v>
      </c>
      <c r="M615" s="74">
        <f t="shared" si="83"/>
        <v>47868.647932777159</v>
      </c>
      <c r="N615" s="74">
        <f t="shared" si="84"/>
        <v>-31192.093636691756</v>
      </c>
      <c r="O615" s="74">
        <f t="shared" si="85"/>
        <v>-67557.784054970514</v>
      </c>
      <c r="P615" s="74">
        <f t="shared" si="86"/>
        <v>74411.026681925141</v>
      </c>
    </row>
    <row r="616" spans="1:16" x14ac:dyDescent="0.3">
      <c r="A616" s="72">
        <f t="shared" si="73"/>
        <v>153.5</v>
      </c>
      <c r="B616" s="74">
        <f t="shared" si="74"/>
        <v>23209.500478591533</v>
      </c>
      <c r="C616" s="74">
        <f t="shared" si="75"/>
        <v>31904.149873396633</v>
      </c>
      <c r="D616" s="74">
        <f t="shared" si="76"/>
        <v>-5965.1863162004447</v>
      </c>
      <c r="E616" s="74">
        <f t="shared" si="77"/>
        <v>-1307.2683631477494</v>
      </c>
      <c r="F616" s="74">
        <f t="shared" si="71"/>
        <v>-2829.0064124680216</v>
      </c>
      <c r="G616" s="74">
        <f t="shared" si="72"/>
        <v>-7527.5963432358176</v>
      </c>
      <c r="H616" s="74">
        <f t="shared" si="78"/>
        <v>-3209.5004785915335</v>
      </c>
      <c r="I616" s="74">
        <f t="shared" si="79"/>
        <v>-11904.149873396633</v>
      </c>
      <c r="J616" s="74">
        <f t="shared" si="80"/>
        <v>12329.220475373466</v>
      </c>
      <c r="K616" s="74">
        <f t="shared" si="81"/>
        <v>-43209.500478591537</v>
      </c>
      <c r="L616" s="74">
        <f t="shared" si="82"/>
        <v>-11904.149873396633</v>
      </c>
      <c r="M616" s="74">
        <f t="shared" si="83"/>
        <v>44819.300706477909</v>
      </c>
      <c r="N616" s="74">
        <f t="shared" si="84"/>
        <v>-28209.500478591533</v>
      </c>
      <c r="O616" s="74">
        <f t="shared" si="85"/>
        <v>-66904.149873396629</v>
      </c>
      <c r="P616" s="74">
        <f t="shared" si="86"/>
        <v>72608.134444658295</v>
      </c>
    </row>
    <row r="617" spans="1:16" x14ac:dyDescent="0.3">
      <c r="A617" s="72">
        <f t="shared" si="73"/>
        <v>154</v>
      </c>
      <c r="B617" s="74">
        <f t="shared" si="74"/>
        <v>19519.655717374306</v>
      </c>
      <c r="C617" s="74">
        <f t="shared" si="75"/>
        <v>29368.616606013806</v>
      </c>
      <c r="D617" s="74">
        <f t="shared" si="76"/>
        <v>-7379.6895224344553</v>
      </c>
      <c r="E617" s="74">
        <f t="shared" si="77"/>
        <v>-5071.0665347656577</v>
      </c>
      <c r="F617" s="74">
        <f t="shared" si="71"/>
        <v>-631.57371773662078</v>
      </c>
      <c r="G617" s="74">
        <f t="shared" si="72"/>
        <v>-10132.737110102475</v>
      </c>
      <c r="H617" s="74">
        <f t="shared" si="78"/>
        <v>480.34428262569418</v>
      </c>
      <c r="I617" s="74">
        <f t="shared" si="79"/>
        <v>-9368.6166060138057</v>
      </c>
      <c r="J617" s="74">
        <f t="shared" si="80"/>
        <v>9380.9225420706262</v>
      </c>
      <c r="K617" s="74">
        <f t="shared" si="81"/>
        <v>-39519.655717374306</v>
      </c>
      <c r="L617" s="74">
        <f t="shared" si="82"/>
        <v>-9368.6166060138057</v>
      </c>
      <c r="M617" s="74">
        <f t="shared" si="83"/>
        <v>40614.95002003909</v>
      </c>
      <c r="N617" s="74">
        <f t="shared" si="84"/>
        <v>-24519.655717374306</v>
      </c>
      <c r="O617" s="74">
        <f t="shared" si="85"/>
        <v>-64368.616606013806</v>
      </c>
      <c r="P617" s="74">
        <f t="shared" si="86"/>
        <v>68880.565621012167</v>
      </c>
    </row>
    <row r="618" spans="1:16" x14ac:dyDescent="0.3">
      <c r="A618" s="72">
        <f t="shared" si="73"/>
        <v>154.5</v>
      </c>
      <c r="B618" s="74">
        <f t="shared" si="74"/>
        <v>15671.917526722924</v>
      </c>
      <c r="C618" s="74">
        <f t="shared" si="75"/>
        <v>24299.899061105356</v>
      </c>
      <c r="D618" s="74">
        <f t="shared" si="76"/>
        <v>-7695.4763813027657</v>
      </c>
      <c r="E618" s="74">
        <f t="shared" si="77"/>
        <v>-10137.435089816896</v>
      </c>
      <c r="F618" s="74">
        <f t="shared" si="71"/>
        <v>7044.3063167481541</v>
      </c>
      <c r="G618" s="74">
        <f t="shared" si="72"/>
        <v>-8976.2597732392878</v>
      </c>
      <c r="H618" s="74">
        <f t="shared" si="78"/>
        <v>4328.0824732770761</v>
      </c>
      <c r="I618" s="74">
        <f t="shared" si="79"/>
        <v>-4299.8990611053559</v>
      </c>
      <c r="J618" s="74">
        <f t="shared" si="80"/>
        <v>6100.9367994745635</v>
      </c>
      <c r="K618" s="74">
        <f t="shared" si="81"/>
        <v>-35671.917526722922</v>
      </c>
      <c r="L618" s="74">
        <f t="shared" si="82"/>
        <v>-4299.8990611053559</v>
      </c>
      <c r="M618" s="74">
        <f t="shared" si="83"/>
        <v>35930.138212495323</v>
      </c>
      <c r="N618" s="74">
        <f t="shared" si="84"/>
        <v>-20671.917526722922</v>
      </c>
      <c r="O618" s="74">
        <f t="shared" si="85"/>
        <v>-59299.89906110536</v>
      </c>
      <c r="P618" s="74">
        <f t="shared" si="86"/>
        <v>62799.730914144195</v>
      </c>
    </row>
    <row r="619" spans="1:16" x14ac:dyDescent="0.3">
      <c r="A619" s="72">
        <f t="shared" si="73"/>
        <v>155</v>
      </c>
      <c r="B619" s="74">
        <f t="shared" si="74"/>
        <v>13585.25591525858</v>
      </c>
      <c r="C619" s="74">
        <f t="shared" si="75"/>
        <v>16987.116572887084</v>
      </c>
      <c r="D619" s="74">
        <f t="shared" si="76"/>
        <v>-4173.3232229286887</v>
      </c>
      <c r="E619" s="74">
        <f t="shared" si="77"/>
        <v>-14625.564976436541</v>
      </c>
      <c r="F619" s="74">
        <f t="shared" si="71"/>
        <v>8687.7604778550613</v>
      </c>
      <c r="G619" s="74">
        <f t="shared" si="72"/>
        <v>4443.9123327832522</v>
      </c>
      <c r="H619" s="74">
        <f t="shared" si="78"/>
        <v>6414.74408474142</v>
      </c>
      <c r="I619" s="74">
        <f t="shared" si="79"/>
        <v>3012.8834271129163</v>
      </c>
      <c r="J619" s="74">
        <f t="shared" si="80"/>
        <v>7087.0592080281585</v>
      </c>
      <c r="K619" s="74">
        <f t="shared" si="81"/>
        <v>-33585.255915258582</v>
      </c>
      <c r="L619" s="74">
        <f t="shared" si="82"/>
        <v>3012.8834271129163</v>
      </c>
      <c r="M619" s="74">
        <f t="shared" si="83"/>
        <v>33720.125762499512</v>
      </c>
      <c r="N619" s="74">
        <f t="shared" si="84"/>
        <v>-18585.255915258582</v>
      </c>
      <c r="O619" s="74">
        <f t="shared" si="85"/>
        <v>-51987.116572887084</v>
      </c>
      <c r="P619" s="74">
        <f t="shared" si="86"/>
        <v>55209.347279229856</v>
      </c>
    </row>
    <row r="620" spans="1:16" x14ac:dyDescent="0.3">
      <c r="A620" s="72">
        <f t="shared" si="73"/>
        <v>155.5</v>
      </c>
      <c r="B620" s="74">
        <f t="shared" si="74"/>
        <v>13670.534423258001</v>
      </c>
      <c r="C620" s="74">
        <f t="shared" si="75"/>
        <v>10785.312167864626</v>
      </c>
      <c r="D620" s="74">
        <f t="shared" si="76"/>
        <v>170.55701599884196</v>
      </c>
      <c r="E620" s="74">
        <f t="shared" si="77"/>
        <v>-12403.608810044914</v>
      </c>
      <c r="F620" s="74">
        <f t="shared" si="71"/>
        <v>3013.8846206900853</v>
      </c>
      <c r="G620" s="74">
        <f t="shared" si="72"/>
        <v>6385.6381676395904</v>
      </c>
      <c r="H620" s="74">
        <f t="shared" si="78"/>
        <v>6329.465576741999</v>
      </c>
      <c r="I620" s="74">
        <f t="shared" si="79"/>
        <v>9214.6878321353743</v>
      </c>
      <c r="J620" s="74">
        <f t="shared" si="80"/>
        <v>11179.114738245853</v>
      </c>
      <c r="K620" s="74">
        <f t="shared" si="81"/>
        <v>-33670.534423258003</v>
      </c>
      <c r="L620" s="74">
        <f t="shared" si="82"/>
        <v>9214.6878321353743</v>
      </c>
      <c r="M620" s="74">
        <f t="shared" si="83"/>
        <v>34908.671704771383</v>
      </c>
      <c r="N620" s="74">
        <f t="shared" si="84"/>
        <v>-18670.534423258003</v>
      </c>
      <c r="O620" s="74">
        <f t="shared" si="85"/>
        <v>-45785.312167864628</v>
      </c>
      <c r="P620" s="74">
        <f t="shared" si="86"/>
        <v>49445.764894062209</v>
      </c>
    </row>
    <row r="621" spans="1:16" x14ac:dyDescent="0.3">
      <c r="A621" s="72">
        <f t="shared" si="73"/>
        <v>156</v>
      </c>
      <c r="B621" s="74">
        <f t="shared" si="74"/>
        <v>14509.284086429943</v>
      </c>
      <c r="C621" s="74">
        <f t="shared" si="75"/>
        <v>6179.9173047520662</v>
      </c>
      <c r="D621" s="74">
        <f t="shared" si="76"/>
        <v>1677.4993263438846</v>
      </c>
      <c r="E621" s="74">
        <f t="shared" si="77"/>
        <v>-9210.789726225119</v>
      </c>
      <c r="F621" s="74">
        <f t="shared" si="71"/>
        <v>631.96558235345424</v>
      </c>
      <c r="G621" s="74">
        <f t="shared" si="72"/>
        <v>4995.0742170285293</v>
      </c>
      <c r="H621" s="74">
        <f t="shared" si="78"/>
        <v>5490.7159135700567</v>
      </c>
      <c r="I621" s="74">
        <f t="shared" si="79"/>
        <v>13820.082695247933</v>
      </c>
      <c r="J621" s="74">
        <f t="shared" si="80"/>
        <v>14870.865709400472</v>
      </c>
      <c r="K621" s="74">
        <f t="shared" si="81"/>
        <v>-34509.284086429943</v>
      </c>
      <c r="L621" s="74">
        <f t="shared" si="82"/>
        <v>13820.082695247933</v>
      </c>
      <c r="M621" s="74">
        <f t="shared" si="83"/>
        <v>37173.718859718872</v>
      </c>
      <c r="N621" s="74">
        <f t="shared" si="84"/>
        <v>-19509.284086429943</v>
      </c>
      <c r="O621" s="74">
        <f t="shared" si="85"/>
        <v>-41179.917304752067</v>
      </c>
      <c r="P621" s="74">
        <f t="shared" si="86"/>
        <v>45567.507664905781</v>
      </c>
    </row>
    <row r="622" spans="1:16" x14ac:dyDescent="0.3">
      <c r="A622" s="72">
        <f t="shared" si="73"/>
        <v>156.5</v>
      </c>
      <c r="B622" s="74">
        <f t="shared" si="74"/>
        <v>15506.02514519025</v>
      </c>
      <c r="C622" s="74">
        <f t="shared" si="75"/>
        <v>2823.2909958966393</v>
      </c>
      <c r="D622" s="74">
        <f t="shared" si="76"/>
        <v>1993.4821175206116</v>
      </c>
      <c r="E622" s="74">
        <f t="shared" si="77"/>
        <v>-6713.2526177108539</v>
      </c>
      <c r="F622" s="74">
        <f t="shared" si="71"/>
        <v>-295.35107408568126</v>
      </c>
      <c r="G622" s="74">
        <f t="shared" si="72"/>
        <v>3905.9724077165874</v>
      </c>
      <c r="H622" s="74">
        <f t="shared" si="78"/>
        <v>4493.9748548097505</v>
      </c>
      <c r="I622" s="74">
        <f t="shared" si="79"/>
        <v>17176.709004103359</v>
      </c>
      <c r="J622" s="74">
        <f t="shared" si="80"/>
        <v>17754.862494745143</v>
      </c>
      <c r="K622" s="74">
        <f t="shared" si="81"/>
        <v>-35506.025145190251</v>
      </c>
      <c r="L622" s="74">
        <f t="shared" si="82"/>
        <v>17176.709004103359</v>
      </c>
      <c r="M622" s="74">
        <f t="shared" si="83"/>
        <v>39442.580466071537</v>
      </c>
      <c r="N622" s="74">
        <f t="shared" si="84"/>
        <v>-20506.025145190251</v>
      </c>
      <c r="O622" s="74">
        <f t="shared" si="85"/>
        <v>-37823.290995896641</v>
      </c>
      <c r="P622" s="74">
        <f t="shared" si="86"/>
        <v>43024.393185906185</v>
      </c>
    </row>
    <row r="623" spans="1:16" x14ac:dyDescent="0.3">
      <c r="A623" s="72">
        <f t="shared" si="73"/>
        <v>157</v>
      </c>
      <c r="B623" s="74">
        <f t="shared" si="74"/>
        <v>16428.928435429134</v>
      </c>
      <c r="C623" s="74">
        <f t="shared" si="75"/>
        <v>443.15778897035921</v>
      </c>
      <c r="D623" s="74">
        <f t="shared" si="76"/>
        <v>1845.8065804777709</v>
      </c>
      <c r="E623" s="74">
        <f t="shared" si="77"/>
        <v>-4760.2664138525597</v>
      </c>
      <c r="F623" s="74">
        <f t="shared" si="71"/>
        <v>-717.54674799638849</v>
      </c>
      <c r="G623" s="74">
        <f t="shared" si="72"/>
        <v>3228.5192231677493</v>
      </c>
      <c r="H623" s="74">
        <f t="shared" si="78"/>
        <v>3571.071564570866</v>
      </c>
      <c r="I623" s="74">
        <f t="shared" si="79"/>
        <v>19556.842211029641</v>
      </c>
      <c r="J623" s="74">
        <f t="shared" si="80"/>
        <v>19880.206975441612</v>
      </c>
      <c r="K623" s="74">
        <f t="shared" si="81"/>
        <v>-36428.92843542913</v>
      </c>
      <c r="L623" s="74">
        <f t="shared" si="82"/>
        <v>19556.842211029641</v>
      </c>
      <c r="M623" s="74">
        <f t="shared" si="83"/>
        <v>41346.546460626283</v>
      </c>
      <c r="N623" s="74">
        <f t="shared" si="84"/>
        <v>-21428.928435429134</v>
      </c>
      <c r="O623" s="74">
        <f t="shared" si="85"/>
        <v>-35443.157788970362</v>
      </c>
      <c r="P623" s="74">
        <f t="shared" si="86"/>
        <v>41417.585732929845</v>
      </c>
    </row>
    <row r="624" spans="1:16" x14ac:dyDescent="0.3">
      <c r="A624" s="72">
        <f t="shared" si="73"/>
        <v>157.5</v>
      </c>
      <c r="B624" s="74">
        <f t="shared" si="74"/>
        <v>17172.445038668924</v>
      </c>
      <c r="C624" s="74">
        <f t="shared" si="75"/>
        <v>-1129.8456121639833</v>
      </c>
      <c r="D624" s="74">
        <f t="shared" si="76"/>
        <v>1487.0332064795766</v>
      </c>
      <c r="E624" s="74">
        <f t="shared" si="77"/>
        <v>-3146.0068022686851</v>
      </c>
      <c r="F624" s="74">
        <f t="shared" si="71"/>
        <v>-931.48477133813219</v>
      </c>
      <c r="G624" s="74">
        <f t="shared" si="72"/>
        <v>2833.9619280779984</v>
      </c>
      <c r="H624" s="74">
        <f t="shared" si="78"/>
        <v>2827.5549613310759</v>
      </c>
      <c r="I624" s="74">
        <f t="shared" si="79"/>
        <v>21129.845612163983</v>
      </c>
      <c r="J624" s="74">
        <f t="shared" si="80"/>
        <v>21318.195107776679</v>
      </c>
      <c r="K624" s="74">
        <f t="shared" si="81"/>
        <v>-37172.445038668928</v>
      </c>
      <c r="L624" s="74">
        <f t="shared" si="82"/>
        <v>21129.845612163983</v>
      </c>
      <c r="M624" s="74">
        <f t="shared" si="83"/>
        <v>42758.169345129216</v>
      </c>
      <c r="N624" s="74">
        <f t="shared" si="84"/>
        <v>-22172.445038668924</v>
      </c>
      <c r="O624" s="74">
        <f t="shared" si="85"/>
        <v>-33870.154387836017</v>
      </c>
      <c r="P624" s="74">
        <f t="shared" si="86"/>
        <v>40482.152576766981</v>
      </c>
    </row>
    <row r="625" spans="1:16" x14ac:dyDescent="0.3">
      <c r="A625" s="72">
        <f t="shared" si="73"/>
        <v>158</v>
      </c>
      <c r="B625" s="74">
        <f t="shared" si="74"/>
        <v>17683.090449074178</v>
      </c>
      <c r="C625" s="74">
        <f t="shared" si="75"/>
        <v>-1994.3585312788264</v>
      </c>
      <c r="D625" s="74">
        <f t="shared" si="76"/>
        <v>1021.2908208105105</v>
      </c>
      <c r="E625" s="74">
        <f t="shared" si="77"/>
        <v>-1729.0258382296859</v>
      </c>
      <c r="F625" s="74">
        <f t="shared" si="71"/>
        <v>-1038.5315069456462</v>
      </c>
      <c r="G625" s="74">
        <f t="shared" si="72"/>
        <v>2637.3827873821419</v>
      </c>
      <c r="H625" s="74">
        <f t="shared" si="78"/>
        <v>2316.9095509258223</v>
      </c>
      <c r="I625" s="74">
        <f t="shared" si="79"/>
        <v>21994.358531278827</v>
      </c>
      <c r="J625" s="74">
        <f t="shared" si="80"/>
        <v>22116.054735635131</v>
      </c>
      <c r="K625" s="74">
        <f t="shared" si="81"/>
        <v>-37683.090449074181</v>
      </c>
      <c r="L625" s="74">
        <f t="shared" si="82"/>
        <v>21994.358531278827</v>
      </c>
      <c r="M625" s="74">
        <f t="shared" si="83"/>
        <v>43632.179787348963</v>
      </c>
      <c r="N625" s="74">
        <f t="shared" si="84"/>
        <v>-22683.090449074178</v>
      </c>
      <c r="O625" s="74">
        <f t="shared" si="85"/>
        <v>-33005.641468721173</v>
      </c>
      <c r="P625" s="74">
        <f t="shared" si="86"/>
        <v>40048.657419227515</v>
      </c>
    </row>
    <row r="626" spans="1:16" x14ac:dyDescent="0.3">
      <c r="A626" s="72">
        <f t="shared" si="73"/>
        <v>158.5</v>
      </c>
      <c r="B626" s="74">
        <f t="shared" si="74"/>
        <v>17934.102982743021</v>
      </c>
      <c r="C626" s="74">
        <f t="shared" si="75"/>
        <v>-2199.5257535481342</v>
      </c>
      <c r="D626" s="74">
        <f t="shared" si="76"/>
        <v>502.02506733768735</v>
      </c>
      <c r="E626" s="74">
        <f t="shared" si="77"/>
        <v>-410.33444453861489</v>
      </c>
      <c r="F626" s="74">
        <f t="shared" si="71"/>
        <v>-1076.0189099011577</v>
      </c>
      <c r="G626" s="74">
        <f t="shared" si="72"/>
        <v>2597.9808072668202</v>
      </c>
      <c r="H626" s="74">
        <f t="shared" si="78"/>
        <v>2065.8970172569789</v>
      </c>
      <c r="I626" s="74">
        <f t="shared" si="79"/>
        <v>22199.525753548136</v>
      </c>
      <c r="J626" s="74">
        <f t="shared" si="80"/>
        <v>22295.44514398307</v>
      </c>
      <c r="K626" s="74">
        <f t="shared" si="81"/>
        <v>-37934.102982743017</v>
      </c>
      <c r="L626" s="74">
        <f t="shared" si="82"/>
        <v>22199.525753548136</v>
      </c>
      <c r="M626" s="74">
        <f t="shared" si="83"/>
        <v>43952.418736490479</v>
      </c>
      <c r="N626" s="74">
        <f t="shared" si="84"/>
        <v>-22934.102982743021</v>
      </c>
      <c r="O626" s="74">
        <f t="shared" si="85"/>
        <v>-32800.474246451864</v>
      </c>
      <c r="P626" s="74">
        <f t="shared" si="86"/>
        <v>40023.045741362745</v>
      </c>
    </row>
    <row r="627" spans="1:16" x14ac:dyDescent="0.3">
      <c r="A627" s="72">
        <f t="shared" si="73"/>
        <v>159</v>
      </c>
      <c r="B627" s="74">
        <f t="shared" si="74"/>
        <v>17916.110788936574</v>
      </c>
      <c r="C627" s="74">
        <f t="shared" si="75"/>
        <v>-1755.1977740007364</v>
      </c>
      <c r="D627" s="74">
        <f t="shared" si="76"/>
        <v>-35.98438761289151</v>
      </c>
      <c r="E627" s="74">
        <f t="shared" si="77"/>
        <v>888.65595909479521</v>
      </c>
      <c r="F627" s="74">
        <f t="shared" si="71"/>
        <v>-1054.0672426898918</v>
      </c>
      <c r="G627" s="74">
        <f t="shared" si="72"/>
        <v>2708.9889306273708</v>
      </c>
      <c r="H627" s="74">
        <f t="shared" si="78"/>
        <v>2083.889211063426</v>
      </c>
      <c r="I627" s="74">
        <f t="shared" si="79"/>
        <v>21755.197774000735</v>
      </c>
      <c r="J627" s="74">
        <f t="shared" si="80"/>
        <v>21854.775780819007</v>
      </c>
      <c r="K627" s="74">
        <f t="shared" si="81"/>
        <v>-37916.110788936574</v>
      </c>
      <c r="L627" s="74">
        <f t="shared" si="82"/>
        <v>21755.197774000735</v>
      </c>
      <c r="M627" s="74">
        <f t="shared" si="83"/>
        <v>43714.071962524824</v>
      </c>
      <c r="N627" s="74">
        <f t="shared" si="84"/>
        <v>-22916.110788936574</v>
      </c>
      <c r="O627" s="74">
        <f t="shared" si="85"/>
        <v>-33244.802225999265</v>
      </c>
      <c r="P627" s="74">
        <f t="shared" si="86"/>
        <v>40377.778650349515</v>
      </c>
    </row>
    <row r="628" spans="1:16" x14ac:dyDescent="0.3">
      <c r="A628" s="72">
        <f t="shared" si="73"/>
        <v>159.5</v>
      </c>
      <c r="B628" s="74">
        <f t="shared" si="74"/>
        <v>17634.601784457653</v>
      </c>
      <c r="C628" s="74">
        <f t="shared" si="75"/>
        <v>-633.62256179649603</v>
      </c>
      <c r="D628" s="74">
        <f t="shared" si="76"/>
        <v>-563.01800895783742</v>
      </c>
      <c r="E628" s="74">
        <f t="shared" si="77"/>
        <v>2243.1504244084808</v>
      </c>
      <c r="F628" s="74">
        <f t="shared" si="71"/>
        <v>-962.38174505102825</v>
      </c>
      <c r="G628" s="74">
        <f t="shared" si="72"/>
        <v>2997.6070918674059</v>
      </c>
      <c r="H628" s="74">
        <f t="shared" si="78"/>
        <v>2365.3982155423473</v>
      </c>
      <c r="I628" s="74">
        <f t="shared" si="79"/>
        <v>20633.622561796496</v>
      </c>
      <c r="J628" s="74">
        <f t="shared" si="80"/>
        <v>20768.762330499336</v>
      </c>
      <c r="K628" s="74">
        <f t="shared" si="81"/>
        <v>-37634.601784457656</v>
      </c>
      <c r="L628" s="74">
        <f t="shared" si="82"/>
        <v>20633.622561796496</v>
      </c>
      <c r="M628" s="74">
        <f t="shared" si="83"/>
        <v>42919.804653532388</v>
      </c>
      <c r="N628" s="74">
        <f t="shared" si="84"/>
        <v>-22634.601784457653</v>
      </c>
      <c r="O628" s="74">
        <f t="shared" si="85"/>
        <v>-34366.377438203504</v>
      </c>
      <c r="P628" s="74">
        <f t="shared" si="86"/>
        <v>41150.614772637804</v>
      </c>
    </row>
    <row r="629" spans="1:16" x14ac:dyDescent="0.3">
      <c r="A629" s="72">
        <f t="shared" si="73"/>
        <v>160</v>
      </c>
      <c r="B629" s="74">
        <f t="shared" si="74"/>
        <v>17112.497343715979</v>
      </c>
      <c r="C629" s="74">
        <f t="shared" si="75"/>
        <v>1237.3544233745959</v>
      </c>
      <c r="D629" s="74">
        <f t="shared" si="76"/>
        <v>-1044.2088814833514</v>
      </c>
      <c r="E629" s="74">
        <f t="shared" si="77"/>
        <v>3741.9539703421838</v>
      </c>
      <c r="F629" s="74">
        <f t="shared" si="71"/>
        <v>-756.91013590254124</v>
      </c>
      <c r="G629" s="74">
        <f t="shared" si="72"/>
        <v>3539.0395737638055</v>
      </c>
      <c r="H629" s="74">
        <f t="shared" si="78"/>
        <v>2887.5026562840212</v>
      </c>
      <c r="I629" s="74">
        <f t="shared" si="79"/>
        <v>18762.645576625404</v>
      </c>
      <c r="J629" s="74">
        <f t="shared" si="80"/>
        <v>18983.533407248193</v>
      </c>
      <c r="K629" s="74">
        <f t="shared" si="81"/>
        <v>-37112.497343715979</v>
      </c>
      <c r="L629" s="74">
        <f t="shared" si="82"/>
        <v>18762.645576625404</v>
      </c>
      <c r="M629" s="74">
        <f t="shared" si="83"/>
        <v>41585.746694286812</v>
      </c>
      <c r="N629" s="74">
        <f t="shared" si="84"/>
        <v>-22112.497343715979</v>
      </c>
      <c r="O629" s="74">
        <f t="shared" si="85"/>
        <v>-36237.354423374592</v>
      </c>
      <c r="P629" s="74">
        <f t="shared" si="86"/>
        <v>42451.247265317332</v>
      </c>
    </row>
    <row r="630" spans="1:16" x14ac:dyDescent="0.3">
      <c r="A630" s="72">
        <f t="shared" si="73"/>
        <v>160.5</v>
      </c>
      <c r="B630" s="74">
        <f t="shared" si="74"/>
        <v>16401.165368998667</v>
      </c>
      <c r="C630" s="74">
        <f t="shared" si="75"/>
        <v>3993.0913019866393</v>
      </c>
      <c r="D630" s="74">
        <f t="shared" si="76"/>
        <v>-1422.6639494346221</v>
      </c>
      <c r="E630" s="74">
        <f t="shared" si="77"/>
        <v>5511.4737572240865</v>
      </c>
      <c r="F630" s="74">
        <f t="shared" ref="F630:F693" si="87">$C$23*(H630/(J630^2+$C$24^2)^1.5)+$C$32*(K630/(M630^2+$C$33^2)^1.5)+C$41*(N630/(P630^2+$C$42^2)^1.5)</f>
        <v>-299.47267245394522</v>
      </c>
      <c r="G630" s="74">
        <f t="shared" ref="G630:G693" si="88">$C$23*(I630/(J630^2+$C$24^2)^1.5)+$C$32*(L630/(M630^2+$C$33^2)^1.5)+C$41*(O630/(P630^2+$C$42^2)^1.5)</f>
        <v>4494.5704524618513</v>
      </c>
      <c r="H630" s="74">
        <f t="shared" si="78"/>
        <v>3598.834631001333</v>
      </c>
      <c r="I630" s="74">
        <f t="shared" si="79"/>
        <v>16006.908698013362</v>
      </c>
      <c r="J630" s="74">
        <f t="shared" si="80"/>
        <v>16406.484595056623</v>
      </c>
      <c r="K630" s="74">
        <f t="shared" si="81"/>
        <v>-36401.165368998671</v>
      </c>
      <c r="L630" s="74">
        <f t="shared" si="82"/>
        <v>16006.908698013362</v>
      </c>
      <c r="M630" s="74">
        <f t="shared" si="83"/>
        <v>39765.135059342167</v>
      </c>
      <c r="N630" s="74">
        <f t="shared" si="84"/>
        <v>-21401.165368998667</v>
      </c>
      <c r="O630" s="74">
        <f t="shared" si="85"/>
        <v>-38993.091301986642</v>
      </c>
      <c r="P630" s="74">
        <f t="shared" si="86"/>
        <v>44480.00728907645</v>
      </c>
    </row>
    <row r="631" spans="1:16" x14ac:dyDescent="0.3">
      <c r="A631" s="72">
        <f t="shared" ref="A631:A694" si="89">A630+$C$5</f>
        <v>161</v>
      </c>
      <c r="B631" s="74">
        <f t="shared" ref="B631:B694" si="90">B630+D630*(A631-A630)+F630*(A631-A630)^2</f>
        <v>15614.965226167869</v>
      </c>
      <c r="C631" s="74">
        <f t="shared" ref="C631:C694" si="91">C630+E630*(A631-A630)+G630*(A631-A630)^2</f>
        <v>7872.4707937141457</v>
      </c>
      <c r="D631" s="74">
        <f t="shared" ref="D631:D694" si="92">D630+F630*(A631-A630)</f>
        <v>-1572.4002856615946</v>
      </c>
      <c r="E631" s="74">
        <f t="shared" ref="E631:E694" si="93">E630+G630*(A631-A630)</f>
        <v>7758.7589834550126</v>
      </c>
      <c r="F631" s="74">
        <f t="shared" si="87"/>
        <v>893.0875998213221</v>
      </c>
      <c r="G631" s="74">
        <f t="shared" si="88"/>
        <v>6156.1358556900668</v>
      </c>
      <c r="H631" s="74">
        <f t="shared" ref="H631:H694" si="94">$C$19-B631</f>
        <v>4385.0347738321307</v>
      </c>
      <c r="I631" s="74">
        <f t="shared" ref="I631:I694" si="95">$D$19-C631</f>
        <v>12127.529206285853</v>
      </c>
      <c r="J631" s="74">
        <f t="shared" ref="J631:J694" si="96">SQRT(H631^2+I631^2)</f>
        <v>12895.9487676182</v>
      </c>
      <c r="K631" s="74">
        <f t="shared" ref="K631:K694" si="97">$C$28-B631</f>
        <v>-35614.965226167871</v>
      </c>
      <c r="L631" s="74">
        <f t="shared" ref="L631:L694" si="98">$D$28-C631</f>
        <v>12127.529206285853</v>
      </c>
      <c r="M631" s="74">
        <f t="shared" ref="M631:M694" si="99">SQRT(K631^2+L631^2)</f>
        <v>37623.167233906068</v>
      </c>
      <c r="N631" s="74">
        <f t="shared" ref="N631:N694" si="100">$C$37-B631</f>
        <v>-20614.965226167871</v>
      </c>
      <c r="O631" s="74">
        <f t="shared" ref="O631:O694" si="101">$D$37-C631</f>
        <v>-42872.470793714143</v>
      </c>
      <c r="P631" s="74">
        <f t="shared" ref="P631:P694" si="102">SQRT(N631^2+O631^2)</f>
        <v>47571.268043157972</v>
      </c>
    </row>
    <row r="632" spans="1:16" x14ac:dyDescent="0.3">
      <c r="A632" s="72">
        <f t="shared" si="89"/>
        <v>161.5</v>
      </c>
      <c r="B632" s="74">
        <f t="shared" si="90"/>
        <v>15052.036983292403</v>
      </c>
      <c r="C632" s="74">
        <f t="shared" si="91"/>
        <v>13290.884249364168</v>
      </c>
      <c r="D632" s="74">
        <f t="shared" si="92"/>
        <v>-1125.8564857509336</v>
      </c>
      <c r="E632" s="74">
        <f t="shared" si="93"/>
        <v>10836.826911300046</v>
      </c>
      <c r="F632" s="74">
        <f t="shared" si="87"/>
        <v>4683.4567441277613</v>
      </c>
      <c r="G632" s="74">
        <f t="shared" si="88"/>
        <v>8073.7105350282527</v>
      </c>
      <c r="H632" s="74">
        <f t="shared" si="94"/>
        <v>4947.9630167075975</v>
      </c>
      <c r="I632" s="74">
        <f t="shared" si="95"/>
        <v>6709.1157506358322</v>
      </c>
      <c r="J632" s="74">
        <f t="shared" si="96"/>
        <v>8336.3404543082306</v>
      </c>
      <c r="K632" s="74">
        <f t="shared" si="97"/>
        <v>-35052.036983292404</v>
      </c>
      <c r="L632" s="74">
        <f t="shared" si="98"/>
        <v>6709.1157506358322</v>
      </c>
      <c r="M632" s="74">
        <f t="shared" si="99"/>
        <v>35688.338863465309</v>
      </c>
      <c r="N632" s="74">
        <f t="shared" si="100"/>
        <v>-20052.036983292404</v>
      </c>
      <c r="O632" s="74">
        <f t="shared" si="101"/>
        <v>-48290.884249364171</v>
      </c>
      <c r="P632" s="74">
        <f t="shared" si="102"/>
        <v>52288.561739302175</v>
      </c>
    </row>
    <row r="633" spans="1:16" x14ac:dyDescent="0.3">
      <c r="A633" s="72">
        <f t="shared" si="89"/>
        <v>162</v>
      </c>
      <c r="B633" s="74">
        <f t="shared" si="90"/>
        <v>15659.972926448876</v>
      </c>
      <c r="C633" s="74">
        <f t="shared" si="91"/>
        <v>20727.725338771255</v>
      </c>
      <c r="D633" s="74">
        <f t="shared" si="92"/>
        <v>1215.871886312947</v>
      </c>
      <c r="E633" s="74">
        <f t="shared" si="93"/>
        <v>14873.682178814171</v>
      </c>
      <c r="F633" s="74">
        <f t="shared" si="87"/>
        <v>10192.694030364144</v>
      </c>
      <c r="G633" s="74">
        <f t="shared" si="88"/>
        <v>-2440.4437153739373</v>
      </c>
      <c r="H633" s="74">
        <f t="shared" si="94"/>
        <v>4340.027073551124</v>
      </c>
      <c r="I633" s="74">
        <f t="shared" si="95"/>
        <v>-727.72533877125534</v>
      </c>
      <c r="J633" s="74">
        <f t="shared" si="96"/>
        <v>4400.6157714400006</v>
      </c>
      <c r="K633" s="74">
        <f t="shared" si="97"/>
        <v>-35659.972926448878</v>
      </c>
      <c r="L633" s="74">
        <f t="shared" si="98"/>
        <v>-727.72533877125534</v>
      </c>
      <c r="M633" s="74">
        <f t="shared" si="99"/>
        <v>35667.397624213583</v>
      </c>
      <c r="N633" s="74">
        <f t="shared" si="100"/>
        <v>-20659.972926448878</v>
      </c>
      <c r="O633" s="74">
        <f t="shared" si="101"/>
        <v>-55727.725338771255</v>
      </c>
      <c r="P633" s="74">
        <f t="shared" si="102"/>
        <v>59434.113543949898</v>
      </c>
    </row>
    <row r="634" spans="1:16" x14ac:dyDescent="0.3">
      <c r="A634" s="72">
        <f t="shared" si="89"/>
        <v>162.5</v>
      </c>
      <c r="B634" s="74">
        <f t="shared" si="90"/>
        <v>18816.082377196384</v>
      </c>
      <c r="C634" s="74">
        <f t="shared" si="91"/>
        <v>27554.455499334854</v>
      </c>
      <c r="D634" s="74">
        <f t="shared" si="92"/>
        <v>6312.2189014950191</v>
      </c>
      <c r="E634" s="74">
        <f t="shared" si="93"/>
        <v>13653.460321127202</v>
      </c>
      <c r="F634" s="74">
        <f t="shared" si="87"/>
        <v>512.93415273201185</v>
      </c>
      <c r="G634" s="74">
        <f t="shared" si="88"/>
        <v>-11430.99145025687</v>
      </c>
      <c r="H634" s="74">
        <f t="shared" si="94"/>
        <v>1183.9176228036158</v>
      </c>
      <c r="I634" s="74">
        <f t="shared" si="95"/>
        <v>-7554.4554993348538</v>
      </c>
      <c r="J634" s="74">
        <f t="shared" si="96"/>
        <v>7646.6632480458811</v>
      </c>
      <c r="K634" s="74">
        <f t="shared" si="97"/>
        <v>-38816.082377196384</v>
      </c>
      <c r="L634" s="74">
        <f t="shared" si="98"/>
        <v>-7554.4554993348538</v>
      </c>
      <c r="M634" s="74">
        <f t="shared" si="99"/>
        <v>39544.380751311888</v>
      </c>
      <c r="N634" s="74">
        <f t="shared" si="100"/>
        <v>-23816.082377196384</v>
      </c>
      <c r="O634" s="74">
        <f t="shared" si="101"/>
        <v>-62554.455499334857</v>
      </c>
      <c r="P634" s="74">
        <f t="shared" si="102"/>
        <v>66934.786789947044</v>
      </c>
    </row>
    <row r="635" spans="1:16" x14ac:dyDescent="0.3">
      <c r="A635" s="72">
        <f t="shared" si="89"/>
        <v>163</v>
      </c>
      <c r="B635" s="74">
        <f t="shared" si="90"/>
        <v>22100.425366126896</v>
      </c>
      <c r="C635" s="74">
        <f t="shared" si="91"/>
        <v>31523.437797334234</v>
      </c>
      <c r="D635" s="74">
        <f t="shared" si="92"/>
        <v>6568.6859778610251</v>
      </c>
      <c r="E635" s="74">
        <f t="shared" si="93"/>
        <v>7937.9645959987674</v>
      </c>
      <c r="F635" s="74">
        <f t="shared" si="87"/>
        <v>-2363.0358349237267</v>
      </c>
      <c r="G635" s="74">
        <f t="shared" si="88"/>
        <v>-8114.7378673401017</v>
      </c>
      <c r="H635" s="74">
        <f t="shared" si="94"/>
        <v>-2100.4253661268958</v>
      </c>
      <c r="I635" s="74">
        <f t="shared" si="95"/>
        <v>-11523.437797334234</v>
      </c>
      <c r="J635" s="74">
        <f t="shared" si="96"/>
        <v>11713.300362737249</v>
      </c>
      <c r="K635" s="74">
        <f t="shared" si="97"/>
        <v>-42100.425366126896</v>
      </c>
      <c r="L635" s="74">
        <f t="shared" si="98"/>
        <v>-11523.437797334234</v>
      </c>
      <c r="M635" s="74">
        <f t="shared" si="99"/>
        <v>43649.002676783493</v>
      </c>
      <c r="N635" s="74">
        <f t="shared" si="100"/>
        <v>-27100.425366126896</v>
      </c>
      <c r="O635" s="74">
        <f t="shared" si="101"/>
        <v>-66523.437797334234</v>
      </c>
      <c r="P635" s="74">
        <f t="shared" si="102"/>
        <v>71831.753642806259</v>
      </c>
    </row>
    <row r="636" spans="1:16" x14ac:dyDescent="0.3">
      <c r="A636" s="72">
        <f t="shared" si="89"/>
        <v>163.5</v>
      </c>
      <c r="B636" s="74">
        <f t="shared" si="90"/>
        <v>24794.009396326477</v>
      </c>
      <c r="C636" s="74">
        <f t="shared" si="91"/>
        <v>33463.735628498594</v>
      </c>
      <c r="D636" s="74">
        <f t="shared" si="92"/>
        <v>5387.1680603991617</v>
      </c>
      <c r="E636" s="74">
        <f t="shared" si="93"/>
        <v>3880.5956623287166</v>
      </c>
      <c r="F636" s="74">
        <f t="shared" si="87"/>
        <v>-2884.1158125343368</v>
      </c>
      <c r="G636" s="74">
        <f t="shared" si="88"/>
        <v>-6168.7974896529231</v>
      </c>
      <c r="H636" s="74">
        <f t="shared" si="94"/>
        <v>-4794.0093963264771</v>
      </c>
      <c r="I636" s="74">
        <f t="shared" si="95"/>
        <v>-13463.735628498594</v>
      </c>
      <c r="J636" s="74">
        <f t="shared" si="96"/>
        <v>14291.770469965189</v>
      </c>
      <c r="K636" s="74">
        <f t="shared" si="97"/>
        <v>-44794.009396326481</v>
      </c>
      <c r="L636" s="74">
        <f t="shared" si="98"/>
        <v>-13463.735628498594</v>
      </c>
      <c r="M636" s="74">
        <f t="shared" si="99"/>
        <v>46773.661978428499</v>
      </c>
      <c r="N636" s="74">
        <f t="shared" si="100"/>
        <v>-29794.009396326477</v>
      </c>
      <c r="O636" s="74">
        <f t="shared" si="101"/>
        <v>-68463.735628498602</v>
      </c>
      <c r="P636" s="74">
        <f t="shared" si="102"/>
        <v>74665.695551018202</v>
      </c>
    </row>
    <row r="637" spans="1:16" x14ac:dyDescent="0.3">
      <c r="A637" s="72">
        <f t="shared" si="89"/>
        <v>164</v>
      </c>
      <c r="B637" s="74">
        <f t="shared" si="90"/>
        <v>26766.564473392475</v>
      </c>
      <c r="C637" s="74">
        <f t="shared" si="91"/>
        <v>33861.834087249721</v>
      </c>
      <c r="D637" s="74">
        <f t="shared" si="92"/>
        <v>3945.1101541319931</v>
      </c>
      <c r="E637" s="74">
        <f t="shared" si="93"/>
        <v>796.19691750225502</v>
      </c>
      <c r="F637" s="74">
        <f t="shared" si="87"/>
        <v>-3184.1931597913826</v>
      </c>
      <c r="G637" s="74">
        <f t="shared" si="88"/>
        <v>-5333.4266427990697</v>
      </c>
      <c r="H637" s="74">
        <f t="shared" si="94"/>
        <v>-6766.5644733924746</v>
      </c>
      <c r="I637" s="74">
        <f t="shared" si="95"/>
        <v>-13861.834087249721</v>
      </c>
      <c r="J637" s="74">
        <f t="shared" si="96"/>
        <v>15425.201426075948</v>
      </c>
      <c r="K637" s="74">
        <f t="shared" si="97"/>
        <v>-46766.564473392471</v>
      </c>
      <c r="L637" s="74">
        <f t="shared" si="98"/>
        <v>-13861.834087249721</v>
      </c>
      <c r="M637" s="74">
        <f t="shared" si="99"/>
        <v>48777.679289880252</v>
      </c>
      <c r="N637" s="74">
        <f t="shared" si="100"/>
        <v>-31766.564473392475</v>
      </c>
      <c r="O637" s="74">
        <f t="shared" si="101"/>
        <v>-68861.834087249721</v>
      </c>
      <c r="P637" s="74">
        <f t="shared" si="102"/>
        <v>75835.788466278289</v>
      </c>
    </row>
    <row r="638" spans="1:16" x14ac:dyDescent="0.3">
      <c r="A638" s="72">
        <f t="shared" si="89"/>
        <v>164.5</v>
      </c>
      <c r="B638" s="74">
        <f t="shared" si="90"/>
        <v>27943.071260510627</v>
      </c>
      <c r="C638" s="74">
        <f t="shared" si="91"/>
        <v>32926.575885301078</v>
      </c>
      <c r="D638" s="74">
        <f t="shared" si="92"/>
        <v>2353.0135742363018</v>
      </c>
      <c r="E638" s="74">
        <f t="shared" si="93"/>
        <v>-1870.5164038972798</v>
      </c>
      <c r="F638" s="74">
        <f t="shared" si="87"/>
        <v>-3697.7314203975334</v>
      </c>
      <c r="G638" s="74">
        <f t="shared" si="88"/>
        <v>-5167.3108311526912</v>
      </c>
      <c r="H638" s="74">
        <f t="shared" si="94"/>
        <v>-7943.0712605106273</v>
      </c>
      <c r="I638" s="74">
        <f t="shared" si="95"/>
        <v>-12926.575885301078</v>
      </c>
      <c r="J638" s="74">
        <f t="shared" si="96"/>
        <v>15171.972355893522</v>
      </c>
      <c r="K638" s="74">
        <f t="shared" si="97"/>
        <v>-47943.071260510624</v>
      </c>
      <c r="L638" s="74">
        <f t="shared" si="98"/>
        <v>-12926.575885301078</v>
      </c>
      <c r="M638" s="74">
        <f t="shared" si="99"/>
        <v>49655.155281288236</v>
      </c>
      <c r="N638" s="74">
        <f t="shared" si="100"/>
        <v>-32943.071260510624</v>
      </c>
      <c r="O638" s="74">
        <f t="shared" si="101"/>
        <v>-67926.575885301078</v>
      </c>
      <c r="P638" s="74">
        <f t="shared" si="102"/>
        <v>75493.48088130953</v>
      </c>
    </row>
    <row r="639" spans="1:16" x14ac:dyDescent="0.3">
      <c r="A639" s="72">
        <f t="shared" si="89"/>
        <v>165</v>
      </c>
      <c r="B639" s="74">
        <f t="shared" si="90"/>
        <v>28195.145192529391</v>
      </c>
      <c r="C639" s="74">
        <f t="shared" si="91"/>
        <v>30699.489975564265</v>
      </c>
      <c r="D639" s="74">
        <f t="shared" si="92"/>
        <v>504.1478640375351</v>
      </c>
      <c r="E639" s="74">
        <f t="shared" si="93"/>
        <v>-4454.1718194736259</v>
      </c>
      <c r="F639" s="74">
        <f t="shared" si="87"/>
        <v>-4775.8165271604039</v>
      </c>
      <c r="G639" s="74">
        <f t="shared" si="88"/>
        <v>-5591.6202099823968</v>
      </c>
      <c r="H639" s="74">
        <f t="shared" si="94"/>
        <v>-8195.1451925293914</v>
      </c>
      <c r="I639" s="74">
        <f t="shared" si="95"/>
        <v>-10699.489975564265</v>
      </c>
      <c r="J639" s="74">
        <f t="shared" si="96"/>
        <v>13477.369567680402</v>
      </c>
      <c r="K639" s="74">
        <f t="shared" si="97"/>
        <v>-48195.145192529395</v>
      </c>
      <c r="L639" s="74">
        <f t="shared" si="98"/>
        <v>-10699.489975564265</v>
      </c>
      <c r="M639" s="74">
        <f t="shared" si="99"/>
        <v>49368.523432103873</v>
      </c>
      <c r="N639" s="74">
        <f t="shared" si="100"/>
        <v>-33195.145192529395</v>
      </c>
      <c r="O639" s="74">
        <f t="shared" si="101"/>
        <v>-65699.489975564269</v>
      </c>
      <c r="P639" s="74">
        <f t="shared" si="102"/>
        <v>73609.378800546721</v>
      </c>
    </row>
    <row r="640" spans="1:16" x14ac:dyDescent="0.3">
      <c r="A640" s="72">
        <f t="shared" si="89"/>
        <v>165.5</v>
      </c>
      <c r="B640" s="74">
        <f t="shared" si="90"/>
        <v>27253.264992758057</v>
      </c>
      <c r="C640" s="74">
        <f t="shared" si="91"/>
        <v>27074.499013331853</v>
      </c>
      <c r="D640" s="74">
        <f t="shared" si="92"/>
        <v>-1883.7603995426668</v>
      </c>
      <c r="E640" s="74">
        <f t="shared" si="93"/>
        <v>-7249.9819244648243</v>
      </c>
      <c r="F640" s="74">
        <f t="shared" si="87"/>
        <v>-7300.3748984776184</v>
      </c>
      <c r="G640" s="74">
        <f t="shared" si="88"/>
        <v>-6666.4109333232591</v>
      </c>
      <c r="H640" s="74">
        <f t="shared" si="94"/>
        <v>-7253.2649927580569</v>
      </c>
      <c r="I640" s="74">
        <f t="shared" si="95"/>
        <v>-7074.4990133318533</v>
      </c>
      <c r="J640" s="74">
        <f t="shared" si="96"/>
        <v>10132.047638301101</v>
      </c>
      <c r="K640" s="74">
        <f t="shared" si="97"/>
        <v>-47253.264992758057</v>
      </c>
      <c r="L640" s="74">
        <f t="shared" si="98"/>
        <v>-7074.4990133318533</v>
      </c>
      <c r="M640" s="74">
        <f t="shared" si="99"/>
        <v>47779.90779360554</v>
      </c>
      <c r="N640" s="74">
        <f t="shared" si="100"/>
        <v>-32253.264992758057</v>
      </c>
      <c r="O640" s="74">
        <f t="shared" si="101"/>
        <v>-62074.49901333185</v>
      </c>
      <c r="P640" s="74">
        <f t="shared" si="102"/>
        <v>69953.674174050422</v>
      </c>
    </row>
    <row r="641" spans="1:16" x14ac:dyDescent="0.3">
      <c r="A641" s="72">
        <f t="shared" si="89"/>
        <v>166</v>
      </c>
      <c r="B641" s="74">
        <f t="shared" si="90"/>
        <v>24486.291068367318</v>
      </c>
      <c r="C641" s="74">
        <f t="shared" si="91"/>
        <v>21782.905317768626</v>
      </c>
      <c r="D641" s="74">
        <f t="shared" si="92"/>
        <v>-5533.9478487814758</v>
      </c>
      <c r="E641" s="74">
        <f t="shared" si="93"/>
        <v>-10583.187391126454</v>
      </c>
      <c r="F641" s="74">
        <f t="shared" si="87"/>
        <v>-12221.672080971368</v>
      </c>
      <c r="G641" s="74">
        <f t="shared" si="88"/>
        <v>-4849.6903730329641</v>
      </c>
      <c r="H641" s="74">
        <f t="shared" si="94"/>
        <v>-4486.2910683673181</v>
      </c>
      <c r="I641" s="74">
        <f t="shared" si="95"/>
        <v>-1782.9053177686255</v>
      </c>
      <c r="J641" s="74">
        <f t="shared" si="96"/>
        <v>4827.5831346793002</v>
      </c>
      <c r="K641" s="74">
        <f t="shared" si="97"/>
        <v>-44486.291068367318</v>
      </c>
      <c r="L641" s="74">
        <f t="shared" si="98"/>
        <v>-1782.9053177686255</v>
      </c>
      <c r="M641" s="74">
        <f t="shared" si="99"/>
        <v>44522.004047342991</v>
      </c>
      <c r="N641" s="74">
        <f t="shared" si="100"/>
        <v>-29486.291068367318</v>
      </c>
      <c r="O641" s="74">
        <f t="shared" si="101"/>
        <v>-56782.905317768629</v>
      </c>
      <c r="P641" s="74">
        <f t="shared" si="102"/>
        <v>63982.338948300065</v>
      </c>
    </row>
    <row r="642" spans="1:16" x14ac:dyDescent="0.3">
      <c r="A642" s="72">
        <f t="shared" si="89"/>
        <v>166.5</v>
      </c>
      <c r="B642" s="74">
        <f t="shared" si="90"/>
        <v>18663.899123733736</v>
      </c>
      <c r="C642" s="74">
        <f t="shared" si="91"/>
        <v>15278.889028947156</v>
      </c>
      <c r="D642" s="74">
        <f t="shared" si="92"/>
        <v>-11644.783889267161</v>
      </c>
      <c r="E642" s="74">
        <f t="shared" si="93"/>
        <v>-13008.032577642936</v>
      </c>
      <c r="F642" s="74">
        <f t="shared" si="87"/>
        <v>1947.8564503620444</v>
      </c>
      <c r="G642" s="74">
        <f t="shared" si="88"/>
        <v>11218.774837433233</v>
      </c>
      <c r="H642" s="74">
        <f t="shared" si="94"/>
        <v>1336.1008762662641</v>
      </c>
      <c r="I642" s="74">
        <f t="shared" si="95"/>
        <v>4721.1109710528435</v>
      </c>
      <c r="J642" s="74">
        <f t="shared" si="96"/>
        <v>4906.5318049060888</v>
      </c>
      <c r="K642" s="74">
        <f t="shared" si="97"/>
        <v>-38663.899123733732</v>
      </c>
      <c r="L642" s="74">
        <f t="shared" si="98"/>
        <v>4721.1109710528435</v>
      </c>
      <c r="M642" s="74">
        <f t="shared" si="99"/>
        <v>38951.071670125501</v>
      </c>
      <c r="N642" s="74">
        <f t="shared" si="100"/>
        <v>-23663.899123733736</v>
      </c>
      <c r="O642" s="74">
        <f t="shared" si="101"/>
        <v>-50278.88902894716</v>
      </c>
      <c r="P642" s="74">
        <f t="shared" si="102"/>
        <v>55569.297311765869</v>
      </c>
    </row>
    <row r="643" spans="1:16" x14ac:dyDescent="0.3">
      <c r="A643" s="72">
        <f t="shared" si="89"/>
        <v>167</v>
      </c>
      <c r="B643" s="74">
        <f t="shared" si="90"/>
        <v>13328.471291690666</v>
      </c>
      <c r="C643" s="74">
        <f t="shared" si="91"/>
        <v>11579.566449483995</v>
      </c>
      <c r="D643" s="74">
        <f t="shared" si="92"/>
        <v>-10670.855664086139</v>
      </c>
      <c r="E643" s="74">
        <f t="shared" si="93"/>
        <v>-7398.6451589263197</v>
      </c>
      <c r="F643" s="74">
        <f t="shared" si="87"/>
        <v>3639.8489013716217</v>
      </c>
      <c r="G643" s="74">
        <f t="shared" si="88"/>
        <v>6322.770142514184</v>
      </c>
      <c r="H643" s="74">
        <f t="shared" si="94"/>
        <v>6671.5287083093335</v>
      </c>
      <c r="I643" s="74">
        <f t="shared" si="95"/>
        <v>8420.4335505160052</v>
      </c>
      <c r="J643" s="74">
        <f t="shared" si="96"/>
        <v>10743.044097668555</v>
      </c>
      <c r="K643" s="74">
        <f t="shared" si="97"/>
        <v>-33328.471291690665</v>
      </c>
      <c r="L643" s="74">
        <f t="shared" si="98"/>
        <v>8420.4335505160052</v>
      </c>
      <c r="M643" s="74">
        <f t="shared" si="99"/>
        <v>34375.728353297542</v>
      </c>
      <c r="N643" s="74">
        <f t="shared" si="100"/>
        <v>-18328.471291690665</v>
      </c>
      <c r="O643" s="74">
        <f t="shared" si="101"/>
        <v>-46579.566449483995</v>
      </c>
      <c r="P643" s="74">
        <f t="shared" si="102"/>
        <v>50055.857504514133</v>
      </c>
    </row>
    <row r="644" spans="1:16" x14ac:dyDescent="0.3">
      <c r="A644" s="72">
        <f t="shared" si="89"/>
        <v>167.5</v>
      </c>
      <c r="B644" s="74">
        <f t="shared" si="90"/>
        <v>8903.0056849905031</v>
      </c>
      <c r="C644" s="74">
        <f t="shared" si="91"/>
        <v>9460.9364056493814</v>
      </c>
      <c r="D644" s="74">
        <f t="shared" si="92"/>
        <v>-8850.9312134003285</v>
      </c>
      <c r="E644" s="74">
        <f t="shared" si="93"/>
        <v>-4237.2600876692277</v>
      </c>
      <c r="F644" s="74">
        <f t="shared" si="87"/>
        <v>2118.7803807318378</v>
      </c>
      <c r="G644" s="74">
        <f t="shared" si="88"/>
        <v>3600.7431804050202</v>
      </c>
      <c r="H644" s="74">
        <f t="shared" si="94"/>
        <v>11096.994315009497</v>
      </c>
      <c r="I644" s="74">
        <f t="shared" si="95"/>
        <v>10539.063594350619</v>
      </c>
      <c r="J644" s="74">
        <f t="shared" si="96"/>
        <v>15304.089135689183</v>
      </c>
      <c r="K644" s="74">
        <f t="shared" si="97"/>
        <v>-28903.005684990501</v>
      </c>
      <c r="L644" s="74">
        <f t="shared" si="98"/>
        <v>10539.063594350619</v>
      </c>
      <c r="M644" s="74">
        <f t="shared" si="99"/>
        <v>30764.518508703492</v>
      </c>
      <c r="N644" s="74">
        <f t="shared" si="100"/>
        <v>-13903.005684990503</v>
      </c>
      <c r="O644" s="74">
        <f t="shared" si="101"/>
        <v>-44460.93640564938</v>
      </c>
      <c r="P644" s="74">
        <f t="shared" si="102"/>
        <v>46583.993314700667</v>
      </c>
    </row>
    <row r="645" spans="1:16" x14ac:dyDescent="0.3">
      <c r="A645" s="72">
        <f t="shared" si="89"/>
        <v>168</v>
      </c>
      <c r="B645" s="74">
        <f t="shared" si="90"/>
        <v>5007.2351734732983</v>
      </c>
      <c r="C645" s="74">
        <f t="shared" si="91"/>
        <v>8242.4921569160233</v>
      </c>
      <c r="D645" s="74">
        <f t="shared" si="92"/>
        <v>-7791.5410230344096</v>
      </c>
      <c r="E645" s="74">
        <f t="shared" si="93"/>
        <v>-2436.8884974667176</v>
      </c>
      <c r="F645" s="74">
        <f t="shared" si="87"/>
        <v>1009.7209508408793</v>
      </c>
      <c r="G645" s="74">
        <f t="shared" si="88"/>
        <v>2467.4746591810258</v>
      </c>
      <c r="H645" s="74">
        <f t="shared" si="94"/>
        <v>14992.764826526702</v>
      </c>
      <c r="I645" s="74">
        <f t="shared" si="95"/>
        <v>11757.507843083977</v>
      </c>
      <c r="J645" s="74">
        <f t="shared" si="96"/>
        <v>19053.135905244508</v>
      </c>
      <c r="K645" s="74">
        <f t="shared" si="97"/>
        <v>-25007.235173473298</v>
      </c>
      <c r="L645" s="74">
        <f t="shared" si="98"/>
        <v>11757.507843083977</v>
      </c>
      <c r="M645" s="74">
        <f t="shared" si="99"/>
        <v>27633.327734849117</v>
      </c>
      <c r="N645" s="74">
        <f t="shared" si="100"/>
        <v>-10007.235173473298</v>
      </c>
      <c r="O645" s="74">
        <f t="shared" si="101"/>
        <v>-43242.492156916021</v>
      </c>
      <c r="P645" s="74">
        <f t="shared" si="102"/>
        <v>44385.334106640956</v>
      </c>
    </row>
    <row r="646" spans="1:16" x14ac:dyDescent="0.3">
      <c r="A646" s="72">
        <f t="shared" si="89"/>
        <v>168.5</v>
      </c>
      <c r="B646" s="74">
        <f t="shared" si="90"/>
        <v>1363.8948996663134</v>
      </c>
      <c r="C646" s="74">
        <f t="shared" si="91"/>
        <v>7640.9165729779206</v>
      </c>
      <c r="D646" s="74">
        <f t="shared" si="92"/>
        <v>-7286.6805476139698</v>
      </c>
      <c r="E646" s="74">
        <f t="shared" si="93"/>
        <v>-1203.1511678762047</v>
      </c>
      <c r="F646" s="74">
        <f t="shared" si="87"/>
        <v>176.2778063959372</v>
      </c>
      <c r="G646" s="74">
        <f t="shared" si="88"/>
        <v>2037.7512926544491</v>
      </c>
      <c r="H646" s="74">
        <f t="shared" si="94"/>
        <v>18636.105100333687</v>
      </c>
      <c r="I646" s="74">
        <f t="shared" si="95"/>
        <v>12359.08342702208</v>
      </c>
      <c r="J646" s="74">
        <f t="shared" si="96"/>
        <v>22361.828111019346</v>
      </c>
      <c r="K646" s="74">
        <f t="shared" si="97"/>
        <v>-21363.894899666313</v>
      </c>
      <c r="L646" s="74">
        <f t="shared" si="98"/>
        <v>12359.08342702208</v>
      </c>
      <c r="M646" s="74">
        <f t="shared" si="99"/>
        <v>24681.226639696823</v>
      </c>
      <c r="N646" s="74">
        <f t="shared" si="100"/>
        <v>-6363.894899666313</v>
      </c>
      <c r="O646" s="74">
        <f t="shared" si="101"/>
        <v>-42640.91657297792</v>
      </c>
      <c r="P646" s="74">
        <f t="shared" si="102"/>
        <v>43113.187361614335</v>
      </c>
    </row>
    <row r="647" spans="1:16" x14ac:dyDescent="0.3">
      <c r="A647" s="72">
        <f t="shared" si="89"/>
        <v>169</v>
      </c>
      <c r="B647" s="74">
        <f t="shared" si="90"/>
        <v>-2235.375922541687</v>
      </c>
      <c r="C647" s="74">
        <f t="shared" si="91"/>
        <v>7548.7788122034299</v>
      </c>
      <c r="D647" s="74">
        <f t="shared" si="92"/>
        <v>-7198.541644416001</v>
      </c>
      <c r="E647" s="74">
        <f t="shared" si="93"/>
        <v>-184.27552154898012</v>
      </c>
      <c r="F647" s="74">
        <f t="shared" si="87"/>
        <v>-560.05742587795919</v>
      </c>
      <c r="G647" s="74">
        <f t="shared" si="88"/>
        <v>2066.5115845617588</v>
      </c>
      <c r="H647" s="74">
        <f t="shared" si="94"/>
        <v>22235.375922541687</v>
      </c>
      <c r="I647" s="74">
        <f t="shared" si="95"/>
        <v>12451.221187796571</v>
      </c>
      <c r="J647" s="74">
        <f t="shared" si="96"/>
        <v>25484.207884181546</v>
      </c>
      <c r="K647" s="74">
        <f t="shared" si="97"/>
        <v>-17764.624077458313</v>
      </c>
      <c r="L647" s="74">
        <f t="shared" si="98"/>
        <v>12451.221187796571</v>
      </c>
      <c r="M647" s="74">
        <f t="shared" si="99"/>
        <v>21693.657545025595</v>
      </c>
      <c r="N647" s="74">
        <f t="shared" si="100"/>
        <v>-2764.624077458313</v>
      </c>
      <c r="O647" s="74">
        <f t="shared" si="101"/>
        <v>-42548.778812203433</v>
      </c>
      <c r="P647" s="74">
        <f t="shared" si="102"/>
        <v>42638.500497783381</v>
      </c>
    </row>
    <row r="648" spans="1:16" x14ac:dyDescent="0.3">
      <c r="A648" s="72">
        <f t="shared" si="89"/>
        <v>169.5</v>
      </c>
      <c r="B648" s="74">
        <f t="shared" si="90"/>
        <v>-5974.661101219177</v>
      </c>
      <c r="C648" s="74">
        <f t="shared" si="91"/>
        <v>7973.2689475693796</v>
      </c>
      <c r="D648" s="74">
        <f t="shared" si="92"/>
        <v>-7478.5703573549808</v>
      </c>
      <c r="E648" s="74">
        <f t="shared" si="93"/>
        <v>848.98027073189928</v>
      </c>
      <c r="F648" s="74">
        <f t="shared" si="87"/>
        <v>-1333.768094836724</v>
      </c>
      <c r="G648" s="74">
        <f t="shared" si="88"/>
        <v>2586.8812424129319</v>
      </c>
      <c r="H648" s="74">
        <f t="shared" si="94"/>
        <v>25974.661101219179</v>
      </c>
      <c r="I648" s="74">
        <f t="shared" si="95"/>
        <v>12026.731052430619</v>
      </c>
      <c r="J648" s="74">
        <f t="shared" si="96"/>
        <v>28623.858564677957</v>
      </c>
      <c r="K648" s="74">
        <f t="shared" si="97"/>
        <v>-14025.338898780823</v>
      </c>
      <c r="L648" s="74">
        <f t="shared" si="98"/>
        <v>12026.731052430619</v>
      </c>
      <c r="M648" s="74">
        <f t="shared" si="99"/>
        <v>18475.724370999731</v>
      </c>
      <c r="N648" s="74">
        <f t="shared" si="100"/>
        <v>974.661101219177</v>
      </c>
      <c r="O648" s="74">
        <f t="shared" si="101"/>
        <v>-42973.268947569377</v>
      </c>
      <c r="P648" s="74">
        <f t="shared" si="102"/>
        <v>42984.320493667925</v>
      </c>
    </row>
    <row r="649" spans="1:16" x14ac:dyDescent="0.3">
      <c r="A649" s="72">
        <f t="shared" si="89"/>
        <v>170</v>
      </c>
      <c r="B649" s="74">
        <f t="shared" si="90"/>
        <v>-10047.388303605849</v>
      </c>
      <c r="C649" s="74">
        <f t="shared" si="91"/>
        <v>9044.4793935385605</v>
      </c>
      <c r="D649" s="74">
        <f t="shared" si="92"/>
        <v>-8145.4544047733425</v>
      </c>
      <c r="E649" s="74">
        <f t="shared" si="93"/>
        <v>2142.4208919383655</v>
      </c>
      <c r="F649" s="74">
        <f t="shared" si="87"/>
        <v>-2253.7647703313301</v>
      </c>
      <c r="G649" s="74">
        <f t="shared" si="88"/>
        <v>3927.5718706790794</v>
      </c>
      <c r="H649" s="74">
        <f t="shared" si="94"/>
        <v>30047.388303605847</v>
      </c>
      <c r="I649" s="74">
        <f t="shared" si="95"/>
        <v>10955.520606461439</v>
      </c>
      <c r="J649" s="74">
        <f t="shared" si="96"/>
        <v>31982.322861641409</v>
      </c>
      <c r="K649" s="74">
        <f t="shared" si="97"/>
        <v>-9952.6116963941513</v>
      </c>
      <c r="L649" s="74">
        <f t="shared" si="98"/>
        <v>10955.520606461439</v>
      </c>
      <c r="M649" s="74">
        <f t="shared" si="99"/>
        <v>14801.280733024521</v>
      </c>
      <c r="N649" s="74">
        <f t="shared" si="100"/>
        <v>5047.3883036058487</v>
      </c>
      <c r="O649" s="74">
        <f t="shared" si="101"/>
        <v>-44044.479393538561</v>
      </c>
      <c r="P649" s="74">
        <f t="shared" si="102"/>
        <v>44332.745163538209</v>
      </c>
    </row>
    <row r="650" spans="1:16" x14ac:dyDescent="0.3">
      <c r="A650" s="72">
        <f t="shared" si="89"/>
        <v>170.5</v>
      </c>
      <c r="B650" s="74">
        <f t="shared" si="90"/>
        <v>-14683.556698575352</v>
      </c>
      <c r="C650" s="74">
        <f t="shared" si="91"/>
        <v>11097.582807177514</v>
      </c>
      <c r="D650" s="74">
        <f t="shared" si="92"/>
        <v>-9272.3367899390068</v>
      </c>
      <c r="E650" s="74">
        <f t="shared" si="93"/>
        <v>4106.2068272779052</v>
      </c>
      <c r="F650" s="74">
        <f t="shared" si="87"/>
        <v>-3073.4472156380593</v>
      </c>
      <c r="G650" s="74">
        <f t="shared" si="88"/>
        <v>7077.0727875354787</v>
      </c>
      <c r="H650" s="74">
        <f t="shared" si="94"/>
        <v>34683.556698575354</v>
      </c>
      <c r="I650" s="74">
        <f t="shared" si="95"/>
        <v>8902.417192822486</v>
      </c>
      <c r="J650" s="74">
        <f t="shared" si="96"/>
        <v>35807.850216654348</v>
      </c>
      <c r="K650" s="74">
        <f t="shared" si="97"/>
        <v>-5316.4433014246479</v>
      </c>
      <c r="L650" s="74">
        <f t="shared" si="98"/>
        <v>8902.417192822486</v>
      </c>
      <c r="M650" s="74">
        <f t="shared" si="99"/>
        <v>10369.0694496818</v>
      </c>
      <c r="N650" s="74">
        <f t="shared" si="100"/>
        <v>9683.5566985753521</v>
      </c>
      <c r="O650" s="74">
        <f t="shared" si="101"/>
        <v>-46097.582807177518</v>
      </c>
      <c r="P650" s="74">
        <f t="shared" si="102"/>
        <v>47103.698485353692</v>
      </c>
    </row>
    <row r="651" spans="1:16" x14ac:dyDescent="0.3">
      <c r="A651" s="72">
        <f t="shared" si="89"/>
        <v>171</v>
      </c>
      <c r="B651" s="74">
        <f t="shared" si="90"/>
        <v>-20088.08689745437</v>
      </c>
      <c r="C651" s="74">
        <f t="shared" si="91"/>
        <v>14919.954417700337</v>
      </c>
      <c r="D651" s="74">
        <f t="shared" si="92"/>
        <v>-10809.060397758036</v>
      </c>
      <c r="E651" s="74">
        <f t="shared" si="93"/>
        <v>7644.7432210456445</v>
      </c>
      <c r="F651" s="74">
        <f t="shared" si="87"/>
        <v>1412.1627099472046</v>
      </c>
      <c r="G651" s="74">
        <f t="shared" si="88"/>
        <v>11601.670896791817</v>
      </c>
      <c r="H651" s="74">
        <f t="shared" si="94"/>
        <v>40088.08689745437</v>
      </c>
      <c r="I651" s="74">
        <f t="shared" si="95"/>
        <v>5080.0455822996628</v>
      </c>
      <c r="J651" s="74">
        <f t="shared" si="96"/>
        <v>40408.681916341877</v>
      </c>
      <c r="K651" s="74">
        <f t="shared" si="97"/>
        <v>88.086897454370046</v>
      </c>
      <c r="L651" s="74">
        <f t="shared" si="98"/>
        <v>5080.0455822996628</v>
      </c>
      <c r="M651" s="74">
        <f t="shared" si="99"/>
        <v>5080.809228828165</v>
      </c>
      <c r="N651" s="74">
        <f t="shared" si="100"/>
        <v>15088.08689745437</v>
      </c>
      <c r="O651" s="74">
        <f t="shared" si="101"/>
        <v>-49919.954417700341</v>
      </c>
      <c r="P651" s="74">
        <f t="shared" si="102"/>
        <v>52150.28490133505</v>
      </c>
    </row>
    <row r="652" spans="1:16" x14ac:dyDescent="0.3">
      <c r="A652" s="72">
        <f t="shared" si="89"/>
        <v>171.5</v>
      </c>
      <c r="B652" s="74">
        <f t="shared" si="90"/>
        <v>-25139.576418846584</v>
      </c>
      <c r="C652" s="74">
        <f t="shared" si="91"/>
        <v>21642.743752421113</v>
      </c>
      <c r="D652" s="74">
        <f t="shared" si="92"/>
        <v>-10102.979042784433</v>
      </c>
      <c r="E652" s="74">
        <f t="shared" si="93"/>
        <v>13445.578669441553</v>
      </c>
      <c r="F652" s="74">
        <f t="shared" si="87"/>
        <v>12506.671802713947</v>
      </c>
      <c r="G652" s="74">
        <f t="shared" si="88"/>
        <v>-4161.1133056137132</v>
      </c>
      <c r="H652" s="74">
        <f t="shared" si="94"/>
        <v>45139.576418846584</v>
      </c>
      <c r="I652" s="74">
        <f t="shared" si="95"/>
        <v>-1642.7437524211127</v>
      </c>
      <c r="J652" s="74">
        <f t="shared" si="96"/>
        <v>45169.458335350988</v>
      </c>
      <c r="K652" s="74">
        <f t="shared" si="97"/>
        <v>5139.5764188465837</v>
      </c>
      <c r="L652" s="74">
        <f t="shared" si="98"/>
        <v>-1642.7437524211127</v>
      </c>
      <c r="M652" s="74">
        <f t="shared" si="99"/>
        <v>5395.7254193743465</v>
      </c>
      <c r="N652" s="74">
        <f t="shared" si="100"/>
        <v>20139.576418846584</v>
      </c>
      <c r="O652" s="74">
        <f t="shared" si="101"/>
        <v>-56642.743752421113</v>
      </c>
      <c r="P652" s="74">
        <f t="shared" si="102"/>
        <v>60116.578064066503</v>
      </c>
    </row>
    <row r="653" spans="1:16" x14ac:dyDescent="0.3">
      <c r="A653" s="72">
        <f t="shared" si="89"/>
        <v>172</v>
      </c>
      <c r="B653" s="74">
        <f t="shared" si="90"/>
        <v>-27064.397989560315</v>
      </c>
      <c r="C653" s="74">
        <f t="shared" si="91"/>
        <v>27325.254760738459</v>
      </c>
      <c r="D653" s="74">
        <f t="shared" si="92"/>
        <v>-3849.6431414274593</v>
      </c>
      <c r="E653" s="74">
        <f t="shared" si="93"/>
        <v>11365.022016634695</v>
      </c>
      <c r="F653" s="74">
        <f t="shared" si="87"/>
        <v>7053.2791037905645</v>
      </c>
      <c r="G653" s="74">
        <f t="shared" si="88"/>
        <v>-6896.5215254424238</v>
      </c>
      <c r="H653" s="74">
        <f t="shared" si="94"/>
        <v>47064.397989560312</v>
      </c>
      <c r="I653" s="74">
        <f t="shared" si="95"/>
        <v>-7325.2547607384586</v>
      </c>
      <c r="J653" s="74">
        <f t="shared" si="96"/>
        <v>47631.049908955923</v>
      </c>
      <c r="K653" s="74">
        <f t="shared" si="97"/>
        <v>7064.3979895603152</v>
      </c>
      <c r="L653" s="74">
        <f t="shared" si="98"/>
        <v>-7325.2547607384586</v>
      </c>
      <c r="M653" s="74">
        <f t="shared" si="99"/>
        <v>10176.692796022944</v>
      </c>
      <c r="N653" s="74">
        <f t="shared" si="100"/>
        <v>22064.397989560315</v>
      </c>
      <c r="O653" s="74">
        <f t="shared" si="101"/>
        <v>-62325.254760738462</v>
      </c>
      <c r="P653" s="74">
        <f t="shared" si="102"/>
        <v>66115.618726838409</v>
      </c>
    </row>
    <row r="654" spans="1:16" x14ac:dyDescent="0.3">
      <c r="A654" s="72">
        <f t="shared" si="89"/>
        <v>172.5</v>
      </c>
      <c r="B654" s="74">
        <f t="shared" si="90"/>
        <v>-27225.899784326404</v>
      </c>
      <c r="C654" s="74">
        <f t="shared" si="91"/>
        <v>31283.635387695198</v>
      </c>
      <c r="D654" s="74">
        <f t="shared" si="92"/>
        <v>-323.0035895321771</v>
      </c>
      <c r="E654" s="74">
        <f t="shared" si="93"/>
        <v>7916.7612539134834</v>
      </c>
      <c r="F654" s="74">
        <f t="shared" si="87"/>
        <v>4343.584520282614</v>
      </c>
      <c r="G654" s="74">
        <f t="shared" si="88"/>
        <v>-6012.5448065796281</v>
      </c>
      <c r="H654" s="74">
        <f t="shared" si="94"/>
        <v>47225.899784326408</v>
      </c>
      <c r="I654" s="74">
        <f t="shared" si="95"/>
        <v>-11283.635387695198</v>
      </c>
      <c r="J654" s="74">
        <f t="shared" si="96"/>
        <v>48555.185490343756</v>
      </c>
      <c r="K654" s="74">
        <f t="shared" si="97"/>
        <v>7225.8997843264042</v>
      </c>
      <c r="L654" s="74">
        <f t="shared" si="98"/>
        <v>-11283.635387695198</v>
      </c>
      <c r="M654" s="74">
        <f t="shared" si="99"/>
        <v>13399.031877549054</v>
      </c>
      <c r="N654" s="74">
        <f t="shared" si="100"/>
        <v>22225.899784326404</v>
      </c>
      <c r="O654" s="74">
        <f t="shared" si="101"/>
        <v>-66283.635387695191</v>
      </c>
      <c r="P654" s="74">
        <f t="shared" si="102"/>
        <v>69910.735523464769</v>
      </c>
    </row>
    <row r="655" spans="1:16" x14ac:dyDescent="0.3">
      <c r="A655" s="72">
        <f t="shared" si="89"/>
        <v>173</v>
      </c>
      <c r="B655" s="74">
        <f t="shared" si="90"/>
        <v>-26301.505449021839</v>
      </c>
      <c r="C655" s="74">
        <f t="shared" si="91"/>
        <v>33738.879813007035</v>
      </c>
      <c r="D655" s="74">
        <f t="shared" si="92"/>
        <v>1848.7886706091299</v>
      </c>
      <c r="E655" s="74">
        <f t="shared" si="93"/>
        <v>4910.4888506236694</v>
      </c>
      <c r="F655" s="74">
        <f t="shared" si="87"/>
        <v>3118.0960325657102</v>
      </c>
      <c r="G655" s="74">
        <f t="shared" si="88"/>
        <v>-5582.3044635900133</v>
      </c>
      <c r="H655" s="74">
        <f t="shared" si="94"/>
        <v>46301.505449021839</v>
      </c>
      <c r="I655" s="74">
        <f t="shared" si="95"/>
        <v>-13738.879813007035</v>
      </c>
      <c r="J655" s="74">
        <f t="shared" si="96"/>
        <v>48296.855232634465</v>
      </c>
      <c r="K655" s="74">
        <f t="shared" si="97"/>
        <v>6301.505449021839</v>
      </c>
      <c r="L655" s="74">
        <f t="shared" si="98"/>
        <v>-13738.879813007035</v>
      </c>
      <c r="M655" s="74">
        <f t="shared" si="99"/>
        <v>15115.084830734631</v>
      </c>
      <c r="N655" s="74">
        <f t="shared" si="100"/>
        <v>21301.505449021839</v>
      </c>
      <c r="O655" s="74">
        <f t="shared" si="101"/>
        <v>-68738.879813007035</v>
      </c>
      <c r="P655" s="74">
        <f t="shared" si="102"/>
        <v>71963.794593821498</v>
      </c>
    </row>
    <row r="656" spans="1:16" x14ac:dyDescent="0.3">
      <c r="A656" s="72">
        <f t="shared" si="89"/>
        <v>173.5</v>
      </c>
      <c r="B656" s="74">
        <f t="shared" si="90"/>
        <v>-24597.587105575847</v>
      </c>
      <c r="C656" s="74">
        <f t="shared" si="91"/>
        <v>34798.548122421373</v>
      </c>
      <c r="D656" s="74">
        <f t="shared" si="92"/>
        <v>3407.8366868919848</v>
      </c>
      <c r="E656" s="74">
        <f t="shared" si="93"/>
        <v>2119.3366188286627</v>
      </c>
      <c r="F656" s="74">
        <f t="shared" si="87"/>
        <v>2413.2232323229255</v>
      </c>
      <c r="G656" s="74">
        <f t="shared" si="88"/>
        <v>-5686.4663051096504</v>
      </c>
      <c r="H656" s="74">
        <f t="shared" si="94"/>
        <v>44597.587105575847</v>
      </c>
      <c r="I656" s="74">
        <f t="shared" si="95"/>
        <v>-14798.548122421373</v>
      </c>
      <c r="J656" s="74">
        <f t="shared" si="96"/>
        <v>46988.741227777602</v>
      </c>
      <c r="K656" s="74">
        <f t="shared" si="97"/>
        <v>4597.5871055758471</v>
      </c>
      <c r="L656" s="74">
        <f t="shared" si="98"/>
        <v>-14798.548122421373</v>
      </c>
      <c r="M656" s="74">
        <f t="shared" si="99"/>
        <v>15496.284513552868</v>
      </c>
      <c r="N656" s="74">
        <f t="shared" si="100"/>
        <v>19597.587105575847</v>
      </c>
      <c r="O656" s="74">
        <f t="shared" si="101"/>
        <v>-69798.548122421373</v>
      </c>
      <c r="P656" s="74">
        <f t="shared" si="102"/>
        <v>72497.60506636482</v>
      </c>
    </row>
    <row r="657" spans="1:16" x14ac:dyDescent="0.3">
      <c r="A657" s="72">
        <f t="shared" si="89"/>
        <v>174</v>
      </c>
      <c r="B657" s="74">
        <f t="shared" si="90"/>
        <v>-22290.362954049124</v>
      </c>
      <c r="C657" s="74">
        <f t="shared" si="91"/>
        <v>34436.599855558292</v>
      </c>
      <c r="D657" s="74">
        <f t="shared" si="92"/>
        <v>4614.4483030534475</v>
      </c>
      <c r="E657" s="74">
        <f t="shared" si="93"/>
        <v>-723.89653372616249</v>
      </c>
      <c r="F657" s="74">
        <f t="shared" si="87"/>
        <v>1798.0873355278459</v>
      </c>
      <c r="G657" s="74">
        <f t="shared" si="88"/>
        <v>-6356.8294383386992</v>
      </c>
      <c r="H657" s="74">
        <f t="shared" si="94"/>
        <v>42290.362954049124</v>
      </c>
      <c r="I657" s="74">
        <f t="shared" si="95"/>
        <v>-14436.599855558292</v>
      </c>
      <c r="J657" s="74">
        <f t="shared" si="96"/>
        <v>44686.577561665159</v>
      </c>
      <c r="K657" s="74">
        <f t="shared" si="97"/>
        <v>2290.3629540491238</v>
      </c>
      <c r="L657" s="74">
        <f t="shared" si="98"/>
        <v>-14436.599855558292</v>
      </c>
      <c r="M657" s="74">
        <f t="shared" si="99"/>
        <v>14617.153548170258</v>
      </c>
      <c r="N657" s="74">
        <f t="shared" si="100"/>
        <v>17290.362954049124</v>
      </c>
      <c r="O657" s="74">
        <f t="shared" si="101"/>
        <v>-69436.599855558292</v>
      </c>
      <c r="P657" s="74">
        <f t="shared" si="102"/>
        <v>71556.956688945851</v>
      </c>
    </row>
    <row r="658" spans="1:16" x14ac:dyDescent="0.3">
      <c r="A658" s="72">
        <f t="shared" si="89"/>
        <v>174.5</v>
      </c>
      <c r="B658" s="74">
        <f t="shared" si="90"/>
        <v>-19533.616968640439</v>
      </c>
      <c r="C658" s="74">
        <f t="shared" si="91"/>
        <v>32485.444229110537</v>
      </c>
      <c r="D658" s="74">
        <f t="shared" si="92"/>
        <v>5513.4919708173702</v>
      </c>
      <c r="E658" s="74">
        <f t="shared" si="93"/>
        <v>-3902.3112528955121</v>
      </c>
      <c r="F658" s="74">
        <f t="shared" si="87"/>
        <v>744.54368784959718</v>
      </c>
      <c r="G658" s="74">
        <f t="shared" si="88"/>
        <v>-7781.1576187941255</v>
      </c>
      <c r="H658" s="74">
        <f t="shared" si="94"/>
        <v>39533.616968640439</v>
      </c>
      <c r="I658" s="74">
        <f t="shared" si="95"/>
        <v>-12485.444229110537</v>
      </c>
      <c r="J658" s="74">
        <f t="shared" si="96"/>
        <v>41458.330745718704</v>
      </c>
      <c r="K658" s="74">
        <f t="shared" si="97"/>
        <v>-466.38303135956085</v>
      </c>
      <c r="L658" s="74">
        <f t="shared" si="98"/>
        <v>-12485.444229110537</v>
      </c>
      <c r="M658" s="74">
        <f t="shared" si="99"/>
        <v>12494.151861177683</v>
      </c>
      <c r="N658" s="74">
        <f t="shared" si="100"/>
        <v>14533.616968640439</v>
      </c>
      <c r="O658" s="74">
        <f t="shared" si="101"/>
        <v>-67485.444229110537</v>
      </c>
      <c r="P658" s="74">
        <f t="shared" si="102"/>
        <v>69032.682151221263</v>
      </c>
    </row>
    <row r="659" spans="1:16" x14ac:dyDescent="0.3">
      <c r="A659" s="72">
        <f t="shared" si="89"/>
        <v>175</v>
      </c>
      <c r="B659" s="74">
        <f t="shared" si="90"/>
        <v>-16590.735061269355</v>
      </c>
      <c r="C659" s="74">
        <f t="shared" si="91"/>
        <v>28588.999197964251</v>
      </c>
      <c r="D659" s="74">
        <f t="shared" si="92"/>
        <v>5885.7638147421685</v>
      </c>
      <c r="E659" s="74">
        <f t="shared" si="93"/>
        <v>-7792.8900622925748</v>
      </c>
      <c r="F659" s="74">
        <f t="shared" si="87"/>
        <v>-2350.944069915417</v>
      </c>
      <c r="G659" s="74">
        <f t="shared" si="88"/>
        <v>-9681.088338626234</v>
      </c>
      <c r="H659" s="74">
        <f t="shared" si="94"/>
        <v>36590.735061269355</v>
      </c>
      <c r="I659" s="74">
        <f t="shared" si="95"/>
        <v>-8588.9991979642509</v>
      </c>
      <c r="J659" s="74">
        <f t="shared" si="96"/>
        <v>37585.273705889609</v>
      </c>
      <c r="K659" s="74">
        <f t="shared" si="97"/>
        <v>-3409.2649387306446</v>
      </c>
      <c r="L659" s="74">
        <f t="shared" si="98"/>
        <v>-8588.9991979642509</v>
      </c>
      <c r="M659" s="74">
        <f t="shared" si="99"/>
        <v>9240.8871135345344</v>
      </c>
      <c r="N659" s="74">
        <f t="shared" si="100"/>
        <v>11590.735061269355</v>
      </c>
      <c r="O659" s="74">
        <f t="shared" si="101"/>
        <v>-63588.999197964251</v>
      </c>
      <c r="P659" s="74">
        <f t="shared" si="102"/>
        <v>64636.722985151689</v>
      </c>
    </row>
    <row r="660" spans="1:16" x14ac:dyDescent="0.3">
      <c r="A660" s="72">
        <f t="shared" si="89"/>
        <v>175.5</v>
      </c>
      <c r="B660" s="74">
        <f t="shared" si="90"/>
        <v>-14235.589171377125</v>
      </c>
      <c r="C660" s="74">
        <f t="shared" si="91"/>
        <v>22272.282082161408</v>
      </c>
      <c r="D660" s="74">
        <f t="shared" si="92"/>
        <v>4710.2917797844602</v>
      </c>
      <c r="E660" s="74">
        <f t="shared" si="93"/>
        <v>-12633.434231605692</v>
      </c>
      <c r="F660" s="74">
        <f t="shared" si="87"/>
        <v>-9585.7174565057376</v>
      </c>
      <c r="G660" s="74">
        <f t="shared" si="88"/>
        <v>-4959.6019318588296</v>
      </c>
      <c r="H660" s="74">
        <f t="shared" si="94"/>
        <v>34235.589171377127</v>
      </c>
      <c r="I660" s="74">
        <f t="shared" si="95"/>
        <v>-2272.2820821614077</v>
      </c>
      <c r="J660" s="74">
        <f t="shared" si="96"/>
        <v>34310.914178614163</v>
      </c>
      <c r="K660" s="74">
        <f t="shared" si="97"/>
        <v>-5764.4108286228748</v>
      </c>
      <c r="L660" s="74">
        <f t="shared" si="98"/>
        <v>-2272.2820821614077</v>
      </c>
      <c r="M660" s="74">
        <f t="shared" si="99"/>
        <v>6196.103457985223</v>
      </c>
      <c r="N660" s="74">
        <f t="shared" si="100"/>
        <v>9235.5891713771252</v>
      </c>
      <c r="O660" s="74">
        <f t="shared" si="101"/>
        <v>-57272.282082161408</v>
      </c>
      <c r="P660" s="74">
        <f t="shared" si="102"/>
        <v>58012.157365858453</v>
      </c>
    </row>
    <row r="661" spans="1:16" x14ac:dyDescent="0.3">
      <c r="A661" s="72">
        <f t="shared" si="89"/>
        <v>176</v>
      </c>
      <c r="B661" s="74">
        <f t="shared" si="90"/>
        <v>-14276.872645611329</v>
      </c>
      <c r="C661" s="74">
        <f t="shared" si="91"/>
        <v>14715.664483393854</v>
      </c>
      <c r="D661" s="74">
        <f t="shared" si="92"/>
        <v>-82.566948468408555</v>
      </c>
      <c r="E661" s="74">
        <f t="shared" si="93"/>
        <v>-15113.235197535107</v>
      </c>
      <c r="F661" s="74">
        <f t="shared" si="87"/>
        <v>-6520.3557429859266</v>
      </c>
      <c r="G661" s="74">
        <f t="shared" si="88"/>
        <v>6937.185898081616</v>
      </c>
      <c r="H661" s="74">
        <f t="shared" si="94"/>
        <v>34276.872645611329</v>
      </c>
      <c r="I661" s="74">
        <f t="shared" si="95"/>
        <v>5284.3355166061465</v>
      </c>
      <c r="J661" s="74">
        <f t="shared" si="96"/>
        <v>34681.813681171916</v>
      </c>
      <c r="K661" s="74">
        <f t="shared" si="97"/>
        <v>-5723.1273543886709</v>
      </c>
      <c r="L661" s="74">
        <f t="shared" si="98"/>
        <v>5284.3355166061465</v>
      </c>
      <c r="M661" s="74">
        <f t="shared" si="99"/>
        <v>7789.6334038654868</v>
      </c>
      <c r="N661" s="74">
        <f t="shared" si="100"/>
        <v>9276.8726456113291</v>
      </c>
      <c r="O661" s="74">
        <f t="shared" si="101"/>
        <v>-49715.664483393855</v>
      </c>
      <c r="P661" s="74">
        <f t="shared" si="102"/>
        <v>50573.784326548877</v>
      </c>
    </row>
    <row r="662" spans="1:16" x14ac:dyDescent="0.3">
      <c r="A662" s="72">
        <f t="shared" si="89"/>
        <v>176.5</v>
      </c>
      <c r="B662" s="74">
        <f t="shared" si="90"/>
        <v>-15948.245055592015</v>
      </c>
      <c r="C662" s="74">
        <f t="shared" si="91"/>
        <v>8893.3433591467037</v>
      </c>
      <c r="D662" s="74">
        <f t="shared" si="92"/>
        <v>-3342.7448199613718</v>
      </c>
      <c r="E662" s="74">
        <f t="shared" si="93"/>
        <v>-11644.6422484943</v>
      </c>
      <c r="F662" s="74">
        <f t="shared" si="87"/>
        <v>-1283.2383582284772</v>
      </c>
      <c r="G662" s="74">
        <f t="shared" si="88"/>
        <v>6694.5177101334248</v>
      </c>
      <c r="H662" s="74">
        <f t="shared" si="94"/>
        <v>35948.245055592015</v>
      </c>
      <c r="I662" s="74">
        <f t="shared" si="95"/>
        <v>11106.656640853296</v>
      </c>
      <c r="J662" s="74">
        <f t="shared" si="96"/>
        <v>37624.913877837731</v>
      </c>
      <c r="K662" s="74">
        <f t="shared" si="97"/>
        <v>-4051.754944407985</v>
      </c>
      <c r="L662" s="74">
        <f t="shared" si="98"/>
        <v>11106.656640853296</v>
      </c>
      <c r="M662" s="74">
        <f t="shared" si="99"/>
        <v>11822.628297774789</v>
      </c>
      <c r="N662" s="74">
        <f t="shared" si="100"/>
        <v>10948.245055592015</v>
      </c>
      <c r="O662" s="74">
        <f t="shared" si="101"/>
        <v>-43893.343359146704</v>
      </c>
      <c r="P662" s="74">
        <f t="shared" si="102"/>
        <v>45238.143872635213</v>
      </c>
    </row>
    <row r="663" spans="1:16" x14ac:dyDescent="0.3">
      <c r="A663" s="72">
        <f t="shared" si="89"/>
        <v>177</v>
      </c>
      <c r="B663" s="74">
        <f t="shared" si="90"/>
        <v>-17940.427055129821</v>
      </c>
      <c r="C663" s="74">
        <f t="shared" si="91"/>
        <v>4744.6516624329106</v>
      </c>
      <c r="D663" s="74">
        <f t="shared" si="92"/>
        <v>-3984.3639990756105</v>
      </c>
      <c r="E663" s="74">
        <f t="shared" si="93"/>
        <v>-8297.3833934275863</v>
      </c>
      <c r="F663" s="74">
        <f t="shared" si="87"/>
        <v>506.74721564161354</v>
      </c>
      <c r="G663" s="74">
        <f t="shared" si="88"/>
        <v>4827.2183866464729</v>
      </c>
      <c r="H663" s="74">
        <f t="shared" si="94"/>
        <v>37940.427055129825</v>
      </c>
      <c r="I663" s="74">
        <f t="shared" si="95"/>
        <v>15255.348337567089</v>
      </c>
      <c r="J663" s="74">
        <f t="shared" si="96"/>
        <v>40892.562380292802</v>
      </c>
      <c r="K663" s="74">
        <f t="shared" si="97"/>
        <v>-2059.5729448701786</v>
      </c>
      <c r="L663" s="74">
        <f t="shared" si="98"/>
        <v>15255.348337567089</v>
      </c>
      <c r="M663" s="74">
        <f t="shared" si="99"/>
        <v>15393.748523857084</v>
      </c>
      <c r="N663" s="74">
        <f t="shared" si="100"/>
        <v>12940.427055129821</v>
      </c>
      <c r="O663" s="74">
        <f t="shared" si="101"/>
        <v>-39744.651662432909</v>
      </c>
      <c r="P663" s="74">
        <f t="shared" si="102"/>
        <v>41798.229485676384</v>
      </c>
    </row>
    <row r="664" spans="1:16" x14ac:dyDescent="0.3">
      <c r="A664" s="72">
        <f t="shared" si="89"/>
        <v>177.5</v>
      </c>
      <c r="B664" s="74">
        <f t="shared" si="90"/>
        <v>-19805.922250757223</v>
      </c>
      <c r="C664" s="74">
        <f t="shared" si="91"/>
        <v>1802.7645623807357</v>
      </c>
      <c r="D664" s="74">
        <f t="shared" si="92"/>
        <v>-3730.9903912548039</v>
      </c>
      <c r="E664" s="74">
        <f t="shared" si="93"/>
        <v>-5883.7742001043498</v>
      </c>
      <c r="F664" s="74">
        <f t="shared" si="87"/>
        <v>1155.968178809288</v>
      </c>
      <c r="G664" s="74">
        <f t="shared" si="88"/>
        <v>3595.7929989110203</v>
      </c>
      <c r="H664" s="74">
        <f t="shared" si="94"/>
        <v>39805.922250757227</v>
      </c>
      <c r="I664" s="74">
        <f t="shared" si="95"/>
        <v>18197.235437619263</v>
      </c>
      <c r="J664" s="74">
        <f t="shared" si="96"/>
        <v>43768.14850785301</v>
      </c>
      <c r="K664" s="74">
        <f t="shared" si="97"/>
        <v>-194.07774924277692</v>
      </c>
      <c r="L664" s="74">
        <f t="shared" si="98"/>
        <v>18197.235437619263</v>
      </c>
      <c r="M664" s="74">
        <f t="shared" si="99"/>
        <v>18198.270350362902</v>
      </c>
      <c r="N664" s="74">
        <f t="shared" si="100"/>
        <v>14805.922250757223</v>
      </c>
      <c r="O664" s="74">
        <f t="shared" si="101"/>
        <v>-36802.764562380733</v>
      </c>
      <c r="P664" s="74">
        <f t="shared" si="102"/>
        <v>39669.368700919542</v>
      </c>
    </row>
    <row r="665" spans="1:16" x14ac:dyDescent="0.3">
      <c r="A665" s="72">
        <f t="shared" si="89"/>
        <v>178</v>
      </c>
      <c r="B665" s="74">
        <f t="shared" si="90"/>
        <v>-21382.425401682303</v>
      </c>
      <c r="C665" s="74">
        <f t="shared" si="91"/>
        <v>-240.17428794368413</v>
      </c>
      <c r="D665" s="74">
        <f t="shared" si="92"/>
        <v>-3153.0063018501596</v>
      </c>
      <c r="E665" s="74">
        <f t="shared" si="93"/>
        <v>-4085.8777006488399</v>
      </c>
      <c r="F665" s="74">
        <f t="shared" si="87"/>
        <v>1443.0509859345284</v>
      </c>
      <c r="G665" s="74">
        <f t="shared" si="88"/>
        <v>2863.0463818050039</v>
      </c>
      <c r="H665" s="74">
        <f t="shared" si="94"/>
        <v>41382.425401682303</v>
      </c>
      <c r="I665" s="74">
        <f t="shared" si="95"/>
        <v>20240.174287943682</v>
      </c>
      <c r="J665" s="74">
        <f t="shared" si="96"/>
        <v>46067.014091778699</v>
      </c>
      <c r="K665" s="74">
        <f t="shared" si="97"/>
        <v>1382.4254016823033</v>
      </c>
      <c r="L665" s="74">
        <f t="shared" si="98"/>
        <v>20240.174287943682</v>
      </c>
      <c r="M665" s="74">
        <f t="shared" si="99"/>
        <v>20287.329917895873</v>
      </c>
      <c r="N665" s="74">
        <f t="shared" si="100"/>
        <v>16382.425401682303</v>
      </c>
      <c r="O665" s="74">
        <f t="shared" si="101"/>
        <v>-34759.825712056314</v>
      </c>
      <c r="P665" s="74">
        <f t="shared" si="102"/>
        <v>38426.935157181309</v>
      </c>
    </row>
    <row r="666" spans="1:16" x14ac:dyDescent="0.3">
      <c r="A666" s="72">
        <f t="shared" si="89"/>
        <v>178.5</v>
      </c>
      <c r="B666" s="74">
        <f t="shared" si="90"/>
        <v>-22598.16580612375</v>
      </c>
      <c r="C666" s="74">
        <f t="shared" si="91"/>
        <v>-1567.3515428168532</v>
      </c>
      <c r="D666" s="74">
        <f t="shared" si="92"/>
        <v>-2431.4808088828954</v>
      </c>
      <c r="E666" s="74">
        <f t="shared" si="93"/>
        <v>-2654.354509746338</v>
      </c>
      <c r="F666" s="74">
        <f t="shared" si="87"/>
        <v>1589.163840889918</v>
      </c>
      <c r="G666" s="74">
        <f t="shared" si="88"/>
        <v>2443.7989846685496</v>
      </c>
      <c r="H666" s="74">
        <f t="shared" si="94"/>
        <v>42598.165806123754</v>
      </c>
      <c r="I666" s="74">
        <f t="shared" si="95"/>
        <v>21567.351542816854</v>
      </c>
      <c r="J666" s="74">
        <f t="shared" si="96"/>
        <v>47746.773530967046</v>
      </c>
      <c r="K666" s="74">
        <f t="shared" si="97"/>
        <v>2598.1658061237504</v>
      </c>
      <c r="L666" s="74">
        <f t="shared" si="98"/>
        <v>21567.351542816854</v>
      </c>
      <c r="M666" s="74">
        <f t="shared" si="99"/>
        <v>21723.285159651961</v>
      </c>
      <c r="N666" s="74">
        <f t="shared" si="100"/>
        <v>17598.16580612375</v>
      </c>
      <c r="O666" s="74">
        <f t="shared" si="101"/>
        <v>-33432.648457183146</v>
      </c>
      <c r="P666" s="74">
        <f t="shared" si="102"/>
        <v>37781.442833769775</v>
      </c>
    </row>
    <row r="667" spans="1:16" x14ac:dyDescent="0.3">
      <c r="A667" s="72">
        <f t="shared" si="89"/>
        <v>179</v>
      </c>
      <c r="B667" s="74">
        <f t="shared" si="90"/>
        <v>-23416.615250342718</v>
      </c>
      <c r="C667" s="74">
        <f t="shared" si="91"/>
        <v>-2283.5790515228846</v>
      </c>
      <c r="D667" s="74">
        <f t="shared" si="92"/>
        <v>-1636.8988884379364</v>
      </c>
      <c r="E667" s="74">
        <f t="shared" si="93"/>
        <v>-1432.4550174120632</v>
      </c>
      <c r="F667" s="74">
        <f t="shared" si="87"/>
        <v>1667.5436022360263</v>
      </c>
      <c r="G667" s="74">
        <f t="shared" si="88"/>
        <v>2233.115625416428</v>
      </c>
      <c r="H667" s="74">
        <f t="shared" si="94"/>
        <v>43416.615250342715</v>
      </c>
      <c r="I667" s="74">
        <f t="shared" si="95"/>
        <v>22283.579051522884</v>
      </c>
      <c r="J667" s="74">
        <f t="shared" si="96"/>
        <v>48801.233336277073</v>
      </c>
      <c r="K667" s="74">
        <f t="shared" si="97"/>
        <v>3416.6152503427184</v>
      </c>
      <c r="L667" s="74">
        <f t="shared" si="98"/>
        <v>22283.579051522884</v>
      </c>
      <c r="M667" s="74">
        <f t="shared" si="99"/>
        <v>22543.982680847319</v>
      </c>
      <c r="N667" s="74">
        <f t="shared" si="100"/>
        <v>18416.615250342718</v>
      </c>
      <c r="O667" s="74">
        <f t="shared" si="101"/>
        <v>-32716.420948477116</v>
      </c>
      <c r="P667" s="74">
        <f t="shared" si="102"/>
        <v>37543.786662470637</v>
      </c>
    </row>
    <row r="668" spans="1:16" x14ac:dyDescent="0.3">
      <c r="A668" s="72">
        <f t="shared" si="89"/>
        <v>179.5</v>
      </c>
      <c r="B668" s="74">
        <f t="shared" si="90"/>
        <v>-23818.178794002681</v>
      </c>
      <c r="C668" s="74">
        <f t="shared" si="91"/>
        <v>-2441.5276538748094</v>
      </c>
      <c r="D668" s="74">
        <f t="shared" si="92"/>
        <v>-803.12708731992325</v>
      </c>
      <c r="E668" s="74">
        <f t="shared" si="93"/>
        <v>-315.89720470384918</v>
      </c>
      <c r="F668" s="74">
        <f t="shared" si="87"/>
        <v>1706.8422004727588</v>
      </c>
      <c r="G668" s="74">
        <f t="shared" si="88"/>
        <v>2181.0759091119376</v>
      </c>
      <c r="H668" s="74">
        <f t="shared" si="94"/>
        <v>43818.178794002684</v>
      </c>
      <c r="I668" s="74">
        <f t="shared" si="95"/>
        <v>22441.527653874808</v>
      </c>
      <c r="J668" s="74">
        <f t="shared" si="96"/>
        <v>49230.630264732696</v>
      </c>
      <c r="K668" s="74">
        <f t="shared" si="97"/>
        <v>3818.1787940026807</v>
      </c>
      <c r="L668" s="74">
        <f t="shared" si="98"/>
        <v>22441.527653874808</v>
      </c>
      <c r="M668" s="74">
        <f t="shared" si="99"/>
        <v>22764.021014368256</v>
      </c>
      <c r="N668" s="74">
        <f t="shared" si="100"/>
        <v>18818.178794002681</v>
      </c>
      <c r="O668" s="74">
        <f t="shared" si="101"/>
        <v>-32558.472346125192</v>
      </c>
      <c r="P668" s="74">
        <f t="shared" si="102"/>
        <v>37605.557762602737</v>
      </c>
    </row>
    <row r="669" spans="1:16" x14ac:dyDescent="0.3">
      <c r="A669" s="72">
        <f t="shared" si="89"/>
        <v>180</v>
      </c>
      <c r="B669" s="74">
        <f t="shared" si="90"/>
        <v>-23793.031787544453</v>
      </c>
      <c r="C669" s="74">
        <f t="shared" si="91"/>
        <v>-2054.2072789487497</v>
      </c>
      <c r="D669" s="74">
        <f t="shared" si="92"/>
        <v>50.294012916456154</v>
      </c>
      <c r="E669" s="74">
        <f t="shared" si="93"/>
        <v>774.6407498521196</v>
      </c>
      <c r="F669" s="74">
        <f t="shared" si="87"/>
        <v>1718.5526299348785</v>
      </c>
      <c r="G669" s="74">
        <f t="shared" si="88"/>
        <v>2276.4932335333028</v>
      </c>
      <c r="H669" s="74">
        <f t="shared" si="94"/>
        <v>43793.031787544453</v>
      </c>
      <c r="I669" s="74">
        <f t="shared" si="95"/>
        <v>22054.20727894875</v>
      </c>
      <c r="J669" s="74">
        <f t="shared" si="96"/>
        <v>49032.822597192127</v>
      </c>
      <c r="K669" s="74">
        <f t="shared" si="97"/>
        <v>3793.0317875444525</v>
      </c>
      <c r="L669" s="74">
        <f t="shared" si="98"/>
        <v>22054.20727894875</v>
      </c>
      <c r="M669" s="74">
        <f t="shared" si="99"/>
        <v>22378.005917511029</v>
      </c>
      <c r="N669" s="74">
        <f t="shared" si="100"/>
        <v>18793.031787544453</v>
      </c>
      <c r="O669" s="74">
        <f t="shared" si="101"/>
        <v>-32945.79272105125</v>
      </c>
      <c r="P669" s="74">
        <f t="shared" si="102"/>
        <v>37928.924342592814</v>
      </c>
    </row>
    <row r="670" spans="1:16" x14ac:dyDescent="0.3">
      <c r="A670" s="72">
        <f t="shared" si="89"/>
        <v>180.5</v>
      </c>
      <c r="B670" s="74">
        <f t="shared" si="90"/>
        <v>-23338.246623602507</v>
      </c>
      <c r="C670" s="74">
        <f t="shared" si="91"/>
        <v>-1097.7635956393642</v>
      </c>
      <c r="D670" s="74">
        <f t="shared" si="92"/>
        <v>909.5703278838954</v>
      </c>
      <c r="E670" s="74">
        <f t="shared" si="93"/>
        <v>1912.887366618771</v>
      </c>
      <c r="F670" s="74">
        <f t="shared" si="87"/>
        <v>1703.4486343124915</v>
      </c>
      <c r="G670" s="74">
        <f t="shared" si="88"/>
        <v>2545.0251846471219</v>
      </c>
      <c r="H670" s="74">
        <f t="shared" si="94"/>
        <v>43338.246623602507</v>
      </c>
      <c r="I670" s="74">
        <f t="shared" si="95"/>
        <v>21097.763595639364</v>
      </c>
      <c r="J670" s="74">
        <f t="shared" si="96"/>
        <v>48200.822079562909</v>
      </c>
      <c r="K670" s="74">
        <f t="shared" si="97"/>
        <v>3338.2466236025066</v>
      </c>
      <c r="L670" s="74">
        <f t="shared" si="98"/>
        <v>21097.763595639364</v>
      </c>
      <c r="M670" s="74">
        <f t="shared" si="99"/>
        <v>21360.232191094721</v>
      </c>
      <c r="N670" s="74">
        <f t="shared" si="100"/>
        <v>18338.246623602507</v>
      </c>
      <c r="O670" s="74">
        <f t="shared" si="101"/>
        <v>-33902.236404360636</v>
      </c>
      <c r="P670" s="74">
        <f t="shared" si="102"/>
        <v>38544.168462235946</v>
      </c>
    </row>
    <row r="671" spans="1:16" x14ac:dyDescent="0.3">
      <c r="A671" s="72">
        <f t="shared" si="89"/>
        <v>181</v>
      </c>
      <c r="B671" s="74">
        <f t="shared" si="90"/>
        <v>-22457.599301082439</v>
      </c>
      <c r="C671" s="74">
        <f t="shared" si="91"/>
        <v>494.93638383180178</v>
      </c>
      <c r="D671" s="74">
        <f t="shared" si="92"/>
        <v>1761.2946450401412</v>
      </c>
      <c r="E671" s="74">
        <f t="shared" si="93"/>
        <v>3185.399958942332</v>
      </c>
      <c r="F671" s="74">
        <f t="shared" si="87"/>
        <v>1646.9492667382126</v>
      </c>
      <c r="G671" s="74">
        <f t="shared" si="88"/>
        <v>3064.0840064621293</v>
      </c>
      <c r="H671" s="74">
        <f t="shared" si="94"/>
        <v>42457.599301082439</v>
      </c>
      <c r="I671" s="74">
        <f t="shared" si="95"/>
        <v>19505.063616168198</v>
      </c>
      <c r="J671" s="74">
        <f t="shared" si="96"/>
        <v>46723.604795456915</v>
      </c>
      <c r="K671" s="74">
        <f t="shared" si="97"/>
        <v>2457.5993010824386</v>
      </c>
      <c r="L671" s="74">
        <f t="shared" si="98"/>
        <v>19505.063616168198</v>
      </c>
      <c r="M671" s="74">
        <f t="shared" si="99"/>
        <v>19659.280276639052</v>
      </c>
      <c r="N671" s="74">
        <f t="shared" si="100"/>
        <v>17457.599301082439</v>
      </c>
      <c r="O671" s="74">
        <f t="shared" si="101"/>
        <v>-35494.936383831802</v>
      </c>
      <c r="P671" s="74">
        <f t="shared" si="102"/>
        <v>39555.761682078897</v>
      </c>
    </row>
    <row r="672" spans="1:16" x14ac:dyDescent="0.3">
      <c r="A672" s="72">
        <f t="shared" si="89"/>
        <v>181.5</v>
      </c>
      <c r="B672" s="74">
        <f t="shared" si="90"/>
        <v>-21165.214661877813</v>
      </c>
      <c r="C672" s="74">
        <f t="shared" si="91"/>
        <v>2853.6573649185002</v>
      </c>
      <c r="D672" s="74">
        <f t="shared" si="92"/>
        <v>2584.7692784092474</v>
      </c>
      <c r="E672" s="74">
        <f t="shared" si="93"/>
        <v>4717.4419621733969</v>
      </c>
      <c r="F672" s="74">
        <f t="shared" si="87"/>
        <v>1489.0897767252573</v>
      </c>
      <c r="G672" s="74">
        <f t="shared" si="88"/>
        <v>4010.1162354412245</v>
      </c>
      <c r="H672" s="74">
        <f t="shared" si="94"/>
        <v>41165.214661877813</v>
      </c>
      <c r="I672" s="74">
        <f t="shared" si="95"/>
        <v>17146.342635081499</v>
      </c>
      <c r="J672" s="74">
        <f t="shared" si="96"/>
        <v>44593.407179964321</v>
      </c>
      <c r="K672" s="74">
        <f t="shared" si="97"/>
        <v>1165.2146618778133</v>
      </c>
      <c r="L672" s="74">
        <f t="shared" si="98"/>
        <v>17146.342635081499</v>
      </c>
      <c r="M672" s="74">
        <f t="shared" si="99"/>
        <v>17185.88929813842</v>
      </c>
      <c r="N672" s="74">
        <f t="shared" si="100"/>
        <v>16165.214661877813</v>
      </c>
      <c r="O672" s="74">
        <f t="shared" si="101"/>
        <v>-37853.657364918501</v>
      </c>
      <c r="P672" s="74">
        <f t="shared" si="102"/>
        <v>41160.825319291624</v>
      </c>
    </row>
    <row r="673" spans="1:16" x14ac:dyDescent="0.3">
      <c r="A673" s="72">
        <f t="shared" si="89"/>
        <v>182</v>
      </c>
      <c r="B673" s="74">
        <f t="shared" si="90"/>
        <v>-19500.557578491873</v>
      </c>
      <c r="C673" s="74">
        <f t="shared" si="91"/>
        <v>6214.9074048655038</v>
      </c>
      <c r="D673" s="74">
        <f t="shared" si="92"/>
        <v>3329.314166771876</v>
      </c>
      <c r="E673" s="74">
        <f t="shared" si="93"/>
        <v>6722.5000798940091</v>
      </c>
      <c r="F673" s="74">
        <f t="shared" si="87"/>
        <v>975.18623483095246</v>
      </c>
      <c r="G673" s="74">
        <f t="shared" si="88"/>
        <v>5774.5718843317118</v>
      </c>
      <c r="H673" s="74">
        <f t="shared" si="94"/>
        <v>39500.557578491876</v>
      </c>
      <c r="I673" s="74">
        <f t="shared" si="95"/>
        <v>13785.092595134496</v>
      </c>
      <c r="J673" s="74">
        <f t="shared" si="96"/>
        <v>41836.85966785968</v>
      </c>
      <c r="K673" s="74">
        <f t="shared" si="97"/>
        <v>-499.44242150812715</v>
      </c>
      <c r="L673" s="74">
        <f t="shared" si="98"/>
        <v>13785.092595134496</v>
      </c>
      <c r="M673" s="74">
        <f t="shared" si="99"/>
        <v>13794.137181746231</v>
      </c>
      <c r="N673" s="74">
        <f t="shared" si="100"/>
        <v>14500.557578491873</v>
      </c>
      <c r="O673" s="74">
        <f t="shared" si="101"/>
        <v>-41214.907404865502</v>
      </c>
      <c r="P673" s="74">
        <f t="shared" si="102"/>
        <v>43691.357983917085</v>
      </c>
    </row>
    <row r="674" spans="1:16" x14ac:dyDescent="0.3">
      <c r="A674" s="72">
        <f t="shared" si="89"/>
        <v>182.5</v>
      </c>
      <c r="B674" s="74">
        <f t="shared" si="90"/>
        <v>-17592.103936398198</v>
      </c>
      <c r="C674" s="74">
        <f t="shared" si="91"/>
        <v>11019.800415895435</v>
      </c>
      <c r="D674" s="74">
        <f t="shared" si="92"/>
        <v>3816.9072841873522</v>
      </c>
      <c r="E674" s="74">
        <f t="shared" si="93"/>
        <v>9609.786022059865</v>
      </c>
      <c r="F674" s="74">
        <f t="shared" si="87"/>
        <v>-1210.3215243203056</v>
      </c>
      <c r="G674" s="74">
        <f t="shared" si="88"/>
        <v>8848.39016732034</v>
      </c>
      <c r="H674" s="74">
        <f t="shared" si="94"/>
        <v>37592.103936398198</v>
      </c>
      <c r="I674" s="74">
        <f t="shared" si="95"/>
        <v>8980.1995841045646</v>
      </c>
      <c r="J674" s="74">
        <f t="shared" si="96"/>
        <v>38649.841693535003</v>
      </c>
      <c r="K674" s="74">
        <f t="shared" si="97"/>
        <v>-2407.8960636018019</v>
      </c>
      <c r="L674" s="74">
        <f t="shared" si="98"/>
        <v>8980.1995841045646</v>
      </c>
      <c r="M674" s="74">
        <f t="shared" si="99"/>
        <v>9297.416201475593</v>
      </c>
      <c r="N674" s="74">
        <f t="shared" si="100"/>
        <v>12592.103936398198</v>
      </c>
      <c r="O674" s="74">
        <f t="shared" si="101"/>
        <v>-46019.800415895435</v>
      </c>
      <c r="P674" s="74">
        <f t="shared" si="102"/>
        <v>47711.456819760861</v>
      </c>
    </row>
    <row r="675" spans="1:16" x14ac:dyDescent="0.3">
      <c r="A675" s="72">
        <f t="shared" si="89"/>
        <v>183</v>
      </c>
      <c r="B675" s="74">
        <f t="shared" si="90"/>
        <v>-15986.230675384599</v>
      </c>
      <c r="C675" s="74">
        <f t="shared" si="91"/>
        <v>18036.790968755453</v>
      </c>
      <c r="D675" s="74">
        <f t="shared" si="92"/>
        <v>3211.7465220271993</v>
      </c>
      <c r="E675" s="74">
        <f t="shared" si="93"/>
        <v>14033.981105720035</v>
      </c>
      <c r="F675" s="74">
        <f t="shared" si="87"/>
        <v>-9266.7038723437472</v>
      </c>
      <c r="G675" s="74">
        <f t="shared" si="88"/>
        <v>4710.3892687410471</v>
      </c>
      <c r="H675" s="74">
        <f t="shared" si="94"/>
        <v>35986.230675384599</v>
      </c>
      <c r="I675" s="74">
        <f t="shared" si="95"/>
        <v>1963.2090312445471</v>
      </c>
      <c r="J675" s="74">
        <f t="shared" si="96"/>
        <v>36039.741784901176</v>
      </c>
      <c r="K675" s="74">
        <f t="shared" si="97"/>
        <v>-4013.7693246154013</v>
      </c>
      <c r="L675" s="74">
        <f t="shared" si="98"/>
        <v>1963.2090312445471</v>
      </c>
      <c r="M675" s="74">
        <f t="shared" si="99"/>
        <v>4468.1689640817885</v>
      </c>
      <c r="N675" s="74">
        <f t="shared" si="100"/>
        <v>10986.230675384599</v>
      </c>
      <c r="O675" s="74">
        <f t="shared" si="101"/>
        <v>-53036.790968755449</v>
      </c>
      <c r="P675" s="74">
        <f t="shared" si="102"/>
        <v>54162.703594966726</v>
      </c>
    </row>
    <row r="676" spans="1:16" x14ac:dyDescent="0.3">
      <c r="A676" s="72">
        <f t="shared" si="89"/>
        <v>183.5</v>
      </c>
      <c r="B676" s="74">
        <f t="shared" si="90"/>
        <v>-16697.033382456935</v>
      </c>
      <c r="C676" s="74">
        <f t="shared" si="91"/>
        <v>26231.378838800731</v>
      </c>
      <c r="D676" s="74">
        <f t="shared" si="92"/>
        <v>-1421.6054141446743</v>
      </c>
      <c r="E676" s="74">
        <f t="shared" si="93"/>
        <v>16389.175740090559</v>
      </c>
      <c r="F676" s="74">
        <f t="shared" si="87"/>
        <v>-4081.0132454913874</v>
      </c>
      <c r="G676" s="74">
        <f t="shared" si="88"/>
        <v>-10729.911097089869</v>
      </c>
      <c r="H676" s="74">
        <f t="shared" si="94"/>
        <v>36697.033382456939</v>
      </c>
      <c r="I676" s="74">
        <f t="shared" si="95"/>
        <v>-6231.3788388007306</v>
      </c>
      <c r="J676" s="74">
        <f t="shared" si="96"/>
        <v>37222.336591162741</v>
      </c>
      <c r="K676" s="74">
        <f t="shared" si="97"/>
        <v>-3302.9666175430648</v>
      </c>
      <c r="L676" s="74">
        <f t="shared" si="98"/>
        <v>-6231.3788388007306</v>
      </c>
      <c r="M676" s="74">
        <f t="shared" si="99"/>
        <v>7052.63572781534</v>
      </c>
      <c r="N676" s="74">
        <f t="shared" si="100"/>
        <v>11697.033382456935</v>
      </c>
      <c r="O676" s="74">
        <f t="shared" si="101"/>
        <v>-61231.378838800731</v>
      </c>
      <c r="P676" s="74">
        <f t="shared" si="102"/>
        <v>62338.610382739891</v>
      </c>
    </row>
    <row r="677" spans="1:16" x14ac:dyDescent="0.3">
      <c r="A677" s="72">
        <f t="shared" si="89"/>
        <v>184</v>
      </c>
      <c r="B677" s="74">
        <f t="shared" si="90"/>
        <v>-18428.089400902118</v>
      </c>
      <c r="C677" s="74">
        <f t="shared" si="91"/>
        <v>31743.488934573543</v>
      </c>
      <c r="D677" s="74">
        <f t="shared" si="92"/>
        <v>-3462.112036890368</v>
      </c>
      <c r="E677" s="74">
        <f t="shared" si="93"/>
        <v>11024.220191545624</v>
      </c>
      <c r="F677" s="74">
        <f t="shared" si="87"/>
        <v>60.668714796402867</v>
      </c>
      <c r="G677" s="74">
        <f t="shared" si="88"/>
        <v>-8197.420489030359</v>
      </c>
      <c r="H677" s="74">
        <f t="shared" si="94"/>
        <v>38428.089400902114</v>
      </c>
      <c r="I677" s="74">
        <f t="shared" si="95"/>
        <v>-11743.488934573543</v>
      </c>
      <c r="J677" s="74">
        <f t="shared" si="96"/>
        <v>40182.428838488304</v>
      </c>
      <c r="K677" s="74">
        <f t="shared" si="97"/>
        <v>-1571.9105990978824</v>
      </c>
      <c r="L677" s="74">
        <f t="shared" si="98"/>
        <v>-11743.488934573543</v>
      </c>
      <c r="M677" s="74">
        <f t="shared" si="99"/>
        <v>11848.224984697392</v>
      </c>
      <c r="N677" s="74">
        <f t="shared" si="100"/>
        <v>13428.089400902118</v>
      </c>
      <c r="O677" s="74">
        <f t="shared" si="101"/>
        <v>-66743.488934573543</v>
      </c>
      <c r="P677" s="74">
        <f t="shared" si="102"/>
        <v>68080.8849833649</v>
      </c>
    </row>
    <row r="678" spans="1:16" x14ac:dyDescent="0.3">
      <c r="A678" s="72">
        <f t="shared" si="89"/>
        <v>184.5</v>
      </c>
      <c r="B678" s="74">
        <f t="shared" si="90"/>
        <v>-20143.978240648201</v>
      </c>
      <c r="C678" s="74">
        <f t="shared" si="91"/>
        <v>35206.243908088763</v>
      </c>
      <c r="D678" s="74">
        <f t="shared" si="92"/>
        <v>-3431.7776794921665</v>
      </c>
      <c r="E678" s="74">
        <f t="shared" si="93"/>
        <v>6925.5099470304449</v>
      </c>
      <c r="F678" s="74">
        <f t="shared" si="87"/>
        <v>980.49691568390608</v>
      </c>
      <c r="G678" s="74">
        <f t="shared" si="88"/>
        <v>-6166.5362751036291</v>
      </c>
      <c r="H678" s="74">
        <f t="shared" si="94"/>
        <v>40143.978240648197</v>
      </c>
      <c r="I678" s="74">
        <f t="shared" si="95"/>
        <v>-15206.243908088763</v>
      </c>
      <c r="J678" s="74">
        <f t="shared" si="96"/>
        <v>42927.483536516818</v>
      </c>
      <c r="K678" s="74">
        <f t="shared" si="97"/>
        <v>143.97824064820088</v>
      </c>
      <c r="L678" s="74">
        <f t="shared" si="98"/>
        <v>-15206.243908088763</v>
      </c>
      <c r="M678" s="74">
        <f t="shared" si="99"/>
        <v>15206.925511952335</v>
      </c>
      <c r="N678" s="74">
        <f t="shared" si="100"/>
        <v>15143.978240648201</v>
      </c>
      <c r="O678" s="74">
        <f t="shared" si="101"/>
        <v>-70206.243908088771</v>
      </c>
      <c r="P678" s="74">
        <f t="shared" si="102"/>
        <v>71821.005009922257</v>
      </c>
    </row>
    <row r="679" spans="1:16" x14ac:dyDescent="0.3">
      <c r="A679" s="72">
        <f t="shared" si="89"/>
        <v>185</v>
      </c>
      <c r="B679" s="74">
        <f t="shared" si="90"/>
        <v>-21614.742851473307</v>
      </c>
      <c r="C679" s="74">
        <f t="shared" si="91"/>
        <v>37127.364812828077</v>
      </c>
      <c r="D679" s="74">
        <f t="shared" si="92"/>
        <v>-2941.5292216502135</v>
      </c>
      <c r="E679" s="74">
        <f t="shared" si="93"/>
        <v>3842.2418094786303</v>
      </c>
      <c r="F679" s="74">
        <f t="shared" si="87"/>
        <v>1277.4554800610385</v>
      </c>
      <c r="G679" s="74">
        <f t="shared" si="88"/>
        <v>-5207.3016078477431</v>
      </c>
      <c r="H679" s="74">
        <f t="shared" si="94"/>
        <v>41614.742851473304</v>
      </c>
      <c r="I679" s="74">
        <f t="shared" si="95"/>
        <v>-17127.364812828077</v>
      </c>
      <c r="J679" s="74">
        <f t="shared" si="96"/>
        <v>45001.482731416196</v>
      </c>
      <c r="K679" s="74">
        <f t="shared" si="97"/>
        <v>1614.7428514733074</v>
      </c>
      <c r="L679" s="74">
        <f t="shared" si="98"/>
        <v>-17127.364812828077</v>
      </c>
      <c r="M679" s="74">
        <f t="shared" si="99"/>
        <v>17203.314212909252</v>
      </c>
      <c r="N679" s="74">
        <f t="shared" si="100"/>
        <v>16614.742851473307</v>
      </c>
      <c r="O679" s="74">
        <f t="shared" si="101"/>
        <v>-72127.364812828077</v>
      </c>
      <c r="P679" s="74">
        <f t="shared" si="102"/>
        <v>74016.25790907949</v>
      </c>
    </row>
    <row r="680" spans="1:16" x14ac:dyDescent="0.3">
      <c r="A680" s="72">
        <f t="shared" si="89"/>
        <v>185.5</v>
      </c>
      <c r="B680" s="74">
        <f t="shared" si="90"/>
        <v>-22766.143592283155</v>
      </c>
      <c r="C680" s="74">
        <f t="shared" si="91"/>
        <v>37746.660315605455</v>
      </c>
      <c r="D680" s="74">
        <f t="shared" si="92"/>
        <v>-2302.8014816196942</v>
      </c>
      <c r="E680" s="74">
        <f t="shared" si="93"/>
        <v>1238.5910055547588</v>
      </c>
      <c r="F680" s="74">
        <f t="shared" si="87"/>
        <v>1468.8760403590577</v>
      </c>
      <c r="G680" s="74">
        <f t="shared" si="88"/>
        <v>-4858.4746794966841</v>
      </c>
      <c r="H680" s="74">
        <f t="shared" si="94"/>
        <v>42766.143592283159</v>
      </c>
      <c r="I680" s="74">
        <f t="shared" si="95"/>
        <v>-17746.660315605455</v>
      </c>
      <c r="J680" s="74">
        <f t="shared" si="96"/>
        <v>46302.127274168168</v>
      </c>
      <c r="K680" s="74">
        <f t="shared" si="97"/>
        <v>2766.1435922831552</v>
      </c>
      <c r="L680" s="74">
        <f t="shared" si="98"/>
        <v>-17746.660315605455</v>
      </c>
      <c r="M680" s="74">
        <f t="shared" si="99"/>
        <v>17960.943815139966</v>
      </c>
      <c r="N680" s="74">
        <f t="shared" si="100"/>
        <v>17766.143592283155</v>
      </c>
      <c r="O680" s="74">
        <f t="shared" si="101"/>
        <v>-72746.660315605463</v>
      </c>
      <c r="P680" s="74">
        <f t="shared" si="102"/>
        <v>74884.660947457785</v>
      </c>
    </row>
    <row r="681" spans="1:16" x14ac:dyDescent="0.3">
      <c r="A681" s="72">
        <f t="shared" si="89"/>
        <v>186</v>
      </c>
      <c r="B681" s="74">
        <f t="shared" si="90"/>
        <v>-23550.325323003239</v>
      </c>
      <c r="C681" s="74">
        <f t="shared" si="91"/>
        <v>37151.337148508661</v>
      </c>
      <c r="D681" s="74">
        <f t="shared" si="92"/>
        <v>-1568.3634614401653</v>
      </c>
      <c r="E681" s="74">
        <f t="shared" si="93"/>
        <v>-1190.6463341935832</v>
      </c>
      <c r="F681" s="74">
        <f t="shared" si="87"/>
        <v>1707.6730805367113</v>
      </c>
      <c r="G681" s="74">
        <f t="shared" si="88"/>
        <v>-4970.2598273521608</v>
      </c>
      <c r="H681" s="74">
        <f t="shared" si="94"/>
        <v>43550.325323003242</v>
      </c>
      <c r="I681" s="74">
        <f t="shared" si="95"/>
        <v>-17151.337148508661</v>
      </c>
      <c r="J681" s="74">
        <f t="shared" si="96"/>
        <v>46805.973996074805</v>
      </c>
      <c r="K681" s="74">
        <f t="shared" si="97"/>
        <v>3550.3253230032387</v>
      </c>
      <c r="L681" s="74">
        <f t="shared" si="98"/>
        <v>-17151.337148508661</v>
      </c>
      <c r="M681" s="74">
        <f t="shared" si="99"/>
        <v>17514.941503783884</v>
      </c>
      <c r="N681" s="74">
        <f t="shared" si="100"/>
        <v>18550.325323003239</v>
      </c>
      <c r="O681" s="74">
        <f t="shared" si="101"/>
        <v>-72151.337148508668</v>
      </c>
      <c r="P681" s="74">
        <f t="shared" si="102"/>
        <v>74497.852465067888</v>
      </c>
    </row>
    <row r="682" spans="1:16" x14ac:dyDescent="0.3">
      <c r="A682" s="72">
        <f t="shared" si="89"/>
        <v>186.5</v>
      </c>
      <c r="B682" s="74">
        <f t="shared" si="90"/>
        <v>-23907.588783589144</v>
      </c>
      <c r="C682" s="74">
        <f t="shared" si="91"/>
        <v>35313.449024573827</v>
      </c>
      <c r="D682" s="74">
        <f t="shared" si="92"/>
        <v>-714.5269211718097</v>
      </c>
      <c r="E682" s="74">
        <f t="shared" si="93"/>
        <v>-3675.7762478696636</v>
      </c>
      <c r="F682" s="74">
        <f t="shared" si="87"/>
        <v>2117.5757354981174</v>
      </c>
      <c r="G682" s="74">
        <f t="shared" si="88"/>
        <v>-5630.7620808717747</v>
      </c>
      <c r="H682" s="74">
        <f t="shared" si="94"/>
        <v>43907.588783589148</v>
      </c>
      <c r="I682" s="74">
        <f t="shared" si="95"/>
        <v>-15313.449024573827</v>
      </c>
      <c r="J682" s="74">
        <f t="shared" si="96"/>
        <v>46501.37711742508</v>
      </c>
      <c r="K682" s="74">
        <f t="shared" si="97"/>
        <v>3907.5887835891444</v>
      </c>
      <c r="L682" s="74">
        <f t="shared" si="98"/>
        <v>-15313.449024573827</v>
      </c>
      <c r="M682" s="74">
        <f t="shared" si="99"/>
        <v>15804.144112537471</v>
      </c>
      <c r="N682" s="74">
        <f t="shared" si="100"/>
        <v>18907.588783589144</v>
      </c>
      <c r="O682" s="74">
        <f t="shared" si="101"/>
        <v>-70313.449024573827</v>
      </c>
      <c r="P682" s="74">
        <f t="shared" si="102"/>
        <v>72811.249318636532</v>
      </c>
    </row>
    <row r="683" spans="1:16" x14ac:dyDescent="0.3">
      <c r="A683" s="72">
        <f t="shared" si="89"/>
        <v>187</v>
      </c>
      <c r="B683" s="74">
        <f t="shared" si="90"/>
        <v>-23735.458310300521</v>
      </c>
      <c r="C683" s="74">
        <f t="shared" si="91"/>
        <v>32067.870380421049</v>
      </c>
      <c r="D683" s="74">
        <f t="shared" si="92"/>
        <v>344.260946577249</v>
      </c>
      <c r="E683" s="74">
        <f t="shared" si="93"/>
        <v>-6491.1572883055505</v>
      </c>
      <c r="F683" s="74">
        <f t="shared" si="87"/>
        <v>2972.8789360226633</v>
      </c>
      <c r="G683" s="74">
        <f t="shared" si="88"/>
        <v>-7289.6008107690304</v>
      </c>
      <c r="H683" s="74">
        <f t="shared" si="94"/>
        <v>43735.458310300521</v>
      </c>
      <c r="I683" s="74">
        <f t="shared" si="95"/>
        <v>-12067.870380421049</v>
      </c>
      <c r="J683" s="74">
        <f t="shared" si="96"/>
        <v>45369.855731869793</v>
      </c>
      <c r="K683" s="74">
        <f t="shared" si="97"/>
        <v>3735.4583103005207</v>
      </c>
      <c r="L683" s="74">
        <f t="shared" si="98"/>
        <v>-12067.870380421049</v>
      </c>
      <c r="M683" s="74">
        <f t="shared" si="99"/>
        <v>12632.78054533668</v>
      </c>
      <c r="N683" s="74">
        <f t="shared" si="100"/>
        <v>18735.458310300521</v>
      </c>
      <c r="O683" s="74">
        <f t="shared" si="101"/>
        <v>-67067.870380421053</v>
      </c>
      <c r="P683" s="74">
        <f t="shared" si="102"/>
        <v>69635.598909336375</v>
      </c>
    </row>
    <row r="684" spans="1:16" x14ac:dyDescent="0.3">
      <c r="A684" s="72">
        <f t="shared" si="89"/>
        <v>187.5</v>
      </c>
      <c r="B684" s="74">
        <f t="shared" si="90"/>
        <v>-22820.108103006231</v>
      </c>
      <c r="C684" s="74">
        <f t="shared" si="91"/>
        <v>26999.891533576018</v>
      </c>
      <c r="D684" s="74">
        <f t="shared" si="92"/>
        <v>1830.7004145885808</v>
      </c>
      <c r="E684" s="74">
        <f t="shared" si="93"/>
        <v>-10135.957693690067</v>
      </c>
      <c r="F684" s="74">
        <f t="shared" si="87"/>
        <v>5139.0455180739009</v>
      </c>
      <c r="G684" s="74">
        <f t="shared" si="88"/>
        <v>-10815.230652525113</v>
      </c>
      <c r="H684" s="74">
        <f t="shared" si="94"/>
        <v>42820.108103006234</v>
      </c>
      <c r="I684" s="74">
        <f t="shared" si="95"/>
        <v>-6999.8915335760175</v>
      </c>
      <c r="J684" s="74">
        <f t="shared" si="96"/>
        <v>43388.479339969606</v>
      </c>
      <c r="K684" s="74">
        <f t="shared" si="97"/>
        <v>2820.1081030062305</v>
      </c>
      <c r="L684" s="74">
        <f t="shared" si="98"/>
        <v>-6999.8915335760175</v>
      </c>
      <c r="M684" s="74">
        <f t="shared" si="99"/>
        <v>7546.6211773528566</v>
      </c>
      <c r="N684" s="74">
        <f t="shared" si="100"/>
        <v>17820.108103006231</v>
      </c>
      <c r="O684" s="74">
        <f t="shared" si="101"/>
        <v>-61999.891533576018</v>
      </c>
      <c r="P684" s="74">
        <f t="shared" si="102"/>
        <v>64510.020950066501</v>
      </c>
    </row>
    <row r="685" spans="1:16" x14ac:dyDescent="0.3">
      <c r="A685" s="72">
        <f t="shared" si="89"/>
        <v>188</v>
      </c>
      <c r="B685" s="74">
        <f t="shared" si="90"/>
        <v>-20619.996516193467</v>
      </c>
      <c r="C685" s="74">
        <f t="shared" si="91"/>
        <v>19228.105023599703</v>
      </c>
      <c r="D685" s="74">
        <f t="shared" si="92"/>
        <v>4400.2231736255308</v>
      </c>
      <c r="E685" s="74">
        <f t="shared" si="93"/>
        <v>-15543.573019952622</v>
      </c>
      <c r="F685" s="74">
        <f t="shared" si="87"/>
        <v>3698.1578844189135</v>
      </c>
      <c r="G685" s="74">
        <f t="shared" si="88"/>
        <v>2650.5479845136224</v>
      </c>
      <c r="H685" s="74">
        <f t="shared" si="94"/>
        <v>40619.996516193467</v>
      </c>
      <c r="I685" s="74">
        <f t="shared" si="95"/>
        <v>771.89497640029731</v>
      </c>
      <c r="J685" s="74">
        <f t="shared" si="96"/>
        <v>40627.329949556879</v>
      </c>
      <c r="K685" s="74">
        <f t="shared" si="97"/>
        <v>619.99651619346696</v>
      </c>
      <c r="L685" s="74">
        <f t="shared" si="98"/>
        <v>771.89497640029731</v>
      </c>
      <c r="M685" s="74">
        <f t="shared" si="99"/>
        <v>990.05935917198997</v>
      </c>
      <c r="N685" s="74">
        <f t="shared" si="100"/>
        <v>15619.996516193467</v>
      </c>
      <c r="O685" s="74">
        <f t="shared" si="101"/>
        <v>-54228.105023599703</v>
      </c>
      <c r="P685" s="74">
        <f t="shared" si="102"/>
        <v>56432.89524396613</v>
      </c>
    </row>
    <row r="686" spans="1:16" x14ac:dyDescent="0.3">
      <c r="A686" s="72">
        <f t="shared" si="89"/>
        <v>188.5</v>
      </c>
      <c r="B686" s="74">
        <f t="shared" si="90"/>
        <v>-17495.345458275973</v>
      </c>
      <c r="C686" s="74">
        <f t="shared" si="91"/>
        <v>12118.955509751797</v>
      </c>
      <c r="D686" s="74">
        <f t="shared" si="92"/>
        <v>6249.3021158349875</v>
      </c>
      <c r="E686" s="74">
        <f t="shared" si="93"/>
        <v>-14218.299027695812</v>
      </c>
      <c r="F686" s="74">
        <f t="shared" si="87"/>
        <v>-1883.540021879242</v>
      </c>
      <c r="G686" s="74">
        <f t="shared" si="88"/>
        <v>9549.2421897780114</v>
      </c>
      <c r="H686" s="74">
        <f t="shared" si="94"/>
        <v>37495.345458275973</v>
      </c>
      <c r="I686" s="74">
        <f t="shared" si="95"/>
        <v>7881.0444902482031</v>
      </c>
      <c r="J686" s="74">
        <f t="shared" si="96"/>
        <v>38314.64202224429</v>
      </c>
      <c r="K686" s="74">
        <f t="shared" si="97"/>
        <v>-2504.6545417240268</v>
      </c>
      <c r="L686" s="74">
        <f t="shared" si="98"/>
        <v>7881.0444902482031</v>
      </c>
      <c r="M686" s="74">
        <f t="shared" si="99"/>
        <v>8269.4713634337204</v>
      </c>
      <c r="N686" s="74">
        <f t="shared" si="100"/>
        <v>12495.345458275973</v>
      </c>
      <c r="O686" s="74">
        <f t="shared" si="101"/>
        <v>-47118.955509751795</v>
      </c>
      <c r="P686" s="74">
        <f t="shared" si="102"/>
        <v>48747.611494837642</v>
      </c>
    </row>
    <row r="687" spans="1:16" x14ac:dyDescent="0.3">
      <c r="A687" s="72">
        <f t="shared" si="89"/>
        <v>189</v>
      </c>
      <c r="B687" s="74">
        <f t="shared" si="90"/>
        <v>-14841.57940582829</v>
      </c>
      <c r="C687" s="74">
        <f t="shared" si="91"/>
        <v>7397.1165433483939</v>
      </c>
      <c r="D687" s="74">
        <f t="shared" si="92"/>
        <v>5307.5321048953665</v>
      </c>
      <c r="E687" s="74">
        <f t="shared" si="93"/>
        <v>-9443.677932806806</v>
      </c>
      <c r="F687" s="74">
        <f t="shared" si="87"/>
        <v>-1084.3950097386996</v>
      </c>
      <c r="G687" s="74">
        <f t="shared" si="88"/>
        <v>5469.8064369054264</v>
      </c>
      <c r="H687" s="74">
        <f t="shared" si="94"/>
        <v>34841.579405828292</v>
      </c>
      <c r="I687" s="74">
        <f t="shared" si="95"/>
        <v>12602.883456651605</v>
      </c>
      <c r="J687" s="74">
        <f t="shared" si="96"/>
        <v>37050.88834177368</v>
      </c>
      <c r="K687" s="74">
        <f t="shared" si="97"/>
        <v>-5158.42059417171</v>
      </c>
      <c r="L687" s="74">
        <f t="shared" si="98"/>
        <v>12602.883456651605</v>
      </c>
      <c r="M687" s="74">
        <f t="shared" si="99"/>
        <v>13617.708120249807</v>
      </c>
      <c r="N687" s="74">
        <f t="shared" si="100"/>
        <v>9841.57940582829</v>
      </c>
      <c r="O687" s="74">
        <f t="shared" si="101"/>
        <v>-42397.116543348391</v>
      </c>
      <c r="P687" s="74">
        <f t="shared" si="102"/>
        <v>43524.385996720157</v>
      </c>
    </row>
    <row r="688" spans="1:16" x14ac:dyDescent="0.3">
      <c r="A688" s="72">
        <f t="shared" si="89"/>
        <v>189.5</v>
      </c>
      <c r="B688" s="74">
        <f t="shared" si="90"/>
        <v>-12458.912105815281</v>
      </c>
      <c r="C688" s="74">
        <f t="shared" si="91"/>
        <v>4042.7291861713475</v>
      </c>
      <c r="D688" s="74">
        <f t="shared" si="92"/>
        <v>4765.3346000260171</v>
      </c>
      <c r="E688" s="74">
        <f t="shared" si="93"/>
        <v>-6708.7747143540928</v>
      </c>
      <c r="F688" s="74">
        <f t="shared" si="87"/>
        <v>-552.40795306627126</v>
      </c>
      <c r="G688" s="74">
        <f t="shared" si="88"/>
        <v>3515.5502580270568</v>
      </c>
      <c r="H688" s="74">
        <f t="shared" si="94"/>
        <v>32458.912105815281</v>
      </c>
      <c r="I688" s="74">
        <f t="shared" si="95"/>
        <v>15957.270813828653</v>
      </c>
      <c r="J688" s="74">
        <f t="shared" si="96"/>
        <v>36169.261354344926</v>
      </c>
      <c r="K688" s="74">
        <f t="shared" si="97"/>
        <v>-7541.0878941847186</v>
      </c>
      <c r="L688" s="74">
        <f t="shared" si="98"/>
        <v>15957.270813828653</v>
      </c>
      <c r="M688" s="74">
        <f t="shared" si="99"/>
        <v>17649.433374861841</v>
      </c>
      <c r="N688" s="74">
        <f t="shared" si="100"/>
        <v>7458.9121058152814</v>
      </c>
      <c r="O688" s="74">
        <f t="shared" si="101"/>
        <v>-39042.729186171346</v>
      </c>
      <c r="P688" s="74">
        <f t="shared" si="102"/>
        <v>39748.837367990949</v>
      </c>
    </row>
    <row r="689" spans="1:16" x14ac:dyDescent="0.3">
      <c r="A689" s="72">
        <f t="shared" si="89"/>
        <v>190</v>
      </c>
      <c r="B689" s="74">
        <f t="shared" si="90"/>
        <v>-10214.346794068841</v>
      </c>
      <c r="C689" s="74">
        <f t="shared" si="91"/>
        <v>1567.2293935010653</v>
      </c>
      <c r="D689" s="74">
        <f t="shared" si="92"/>
        <v>4489.1306234928816</v>
      </c>
      <c r="E689" s="74">
        <f t="shared" si="93"/>
        <v>-4950.9995853405644</v>
      </c>
      <c r="F689" s="74">
        <f t="shared" si="87"/>
        <v>-286.07720977386981</v>
      </c>
      <c r="G689" s="74">
        <f t="shared" si="88"/>
        <v>2467.8290462862124</v>
      </c>
      <c r="H689" s="74">
        <f t="shared" si="94"/>
        <v>30214.346794068842</v>
      </c>
      <c r="I689" s="74">
        <f t="shared" si="95"/>
        <v>18432.770606498936</v>
      </c>
      <c r="J689" s="74">
        <f t="shared" si="96"/>
        <v>35393.131882104884</v>
      </c>
      <c r="K689" s="74">
        <f t="shared" si="97"/>
        <v>-9785.6532059311594</v>
      </c>
      <c r="L689" s="74">
        <f t="shared" si="98"/>
        <v>18432.770606498936</v>
      </c>
      <c r="M689" s="74">
        <f t="shared" si="99"/>
        <v>20869.260669668245</v>
      </c>
      <c r="N689" s="74">
        <f t="shared" si="100"/>
        <v>5214.3467940688406</v>
      </c>
      <c r="O689" s="74">
        <f t="shared" si="101"/>
        <v>-36567.229393501068</v>
      </c>
      <c r="P689" s="74">
        <f t="shared" si="102"/>
        <v>36937.131426326872</v>
      </c>
    </row>
    <row r="690" spans="1:16" x14ac:dyDescent="0.3">
      <c r="A690" s="72">
        <f t="shared" si="89"/>
        <v>190.5</v>
      </c>
      <c r="B690" s="74">
        <f t="shared" si="90"/>
        <v>-8041.3007847658673</v>
      </c>
      <c r="C690" s="74">
        <f t="shared" si="91"/>
        <v>-291.31313759766385</v>
      </c>
      <c r="D690" s="74">
        <f t="shared" si="92"/>
        <v>4346.0920186059466</v>
      </c>
      <c r="E690" s="74">
        <f t="shared" si="93"/>
        <v>-3717.0850621974582</v>
      </c>
      <c r="F690" s="74">
        <f t="shared" si="87"/>
        <v>-165.03932012602056</v>
      </c>
      <c r="G690" s="74">
        <f t="shared" si="88"/>
        <v>1826.5309041507469</v>
      </c>
      <c r="H690" s="74">
        <f t="shared" si="94"/>
        <v>28041.300784765866</v>
      </c>
      <c r="I690" s="74">
        <f t="shared" si="95"/>
        <v>20291.313137597663</v>
      </c>
      <c r="J690" s="74">
        <f t="shared" si="96"/>
        <v>34612.886885519307</v>
      </c>
      <c r="K690" s="74">
        <f t="shared" si="97"/>
        <v>-11958.699215234134</v>
      </c>
      <c r="L690" s="74">
        <f t="shared" si="98"/>
        <v>20291.313137597663</v>
      </c>
      <c r="M690" s="74">
        <f t="shared" si="99"/>
        <v>23553.08633212397</v>
      </c>
      <c r="N690" s="74">
        <f t="shared" si="100"/>
        <v>3041.3007847658673</v>
      </c>
      <c r="O690" s="74">
        <f t="shared" si="101"/>
        <v>-34708.686862402334</v>
      </c>
      <c r="P690" s="74">
        <f t="shared" si="102"/>
        <v>34841.67697134737</v>
      </c>
    </row>
    <row r="691" spans="1:16" x14ac:dyDescent="0.3">
      <c r="A691" s="72">
        <f t="shared" si="89"/>
        <v>191</v>
      </c>
      <c r="B691" s="74">
        <f t="shared" si="90"/>
        <v>-5909.5146054943989</v>
      </c>
      <c r="C691" s="74">
        <f t="shared" si="91"/>
        <v>-1693.2229426587062</v>
      </c>
      <c r="D691" s="74">
        <f t="shared" si="92"/>
        <v>4263.5723585429359</v>
      </c>
      <c r="E691" s="74">
        <f t="shared" si="93"/>
        <v>-2803.8196101220847</v>
      </c>
      <c r="F691" s="74">
        <f t="shared" si="87"/>
        <v>-130.17256864854943</v>
      </c>
      <c r="G691" s="74">
        <f t="shared" si="88"/>
        <v>1409.0416588287496</v>
      </c>
      <c r="H691" s="74">
        <f t="shared" si="94"/>
        <v>25909.514605494398</v>
      </c>
      <c r="I691" s="74">
        <f t="shared" si="95"/>
        <v>21693.222942658707</v>
      </c>
      <c r="J691" s="74">
        <f t="shared" si="96"/>
        <v>33791.994151458741</v>
      </c>
      <c r="K691" s="74">
        <f t="shared" si="97"/>
        <v>-14090.485394505602</v>
      </c>
      <c r="L691" s="74">
        <f t="shared" si="98"/>
        <v>21693.222942658707</v>
      </c>
      <c r="M691" s="74">
        <f t="shared" si="99"/>
        <v>25867.696076238986</v>
      </c>
      <c r="N691" s="74">
        <f t="shared" si="100"/>
        <v>909.51460549439889</v>
      </c>
      <c r="O691" s="74">
        <f t="shared" si="101"/>
        <v>-33306.777057341293</v>
      </c>
      <c r="P691" s="74">
        <f t="shared" si="102"/>
        <v>33319.192888859776</v>
      </c>
    </row>
    <row r="692" spans="1:16" x14ac:dyDescent="0.3">
      <c r="A692" s="72">
        <f t="shared" si="89"/>
        <v>191.5</v>
      </c>
      <c r="B692" s="74">
        <f t="shared" si="90"/>
        <v>-3810.2715683850683</v>
      </c>
      <c r="C692" s="74">
        <f t="shared" si="91"/>
        <v>-2742.8723330125608</v>
      </c>
      <c r="D692" s="74">
        <f t="shared" si="92"/>
        <v>4198.4860742186611</v>
      </c>
      <c r="E692" s="74">
        <f t="shared" si="93"/>
        <v>-2099.2987807077097</v>
      </c>
      <c r="F692" s="74">
        <f t="shared" si="87"/>
        <v>-149.67391120161088</v>
      </c>
      <c r="G692" s="74">
        <f t="shared" si="88"/>
        <v>1141.1271679379693</v>
      </c>
      <c r="H692" s="74">
        <f t="shared" si="94"/>
        <v>23810.271568385069</v>
      </c>
      <c r="I692" s="74">
        <f t="shared" si="95"/>
        <v>22742.872333012561</v>
      </c>
      <c r="J692" s="74">
        <f t="shared" si="96"/>
        <v>32926.69546304267</v>
      </c>
      <c r="K692" s="74">
        <f t="shared" si="97"/>
        <v>-16189.728431614931</v>
      </c>
      <c r="L692" s="74">
        <f t="shared" si="98"/>
        <v>22742.872333012561</v>
      </c>
      <c r="M692" s="74">
        <f t="shared" si="99"/>
        <v>27916.761070101758</v>
      </c>
      <c r="N692" s="74">
        <f t="shared" si="100"/>
        <v>-1189.7284316149317</v>
      </c>
      <c r="O692" s="74">
        <f t="shared" si="101"/>
        <v>-32257.127666987439</v>
      </c>
      <c r="P692" s="74">
        <f t="shared" si="102"/>
        <v>32279.06038076882</v>
      </c>
    </row>
    <row r="693" spans="1:16" x14ac:dyDescent="0.3">
      <c r="A693" s="72">
        <f t="shared" si="89"/>
        <v>192</v>
      </c>
      <c r="B693" s="74">
        <f t="shared" si="90"/>
        <v>-1748.4470090761406</v>
      </c>
      <c r="C693" s="74">
        <f t="shared" si="91"/>
        <v>-3507.2399313819233</v>
      </c>
      <c r="D693" s="74">
        <f t="shared" si="92"/>
        <v>4123.6491186178555</v>
      </c>
      <c r="E693" s="74">
        <f t="shared" si="93"/>
        <v>-1528.7351967387251</v>
      </c>
      <c r="F693" s="74">
        <f t="shared" si="87"/>
        <v>-202.37468525812866</v>
      </c>
      <c r="G693" s="74">
        <f t="shared" si="88"/>
        <v>988.5775956912837</v>
      </c>
      <c r="H693" s="74">
        <f t="shared" si="94"/>
        <v>21748.447009076139</v>
      </c>
      <c r="I693" s="74">
        <f t="shared" si="95"/>
        <v>23507.239931381922</v>
      </c>
      <c r="J693" s="74">
        <f t="shared" si="96"/>
        <v>32024.760365975413</v>
      </c>
      <c r="K693" s="74">
        <f t="shared" si="97"/>
        <v>-18251.552990923861</v>
      </c>
      <c r="L693" s="74">
        <f t="shared" si="98"/>
        <v>23507.239931381922</v>
      </c>
      <c r="M693" s="74">
        <f t="shared" si="99"/>
        <v>29760.872228012042</v>
      </c>
      <c r="N693" s="74">
        <f t="shared" si="100"/>
        <v>-3251.5529909238594</v>
      </c>
      <c r="O693" s="74">
        <f t="shared" si="101"/>
        <v>-31492.760068618078</v>
      </c>
      <c r="P693" s="74">
        <f t="shared" si="102"/>
        <v>31660.172671549524</v>
      </c>
    </row>
    <row r="694" spans="1:16" x14ac:dyDescent="0.3">
      <c r="A694" s="72">
        <f t="shared" si="89"/>
        <v>192.5</v>
      </c>
      <c r="B694" s="74">
        <f t="shared" si="90"/>
        <v>262.78387891825497</v>
      </c>
      <c r="C694" s="74">
        <f t="shared" si="91"/>
        <v>-4024.4631308284652</v>
      </c>
      <c r="D694" s="74">
        <f t="shared" si="92"/>
        <v>4022.461775988791</v>
      </c>
      <c r="E694" s="74">
        <f t="shared" si="93"/>
        <v>-1034.4463988930834</v>
      </c>
      <c r="F694" s="74">
        <f t="shared" ref="F694:F757" si="103">$C$23*(H694/(J694^2+$C$24^2)^1.5)+$C$32*(K694/(M694^2+$C$33^2)^1.5)+C$41*(N694/(P694^2+$C$42^2)^1.5)</f>
        <v>-271.42280946110833</v>
      </c>
      <c r="G694" s="74">
        <f t="shared" ref="G694:G757" si="104">$C$23*(I694/(J694^2+$C$24^2)^1.5)+$C$32*(L694/(M694^2+$C$33^2)^1.5)+C$41*(O694/(P694^2+$C$42^2)^1.5)</f>
        <v>932.06716357937307</v>
      </c>
      <c r="H694" s="74">
        <f t="shared" si="94"/>
        <v>19737.216121081747</v>
      </c>
      <c r="I694" s="74">
        <f t="shared" si="95"/>
        <v>24024.463130828466</v>
      </c>
      <c r="J694" s="74">
        <f t="shared" si="96"/>
        <v>31092.322668704335</v>
      </c>
      <c r="K694" s="74">
        <f t="shared" si="97"/>
        <v>-20262.783878918253</v>
      </c>
      <c r="L694" s="74">
        <f t="shared" si="98"/>
        <v>24024.463130828466</v>
      </c>
      <c r="M694" s="74">
        <f t="shared" si="99"/>
        <v>31428.573611417458</v>
      </c>
      <c r="N694" s="74">
        <f t="shared" si="100"/>
        <v>-5262.7838789182551</v>
      </c>
      <c r="O694" s="74">
        <f t="shared" si="101"/>
        <v>-30975.536869171534</v>
      </c>
      <c r="P694" s="74">
        <f t="shared" si="102"/>
        <v>31419.433134440966</v>
      </c>
    </row>
    <row r="695" spans="1:16" x14ac:dyDescent="0.3">
      <c r="A695" s="72">
        <f t="shared" ref="A695:A758" si="105">A694+$C$5</f>
        <v>193</v>
      </c>
      <c r="B695" s="74">
        <f t="shared" ref="B695:B758" si="106">B694+D694*(A695-A694)+F694*(A695-A694)^2</f>
        <v>2206.1590645473734</v>
      </c>
      <c r="C695" s="74">
        <f t="shared" ref="C695:C758" si="107">C694+E694*(A695-A694)+G694*(A695-A694)^2</f>
        <v>-4308.6695393801638</v>
      </c>
      <c r="D695" s="74">
        <f t="shared" ref="D695:D758" si="108">D694+F694*(A695-A694)</f>
        <v>3886.750371258237</v>
      </c>
      <c r="E695" s="74">
        <f t="shared" ref="E695:E758" si="109">E694+G694*(A695-A694)</f>
        <v>-568.41281710339683</v>
      </c>
      <c r="F695" s="74">
        <f t="shared" si="103"/>
        <v>-342.40784703781009</v>
      </c>
      <c r="G695" s="74">
        <f t="shared" si="104"/>
        <v>957.58526616970676</v>
      </c>
      <c r="H695" s="74">
        <f t="shared" ref="H695:H758" si="110">$C$19-B695</f>
        <v>17793.840935452627</v>
      </c>
      <c r="I695" s="74">
        <f t="shared" ref="I695:I758" si="111">$D$19-C695</f>
        <v>24308.669539380164</v>
      </c>
      <c r="J695" s="74">
        <f t="shared" ref="J695:J758" si="112">SQRT(H695^2+I695^2)</f>
        <v>30125.274936686943</v>
      </c>
      <c r="K695" s="74">
        <f t="shared" ref="K695:K758" si="113">$C$28-B695</f>
        <v>-22206.159064547373</v>
      </c>
      <c r="L695" s="74">
        <f t="shared" ref="L695:L758" si="114">$D$28-C695</f>
        <v>24308.669539380164</v>
      </c>
      <c r="M695" s="74">
        <f t="shared" ref="M695:M758" si="115">SQRT(K695^2+L695^2)</f>
        <v>32924.533636405067</v>
      </c>
      <c r="N695" s="74">
        <f t="shared" ref="N695:N758" si="116">$C$37-B695</f>
        <v>-7206.1590645473734</v>
      </c>
      <c r="O695" s="74">
        <f t="shared" ref="O695:O758" si="117">$D$37-C695</f>
        <v>-30691.330460619836</v>
      </c>
      <c r="P695" s="74">
        <f t="shared" ref="P695:P758" si="118">SQRT(N695^2+O695^2)</f>
        <v>31525.965392141909</v>
      </c>
    </row>
    <row r="696" spans="1:16" x14ac:dyDescent="0.3">
      <c r="A696" s="72">
        <f t="shared" si="105"/>
        <v>193.5</v>
      </c>
      <c r="B696" s="74">
        <f t="shared" si="106"/>
        <v>4063.9322884170392</v>
      </c>
      <c r="C696" s="74">
        <f t="shared" si="107"/>
        <v>-4353.4796313894358</v>
      </c>
      <c r="D696" s="74">
        <f t="shared" si="108"/>
        <v>3715.5464477393321</v>
      </c>
      <c r="E696" s="74">
        <f t="shared" si="109"/>
        <v>-89.620184018543455</v>
      </c>
      <c r="F696" s="74">
        <f t="shared" si="103"/>
        <v>-403.17657569509208</v>
      </c>
      <c r="G696" s="74">
        <f t="shared" si="104"/>
        <v>1053.8385793723244</v>
      </c>
      <c r="H696" s="74">
        <f t="shared" si="110"/>
        <v>15936.06771158296</v>
      </c>
      <c r="I696" s="74">
        <f t="shared" si="111"/>
        <v>24353.479631389437</v>
      </c>
      <c r="J696" s="74">
        <f t="shared" si="112"/>
        <v>29104.127271997993</v>
      </c>
      <c r="K696" s="74">
        <f t="shared" si="113"/>
        <v>-24063.93228841704</v>
      </c>
      <c r="L696" s="74">
        <f t="shared" si="114"/>
        <v>24353.479631389437</v>
      </c>
      <c r="M696" s="74">
        <f t="shared" si="115"/>
        <v>34236.892489506412</v>
      </c>
      <c r="N696" s="74">
        <f t="shared" si="116"/>
        <v>-9063.9322884170397</v>
      </c>
      <c r="O696" s="74">
        <f t="shared" si="117"/>
        <v>-30646.520368610563</v>
      </c>
      <c r="P696" s="74">
        <f t="shared" si="118"/>
        <v>31958.787199026672</v>
      </c>
    </row>
    <row r="697" spans="1:16" x14ac:dyDescent="0.3">
      <c r="A697" s="72">
        <f t="shared" si="105"/>
        <v>194</v>
      </c>
      <c r="B697" s="74">
        <f t="shared" si="106"/>
        <v>5820.9113683629321</v>
      </c>
      <c r="C697" s="74">
        <f t="shared" si="107"/>
        <v>-4134.8300785556266</v>
      </c>
      <c r="D697" s="74">
        <f t="shared" si="108"/>
        <v>3513.9581598917862</v>
      </c>
      <c r="E697" s="74">
        <f t="shared" si="109"/>
        <v>437.29910566761873</v>
      </c>
      <c r="F697" s="74">
        <f t="shared" si="103"/>
        <v>-443.87728075193615</v>
      </c>
      <c r="G697" s="74">
        <f t="shared" si="104"/>
        <v>1213.1818604344478</v>
      </c>
      <c r="H697" s="74">
        <f t="shared" si="110"/>
        <v>14179.088631637067</v>
      </c>
      <c r="I697" s="74">
        <f t="shared" si="111"/>
        <v>24134.830078555628</v>
      </c>
      <c r="J697" s="74">
        <f t="shared" si="112"/>
        <v>27991.723372178658</v>
      </c>
      <c r="K697" s="74">
        <f t="shared" si="113"/>
        <v>-25820.911368362933</v>
      </c>
      <c r="L697" s="74">
        <f t="shared" si="114"/>
        <v>24134.830078555628</v>
      </c>
      <c r="M697" s="74">
        <f t="shared" si="115"/>
        <v>35344.157746558449</v>
      </c>
      <c r="N697" s="74">
        <f t="shared" si="116"/>
        <v>-10820.911368362933</v>
      </c>
      <c r="O697" s="74">
        <f t="shared" si="117"/>
        <v>-30865.169921444372</v>
      </c>
      <c r="P697" s="74">
        <f t="shared" si="118"/>
        <v>32707.045680122203</v>
      </c>
    </row>
    <row r="698" spans="1:16" x14ac:dyDescent="0.3">
      <c r="A698" s="72">
        <f t="shared" si="105"/>
        <v>194.5</v>
      </c>
      <c r="B698" s="74">
        <f t="shared" si="106"/>
        <v>7466.9211281208418</v>
      </c>
      <c r="C698" s="74">
        <f t="shared" si="107"/>
        <v>-3612.8850606132055</v>
      </c>
      <c r="D698" s="74">
        <f t="shared" si="108"/>
        <v>3292.019519515818</v>
      </c>
      <c r="E698" s="74">
        <f t="shared" si="109"/>
        <v>1043.8900358848427</v>
      </c>
      <c r="F698" s="74">
        <f t="shared" si="103"/>
        <v>-456.37322422634873</v>
      </c>
      <c r="G698" s="74">
        <f t="shared" si="104"/>
        <v>1434.37757418055</v>
      </c>
      <c r="H698" s="74">
        <f t="shared" si="110"/>
        <v>12533.078871879159</v>
      </c>
      <c r="I698" s="74">
        <f t="shared" si="111"/>
        <v>23612.885060613204</v>
      </c>
      <c r="J698" s="74">
        <f t="shared" si="112"/>
        <v>26732.871280400726</v>
      </c>
      <c r="K698" s="74">
        <f t="shared" si="113"/>
        <v>-27466.921128120841</v>
      </c>
      <c r="L698" s="74">
        <f t="shared" si="114"/>
        <v>23612.885060613204</v>
      </c>
      <c r="M698" s="74">
        <f t="shared" si="115"/>
        <v>36221.541893521615</v>
      </c>
      <c r="N698" s="74">
        <f t="shared" si="116"/>
        <v>-12466.921128120841</v>
      </c>
      <c r="O698" s="74">
        <f t="shared" si="117"/>
        <v>-31387.114939386796</v>
      </c>
      <c r="P698" s="74">
        <f t="shared" si="118"/>
        <v>33772.401552644485</v>
      </c>
    </row>
    <row r="699" spans="1:16" x14ac:dyDescent="0.3">
      <c r="A699" s="72">
        <f t="shared" si="105"/>
        <v>195</v>
      </c>
      <c r="B699" s="74">
        <f t="shared" si="106"/>
        <v>8998.837581822163</v>
      </c>
      <c r="C699" s="74">
        <f t="shared" si="107"/>
        <v>-2732.345649125647</v>
      </c>
      <c r="D699" s="74">
        <f t="shared" si="108"/>
        <v>3063.8329074026437</v>
      </c>
      <c r="E699" s="74">
        <f t="shared" si="109"/>
        <v>1761.0788229751179</v>
      </c>
      <c r="F699" s="74">
        <f t="shared" si="103"/>
        <v>-432.3917673300781</v>
      </c>
      <c r="G699" s="74">
        <f t="shared" si="104"/>
        <v>1726.8014141827232</v>
      </c>
      <c r="H699" s="74">
        <f t="shared" si="110"/>
        <v>11001.162418177837</v>
      </c>
      <c r="I699" s="74">
        <f t="shared" si="111"/>
        <v>22732.345649125647</v>
      </c>
      <c r="J699" s="74">
        <f t="shared" si="112"/>
        <v>25254.407798688335</v>
      </c>
      <c r="K699" s="74">
        <f t="shared" si="113"/>
        <v>-28998.837581822161</v>
      </c>
      <c r="L699" s="74">
        <f t="shared" si="114"/>
        <v>22732.345649125647</v>
      </c>
      <c r="M699" s="74">
        <f t="shared" si="115"/>
        <v>36846.873948928464</v>
      </c>
      <c r="N699" s="74">
        <f t="shared" si="116"/>
        <v>-13998.837581822163</v>
      </c>
      <c r="O699" s="74">
        <f t="shared" si="117"/>
        <v>-32267.654350874353</v>
      </c>
      <c r="P699" s="74">
        <f t="shared" si="118"/>
        <v>35173.412841942663</v>
      </c>
    </row>
    <row r="700" spans="1:16" x14ac:dyDescent="0.3">
      <c r="A700" s="72">
        <f t="shared" si="105"/>
        <v>195.5</v>
      </c>
      <c r="B700" s="74">
        <f t="shared" si="106"/>
        <v>10422.656093690966</v>
      </c>
      <c r="C700" s="74">
        <f t="shared" si="107"/>
        <v>-1420.1058840924072</v>
      </c>
      <c r="D700" s="74">
        <f t="shared" si="108"/>
        <v>2847.6370237376045</v>
      </c>
      <c r="E700" s="74">
        <f t="shared" si="109"/>
        <v>2624.4795300664796</v>
      </c>
      <c r="F700" s="74">
        <f t="shared" si="103"/>
        <v>-359.34864324330078</v>
      </c>
      <c r="G700" s="74">
        <f t="shared" si="104"/>
        <v>2117.6929443167883</v>
      </c>
      <c r="H700" s="74">
        <f t="shared" si="110"/>
        <v>9577.3439063090336</v>
      </c>
      <c r="I700" s="74">
        <f t="shared" si="111"/>
        <v>21420.105884092409</v>
      </c>
      <c r="J700" s="74">
        <f t="shared" si="112"/>
        <v>23463.726310742823</v>
      </c>
      <c r="K700" s="74">
        <f t="shared" si="113"/>
        <v>-30422.656093690966</v>
      </c>
      <c r="L700" s="74">
        <f t="shared" si="114"/>
        <v>21420.105884092409</v>
      </c>
      <c r="M700" s="74">
        <f t="shared" si="115"/>
        <v>37206.974344613431</v>
      </c>
      <c r="N700" s="74">
        <f t="shared" si="116"/>
        <v>-15422.656093690966</v>
      </c>
      <c r="O700" s="74">
        <f t="shared" si="117"/>
        <v>-33579.894115907591</v>
      </c>
      <c r="P700" s="74">
        <f t="shared" si="118"/>
        <v>36952.234165471353</v>
      </c>
    </row>
    <row r="701" spans="1:16" x14ac:dyDescent="0.3">
      <c r="A701" s="72">
        <f t="shared" si="105"/>
        <v>196</v>
      </c>
      <c r="B701" s="74">
        <f t="shared" si="106"/>
        <v>11756.637444748943</v>
      </c>
      <c r="C701" s="74">
        <f t="shared" si="107"/>
        <v>421.55711702002964</v>
      </c>
      <c r="D701" s="74">
        <f t="shared" si="108"/>
        <v>2667.962702115954</v>
      </c>
      <c r="E701" s="74">
        <f t="shared" si="109"/>
        <v>3683.3260022248737</v>
      </c>
      <c r="F701" s="74">
        <f t="shared" si="103"/>
        <v>-210.63729756249444</v>
      </c>
      <c r="G701" s="74">
        <f t="shared" si="104"/>
        <v>2668.2174411522965</v>
      </c>
      <c r="H701" s="74">
        <f t="shared" si="110"/>
        <v>8243.3625552510566</v>
      </c>
      <c r="I701" s="74">
        <f t="shared" si="111"/>
        <v>19578.442882979969</v>
      </c>
      <c r="J701" s="74">
        <f t="shared" si="112"/>
        <v>21243.080095396341</v>
      </c>
      <c r="K701" s="74">
        <f t="shared" si="113"/>
        <v>-31756.637444748943</v>
      </c>
      <c r="L701" s="74">
        <f t="shared" si="114"/>
        <v>19578.442882979969</v>
      </c>
      <c r="M701" s="74">
        <f t="shared" si="115"/>
        <v>37306.828430186069</v>
      </c>
      <c r="N701" s="74">
        <f t="shared" si="116"/>
        <v>-16756.637444748943</v>
      </c>
      <c r="O701" s="74">
        <f t="shared" si="117"/>
        <v>-35421.557117020027</v>
      </c>
      <c r="P701" s="74">
        <f t="shared" si="118"/>
        <v>39185.094194719946</v>
      </c>
    </row>
    <row r="702" spans="1:16" x14ac:dyDescent="0.3">
      <c r="A702" s="72">
        <f t="shared" si="105"/>
        <v>196.5</v>
      </c>
      <c r="B702" s="74">
        <f t="shared" si="106"/>
        <v>13037.959471416298</v>
      </c>
      <c r="C702" s="74">
        <f t="shared" si="107"/>
        <v>2930.2744784205406</v>
      </c>
      <c r="D702" s="74">
        <f t="shared" si="108"/>
        <v>2562.6440533347068</v>
      </c>
      <c r="E702" s="74">
        <f t="shared" si="109"/>
        <v>5017.434722801022</v>
      </c>
      <c r="F702" s="74">
        <f t="shared" si="103"/>
        <v>80.848597075664372</v>
      </c>
      <c r="G702" s="74">
        <f t="shared" si="104"/>
        <v>3515.9469924523205</v>
      </c>
      <c r="H702" s="74">
        <f t="shared" si="110"/>
        <v>6962.0405285837023</v>
      </c>
      <c r="I702" s="74">
        <f t="shared" si="111"/>
        <v>17069.725521579458</v>
      </c>
      <c r="J702" s="74">
        <f t="shared" si="112"/>
        <v>18434.899991692473</v>
      </c>
      <c r="K702" s="74">
        <f t="shared" si="113"/>
        <v>-33037.959471416296</v>
      </c>
      <c r="L702" s="74">
        <f t="shared" si="114"/>
        <v>17069.725521579458</v>
      </c>
      <c r="M702" s="74">
        <f t="shared" si="115"/>
        <v>37187.125398678058</v>
      </c>
      <c r="N702" s="74">
        <f t="shared" si="116"/>
        <v>-18037.959471416296</v>
      </c>
      <c r="O702" s="74">
        <f t="shared" si="117"/>
        <v>-37930.274478420542</v>
      </c>
      <c r="P702" s="74">
        <f t="shared" si="118"/>
        <v>42000.87741822518</v>
      </c>
    </row>
    <row r="703" spans="1:16" x14ac:dyDescent="0.3">
      <c r="A703" s="72">
        <f t="shared" si="105"/>
        <v>197</v>
      </c>
      <c r="B703" s="74">
        <f t="shared" si="106"/>
        <v>14339.493647352569</v>
      </c>
      <c r="C703" s="74">
        <f t="shared" si="107"/>
        <v>6317.9785879341325</v>
      </c>
      <c r="D703" s="74">
        <f t="shared" si="108"/>
        <v>2603.0683518725391</v>
      </c>
      <c r="E703" s="74">
        <f t="shared" si="109"/>
        <v>6775.408219027182</v>
      </c>
      <c r="F703" s="74">
        <f t="shared" si="103"/>
        <v>710.88704820593375</v>
      </c>
      <c r="G703" s="74">
        <f t="shared" si="104"/>
        <v>4999.4031482864339</v>
      </c>
      <c r="H703" s="74">
        <f t="shared" si="110"/>
        <v>5660.5063526474314</v>
      </c>
      <c r="I703" s="74">
        <f t="shared" si="111"/>
        <v>13682.021412065867</v>
      </c>
      <c r="J703" s="74">
        <f t="shared" si="112"/>
        <v>14806.722867960716</v>
      </c>
      <c r="K703" s="74">
        <f t="shared" si="113"/>
        <v>-34339.493647352567</v>
      </c>
      <c r="L703" s="74">
        <f t="shared" si="114"/>
        <v>13682.021412065867</v>
      </c>
      <c r="M703" s="74">
        <f t="shared" si="115"/>
        <v>36964.828335551567</v>
      </c>
      <c r="N703" s="74">
        <f t="shared" si="116"/>
        <v>-19339.493647352567</v>
      </c>
      <c r="O703" s="74">
        <f t="shared" si="117"/>
        <v>-41317.978587934136</v>
      </c>
      <c r="P703" s="74">
        <f t="shared" si="118"/>
        <v>45620.076382322884</v>
      </c>
    </row>
    <row r="704" spans="1:16" x14ac:dyDescent="0.3">
      <c r="A704" s="72">
        <f t="shared" si="105"/>
        <v>197.5</v>
      </c>
      <c r="B704" s="74">
        <f t="shared" si="106"/>
        <v>15818.749585340322</v>
      </c>
      <c r="C704" s="74">
        <f t="shared" si="107"/>
        <v>10955.533484519332</v>
      </c>
      <c r="D704" s="74">
        <f t="shared" si="108"/>
        <v>2958.511875975506</v>
      </c>
      <c r="E704" s="74">
        <f t="shared" si="109"/>
        <v>9275.1097931703989</v>
      </c>
      <c r="F704" s="74">
        <f t="shared" si="103"/>
        <v>2350.3509571205582</v>
      </c>
      <c r="G704" s="74">
        <f t="shared" si="104"/>
        <v>7926.0764507907452</v>
      </c>
      <c r="H704" s="74">
        <f t="shared" si="110"/>
        <v>4181.2504146596784</v>
      </c>
      <c r="I704" s="74">
        <f t="shared" si="111"/>
        <v>9044.466515480668</v>
      </c>
      <c r="J704" s="74">
        <f t="shared" si="112"/>
        <v>9964.1973876345273</v>
      </c>
      <c r="K704" s="74">
        <f t="shared" si="113"/>
        <v>-35818.749585340323</v>
      </c>
      <c r="L704" s="74">
        <f t="shared" si="114"/>
        <v>9044.466515480668</v>
      </c>
      <c r="M704" s="74">
        <f t="shared" si="115"/>
        <v>36942.999288186773</v>
      </c>
      <c r="N704" s="74">
        <f t="shared" si="116"/>
        <v>-20818.749585340323</v>
      </c>
      <c r="O704" s="74">
        <f t="shared" si="117"/>
        <v>-45955.533484519328</v>
      </c>
      <c r="P704" s="74">
        <f t="shared" si="118"/>
        <v>50451.277408445123</v>
      </c>
    </row>
    <row r="705" spans="1:16" x14ac:dyDescent="0.3">
      <c r="A705" s="72">
        <f t="shared" si="105"/>
        <v>198</v>
      </c>
      <c r="B705" s="74">
        <f t="shared" si="106"/>
        <v>17885.593262608214</v>
      </c>
      <c r="C705" s="74">
        <f t="shared" si="107"/>
        <v>17574.607493802218</v>
      </c>
      <c r="D705" s="74">
        <f t="shared" si="108"/>
        <v>4133.6873545357848</v>
      </c>
      <c r="E705" s="74">
        <f t="shared" si="109"/>
        <v>13238.148018565771</v>
      </c>
      <c r="F705" s="74">
        <f t="shared" si="103"/>
        <v>5509.6401594255522</v>
      </c>
      <c r="G705" s="74">
        <f t="shared" si="104"/>
        <v>7478.7085616744898</v>
      </c>
      <c r="H705" s="74">
        <f t="shared" si="110"/>
        <v>2114.406737391786</v>
      </c>
      <c r="I705" s="74">
        <f t="shared" si="111"/>
        <v>2425.3925061977825</v>
      </c>
      <c r="J705" s="74">
        <f t="shared" si="112"/>
        <v>3217.6458257937802</v>
      </c>
      <c r="K705" s="74">
        <f t="shared" si="113"/>
        <v>-37885.593262608214</v>
      </c>
      <c r="L705" s="74">
        <f t="shared" si="114"/>
        <v>2425.3925061977825</v>
      </c>
      <c r="M705" s="74">
        <f t="shared" si="115"/>
        <v>37963.14931178531</v>
      </c>
      <c r="N705" s="74">
        <f t="shared" si="116"/>
        <v>-22885.593262608214</v>
      </c>
      <c r="O705" s="74">
        <f t="shared" si="117"/>
        <v>-52574.607493802221</v>
      </c>
      <c r="P705" s="74">
        <f t="shared" si="118"/>
        <v>57339.687234139172</v>
      </c>
    </row>
    <row r="706" spans="1:16" x14ac:dyDescent="0.3">
      <c r="A706" s="72">
        <f t="shared" si="105"/>
        <v>198.5</v>
      </c>
      <c r="B706" s="74">
        <f t="shared" si="106"/>
        <v>21329.846979732494</v>
      </c>
      <c r="C706" s="74">
        <f t="shared" si="107"/>
        <v>26063.358643503725</v>
      </c>
      <c r="D706" s="74">
        <f t="shared" si="108"/>
        <v>6888.5074342485605</v>
      </c>
      <c r="E706" s="74">
        <f t="shared" si="109"/>
        <v>16977.502299403015</v>
      </c>
      <c r="F706" s="74">
        <f t="shared" si="103"/>
        <v>-3657.4121030771275</v>
      </c>
      <c r="G706" s="74">
        <f t="shared" si="104"/>
        <v>-12111.8220887603</v>
      </c>
      <c r="H706" s="74">
        <f t="shared" si="110"/>
        <v>-1329.8469797324942</v>
      </c>
      <c r="I706" s="74">
        <f t="shared" si="111"/>
        <v>-6063.358643503725</v>
      </c>
      <c r="J706" s="74">
        <f t="shared" si="112"/>
        <v>6207.4802479955561</v>
      </c>
      <c r="K706" s="74">
        <f t="shared" si="113"/>
        <v>-41329.846979732494</v>
      </c>
      <c r="L706" s="74">
        <f t="shared" si="114"/>
        <v>-6063.358643503725</v>
      </c>
      <c r="M706" s="74">
        <f t="shared" si="115"/>
        <v>41772.246401263299</v>
      </c>
      <c r="N706" s="74">
        <f t="shared" si="116"/>
        <v>-26329.846979732494</v>
      </c>
      <c r="O706" s="74">
        <f t="shared" si="117"/>
        <v>-61063.358643503729</v>
      </c>
      <c r="P706" s="74">
        <f t="shared" si="118"/>
        <v>66498.07975273639</v>
      </c>
    </row>
    <row r="707" spans="1:16" x14ac:dyDescent="0.3">
      <c r="A707" s="72">
        <f t="shared" si="105"/>
        <v>199</v>
      </c>
      <c r="B707" s="74">
        <f t="shared" si="106"/>
        <v>23859.747671087491</v>
      </c>
      <c r="C707" s="74">
        <f t="shared" si="107"/>
        <v>31524.154271015163</v>
      </c>
      <c r="D707" s="74">
        <f t="shared" si="108"/>
        <v>5059.8013827099967</v>
      </c>
      <c r="E707" s="74">
        <f t="shared" si="109"/>
        <v>10921.591255022864</v>
      </c>
      <c r="F707" s="74">
        <f t="shared" si="103"/>
        <v>-3271.4702431265137</v>
      </c>
      <c r="G707" s="74">
        <f t="shared" si="104"/>
        <v>-7504.845565886576</v>
      </c>
      <c r="H707" s="74">
        <f t="shared" si="110"/>
        <v>-3859.7476710874907</v>
      </c>
      <c r="I707" s="74">
        <f t="shared" si="111"/>
        <v>-11524.154271015163</v>
      </c>
      <c r="J707" s="74">
        <f t="shared" si="112"/>
        <v>12153.344549819294</v>
      </c>
      <c r="K707" s="74">
        <f t="shared" si="113"/>
        <v>-43859.747671087491</v>
      </c>
      <c r="L707" s="74">
        <f t="shared" si="114"/>
        <v>-11524.154271015163</v>
      </c>
      <c r="M707" s="74">
        <f t="shared" si="115"/>
        <v>45348.46852357444</v>
      </c>
      <c r="N707" s="74">
        <f t="shared" si="116"/>
        <v>-28859.747671087491</v>
      </c>
      <c r="O707" s="74">
        <f t="shared" si="117"/>
        <v>-66524.15427101517</v>
      </c>
      <c r="P707" s="74">
        <f t="shared" si="118"/>
        <v>72514.46846742148</v>
      </c>
    </row>
    <row r="708" spans="1:16" x14ac:dyDescent="0.3">
      <c r="A708" s="72">
        <f t="shared" si="105"/>
        <v>199.5</v>
      </c>
      <c r="B708" s="74">
        <f t="shared" si="106"/>
        <v>25571.780801660858</v>
      </c>
      <c r="C708" s="74">
        <f t="shared" si="107"/>
        <v>35108.73850705495</v>
      </c>
      <c r="D708" s="74">
        <f t="shared" si="108"/>
        <v>3424.0662611467396</v>
      </c>
      <c r="E708" s="74">
        <f t="shared" si="109"/>
        <v>7169.1684720795765</v>
      </c>
      <c r="F708" s="74">
        <f t="shared" si="103"/>
        <v>-2577.2745476878968</v>
      </c>
      <c r="G708" s="74">
        <f t="shared" si="104"/>
        <v>-5268.4121879408913</v>
      </c>
      <c r="H708" s="74">
        <f t="shared" si="110"/>
        <v>-5571.7808016608578</v>
      </c>
      <c r="I708" s="74">
        <f t="shared" si="111"/>
        <v>-15108.73850705495</v>
      </c>
      <c r="J708" s="74">
        <f t="shared" si="112"/>
        <v>16103.376061445051</v>
      </c>
      <c r="K708" s="74">
        <f t="shared" si="113"/>
        <v>-45571.780801660861</v>
      </c>
      <c r="L708" s="74">
        <f t="shared" si="114"/>
        <v>-15108.73850705495</v>
      </c>
      <c r="M708" s="74">
        <f t="shared" si="115"/>
        <v>48011.05273485669</v>
      </c>
      <c r="N708" s="74">
        <f t="shared" si="116"/>
        <v>-30571.780801660858</v>
      </c>
      <c r="O708" s="74">
        <f t="shared" si="117"/>
        <v>-70108.73850705495</v>
      </c>
      <c r="P708" s="74">
        <f t="shared" si="118"/>
        <v>76484.436302004659</v>
      </c>
    </row>
    <row r="709" spans="1:16" x14ac:dyDescent="0.3">
      <c r="A709" s="72">
        <f t="shared" si="105"/>
        <v>200</v>
      </c>
      <c r="B709" s="74">
        <f t="shared" si="106"/>
        <v>26639.495295312256</v>
      </c>
      <c r="C709" s="74">
        <f t="shared" si="107"/>
        <v>37376.219696109518</v>
      </c>
      <c r="D709" s="74">
        <f t="shared" si="108"/>
        <v>2135.428987302791</v>
      </c>
      <c r="E709" s="74">
        <f t="shared" si="109"/>
        <v>4534.9623781091304</v>
      </c>
      <c r="F709" s="74">
        <f t="shared" si="103"/>
        <v>-2212.5188788162645</v>
      </c>
      <c r="G709" s="74">
        <f t="shared" si="104"/>
        <v>-4302.7505274589857</v>
      </c>
      <c r="H709" s="74">
        <f t="shared" si="110"/>
        <v>-6639.4952953122556</v>
      </c>
      <c r="I709" s="74">
        <f t="shared" si="111"/>
        <v>-17376.219696109518</v>
      </c>
      <c r="J709" s="74">
        <f t="shared" si="112"/>
        <v>18601.502861434019</v>
      </c>
      <c r="K709" s="74">
        <f t="shared" si="113"/>
        <v>-46639.495295312256</v>
      </c>
      <c r="L709" s="74">
        <f t="shared" si="114"/>
        <v>-17376.219696109518</v>
      </c>
      <c r="M709" s="74">
        <f t="shared" si="115"/>
        <v>49771.231975197465</v>
      </c>
      <c r="N709" s="74">
        <f t="shared" si="116"/>
        <v>-31639.495295312256</v>
      </c>
      <c r="O709" s="74">
        <f t="shared" si="117"/>
        <v>-72376.219696109518</v>
      </c>
      <c r="P709" s="74">
        <f t="shared" si="118"/>
        <v>78989.713507782755</v>
      </c>
    </row>
    <row r="710" spans="1:16" x14ac:dyDescent="0.3">
      <c r="A710" s="72">
        <f t="shared" si="105"/>
        <v>200.5</v>
      </c>
      <c r="B710" s="74">
        <f t="shared" si="106"/>
        <v>27154.080069259584</v>
      </c>
      <c r="C710" s="74">
        <f t="shared" si="107"/>
        <v>38568.013253299338</v>
      </c>
      <c r="D710" s="74">
        <f t="shared" si="108"/>
        <v>1029.1695478946588</v>
      </c>
      <c r="E710" s="74">
        <f t="shared" si="109"/>
        <v>2383.5871143796376</v>
      </c>
      <c r="F710" s="74">
        <f t="shared" si="103"/>
        <v>-2042.8175796557973</v>
      </c>
      <c r="G710" s="74">
        <f t="shared" si="104"/>
        <v>-3904.2198346587611</v>
      </c>
      <c r="H710" s="74">
        <f t="shared" si="110"/>
        <v>-7154.080069259584</v>
      </c>
      <c r="I710" s="74">
        <f t="shared" si="111"/>
        <v>-18568.013253299338</v>
      </c>
      <c r="J710" s="74">
        <f t="shared" si="112"/>
        <v>19898.542102678704</v>
      </c>
      <c r="K710" s="74">
        <f t="shared" si="113"/>
        <v>-47154.08006925958</v>
      </c>
      <c r="L710" s="74">
        <f t="shared" si="114"/>
        <v>-18568.013253299338</v>
      </c>
      <c r="M710" s="74">
        <f t="shared" si="115"/>
        <v>50678.184491483546</v>
      </c>
      <c r="N710" s="74">
        <f t="shared" si="116"/>
        <v>-32154.080069259584</v>
      </c>
      <c r="O710" s="74">
        <f t="shared" si="117"/>
        <v>-73568.013253299345</v>
      </c>
      <c r="P710" s="74">
        <f t="shared" si="118"/>
        <v>80287.841166256199</v>
      </c>
    </row>
    <row r="711" spans="1:16" x14ac:dyDescent="0.3">
      <c r="A711" s="72">
        <f t="shared" si="105"/>
        <v>201</v>
      </c>
      <c r="B711" s="74">
        <f t="shared" si="106"/>
        <v>27157.960448292964</v>
      </c>
      <c r="C711" s="74">
        <f t="shared" si="107"/>
        <v>38783.751851824469</v>
      </c>
      <c r="D711" s="74">
        <f t="shared" si="108"/>
        <v>7.7607580667601042</v>
      </c>
      <c r="E711" s="74">
        <f t="shared" si="109"/>
        <v>431.47719705025702</v>
      </c>
      <c r="F711" s="74">
        <f t="shared" si="103"/>
        <v>-2005.2008803265642</v>
      </c>
      <c r="G711" s="74">
        <f t="shared" si="104"/>
        <v>-3853.5545345439764</v>
      </c>
      <c r="H711" s="74">
        <f t="shared" si="110"/>
        <v>-7157.9604482929644</v>
      </c>
      <c r="I711" s="74">
        <f t="shared" si="111"/>
        <v>-18783.751851824469</v>
      </c>
      <c r="J711" s="74">
        <f t="shared" si="112"/>
        <v>20101.386305681644</v>
      </c>
      <c r="K711" s="74">
        <f t="shared" si="113"/>
        <v>-47157.960448292964</v>
      </c>
      <c r="L711" s="74">
        <f t="shared" si="114"/>
        <v>-18783.751851824469</v>
      </c>
      <c r="M711" s="74">
        <f t="shared" si="115"/>
        <v>50761.230947187272</v>
      </c>
      <c r="N711" s="74">
        <f t="shared" si="116"/>
        <v>-32157.960448292964</v>
      </c>
      <c r="O711" s="74">
        <f t="shared" si="117"/>
        <v>-73783.751851824461</v>
      </c>
      <c r="P711" s="74">
        <f t="shared" si="118"/>
        <v>80487.119823767978</v>
      </c>
    </row>
    <row r="712" spans="1:16" x14ac:dyDescent="0.3">
      <c r="A712" s="72">
        <f t="shared" si="105"/>
        <v>201.5</v>
      </c>
      <c r="B712" s="74">
        <f t="shared" si="106"/>
        <v>26660.540607244704</v>
      </c>
      <c r="C712" s="74">
        <f t="shared" si="107"/>
        <v>38036.101816713606</v>
      </c>
      <c r="D712" s="74">
        <f t="shared" si="108"/>
        <v>-994.83968209652198</v>
      </c>
      <c r="E712" s="74">
        <f t="shared" si="109"/>
        <v>-1495.3000702217312</v>
      </c>
      <c r="F712" s="74">
        <f t="shared" si="103"/>
        <v>-2085.5721232057049</v>
      </c>
      <c r="G712" s="74">
        <f t="shared" si="104"/>
        <v>-4124.7873263249858</v>
      </c>
      <c r="H712" s="74">
        <f t="shared" si="110"/>
        <v>-6660.540607244704</v>
      </c>
      <c r="I712" s="74">
        <f t="shared" si="111"/>
        <v>-18036.101816713606</v>
      </c>
      <c r="J712" s="74">
        <f t="shared" si="112"/>
        <v>19226.642190554634</v>
      </c>
      <c r="K712" s="74">
        <f t="shared" si="113"/>
        <v>-46660.540607244708</v>
      </c>
      <c r="L712" s="74">
        <f t="shared" si="114"/>
        <v>-18036.101816713606</v>
      </c>
      <c r="M712" s="74">
        <f t="shared" si="115"/>
        <v>50025.063903039561</v>
      </c>
      <c r="N712" s="74">
        <f t="shared" si="116"/>
        <v>-31660.540607244704</v>
      </c>
      <c r="O712" s="74">
        <f t="shared" si="117"/>
        <v>-73036.101816713606</v>
      </c>
      <c r="P712" s="74">
        <f t="shared" si="118"/>
        <v>79603.153204658593</v>
      </c>
    </row>
    <row r="713" spans="1:16" x14ac:dyDescent="0.3">
      <c r="A713" s="72">
        <f t="shared" si="105"/>
        <v>202</v>
      </c>
      <c r="B713" s="74">
        <f t="shared" si="106"/>
        <v>25641.727735395016</v>
      </c>
      <c r="C713" s="74">
        <f t="shared" si="107"/>
        <v>36257.254950021495</v>
      </c>
      <c r="D713" s="74">
        <f t="shared" si="108"/>
        <v>-2037.6257436993744</v>
      </c>
      <c r="E713" s="74">
        <f t="shared" si="109"/>
        <v>-3557.6937333842243</v>
      </c>
      <c r="F713" s="74">
        <f t="shared" si="103"/>
        <v>-2306.0261307024011</v>
      </c>
      <c r="G713" s="74">
        <f t="shared" si="104"/>
        <v>-4853.0409250697121</v>
      </c>
      <c r="H713" s="74">
        <f t="shared" si="110"/>
        <v>-5641.7277353950158</v>
      </c>
      <c r="I713" s="74">
        <f t="shared" si="111"/>
        <v>-16257.254950021495</v>
      </c>
      <c r="J713" s="74">
        <f t="shared" si="112"/>
        <v>17208.353504920909</v>
      </c>
      <c r="K713" s="74">
        <f t="shared" si="113"/>
        <v>-45641.727735395019</v>
      </c>
      <c r="L713" s="74">
        <f t="shared" si="114"/>
        <v>-16257.254950021495</v>
      </c>
      <c r="M713" s="74">
        <f t="shared" si="115"/>
        <v>48450.651689961051</v>
      </c>
      <c r="N713" s="74">
        <f t="shared" si="116"/>
        <v>-30641.727735395016</v>
      </c>
      <c r="O713" s="74">
        <f t="shared" si="117"/>
        <v>-71257.254950021495</v>
      </c>
      <c r="P713" s="74">
        <f t="shared" si="118"/>
        <v>77566.177304431068</v>
      </c>
    </row>
    <row r="714" spans="1:16" x14ac:dyDescent="0.3">
      <c r="A714" s="72">
        <f t="shared" si="105"/>
        <v>202.5</v>
      </c>
      <c r="B714" s="74">
        <f t="shared" si="106"/>
        <v>24046.408330869726</v>
      </c>
      <c r="C714" s="74">
        <f t="shared" si="107"/>
        <v>33265.147852061957</v>
      </c>
      <c r="D714" s="74">
        <f t="shared" si="108"/>
        <v>-3190.6388090505752</v>
      </c>
      <c r="E714" s="74">
        <f t="shared" si="109"/>
        <v>-5984.2141959190803</v>
      </c>
      <c r="F714" s="74">
        <f t="shared" si="103"/>
        <v>-2717.0008275940654</v>
      </c>
      <c r="G714" s="74">
        <f t="shared" si="104"/>
        <v>-6503.3843005794879</v>
      </c>
      <c r="H714" s="74">
        <f t="shared" si="110"/>
        <v>-4046.4083308697263</v>
      </c>
      <c r="I714" s="74">
        <f t="shared" si="111"/>
        <v>-13265.147852061957</v>
      </c>
      <c r="J714" s="74">
        <f t="shared" si="112"/>
        <v>13868.582044217639</v>
      </c>
      <c r="K714" s="74">
        <f t="shared" si="113"/>
        <v>-44046.40833086973</v>
      </c>
      <c r="L714" s="74">
        <f t="shared" si="114"/>
        <v>-13265.147852061957</v>
      </c>
      <c r="M714" s="74">
        <f t="shared" si="115"/>
        <v>46000.54602270254</v>
      </c>
      <c r="N714" s="74">
        <f t="shared" si="116"/>
        <v>-29046.408330869726</v>
      </c>
      <c r="O714" s="74">
        <f t="shared" si="117"/>
        <v>-68265.147852061957</v>
      </c>
      <c r="P714" s="74">
        <f t="shared" si="118"/>
        <v>74187.763466676202</v>
      </c>
    </row>
    <row r="715" spans="1:16" x14ac:dyDescent="0.3">
      <c r="A715" s="72">
        <f t="shared" si="105"/>
        <v>203</v>
      </c>
      <c r="B715" s="74">
        <f t="shared" si="106"/>
        <v>21771.838719445925</v>
      </c>
      <c r="C715" s="74">
        <f t="shared" si="107"/>
        <v>28647.194678957545</v>
      </c>
      <c r="D715" s="74">
        <f t="shared" si="108"/>
        <v>-4549.1392228476079</v>
      </c>
      <c r="E715" s="74">
        <f t="shared" si="109"/>
        <v>-9235.9063462088234</v>
      </c>
      <c r="F715" s="74">
        <f t="shared" si="103"/>
        <v>-3064.5941035528003</v>
      </c>
      <c r="G715" s="74">
        <f t="shared" si="104"/>
        <v>-10357.010982676838</v>
      </c>
      <c r="H715" s="74">
        <f t="shared" si="110"/>
        <v>-1771.8387194459247</v>
      </c>
      <c r="I715" s="74">
        <f t="shared" si="111"/>
        <v>-8647.194678957545</v>
      </c>
      <c r="J715" s="74">
        <f t="shared" si="112"/>
        <v>8826.8560803674281</v>
      </c>
      <c r="K715" s="74">
        <f t="shared" si="113"/>
        <v>-41771.838719445921</v>
      </c>
      <c r="L715" s="74">
        <f t="shared" si="114"/>
        <v>-8647.194678957545</v>
      </c>
      <c r="M715" s="74">
        <f t="shared" si="115"/>
        <v>42657.478662236863</v>
      </c>
      <c r="N715" s="74">
        <f t="shared" si="116"/>
        <v>-26771.838719445925</v>
      </c>
      <c r="O715" s="74">
        <f t="shared" si="117"/>
        <v>-63647.194678957545</v>
      </c>
      <c r="P715" s="74">
        <f t="shared" si="118"/>
        <v>69048.510041282905</v>
      </c>
    </row>
    <row r="716" spans="1:16" x14ac:dyDescent="0.3">
      <c r="A716" s="72">
        <f t="shared" si="105"/>
        <v>203.5</v>
      </c>
      <c r="B716" s="74">
        <f t="shared" si="106"/>
        <v>18731.120582133921</v>
      </c>
      <c r="C716" s="74">
        <f t="shared" si="107"/>
        <v>21439.988760183922</v>
      </c>
      <c r="D716" s="74">
        <f t="shared" si="108"/>
        <v>-6081.4362746240076</v>
      </c>
      <c r="E716" s="74">
        <f t="shared" si="109"/>
        <v>-14414.411837547243</v>
      </c>
      <c r="F716" s="74">
        <f t="shared" si="103"/>
        <v>3541.4762074709352</v>
      </c>
      <c r="G716" s="74">
        <f t="shared" si="104"/>
        <v>-5950.6774778986819</v>
      </c>
      <c r="H716" s="74">
        <f t="shared" si="110"/>
        <v>1268.8794178660792</v>
      </c>
      <c r="I716" s="74">
        <f t="shared" si="111"/>
        <v>-1439.9887601839218</v>
      </c>
      <c r="J716" s="74">
        <f t="shared" si="112"/>
        <v>1919.2765841691989</v>
      </c>
      <c r="K716" s="74">
        <f t="shared" si="113"/>
        <v>-38731.120582133924</v>
      </c>
      <c r="L716" s="74">
        <f t="shared" si="114"/>
        <v>-1439.9887601839218</v>
      </c>
      <c r="M716" s="74">
        <f t="shared" si="115"/>
        <v>38757.880091373088</v>
      </c>
      <c r="N716" s="74">
        <f t="shared" si="116"/>
        <v>-23731.120582133921</v>
      </c>
      <c r="O716" s="74">
        <f t="shared" si="117"/>
        <v>-56439.988760183922</v>
      </c>
      <c r="P716" s="74">
        <f t="shared" si="118"/>
        <v>61226.12526800522</v>
      </c>
    </row>
    <row r="717" spans="1:16" x14ac:dyDescent="0.3">
      <c r="A717" s="72">
        <f t="shared" si="105"/>
        <v>204</v>
      </c>
      <c r="B717" s="74">
        <f t="shared" si="106"/>
        <v>16575.771496689649</v>
      </c>
      <c r="C717" s="74">
        <f t="shared" si="107"/>
        <v>12745.113471935631</v>
      </c>
      <c r="D717" s="74">
        <f t="shared" si="108"/>
        <v>-4310.6981708885396</v>
      </c>
      <c r="E717" s="74">
        <f t="shared" si="109"/>
        <v>-17389.750576496583</v>
      </c>
      <c r="F717" s="74">
        <f t="shared" si="103"/>
        <v>3136.6236392280534</v>
      </c>
      <c r="G717" s="74">
        <f t="shared" si="104"/>
        <v>9343.0489873710667</v>
      </c>
      <c r="H717" s="74">
        <f t="shared" si="110"/>
        <v>3424.2285033103508</v>
      </c>
      <c r="I717" s="74">
        <f t="shared" si="111"/>
        <v>7254.8865280643695</v>
      </c>
      <c r="J717" s="74">
        <f t="shared" si="112"/>
        <v>8022.3886329429915</v>
      </c>
      <c r="K717" s="74">
        <f t="shared" si="113"/>
        <v>-36575.771496689646</v>
      </c>
      <c r="L717" s="74">
        <f t="shared" si="114"/>
        <v>7254.8865280643695</v>
      </c>
      <c r="M717" s="74">
        <f t="shared" si="115"/>
        <v>37288.341865965893</v>
      </c>
      <c r="N717" s="74">
        <f t="shared" si="116"/>
        <v>-21575.771496689649</v>
      </c>
      <c r="O717" s="74">
        <f t="shared" si="117"/>
        <v>-47745.113471935634</v>
      </c>
      <c r="P717" s="74">
        <f t="shared" si="118"/>
        <v>52393.795206354109</v>
      </c>
    </row>
    <row r="718" spans="1:16" x14ac:dyDescent="0.3">
      <c r="A718" s="72">
        <f t="shared" si="105"/>
        <v>204.5</v>
      </c>
      <c r="B718" s="74">
        <f t="shared" si="106"/>
        <v>15204.578321052393</v>
      </c>
      <c r="C718" s="74">
        <f t="shared" si="107"/>
        <v>6386.0004305301063</v>
      </c>
      <c r="D718" s="74">
        <f t="shared" si="108"/>
        <v>-2742.3863512745129</v>
      </c>
      <c r="E718" s="74">
        <f t="shared" si="109"/>
        <v>-12718.226082811048</v>
      </c>
      <c r="F718" s="74">
        <f t="shared" si="103"/>
        <v>525.9722461537508</v>
      </c>
      <c r="G718" s="74">
        <f t="shared" si="104"/>
        <v>5292.1728548304072</v>
      </c>
      <c r="H718" s="74">
        <f t="shared" si="110"/>
        <v>4795.4216789476068</v>
      </c>
      <c r="I718" s="74">
        <f t="shared" si="111"/>
        <v>13613.999569469894</v>
      </c>
      <c r="J718" s="74">
        <f t="shared" si="112"/>
        <v>14433.88559454616</v>
      </c>
      <c r="K718" s="74">
        <f t="shared" si="113"/>
        <v>-35204.578321052395</v>
      </c>
      <c r="L718" s="74">
        <f t="shared" si="114"/>
        <v>13613.999569469894</v>
      </c>
      <c r="M718" s="74">
        <f t="shared" si="115"/>
        <v>37745.242336493728</v>
      </c>
      <c r="N718" s="74">
        <f t="shared" si="116"/>
        <v>-20204.578321052395</v>
      </c>
      <c r="O718" s="74">
        <f t="shared" si="117"/>
        <v>-41386.000430530104</v>
      </c>
      <c r="P718" s="74">
        <f t="shared" si="118"/>
        <v>46054.598215242077</v>
      </c>
    </row>
    <row r="719" spans="1:16" x14ac:dyDescent="0.3">
      <c r="A719" s="72">
        <f t="shared" si="105"/>
        <v>205</v>
      </c>
      <c r="B719" s="74">
        <f t="shared" si="106"/>
        <v>13964.878206953575</v>
      </c>
      <c r="C719" s="74">
        <f t="shared" si="107"/>
        <v>1349.9306028321839</v>
      </c>
      <c r="D719" s="74">
        <f t="shared" si="108"/>
        <v>-2479.4002281976373</v>
      </c>
      <c r="E719" s="74">
        <f t="shared" si="109"/>
        <v>-10072.139655395844</v>
      </c>
      <c r="F719" s="74">
        <f t="shared" si="103"/>
        <v>-285.57377604495497</v>
      </c>
      <c r="G719" s="74">
        <f t="shared" si="104"/>
        <v>3213.7677894163317</v>
      </c>
      <c r="H719" s="74">
        <f t="shared" si="110"/>
        <v>6035.1217930464245</v>
      </c>
      <c r="I719" s="74">
        <f t="shared" si="111"/>
        <v>18650.069397167816</v>
      </c>
      <c r="J719" s="74">
        <f t="shared" si="112"/>
        <v>19602.23924902661</v>
      </c>
      <c r="K719" s="74">
        <f t="shared" si="113"/>
        <v>-33964.878206953574</v>
      </c>
      <c r="L719" s="74">
        <f t="shared" si="114"/>
        <v>18650.069397167816</v>
      </c>
      <c r="M719" s="74">
        <f t="shared" si="115"/>
        <v>38748.394032944969</v>
      </c>
      <c r="N719" s="74">
        <f t="shared" si="116"/>
        <v>-18964.878206953574</v>
      </c>
      <c r="O719" s="74">
        <f t="shared" si="117"/>
        <v>-36349.930602832181</v>
      </c>
      <c r="P719" s="74">
        <f t="shared" si="118"/>
        <v>40999.805612164775</v>
      </c>
    </row>
    <row r="720" spans="1:16" x14ac:dyDescent="0.3">
      <c r="A720" s="72">
        <f t="shared" si="105"/>
        <v>205.5</v>
      </c>
      <c r="B720" s="74">
        <f t="shared" si="106"/>
        <v>12653.784648843517</v>
      </c>
      <c r="C720" s="74">
        <f t="shared" si="107"/>
        <v>-2882.6972775116551</v>
      </c>
      <c r="D720" s="74">
        <f t="shared" si="108"/>
        <v>-2622.1871162201146</v>
      </c>
      <c r="E720" s="74">
        <f t="shared" si="109"/>
        <v>-8465.255760687678</v>
      </c>
      <c r="F720" s="74">
        <f t="shared" si="103"/>
        <v>-646.37459974827402</v>
      </c>
      <c r="G720" s="74">
        <f t="shared" si="104"/>
        <v>2055.3638606840568</v>
      </c>
      <c r="H720" s="74">
        <f t="shared" si="110"/>
        <v>7346.2153511564829</v>
      </c>
      <c r="I720" s="74">
        <f t="shared" si="111"/>
        <v>22882.697277511656</v>
      </c>
      <c r="J720" s="74">
        <f t="shared" si="112"/>
        <v>24032.992212369365</v>
      </c>
      <c r="K720" s="74">
        <f t="shared" si="113"/>
        <v>-32653.784648843517</v>
      </c>
      <c r="L720" s="74">
        <f t="shared" si="114"/>
        <v>22882.697277511656</v>
      </c>
      <c r="M720" s="74">
        <f t="shared" si="115"/>
        <v>39873.393216370336</v>
      </c>
      <c r="N720" s="74">
        <f t="shared" si="116"/>
        <v>-17653.784648843517</v>
      </c>
      <c r="O720" s="74">
        <f t="shared" si="117"/>
        <v>-32117.302722488344</v>
      </c>
      <c r="P720" s="74">
        <f t="shared" si="118"/>
        <v>36649.382622299388</v>
      </c>
    </row>
    <row r="721" spans="1:16" x14ac:dyDescent="0.3">
      <c r="A721" s="72">
        <f t="shared" si="105"/>
        <v>206</v>
      </c>
      <c r="B721" s="74">
        <f t="shared" si="106"/>
        <v>11181.097440796391</v>
      </c>
      <c r="C721" s="74">
        <f t="shared" si="107"/>
        <v>-6601.4841926844792</v>
      </c>
      <c r="D721" s="74">
        <f t="shared" si="108"/>
        <v>-2945.3744160942515</v>
      </c>
      <c r="E721" s="74">
        <f t="shared" si="109"/>
        <v>-7437.5738303456492</v>
      </c>
      <c r="F721" s="74">
        <f t="shared" si="103"/>
        <v>-881.70970031034472</v>
      </c>
      <c r="G721" s="74">
        <f t="shared" si="104"/>
        <v>1244.2540697362242</v>
      </c>
      <c r="H721" s="74">
        <f t="shared" si="110"/>
        <v>8818.9025592036087</v>
      </c>
      <c r="I721" s="74">
        <f t="shared" si="111"/>
        <v>26601.484192684478</v>
      </c>
      <c r="J721" s="74">
        <f t="shared" si="112"/>
        <v>28025.20300733556</v>
      </c>
      <c r="K721" s="74">
        <f t="shared" si="113"/>
        <v>-31181.097440796391</v>
      </c>
      <c r="L721" s="74">
        <f t="shared" si="114"/>
        <v>26601.484192684478</v>
      </c>
      <c r="M721" s="74">
        <f t="shared" si="115"/>
        <v>40986.580716938093</v>
      </c>
      <c r="N721" s="74">
        <f t="shared" si="116"/>
        <v>-16181.097440796391</v>
      </c>
      <c r="O721" s="74">
        <f t="shared" si="117"/>
        <v>-28398.515807315522</v>
      </c>
      <c r="P721" s="74">
        <f t="shared" si="118"/>
        <v>32684.91417224309</v>
      </c>
    </row>
    <row r="722" spans="1:16" x14ac:dyDescent="0.3">
      <c r="A722" s="72">
        <f t="shared" si="105"/>
        <v>206.5</v>
      </c>
      <c r="B722" s="74">
        <f t="shared" si="106"/>
        <v>9487.9828076716785</v>
      </c>
      <c r="C722" s="74">
        <f t="shared" si="107"/>
        <v>-10009.207590423248</v>
      </c>
      <c r="D722" s="74">
        <f t="shared" si="108"/>
        <v>-3386.2292662494237</v>
      </c>
      <c r="E722" s="74">
        <f t="shared" si="109"/>
        <v>-6815.4467954775373</v>
      </c>
      <c r="F722" s="74">
        <f t="shared" si="103"/>
        <v>-1098.0295495189841</v>
      </c>
      <c r="G722" s="74">
        <f t="shared" si="104"/>
        <v>538.96851803215691</v>
      </c>
      <c r="H722" s="74">
        <f t="shared" si="110"/>
        <v>10512.017192328321</v>
      </c>
      <c r="I722" s="74">
        <f t="shared" si="111"/>
        <v>30009.207590423248</v>
      </c>
      <c r="J722" s="74">
        <f t="shared" si="112"/>
        <v>31797.09177986129</v>
      </c>
      <c r="K722" s="74">
        <f t="shared" si="113"/>
        <v>-29487.98280767168</v>
      </c>
      <c r="L722" s="74">
        <f t="shared" si="114"/>
        <v>30009.207590423248</v>
      </c>
      <c r="M722" s="74">
        <f t="shared" si="115"/>
        <v>42072.481151824846</v>
      </c>
      <c r="N722" s="74">
        <f t="shared" si="116"/>
        <v>-14487.982807671679</v>
      </c>
      <c r="O722" s="74">
        <f t="shared" si="117"/>
        <v>-24990.792409576752</v>
      </c>
      <c r="P722" s="74">
        <f t="shared" si="118"/>
        <v>28886.698514955791</v>
      </c>
    </row>
    <row r="723" spans="1:16" x14ac:dyDescent="0.3">
      <c r="A723" s="72">
        <f t="shared" si="105"/>
        <v>207</v>
      </c>
      <c r="B723" s="74">
        <f t="shared" si="106"/>
        <v>7520.3607871672202</v>
      </c>
      <c r="C723" s="74">
        <f t="shared" si="107"/>
        <v>-13282.188858653979</v>
      </c>
      <c r="D723" s="74">
        <f t="shared" si="108"/>
        <v>-3935.2440410089157</v>
      </c>
      <c r="E723" s="74">
        <f t="shared" si="109"/>
        <v>-6545.9625364614585</v>
      </c>
      <c r="F723" s="74">
        <f t="shared" si="103"/>
        <v>-1352.451917126069</v>
      </c>
      <c r="G723" s="74">
        <f t="shared" si="104"/>
        <v>-217.05305800725137</v>
      </c>
      <c r="H723" s="74">
        <f t="shared" si="110"/>
        <v>12479.639212832779</v>
      </c>
      <c r="I723" s="74">
        <f t="shared" si="111"/>
        <v>33282.188858653979</v>
      </c>
      <c r="J723" s="74">
        <f t="shared" si="112"/>
        <v>35544.978409130941</v>
      </c>
      <c r="K723" s="74">
        <f t="shared" si="113"/>
        <v>-27520.360787167221</v>
      </c>
      <c r="L723" s="74">
        <f t="shared" si="114"/>
        <v>33282.188858653979</v>
      </c>
      <c r="M723" s="74">
        <f t="shared" si="115"/>
        <v>43186.506608881464</v>
      </c>
      <c r="N723" s="74">
        <f t="shared" si="116"/>
        <v>-12520.360787167221</v>
      </c>
      <c r="O723" s="74">
        <f t="shared" si="117"/>
        <v>-21717.811141346021</v>
      </c>
      <c r="P723" s="74">
        <f t="shared" si="118"/>
        <v>25068.361633980152</v>
      </c>
    </row>
    <row r="724" spans="1:16" x14ac:dyDescent="0.3">
      <c r="A724" s="72">
        <f t="shared" si="105"/>
        <v>207.5</v>
      </c>
      <c r="B724" s="74">
        <f t="shared" si="106"/>
        <v>5214.6257873812447</v>
      </c>
      <c r="C724" s="74">
        <f t="shared" si="107"/>
        <v>-16609.433391386523</v>
      </c>
      <c r="D724" s="74">
        <f t="shared" si="108"/>
        <v>-4611.4699995719502</v>
      </c>
      <c r="E724" s="74">
        <f t="shared" si="109"/>
        <v>-6654.4890654650844</v>
      </c>
      <c r="F724" s="74">
        <f t="shared" si="103"/>
        <v>-1704.1466655277784</v>
      </c>
      <c r="G724" s="74">
        <f t="shared" si="104"/>
        <v>-1214.4280800196893</v>
      </c>
      <c r="H724" s="74">
        <f t="shared" si="110"/>
        <v>14785.374212618755</v>
      </c>
      <c r="I724" s="74">
        <f t="shared" si="111"/>
        <v>36609.433391386527</v>
      </c>
      <c r="J724" s="74">
        <f t="shared" si="112"/>
        <v>39482.374597350885</v>
      </c>
      <c r="K724" s="74">
        <f t="shared" si="113"/>
        <v>-25214.625787381243</v>
      </c>
      <c r="L724" s="74">
        <f t="shared" si="114"/>
        <v>36609.433391386527</v>
      </c>
      <c r="M724" s="74">
        <f t="shared" si="115"/>
        <v>44452.536112532864</v>
      </c>
      <c r="N724" s="74">
        <f t="shared" si="116"/>
        <v>-10214.625787381245</v>
      </c>
      <c r="O724" s="74">
        <f t="shared" si="117"/>
        <v>-18390.566608613477</v>
      </c>
      <c r="P724" s="74">
        <f t="shared" si="118"/>
        <v>21036.908521978294</v>
      </c>
    </row>
    <row r="725" spans="1:16" x14ac:dyDescent="0.3">
      <c r="A725" s="72">
        <f t="shared" si="105"/>
        <v>208</v>
      </c>
      <c r="B725" s="74">
        <f t="shared" si="106"/>
        <v>2482.854121213325</v>
      </c>
      <c r="C725" s="74">
        <f t="shared" si="107"/>
        <v>-20240.284944123989</v>
      </c>
      <c r="D725" s="74">
        <f t="shared" si="108"/>
        <v>-5463.5433323358393</v>
      </c>
      <c r="E725" s="74">
        <f t="shared" si="109"/>
        <v>-7261.7031054749295</v>
      </c>
      <c r="F725" s="74">
        <f t="shared" si="103"/>
        <v>-2244.238267281406</v>
      </c>
      <c r="G725" s="74">
        <f t="shared" si="104"/>
        <v>-2845.2696627883461</v>
      </c>
      <c r="H725" s="74">
        <f t="shared" si="110"/>
        <v>17517.145878786676</v>
      </c>
      <c r="I725" s="74">
        <f t="shared" si="111"/>
        <v>40240.284944123989</v>
      </c>
      <c r="J725" s="74">
        <f t="shared" si="112"/>
        <v>43887.708212243037</v>
      </c>
      <c r="K725" s="74">
        <f t="shared" si="113"/>
        <v>-22482.854121213324</v>
      </c>
      <c r="L725" s="74">
        <f t="shared" si="114"/>
        <v>40240.284944123989</v>
      </c>
      <c r="M725" s="74">
        <f t="shared" si="115"/>
        <v>46095.111040326723</v>
      </c>
      <c r="N725" s="74">
        <f t="shared" si="116"/>
        <v>-7482.854121213325</v>
      </c>
      <c r="O725" s="74">
        <f t="shared" si="117"/>
        <v>-14759.715055876011</v>
      </c>
      <c r="P725" s="74">
        <f t="shared" si="118"/>
        <v>16548.180997620624</v>
      </c>
    </row>
    <row r="726" spans="1:16" x14ac:dyDescent="0.3">
      <c r="A726" s="72">
        <f t="shared" si="105"/>
        <v>208.5</v>
      </c>
      <c r="B726" s="74">
        <f t="shared" si="106"/>
        <v>-809.97711177494614</v>
      </c>
      <c r="C726" s="74">
        <f t="shared" si="107"/>
        <v>-24582.45391255854</v>
      </c>
      <c r="D726" s="74">
        <f t="shared" si="108"/>
        <v>-6585.6624659765421</v>
      </c>
      <c r="E726" s="74">
        <f t="shared" si="109"/>
        <v>-8684.3379368691021</v>
      </c>
      <c r="F726" s="74">
        <f t="shared" si="103"/>
        <v>-2995.3701076405628</v>
      </c>
      <c r="G726" s="74">
        <f t="shared" si="104"/>
        <v>-6173.1650453292605</v>
      </c>
      <c r="H726" s="74">
        <f t="shared" si="110"/>
        <v>20809.977111774948</v>
      </c>
      <c r="I726" s="74">
        <f t="shared" si="111"/>
        <v>44582.453912558543</v>
      </c>
      <c r="J726" s="74">
        <f t="shared" si="112"/>
        <v>49200.105124460897</v>
      </c>
      <c r="K726" s="74">
        <f t="shared" si="113"/>
        <v>-19190.022888225052</v>
      </c>
      <c r="L726" s="74">
        <f t="shared" si="114"/>
        <v>44582.453912558543</v>
      </c>
      <c r="M726" s="74">
        <f t="shared" si="115"/>
        <v>48537.121621661994</v>
      </c>
      <c r="N726" s="74">
        <f t="shared" si="116"/>
        <v>-4190.022888225054</v>
      </c>
      <c r="O726" s="74">
        <f t="shared" si="117"/>
        <v>-10417.54608744146</v>
      </c>
      <c r="P726" s="74">
        <f t="shared" si="118"/>
        <v>11228.604467511388</v>
      </c>
    </row>
    <row r="727" spans="1:16" x14ac:dyDescent="0.3">
      <c r="A727" s="72">
        <f t="shared" si="105"/>
        <v>209</v>
      </c>
      <c r="B727" s="74">
        <f t="shared" si="106"/>
        <v>-4851.6508716733579</v>
      </c>
      <c r="C727" s="74">
        <f t="shared" si="107"/>
        <v>-30467.914142325404</v>
      </c>
      <c r="D727" s="74">
        <f t="shared" si="108"/>
        <v>-8083.3475197968237</v>
      </c>
      <c r="E727" s="74">
        <f t="shared" si="109"/>
        <v>-11770.920459533732</v>
      </c>
      <c r="F727" s="74">
        <f t="shared" si="103"/>
        <v>-326.71792885867632</v>
      </c>
      <c r="G727" s="74">
        <f t="shared" si="104"/>
        <v>-10817.323972249429</v>
      </c>
      <c r="H727" s="74">
        <f t="shared" si="110"/>
        <v>24851.650871673359</v>
      </c>
      <c r="I727" s="74">
        <f t="shared" si="111"/>
        <v>50467.914142325404</v>
      </c>
      <c r="J727" s="74">
        <f t="shared" si="112"/>
        <v>56254.910087250799</v>
      </c>
      <c r="K727" s="74">
        <f t="shared" si="113"/>
        <v>-15148.349128326641</v>
      </c>
      <c r="L727" s="74">
        <f t="shared" si="114"/>
        <v>50467.914142325404</v>
      </c>
      <c r="M727" s="74">
        <f t="shared" si="115"/>
        <v>52692.34137131129</v>
      </c>
      <c r="N727" s="74">
        <f t="shared" si="116"/>
        <v>-148.34912832664213</v>
      </c>
      <c r="O727" s="74">
        <f t="shared" si="117"/>
        <v>-4532.0858576745959</v>
      </c>
      <c r="P727" s="74">
        <f t="shared" si="118"/>
        <v>4534.5131695926693</v>
      </c>
    </row>
    <row r="728" spans="1:16" x14ac:dyDescent="0.3">
      <c r="A728" s="72">
        <f t="shared" si="105"/>
        <v>209.5</v>
      </c>
      <c r="B728" s="74">
        <f t="shared" si="106"/>
        <v>-8975.0041137864391</v>
      </c>
      <c r="C728" s="74">
        <f t="shared" si="107"/>
        <v>-39057.70536515463</v>
      </c>
      <c r="D728" s="74">
        <f t="shared" si="108"/>
        <v>-8246.7064842261625</v>
      </c>
      <c r="E728" s="74">
        <f t="shared" si="109"/>
        <v>-17179.582445658445</v>
      </c>
      <c r="F728" s="74">
        <f t="shared" si="103"/>
        <v>8523.53454472864</v>
      </c>
      <c r="G728" s="74">
        <f t="shared" si="104"/>
        <v>9440.2271146873445</v>
      </c>
      <c r="H728" s="74">
        <f t="shared" si="110"/>
        <v>28975.004113786439</v>
      </c>
      <c r="I728" s="74">
        <f t="shared" si="111"/>
        <v>59057.70536515463</v>
      </c>
      <c r="J728" s="74">
        <f t="shared" si="112"/>
        <v>65782.698533819334</v>
      </c>
      <c r="K728" s="74">
        <f t="shared" si="113"/>
        <v>-11024.995886213561</v>
      </c>
      <c r="L728" s="74">
        <f t="shared" si="114"/>
        <v>59057.70536515463</v>
      </c>
      <c r="M728" s="74">
        <f t="shared" si="115"/>
        <v>60077.975143045893</v>
      </c>
      <c r="N728" s="74">
        <f t="shared" si="116"/>
        <v>3975.0041137864391</v>
      </c>
      <c r="O728" s="74">
        <f t="shared" si="117"/>
        <v>4057.7053651546303</v>
      </c>
      <c r="P728" s="74">
        <f t="shared" si="118"/>
        <v>5680.2843709645194</v>
      </c>
    </row>
    <row r="729" spans="1:16" x14ac:dyDescent="0.3">
      <c r="A729" s="72">
        <f t="shared" si="105"/>
        <v>210</v>
      </c>
      <c r="B729" s="74">
        <f t="shared" si="106"/>
        <v>-10967.47371971736</v>
      </c>
      <c r="C729" s="74">
        <f t="shared" si="107"/>
        <v>-45287.439809312018</v>
      </c>
      <c r="D729" s="74">
        <f t="shared" si="108"/>
        <v>-3984.9392118618425</v>
      </c>
      <c r="E729" s="74">
        <f t="shared" si="109"/>
        <v>-12459.468888314772</v>
      </c>
      <c r="F729" s="74">
        <f t="shared" si="103"/>
        <v>3881.8829457286492</v>
      </c>
      <c r="G729" s="74">
        <f t="shared" si="104"/>
        <v>7236.4360445570956</v>
      </c>
      <c r="H729" s="74">
        <f t="shared" si="110"/>
        <v>30967.47371971736</v>
      </c>
      <c r="I729" s="74">
        <f t="shared" si="111"/>
        <v>65287.439809312018</v>
      </c>
      <c r="J729" s="74">
        <f t="shared" si="112"/>
        <v>72259.492286037581</v>
      </c>
      <c r="K729" s="74">
        <f t="shared" si="113"/>
        <v>-9032.5262802826401</v>
      </c>
      <c r="L729" s="74">
        <f t="shared" si="114"/>
        <v>65287.439809312018</v>
      </c>
      <c r="M729" s="74">
        <f t="shared" si="115"/>
        <v>65909.303803473274</v>
      </c>
      <c r="N729" s="74">
        <f t="shared" si="116"/>
        <v>5967.4737197173599</v>
      </c>
      <c r="O729" s="74">
        <f t="shared" si="117"/>
        <v>10287.439809312018</v>
      </c>
      <c r="P729" s="74">
        <f t="shared" si="118"/>
        <v>11892.945826233929</v>
      </c>
    </row>
    <row r="730" spans="1:16" x14ac:dyDescent="0.3">
      <c r="A730" s="72">
        <f t="shared" si="105"/>
        <v>210.5</v>
      </c>
      <c r="B730" s="74">
        <f t="shared" si="106"/>
        <v>-11989.472589216119</v>
      </c>
      <c r="C730" s="74">
        <f t="shared" si="107"/>
        <v>-49708.065242330129</v>
      </c>
      <c r="D730" s="74">
        <f t="shared" si="108"/>
        <v>-2043.9977389975179</v>
      </c>
      <c r="E730" s="74">
        <f t="shared" si="109"/>
        <v>-8841.2508660362237</v>
      </c>
      <c r="F730" s="74">
        <f t="shared" si="103"/>
        <v>2226.5559365991239</v>
      </c>
      <c r="G730" s="74">
        <f t="shared" si="104"/>
        <v>5129.9445296680087</v>
      </c>
      <c r="H730" s="74">
        <f t="shared" si="110"/>
        <v>31989.472589216119</v>
      </c>
      <c r="I730" s="74">
        <f t="shared" si="111"/>
        <v>69708.065242330136</v>
      </c>
      <c r="J730" s="74">
        <f t="shared" si="112"/>
        <v>76697.723019429744</v>
      </c>
      <c r="K730" s="74">
        <f t="shared" si="113"/>
        <v>-8010.5274107838814</v>
      </c>
      <c r="L730" s="74">
        <f t="shared" si="114"/>
        <v>69708.065242330136</v>
      </c>
      <c r="M730" s="74">
        <f t="shared" si="115"/>
        <v>70166.821997493054</v>
      </c>
      <c r="N730" s="74">
        <f t="shared" si="116"/>
        <v>6989.4725892161186</v>
      </c>
      <c r="O730" s="74">
        <f t="shared" si="117"/>
        <v>14708.065242330129</v>
      </c>
      <c r="P730" s="74">
        <f t="shared" si="118"/>
        <v>16284.345557867628</v>
      </c>
    </row>
    <row r="731" spans="1:16" x14ac:dyDescent="0.3">
      <c r="A731" s="72">
        <f t="shared" si="105"/>
        <v>211</v>
      </c>
      <c r="B731" s="74">
        <f t="shared" si="106"/>
        <v>-12454.832474565097</v>
      </c>
      <c r="C731" s="74">
        <f t="shared" si="107"/>
        <v>-52846.204542931235</v>
      </c>
      <c r="D731" s="74">
        <f t="shared" si="108"/>
        <v>-930.71977069795594</v>
      </c>
      <c r="E731" s="74">
        <f t="shared" si="109"/>
        <v>-6276.2786012022189</v>
      </c>
      <c r="F731" s="74">
        <f t="shared" si="103"/>
        <v>1554.0049289454976</v>
      </c>
      <c r="G731" s="74">
        <f t="shared" si="104"/>
        <v>4106.1130725025332</v>
      </c>
      <c r="H731" s="74">
        <f t="shared" si="110"/>
        <v>32454.832474565097</v>
      </c>
      <c r="I731" s="74">
        <f t="shared" si="111"/>
        <v>72846.204542931227</v>
      </c>
      <c r="J731" s="74">
        <f t="shared" si="112"/>
        <v>79748.891323094009</v>
      </c>
      <c r="K731" s="74">
        <f t="shared" si="113"/>
        <v>-7545.1675254349029</v>
      </c>
      <c r="L731" s="74">
        <f t="shared" si="114"/>
        <v>72846.204542931227</v>
      </c>
      <c r="M731" s="74">
        <f t="shared" si="115"/>
        <v>73235.913794377222</v>
      </c>
      <c r="N731" s="74">
        <f t="shared" si="116"/>
        <v>7454.8324745650971</v>
      </c>
      <c r="O731" s="74">
        <f t="shared" si="117"/>
        <v>17846.204542931235</v>
      </c>
      <c r="P731" s="74">
        <f t="shared" si="118"/>
        <v>19340.670717738041</v>
      </c>
    </row>
    <row r="732" spans="1:16" x14ac:dyDescent="0.3">
      <c r="A732" s="72">
        <f t="shared" si="105"/>
        <v>211.5</v>
      </c>
      <c r="B732" s="74">
        <f t="shared" si="106"/>
        <v>-12531.691127677701</v>
      </c>
      <c r="C732" s="74">
        <f t="shared" si="107"/>
        <v>-54957.815575406712</v>
      </c>
      <c r="D732" s="74">
        <f t="shared" si="108"/>
        <v>-153.71730622520715</v>
      </c>
      <c r="E732" s="74">
        <f t="shared" si="109"/>
        <v>-4223.2220649509527</v>
      </c>
      <c r="F732" s="74">
        <f t="shared" si="103"/>
        <v>1224.8609324542317</v>
      </c>
      <c r="G732" s="74">
        <f t="shared" si="104"/>
        <v>3595.6705309423451</v>
      </c>
      <c r="H732" s="74">
        <f t="shared" si="110"/>
        <v>32531.691127677703</v>
      </c>
      <c r="I732" s="74">
        <f t="shared" si="111"/>
        <v>74957.815575406712</v>
      </c>
      <c r="J732" s="74">
        <f t="shared" si="112"/>
        <v>81712.820557506828</v>
      </c>
      <c r="K732" s="74">
        <f t="shared" si="113"/>
        <v>-7468.3088723222991</v>
      </c>
      <c r="L732" s="74">
        <f t="shared" si="114"/>
        <v>74957.815575406712</v>
      </c>
      <c r="M732" s="74">
        <f t="shared" si="115"/>
        <v>75328.943662108344</v>
      </c>
      <c r="N732" s="74">
        <f t="shared" si="116"/>
        <v>7531.6911276777009</v>
      </c>
      <c r="O732" s="74">
        <f t="shared" si="117"/>
        <v>19957.815575406712</v>
      </c>
      <c r="P732" s="74">
        <f t="shared" si="118"/>
        <v>21331.684738545286</v>
      </c>
    </row>
    <row r="733" spans="1:16" x14ac:dyDescent="0.3">
      <c r="A733" s="72">
        <f t="shared" si="105"/>
        <v>212</v>
      </c>
      <c r="B733" s="74">
        <f t="shared" si="106"/>
        <v>-12302.334547676746</v>
      </c>
      <c r="C733" s="74">
        <f t="shared" si="107"/>
        <v>-56170.5089751466</v>
      </c>
      <c r="D733" s="74">
        <f t="shared" si="108"/>
        <v>458.7131600019087</v>
      </c>
      <c r="E733" s="74">
        <f t="shared" si="109"/>
        <v>-2425.3867994797802</v>
      </c>
      <c r="F733" s="74">
        <f t="shared" si="103"/>
        <v>1049.2953799556701</v>
      </c>
      <c r="G733" s="74">
        <f t="shared" si="104"/>
        <v>3370.5267438979909</v>
      </c>
      <c r="H733" s="74">
        <f t="shared" si="110"/>
        <v>32302.334547676746</v>
      </c>
      <c r="I733" s="74">
        <f t="shared" si="111"/>
        <v>76170.5089751466</v>
      </c>
      <c r="J733" s="74">
        <f t="shared" si="112"/>
        <v>82736.855480269005</v>
      </c>
      <c r="K733" s="74">
        <f t="shared" si="113"/>
        <v>-7697.6654523232537</v>
      </c>
      <c r="L733" s="74">
        <f t="shared" si="114"/>
        <v>76170.5089751466</v>
      </c>
      <c r="M733" s="74">
        <f t="shared" si="115"/>
        <v>76558.477590328155</v>
      </c>
      <c r="N733" s="74">
        <f t="shared" si="116"/>
        <v>7302.3345476767463</v>
      </c>
      <c r="O733" s="74">
        <f t="shared" si="117"/>
        <v>21170.5089751466</v>
      </c>
      <c r="P733" s="74">
        <f t="shared" si="118"/>
        <v>22394.520314419689</v>
      </c>
    </row>
    <row r="734" spans="1:16" x14ac:dyDescent="0.3">
      <c r="A734" s="72">
        <f t="shared" si="105"/>
        <v>212.5</v>
      </c>
      <c r="B734" s="74">
        <f t="shared" si="106"/>
        <v>-11810.654122686874</v>
      </c>
      <c r="C734" s="74">
        <f t="shared" si="107"/>
        <v>-56540.57068891199</v>
      </c>
      <c r="D734" s="74">
        <f t="shared" si="108"/>
        <v>983.36084997974376</v>
      </c>
      <c r="E734" s="74">
        <f t="shared" si="109"/>
        <v>-740.12342753078474</v>
      </c>
      <c r="F734" s="74">
        <f t="shared" si="103"/>
        <v>958.53145041488131</v>
      </c>
      <c r="G734" s="74">
        <f t="shared" si="104"/>
        <v>3349.1317418243143</v>
      </c>
      <c r="H734" s="74">
        <f t="shared" si="110"/>
        <v>31810.654122686872</v>
      </c>
      <c r="I734" s="74">
        <f t="shared" si="111"/>
        <v>76540.57068891199</v>
      </c>
      <c r="J734" s="74">
        <f t="shared" si="112"/>
        <v>82887.735384057567</v>
      </c>
      <c r="K734" s="74">
        <f t="shared" si="113"/>
        <v>-8189.345877313126</v>
      </c>
      <c r="L734" s="74">
        <f t="shared" si="114"/>
        <v>76540.57068891199</v>
      </c>
      <c r="M734" s="74">
        <f t="shared" si="115"/>
        <v>76977.427517958786</v>
      </c>
      <c r="N734" s="74">
        <f t="shared" si="116"/>
        <v>6810.654122686874</v>
      </c>
      <c r="O734" s="74">
        <f t="shared" si="117"/>
        <v>21540.57068891199</v>
      </c>
      <c r="P734" s="74">
        <f t="shared" si="118"/>
        <v>22591.617808003175</v>
      </c>
    </row>
    <row r="735" spans="1:16" x14ac:dyDescent="0.3">
      <c r="A735" s="72">
        <f t="shared" si="105"/>
        <v>213</v>
      </c>
      <c r="B735" s="74">
        <f t="shared" si="106"/>
        <v>-11079.34083509328</v>
      </c>
      <c r="C735" s="74">
        <f t="shared" si="107"/>
        <v>-56073.349467221298</v>
      </c>
      <c r="D735" s="74">
        <f t="shared" si="108"/>
        <v>1462.6265751871845</v>
      </c>
      <c r="E735" s="74">
        <f t="shared" si="109"/>
        <v>934.44244338137241</v>
      </c>
      <c r="F735" s="74">
        <f t="shared" si="103"/>
        <v>925.76258017470468</v>
      </c>
      <c r="G735" s="74">
        <f t="shared" si="104"/>
        <v>3524.2731845072958</v>
      </c>
      <c r="H735" s="74">
        <f t="shared" si="110"/>
        <v>31079.34083509328</v>
      </c>
      <c r="I735" s="74">
        <f t="shared" si="111"/>
        <v>76073.349467221298</v>
      </c>
      <c r="J735" s="74">
        <f t="shared" si="112"/>
        <v>82177.125320285297</v>
      </c>
      <c r="K735" s="74">
        <f t="shared" si="113"/>
        <v>-8920.6591649067195</v>
      </c>
      <c r="L735" s="74">
        <f t="shared" si="114"/>
        <v>76073.349467221298</v>
      </c>
      <c r="M735" s="74">
        <f t="shared" si="115"/>
        <v>76594.599412089185</v>
      </c>
      <c r="N735" s="74">
        <f t="shared" si="116"/>
        <v>6079.3408350932805</v>
      </c>
      <c r="O735" s="74">
        <f t="shared" si="117"/>
        <v>21073.349467221298</v>
      </c>
      <c r="P735" s="74">
        <f t="shared" si="118"/>
        <v>21932.725383701607</v>
      </c>
    </row>
    <row r="736" spans="1:16" x14ac:dyDescent="0.3">
      <c r="A736" s="72">
        <f t="shared" si="105"/>
        <v>213.5</v>
      </c>
      <c r="B736" s="74">
        <f t="shared" si="106"/>
        <v>-10116.586902456012</v>
      </c>
      <c r="C736" s="74">
        <f t="shared" si="107"/>
        <v>-54725.059949403789</v>
      </c>
      <c r="D736" s="74">
        <f t="shared" si="108"/>
        <v>1925.5078652745369</v>
      </c>
      <c r="E736" s="74">
        <f t="shared" si="109"/>
        <v>2696.5790356350203</v>
      </c>
      <c r="F736" s="74">
        <f t="shared" si="103"/>
        <v>943.39810908048537</v>
      </c>
      <c r="G736" s="74">
        <f t="shared" si="104"/>
        <v>3957.6289097391568</v>
      </c>
      <c r="H736" s="74">
        <f t="shared" si="110"/>
        <v>30116.586902456012</v>
      </c>
      <c r="I736" s="74">
        <f t="shared" si="111"/>
        <v>74725.059949403789</v>
      </c>
      <c r="J736" s="74">
        <f t="shared" si="112"/>
        <v>80565.770592076966</v>
      </c>
      <c r="K736" s="74">
        <f t="shared" si="113"/>
        <v>-9883.4130975439875</v>
      </c>
      <c r="L736" s="74">
        <f t="shared" si="114"/>
        <v>74725.059949403789</v>
      </c>
      <c r="M736" s="74">
        <f t="shared" si="115"/>
        <v>75375.834581772258</v>
      </c>
      <c r="N736" s="74">
        <f t="shared" si="116"/>
        <v>5116.5869024560125</v>
      </c>
      <c r="O736" s="74">
        <f t="shared" si="117"/>
        <v>19725.059949403789</v>
      </c>
      <c r="P736" s="74">
        <f t="shared" si="118"/>
        <v>20377.866707237976</v>
      </c>
    </row>
    <row r="737" spans="1:16" x14ac:dyDescent="0.3">
      <c r="A737" s="72">
        <f t="shared" si="105"/>
        <v>214</v>
      </c>
      <c r="B737" s="74">
        <f t="shared" si="106"/>
        <v>-8917.9834425486224</v>
      </c>
      <c r="C737" s="74">
        <f t="shared" si="107"/>
        <v>-52387.363204151487</v>
      </c>
      <c r="D737" s="74">
        <f t="shared" si="108"/>
        <v>2397.2069198147797</v>
      </c>
      <c r="E737" s="74">
        <f t="shared" si="109"/>
        <v>4675.393490504599</v>
      </c>
      <c r="F737" s="74">
        <f t="shared" si="103"/>
        <v>1014.8781983108603</v>
      </c>
      <c r="G737" s="74">
        <f t="shared" si="104"/>
        <v>4836.5254344759323</v>
      </c>
      <c r="H737" s="74">
        <f t="shared" si="110"/>
        <v>28917.983442548622</v>
      </c>
      <c r="I737" s="74">
        <f t="shared" si="111"/>
        <v>72387.363204151479</v>
      </c>
      <c r="J737" s="74">
        <f t="shared" si="112"/>
        <v>77949.856433692417</v>
      </c>
      <c r="K737" s="74">
        <f t="shared" si="113"/>
        <v>-11082.016557451378</v>
      </c>
      <c r="L737" s="74">
        <f t="shared" si="114"/>
        <v>72387.363204151479</v>
      </c>
      <c r="M737" s="74">
        <f t="shared" si="115"/>
        <v>73230.741103920082</v>
      </c>
      <c r="N737" s="74">
        <f t="shared" si="116"/>
        <v>3917.9834425486224</v>
      </c>
      <c r="O737" s="74">
        <f t="shared" si="117"/>
        <v>17387.363204151487</v>
      </c>
      <c r="P737" s="74">
        <f t="shared" si="118"/>
        <v>17823.327227236954</v>
      </c>
    </row>
    <row r="738" spans="1:16" x14ac:dyDescent="0.3">
      <c r="A738" s="72">
        <f t="shared" si="105"/>
        <v>214.5</v>
      </c>
      <c r="B738" s="74">
        <f t="shared" si="106"/>
        <v>-7465.6604330635173</v>
      </c>
      <c r="C738" s="74">
        <f t="shared" si="107"/>
        <v>-48840.535100280198</v>
      </c>
      <c r="D738" s="74">
        <f t="shared" si="108"/>
        <v>2904.6460189702098</v>
      </c>
      <c r="E738" s="74">
        <f t="shared" si="109"/>
        <v>7093.6562077425651</v>
      </c>
      <c r="F738" s="74">
        <f t="shared" si="103"/>
        <v>1130.8981670250025</v>
      </c>
      <c r="G738" s="74">
        <f t="shared" si="104"/>
        <v>6689.1563559550577</v>
      </c>
      <c r="H738" s="74">
        <f t="shared" si="110"/>
        <v>27465.660433063516</v>
      </c>
      <c r="I738" s="74">
        <f t="shared" si="111"/>
        <v>68840.535100280191</v>
      </c>
      <c r="J738" s="74">
        <f t="shared" si="112"/>
        <v>74117.351382232082</v>
      </c>
      <c r="K738" s="74">
        <f t="shared" si="113"/>
        <v>-12534.339566936484</v>
      </c>
      <c r="L738" s="74">
        <f t="shared" si="114"/>
        <v>68840.535100280191</v>
      </c>
      <c r="M738" s="74">
        <f t="shared" si="115"/>
        <v>69972.34411731665</v>
      </c>
      <c r="N738" s="74">
        <f t="shared" si="116"/>
        <v>2465.6604330635173</v>
      </c>
      <c r="O738" s="74">
        <f t="shared" si="117"/>
        <v>13840.535100280198</v>
      </c>
      <c r="P738" s="74">
        <f t="shared" si="118"/>
        <v>14058.445619387057</v>
      </c>
    </row>
    <row r="739" spans="1:16" x14ac:dyDescent="0.3">
      <c r="A739" s="72">
        <f t="shared" si="105"/>
        <v>215</v>
      </c>
      <c r="B739" s="74">
        <f t="shared" si="106"/>
        <v>-5730.6128818221614</v>
      </c>
      <c r="C739" s="74">
        <f t="shared" si="107"/>
        <v>-43621.417907420153</v>
      </c>
      <c r="D739" s="74">
        <f t="shared" si="108"/>
        <v>3470.0951024827109</v>
      </c>
      <c r="E739" s="74">
        <f t="shared" si="109"/>
        <v>10438.234385720094</v>
      </c>
      <c r="F739" s="74">
        <f t="shared" si="103"/>
        <v>908.99041923000073</v>
      </c>
      <c r="G739" s="74">
        <f t="shared" si="104"/>
        <v>10887.465068456999</v>
      </c>
      <c r="H739" s="74">
        <f t="shared" si="110"/>
        <v>25730.612881822162</v>
      </c>
      <c r="I739" s="74">
        <f t="shared" si="111"/>
        <v>63621.417907420153</v>
      </c>
      <c r="J739" s="74">
        <f t="shared" si="112"/>
        <v>68627.612925299924</v>
      </c>
      <c r="K739" s="74">
        <f t="shared" si="113"/>
        <v>-14269.387118177838</v>
      </c>
      <c r="L739" s="74">
        <f t="shared" si="114"/>
        <v>63621.417907420153</v>
      </c>
      <c r="M739" s="74">
        <f t="shared" si="115"/>
        <v>65201.995562091666</v>
      </c>
      <c r="N739" s="74">
        <f t="shared" si="116"/>
        <v>730.6128818221614</v>
      </c>
      <c r="O739" s="74">
        <f t="shared" si="117"/>
        <v>8621.4179074201529</v>
      </c>
      <c r="P739" s="74">
        <f t="shared" si="118"/>
        <v>8652.3200309205731</v>
      </c>
    </row>
    <row r="740" spans="1:16" x14ac:dyDescent="0.3">
      <c r="A740" s="72">
        <f t="shared" si="105"/>
        <v>215.5</v>
      </c>
      <c r="B740" s="74">
        <f t="shared" si="106"/>
        <v>-3768.3177257733059</v>
      </c>
      <c r="C740" s="74">
        <f t="shared" si="107"/>
        <v>-35680.434447445856</v>
      </c>
      <c r="D740" s="74">
        <f t="shared" si="108"/>
        <v>3924.5903120977114</v>
      </c>
      <c r="E740" s="74">
        <f t="shared" si="109"/>
        <v>15881.966919948594</v>
      </c>
      <c r="F740" s="74">
        <f t="shared" si="103"/>
        <v>-4856.7623190491076</v>
      </c>
      <c r="G740" s="74">
        <f t="shared" si="104"/>
        <v>3631.4354256241973</v>
      </c>
      <c r="H740" s="74">
        <f t="shared" si="110"/>
        <v>23768.317725773304</v>
      </c>
      <c r="I740" s="74">
        <f t="shared" si="111"/>
        <v>55680.434447445856</v>
      </c>
      <c r="J740" s="74">
        <f t="shared" si="112"/>
        <v>60541.256245387121</v>
      </c>
      <c r="K740" s="74">
        <f t="shared" si="113"/>
        <v>-16231.682274226694</v>
      </c>
      <c r="L740" s="74">
        <f t="shared" si="114"/>
        <v>55680.434447445856</v>
      </c>
      <c r="M740" s="74">
        <f t="shared" si="115"/>
        <v>57998.088672884391</v>
      </c>
      <c r="N740" s="74">
        <f t="shared" si="116"/>
        <v>-1231.6822742266941</v>
      </c>
      <c r="O740" s="74">
        <f t="shared" si="117"/>
        <v>680.43444744585577</v>
      </c>
      <c r="P740" s="74">
        <f t="shared" si="118"/>
        <v>1407.1361916727137</v>
      </c>
    </row>
    <row r="741" spans="1:16" x14ac:dyDescent="0.3">
      <c r="A741" s="72">
        <f t="shared" si="105"/>
        <v>216</v>
      </c>
      <c r="B741" s="74">
        <f t="shared" si="106"/>
        <v>-3020.2131494867272</v>
      </c>
      <c r="C741" s="74">
        <f t="shared" si="107"/>
        <v>-26831.59213106551</v>
      </c>
      <c r="D741" s="74">
        <f t="shared" si="108"/>
        <v>1496.2091525731576</v>
      </c>
      <c r="E741" s="74">
        <f t="shared" si="109"/>
        <v>17697.684632760695</v>
      </c>
      <c r="F741" s="74">
        <f t="shared" si="103"/>
        <v>-2404.6639462152339</v>
      </c>
      <c r="G741" s="74">
        <f t="shared" si="104"/>
        <v>-8886.3460620681799</v>
      </c>
      <c r="H741" s="74">
        <f t="shared" si="110"/>
        <v>23020.213149486728</v>
      </c>
      <c r="I741" s="74">
        <f t="shared" si="111"/>
        <v>46831.59213106551</v>
      </c>
      <c r="J741" s="74">
        <f t="shared" si="112"/>
        <v>52183.601207450971</v>
      </c>
      <c r="K741" s="74">
        <f t="shared" si="113"/>
        <v>-16979.786850513272</v>
      </c>
      <c r="L741" s="74">
        <f t="shared" si="114"/>
        <v>46831.59213106551</v>
      </c>
      <c r="M741" s="74">
        <f t="shared" si="115"/>
        <v>49814.768723937086</v>
      </c>
      <c r="N741" s="74">
        <f t="shared" si="116"/>
        <v>-1979.7868505132728</v>
      </c>
      <c r="O741" s="74">
        <f t="shared" si="117"/>
        <v>-8168.4078689344897</v>
      </c>
      <c r="P741" s="74">
        <f t="shared" si="118"/>
        <v>8404.9058939845454</v>
      </c>
    </row>
    <row r="742" spans="1:16" x14ac:dyDescent="0.3">
      <c r="A742" s="72">
        <f t="shared" si="105"/>
        <v>216.5</v>
      </c>
      <c r="B742" s="74">
        <f t="shared" si="106"/>
        <v>-2873.274559753957</v>
      </c>
      <c r="C742" s="74">
        <f t="shared" si="107"/>
        <v>-20204.336330202212</v>
      </c>
      <c r="D742" s="74">
        <f t="shared" si="108"/>
        <v>293.87717946554062</v>
      </c>
      <c r="E742" s="74">
        <f t="shared" si="109"/>
        <v>13254.511601726605</v>
      </c>
      <c r="F742" s="74">
        <f t="shared" si="103"/>
        <v>-757.86449607027043</v>
      </c>
      <c r="G742" s="74">
        <f t="shared" si="104"/>
        <v>-4084.3769113462022</v>
      </c>
      <c r="H742" s="74">
        <f t="shared" si="110"/>
        <v>22873.274559753958</v>
      </c>
      <c r="I742" s="74">
        <f t="shared" si="111"/>
        <v>40204.336330202212</v>
      </c>
      <c r="J742" s="74">
        <f t="shared" si="112"/>
        <v>46255.543979483205</v>
      </c>
      <c r="K742" s="74">
        <f t="shared" si="113"/>
        <v>-17126.725440246042</v>
      </c>
      <c r="L742" s="74">
        <f t="shared" si="114"/>
        <v>40204.336330202212</v>
      </c>
      <c r="M742" s="74">
        <f t="shared" si="115"/>
        <v>43700.267551327284</v>
      </c>
      <c r="N742" s="74">
        <f t="shared" si="116"/>
        <v>-2126.725440246043</v>
      </c>
      <c r="O742" s="74">
        <f t="shared" si="117"/>
        <v>-14795.663669797788</v>
      </c>
      <c r="P742" s="74">
        <f t="shared" si="118"/>
        <v>14947.729744946684</v>
      </c>
    </row>
    <row r="743" spans="1:16" x14ac:dyDescent="0.3">
      <c r="A743" s="72">
        <f t="shared" si="105"/>
        <v>217</v>
      </c>
      <c r="B743" s="74">
        <f t="shared" si="106"/>
        <v>-2915.8020940387541</v>
      </c>
      <c r="C743" s="74">
        <f t="shared" si="107"/>
        <v>-14598.17475717546</v>
      </c>
      <c r="D743" s="74">
        <f t="shared" si="108"/>
        <v>-85.055068569594596</v>
      </c>
      <c r="E743" s="74">
        <f t="shared" si="109"/>
        <v>11212.323146053503</v>
      </c>
      <c r="F743" s="74">
        <f t="shared" si="103"/>
        <v>-310.83380064617694</v>
      </c>
      <c r="G743" s="74">
        <f t="shared" si="104"/>
        <v>-1640.7218335314546</v>
      </c>
      <c r="H743" s="74">
        <f t="shared" si="110"/>
        <v>22915.802094038754</v>
      </c>
      <c r="I743" s="74">
        <f t="shared" si="111"/>
        <v>34598.17475717546</v>
      </c>
      <c r="J743" s="74">
        <f t="shared" si="112"/>
        <v>41499.008206717474</v>
      </c>
      <c r="K743" s="74">
        <f t="shared" si="113"/>
        <v>-17084.197905961246</v>
      </c>
      <c r="L743" s="74">
        <f t="shared" si="114"/>
        <v>34598.17475717546</v>
      </c>
      <c r="M743" s="74">
        <f t="shared" si="115"/>
        <v>38586.312529420378</v>
      </c>
      <c r="N743" s="74">
        <f t="shared" si="116"/>
        <v>-2084.1979059612459</v>
      </c>
      <c r="O743" s="74">
        <f t="shared" si="117"/>
        <v>-20401.82524282454</v>
      </c>
      <c r="P743" s="74">
        <f t="shared" si="118"/>
        <v>20508.007074066601</v>
      </c>
    </row>
    <row r="744" spans="1:16" x14ac:dyDescent="0.3">
      <c r="A744" s="72">
        <f t="shared" si="105"/>
        <v>217.5</v>
      </c>
      <c r="B744" s="74">
        <f t="shared" si="106"/>
        <v>-3036.0380784850954</v>
      </c>
      <c r="C744" s="74">
        <f t="shared" si="107"/>
        <v>-9402.1936425315726</v>
      </c>
      <c r="D744" s="74">
        <f t="shared" si="108"/>
        <v>-240.47196889268307</v>
      </c>
      <c r="E744" s="74">
        <f t="shared" si="109"/>
        <v>10391.962229287776</v>
      </c>
      <c r="F744" s="74">
        <f t="shared" si="103"/>
        <v>-158.73177696277142</v>
      </c>
      <c r="G744" s="74">
        <f t="shared" si="104"/>
        <v>-187.85604701080092</v>
      </c>
      <c r="H744" s="74">
        <f t="shared" si="110"/>
        <v>23036.038078485097</v>
      </c>
      <c r="I744" s="74">
        <f t="shared" si="111"/>
        <v>29402.193642531573</v>
      </c>
      <c r="J744" s="74">
        <f t="shared" si="112"/>
        <v>37351.680569237302</v>
      </c>
      <c r="K744" s="74">
        <f t="shared" si="113"/>
        <v>-16963.961921514903</v>
      </c>
      <c r="L744" s="74">
        <f t="shared" si="114"/>
        <v>29402.193642531573</v>
      </c>
      <c r="M744" s="74">
        <f t="shared" si="115"/>
        <v>33945.029018510671</v>
      </c>
      <c r="N744" s="74">
        <f t="shared" si="116"/>
        <v>-1963.9619215149046</v>
      </c>
      <c r="O744" s="74">
        <f t="shared" si="117"/>
        <v>-25597.806357468427</v>
      </c>
      <c r="P744" s="74">
        <f t="shared" si="118"/>
        <v>25673.037154641668</v>
      </c>
    </row>
    <row r="745" spans="1:16" x14ac:dyDescent="0.3">
      <c r="A745" s="72">
        <f t="shared" si="105"/>
        <v>218</v>
      </c>
      <c r="B745" s="74">
        <f t="shared" si="106"/>
        <v>-3195.95700717213</v>
      </c>
      <c r="C745" s="74">
        <f t="shared" si="107"/>
        <v>-4253.1765396403853</v>
      </c>
      <c r="D745" s="74">
        <f t="shared" si="108"/>
        <v>-319.83785737406879</v>
      </c>
      <c r="E745" s="74">
        <f t="shared" si="109"/>
        <v>10298.034205782375</v>
      </c>
      <c r="F745" s="74">
        <f t="shared" si="103"/>
        <v>-144.44507246888941</v>
      </c>
      <c r="G745" s="74">
        <f t="shared" si="104"/>
        <v>867.165895945476</v>
      </c>
      <c r="H745" s="74">
        <f t="shared" si="110"/>
        <v>23195.957007172132</v>
      </c>
      <c r="I745" s="74">
        <f t="shared" si="111"/>
        <v>24253.176539640386</v>
      </c>
      <c r="J745" s="74">
        <f t="shared" si="112"/>
        <v>33559.931372717983</v>
      </c>
      <c r="K745" s="74">
        <f t="shared" si="113"/>
        <v>-16804.042992827868</v>
      </c>
      <c r="L745" s="74">
        <f t="shared" si="114"/>
        <v>24253.176539640386</v>
      </c>
      <c r="M745" s="74">
        <f t="shared" si="115"/>
        <v>29505.803381161648</v>
      </c>
      <c r="N745" s="74">
        <f t="shared" si="116"/>
        <v>-1804.04299282787</v>
      </c>
      <c r="O745" s="74">
        <f t="shared" si="117"/>
        <v>-30746.823460359614</v>
      </c>
      <c r="P745" s="74">
        <f t="shared" si="118"/>
        <v>30799.703310624467</v>
      </c>
    </row>
    <row r="746" spans="1:16" x14ac:dyDescent="0.3">
      <c r="A746" s="72">
        <f t="shared" si="105"/>
        <v>218.5</v>
      </c>
      <c r="B746" s="74">
        <f t="shared" si="106"/>
        <v>-3391.9872039763864</v>
      </c>
      <c r="C746" s="74">
        <f t="shared" si="107"/>
        <v>1112.6320372371711</v>
      </c>
      <c r="D746" s="74">
        <f t="shared" si="108"/>
        <v>-392.06039360851349</v>
      </c>
      <c r="E746" s="74">
        <f t="shared" si="109"/>
        <v>10731.617153755113</v>
      </c>
      <c r="F746" s="74">
        <f t="shared" si="103"/>
        <v>-290.56147823221062</v>
      </c>
      <c r="G746" s="74">
        <f t="shared" si="104"/>
        <v>1699.8339221876217</v>
      </c>
      <c r="H746" s="74">
        <f t="shared" si="110"/>
        <v>23391.987203976387</v>
      </c>
      <c r="I746" s="74">
        <f t="shared" si="111"/>
        <v>18887.36796276283</v>
      </c>
      <c r="J746" s="74">
        <f t="shared" si="112"/>
        <v>30065.22466092337</v>
      </c>
      <c r="K746" s="74">
        <f t="shared" si="113"/>
        <v>-16608.012796023613</v>
      </c>
      <c r="L746" s="74">
        <f t="shared" si="114"/>
        <v>18887.36796276283</v>
      </c>
      <c r="M746" s="74">
        <f t="shared" si="115"/>
        <v>25150.720816582649</v>
      </c>
      <c r="N746" s="74">
        <f t="shared" si="116"/>
        <v>-1608.0127960236136</v>
      </c>
      <c r="O746" s="74">
        <f t="shared" si="117"/>
        <v>-36112.63203723717</v>
      </c>
      <c r="P746" s="74">
        <f t="shared" si="118"/>
        <v>36148.414872703121</v>
      </c>
    </row>
    <row r="747" spans="1:16" x14ac:dyDescent="0.3">
      <c r="A747" s="72">
        <f t="shared" si="105"/>
        <v>219</v>
      </c>
      <c r="B747" s="74">
        <f t="shared" si="106"/>
        <v>-3660.6577703386956</v>
      </c>
      <c r="C747" s="74">
        <f t="shared" si="107"/>
        <v>6903.3990946616332</v>
      </c>
      <c r="D747" s="74">
        <f t="shared" si="108"/>
        <v>-537.34113272461877</v>
      </c>
      <c r="E747" s="74">
        <f t="shared" si="109"/>
        <v>11581.534114848924</v>
      </c>
      <c r="F747" s="74">
        <f t="shared" si="103"/>
        <v>-762.8024996934688</v>
      </c>
      <c r="G747" s="74">
        <f t="shared" si="104"/>
        <v>2191.6708805711978</v>
      </c>
      <c r="H747" s="74">
        <f t="shared" si="110"/>
        <v>23660.657770338694</v>
      </c>
      <c r="I747" s="74">
        <f t="shared" si="111"/>
        <v>13096.600905338368</v>
      </c>
      <c r="J747" s="74">
        <f t="shared" si="112"/>
        <v>27043.44063537032</v>
      </c>
      <c r="K747" s="74">
        <f t="shared" si="113"/>
        <v>-16339.342229661304</v>
      </c>
      <c r="L747" s="74">
        <f t="shared" si="114"/>
        <v>13096.600905338368</v>
      </c>
      <c r="M747" s="74">
        <f t="shared" si="115"/>
        <v>20940.273631729433</v>
      </c>
      <c r="N747" s="74">
        <f t="shared" si="116"/>
        <v>-1339.3422296613044</v>
      </c>
      <c r="O747" s="74">
        <f t="shared" si="117"/>
        <v>-41903.399094661632</v>
      </c>
      <c r="P747" s="74">
        <f t="shared" si="118"/>
        <v>41924.798071006182</v>
      </c>
    </row>
    <row r="748" spans="1:16" x14ac:dyDescent="0.3">
      <c r="A748" s="72">
        <f t="shared" si="105"/>
        <v>219.5</v>
      </c>
      <c r="B748" s="74">
        <f t="shared" si="106"/>
        <v>-4120.0289616243717</v>
      </c>
      <c r="C748" s="74">
        <f t="shared" si="107"/>
        <v>13242.083872228894</v>
      </c>
      <c r="D748" s="74">
        <f t="shared" si="108"/>
        <v>-918.74238257135312</v>
      </c>
      <c r="E748" s="74">
        <f t="shared" si="109"/>
        <v>12677.369555134523</v>
      </c>
      <c r="F748" s="74">
        <f t="shared" si="103"/>
        <v>-1840.6728723342953</v>
      </c>
      <c r="G748" s="74">
        <f t="shared" si="104"/>
        <v>1728.0817679203599</v>
      </c>
      <c r="H748" s="74">
        <f t="shared" si="110"/>
        <v>24120.028961624372</v>
      </c>
      <c r="I748" s="74">
        <f t="shared" si="111"/>
        <v>6757.9161277711064</v>
      </c>
      <c r="J748" s="74">
        <f t="shared" si="112"/>
        <v>25048.856810233621</v>
      </c>
      <c r="K748" s="74">
        <f t="shared" si="113"/>
        <v>-15879.971038375628</v>
      </c>
      <c r="L748" s="74">
        <f t="shared" si="114"/>
        <v>6757.9161277711064</v>
      </c>
      <c r="M748" s="74">
        <f t="shared" si="115"/>
        <v>17258.125928664373</v>
      </c>
      <c r="N748" s="74">
        <f t="shared" si="116"/>
        <v>-879.97103837562827</v>
      </c>
      <c r="O748" s="74">
        <f t="shared" si="117"/>
        <v>-48242.08387222889</v>
      </c>
      <c r="P748" s="74">
        <f t="shared" si="118"/>
        <v>48250.108863748137</v>
      </c>
    </row>
    <row r="749" spans="1:16" x14ac:dyDescent="0.3">
      <c r="A749" s="72">
        <f t="shared" si="105"/>
        <v>220</v>
      </c>
      <c r="B749" s="74">
        <f t="shared" si="106"/>
        <v>-5039.568370993622</v>
      </c>
      <c r="C749" s="74">
        <f t="shared" si="107"/>
        <v>20012.789091776245</v>
      </c>
      <c r="D749" s="74">
        <f t="shared" si="108"/>
        <v>-1839.0788187385008</v>
      </c>
      <c r="E749" s="74">
        <f t="shared" si="109"/>
        <v>13541.410439094703</v>
      </c>
      <c r="F749" s="74">
        <f t="shared" si="103"/>
        <v>-3162.5397594631168</v>
      </c>
      <c r="G749" s="74">
        <f t="shared" si="104"/>
        <v>-574.08694309758584</v>
      </c>
      <c r="H749" s="74">
        <f t="shared" si="110"/>
        <v>25039.56837099362</v>
      </c>
      <c r="I749" s="74">
        <f t="shared" si="111"/>
        <v>-12.789091776245186</v>
      </c>
      <c r="J749" s="74">
        <f t="shared" si="112"/>
        <v>25039.571637041492</v>
      </c>
      <c r="K749" s="74">
        <f t="shared" si="113"/>
        <v>-14960.431629006378</v>
      </c>
      <c r="L749" s="74">
        <f t="shared" si="114"/>
        <v>-12.789091776245186</v>
      </c>
      <c r="M749" s="74">
        <f t="shared" si="115"/>
        <v>14960.437095454226</v>
      </c>
      <c r="N749" s="74">
        <f t="shared" si="116"/>
        <v>39.568370993622011</v>
      </c>
      <c r="O749" s="74">
        <f t="shared" si="117"/>
        <v>-55012.789091776242</v>
      </c>
      <c r="P749" s="74">
        <f t="shared" si="118"/>
        <v>55012.803321701744</v>
      </c>
    </row>
    <row r="750" spans="1:16" x14ac:dyDescent="0.3">
      <c r="A750" s="72">
        <f t="shared" si="105"/>
        <v>220.5</v>
      </c>
      <c r="B750" s="74">
        <f t="shared" si="106"/>
        <v>-6749.7427202286517</v>
      </c>
      <c r="C750" s="74">
        <f t="shared" si="107"/>
        <v>26639.9725755492</v>
      </c>
      <c r="D750" s="74">
        <f t="shared" si="108"/>
        <v>-3420.3486984700594</v>
      </c>
      <c r="E750" s="74">
        <f t="shared" si="109"/>
        <v>13254.36696754591</v>
      </c>
      <c r="F750" s="74">
        <f t="shared" si="103"/>
        <v>-3067.888783731506</v>
      </c>
      <c r="G750" s="74">
        <f t="shared" si="104"/>
        <v>-3518.2121799597735</v>
      </c>
      <c r="H750" s="74">
        <f t="shared" si="110"/>
        <v>26749.742720228653</v>
      </c>
      <c r="I750" s="74">
        <f t="shared" si="111"/>
        <v>-6639.9725755492</v>
      </c>
      <c r="J750" s="74">
        <f t="shared" si="112"/>
        <v>27561.530643316441</v>
      </c>
      <c r="K750" s="74">
        <f t="shared" si="113"/>
        <v>-13250.257279771347</v>
      </c>
      <c r="L750" s="74">
        <f t="shared" si="114"/>
        <v>-6639.9725755492</v>
      </c>
      <c r="M750" s="74">
        <f t="shared" si="115"/>
        <v>14820.882355115671</v>
      </c>
      <c r="N750" s="74">
        <f t="shared" si="116"/>
        <v>1749.7427202286517</v>
      </c>
      <c r="O750" s="74">
        <f t="shared" si="117"/>
        <v>-61639.972575549196</v>
      </c>
      <c r="P750" s="74">
        <f t="shared" si="118"/>
        <v>61664.80210542681</v>
      </c>
    </row>
    <row r="751" spans="1:16" x14ac:dyDescent="0.3">
      <c r="A751" s="72">
        <f t="shared" si="105"/>
        <v>221</v>
      </c>
      <c r="B751" s="74">
        <f t="shared" si="106"/>
        <v>-9226.8892653965577</v>
      </c>
      <c r="C751" s="74">
        <f t="shared" si="107"/>
        <v>32387.603014332206</v>
      </c>
      <c r="D751" s="74">
        <f t="shared" si="108"/>
        <v>-4954.2930903358119</v>
      </c>
      <c r="E751" s="74">
        <f t="shared" si="109"/>
        <v>11495.260877566023</v>
      </c>
      <c r="F751" s="74">
        <f t="shared" si="103"/>
        <v>-1725.7464108638867</v>
      </c>
      <c r="G751" s="74">
        <f t="shared" si="104"/>
        <v>-4733.7481805876687</v>
      </c>
      <c r="H751" s="74">
        <f t="shared" si="110"/>
        <v>29226.889265396559</v>
      </c>
      <c r="I751" s="74">
        <f t="shared" si="111"/>
        <v>-12387.603014332206</v>
      </c>
      <c r="J751" s="74">
        <f t="shared" si="112"/>
        <v>31743.720080867097</v>
      </c>
      <c r="K751" s="74">
        <f t="shared" si="113"/>
        <v>-10773.110734603442</v>
      </c>
      <c r="L751" s="74">
        <f t="shared" si="114"/>
        <v>-12387.603014332206</v>
      </c>
      <c r="M751" s="74">
        <f t="shared" si="115"/>
        <v>16416.839627063433</v>
      </c>
      <c r="N751" s="74">
        <f t="shared" si="116"/>
        <v>4226.8892653965577</v>
      </c>
      <c r="O751" s="74">
        <f t="shared" si="117"/>
        <v>-67387.603014332213</v>
      </c>
      <c r="P751" s="74">
        <f t="shared" si="118"/>
        <v>67520.038750575084</v>
      </c>
    </row>
    <row r="752" spans="1:16" x14ac:dyDescent="0.3">
      <c r="A752" s="72">
        <f t="shared" si="105"/>
        <v>221.5</v>
      </c>
      <c r="B752" s="74">
        <f t="shared" si="106"/>
        <v>-12135.472413280435</v>
      </c>
      <c r="C752" s="74">
        <f t="shared" si="107"/>
        <v>36951.796407968301</v>
      </c>
      <c r="D752" s="74">
        <f t="shared" si="108"/>
        <v>-5817.1662957677554</v>
      </c>
      <c r="E752" s="74">
        <f t="shared" si="109"/>
        <v>9128.3867872721894</v>
      </c>
      <c r="F752" s="74">
        <f t="shared" si="103"/>
        <v>-557.18671354568028</v>
      </c>
      <c r="G752" s="74">
        <f t="shared" si="104"/>
        <v>-4586.8110143815293</v>
      </c>
      <c r="H752" s="74">
        <f t="shared" si="110"/>
        <v>32135.472413280433</v>
      </c>
      <c r="I752" s="74">
        <f t="shared" si="111"/>
        <v>-16951.796407968301</v>
      </c>
      <c r="J752" s="74">
        <f t="shared" si="112"/>
        <v>36332.51971281258</v>
      </c>
      <c r="K752" s="74">
        <f t="shared" si="113"/>
        <v>-7864.5275867195651</v>
      </c>
      <c r="L752" s="74">
        <f t="shared" si="114"/>
        <v>-16951.796407968301</v>
      </c>
      <c r="M752" s="74">
        <f t="shared" si="115"/>
        <v>18687.273627243758</v>
      </c>
      <c r="N752" s="74">
        <f t="shared" si="116"/>
        <v>7135.4724132804349</v>
      </c>
      <c r="O752" s="74">
        <f t="shared" si="117"/>
        <v>-71951.796407968301</v>
      </c>
      <c r="P752" s="74">
        <f t="shared" si="118"/>
        <v>72304.743778637421</v>
      </c>
    </row>
    <row r="753" spans="1:16" x14ac:dyDescent="0.3">
      <c r="A753" s="72">
        <f t="shared" si="105"/>
        <v>222</v>
      </c>
      <c r="B753" s="74">
        <f t="shared" si="106"/>
        <v>-15183.352239550732</v>
      </c>
      <c r="C753" s="74">
        <f t="shared" si="107"/>
        <v>40369.287048009013</v>
      </c>
      <c r="D753" s="74">
        <f t="shared" si="108"/>
        <v>-6095.7596525405952</v>
      </c>
      <c r="E753" s="74">
        <f t="shared" si="109"/>
        <v>6834.9812800814252</v>
      </c>
      <c r="F753" s="74">
        <f t="shared" si="103"/>
        <v>145.94351967095935</v>
      </c>
      <c r="G753" s="74">
        <f t="shared" si="104"/>
        <v>-4082.6831301646866</v>
      </c>
      <c r="H753" s="74">
        <f t="shared" si="110"/>
        <v>35183.352239550732</v>
      </c>
      <c r="I753" s="74">
        <f t="shared" si="111"/>
        <v>-20369.287048009013</v>
      </c>
      <c r="J753" s="74">
        <f t="shared" si="112"/>
        <v>40654.34945558085</v>
      </c>
      <c r="K753" s="74">
        <f t="shared" si="113"/>
        <v>-4816.6477604492684</v>
      </c>
      <c r="L753" s="74">
        <f t="shared" si="114"/>
        <v>-20369.287048009013</v>
      </c>
      <c r="M753" s="74">
        <f t="shared" si="115"/>
        <v>20931.028414591307</v>
      </c>
      <c r="N753" s="74">
        <f t="shared" si="116"/>
        <v>10183.352239550732</v>
      </c>
      <c r="O753" s="74">
        <f t="shared" si="117"/>
        <v>-75369.287048009021</v>
      </c>
      <c r="P753" s="74">
        <f t="shared" si="118"/>
        <v>76054.126074526313</v>
      </c>
    </row>
    <row r="754" spans="1:16" x14ac:dyDescent="0.3">
      <c r="A754" s="72">
        <f t="shared" si="105"/>
        <v>222.5</v>
      </c>
      <c r="B754" s="74">
        <f t="shared" si="106"/>
        <v>-18194.746185903292</v>
      </c>
      <c r="C754" s="74">
        <f t="shared" si="107"/>
        <v>42766.106905508554</v>
      </c>
      <c r="D754" s="74">
        <f t="shared" si="108"/>
        <v>-6022.7878927051152</v>
      </c>
      <c r="E754" s="74">
        <f t="shared" si="109"/>
        <v>4793.6397149990817</v>
      </c>
      <c r="F754" s="74">
        <f t="shared" si="103"/>
        <v>553.3044393039587</v>
      </c>
      <c r="G754" s="74">
        <f t="shared" si="104"/>
        <v>-3611.6464484459998</v>
      </c>
      <c r="H754" s="74">
        <f t="shared" si="110"/>
        <v>38194.746185903292</v>
      </c>
      <c r="I754" s="74">
        <f t="shared" si="111"/>
        <v>-22766.106905508554</v>
      </c>
      <c r="J754" s="74">
        <f t="shared" si="112"/>
        <v>44464.977902149221</v>
      </c>
      <c r="K754" s="74">
        <f t="shared" si="113"/>
        <v>-1805.2538140967081</v>
      </c>
      <c r="L754" s="74">
        <f t="shared" si="114"/>
        <v>-22766.106905508554</v>
      </c>
      <c r="M754" s="74">
        <f t="shared" si="115"/>
        <v>22837.569156246795</v>
      </c>
      <c r="N754" s="74">
        <f t="shared" si="116"/>
        <v>13194.746185903292</v>
      </c>
      <c r="O754" s="74">
        <f t="shared" si="117"/>
        <v>-77766.106905508554</v>
      </c>
      <c r="P754" s="74">
        <f t="shared" si="118"/>
        <v>78877.555173505447</v>
      </c>
    </row>
    <row r="755" spans="1:16" x14ac:dyDescent="0.3">
      <c r="A755" s="72">
        <f t="shared" si="105"/>
        <v>223</v>
      </c>
      <c r="B755" s="74">
        <f t="shared" si="106"/>
        <v>-21067.814022429859</v>
      </c>
      <c r="C755" s="74">
        <f t="shared" si="107"/>
        <v>44260.015150896594</v>
      </c>
      <c r="D755" s="74">
        <f t="shared" si="108"/>
        <v>-5746.1356730531361</v>
      </c>
      <c r="E755" s="74">
        <f t="shared" si="109"/>
        <v>2987.816490776082</v>
      </c>
      <c r="F755" s="74">
        <f t="shared" si="103"/>
        <v>812.64156476003063</v>
      </c>
      <c r="G755" s="74">
        <f t="shared" si="104"/>
        <v>-3253.6907144665324</v>
      </c>
      <c r="H755" s="74">
        <f t="shared" si="110"/>
        <v>41067.814022429855</v>
      </c>
      <c r="I755" s="74">
        <f t="shared" si="111"/>
        <v>-24260.015150896594</v>
      </c>
      <c r="J755" s="74">
        <f t="shared" si="112"/>
        <v>47698.1517849761</v>
      </c>
      <c r="K755" s="74">
        <f t="shared" si="113"/>
        <v>1067.8140224298586</v>
      </c>
      <c r="L755" s="74">
        <f t="shared" si="114"/>
        <v>-24260.015150896594</v>
      </c>
      <c r="M755" s="74">
        <f t="shared" si="115"/>
        <v>24283.503905084002</v>
      </c>
      <c r="N755" s="74">
        <f t="shared" si="116"/>
        <v>16067.814022429859</v>
      </c>
      <c r="O755" s="74">
        <f t="shared" si="117"/>
        <v>-79260.015150896594</v>
      </c>
      <c r="P755" s="74">
        <f t="shared" si="118"/>
        <v>80872.273673860254</v>
      </c>
    </row>
    <row r="756" spans="1:16" x14ac:dyDescent="0.3">
      <c r="A756" s="72">
        <f t="shared" si="105"/>
        <v>223.5</v>
      </c>
      <c r="B756" s="74">
        <f t="shared" si="106"/>
        <v>-23737.721467766416</v>
      </c>
      <c r="C756" s="74">
        <f t="shared" si="107"/>
        <v>44940.500717668001</v>
      </c>
      <c r="D756" s="74">
        <f t="shared" si="108"/>
        <v>-5339.8148906731203</v>
      </c>
      <c r="E756" s="74">
        <f t="shared" si="109"/>
        <v>1360.9711335428158</v>
      </c>
      <c r="F756" s="74">
        <f t="shared" si="103"/>
        <v>1007.6770592144065</v>
      </c>
      <c r="G756" s="74">
        <f t="shared" si="104"/>
        <v>-3005.9981464359148</v>
      </c>
      <c r="H756" s="74">
        <f t="shared" si="110"/>
        <v>43737.721467766416</v>
      </c>
      <c r="I756" s="74">
        <f t="shared" si="111"/>
        <v>-24940.500717668001</v>
      </c>
      <c r="J756" s="74">
        <f t="shared" si="112"/>
        <v>50348.95088519634</v>
      </c>
      <c r="K756" s="74">
        <f t="shared" si="113"/>
        <v>3737.721467766416</v>
      </c>
      <c r="L756" s="74">
        <f t="shared" si="114"/>
        <v>-24940.500717668001</v>
      </c>
      <c r="M756" s="74">
        <f t="shared" si="115"/>
        <v>25219.023331973029</v>
      </c>
      <c r="N756" s="74">
        <f t="shared" si="116"/>
        <v>18737.721467766416</v>
      </c>
      <c r="O756" s="74">
        <f t="shared" si="117"/>
        <v>-79940.500717668008</v>
      </c>
      <c r="P756" s="74">
        <f t="shared" si="118"/>
        <v>82107.160837499876</v>
      </c>
    </row>
    <row r="757" spans="1:16" x14ac:dyDescent="0.3">
      <c r="A757" s="72">
        <f t="shared" si="105"/>
        <v>224</v>
      </c>
      <c r="B757" s="74">
        <f t="shared" si="106"/>
        <v>-26155.709648299377</v>
      </c>
      <c r="C757" s="74">
        <f t="shared" si="107"/>
        <v>44869.48674783043</v>
      </c>
      <c r="D757" s="74">
        <f t="shared" si="108"/>
        <v>-4835.9763610659174</v>
      </c>
      <c r="E757" s="74">
        <f t="shared" si="109"/>
        <v>-142.02793967514162</v>
      </c>
      <c r="F757" s="74">
        <f t="shared" si="103"/>
        <v>1186.2842777917715</v>
      </c>
      <c r="G757" s="74">
        <f t="shared" si="104"/>
        <v>-2853.126899729798</v>
      </c>
      <c r="H757" s="74">
        <f t="shared" si="110"/>
        <v>46155.70964829938</v>
      </c>
      <c r="I757" s="74">
        <f t="shared" si="111"/>
        <v>-24869.48674783043</v>
      </c>
      <c r="J757" s="74">
        <f t="shared" si="112"/>
        <v>52429.389699276777</v>
      </c>
      <c r="K757" s="74">
        <f t="shared" si="113"/>
        <v>6155.7096482993766</v>
      </c>
      <c r="L757" s="74">
        <f t="shared" si="114"/>
        <v>-24869.48674783043</v>
      </c>
      <c r="M757" s="74">
        <f t="shared" si="115"/>
        <v>25619.994777022875</v>
      </c>
      <c r="N757" s="74">
        <f t="shared" si="116"/>
        <v>21155.709648299377</v>
      </c>
      <c r="O757" s="74">
        <f t="shared" si="117"/>
        <v>-79869.486747830437</v>
      </c>
      <c r="P757" s="74">
        <f t="shared" si="118"/>
        <v>82623.840167865652</v>
      </c>
    </row>
    <row r="758" spans="1:16" x14ac:dyDescent="0.3">
      <c r="A758" s="72">
        <f t="shared" si="105"/>
        <v>224.5</v>
      </c>
      <c r="B758" s="74">
        <f t="shared" si="106"/>
        <v>-28277.126759384395</v>
      </c>
      <c r="C758" s="74">
        <f t="shared" si="107"/>
        <v>44085.191053060407</v>
      </c>
      <c r="D758" s="74">
        <f t="shared" si="108"/>
        <v>-4242.8342221700314</v>
      </c>
      <c r="E758" s="74">
        <f t="shared" si="109"/>
        <v>-1568.5913895400406</v>
      </c>
      <c r="F758" s="74">
        <f t="shared" ref="F758:F821" si="119">$C$23*(H758/(J758^2+$C$24^2)^1.5)+$C$32*(K758/(M758^2+$C$33^2)^1.5)+C$41*(N758/(P758^2+$C$42^2)^1.5)</f>
        <v>1382.0181031181753</v>
      </c>
      <c r="G758" s="74">
        <f t="shared" ref="G758:G821" si="120">$C$23*(I758/(J758^2+$C$24^2)^1.5)+$C$32*(L758/(M758^2+$C$33^2)^1.5)+C$41*(O758/(P758^2+$C$42^2)^1.5)</f>
        <v>-2784.1457365459132</v>
      </c>
      <c r="H758" s="74">
        <f t="shared" si="110"/>
        <v>48277.126759384395</v>
      </c>
      <c r="I758" s="74">
        <f t="shared" si="111"/>
        <v>-24085.191053060407</v>
      </c>
      <c r="J758" s="74">
        <f t="shared" si="112"/>
        <v>53951.620885790726</v>
      </c>
      <c r="K758" s="74">
        <f t="shared" si="113"/>
        <v>8277.126759384395</v>
      </c>
      <c r="L758" s="74">
        <f t="shared" si="114"/>
        <v>-24085.191053060407</v>
      </c>
      <c r="M758" s="74">
        <f t="shared" si="115"/>
        <v>25467.768953195296</v>
      </c>
      <c r="N758" s="74">
        <f t="shared" si="116"/>
        <v>23277.126759384395</v>
      </c>
      <c r="O758" s="74">
        <f t="shared" si="117"/>
        <v>-79085.191053060407</v>
      </c>
      <c r="P758" s="74">
        <f t="shared" si="118"/>
        <v>82439.626843354374</v>
      </c>
    </row>
    <row r="759" spans="1:16" x14ac:dyDescent="0.3">
      <c r="A759" s="72">
        <f t="shared" ref="A759:A822" si="121">A758+$C$5</f>
        <v>225</v>
      </c>
      <c r="B759" s="74">
        <f t="shared" ref="B759:B822" si="122">B758+D758*(A759-A758)+F758*(A759-A758)^2</f>
        <v>-30053.039344689867</v>
      </c>
      <c r="C759" s="74">
        <f t="shared" ref="C759:C822" si="123">C758+E758*(A759-A758)+G758*(A759-A758)^2</f>
        <v>42604.858924153908</v>
      </c>
      <c r="D759" s="74">
        <f t="shared" ref="D759:D822" si="124">D758+F758*(A759-A758)</f>
        <v>-3551.8251706109436</v>
      </c>
      <c r="E759" s="74">
        <f t="shared" ref="E759:E822" si="125">E758+G758*(A759-A758)</f>
        <v>-2960.6642578129972</v>
      </c>
      <c r="F759" s="74">
        <f t="shared" si="119"/>
        <v>1628.2565012877412</v>
      </c>
      <c r="G759" s="74">
        <f t="shared" si="120"/>
        <v>-2796.440603827964</v>
      </c>
      <c r="H759" s="74">
        <f t="shared" ref="H759:H822" si="126">$C$19-B759</f>
        <v>50053.039344689867</v>
      </c>
      <c r="I759" s="74">
        <f t="shared" ref="I759:I822" si="127">$D$19-C759</f>
        <v>-22604.858924153908</v>
      </c>
      <c r="J759" s="74">
        <f t="shared" ref="J759:J822" si="128">SQRT(H759^2+I759^2)</f>
        <v>54920.728278328323</v>
      </c>
      <c r="K759" s="74">
        <f t="shared" ref="K759:K822" si="129">$C$28-B759</f>
        <v>10053.039344689867</v>
      </c>
      <c r="L759" s="74">
        <f t="shared" ref="L759:L822" si="130">$D$28-C759</f>
        <v>-22604.858924153908</v>
      </c>
      <c r="M759" s="74">
        <f t="shared" ref="M759:M822" si="131">SQRT(K759^2+L759^2)</f>
        <v>24739.507817391659</v>
      </c>
      <c r="N759" s="74">
        <f t="shared" ref="N759:N822" si="132">$C$37-B759</f>
        <v>25053.039344689867</v>
      </c>
      <c r="O759" s="74">
        <f t="shared" ref="O759:O822" si="133">$D$37-C759</f>
        <v>-77604.858924153901</v>
      </c>
      <c r="P759" s="74">
        <f t="shared" ref="P759:P822" si="134">SQRT(N759^2+O759^2)</f>
        <v>81548.567792723421</v>
      </c>
    </row>
    <row r="760" spans="1:16" x14ac:dyDescent="0.3">
      <c r="A760" s="72">
        <f t="shared" si="121"/>
        <v>225.5</v>
      </c>
      <c r="B760" s="74">
        <f t="shared" si="122"/>
        <v>-31421.887804673403</v>
      </c>
      <c r="C760" s="74">
        <f t="shared" si="123"/>
        <v>40425.416644290417</v>
      </c>
      <c r="D760" s="74">
        <f t="shared" si="124"/>
        <v>-2737.696919967073</v>
      </c>
      <c r="E760" s="74">
        <f t="shared" si="125"/>
        <v>-4358.8845597269792</v>
      </c>
      <c r="F760" s="74">
        <f t="shared" si="119"/>
        <v>1972.334088930264</v>
      </c>
      <c r="G760" s="74">
        <f t="shared" si="120"/>
        <v>-2897.1896635840435</v>
      </c>
      <c r="H760" s="74">
        <f t="shared" si="126"/>
        <v>51421.887804673403</v>
      </c>
      <c r="I760" s="74">
        <f t="shared" si="127"/>
        <v>-20425.416644290417</v>
      </c>
      <c r="J760" s="74">
        <f t="shared" si="128"/>
        <v>55329.993588371894</v>
      </c>
      <c r="K760" s="74">
        <f t="shared" si="129"/>
        <v>11421.887804673403</v>
      </c>
      <c r="L760" s="74">
        <f t="shared" si="130"/>
        <v>-20425.416644290417</v>
      </c>
      <c r="M760" s="74">
        <f t="shared" si="131"/>
        <v>23402.076106948352</v>
      </c>
      <c r="N760" s="74">
        <f t="shared" si="132"/>
        <v>26421.887804673403</v>
      </c>
      <c r="O760" s="74">
        <f t="shared" si="133"/>
        <v>-75425.41664429041</v>
      </c>
      <c r="P760" s="74">
        <f t="shared" si="134"/>
        <v>79919.394586843249</v>
      </c>
    </row>
    <row r="761" spans="1:16" x14ac:dyDescent="0.3">
      <c r="A761" s="72">
        <f t="shared" si="121"/>
        <v>226</v>
      </c>
      <c r="B761" s="74">
        <f t="shared" si="122"/>
        <v>-32297.652742424372</v>
      </c>
      <c r="C761" s="74">
        <f t="shared" si="123"/>
        <v>37521.676948530912</v>
      </c>
      <c r="D761" s="74">
        <f t="shared" si="124"/>
        <v>-1751.529875501941</v>
      </c>
      <c r="E761" s="74">
        <f t="shared" si="125"/>
        <v>-5807.4793915190012</v>
      </c>
      <c r="F761" s="74">
        <f t="shared" si="119"/>
        <v>2500.3216160487586</v>
      </c>
      <c r="G761" s="74">
        <f t="shared" si="120"/>
        <v>-3104.4161070390405</v>
      </c>
      <c r="H761" s="74">
        <f t="shared" si="126"/>
        <v>52297.652742424369</v>
      </c>
      <c r="I761" s="74">
        <f t="shared" si="127"/>
        <v>-17521.676948530912</v>
      </c>
      <c r="J761" s="74">
        <f t="shared" si="128"/>
        <v>55154.815251760992</v>
      </c>
      <c r="K761" s="74">
        <f t="shared" si="129"/>
        <v>12297.652742424372</v>
      </c>
      <c r="L761" s="74">
        <f t="shared" si="130"/>
        <v>-17521.676948530912</v>
      </c>
      <c r="M761" s="74">
        <f t="shared" si="131"/>
        <v>21406.57436541254</v>
      </c>
      <c r="N761" s="74">
        <f t="shared" si="132"/>
        <v>27297.652742424372</v>
      </c>
      <c r="O761" s="74">
        <f t="shared" si="133"/>
        <v>-72521.67694853092</v>
      </c>
      <c r="P761" s="74">
        <f t="shared" si="134"/>
        <v>77489.066794439263</v>
      </c>
    </row>
    <row r="762" spans="1:16" x14ac:dyDescent="0.3">
      <c r="A762" s="72">
        <f t="shared" si="121"/>
        <v>226.5</v>
      </c>
      <c r="B762" s="74">
        <f t="shared" si="122"/>
        <v>-32548.337276163151</v>
      </c>
      <c r="C762" s="74">
        <f t="shared" si="123"/>
        <v>33841.833226011651</v>
      </c>
      <c r="D762" s="74">
        <f t="shared" si="124"/>
        <v>-501.36906747756166</v>
      </c>
      <c r="E762" s="74">
        <f t="shared" si="125"/>
        <v>-7359.6874450385212</v>
      </c>
      <c r="F762" s="74">
        <f t="shared" si="119"/>
        <v>3397.7310444160412</v>
      </c>
      <c r="G762" s="74">
        <f t="shared" si="120"/>
        <v>-3439.7748556090573</v>
      </c>
      <c r="H762" s="74">
        <f t="shared" si="126"/>
        <v>52548.337276163147</v>
      </c>
      <c r="I762" s="74">
        <f t="shared" si="127"/>
        <v>-13841.833226011651</v>
      </c>
      <c r="J762" s="74">
        <f t="shared" si="128"/>
        <v>54340.814288581634</v>
      </c>
      <c r="K762" s="74">
        <f t="shared" si="129"/>
        <v>12548.337276163151</v>
      </c>
      <c r="L762" s="74">
        <f t="shared" si="130"/>
        <v>-13841.833226011651</v>
      </c>
      <c r="M762" s="74">
        <f t="shared" si="131"/>
        <v>18683.070289785504</v>
      </c>
      <c r="N762" s="74">
        <f t="shared" si="132"/>
        <v>27548.337276163151</v>
      </c>
      <c r="O762" s="74">
        <f t="shared" si="133"/>
        <v>-68841.833226011659</v>
      </c>
      <c r="P762" s="74">
        <f t="shared" si="134"/>
        <v>74149.233904331355</v>
      </c>
    </row>
    <row r="763" spans="1:16" x14ac:dyDescent="0.3">
      <c r="A763" s="72">
        <f t="shared" si="121"/>
        <v>227</v>
      </c>
      <c r="B763" s="74">
        <f t="shared" si="122"/>
        <v>-31949.589048797923</v>
      </c>
      <c r="C763" s="74">
        <f t="shared" si="123"/>
        <v>29302.045789590127</v>
      </c>
      <c r="D763" s="74">
        <f t="shared" si="124"/>
        <v>1197.4964547304589</v>
      </c>
      <c r="E763" s="74">
        <f t="shared" si="125"/>
        <v>-9079.5748728430499</v>
      </c>
      <c r="F763" s="74">
        <f t="shared" si="119"/>
        <v>5119.9592318140994</v>
      </c>
      <c r="G763" s="74">
        <f t="shared" si="120"/>
        <v>-3844.343476897222</v>
      </c>
      <c r="H763" s="74">
        <f t="shared" si="126"/>
        <v>51949.58904879792</v>
      </c>
      <c r="I763" s="74">
        <f t="shared" si="127"/>
        <v>-9302.0457895901272</v>
      </c>
      <c r="J763" s="74">
        <f t="shared" si="128"/>
        <v>52775.826456916962</v>
      </c>
      <c r="K763" s="74">
        <f t="shared" si="129"/>
        <v>11949.589048797923</v>
      </c>
      <c r="L763" s="74">
        <f t="shared" si="130"/>
        <v>-9302.0457895901272</v>
      </c>
      <c r="M763" s="74">
        <f t="shared" si="131"/>
        <v>15143.339602174372</v>
      </c>
      <c r="N763" s="74">
        <f t="shared" si="132"/>
        <v>26949.589048797923</v>
      </c>
      <c r="O763" s="74">
        <f t="shared" si="133"/>
        <v>-64302.045789590127</v>
      </c>
      <c r="P763" s="74">
        <f t="shared" si="134"/>
        <v>69721.111886039464</v>
      </c>
    </row>
    <row r="764" spans="1:16" x14ac:dyDescent="0.3">
      <c r="A764" s="72">
        <f t="shared" si="121"/>
        <v>227.5</v>
      </c>
      <c r="B764" s="74">
        <f t="shared" si="122"/>
        <v>-30070.851013479169</v>
      </c>
      <c r="C764" s="74">
        <f t="shared" si="123"/>
        <v>23801.172483944298</v>
      </c>
      <c r="D764" s="74">
        <f t="shared" si="124"/>
        <v>3757.4760706375087</v>
      </c>
      <c r="E764" s="74">
        <f t="shared" si="125"/>
        <v>-11001.746611291661</v>
      </c>
      <c r="F764" s="74">
        <f t="shared" si="119"/>
        <v>8723.35763948145</v>
      </c>
      <c r="G764" s="74">
        <f t="shared" si="120"/>
        <v>-3415.7460011472353</v>
      </c>
      <c r="H764" s="74">
        <f t="shared" si="126"/>
        <v>50070.851013479172</v>
      </c>
      <c r="I764" s="74">
        <f t="shared" si="127"/>
        <v>-3801.1724839442977</v>
      </c>
      <c r="J764" s="74">
        <f t="shared" si="128"/>
        <v>50214.928392528091</v>
      </c>
      <c r="K764" s="74">
        <f t="shared" si="129"/>
        <v>10070.851013479169</v>
      </c>
      <c r="L764" s="74">
        <f t="shared" si="130"/>
        <v>-3801.1724839442977</v>
      </c>
      <c r="M764" s="74">
        <f t="shared" si="131"/>
        <v>10764.337062187789</v>
      </c>
      <c r="N764" s="74">
        <f t="shared" si="132"/>
        <v>25070.851013479169</v>
      </c>
      <c r="O764" s="74">
        <f t="shared" si="133"/>
        <v>-58801.172483944298</v>
      </c>
      <c r="P764" s="74">
        <f t="shared" si="134"/>
        <v>63922.808574300281</v>
      </c>
    </row>
    <row r="765" spans="1:16" x14ac:dyDescent="0.3">
      <c r="A765" s="72">
        <f t="shared" si="121"/>
        <v>228</v>
      </c>
      <c r="B765" s="74">
        <f t="shared" si="122"/>
        <v>-26011.273568290053</v>
      </c>
      <c r="C765" s="74">
        <f t="shared" si="123"/>
        <v>17446.362678011661</v>
      </c>
      <c r="D765" s="74">
        <f t="shared" si="124"/>
        <v>8119.1548903782332</v>
      </c>
      <c r="E765" s="74">
        <f t="shared" si="125"/>
        <v>-12709.619611865279</v>
      </c>
      <c r="F765" s="74">
        <f t="shared" si="119"/>
        <v>11798.939410177138</v>
      </c>
      <c r="G765" s="74">
        <f t="shared" si="120"/>
        <v>4131.431527448477</v>
      </c>
      <c r="H765" s="74">
        <f t="shared" si="126"/>
        <v>46011.273568290053</v>
      </c>
      <c r="I765" s="74">
        <f t="shared" si="127"/>
        <v>2553.637321988339</v>
      </c>
      <c r="J765" s="74">
        <f t="shared" si="128"/>
        <v>46082.082840820884</v>
      </c>
      <c r="K765" s="74">
        <f t="shared" si="129"/>
        <v>6011.2735682900529</v>
      </c>
      <c r="L765" s="74">
        <f t="shared" si="130"/>
        <v>2553.637321988339</v>
      </c>
      <c r="M765" s="74">
        <f t="shared" si="131"/>
        <v>6531.1923478852159</v>
      </c>
      <c r="N765" s="74">
        <f t="shared" si="132"/>
        <v>21011.273568290053</v>
      </c>
      <c r="O765" s="74">
        <f t="shared" si="133"/>
        <v>-52446.362678011661</v>
      </c>
      <c r="P765" s="74">
        <f t="shared" si="134"/>
        <v>56498.624541797995</v>
      </c>
    </row>
    <row r="766" spans="1:16" x14ac:dyDescent="0.3">
      <c r="A766" s="72">
        <f t="shared" si="121"/>
        <v>228.5</v>
      </c>
      <c r="B766" s="74">
        <f t="shared" si="122"/>
        <v>-19001.961270556654</v>
      </c>
      <c r="C766" s="74">
        <f t="shared" si="123"/>
        <v>12124.41075394114</v>
      </c>
      <c r="D766" s="74">
        <f t="shared" si="124"/>
        <v>14018.624595466801</v>
      </c>
      <c r="E766" s="74">
        <f t="shared" si="125"/>
        <v>-10643.903848141041</v>
      </c>
      <c r="F766" s="74">
        <f t="shared" si="119"/>
        <v>-114.50570592443856</v>
      </c>
      <c r="G766" s="74">
        <f t="shared" si="120"/>
        <v>10216.997274954823</v>
      </c>
      <c r="H766" s="74">
        <f t="shared" si="126"/>
        <v>39001.961270556654</v>
      </c>
      <c r="I766" s="74">
        <f t="shared" si="127"/>
        <v>7875.5892460588602</v>
      </c>
      <c r="J766" s="74">
        <f t="shared" si="128"/>
        <v>39789.167984800071</v>
      </c>
      <c r="K766" s="74">
        <f t="shared" si="129"/>
        <v>-998.0387294433458</v>
      </c>
      <c r="L766" s="74">
        <f t="shared" si="130"/>
        <v>7875.5892460588602</v>
      </c>
      <c r="M766" s="74">
        <f t="shared" si="131"/>
        <v>7938.5758973575894</v>
      </c>
      <c r="N766" s="74">
        <f t="shared" si="132"/>
        <v>14001.961270556654</v>
      </c>
      <c r="O766" s="74">
        <f t="shared" si="133"/>
        <v>-47124.410753941142</v>
      </c>
      <c r="P766" s="74">
        <f t="shared" si="134"/>
        <v>49160.604230708275</v>
      </c>
    </row>
    <row r="767" spans="1:16" x14ac:dyDescent="0.3">
      <c r="A767" s="72">
        <f t="shared" si="121"/>
        <v>229</v>
      </c>
      <c r="B767" s="74">
        <f t="shared" si="122"/>
        <v>-12021.275399304363</v>
      </c>
      <c r="C767" s="74">
        <f t="shared" si="123"/>
        <v>9356.7081486093248</v>
      </c>
      <c r="D767" s="74">
        <f t="shared" si="124"/>
        <v>13961.371742504582</v>
      </c>
      <c r="E767" s="74">
        <f t="shared" si="125"/>
        <v>-5535.4052106636291</v>
      </c>
      <c r="F767" s="74">
        <f t="shared" si="119"/>
        <v>-2458.0683482390205</v>
      </c>
      <c r="G767" s="74">
        <f t="shared" si="120"/>
        <v>4906.7420227472685</v>
      </c>
      <c r="H767" s="74">
        <f t="shared" si="126"/>
        <v>32021.275399304363</v>
      </c>
      <c r="I767" s="74">
        <f t="shared" si="127"/>
        <v>10643.291851390675</v>
      </c>
      <c r="J767" s="74">
        <f t="shared" si="128"/>
        <v>33743.765937310171</v>
      </c>
      <c r="K767" s="74">
        <f t="shared" si="129"/>
        <v>-7978.7246006956375</v>
      </c>
      <c r="L767" s="74">
        <f t="shared" si="130"/>
        <v>10643.291851390675</v>
      </c>
      <c r="M767" s="74">
        <f t="shared" si="131"/>
        <v>13301.868578798427</v>
      </c>
      <c r="N767" s="74">
        <f t="shared" si="132"/>
        <v>7021.2753993043625</v>
      </c>
      <c r="O767" s="74">
        <f t="shared" si="133"/>
        <v>-44356.708148609323</v>
      </c>
      <c r="P767" s="74">
        <f t="shared" si="134"/>
        <v>44908.97311243914</v>
      </c>
    </row>
    <row r="768" spans="1:16" x14ac:dyDescent="0.3">
      <c r="A768" s="72">
        <f t="shared" si="121"/>
        <v>229.5</v>
      </c>
      <c r="B768" s="74">
        <f t="shared" si="122"/>
        <v>-5655.1066151118266</v>
      </c>
      <c r="C768" s="74">
        <f t="shared" si="123"/>
        <v>7815.6910489643269</v>
      </c>
      <c r="D768" s="74">
        <f t="shared" si="124"/>
        <v>12732.337568385072</v>
      </c>
      <c r="E768" s="74">
        <f t="shared" si="125"/>
        <v>-3082.0341992899948</v>
      </c>
      <c r="F768" s="74">
        <f t="shared" si="119"/>
        <v>-1245.395881561268</v>
      </c>
      <c r="G768" s="74">
        <f t="shared" si="120"/>
        <v>2517.502227765277</v>
      </c>
      <c r="H768" s="74">
        <f t="shared" si="126"/>
        <v>25655.106615111828</v>
      </c>
      <c r="I768" s="74">
        <f t="shared" si="127"/>
        <v>12184.308951035673</v>
      </c>
      <c r="J768" s="74">
        <f t="shared" si="128"/>
        <v>28401.441513540169</v>
      </c>
      <c r="K768" s="74">
        <f t="shared" si="129"/>
        <v>-14344.893384888173</v>
      </c>
      <c r="L768" s="74">
        <f t="shared" si="130"/>
        <v>12184.308951035673</v>
      </c>
      <c r="M768" s="74">
        <f t="shared" si="131"/>
        <v>18821.087929184552</v>
      </c>
      <c r="N768" s="74">
        <f t="shared" si="132"/>
        <v>655.10661511182661</v>
      </c>
      <c r="O768" s="74">
        <f t="shared" si="133"/>
        <v>-42815.691048964327</v>
      </c>
      <c r="P768" s="74">
        <f t="shared" si="134"/>
        <v>42820.702524334272</v>
      </c>
    </row>
    <row r="769" spans="1:16" x14ac:dyDescent="0.3">
      <c r="A769" s="72">
        <f t="shared" si="121"/>
        <v>230</v>
      </c>
      <c r="B769" s="74">
        <f t="shared" si="122"/>
        <v>399.71319869039229</v>
      </c>
      <c r="C769" s="74">
        <f t="shared" si="123"/>
        <v>6904.0495062606478</v>
      </c>
      <c r="D769" s="74">
        <f t="shared" si="124"/>
        <v>12109.639627604438</v>
      </c>
      <c r="E769" s="74">
        <f t="shared" si="125"/>
        <v>-1823.2830854073563</v>
      </c>
      <c r="F769" s="74">
        <f t="shared" si="119"/>
        <v>-38.908813625625243</v>
      </c>
      <c r="G769" s="74">
        <f t="shared" si="120"/>
        <v>2008.0418491912337</v>
      </c>
      <c r="H769" s="74">
        <f t="shared" si="126"/>
        <v>19600.286801309609</v>
      </c>
      <c r="I769" s="74">
        <f t="shared" si="127"/>
        <v>13095.950493739352</v>
      </c>
      <c r="J769" s="74">
        <f t="shared" si="128"/>
        <v>23572.763139438357</v>
      </c>
      <c r="K769" s="74">
        <f t="shared" si="129"/>
        <v>-20399.713198690391</v>
      </c>
      <c r="L769" s="74">
        <f t="shared" si="130"/>
        <v>13095.950493739352</v>
      </c>
      <c r="M769" s="74">
        <f t="shared" si="131"/>
        <v>24241.539099720852</v>
      </c>
      <c r="N769" s="74">
        <f t="shared" si="132"/>
        <v>-5399.7131986903923</v>
      </c>
      <c r="O769" s="74">
        <f t="shared" si="133"/>
        <v>-41904.04950626065</v>
      </c>
      <c r="P769" s="74">
        <f t="shared" si="134"/>
        <v>42250.51795719497</v>
      </c>
    </row>
    <row r="770" spans="1:16" x14ac:dyDescent="0.3">
      <c r="A770" s="72">
        <f t="shared" si="121"/>
        <v>230.5</v>
      </c>
      <c r="B770" s="74">
        <f t="shared" si="122"/>
        <v>6444.805809086205</v>
      </c>
      <c r="C770" s="74">
        <f t="shared" si="123"/>
        <v>6494.4184258547784</v>
      </c>
      <c r="D770" s="74">
        <f t="shared" si="124"/>
        <v>12090.185220791625</v>
      </c>
      <c r="E770" s="74">
        <f t="shared" si="125"/>
        <v>-819.26216081173948</v>
      </c>
      <c r="F770" s="74">
        <f t="shared" si="119"/>
        <v>890.08254361461752</v>
      </c>
      <c r="G770" s="74">
        <f t="shared" si="120"/>
        <v>2700.9007939640164</v>
      </c>
      <c r="H770" s="74">
        <f t="shared" si="126"/>
        <v>13555.194190913795</v>
      </c>
      <c r="I770" s="74">
        <f t="shared" si="127"/>
        <v>13505.581574145221</v>
      </c>
      <c r="J770" s="74">
        <f t="shared" si="128"/>
        <v>19134.890206355351</v>
      </c>
      <c r="K770" s="74">
        <f t="shared" si="129"/>
        <v>-26444.805809086203</v>
      </c>
      <c r="L770" s="74">
        <f t="shared" si="130"/>
        <v>13505.581574145221</v>
      </c>
      <c r="M770" s="74">
        <f t="shared" si="131"/>
        <v>29693.913314620058</v>
      </c>
      <c r="N770" s="74">
        <f t="shared" si="132"/>
        <v>-11444.805809086205</v>
      </c>
      <c r="O770" s="74">
        <f t="shared" si="133"/>
        <v>-41494.418425854776</v>
      </c>
      <c r="P770" s="74">
        <f t="shared" si="134"/>
        <v>43043.818842054541</v>
      </c>
    </row>
    <row r="771" spans="1:16" x14ac:dyDescent="0.3">
      <c r="A771" s="72">
        <f t="shared" si="121"/>
        <v>231</v>
      </c>
      <c r="B771" s="74">
        <f t="shared" si="122"/>
        <v>12712.419055385673</v>
      </c>
      <c r="C771" s="74">
        <f t="shared" si="123"/>
        <v>6760.0125439399135</v>
      </c>
      <c r="D771" s="74">
        <f t="shared" si="124"/>
        <v>12535.226492598935</v>
      </c>
      <c r="E771" s="74">
        <f t="shared" si="125"/>
        <v>531.18823617026874</v>
      </c>
      <c r="F771" s="74">
        <f t="shared" si="119"/>
        <v>1128.4678677625859</v>
      </c>
      <c r="G771" s="74">
        <f t="shared" si="120"/>
        <v>4610.603264618745</v>
      </c>
      <c r="H771" s="74">
        <f t="shared" si="126"/>
        <v>7287.5809446143267</v>
      </c>
      <c r="I771" s="74">
        <f t="shared" si="127"/>
        <v>13239.987456060087</v>
      </c>
      <c r="J771" s="74">
        <f t="shared" si="128"/>
        <v>15113.110330469182</v>
      </c>
      <c r="K771" s="74">
        <f t="shared" si="129"/>
        <v>-32712.419055385675</v>
      </c>
      <c r="L771" s="74">
        <f t="shared" si="130"/>
        <v>13239.987456060087</v>
      </c>
      <c r="M771" s="74">
        <f t="shared" si="131"/>
        <v>35290.220009115677</v>
      </c>
      <c r="N771" s="74">
        <f t="shared" si="132"/>
        <v>-17712.419055385675</v>
      </c>
      <c r="O771" s="74">
        <f t="shared" si="133"/>
        <v>-41760.012543939913</v>
      </c>
      <c r="P771" s="74">
        <f t="shared" si="134"/>
        <v>45361.089454108223</v>
      </c>
    </row>
    <row r="772" spans="1:16" x14ac:dyDescent="0.3">
      <c r="A772" s="72">
        <f t="shared" si="121"/>
        <v>231.5</v>
      </c>
      <c r="B772" s="74">
        <f t="shared" si="122"/>
        <v>19262.149268625788</v>
      </c>
      <c r="C772" s="74">
        <f t="shared" si="123"/>
        <v>8178.2574781797339</v>
      </c>
      <c r="D772" s="74">
        <f t="shared" si="124"/>
        <v>13099.460426480227</v>
      </c>
      <c r="E772" s="74">
        <f t="shared" si="125"/>
        <v>2836.4898684796412</v>
      </c>
      <c r="F772" s="74">
        <f t="shared" si="119"/>
        <v>-825.87749625789797</v>
      </c>
      <c r="G772" s="74">
        <f t="shared" si="120"/>
        <v>7262.8272074228553</v>
      </c>
      <c r="H772" s="74">
        <f t="shared" si="126"/>
        <v>737.85073137421205</v>
      </c>
      <c r="I772" s="74">
        <f t="shared" si="127"/>
        <v>11821.742521820266</v>
      </c>
      <c r="J772" s="74">
        <f t="shared" si="128"/>
        <v>11844.746512863956</v>
      </c>
      <c r="K772" s="74">
        <f t="shared" si="129"/>
        <v>-39262.149268625784</v>
      </c>
      <c r="L772" s="74">
        <f t="shared" si="130"/>
        <v>11821.742521820266</v>
      </c>
      <c r="M772" s="74">
        <f t="shared" si="131"/>
        <v>41003.292080564279</v>
      </c>
      <c r="N772" s="74">
        <f t="shared" si="132"/>
        <v>-24262.149268625788</v>
      </c>
      <c r="O772" s="74">
        <f t="shared" si="133"/>
        <v>-43178.25747817973</v>
      </c>
      <c r="P772" s="74">
        <f t="shared" si="134"/>
        <v>49527.909364166204</v>
      </c>
    </row>
    <row r="773" spans="1:16" x14ac:dyDescent="0.3">
      <c r="A773" s="72">
        <f t="shared" si="121"/>
        <v>232</v>
      </c>
      <c r="B773" s="74">
        <f t="shared" si="122"/>
        <v>25605.410107801425</v>
      </c>
      <c r="C773" s="74">
        <f t="shared" si="123"/>
        <v>11412.20921427527</v>
      </c>
      <c r="D773" s="74">
        <f t="shared" si="124"/>
        <v>12686.521678351279</v>
      </c>
      <c r="E773" s="74">
        <f t="shared" si="125"/>
        <v>6467.9034721910684</v>
      </c>
      <c r="F773" s="74">
        <f t="shared" si="119"/>
        <v>-5912.0671831871614</v>
      </c>
      <c r="G773" s="74">
        <f t="shared" si="120"/>
        <v>7081.2250083093995</v>
      </c>
      <c r="H773" s="74">
        <f t="shared" si="126"/>
        <v>-5605.4101078014246</v>
      </c>
      <c r="I773" s="74">
        <f t="shared" si="127"/>
        <v>8587.7907857247301</v>
      </c>
      <c r="J773" s="74">
        <f t="shared" si="128"/>
        <v>10255.280252436836</v>
      </c>
      <c r="K773" s="74">
        <f t="shared" si="129"/>
        <v>-45605.410107801421</v>
      </c>
      <c r="L773" s="74">
        <f t="shared" si="130"/>
        <v>8587.7907857247301</v>
      </c>
      <c r="M773" s="74">
        <f t="shared" si="131"/>
        <v>46406.934629213923</v>
      </c>
      <c r="N773" s="74">
        <f t="shared" si="132"/>
        <v>-30605.410107801425</v>
      </c>
      <c r="O773" s="74">
        <f t="shared" si="133"/>
        <v>-46412.209214275266</v>
      </c>
      <c r="P773" s="74">
        <f t="shared" si="134"/>
        <v>55594.822528868383</v>
      </c>
    </row>
    <row r="774" spans="1:16" x14ac:dyDescent="0.3">
      <c r="A774" s="72">
        <f t="shared" si="121"/>
        <v>232.5</v>
      </c>
      <c r="B774" s="74">
        <f t="shared" si="122"/>
        <v>30470.654151180275</v>
      </c>
      <c r="C774" s="74">
        <f t="shared" si="123"/>
        <v>16416.467202448155</v>
      </c>
      <c r="D774" s="74">
        <f t="shared" si="124"/>
        <v>9730.4880867576976</v>
      </c>
      <c r="E774" s="74">
        <f t="shared" si="125"/>
        <v>10008.515976345769</v>
      </c>
      <c r="F774" s="74">
        <f t="shared" si="119"/>
        <v>-8662.1253030650278</v>
      </c>
      <c r="G774" s="74">
        <f t="shared" si="120"/>
        <v>2332.776088559142</v>
      </c>
      <c r="H774" s="74">
        <f t="shared" si="126"/>
        <v>-10470.654151180275</v>
      </c>
      <c r="I774" s="74">
        <f t="shared" si="127"/>
        <v>3583.5327975518449</v>
      </c>
      <c r="J774" s="74">
        <f t="shared" si="128"/>
        <v>11066.901357867002</v>
      </c>
      <c r="K774" s="74">
        <f t="shared" si="129"/>
        <v>-50470.654151180279</v>
      </c>
      <c r="L774" s="74">
        <f t="shared" si="130"/>
        <v>3583.5327975518449</v>
      </c>
      <c r="M774" s="74">
        <f t="shared" si="131"/>
        <v>50597.713760200473</v>
      </c>
      <c r="N774" s="74">
        <f t="shared" si="132"/>
        <v>-35470.654151180279</v>
      </c>
      <c r="O774" s="74">
        <f t="shared" si="133"/>
        <v>-51416.467202448155</v>
      </c>
      <c r="P774" s="74">
        <f t="shared" si="134"/>
        <v>62464.553192135056</v>
      </c>
    </row>
    <row r="775" spans="1:16" x14ac:dyDescent="0.3">
      <c r="A775" s="72">
        <f t="shared" si="121"/>
        <v>233</v>
      </c>
      <c r="B775" s="74">
        <f t="shared" si="122"/>
        <v>33170.366868792866</v>
      </c>
      <c r="C775" s="74">
        <f t="shared" si="123"/>
        <v>22003.919212760826</v>
      </c>
      <c r="D775" s="74">
        <f t="shared" si="124"/>
        <v>5399.4254352251837</v>
      </c>
      <c r="E775" s="74">
        <f t="shared" si="125"/>
        <v>11174.904020625339</v>
      </c>
      <c r="F775" s="74">
        <f t="shared" si="119"/>
        <v>-7324.3326610467802</v>
      </c>
      <c r="G775" s="74">
        <f t="shared" si="120"/>
        <v>-1320.3567919414068</v>
      </c>
      <c r="H775" s="74">
        <f t="shared" si="126"/>
        <v>-13170.366868792866</v>
      </c>
      <c r="I775" s="74">
        <f t="shared" si="127"/>
        <v>-2003.9192127608258</v>
      </c>
      <c r="J775" s="74">
        <f t="shared" si="128"/>
        <v>13321.946391945465</v>
      </c>
      <c r="K775" s="74">
        <f t="shared" si="129"/>
        <v>-53170.366868792866</v>
      </c>
      <c r="L775" s="74">
        <f t="shared" si="130"/>
        <v>-2003.9192127608258</v>
      </c>
      <c r="M775" s="74">
        <f t="shared" si="131"/>
        <v>53208.115970905208</v>
      </c>
      <c r="N775" s="74">
        <f t="shared" si="132"/>
        <v>-38170.366868792866</v>
      </c>
      <c r="O775" s="74">
        <f t="shared" si="133"/>
        <v>-57003.919212760826</v>
      </c>
      <c r="P775" s="74">
        <f t="shared" si="134"/>
        <v>68603.379745557744</v>
      </c>
    </row>
    <row r="776" spans="1:16" x14ac:dyDescent="0.3">
      <c r="A776" s="72">
        <f t="shared" si="121"/>
        <v>233.5</v>
      </c>
      <c r="B776" s="74">
        <f t="shared" si="122"/>
        <v>34038.996421143762</v>
      </c>
      <c r="C776" s="74">
        <f t="shared" si="123"/>
        <v>27261.282025088145</v>
      </c>
      <c r="D776" s="74">
        <f t="shared" si="124"/>
        <v>1737.2591047017936</v>
      </c>
      <c r="E776" s="74">
        <f t="shared" si="125"/>
        <v>10514.725624654637</v>
      </c>
      <c r="F776" s="74">
        <f t="shared" si="119"/>
        <v>-5377.0981121931609</v>
      </c>
      <c r="G776" s="74">
        <f t="shared" si="120"/>
        <v>-2746.2966940165657</v>
      </c>
      <c r="H776" s="74">
        <f t="shared" si="126"/>
        <v>-14038.996421143762</v>
      </c>
      <c r="I776" s="74">
        <f t="shared" si="127"/>
        <v>-7261.282025088145</v>
      </c>
      <c r="J776" s="74">
        <f t="shared" si="128"/>
        <v>15805.683697985214</v>
      </c>
      <c r="K776" s="74">
        <f t="shared" si="129"/>
        <v>-54038.996421143762</v>
      </c>
      <c r="L776" s="74">
        <f t="shared" si="130"/>
        <v>-7261.282025088145</v>
      </c>
      <c r="M776" s="74">
        <f t="shared" si="131"/>
        <v>54524.667361225198</v>
      </c>
      <c r="N776" s="74">
        <f t="shared" si="132"/>
        <v>-39038.996421143762</v>
      </c>
      <c r="O776" s="74">
        <f t="shared" si="133"/>
        <v>-62261.282025088149</v>
      </c>
      <c r="P776" s="74">
        <f t="shared" si="134"/>
        <v>73488.165584518705</v>
      </c>
    </row>
    <row r="777" spans="1:16" x14ac:dyDescent="0.3">
      <c r="A777" s="72">
        <f t="shared" si="121"/>
        <v>234</v>
      </c>
      <c r="B777" s="74">
        <f t="shared" si="122"/>
        <v>33563.351445446366</v>
      </c>
      <c r="C777" s="74">
        <f t="shared" si="123"/>
        <v>31832.070663911323</v>
      </c>
      <c r="D777" s="74">
        <f t="shared" si="124"/>
        <v>-951.28995139478684</v>
      </c>
      <c r="E777" s="74">
        <f t="shared" si="125"/>
        <v>9141.5772776463546</v>
      </c>
      <c r="F777" s="74">
        <f t="shared" si="119"/>
        <v>-3936.9681185223294</v>
      </c>
      <c r="G777" s="74">
        <f t="shared" si="120"/>
        <v>-3196.9816376424565</v>
      </c>
      <c r="H777" s="74">
        <f t="shared" si="126"/>
        <v>-13563.351445446366</v>
      </c>
      <c r="I777" s="74">
        <f t="shared" si="127"/>
        <v>-11832.070663911323</v>
      </c>
      <c r="J777" s="74">
        <f t="shared" si="128"/>
        <v>17998.955487152107</v>
      </c>
      <c r="K777" s="74">
        <f t="shared" si="129"/>
        <v>-53563.351445446366</v>
      </c>
      <c r="L777" s="74">
        <f t="shared" si="130"/>
        <v>-11832.070663911323</v>
      </c>
      <c r="M777" s="74">
        <f t="shared" si="131"/>
        <v>54854.630745855837</v>
      </c>
      <c r="N777" s="74">
        <f t="shared" si="132"/>
        <v>-38563.351445446366</v>
      </c>
      <c r="O777" s="74">
        <f t="shared" si="133"/>
        <v>-66832.07066391132</v>
      </c>
      <c r="P777" s="74">
        <f t="shared" si="134"/>
        <v>77159.949092330586</v>
      </c>
    </row>
    <row r="778" spans="1:16" x14ac:dyDescent="0.3">
      <c r="A778" s="72">
        <f t="shared" si="121"/>
        <v>234.5</v>
      </c>
      <c r="B778" s="74">
        <f t="shared" si="122"/>
        <v>32103.464440118387</v>
      </c>
      <c r="C778" s="74">
        <f t="shared" si="123"/>
        <v>35603.613893323884</v>
      </c>
      <c r="D778" s="74">
        <f t="shared" si="124"/>
        <v>-2919.7740106559513</v>
      </c>
      <c r="E778" s="74">
        <f t="shared" si="125"/>
        <v>7543.0864588251261</v>
      </c>
      <c r="F778" s="74">
        <f t="shared" si="119"/>
        <v>-2952.9911527394388</v>
      </c>
      <c r="G778" s="74">
        <f t="shared" si="120"/>
        <v>-3334.6310718138498</v>
      </c>
      <c r="H778" s="74">
        <f t="shared" si="126"/>
        <v>-12103.464440118387</v>
      </c>
      <c r="I778" s="74">
        <f t="shared" si="127"/>
        <v>-15603.613893323884</v>
      </c>
      <c r="J778" s="74">
        <f t="shared" si="128"/>
        <v>19747.572458029885</v>
      </c>
      <c r="K778" s="74">
        <f t="shared" si="129"/>
        <v>-52103.46444011839</v>
      </c>
      <c r="L778" s="74">
        <f t="shared" si="130"/>
        <v>-15603.613893323884</v>
      </c>
      <c r="M778" s="74">
        <f t="shared" si="131"/>
        <v>54389.739594840968</v>
      </c>
      <c r="N778" s="74">
        <f t="shared" si="132"/>
        <v>-37103.46444011839</v>
      </c>
      <c r="O778" s="74">
        <f t="shared" si="133"/>
        <v>-70603.613893323884</v>
      </c>
      <c r="P778" s="74">
        <f t="shared" si="134"/>
        <v>79759.246286914524</v>
      </c>
    </row>
    <row r="779" spans="1:16" x14ac:dyDescent="0.3">
      <c r="A779" s="72">
        <f t="shared" si="121"/>
        <v>235</v>
      </c>
      <c r="B779" s="74">
        <f t="shared" si="122"/>
        <v>29905.329646605551</v>
      </c>
      <c r="C779" s="74">
        <f t="shared" si="123"/>
        <v>38541.499354782987</v>
      </c>
      <c r="D779" s="74">
        <f t="shared" si="124"/>
        <v>-4396.2695870256703</v>
      </c>
      <c r="E779" s="74">
        <f t="shared" si="125"/>
        <v>5875.770922918201</v>
      </c>
      <c r="F779" s="74">
        <f t="shared" si="119"/>
        <v>-2254.709018236028</v>
      </c>
      <c r="G779" s="74">
        <f t="shared" si="120"/>
        <v>-3395.6635098311822</v>
      </c>
      <c r="H779" s="74">
        <f t="shared" si="126"/>
        <v>-9905.3296466055508</v>
      </c>
      <c r="I779" s="74">
        <f t="shared" si="127"/>
        <v>-18541.499354782987</v>
      </c>
      <c r="J779" s="74">
        <f t="shared" si="128"/>
        <v>21021.48314775484</v>
      </c>
      <c r="K779" s="74">
        <f t="shared" si="129"/>
        <v>-49905.329646605547</v>
      </c>
      <c r="L779" s="74">
        <f t="shared" si="130"/>
        <v>-18541.499354782987</v>
      </c>
      <c r="M779" s="74">
        <f t="shared" si="131"/>
        <v>53238.417758793177</v>
      </c>
      <c r="N779" s="74">
        <f t="shared" si="132"/>
        <v>-34905.329646605547</v>
      </c>
      <c r="O779" s="74">
        <f t="shared" si="133"/>
        <v>-73541.49935478298</v>
      </c>
      <c r="P779" s="74">
        <f t="shared" si="134"/>
        <v>81404.75517491436</v>
      </c>
    </row>
    <row r="780" spans="1:16" x14ac:dyDescent="0.3">
      <c r="A780" s="72">
        <f t="shared" si="121"/>
        <v>235.5</v>
      </c>
      <c r="B780" s="74">
        <f t="shared" si="122"/>
        <v>27143.517598533708</v>
      </c>
      <c r="C780" s="74">
        <f t="shared" si="123"/>
        <v>40630.468938784295</v>
      </c>
      <c r="D780" s="74">
        <f t="shared" si="124"/>
        <v>-5523.6240961436843</v>
      </c>
      <c r="E780" s="74">
        <f t="shared" si="125"/>
        <v>4177.9391680026101</v>
      </c>
      <c r="F780" s="74">
        <f t="shared" si="119"/>
        <v>-1719.6319537979498</v>
      </c>
      <c r="G780" s="74">
        <f t="shared" si="120"/>
        <v>-3460.6645580343361</v>
      </c>
      <c r="H780" s="74">
        <f t="shared" si="126"/>
        <v>-7143.5175985337082</v>
      </c>
      <c r="I780" s="74">
        <f t="shared" si="127"/>
        <v>-20630.468938784295</v>
      </c>
      <c r="J780" s="74">
        <f t="shared" si="128"/>
        <v>21832.226004571876</v>
      </c>
      <c r="K780" s="74">
        <f t="shared" si="129"/>
        <v>-47143.517598533712</v>
      </c>
      <c r="L780" s="74">
        <f t="shared" si="130"/>
        <v>-20630.468938784295</v>
      </c>
      <c r="M780" s="74">
        <f t="shared" si="131"/>
        <v>51459.960165136166</v>
      </c>
      <c r="N780" s="74">
        <f t="shared" si="132"/>
        <v>-32143.517598533708</v>
      </c>
      <c r="O780" s="74">
        <f t="shared" si="133"/>
        <v>-75630.468938784295</v>
      </c>
      <c r="P780" s="74">
        <f t="shared" si="134"/>
        <v>82177.694999967367</v>
      </c>
    </row>
    <row r="781" spans="1:16" x14ac:dyDescent="0.3">
      <c r="A781" s="72">
        <f t="shared" si="121"/>
        <v>236</v>
      </c>
      <c r="B781" s="74">
        <f t="shared" si="122"/>
        <v>23951.79756201238</v>
      </c>
      <c r="C781" s="74">
        <f t="shared" si="123"/>
        <v>41854.272383277021</v>
      </c>
      <c r="D781" s="74">
        <f t="shared" si="124"/>
        <v>-6383.4400730426587</v>
      </c>
      <c r="E781" s="74">
        <f t="shared" si="125"/>
        <v>2447.6068889854423</v>
      </c>
      <c r="F781" s="74">
        <f t="shared" si="119"/>
        <v>-1267.7949579766509</v>
      </c>
      <c r="G781" s="74">
        <f t="shared" si="120"/>
        <v>-3555.9619730227532</v>
      </c>
      <c r="H781" s="74">
        <f t="shared" si="126"/>
        <v>-3951.7975620123798</v>
      </c>
      <c r="I781" s="74">
        <f t="shared" si="127"/>
        <v>-21854.272383277021</v>
      </c>
      <c r="J781" s="74">
        <f t="shared" si="128"/>
        <v>22208.690311983544</v>
      </c>
      <c r="K781" s="74">
        <f t="shared" si="129"/>
        <v>-43951.797562012376</v>
      </c>
      <c r="L781" s="74">
        <f t="shared" si="130"/>
        <v>-21854.272383277021</v>
      </c>
      <c r="M781" s="74">
        <f t="shared" si="131"/>
        <v>49085.331111591593</v>
      </c>
      <c r="N781" s="74">
        <f t="shared" si="132"/>
        <v>-28951.79756201238</v>
      </c>
      <c r="O781" s="74">
        <f t="shared" si="133"/>
        <v>-76854.272383277013</v>
      </c>
      <c r="P781" s="74">
        <f t="shared" si="134"/>
        <v>82126.644675371237</v>
      </c>
    </row>
    <row r="782" spans="1:16" x14ac:dyDescent="0.3">
      <c r="A782" s="72">
        <f t="shared" si="121"/>
        <v>236.5</v>
      </c>
      <c r="B782" s="74">
        <f t="shared" si="122"/>
        <v>20443.128785996887</v>
      </c>
      <c r="C782" s="74">
        <f t="shared" si="123"/>
        <v>42189.085334514049</v>
      </c>
      <c r="D782" s="74">
        <f t="shared" si="124"/>
        <v>-7017.3375520309837</v>
      </c>
      <c r="E782" s="74">
        <f t="shared" si="125"/>
        <v>669.6259024740657</v>
      </c>
      <c r="F782" s="74">
        <f t="shared" si="119"/>
        <v>-843.70460304565995</v>
      </c>
      <c r="G782" s="74">
        <f t="shared" si="120"/>
        <v>-3684.8994969847845</v>
      </c>
      <c r="H782" s="74">
        <f t="shared" si="126"/>
        <v>-443.12878599688702</v>
      </c>
      <c r="I782" s="74">
        <f t="shared" si="127"/>
        <v>-22189.085334514049</v>
      </c>
      <c r="J782" s="74">
        <f t="shared" si="128"/>
        <v>22193.509661685453</v>
      </c>
      <c r="K782" s="74">
        <f t="shared" si="129"/>
        <v>-40443.128785996887</v>
      </c>
      <c r="L782" s="74">
        <f t="shared" si="130"/>
        <v>-22189.085334514049</v>
      </c>
      <c r="M782" s="74">
        <f t="shared" si="131"/>
        <v>46130.273942207154</v>
      </c>
      <c r="N782" s="74">
        <f t="shared" si="132"/>
        <v>-25443.128785996887</v>
      </c>
      <c r="O782" s="74">
        <f t="shared" si="133"/>
        <v>-77189.085334514049</v>
      </c>
      <c r="P782" s="74">
        <f t="shared" si="134"/>
        <v>81274.274510448347</v>
      </c>
    </row>
    <row r="783" spans="1:16" x14ac:dyDescent="0.3">
      <c r="A783" s="72">
        <f t="shared" si="121"/>
        <v>237</v>
      </c>
      <c r="B783" s="74">
        <f t="shared" si="122"/>
        <v>16723.533859219981</v>
      </c>
      <c r="C783" s="74">
        <f t="shared" si="123"/>
        <v>41602.673411504889</v>
      </c>
      <c r="D783" s="74">
        <f t="shared" si="124"/>
        <v>-7439.1898535538139</v>
      </c>
      <c r="E783" s="74">
        <f t="shared" si="125"/>
        <v>-1172.8238460183265</v>
      </c>
      <c r="F783" s="74">
        <f t="shared" si="119"/>
        <v>-406.91436451748245</v>
      </c>
      <c r="G783" s="74">
        <f t="shared" si="120"/>
        <v>-3832.7069648365355</v>
      </c>
      <c r="H783" s="74">
        <f t="shared" si="126"/>
        <v>3276.4661407800195</v>
      </c>
      <c r="I783" s="74">
        <f t="shared" si="127"/>
        <v>-21602.673411504889</v>
      </c>
      <c r="J783" s="74">
        <f t="shared" si="128"/>
        <v>21849.730636687909</v>
      </c>
      <c r="K783" s="74">
        <f t="shared" si="129"/>
        <v>-36723.533859219984</v>
      </c>
      <c r="L783" s="74">
        <f t="shared" si="130"/>
        <v>-21602.673411504889</v>
      </c>
      <c r="M783" s="74">
        <f t="shared" si="131"/>
        <v>42606.260545058598</v>
      </c>
      <c r="N783" s="74">
        <f t="shared" si="132"/>
        <v>-21723.533859219981</v>
      </c>
      <c r="O783" s="74">
        <f t="shared" si="133"/>
        <v>-76602.673411504889</v>
      </c>
      <c r="P783" s="74">
        <f t="shared" si="134"/>
        <v>79623.372806747866</v>
      </c>
    </row>
    <row r="784" spans="1:16" x14ac:dyDescent="0.3">
      <c r="A784" s="72">
        <f t="shared" si="121"/>
        <v>237.5</v>
      </c>
      <c r="B784" s="74">
        <f t="shared" si="122"/>
        <v>12902.210341313703</v>
      </c>
      <c r="C784" s="74">
        <f t="shared" si="123"/>
        <v>40058.084747286593</v>
      </c>
      <c r="D784" s="74">
        <f t="shared" si="124"/>
        <v>-7642.6470358125553</v>
      </c>
      <c r="E784" s="74">
        <f t="shared" si="125"/>
        <v>-3089.1773284365945</v>
      </c>
      <c r="F784" s="74">
        <f t="shared" si="119"/>
        <v>63.462159715946186</v>
      </c>
      <c r="G784" s="74">
        <f t="shared" si="120"/>
        <v>-3957.5597432330178</v>
      </c>
      <c r="H784" s="74">
        <f t="shared" si="126"/>
        <v>7097.7896586862971</v>
      </c>
      <c r="I784" s="74">
        <f t="shared" si="127"/>
        <v>-20058.084747286593</v>
      </c>
      <c r="J784" s="74">
        <f t="shared" si="128"/>
        <v>21276.87434207114</v>
      </c>
      <c r="K784" s="74">
        <f t="shared" si="129"/>
        <v>-32902.210341313701</v>
      </c>
      <c r="L784" s="74">
        <f t="shared" si="130"/>
        <v>-20058.084747286593</v>
      </c>
      <c r="M784" s="74">
        <f t="shared" si="131"/>
        <v>38534.169370487034</v>
      </c>
      <c r="N784" s="74">
        <f t="shared" si="132"/>
        <v>-17902.210341313701</v>
      </c>
      <c r="O784" s="74">
        <f t="shared" si="133"/>
        <v>-75058.084747286601</v>
      </c>
      <c r="P784" s="74">
        <f t="shared" si="134"/>
        <v>77163.496687459003</v>
      </c>
    </row>
    <row r="785" spans="1:16" x14ac:dyDescent="0.3">
      <c r="A785" s="72">
        <f t="shared" si="121"/>
        <v>238</v>
      </c>
      <c r="B785" s="74">
        <f t="shared" si="122"/>
        <v>9096.7523633364126</v>
      </c>
      <c r="C785" s="74">
        <f t="shared" si="123"/>
        <v>37524.106147260041</v>
      </c>
      <c r="D785" s="74">
        <f t="shared" si="124"/>
        <v>-7610.9159559545824</v>
      </c>
      <c r="E785" s="74">
        <f t="shared" si="125"/>
        <v>-5067.9572000531034</v>
      </c>
      <c r="F785" s="74">
        <f t="shared" si="119"/>
        <v>536.9975366633646</v>
      </c>
      <c r="G785" s="74">
        <f t="shared" si="120"/>
        <v>-3973.1064546592688</v>
      </c>
      <c r="H785" s="74">
        <f t="shared" si="126"/>
        <v>10903.247636663587</v>
      </c>
      <c r="I785" s="74">
        <f t="shared" si="127"/>
        <v>-17524.106147260041</v>
      </c>
      <c r="J785" s="74">
        <f t="shared" si="128"/>
        <v>20639.164355342666</v>
      </c>
      <c r="K785" s="74">
        <f t="shared" si="129"/>
        <v>-29096.752363336411</v>
      </c>
      <c r="L785" s="74">
        <f t="shared" si="130"/>
        <v>-17524.106147260041</v>
      </c>
      <c r="M785" s="74">
        <f t="shared" si="131"/>
        <v>33966.384770148266</v>
      </c>
      <c r="N785" s="74">
        <f t="shared" si="132"/>
        <v>-14096.752363336413</v>
      </c>
      <c r="O785" s="74">
        <f t="shared" si="133"/>
        <v>-72524.106147260041</v>
      </c>
      <c r="P785" s="74">
        <f t="shared" si="134"/>
        <v>73881.42120758284</v>
      </c>
    </row>
    <row r="786" spans="1:16" x14ac:dyDescent="0.3">
      <c r="A786" s="72">
        <f t="shared" si="121"/>
        <v>238.5</v>
      </c>
      <c r="B786" s="74">
        <f t="shared" si="122"/>
        <v>5425.543769524963</v>
      </c>
      <c r="C786" s="74">
        <f t="shared" si="123"/>
        <v>33996.850933568669</v>
      </c>
      <c r="D786" s="74">
        <f t="shared" si="124"/>
        <v>-7342.4171876229002</v>
      </c>
      <c r="E786" s="74">
        <f t="shared" si="125"/>
        <v>-7054.5104273827383</v>
      </c>
      <c r="F786" s="74">
        <f t="shared" si="119"/>
        <v>850.81768365177106</v>
      </c>
      <c r="G786" s="74">
        <f t="shared" si="120"/>
        <v>-3741.0311260385106</v>
      </c>
      <c r="H786" s="74">
        <f t="shared" si="126"/>
        <v>14574.456230475036</v>
      </c>
      <c r="I786" s="74">
        <f t="shared" si="127"/>
        <v>-13996.850933568669</v>
      </c>
      <c r="J786" s="74">
        <f t="shared" si="128"/>
        <v>20207.093073239772</v>
      </c>
      <c r="K786" s="74">
        <f t="shared" si="129"/>
        <v>-25425.543769524964</v>
      </c>
      <c r="L786" s="74">
        <f t="shared" si="130"/>
        <v>-13996.850933568669</v>
      </c>
      <c r="M786" s="74">
        <f t="shared" si="131"/>
        <v>29023.613007903958</v>
      </c>
      <c r="N786" s="74">
        <f t="shared" si="132"/>
        <v>-10425.543769524964</v>
      </c>
      <c r="O786" s="74">
        <f t="shared" si="133"/>
        <v>-68996.850933568669</v>
      </c>
      <c r="P786" s="74">
        <f t="shared" si="134"/>
        <v>69780.064500109031</v>
      </c>
    </row>
    <row r="787" spans="1:16" x14ac:dyDescent="0.3">
      <c r="A787" s="72">
        <f t="shared" si="121"/>
        <v>239</v>
      </c>
      <c r="B787" s="74">
        <f t="shared" si="122"/>
        <v>1967.0395966264557</v>
      </c>
      <c r="C787" s="74">
        <f t="shared" si="123"/>
        <v>29534.337938367673</v>
      </c>
      <c r="D787" s="74">
        <f t="shared" si="124"/>
        <v>-6917.008345797015</v>
      </c>
      <c r="E787" s="74">
        <f t="shared" si="125"/>
        <v>-8925.0259904019931</v>
      </c>
      <c r="F787" s="74">
        <f t="shared" si="119"/>
        <v>603.48492547228636</v>
      </c>
      <c r="G787" s="74">
        <f t="shared" si="120"/>
        <v>-3116.3053913681456</v>
      </c>
      <c r="H787" s="74">
        <f t="shared" si="126"/>
        <v>18032.960403373545</v>
      </c>
      <c r="I787" s="74">
        <f t="shared" si="127"/>
        <v>-9534.3379383676729</v>
      </c>
      <c r="J787" s="74">
        <f t="shared" si="128"/>
        <v>20398.315146909445</v>
      </c>
      <c r="K787" s="74">
        <f t="shared" si="129"/>
        <v>-21967.039596626455</v>
      </c>
      <c r="L787" s="74">
        <f t="shared" si="130"/>
        <v>-9534.3379383676729</v>
      </c>
      <c r="M787" s="74">
        <f t="shared" si="131"/>
        <v>23946.908538739437</v>
      </c>
      <c r="N787" s="74">
        <f t="shared" si="132"/>
        <v>-6967.0395966264559</v>
      </c>
      <c r="O787" s="74">
        <f t="shared" si="133"/>
        <v>-64534.337938367673</v>
      </c>
      <c r="P787" s="74">
        <f t="shared" si="134"/>
        <v>64909.324552674268</v>
      </c>
    </row>
    <row r="788" spans="1:16" x14ac:dyDescent="0.3">
      <c r="A788" s="72">
        <f t="shared" si="121"/>
        <v>239.5</v>
      </c>
      <c r="B788" s="74">
        <f t="shared" si="122"/>
        <v>-1340.5933449039801</v>
      </c>
      <c r="C788" s="74">
        <f t="shared" si="123"/>
        <v>24292.74859532464</v>
      </c>
      <c r="D788" s="74">
        <f t="shared" si="124"/>
        <v>-6615.2658830608716</v>
      </c>
      <c r="E788" s="74">
        <f t="shared" si="125"/>
        <v>-10483.178686086067</v>
      </c>
      <c r="F788" s="74">
        <f t="shared" si="119"/>
        <v>-732.40709783331931</v>
      </c>
      <c r="G788" s="74">
        <f t="shared" si="120"/>
        <v>-1982.0472689446783</v>
      </c>
      <c r="H788" s="74">
        <f t="shared" si="126"/>
        <v>21340.59334490398</v>
      </c>
      <c r="I788" s="74">
        <f t="shared" si="127"/>
        <v>-4292.7485953246396</v>
      </c>
      <c r="J788" s="74">
        <f t="shared" si="128"/>
        <v>21768.064103526103</v>
      </c>
      <c r="K788" s="74">
        <f t="shared" si="129"/>
        <v>-18659.40665509602</v>
      </c>
      <c r="L788" s="74">
        <f t="shared" si="130"/>
        <v>-4292.7485953246396</v>
      </c>
      <c r="M788" s="74">
        <f t="shared" si="131"/>
        <v>19146.831258015078</v>
      </c>
      <c r="N788" s="74">
        <f t="shared" si="132"/>
        <v>-3659.4066550960197</v>
      </c>
      <c r="O788" s="74">
        <f t="shared" si="133"/>
        <v>-59292.748595324636</v>
      </c>
      <c r="P788" s="74">
        <f t="shared" si="134"/>
        <v>59405.566179068875</v>
      </c>
    </row>
    <row r="789" spans="1:16" x14ac:dyDescent="0.3">
      <c r="A789" s="72">
        <f t="shared" si="121"/>
        <v>240</v>
      </c>
      <c r="B789" s="74">
        <f t="shared" si="122"/>
        <v>-4831.3280608927453</v>
      </c>
      <c r="C789" s="74">
        <f t="shared" si="123"/>
        <v>18555.647435045437</v>
      </c>
      <c r="D789" s="74">
        <f t="shared" si="124"/>
        <v>-6981.4694319775317</v>
      </c>
      <c r="E789" s="74">
        <f t="shared" si="125"/>
        <v>-11474.202320558406</v>
      </c>
      <c r="F789" s="74">
        <f t="shared" si="119"/>
        <v>-2971.6474172503417</v>
      </c>
      <c r="G789" s="74">
        <f t="shared" si="120"/>
        <v>68.219465733967127</v>
      </c>
      <c r="H789" s="74">
        <f t="shared" si="126"/>
        <v>24831.328060892745</v>
      </c>
      <c r="I789" s="74">
        <f t="shared" si="127"/>
        <v>1444.3525649545627</v>
      </c>
      <c r="J789" s="74">
        <f t="shared" si="128"/>
        <v>24873.299089577366</v>
      </c>
      <c r="K789" s="74">
        <f t="shared" si="129"/>
        <v>-15168.671939107255</v>
      </c>
      <c r="L789" s="74">
        <f t="shared" si="130"/>
        <v>1444.3525649545627</v>
      </c>
      <c r="M789" s="74">
        <f t="shared" si="131"/>
        <v>15237.281999364279</v>
      </c>
      <c r="N789" s="74">
        <f t="shared" si="132"/>
        <v>-168.67193910725473</v>
      </c>
      <c r="O789" s="74">
        <f t="shared" si="133"/>
        <v>-53555.647435045437</v>
      </c>
      <c r="P789" s="74">
        <f t="shared" si="134"/>
        <v>53555.913048046626</v>
      </c>
    </row>
    <row r="790" spans="1:16" x14ac:dyDescent="0.3">
      <c r="A790" s="72">
        <f t="shared" si="121"/>
        <v>240.5</v>
      </c>
      <c r="B790" s="74">
        <f t="shared" si="122"/>
        <v>-9064.9746311940962</v>
      </c>
      <c r="C790" s="74">
        <f t="shared" si="123"/>
        <v>12835.601141199726</v>
      </c>
      <c r="D790" s="74">
        <f t="shared" si="124"/>
        <v>-8467.2931406027019</v>
      </c>
      <c r="E790" s="74">
        <f t="shared" si="125"/>
        <v>-11440.092587691423</v>
      </c>
      <c r="F790" s="74">
        <f t="shared" si="119"/>
        <v>-3834.1089879921437</v>
      </c>
      <c r="G790" s="74">
        <f t="shared" si="120"/>
        <v>3391.9932272990472</v>
      </c>
      <c r="H790" s="74">
        <f t="shared" si="126"/>
        <v>29064.974631194098</v>
      </c>
      <c r="I790" s="74">
        <f t="shared" si="127"/>
        <v>7164.398858800274</v>
      </c>
      <c r="J790" s="74">
        <f t="shared" si="128"/>
        <v>29934.952168325493</v>
      </c>
      <c r="K790" s="74">
        <f t="shared" si="129"/>
        <v>-10935.025368805904</v>
      </c>
      <c r="L790" s="74">
        <f t="shared" si="130"/>
        <v>7164.398858800274</v>
      </c>
      <c r="M790" s="74">
        <f t="shared" si="131"/>
        <v>13073.002364583561</v>
      </c>
      <c r="N790" s="74">
        <f t="shared" si="132"/>
        <v>4064.9746311940962</v>
      </c>
      <c r="O790" s="74">
        <f t="shared" si="133"/>
        <v>-47835.601141199724</v>
      </c>
      <c r="P790" s="74">
        <f t="shared" si="134"/>
        <v>48008.007199759915</v>
      </c>
    </row>
    <row r="791" spans="1:16" x14ac:dyDescent="0.3">
      <c r="A791" s="72">
        <f t="shared" si="121"/>
        <v>241</v>
      </c>
      <c r="B791" s="74">
        <f t="shared" si="122"/>
        <v>-14257.148448493483</v>
      </c>
      <c r="C791" s="74">
        <f t="shared" si="123"/>
        <v>7963.5531541787768</v>
      </c>
      <c r="D791" s="74">
        <f t="shared" si="124"/>
        <v>-10384.347634598773</v>
      </c>
      <c r="E791" s="74">
        <f t="shared" si="125"/>
        <v>-9744.0959740418984</v>
      </c>
      <c r="F791" s="74">
        <f t="shared" si="119"/>
        <v>-1460.8958935510079</v>
      </c>
      <c r="G791" s="74">
        <f t="shared" si="120"/>
        <v>5498.8022296771269</v>
      </c>
      <c r="H791" s="74">
        <f t="shared" si="126"/>
        <v>34257.148448493484</v>
      </c>
      <c r="I791" s="74">
        <f t="shared" si="127"/>
        <v>12036.446845821223</v>
      </c>
      <c r="J791" s="74">
        <f t="shared" si="128"/>
        <v>36310.167618649175</v>
      </c>
      <c r="K791" s="74">
        <f t="shared" si="129"/>
        <v>-5742.8515515065174</v>
      </c>
      <c r="L791" s="74">
        <f t="shared" si="130"/>
        <v>12036.446845821223</v>
      </c>
      <c r="M791" s="74">
        <f t="shared" si="131"/>
        <v>13336.281213851202</v>
      </c>
      <c r="N791" s="74">
        <f t="shared" si="132"/>
        <v>9257.1484484934826</v>
      </c>
      <c r="O791" s="74">
        <f t="shared" si="133"/>
        <v>-42963.553154178779</v>
      </c>
      <c r="P791" s="74">
        <f t="shared" si="134"/>
        <v>43949.535799930702</v>
      </c>
    </row>
    <row r="792" spans="1:16" x14ac:dyDescent="0.3">
      <c r="A792" s="72">
        <f t="shared" si="121"/>
        <v>241.5</v>
      </c>
      <c r="B792" s="74">
        <f t="shared" si="122"/>
        <v>-19814.546239180621</v>
      </c>
      <c r="C792" s="74">
        <f t="shared" si="123"/>
        <v>4466.2057245771093</v>
      </c>
      <c r="D792" s="74">
        <f t="shared" si="124"/>
        <v>-11114.795581374277</v>
      </c>
      <c r="E792" s="74">
        <f t="shared" si="125"/>
        <v>-6994.694859203335</v>
      </c>
      <c r="F792" s="74">
        <f t="shared" si="119"/>
        <v>1130.9143617846253</v>
      </c>
      <c r="G792" s="74">
        <f t="shared" si="120"/>
        <v>4794.8750101775331</v>
      </c>
      <c r="H792" s="74">
        <f t="shared" si="126"/>
        <v>39814.546239180621</v>
      </c>
      <c r="I792" s="74">
        <f t="shared" si="127"/>
        <v>15533.79427542289</v>
      </c>
      <c r="J792" s="74">
        <f t="shared" si="128"/>
        <v>42737.534519705427</v>
      </c>
      <c r="K792" s="74">
        <f t="shared" si="129"/>
        <v>-185.45376081937866</v>
      </c>
      <c r="L792" s="74">
        <f t="shared" si="130"/>
        <v>15533.79427542289</v>
      </c>
      <c r="M792" s="74">
        <f t="shared" si="131"/>
        <v>15534.901277078108</v>
      </c>
      <c r="N792" s="74">
        <f t="shared" si="132"/>
        <v>14814.546239180621</v>
      </c>
      <c r="O792" s="74">
        <f t="shared" si="133"/>
        <v>-39466.205724577107</v>
      </c>
      <c r="P792" s="74">
        <f t="shared" si="134"/>
        <v>42155.096661820899</v>
      </c>
    </row>
    <row r="793" spans="1:16" x14ac:dyDescent="0.3">
      <c r="A793" s="72">
        <f t="shared" si="121"/>
        <v>242</v>
      </c>
      <c r="B793" s="74">
        <f t="shared" si="122"/>
        <v>-25089.215439421601</v>
      </c>
      <c r="C793" s="74">
        <f t="shared" si="123"/>
        <v>2167.5770475198251</v>
      </c>
      <c r="D793" s="74">
        <f t="shared" si="124"/>
        <v>-10549.338400481965</v>
      </c>
      <c r="E793" s="74">
        <f t="shared" si="125"/>
        <v>-4597.2573541145684</v>
      </c>
      <c r="F793" s="74">
        <f t="shared" si="119"/>
        <v>2247.5019686764913</v>
      </c>
      <c r="G793" s="74">
        <f t="shared" si="120"/>
        <v>3372.4033183150391</v>
      </c>
      <c r="H793" s="74">
        <f t="shared" si="126"/>
        <v>45089.215439421605</v>
      </c>
      <c r="I793" s="74">
        <f t="shared" si="127"/>
        <v>17832.422952480174</v>
      </c>
      <c r="J793" s="74">
        <f t="shared" si="128"/>
        <v>48487.448451106575</v>
      </c>
      <c r="K793" s="74">
        <f t="shared" si="129"/>
        <v>5089.2154394216013</v>
      </c>
      <c r="L793" s="74">
        <f t="shared" si="130"/>
        <v>17832.422952480174</v>
      </c>
      <c r="M793" s="74">
        <f t="shared" si="131"/>
        <v>18544.417546663171</v>
      </c>
      <c r="N793" s="74">
        <f t="shared" si="132"/>
        <v>20089.215439421601</v>
      </c>
      <c r="O793" s="74">
        <f t="shared" si="133"/>
        <v>-37167.577047519822</v>
      </c>
      <c r="P793" s="74">
        <f t="shared" si="134"/>
        <v>42249.323788136746</v>
      </c>
    </row>
    <row r="794" spans="1:16" x14ac:dyDescent="0.3">
      <c r="A794" s="72">
        <f t="shared" si="121"/>
        <v>242.5</v>
      </c>
      <c r="B794" s="74">
        <f t="shared" si="122"/>
        <v>-29802.009147493463</v>
      </c>
      <c r="C794" s="74">
        <f t="shared" si="123"/>
        <v>712.04920004130065</v>
      </c>
      <c r="D794" s="74">
        <f t="shared" si="124"/>
        <v>-9425.5874161437205</v>
      </c>
      <c r="E794" s="74">
        <f t="shared" si="125"/>
        <v>-2911.0556949570491</v>
      </c>
      <c r="F794" s="74">
        <f t="shared" si="119"/>
        <v>2513.9444316754002</v>
      </c>
      <c r="G794" s="74">
        <f t="shared" si="120"/>
        <v>2321.2805532341335</v>
      </c>
      <c r="H794" s="74">
        <f t="shared" si="126"/>
        <v>49802.00914749346</v>
      </c>
      <c r="I794" s="74">
        <f t="shared" si="127"/>
        <v>19287.9507999587</v>
      </c>
      <c r="J794" s="74">
        <f t="shared" si="128"/>
        <v>53406.602224712347</v>
      </c>
      <c r="K794" s="74">
        <f t="shared" si="129"/>
        <v>9802.0091474934634</v>
      </c>
      <c r="L794" s="74">
        <f t="shared" si="130"/>
        <v>19287.9507999587</v>
      </c>
      <c r="M794" s="74">
        <f t="shared" si="131"/>
        <v>21635.721143266128</v>
      </c>
      <c r="N794" s="74">
        <f t="shared" si="132"/>
        <v>24802.009147493463</v>
      </c>
      <c r="O794" s="74">
        <f t="shared" si="133"/>
        <v>-35712.0492000413</v>
      </c>
      <c r="P794" s="74">
        <f t="shared" si="134"/>
        <v>43479.766740617641</v>
      </c>
    </row>
    <row r="795" spans="1:16" x14ac:dyDescent="0.3">
      <c r="A795" s="72">
        <f t="shared" si="121"/>
        <v>243</v>
      </c>
      <c r="B795" s="74">
        <f t="shared" si="122"/>
        <v>-33886.316747646473</v>
      </c>
      <c r="C795" s="74">
        <f t="shared" si="123"/>
        <v>-163.15850912869053</v>
      </c>
      <c r="D795" s="74">
        <f t="shared" si="124"/>
        <v>-8168.6152003060206</v>
      </c>
      <c r="E795" s="74">
        <f t="shared" si="125"/>
        <v>-1750.4154183399824</v>
      </c>
      <c r="F795" s="74">
        <f t="shared" si="119"/>
        <v>2478.0592863124771</v>
      </c>
      <c r="G795" s="74">
        <f t="shared" si="120"/>
        <v>1667.1150236996164</v>
      </c>
      <c r="H795" s="74">
        <f t="shared" si="126"/>
        <v>53886.316747646473</v>
      </c>
      <c r="I795" s="74">
        <f t="shared" si="127"/>
        <v>20163.158509128691</v>
      </c>
      <c r="J795" s="74">
        <f t="shared" si="128"/>
        <v>57535.103143141518</v>
      </c>
      <c r="K795" s="74">
        <f t="shared" si="129"/>
        <v>13886.316747646473</v>
      </c>
      <c r="L795" s="74">
        <f t="shared" si="130"/>
        <v>20163.158509128691</v>
      </c>
      <c r="M795" s="74">
        <f t="shared" si="131"/>
        <v>24482.294702094729</v>
      </c>
      <c r="N795" s="74">
        <f t="shared" si="132"/>
        <v>28886.316747646473</v>
      </c>
      <c r="O795" s="74">
        <f t="shared" si="133"/>
        <v>-34836.841490871309</v>
      </c>
      <c r="P795" s="74">
        <f t="shared" si="134"/>
        <v>45255.108223331583</v>
      </c>
    </row>
    <row r="796" spans="1:16" x14ac:dyDescent="0.3">
      <c r="A796" s="72">
        <f t="shared" si="121"/>
        <v>243.5</v>
      </c>
      <c r="B796" s="74">
        <f t="shared" si="122"/>
        <v>-37351.109526221364</v>
      </c>
      <c r="C796" s="74">
        <f t="shared" si="123"/>
        <v>-621.58746237377773</v>
      </c>
      <c r="D796" s="74">
        <f t="shared" si="124"/>
        <v>-6929.5855571497823</v>
      </c>
      <c r="E796" s="74">
        <f t="shared" si="125"/>
        <v>-916.85790649017417</v>
      </c>
      <c r="F796" s="74">
        <f t="shared" si="119"/>
        <v>2361.8350305223285</v>
      </c>
      <c r="G796" s="74">
        <f t="shared" si="120"/>
        <v>1265.7161344025499</v>
      </c>
      <c r="H796" s="74">
        <f t="shared" si="126"/>
        <v>57351.109526221364</v>
      </c>
      <c r="I796" s="74">
        <f t="shared" si="127"/>
        <v>20621.587462373776</v>
      </c>
      <c r="J796" s="74">
        <f t="shared" si="128"/>
        <v>60945.874621314368</v>
      </c>
      <c r="K796" s="74">
        <f t="shared" si="129"/>
        <v>17351.109526221364</v>
      </c>
      <c r="L796" s="74">
        <f t="shared" si="130"/>
        <v>20621.587462373776</v>
      </c>
      <c r="M796" s="74">
        <f t="shared" si="131"/>
        <v>26950.15531048497</v>
      </c>
      <c r="N796" s="74">
        <f t="shared" si="132"/>
        <v>32351.109526221364</v>
      </c>
      <c r="O796" s="74">
        <f t="shared" si="133"/>
        <v>-34378.412537626224</v>
      </c>
      <c r="P796" s="74">
        <f t="shared" si="134"/>
        <v>47206.66834447001</v>
      </c>
    </row>
    <row r="797" spans="1:16" x14ac:dyDescent="0.3">
      <c r="A797" s="72">
        <f t="shared" si="121"/>
        <v>244</v>
      </c>
      <c r="B797" s="74">
        <f t="shared" si="122"/>
        <v>-40225.443547165676</v>
      </c>
      <c r="C797" s="74">
        <f t="shared" si="123"/>
        <v>-763.58738201822734</v>
      </c>
      <c r="D797" s="74">
        <f t="shared" si="124"/>
        <v>-5748.6680418886181</v>
      </c>
      <c r="E797" s="74">
        <f t="shared" si="125"/>
        <v>-283.99983928889924</v>
      </c>
      <c r="F797" s="74">
        <f t="shared" si="119"/>
        <v>2242.2194673041654</v>
      </c>
      <c r="G797" s="74">
        <f t="shared" si="120"/>
        <v>1013.0072572998135</v>
      </c>
      <c r="H797" s="74">
        <f t="shared" si="126"/>
        <v>60225.443547165676</v>
      </c>
      <c r="I797" s="74">
        <f t="shared" si="127"/>
        <v>20763.587382018228</v>
      </c>
      <c r="J797" s="74">
        <f t="shared" si="128"/>
        <v>63704.243276437606</v>
      </c>
      <c r="K797" s="74">
        <f t="shared" si="129"/>
        <v>20225.443547165676</v>
      </c>
      <c r="L797" s="74">
        <f t="shared" si="130"/>
        <v>20763.587382018228</v>
      </c>
      <c r="M797" s="74">
        <f t="shared" si="131"/>
        <v>28986.119568688257</v>
      </c>
      <c r="N797" s="74">
        <f t="shared" si="132"/>
        <v>35225.443547165676</v>
      </c>
      <c r="O797" s="74">
        <f t="shared" si="133"/>
        <v>-34236.412617981776</v>
      </c>
      <c r="P797" s="74">
        <f t="shared" si="134"/>
        <v>49121.928118135365</v>
      </c>
    </row>
    <row r="798" spans="1:16" x14ac:dyDescent="0.3">
      <c r="A798" s="72">
        <f t="shared" si="121"/>
        <v>244.5</v>
      </c>
      <c r="B798" s="74">
        <f t="shared" si="122"/>
        <v>-42539.22270128395</v>
      </c>
      <c r="C798" s="74">
        <f t="shared" si="123"/>
        <v>-652.33548733772363</v>
      </c>
      <c r="D798" s="74">
        <f t="shared" si="124"/>
        <v>-4627.5583082365356</v>
      </c>
      <c r="E798" s="74">
        <f t="shared" si="125"/>
        <v>222.50378936100753</v>
      </c>
      <c r="F798" s="74">
        <f t="shared" si="119"/>
        <v>2144.1980235522278</v>
      </c>
      <c r="G798" s="74">
        <f t="shared" si="120"/>
        <v>849.38610632255791</v>
      </c>
      <c r="H798" s="74">
        <f t="shared" si="126"/>
        <v>62539.22270128395</v>
      </c>
      <c r="I798" s="74">
        <f t="shared" si="127"/>
        <v>20652.335487337725</v>
      </c>
      <c r="J798" s="74">
        <f t="shared" si="128"/>
        <v>65861.015306191097</v>
      </c>
      <c r="K798" s="74">
        <f t="shared" si="129"/>
        <v>22539.22270128395</v>
      </c>
      <c r="L798" s="74">
        <f t="shared" si="130"/>
        <v>20652.335487337725</v>
      </c>
      <c r="M798" s="74">
        <f t="shared" si="131"/>
        <v>30570.173716543104</v>
      </c>
      <c r="N798" s="74">
        <f t="shared" si="132"/>
        <v>37539.22270128395</v>
      </c>
      <c r="O798" s="74">
        <f t="shared" si="133"/>
        <v>-34347.664512662275</v>
      </c>
      <c r="P798" s="74">
        <f t="shared" si="134"/>
        <v>50881.777666380636</v>
      </c>
    </row>
    <row r="799" spans="1:16" x14ac:dyDescent="0.3">
      <c r="A799" s="72">
        <f t="shared" si="121"/>
        <v>245</v>
      </c>
      <c r="B799" s="74">
        <f t="shared" si="122"/>
        <v>-44316.952349514162</v>
      </c>
      <c r="C799" s="74">
        <f t="shared" si="123"/>
        <v>-328.73706607658045</v>
      </c>
      <c r="D799" s="74">
        <f t="shared" si="124"/>
        <v>-3555.4592964604217</v>
      </c>
      <c r="E799" s="74">
        <f t="shared" si="125"/>
        <v>647.19684252228649</v>
      </c>
      <c r="F799" s="74">
        <f t="shared" si="119"/>
        <v>2075.1678746568223</v>
      </c>
      <c r="G799" s="74">
        <f t="shared" si="120"/>
        <v>742.03418319199545</v>
      </c>
      <c r="H799" s="74">
        <f t="shared" si="126"/>
        <v>64316.952349514162</v>
      </c>
      <c r="I799" s="74">
        <f t="shared" si="127"/>
        <v>20328.737066076581</v>
      </c>
      <c r="J799" s="74">
        <f t="shared" si="128"/>
        <v>67453.153449126097</v>
      </c>
      <c r="K799" s="74">
        <f t="shared" si="129"/>
        <v>24316.952349514162</v>
      </c>
      <c r="L799" s="74">
        <f t="shared" si="130"/>
        <v>20328.737066076581</v>
      </c>
      <c r="M799" s="74">
        <f t="shared" si="131"/>
        <v>31694.979448963495</v>
      </c>
      <c r="N799" s="74">
        <f t="shared" si="132"/>
        <v>39316.952349514162</v>
      </c>
      <c r="O799" s="74">
        <f t="shared" si="133"/>
        <v>-34671.262933923419</v>
      </c>
      <c r="P799" s="74">
        <f t="shared" si="134"/>
        <v>52420.599152310526</v>
      </c>
    </row>
    <row r="800" spans="1:16" x14ac:dyDescent="0.3">
      <c r="A800" s="72">
        <f t="shared" si="121"/>
        <v>245.5</v>
      </c>
      <c r="B800" s="74">
        <f t="shared" si="122"/>
        <v>-45575.890029080168</v>
      </c>
      <c r="C800" s="74">
        <f t="shared" si="123"/>
        <v>180.36990098256166</v>
      </c>
      <c r="D800" s="74">
        <f t="shared" si="124"/>
        <v>-2517.8753591320105</v>
      </c>
      <c r="E800" s="74">
        <f t="shared" si="125"/>
        <v>1018.2139341182842</v>
      </c>
      <c r="F800" s="74">
        <f t="shared" si="119"/>
        <v>2037.2495660111915</v>
      </c>
      <c r="G800" s="74">
        <f t="shared" si="120"/>
        <v>672.93534496749771</v>
      </c>
      <c r="H800" s="74">
        <f t="shared" si="126"/>
        <v>65575.890029080168</v>
      </c>
      <c r="I800" s="74">
        <f t="shared" si="127"/>
        <v>19819.630099017439</v>
      </c>
      <c r="J800" s="74">
        <f t="shared" si="128"/>
        <v>68505.584373596095</v>
      </c>
      <c r="K800" s="74">
        <f t="shared" si="129"/>
        <v>25575.890029080168</v>
      </c>
      <c r="L800" s="74">
        <f t="shared" si="130"/>
        <v>19819.630099017439</v>
      </c>
      <c r="M800" s="74">
        <f t="shared" si="131"/>
        <v>32356.512297240573</v>
      </c>
      <c r="N800" s="74">
        <f t="shared" si="132"/>
        <v>40575.890029080168</v>
      </c>
      <c r="O800" s="74">
        <f t="shared" si="133"/>
        <v>-35180.369900982565</v>
      </c>
      <c r="P800" s="74">
        <f t="shared" si="134"/>
        <v>53703.456853558018</v>
      </c>
    </row>
    <row r="801" spans="1:16" x14ac:dyDescent="0.3">
      <c r="A801" s="72">
        <f t="shared" si="121"/>
        <v>246</v>
      </c>
      <c r="B801" s="74">
        <f t="shared" si="122"/>
        <v>-46325.515317143378</v>
      </c>
      <c r="C801" s="74">
        <f t="shared" si="123"/>
        <v>857.71070428357814</v>
      </c>
      <c r="D801" s="74">
        <f t="shared" si="124"/>
        <v>-1499.2505761264147</v>
      </c>
      <c r="E801" s="74">
        <f t="shared" si="125"/>
        <v>1354.6816066020331</v>
      </c>
      <c r="F801" s="74">
        <f t="shared" si="119"/>
        <v>2031.9615831534211</v>
      </c>
      <c r="G801" s="74">
        <f t="shared" si="120"/>
        <v>632.50480260885161</v>
      </c>
      <c r="H801" s="74">
        <f t="shared" si="126"/>
        <v>66325.515317143378</v>
      </c>
      <c r="I801" s="74">
        <f t="shared" si="127"/>
        <v>19142.289295716422</v>
      </c>
      <c r="J801" s="74">
        <f t="shared" si="128"/>
        <v>69032.609841766229</v>
      </c>
      <c r="K801" s="74">
        <f t="shared" si="129"/>
        <v>26325.515317143378</v>
      </c>
      <c r="L801" s="74">
        <f t="shared" si="130"/>
        <v>19142.289295716422</v>
      </c>
      <c r="M801" s="74">
        <f t="shared" si="131"/>
        <v>32549.347093206801</v>
      </c>
      <c r="N801" s="74">
        <f t="shared" si="132"/>
        <v>41325.515317143378</v>
      </c>
      <c r="O801" s="74">
        <f t="shared" si="133"/>
        <v>-35857.710704283578</v>
      </c>
      <c r="P801" s="74">
        <f t="shared" si="134"/>
        <v>54713.559865718344</v>
      </c>
    </row>
    <row r="802" spans="1:16" x14ac:dyDescent="0.3">
      <c r="A802" s="72">
        <f t="shared" si="121"/>
        <v>246.5</v>
      </c>
      <c r="B802" s="74">
        <f t="shared" si="122"/>
        <v>-46567.150209418229</v>
      </c>
      <c r="C802" s="74">
        <f t="shared" si="123"/>
        <v>1693.1777082368076</v>
      </c>
      <c r="D802" s="74">
        <f t="shared" si="124"/>
        <v>-483.26978454970413</v>
      </c>
      <c r="E802" s="74">
        <f t="shared" si="125"/>
        <v>1670.9340079064589</v>
      </c>
      <c r="F802" s="74">
        <f t="shared" si="119"/>
        <v>2062.4038052786309</v>
      </c>
      <c r="G802" s="74">
        <f t="shared" si="120"/>
        <v>616.5239784097646</v>
      </c>
      <c r="H802" s="74">
        <f t="shared" si="126"/>
        <v>66567.150209418236</v>
      </c>
      <c r="I802" s="74">
        <f t="shared" si="127"/>
        <v>18306.822291763194</v>
      </c>
      <c r="J802" s="74">
        <f t="shared" si="128"/>
        <v>69038.57783460959</v>
      </c>
      <c r="K802" s="74">
        <f t="shared" si="129"/>
        <v>26567.150209418229</v>
      </c>
      <c r="L802" s="74">
        <f t="shared" si="130"/>
        <v>18306.822291763194</v>
      </c>
      <c r="M802" s="74">
        <f t="shared" si="131"/>
        <v>32263.80654343174</v>
      </c>
      <c r="N802" s="74">
        <f t="shared" si="132"/>
        <v>41567.150209418229</v>
      </c>
      <c r="O802" s="74">
        <f t="shared" si="133"/>
        <v>-36693.177708236806</v>
      </c>
      <c r="P802" s="74">
        <f t="shared" si="134"/>
        <v>55445.624415823695</v>
      </c>
    </row>
    <row r="803" spans="1:16" x14ac:dyDescent="0.3">
      <c r="A803" s="72">
        <f t="shared" si="121"/>
        <v>247</v>
      </c>
      <c r="B803" s="74">
        <f t="shared" si="122"/>
        <v>-46293.184150373425</v>
      </c>
      <c r="C803" s="74">
        <f t="shared" si="123"/>
        <v>2682.7757067924781</v>
      </c>
      <c r="D803" s="74">
        <f t="shared" si="124"/>
        <v>547.93211808961132</v>
      </c>
      <c r="E803" s="74">
        <f t="shared" si="125"/>
        <v>1979.1959971113411</v>
      </c>
      <c r="F803" s="74">
        <f t="shared" si="119"/>
        <v>2134.984632528171</v>
      </c>
      <c r="G803" s="74">
        <f t="shared" si="120"/>
        <v>625.04025741093108</v>
      </c>
      <c r="H803" s="74">
        <f t="shared" si="126"/>
        <v>66293.184150373418</v>
      </c>
      <c r="I803" s="74">
        <f t="shared" si="127"/>
        <v>17317.224293207521</v>
      </c>
      <c r="J803" s="74">
        <f t="shared" si="128"/>
        <v>68517.680360740313</v>
      </c>
      <c r="K803" s="74">
        <f t="shared" si="129"/>
        <v>26293.184150373425</v>
      </c>
      <c r="L803" s="74">
        <f t="shared" si="130"/>
        <v>17317.224293207521</v>
      </c>
      <c r="M803" s="74">
        <f t="shared" si="131"/>
        <v>31483.611450827953</v>
      </c>
      <c r="N803" s="74">
        <f t="shared" si="132"/>
        <v>41293.184150373425</v>
      </c>
      <c r="O803" s="74">
        <f t="shared" si="133"/>
        <v>-37682.775706792476</v>
      </c>
      <c r="P803" s="74">
        <f t="shared" si="134"/>
        <v>55902.760595922991</v>
      </c>
    </row>
    <row r="804" spans="1:16" x14ac:dyDescent="0.3">
      <c r="A804" s="72">
        <f t="shared" si="121"/>
        <v>247.5</v>
      </c>
      <c r="B804" s="74">
        <f t="shared" si="122"/>
        <v>-45485.471933196575</v>
      </c>
      <c r="C804" s="74">
        <f t="shared" si="123"/>
        <v>3828.6337697008812</v>
      </c>
      <c r="D804" s="74">
        <f t="shared" si="124"/>
        <v>1615.4244343536968</v>
      </c>
      <c r="E804" s="74">
        <f t="shared" si="125"/>
        <v>2291.7161258168067</v>
      </c>
      <c r="F804" s="74">
        <f t="shared" si="119"/>
        <v>2261.9262534818631</v>
      </c>
      <c r="G804" s="74">
        <f t="shared" si="120"/>
        <v>662.83185077487315</v>
      </c>
      <c r="H804" s="74">
        <f t="shared" si="126"/>
        <v>65485.471933196575</v>
      </c>
      <c r="I804" s="74">
        <f t="shared" si="127"/>
        <v>16171.366230299118</v>
      </c>
      <c r="J804" s="74">
        <f t="shared" si="128"/>
        <v>67452.650949150513</v>
      </c>
      <c r="K804" s="74">
        <f t="shared" si="129"/>
        <v>25485.471933196575</v>
      </c>
      <c r="L804" s="74">
        <f t="shared" si="130"/>
        <v>16171.366230299118</v>
      </c>
      <c r="M804" s="74">
        <f t="shared" si="131"/>
        <v>30183.147042881545</v>
      </c>
      <c r="N804" s="74">
        <f t="shared" si="132"/>
        <v>40485.471933196575</v>
      </c>
      <c r="O804" s="74">
        <f t="shared" si="133"/>
        <v>-38828.633769700878</v>
      </c>
      <c r="P804" s="74">
        <f t="shared" si="134"/>
        <v>56095.777364033405</v>
      </c>
    </row>
    <row r="805" spans="1:16" x14ac:dyDescent="0.3">
      <c r="A805" s="72">
        <f t="shared" si="121"/>
        <v>248</v>
      </c>
      <c r="B805" s="74">
        <f t="shared" si="122"/>
        <v>-44112.278152649262</v>
      </c>
      <c r="C805" s="74">
        <f t="shared" si="123"/>
        <v>5140.1997953030032</v>
      </c>
      <c r="D805" s="74">
        <f t="shared" si="124"/>
        <v>2746.3875610946284</v>
      </c>
      <c r="E805" s="74">
        <f t="shared" si="125"/>
        <v>2623.132051204243</v>
      </c>
      <c r="F805" s="74">
        <f t="shared" si="119"/>
        <v>2466.2118411574202</v>
      </c>
      <c r="G805" s="74">
        <f t="shared" si="120"/>
        <v>741.99840208505327</v>
      </c>
      <c r="H805" s="74">
        <f t="shared" si="126"/>
        <v>64112.278152649262</v>
      </c>
      <c r="I805" s="74">
        <f t="shared" si="127"/>
        <v>14859.800204696996</v>
      </c>
      <c r="J805" s="74">
        <f t="shared" si="128"/>
        <v>65811.83686880485</v>
      </c>
      <c r="K805" s="74">
        <f t="shared" si="129"/>
        <v>24112.278152649262</v>
      </c>
      <c r="L805" s="74">
        <f t="shared" si="130"/>
        <v>14859.800204696996</v>
      </c>
      <c r="M805" s="74">
        <f t="shared" si="131"/>
        <v>28323.41116169166</v>
      </c>
      <c r="N805" s="74">
        <f t="shared" si="132"/>
        <v>39112.278152649262</v>
      </c>
      <c r="O805" s="74">
        <f t="shared" si="133"/>
        <v>-40140.199795303</v>
      </c>
      <c r="P805" s="74">
        <f t="shared" si="134"/>
        <v>56044.678087192617</v>
      </c>
    </row>
    <row r="806" spans="1:16" x14ac:dyDescent="0.3">
      <c r="A806" s="72">
        <f t="shared" si="121"/>
        <v>248.5</v>
      </c>
      <c r="B806" s="74">
        <f t="shared" si="122"/>
        <v>-42122.53141181259</v>
      </c>
      <c r="C806" s="74">
        <f t="shared" si="123"/>
        <v>6637.2654214263875</v>
      </c>
      <c r="D806" s="74">
        <f t="shared" si="124"/>
        <v>3979.4934816733385</v>
      </c>
      <c r="E806" s="74">
        <f t="shared" si="125"/>
        <v>2994.1312522467697</v>
      </c>
      <c r="F806" s="74">
        <f t="shared" si="119"/>
        <v>2792.8502037958629</v>
      </c>
      <c r="G806" s="74">
        <f t="shared" si="120"/>
        <v>889.10869659718367</v>
      </c>
      <c r="H806" s="74">
        <f t="shared" si="126"/>
        <v>62122.53141181259</v>
      </c>
      <c r="I806" s="74">
        <f t="shared" si="127"/>
        <v>13362.734578573612</v>
      </c>
      <c r="J806" s="74">
        <f t="shared" si="128"/>
        <v>63543.462169046543</v>
      </c>
      <c r="K806" s="74">
        <f t="shared" si="129"/>
        <v>22122.53141181259</v>
      </c>
      <c r="L806" s="74">
        <f t="shared" si="130"/>
        <v>13362.734578573612</v>
      </c>
      <c r="M806" s="74">
        <f t="shared" si="131"/>
        <v>25845.097629609401</v>
      </c>
      <c r="N806" s="74">
        <f t="shared" si="132"/>
        <v>37122.53141181259</v>
      </c>
      <c r="O806" s="74">
        <f t="shared" si="133"/>
        <v>-41637.265421426389</v>
      </c>
      <c r="P806" s="74">
        <f t="shared" si="134"/>
        <v>55783.010049613869</v>
      </c>
    </row>
    <row r="807" spans="1:16" x14ac:dyDescent="0.3">
      <c r="A807" s="72">
        <f t="shared" si="121"/>
        <v>249</v>
      </c>
      <c r="B807" s="74">
        <f t="shared" si="122"/>
        <v>-39434.572120026955</v>
      </c>
      <c r="C807" s="74">
        <f t="shared" si="123"/>
        <v>8356.608221699069</v>
      </c>
      <c r="D807" s="74">
        <f t="shared" si="124"/>
        <v>5375.9185835712697</v>
      </c>
      <c r="E807" s="74">
        <f t="shared" si="125"/>
        <v>3438.6856005453615</v>
      </c>
      <c r="F807" s="74">
        <f t="shared" si="119"/>
        <v>3337.8488502809128</v>
      </c>
      <c r="G807" s="74">
        <f t="shared" si="120"/>
        <v>1165.1322231049671</v>
      </c>
      <c r="H807" s="74">
        <f t="shared" si="126"/>
        <v>59434.572120026955</v>
      </c>
      <c r="I807" s="74">
        <f t="shared" si="127"/>
        <v>11643.391778300931</v>
      </c>
      <c r="J807" s="74">
        <f t="shared" si="128"/>
        <v>60564.320645027394</v>
      </c>
      <c r="K807" s="74">
        <f t="shared" si="129"/>
        <v>19434.572120026955</v>
      </c>
      <c r="L807" s="74">
        <f t="shared" si="130"/>
        <v>11643.391778300931</v>
      </c>
      <c r="M807" s="74">
        <f t="shared" si="131"/>
        <v>22655.488641641226</v>
      </c>
      <c r="N807" s="74">
        <f t="shared" si="132"/>
        <v>34434.572120026955</v>
      </c>
      <c r="O807" s="74">
        <f t="shared" si="133"/>
        <v>-43356.608221699069</v>
      </c>
      <c r="P807" s="74">
        <f t="shared" si="134"/>
        <v>55367.275836718218</v>
      </c>
    </row>
    <row r="808" spans="1:16" x14ac:dyDescent="0.3">
      <c r="A808" s="72">
        <f t="shared" si="121"/>
        <v>249.5</v>
      </c>
      <c r="B808" s="74">
        <f t="shared" si="122"/>
        <v>-35912.150615671089</v>
      </c>
      <c r="C808" s="74">
        <f t="shared" si="123"/>
        <v>10367.234077747991</v>
      </c>
      <c r="D808" s="74">
        <f t="shared" si="124"/>
        <v>7044.8430087117258</v>
      </c>
      <c r="E808" s="74">
        <f t="shared" si="125"/>
        <v>4021.251712097845</v>
      </c>
      <c r="F808" s="74">
        <f t="shared" si="119"/>
        <v>4333.8824762379827</v>
      </c>
      <c r="G808" s="74">
        <f t="shared" si="120"/>
        <v>1729.5946384388342</v>
      </c>
      <c r="H808" s="74">
        <f t="shared" si="126"/>
        <v>55912.150615671089</v>
      </c>
      <c r="I808" s="74">
        <f t="shared" si="127"/>
        <v>9632.7659222520087</v>
      </c>
      <c r="J808" s="74">
        <f t="shared" si="128"/>
        <v>56735.868423620595</v>
      </c>
      <c r="K808" s="74">
        <f t="shared" si="129"/>
        <v>15912.150615671089</v>
      </c>
      <c r="L808" s="74">
        <f t="shared" si="130"/>
        <v>9632.7659222520087</v>
      </c>
      <c r="M808" s="74">
        <f t="shared" si="131"/>
        <v>18600.718172390589</v>
      </c>
      <c r="N808" s="74">
        <f t="shared" si="132"/>
        <v>30912.150615671089</v>
      </c>
      <c r="O808" s="74">
        <f t="shared" si="133"/>
        <v>-45367.234077747991</v>
      </c>
      <c r="P808" s="74">
        <f t="shared" si="134"/>
        <v>54897.604533814709</v>
      </c>
    </row>
    <row r="809" spans="1:16" x14ac:dyDescent="0.3">
      <c r="A809" s="72">
        <f t="shared" si="121"/>
        <v>250</v>
      </c>
      <c r="B809" s="74">
        <f t="shared" si="122"/>
        <v>-31306.258492255733</v>
      </c>
      <c r="C809" s="74">
        <f t="shared" si="123"/>
        <v>12810.258593406623</v>
      </c>
      <c r="D809" s="74">
        <f t="shared" si="124"/>
        <v>9211.7842468307172</v>
      </c>
      <c r="E809" s="74">
        <f t="shared" si="125"/>
        <v>4886.0490313172622</v>
      </c>
      <c r="F809" s="74">
        <f t="shared" si="119"/>
        <v>6429.0467466044383</v>
      </c>
      <c r="G809" s="74">
        <f t="shared" si="120"/>
        <v>3092.512360067356</v>
      </c>
      <c r="H809" s="74">
        <f t="shared" si="126"/>
        <v>51306.258492255729</v>
      </c>
      <c r="I809" s="74">
        <f t="shared" si="127"/>
        <v>7189.7414065933772</v>
      </c>
      <c r="J809" s="74">
        <f t="shared" si="128"/>
        <v>51807.572245453142</v>
      </c>
      <c r="K809" s="74">
        <f t="shared" si="129"/>
        <v>11306.258492255733</v>
      </c>
      <c r="L809" s="74">
        <f t="shared" si="130"/>
        <v>7189.7414065933772</v>
      </c>
      <c r="M809" s="74">
        <f t="shared" si="131"/>
        <v>13398.65152123109</v>
      </c>
      <c r="N809" s="74">
        <f t="shared" si="132"/>
        <v>26306.258492255733</v>
      </c>
      <c r="O809" s="74">
        <f t="shared" si="133"/>
        <v>-47810.258593406623</v>
      </c>
      <c r="P809" s="74">
        <f t="shared" si="134"/>
        <v>54569.589174097586</v>
      </c>
    </row>
    <row r="810" spans="1:16" x14ac:dyDescent="0.3">
      <c r="A810" s="72">
        <f t="shared" si="121"/>
        <v>250.5</v>
      </c>
      <c r="B810" s="74">
        <f t="shared" si="122"/>
        <v>-25093.104682189267</v>
      </c>
      <c r="C810" s="74">
        <f t="shared" si="123"/>
        <v>16026.411199082093</v>
      </c>
      <c r="D810" s="74">
        <f t="shared" si="124"/>
        <v>12426.307620132937</v>
      </c>
      <c r="E810" s="74">
        <f t="shared" si="125"/>
        <v>6432.3052113509402</v>
      </c>
      <c r="F810" s="74">
        <f t="shared" si="119"/>
        <v>10314.377241709844</v>
      </c>
      <c r="G810" s="74">
        <f t="shared" si="120"/>
        <v>6781.2146533279429</v>
      </c>
      <c r="H810" s="74">
        <f t="shared" si="126"/>
        <v>45093.104682189267</v>
      </c>
      <c r="I810" s="74">
        <f t="shared" si="127"/>
        <v>3973.5888009179071</v>
      </c>
      <c r="J810" s="74">
        <f t="shared" si="128"/>
        <v>45267.841762532262</v>
      </c>
      <c r="K810" s="74">
        <f t="shared" si="129"/>
        <v>5093.1046821892669</v>
      </c>
      <c r="L810" s="74">
        <f t="shared" si="130"/>
        <v>3973.5888009179071</v>
      </c>
      <c r="M810" s="74">
        <f t="shared" si="131"/>
        <v>6459.8082992081463</v>
      </c>
      <c r="N810" s="74">
        <f t="shared" si="132"/>
        <v>20093.104682189267</v>
      </c>
      <c r="O810" s="74">
        <f t="shared" si="133"/>
        <v>-51026.411199082097</v>
      </c>
      <c r="P810" s="74">
        <f t="shared" si="134"/>
        <v>54840.017283250629</v>
      </c>
    </row>
    <row r="811" spans="1:16" x14ac:dyDescent="0.3">
      <c r="A811" s="72">
        <f t="shared" si="121"/>
        <v>251</v>
      </c>
      <c r="B811" s="74">
        <f t="shared" si="122"/>
        <v>-16301.356561695336</v>
      </c>
      <c r="C811" s="74">
        <f t="shared" si="123"/>
        <v>20937.867468089549</v>
      </c>
      <c r="D811" s="74">
        <f t="shared" si="124"/>
        <v>17583.496240987857</v>
      </c>
      <c r="E811" s="74">
        <f t="shared" si="125"/>
        <v>9822.9125380149126</v>
      </c>
      <c r="F811" s="74">
        <f t="shared" si="119"/>
        <v>-9606.2354271083568</v>
      </c>
      <c r="G811" s="74">
        <f t="shared" si="120"/>
        <v>-3332.3630874268083</v>
      </c>
      <c r="H811" s="74">
        <f t="shared" si="126"/>
        <v>36301.356561695335</v>
      </c>
      <c r="I811" s="74">
        <f t="shared" si="127"/>
        <v>-937.86746808954922</v>
      </c>
      <c r="J811" s="74">
        <f t="shared" si="128"/>
        <v>36313.469726907701</v>
      </c>
      <c r="K811" s="74">
        <f t="shared" si="129"/>
        <v>-3698.6434383046635</v>
      </c>
      <c r="L811" s="74">
        <f t="shared" si="130"/>
        <v>-937.86746808954922</v>
      </c>
      <c r="M811" s="74">
        <f t="shared" si="131"/>
        <v>3815.6989754715773</v>
      </c>
      <c r="N811" s="74">
        <f t="shared" si="132"/>
        <v>11301.356561695336</v>
      </c>
      <c r="O811" s="74">
        <f t="shared" si="133"/>
        <v>-55937.867468089549</v>
      </c>
      <c r="P811" s="74">
        <f t="shared" si="134"/>
        <v>57068.079317707248</v>
      </c>
    </row>
    <row r="812" spans="1:16" x14ac:dyDescent="0.3">
      <c r="A812" s="72">
        <f t="shared" si="121"/>
        <v>251.5</v>
      </c>
      <c r="B812" s="74">
        <f t="shared" si="122"/>
        <v>-9911.1672979784962</v>
      </c>
      <c r="C812" s="74">
        <f t="shared" si="123"/>
        <v>25016.232965240302</v>
      </c>
      <c r="D812" s="74">
        <f t="shared" si="124"/>
        <v>12780.378527433679</v>
      </c>
      <c r="E812" s="74">
        <f t="shared" si="125"/>
        <v>8156.730994301508</v>
      </c>
      <c r="F812" s="74">
        <f t="shared" si="119"/>
        <v>-5417.9787794276945</v>
      </c>
      <c r="G812" s="74">
        <f t="shared" si="120"/>
        <v>-4340.281552700073</v>
      </c>
      <c r="H812" s="74">
        <f t="shared" si="126"/>
        <v>29911.167297978496</v>
      </c>
      <c r="I812" s="74">
        <f t="shared" si="127"/>
        <v>-5016.2329652403023</v>
      </c>
      <c r="J812" s="74">
        <f t="shared" si="128"/>
        <v>30328.872750058181</v>
      </c>
      <c r="K812" s="74">
        <f t="shared" si="129"/>
        <v>-10088.832702021504</v>
      </c>
      <c r="L812" s="74">
        <f t="shared" si="130"/>
        <v>-5016.2329652403023</v>
      </c>
      <c r="M812" s="74">
        <f t="shared" si="131"/>
        <v>11267.082073498092</v>
      </c>
      <c r="N812" s="74">
        <f t="shared" si="132"/>
        <v>4911.1672979784962</v>
      </c>
      <c r="O812" s="74">
        <f t="shared" si="133"/>
        <v>-60016.232965240299</v>
      </c>
      <c r="P812" s="74">
        <f t="shared" si="134"/>
        <v>60216.839700923614</v>
      </c>
    </row>
    <row r="813" spans="1:16" x14ac:dyDescent="0.3">
      <c r="A813" s="72">
        <f t="shared" si="121"/>
        <v>252</v>
      </c>
      <c r="B813" s="74">
        <f t="shared" si="122"/>
        <v>-4875.4727291185809</v>
      </c>
      <c r="C813" s="74">
        <f t="shared" si="123"/>
        <v>28009.528074216036</v>
      </c>
      <c r="D813" s="74">
        <f t="shared" si="124"/>
        <v>10071.389137719831</v>
      </c>
      <c r="E813" s="74">
        <f t="shared" si="125"/>
        <v>5986.5902179514715</v>
      </c>
      <c r="F813" s="74">
        <f t="shared" si="119"/>
        <v>-1910.2130212998231</v>
      </c>
      <c r="G813" s="74">
        <f t="shared" si="120"/>
        <v>-3309.5546745547822</v>
      </c>
      <c r="H813" s="74">
        <f t="shared" si="126"/>
        <v>24875.472729118581</v>
      </c>
      <c r="I813" s="74">
        <f t="shared" si="127"/>
        <v>-8009.5280742160357</v>
      </c>
      <c r="J813" s="74">
        <f t="shared" si="128"/>
        <v>26133.152956900878</v>
      </c>
      <c r="K813" s="74">
        <f t="shared" si="129"/>
        <v>-15124.527270881419</v>
      </c>
      <c r="L813" s="74">
        <f t="shared" si="130"/>
        <v>-8009.5280742160357</v>
      </c>
      <c r="M813" s="74">
        <f t="shared" si="131"/>
        <v>17114.434408980349</v>
      </c>
      <c r="N813" s="74">
        <f t="shared" si="132"/>
        <v>-124.5272708814191</v>
      </c>
      <c r="O813" s="74">
        <f t="shared" si="133"/>
        <v>-63009.528074216039</v>
      </c>
      <c r="P813" s="74">
        <f t="shared" si="134"/>
        <v>63009.651127240919</v>
      </c>
    </row>
    <row r="814" spans="1:16" x14ac:dyDescent="0.3">
      <c r="A814" s="72">
        <f t="shared" si="121"/>
        <v>252.5</v>
      </c>
      <c r="B814" s="74">
        <f t="shared" si="122"/>
        <v>-317.33141558362138</v>
      </c>
      <c r="C814" s="74">
        <f t="shared" si="123"/>
        <v>30175.434514553079</v>
      </c>
      <c r="D814" s="74">
        <f t="shared" si="124"/>
        <v>9116.2826270699188</v>
      </c>
      <c r="E814" s="74">
        <f t="shared" si="125"/>
        <v>4331.8128806740806</v>
      </c>
      <c r="F814" s="74">
        <f t="shared" si="119"/>
        <v>-125.92315978558052</v>
      </c>
      <c r="G814" s="74">
        <f t="shared" si="120"/>
        <v>-3121.9730792528726</v>
      </c>
      <c r="H814" s="74">
        <f t="shared" si="126"/>
        <v>20317.33141558362</v>
      </c>
      <c r="I814" s="74">
        <f t="shared" si="127"/>
        <v>-10175.434514553079</v>
      </c>
      <c r="J814" s="74">
        <f t="shared" si="128"/>
        <v>22722.971271614526</v>
      </c>
      <c r="K814" s="74">
        <f t="shared" si="129"/>
        <v>-19682.66858441638</v>
      </c>
      <c r="L814" s="74">
        <f t="shared" si="130"/>
        <v>-10175.434514553079</v>
      </c>
      <c r="M814" s="74">
        <f t="shared" si="131"/>
        <v>22157.321818395147</v>
      </c>
      <c r="N814" s="74">
        <f t="shared" si="132"/>
        <v>-4682.6685844163785</v>
      </c>
      <c r="O814" s="74">
        <f t="shared" si="133"/>
        <v>-65175.434514553082</v>
      </c>
      <c r="P814" s="74">
        <f t="shared" si="134"/>
        <v>65343.436160277626</v>
      </c>
    </row>
    <row r="815" spans="1:16" x14ac:dyDescent="0.3">
      <c r="A815" s="72">
        <f t="shared" si="121"/>
        <v>253</v>
      </c>
      <c r="B815" s="74">
        <f t="shared" si="122"/>
        <v>4209.329108004943</v>
      </c>
      <c r="C815" s="74">
        <f t="shared" si="123"/>
        <v>31560.8476850769</v>
      </c>
      <c r="D815" s="74">
        <f t="shared" si="124"/>
        <v>9053.321047177129</v>
      </c>
      <c r="E815" s="74">
        <f t="shared" si="125"/>
        <v>2770.8263410476443</v>
      </c>
      <c r="F815" s="74">
        <f t="shared" si="119"/>
        <v>999.40143027253919</v>
      </c>
      <c r="G815" s="74">
        <f t="shared" si="120"/>
        <v>-3544.8465875402967</v>
      </c>
      <c r="H815" s="74">
        <f t="shared" si="126"/>
        <v>15790.670891995058</v>
      </c>
      <c r="I815" s="74">
        <f t="shared" si="127"/>
        <v>-11560.8476850769</v>
      </c>
      <c r="J815" s="74">
        <f t="shared" si="128"/>
        <v>19570.347120499624</v>
      </c>
      <c r="K815" s="74">
        <f t="shared" si="129"/>
        <v>-24209.329108004942</v>
      </c>
      <c r="L815" s="74">
        <f t="shared" si="130"/>
        <v>-11560.8476850769</v>
      </c>
      <c r="M815" s="74">
        <f t="shared" si="131"/>
        <v>26828.060217936803</v>
      </c>
      <c r="N815" s="74">
        <f t="shared" si="132"/>
        <v>-9209.3291080049421</v>
      </c>
      <c r="O815" s="74">
        <f t="shared" si="133"/>
        <v>-66560.847685076908</v>
      </c>
      <c r="P815" s="74">
        <f t="shared" si="134"/>
        <v>67194.926796414889</v>
      </c>
    </row>
    <row r="816" spans="1:16" x14ac:dyDescent="0.3">
      <c r="A816" s="72">
        <f t="shared" si="121"/>
        <v>253.5</v>
      </c>
      <c r="B816" s="74">
        <f t="shared" si="122"/>
        <v>8985.8399891616427</v>
      </c>
      <c r="C816" s="74">
        <f t="shared" si="123"/>
        <v>32060.049208715653</v>
      </c>
      <c r="D816" s="74">
        <f t="shared" si="124"/>
        <v>9553.0217623133994</v>
      </c>
      <c r="E816" s="74">
        <f t="shared" si="125"/>
        <v>998.40304727749594</v>
      </c>
      <c r="F816" s="74">
        <f t="shared" si="119"/>
        <v>1754.1470255468057</v>
      </c>
      <c r="G816" s="74">
        <f t="shared" si="120"/>
        <v>-4667.0074813677275</v>
      </c>
      <c r="H816" s="74">
        <f t="shared" si="126"/>
        <v>11014.160010838357</v>
      </c>
      <c r="I816" s="74">
        <f t="shared" si="127"/>
        <v>-12060.049208715653</v>
      </c>
      <c r="J816" s="74">
        <f t="shared" si="128"/>
        <v>16332.682194330295</v>
      </c>
      <c r="K816" s="74">
        <f t="shared" si="129"/>
        <v>-28985.839989161643</v>
      </c>
      <c r="L816" s="74">
        <f t="shared" si="130"/>
        <v>-12060.049208715653</v>
      </c>
      <c r="M816" s="74">
        <f t="shared" si="131"/>
        <v>31394.644555941788</v>
      </c>
      <c r="N816" s="74">
        <f t="shared" si="132"/>
        <v>-13985.839989161643</v>
      </c>
      <c r="O816" s="74">
        <f t="shared" si="133"/>
        <v>-67060.049208715645</v>
      </c>
      <c r="P816" s="74">
        <f t="shared" si="134"/>
        <v>68502.94825828883</v>
      </c>
    </row>
    <row r="817" spans="1:16" x14ac:dyDescent="0.3">
      <c r="A817" s="72">
        <f t="shared" si="121"/>
        <v>254</v>
      </c>
      <c r="B817" s="74">
        <f t="shared" si="122"/>
        <v>14200.887626705045</v>
      </c>
      <c r="C817" s="74">
        <f t="shared" si="123"/>
        <v>31392.498862012471</v>
      </c>
      <c r="D817" s="74">
        <f t="shared" si="124"/>
        <v>10430.095275086802</v>
      </c>
      <c r="E817" s="74">
        <f t="shared" si="125"/>
        <v>-1335.1006934063678</v>
      </c>
      <c r="F817" s="74">
        <f t="shared" si="119"/>
        <v>1835.8990114098096</v>
      </c>
      <c r="G817" s="74">
        <f t="shared" si="120"/>
        <v>-6936.0707581333845</v>
      </c>
      <c r="H817" s="74">
        <f t="shared" si="126"/>
        <v>5799.1123732949545</v>
      </c>
      <c r="I817" s="74">
        <f t="shared" si="127"/>
        <v>-11392.498862012471</v>
      </c>
      <c r="J817" s="74">
        <f t="shared" si="128"/>
        <v>12783.533730508874</v>
      </c>
      <c r="K817" s="74">
        <f t="shared" si="129"/>
        <v>-34200.887626705044</v>
      </c>
      <c r="L817" s="74">
        <f t="shared" si="130"/>
        <v>-11392.498862012471</v>
      </c>
      <c r="M817" s="74">
        <f t="shared" si="131"/>
        <v>36048.436093337834</v>
      </c>
      <c r="N817" s="74">
        <f t="shared" si="132"/>
        <v>-19200.887626705044</v>
      </c>
      <c r="O817" s="74">
        <f t="shared" si="133"/>
        <v>-66392.498862012464</v>
      </c>
      <c r="P817" s="74">
        <f t="shared" si="134"/>
        <v>69113.225874615935</v>
      </c>
    </row>
    <row r="818" spans="1:16" x14ac:dyDescent="0.3">
      <c r="A818" s="72">
        <f t="shared" si="121"/>
        <v>254.5</v>
      </c>
      <c r="B818" s="74">
        <f t="shared" si="122"/>
        <v>19874.910017100898</v>
      </c>
      <c r="C818" s="74">
        <f t="shared" si="123"/>
        <v>28990.93082577594</v>
      </c>
      <c r="D818" s="74">
        <f t="shared" si="124"/>
        <v>11348.044780791706</v>
      </c>
      <c r="E818" s="74">
        <f t="shared" si="125"/>
        <v>-4803.1360724730603</v>
      </c>
      <c r="F818" s="74">
        <f t="shared" si="119"/>
        <v>-977.48204596701362</v>
      </c>
      <c r="G818" s="74">
        <f t="shared" si="120"/>
        <v>-10461.755342943086</v>
      </c>
      <c r="H818" s="74">
        <f t="shared" si="126"/>
        <v>125.08998289910232</v>
      </c>
      <c r="I818" s="74">
        <f t="shared" si="127"/>
        <v>-8990.9308257759403</v>
      </c>
      <c r="J818" s="74">
        <f t="shared" si="128"/>
        <v>8991.8009663086814</v>
      </c>
      <c r="K818" s="74">
        <f t="shared" si="129"/>
        <v>-39874.910017100898</v>
      </c>
      <c r="L818" s="74">
        <f t="shared" si="130"/>
        <v>-8990.9308257759403</v>
      </c>
      <c r="M818" s="74">
        <f t="shared" si="131"/>
        <v>40875.97443469429</v>
      </c>
      <c r="N818" s="74">
        <f t="shared" si="132"/>
        <v>-24874.910017100898</v>
      </c>
      <c r="O818" s="74">
        <f t="shared" si="133"/>
        <v>-63990.93082577594</v>
      </c>
      <c r="P818" s="74">
        <f t="shared" si="134"/>
        <v>68655.665289239667</v>
      </c>
    </row>
    <row r="819" spans="1:16" x14ac:dyDescent="0.3">
      <c r="A819" s="72">
        <f t="shared" si="121"/>
        <v>255</v>
      </c>
      <c r="B819" s="74">
        <f t="shared" si="122"/>
        <v>25304.561896004998</v>
      </c>
      <c r="C819" s="74">
        <f t="shared" si="123"/>
        <v>23973.923953803638</v>
      </c>
      <c r="D819" s="74">
        <f t="shared" si="124"/>
        <v>10859.3037578082</v>
      </c>
      <c r="E819" s="74">
        <f t="shared" si="125"/>
        <v>-10034.013743944604</v>
      </c>
      <c r="F819" s="74">
        <f t="shared" si="119"/>
        <v>-10346.418163481321</v>
      </c>
      <c r="G819" s="74">
        <f t="shared" si="120"/>
        <v>-7426.0188109914334</v>
      </c>
      <c r="H819" s="74">
        <f t="shared" si="126"/>
        <v>-5304.5618960049978</v>
      </c>
      <c r="I819" s="74">
        <f t="shared" si="127"/>
        <v>-3973.9239538036381</v>
      </c>
      <c r="J819" s="74">
        <f t="shared" si="128"/>
        <v>6628.0048656562167</v>
      </c>
      <c r="K819" s="74">
        <f t="shared" si="129"/>
        <v>-45304.561896004998</v>
      </c>
      <c r="L819" s="74">
        <f t="shared" si="130"/>
        <v>-3973.9239538036381</v>
      </c>
      <c r="M819" s="74">
        <f t="shared" si="131"/>
        <v>45478.515808891148</v>
      </c>
      <c r="N819" s="74">
        <f t="shared" si="132"/>
        <v>-30304.561896004998</v>
      </c>
      <c r="O819" s="74">
        <f t="shared" si="133"/>
        <v>-58973.923953803635</v>
      </c>
      <c r="P819" s="74">
        <f t="shared" si="134"/>
        <v>66304.526076413618</v>
      </c>
    </row>
    <row r="820" spans="1:16" x14ac:dyDescent="0.3">
      <c r="A820" s="72">
        <f t="shared" si="121"/>
        <v>255.5</v>
      </c>
      <c r="B820" s="74">
        <f t="shared" si="122"/>
        <v>28147.60923403877</v>
      </c>
      <c r="C820" s="74">
        <f t="shared" si="123"/>
        <v>17100.412379083478</v>
      </c>
      <c r="D820" s="74">
        <f t="shared" si="124"/>
        <v>5686.0946760675397</v>
      </c>
      <c r="E820" s="74">
        <f t="shared" si="125"/>
        <v>-13747.023149440322</v>
      </c>
      <c r="F820" s="74">
        <f t="shared" si="119"/>
        <v>-10573.06694503944</v>
      </c>
      <c r="G820" s="74">
        <f t="shared" si="120"/>
        <v>3077.3838867132717</v>
      </c>
      <c r="H820" s="74">
        <f t="shared" si="126"/>
        <v>-8147.6092340387695</v>
      </c>
      <c r="I820" s="74">
        <f t="shared" si="127"/>
        <v>2899.5876209165217</v>
      </c>
      <c r="J820" s="74">
        <f t="shared" si="128"/>
        <v>8648.187359323696</v>
      </c>
      <c r="K820" s="74">
        <f t="shared" si="129"/>
        <v>-48147.60923403877</v>
      </c>
      <c r="L820" s="74">
        <f t="shared" si="130"/>
        <v>2899.5876209165217</v>
      </c>
      <c r="M820" s="74">
        <f t="shared" si="131"/>
        <v>48234.840969210913</v>
      </c>
      <c r="N820" s="74">
        <f t="shared" si="132"/>
        <v>-33147.60923403877</v>
      </c>
      <c r="O820" s="74">
        <f t="shared" si="133"/>
        <v>-52100.412379083478</v>
      </c>
      <c r="P820" s="74">
        <f t="shared" si="134"/>
        <v>61751.250740394622</v>
      </c>
    </row>
    <row r="821" spans="1:16" x14ac:dyDescent="0.3">
      <c r="A821" s="72">
        <f t="shared" si="121"/>
        <v>256</v>
      </c>
      <c r="B821" s="74">
        <f t="shared" si="122"/>
        <v>28347.389835812683</v>
      </c>
      <c r="C821" s="74">
        <f t="shared" si="123"/>
        <v>10996.246776041637</v>
      </c>
      <c r="D821" s="74">
        <f t="shared" si="124"/>
        <v>399.56120354781979</v>
      </c>
      <c r="E821" s="74">
        <f t="shared" si="125"/>
        <v>-12208.331206083685</v>
      </c>
      <c r="F821" s="74">
        <f t="shared" si="119"/>
        <v>-5960.2241627493813</v>
      </c>
      <c r="G821" s="74">
        <f t="shared" si="120"/>
        <v>5039.9074737058481</v>
      </c>
      <c r="H821" s="74">
        <f t="shared" si="126"/>
        <v>-8347.3898358126826</v>
      </c>
      <c r="I821" s="74">
        <f t="shared" si="127"/>
        <v>9003.7532239583634</v>
      </c>
      <c r="J821" s="74">
        <f t="shared" si="128"/>
        <v>12277.88618569864</v>
      </c>
      <c r="K821" s="74">
        <f t="shared" si="129"/>
        <v>-48347.389835812683</v>
      </c>
      <c r="L821" s="74">
        <f t="shared" si="130"/>
        <v>9003.7532239583634</v>
      </c>
      <c r="M821" s="74">
        <f t="shared" si="131"/>
        <v>49178.630278343291</v>
      </c>
      <c r="N821" s="74">
        <f t="shared" si="132"/>
        <v>-33347.389835812683</v>
      </c>
      <c r="O821" s="74">
        <f t="shared" si="133"/>
        <v>-45996.246776041633</v>
      </c>
      <c r="P821" s="74">
        <f t="shared" si="134"/>
        <v>56812.878173387617</v>
      </c>
    </row>
    <row r="822" spans="1:16" x14ac:dyDescent="0.3">
      <c r="A822" s="72">
        <f t="shared" si="121"/>
        <v>256.5</v>
      </c>
      <c r="B822" s="74">
        <f t="shared" si="122"/>
        <v>27057.114396899247</v>
      </c>
      <c r="C822" s="74">
        <f t="shared" si="123"/>
        <v>6152.0580414262558</v>
      </c>
      <c r="D822" s="74">
        <f t="shared" si="124"/>
        <v>-2580.5508778268709</v>
      </c>
      <c r="E822" s="74">
        <f t="shared" si="125"/>
        <v>-9688.3774692307616</v>
      </c>
      <c r="F822" s="74">
        <f t="shared" ref="F822:F885" si="135">$C$23*(H822/(J822^2+$C$24^2)^1.5)+$C$32*(K822/(M822^2+$C$33^2)^1.5)+C$41*(N822/(P822^2+$C$42^2)^1.5)</f>
        <v>-3494.0354653334998</v>
      </c>
      <c r="G822" s="74">
        <f t="shared" ref="G822:G885" si="136">$C$23*(I822/(J822^2+$C$24^2)^1.5)+$C$32*(L822/(M822^2+$C$33^2)^1.5)+C$41*(O822/(P822^2+$C$42^2)^1.5)</f>
        <v>4464.798696457784</v>
      </c>
      <c r="H822" s="74">
        <f t="shared" si="126"/>
        <v>-7057.1143968992474</v>
      </c>
      <c r="I822" s="74">
        <f t="shared" si="127"/>
        <v>13847.941958573745</v>
      </c>
      <c r="J822" s="74">
        <f t="shared" si="128"/>
        <v>15542.46956242636</v>
      </c>
      <c r="K822" s="74">
        <f t="shared" si="129"/>
        <v>-47057.114396899247</v>
      </c>
      <c r="L822" s="74">
        <f t="shared" si="130"/>
        <v>13847.941958573745</v>
      </c>
      <c r="M822" s="74">
        <f t="shared" si="131"/>
        <v>49052.395577085626</v>
      </c>
      <c r="N822" s="74">
        <f t="shared" si="132"/>
        <v>-32057.114396899247</v>
      </c>
      <c r="O822" s="74">
        <f t="shared" si="133"/>
        <v>-41152.058041426259</v>
      </c>
      <c r="P822" s="74">
        <f t="shared" si="134"/>
        <v>52164.647650499857</v>
      </c>
    </row>
    <row r="823" spans="1:16" x14ac:dyDescent="0.3">
      <c r="A823" s="72">
        <f t="shared" ref="A823:A886" si="137">A822+$C$5</f>
        <v>257</v>
      </c>
      <c r="B823" s="74">
        <f t="shared" ref="B823:B886" si="138">B822+D822*(A823-A822)+F822*(A823-A822)^2</f>
        <v>24893.330091652439</v>
      </c>
      <c r="C823" s="74">
        <f t="shared" ref="C823:C886" si="139">C822+E822*(A823-A822)+G822*(A823-A822)^2</f>
        <v>2424.0689809253208</v>
      </c>
      <c r="D823" s="74">
        <f t="shared" ref="D823:D886" si="140">D822+F822*(A823-A822)</f>
        <v>-4327.5686104936212</v>
      </c>
      <c r="E823" s="74">
        <f t="shared" ref="E823:E886" si="141">E822+G822*(A823-A822)</f>
        <v>-7455.97812100187</v>
      </c>
      <c r="F823" s="74">
        <f t="shared" si="135"/>
        <v>-2273.2053789007828</v>
      </c>
      <c r="G823" s="74">
        <f t="shared" si="136"/>
        <v>3733.5895871168332</v>
      </c>
      <c r="H823" s="74">
        <f t="shared" ref="H823:H886" si="142">$C$19-B823</f>
        <v>-4893.3300916524386</v>
      </c>
      <c r="I823" s="74">
        <f t="shared" ref="I823:I886" si="143">$D$19-C823</f>
        <v>17575.93101907468</v>
      </c>
      <c r="J823" s="74">
        <f t="shared" ref="J823:J886" si="144">SQRT(H823^2+I823^2)</f>
        <v>18244.397237868474</v>
      </c>
      <c r="K823" s="74">
        <f t="shared" ref="K823:K886" si="145">$C$28-B823</f>
        <v>-44893.330091652439</v>
      </c>
      <c r="L823" s="74">
        <f t="shared" ref="L823:L886" si="146">$D$28-C823</f>
        <v>17575.93101907468</v>
      </c>
      <c r="M823" s="74">
        <f t="shared" ref="M823:M886" si="147">SQRT(K823^2+L823^2)</f>
        <v>48211.248043432126</v>
      </c>
      <c r="N823" s="74">
        <f t="shared" ref="N823:N886" si="148">$C$37-B823</f>
        <v>-29893.330091652439</v>
      </c>
      <c r="O823" s="74">
        <f t="shared" ref="O823:O886" si="149">$D$37-C823</f>
        <v>-37424.068980925324</v>
      </c>
      <c r="P823" s="74">
        <f t="shared" ref="P823:P886" si="150">SQRT(N823^2+O823^2)</f>
        <v>47897.516877783448</v>
      </c>
    </row>
    <row r="824" spans="1:16" x14ac:dyDescent="0.3">
      <c r="A824" s="72">
        <f t="shared" si="137"/>
        <v>257.5</v>
      </c>
      <c r="B824" s="74">
        <f t="shared" si="138"/>
        <v>22161.244441680436</v>
      </c>
      <c r="C824" s="74">
        <f t="shared" si="139"/>
        <v>-370.52268279640589</v>
      </c>
      <c r="D824" s="74">
        <f t="shared" si="140"/>
        <v>-5464.1712999440124</v>
      </c>
      <c r="E824" s="74">
        <f t="shared" si="141"/>
        <v>-5589.1833274434539</v>
      </c>
      <c r="F824" s="74">
        <f t="shared" si="135"/>
        <v>-1605.9486608539496</v>
      </c>
      <c r="G824" s="74">
        <f t="shared" si="136"/>
        <v>3117.4697352557623</v>
      </c>
      <c r="H824" s="74">
        <f t="shared" si="142"/>
        <v>-2161.2444416804356</v>
      </c>
      <c r="I824" s="74">
        <f t="shared" si="143"/>
        <v>20370.522682796407</v>
      </c>
      <c r="J824" s="74">
        <f t="shared" si="144"/>
        <v>20484.852254947251</v>
      </c>
      <c r="K824" s="74">
        <f t="shared" si="145"/>
        <v>-42161.244441680436</v>
      </c>
      <c r="L824" s="74">
        <f t="shared" si="146"/>
        <v>20370.522682796407</v>
      </c>
      <c r="M824" s="74">
        <f t="shared" si="147"/>
        <v>46824.445829517856</v>
      </c>
      <c r="N824" s="74">
        <f t="shared" si="148"/>
        <v>-27161.244441680436</v>
      </c>
      <c r="O824" s="74">
        <f t="shared" si="149"/>
        <v>-34629.477317203593</v>
      </c>
      <c r="P824" s="74">
        <f t="shared" si="150"/>
        <v>44010.611207792084</v>
      </c>
    </row>
    <row r="825" spans="1:16" x14ac:dyDescent="0.3">
      <c r="A825" s="72">
        <f t="shared" si="137"/>
        <v>258</v>
      </c>
      <c r="B825" s="74">
        <f t="shared" si="138"/>
        <v>19027.671626494943</v>
      </c>
      <c r="C825" s="74">
        <f t="shared" si="139"/>
        <v>-2385.7469127041923</v>
      </c>
      <c r="D825" s="74">
        <f t="shared" si="140"/>
        <v>-6267.1456303709874</v>
      </c>
      <c r="E825" s="74">
        <f t="shared" si="141"/>
        <v>-4030.4484598155727</v>
      </c>
      <c r="F825" s="74">
        <f t="shared" si="135"/>
        <v>-1203.7391133651954</v>
      </c>
      <c r="G825" s="74">
        <f t="shared" si="136"/>
        <v>2591.2403486763087</v>
      </c>
      <c r="H825" s="74">
        <f t="shared" si="142"/>
        <v>972.32837350505724</v>
      </c>
      <c r="I825" s="74">
        <f t="shared" si="143"/>
        <v>22385.746912704191</v>
      </c>
      <c r="J825" s="74">
        <f t="shared" si="144"/>
        <v>22406.853578884478</v>
      </c>
      <c r="K825" s="74">
        <f t="shared" si="145"/>
        <v>-39027.671626494943</v>
      </c>
      <c r="L825" s="74">
        <f t="shared" si="146"/>
        <v>22385.746912704191</v>
      </c>
      <c r="M825" s="74">
        <f t="shared" si="147"/>
        <v>44992.008372878438</v>
      </c>
      <c r="N825" s="74">
        <f t="shared" si="148"/>
        <v>-24027.671626494943</v>
      </c>
      <c r="O825" s="74">
        <f t="shared" si="149"/>
        <v>-32614.253087295809</v>
      </c>
      <c r="P825" s="74">
        <f t="shared" si="150"/>
        <v>40509.48664489411</v>
      </c>
    </row>
    <row r="826" spans="1:16" x14ac:dyDescent="0.3">
      <c r="A826" s="72">
        <f t="shared" si="137"/>
        <v>258.5</v>
      </c>
      <c r="B826" s="74">
        <f t="shared" si="138"/>
        <v>15593.16403296815</v>
      </c>
      <c r="C826" s="74">
        <f t="shared" si="139"/>
        <v>-3753.1610554429012</v>
      </c>
      <c r="D826" s="74">
        <f t="shared" si="140"/>
        <v>-6869.0151870535847</v>
      </c>
      <c r="E826" s="74">
        <f t="shared" si="141"/>
        <v>-2734.8282854774184</v>
      </c>
      <c r="F826" s="74">
        <f t="shared" si="135"/>
        <v>-940.55932199214158</v>
      </c>
      <c r="G826" s="74">
        <f t="shared" si="136"/>
        <v>2112.0072101386504</v>
      </c>
      <c r="H826" s="74">
        <f t="shared" si="142"/>
        <v>4406.8359670318496</v>
      </c>
      <c r="I826" s="74">
        <f t="shared" si="143"/>
        <v>23753.161055442903</v>
      </c>
      <c r="J826" s="74">
        <f t="shared" si="144"/>
        <v>24158.494641970865</v>
      </c>
      <c r="K826" s="74">
        <f t="shared" si="145"/>
        <v>-35593.164032968154</v>
      </c>
      <c r="L826" s="74">
        <f t="shared" si="146"/>
        <v>23753.161055442903</v>
      </c>
      <c r="M826" s="74">
        <f t="shared" si="147"/>
        <v>42791.190518652169</v>
      </c>
      <c r="N826" s="74">
        <f t="shared" si="148"/>
        <v>-20593.16403296815</v>
      </c>
      <c r="O826" s="74">
        <f t="shared" si="149"/>
        <v>-31246.838944557097</v>
      </c>
      <c r="P826" s="74">
        <f t="shared" si="150"/>
        <v>37422.497897866502</v>
      </c>
    </row>
    <row r="827" spans="1:16" x14ac:dyDescent="0.3">
      <c r="A827" s="72">
        <f t="shared" si="137"/>
        <v>259</v>
      </c>
      <c r="B827" s="74">
        <f t="shared" si="138"/>
        <v>11923.516608943322</v>
      </c>
      <c r="C827" s="74">
        <f t="shared" si="139"/>
        <v>-4592.5733956469476</v>
      </c>
      <c r="D827" s="74">
        <f t="shared" si="140"/>
        <v>-7339.2948480496552</v>
      </c>
      <c r="E827" s="74">
        <f t="shared" si="141"/>
        <v>-1678.8246804080932</v>
      </c>
      <c r="F827" s="74">
        <f t="shared" si="135"/>
        <v>-752.86585482052419</v>
      </c>
      <c r="G827" s="74">
        <f t="shared" si="136"/>
        <v>1660.2988389017285</v>
      </c>
      <c r="H827" s="74">
        <f t="shared" si="142"/>
        <v>8076.4833910566776</v>
      </c>
      <c r="I827" s="74">
        <f t="shared" si="143"/>
        <v>24592.573395646948</v>
      </c>
      <c r="J827" s="74">
        <f t="shared" si="144"/>
        <v>25884.826640066502</v>
      </c>
      <c r="K827" s="74">
        <f t="shared" si="145"/>
        <v>-31923.516608943322</v>
      </c>
      <c r="L827" s="74">
        <f t="shared" si="146"/>
        <v>24592.573395646948</v>
      </c>
      <c r="M827" s="74">
        <f t="shared" si="147"/>
        <v>40297.711832084984</v>
      </c>
      <c r="N827" s="74">
        <f t="shared" si="148"/>
        <v>-16923.516608943322</v>
      </c>
      <c r="O827" s="74">
        <f t="shared" si="149"/>
        <v>-30407.426604353052</v>
      </c>
      <c r="P827" s="74">
        <f t="shared" si="150"/>
        <v>34799.669640850014</v>
      </c>
    </row>
    <row r="828" spans="1:16" x14ac:dyDescent="0.3">
      <c r="A828" s="72">
        <f t="shared" si="137"/>
        <v>259.5</v>
      </c>
      <c r="B828" s="74">
        <f t="shared" si="138"/>
        <v>8065.6527212133633</v>
      </c>
      <c r="C828" s="74">
        <f t="shared" si="139"/>
        <v>-5016.9110261255619</v>
      </c>
      <c r="D828" s="74">
        <f t="shared" si="140"/>
        <v>-7715.7277754599172</v>
      </c>
      <c r="E828" s="74">
        <f t="shared" si="141"/>
        <v>-848.67526095722894</v>
      </c>
      <c r="F828" s="74">
        <f t="shared" si="135"/>
        <v>-600.52788593059211</v>
      </c>
      <c r="G828" s="74">
        <f t="shared" si="136"/>
        <v>1249.407815367613</v>
      </c>
      <c r="H828" s="74">
        <f t="shared" si="142"/>
        <v>11934.347278786638</v>
      </c>
      <c r="I828" s="74">
        <f t="shared" si="143"/>
        <v>25016.911026125563</v>
      </c>
      <c r="J828" s="74">
        <f t="shared" si="144"/>
        <v>27717.764741403025</v>
      </c>
      <c r="K828" s="74">
        <f t="shared" si="145"/>
        <v>-28065.652721213362</v>
      </c>
      <c r="L828" s="74">
        <f t="shared" si="146"/>
        <v>25016.911026125563</v>
      </c>
      <c r="M828" s="74">
        <f t="shared" si="147"/>
        <v>37596.897477808379</v>
      </c>
      <c r="N828" s="74">
        <f t="shared" si="148"/>
        <v>-13065.652721213362</v>
      </c>
      <c r="O828" s="74">
        <f t="shared" si="149"/>
        <v>-29983.088973874437</v>
      </c>
      <c r="P828" s="74">
        <f t="shared" si="150"/>
        <v>32706.2212040251</v>
      </c>
    </row>
    <row r="829" spans="1:16" x14ac:dyDescent="0.3">
      <c r="A829" s="72">
        <f t="shared" si="137"/>
        <v>260</v>
      </c>
      <c r="B829" s="74">
        <f t="shared" si="138"/>
        <v>4057.6568620007561</v>
      </c>
      <c r="C829" s="74">
        <f t="shared" si="139"/>
        <v>-5128.896702762273</v>
      </c>
      <c r="D829" s="74">
        <f t="shared" si="140"/>
        <v>-8015.9917184252135</v>
      </c>
      <c r="E829" s="74">
        <f t="shared" si="141"/>
        <v>-223.97135327342244</v>
      </c>
      <c r="F829" s="74">
        <f t="shared" si="135"/>
        <v>-452.42791869012484</v>
      </c>
      <c r="G829" s="74">
        <f t="shared" si="136"/>
        <v>925.9634580987622</v>
      </c>
      <c r="H829" s="74">
        <f t="shared" si="142"/>
        <v>15942.343137999243</v>
      </c>
      <c r="I829" s="74">
        <f t="shared" si="143"/>
        <v>25128.896702762271</v>
      </c>
      <c r="J829" s="74">
        <f t="shared" si="144"/>
        <v>29759.364143539897</v>
      </c>
      <c r="K829" s="74">
        <f t="shared" si="145"/>
        <v>-24057.656862000757</v>
      </c>
      <c r="L829" s="74">
        <f t="shared" si="146"/>
        <v>25128.896702762271</v>
      </c>
      <c r="M829" s="74">
        <f t="shared" si="147"/>
        <v>34788.393225152962</v>
      </c>
      <c r="N829" s="74">
        <f t="shared" si="148"/>
        <v>-9057.6568620007565</v>
      </c>
      <c r="O829" s="74">
        <f t="shared" si="149"/>
        <v>-29871.103297237729</v>
      </c>
      <c r="P829" s="74">
        <f t="shared" si="150"/>
        <v>31214.162811518687</v>
      </c>
    </row>
    <row r="830" spans="1:16" x14ac:dyDescent="0.3">
      <c r="A830" s="72">
        <f t="shared" si="137"/>
        <v>260.5</v>
      </c>
      <c r="B830" s="74">
        <f t="shared" si="138"/>
        <v>-63.445976884381921</v>
      </c>
      <c r="C830" s="74">
        <f t="shared" si="139"/>
        <v>-5009.3915148742935</v>
      </c>
      <c r="D830" s="74">
        <f t="shared" si="140"/>
        <v>-8242.2056777702765</v>
      </c>
      <c r="E830" s="74">
        <f t="shared" si="141"/>
        <v>239.01037577595866</v>
      </c>
      <c r="F830" s="74">
        <f t="shared" si="135"/>
        <v>-285.01728281366792</v>
      </c>
      <c r="G830" s="74">
        <f t="shared" si="136"/>
        <v>757.12639709864197</v>
      </c>
      <c r="H830" s="74">
        <f t="shared" si="142"/>
        <v>20063.445976884381</v>
      </c>
      <c r="I830" s="74">
        <f t="shared" si="143"/>
        <v>25009.391514874293</v>
      </c>
      <c r="J830" s="74">
        <f t="shared" si="144"/>
        <v>32062.61886389857</v>
      </c>
      <c r="K830" s="74">
        <f t="shared" si="145"/>
        <v>-19936.554023115619</v>
      </c>
      <c r="L830" s="74">
        <f t="shared" si="146"/>
        <v>25009.391514874293</v>
      </c>
      <c r="M830" s="74">
        <f t="shared" si="147"/>
        <v>31983.368338260963</v>
      </c>
      <c r="N830" s="74">
        <f t="shared" si="148"/>
        <v>-4936.5540231156183</v>
      </c>
      <c r="O830" s="74">
        <f t="shared" si="149"/>
        <v>-29990.608485125707</v>
      </c>
      <c r="P830" s="74">
        <f t="shared" si="150"/>
        <v>30394.179754210065</v>
      </c>
    </row>
    <row r="831" spans="1:16" x14ac:dyDescent="0.3">
      <c r="A831" s="72">
        <f t="shared" si="137"/>
        <v>261</v>
      </c>
      <c r="B831" s="74">
        <f t="shared" si="138"/>
        <v>-4255.8031364729368</v>
      </c>
      <c r="C831" s="74">
        <f t="shared" si="139"/>
        <v>-4700.604727711654</v>
      </c>
      <c r="D831" s="74">
        <f t="shared" si="140"/>
        <v>-8384.7143191771102</v>
      </c>
      <c r="E831" s="74">
        <f t="shared" si="141"/>
        <v>617.57357432527965</v>
      </c>
      <c r="F831" s="74">
        <f t="shared" si="135"/>
        <v>-85.2339747051209</v>
      </c>
      <c r="G831" s="74">
        <f t="shared" si="136"/>
        <v>802.00125783201543</v>
      </c>
      <c r="H831" s="74">
        <f t="shared" si="142"/>
        <v>24255.803136472936</v>
      </c>
      <c r="I831" s="74">
        <f t="shared" si="143"/>
        <v>24700.604727711652</v>
      </c>
      <c r="J831" s="74">
        <f t="shared" si="144"/>
        <v>34618.836775807205</v>
      </c>
      <c r="K831" s="74">
        <f t="shared" si="145"/>
        <v>-15744.196863527064</v>
      </c>
      <c r="L831" s="74">
        <f t="shared" si="146"/>
        <v>24700.604727711652</v>
      </c>
      <c r="M831" s="74">
        <f t="shared" si="147"/>
        <v>29291.630353944907</v>
      </c>
      <c r="N831" s="74">
        <f t="shared" si="148"/>
        <v>-744.19686352706321</v>
      </c>
      <c r="O831" s="74">
        <f t="shared" si="149"/>
        <v>-30299.395272288348</v>
      </c>
      <c r="P831" s="74">
        <f t="shared" si="150"/>
        <v>30308.533168697773</v>
      </c>
    </row>
    <row r="832" spans="1:16" x14ac:dyDescent="0.3">
      <c r="A832" s="72">
        <f t="shared" si="137"/>
        <v>261.5</v>
      </c>
      <c r="B832" s="74">
        <f t="shared" si="138"/>
        <v>-8469.4687897377717</v>
      </c>
      <c r="C832" s="74">
        <f t="shared" si="139"/>
        <v>-4191.3176260910104</v>
      </c>
      <c r="D832" s="74">
        <f t="shared" si="140"/>
        <v>-8427.3313065296697</v>
      </c>
      <c r="E832" s="74">
        <f t="shared" si="141"/>
        <v>1018.5742032412874</v>
      </c>
      <c r="F832" s="74">
        <f t="shared" si="135"/>
        <v>152.73407431716427</v>
      </c>
      <c r="G832" s="74">
        <f t="shared" si="136"/>
        <v>1078.7901957524207</v>
      </c>
      <c r="H832" s="74">
        <f t="shared" si="142"/>
        <v>28469.468789737773</v>
      </c>
      <c r="I832" s="74">
        <f t="shared" si="143"/>
        <v>24191.317626091011</v>
      </c>
      <c r="J832" s="74">
        <f t="shared" si="144"/>
        <v>37359.476731564035</v>
      </c>
      <c r="K832" s="74">
        <f t="shared" si="145"/>
        <v>-11530.531210262228</v>
      </c>
      <c r="L832" s="74">
        <f t="shared" si="146"/>
        <v>24191.317626091011</v>
      </c>
      <c r="M832" s="74">
        <f t="shared" si="147"/>
        <v>26798.749942436734</v>
      </c>
      <c r="N832" s="74">
        <f t="shared" si="148"/>
        <v>3469.4687897377717</v>
      </c>
      <c r="O832" s="74">
        <f t="shared" si="149"/>
        <v>-30808.682373908989</v>
      </c>
      <c r="P832" s="74">
        <f t="shared" si="150"/>
        <v>31003.421154759271</v>
      </c>
    </row>
    <row r="833" spans="1:16" x14ac:dyDescent="0.3">
      <c r="A833" s="72">
        <f t="shared" si="137"/>
        <v>262</v>
      </c>
      <c r="B833" s="74">
        <f t="shared" si="138"/>
        <v>-12644.950924423316</v>
      </c>
      <c r="C833" s="74">
        <f t="shared" si="139"/>
        <v>-3412.3329755322616</v>
      </c>
      <c r="D833" s="74">
        <f t="shared" si="140"/>
        <v>-8350.9642693710884</v>
      </c>
      <c r="E833" s="74">
        <f t="shared" si="141"/>
        <v>1557.9693011174977</v>
      </c>
      <c r="F833" s="74">
        <f t="shared" si="135"/>
        <v>440.13530267279458</v>
      </c>
      <c r="G833" s="74">
        <f t="shared" si="136"/>
        <v>1550.3203417753296</v>
      </c>
      <c r="H833" s="74">
        <f t="shared" si="142"/>
        <v>32644.950924423316</v>
      </c>
      <c r="I833" s="74">
        <f t="shared" si="143"/>
        <v>23412.332975532263</v>
      </c>
      <c r="J833" s="74">
        <f t="shared" si="144"/>
        <v>40172.504978096673</v>
      </c>
      <c r="K833" s="74">
        <f t="shared" si="145"/>
        <v>-7355.0490755766841</v>
      </c>
      <c r="L833" s="74">
        <f t="shared" si="146"/>
        <v>23412.332975532263</v>
      </c>
      <c r="M833" s="74">
        <f t="shared" si="147"/>
        <v>24540.45806950915</v>
      </c>
      <c r="N833" s="74">
        <f t="shared" si="148"/>
        <v>7644.9509244233159</v>
      </c>
      <c r="O833" s="74">
        <f t="shared" si="149"/>
        <v>-31587.667024467737</v>
      </c>
      <c r="P833" s="74">
        <f t="shared" si="150"/>
        <v>32499.630500753196</v>
      </c>
    </row>
    <row r="834" spans="1:16" x14ac:dyDescent="0.3">
      <c r="A834" s="72">
        <f t="shared" si="137"/>
        <v>262.5</v>
      </c>
      <c r="B834" s="74">
        <f t="shared" si="138"/>
        <v>-16710.399233440661</v>
      </c>
      <c r="C834" s="74">
        <f t="shared" si="139"/>
        <v>-2245.7682395296802</v>
      </c>
      <c r="D834" s="74">
        <f t="shared" si="140"/>
        <v>-8130.8966180346915</v>
      </c>
      <c r="E834" s="74">
        <f t="shared" si="141"/>
        <v>2333.1294720051624</v>
      </c>
      <c r="F834" s="74">
        <f t="shared" si="135"/>
        <v>806.95386724440039</v>
      </c>
      <c r="G834" s="74">
        <f t="shared" si="136"/>
        <v>2141.5683427267149</v>
      </c>
      <c r="H834" s="74">
        <f t="shared" si="142"/>
        <v>36710.399233440665</v>
      </c>
      <c r="I834" s="74">
        <f t="shared" si="143"/>
        <v>22245.76823952968</v>
      </c>
      <c r="J834" s="74">
        <f t="shared" si="144"/>
        <v>42924.673748852983</v>
      </c>
      <c r="K834" s="74">
        <f t="shared" si="145"/>
        <v>-3289.6007665593388</v>
      </c>
      <c r="L834" s="74">
        <f t="shared" si="146"/>
        <v>22245.76823952968</v>
      </c>
      <c r="M834" s="74">
        <f t="shared" si="147"/>
        <v>22487.678354383657</v>
      </c>
      <c r="N834" s="74">
        <f t="shared" si="148"/>
        <v>11710.399233440661</v>
      </c>
      <c r="O834" s="74">
        <f t="shared" si="149"/>
        <v>-32754.23176047032</v>
      </c>
      <c r="P834" s="74">
        <f t="shared" si="150"/>
        <v>34784.668295459858</v>
      </c>
    </row>
    <row r="835" spans="1:16" x14ac:dyDescent="0.3">
      <c r="A835" s="72">
        <f t="shared" si="137"/>
        <v>263</v>
      </c>
      <c r="B835" s="74">
        <f t="shared" si="138"/>
        <v>-20574.109075646906</v>
      </c>
      <c r="C835" s="74">
        <f t="shared" si="139"/>
        <v>-543.81141784542024</v>
      </c>
      <c r="D835" s="74">
        <f t="shared" si="140"/>
        <v>-7727.4196844124917</v>
      </c>
      <c r="E835" s="74">
        <f t="shared" si="141"/>
        <v>3403.9136433685198</v>
      </c>
      <c r="F835" s="74">
        <f t="shared" si="135"/>
        <v>1309.503531559511</v>
      </c>
      <c r="G835" s="74">
        <f t="shared" si="136"/>
        <v>2774.8334883885245</v>
      </c>
      <c r="H835" s="74">
        <f t="shared" si="142"/>
        <v>40574.109075646906</v>
      </c>
      <c r="I835" s="74">
        <f t="shared" si="143"/>
        <v>20543.81141784542</v>
      </c>
      <c r="J835" s="74">
        <f t="shared" si="144"/>
        <v>45478.638005710862</v>
      </c>
      <c r="K835" s="74">
        <f t="shared" si="145"/>
        <v>574.10907564690569</v>
      </c>
      <c r="L835" s="74">
        <f t="shared" si="146"/>
        <v>20543.81141784542</v>
      </c>
      <c r="M835" s="74">
        <f t="shared" si="147"/>
        <v>20551.831762710008</v>
      </c>
      <c r="N835" s="74">
        <f t="shared" si="148"/>
        <v>15574.109075646906</v>
      </c>
      <c r="O835" s="74">
        <f t="shared" si="149"/>
        <v>-34456.18858215458</v>
      </c>
      <c r="P835" s="74">
        <f t="shared" si="150"/>
        <v>37812.455687367714</v>
      </c>
    </row>
    <row r="836" spans="1:16" x14ac:dyDescent="0.3">
      <c r="A836" s="72">
        <f t="shared" si="137"/>
        <v>263.5</v>
      </c>
      <c r="B836" s="74">
        <f t="shared" si="138"/>
        <v>-24110.443034963271</v>
      </c>
      <c r="C836" s="74">
        <f t="shared" si="139"/>
        <v>1851.8537759359708</v>
      </c>
      <c r="D836" s="74">
        <f t="shared" si="140"/>
        <v>-7072.6679186327365</v>
      </c>
      <c r="E836" s="74">
        <f t="shared" si="141"/>
        <v>4791.3303875627826</v>
      </c>
      <c r="F836" s="74">
        <f t="shared" si="135"/>
        <v>2041.8709168226137</v>
      </c>
      <c r="G836" s="74">
        <f t="shared" si="136"/>
        <v>3388.8834886127806</v>
      </c>
      <c r="H836" s="74">
        <f t="shared" si="142"/>
        <v>44110.443034963275</v>
      </c>
      <c r="I836" s="74">
        <f t="shared" si="143"/>
        <v>18148.146224064029</v>
      </c>
      <c r="J836" s="74">
        <f t="shared" si="144"/>
        <v>47697.865739577384</v>
      </c>
      <c r="K836" s="74">
        <f t="shared" si="145"/>
        <v>4110.4430349632712</v>
      </c>
      <c r="L836" s="74">
        <f t="shared" si="146"/>
        <v>18148.146224064029</v>
      </c>
      <c r="M836" s="74">
        <f t="shared" si="147"/>
        <v>18607.819681888785</v>
      </c>
      <c r="N836" s="74">
        <f t="shared" si="148"/>
        <v>19110.443034963271</v>
      </c>
      <c r="O836" s="74">
        <f t="shared" si="149"/>
        <v>-36851.853775935968</v>
      </c>
      <c r="P836" s="74">
        <f t="shared" si="150"/>
        <v>41512.265172061401</v>
      </c>
    </row>
    <row r="837" spans="1:16" x14ac:dyDescent="0.3">
      <c r="A837" s="72">
        <f t="shared" si="137"/>
        <v>264</v>
      </c>
      <c r="B837" s="74">
        <f t="shared" si="138"/>
        <v>-27136.309265073985</v>
      </c>
      <c r="C837" s="74">
        <f t="shared" si="139"/>
        <v>5094.739841870557</v>
      </c>
      <c r="D837" s="74">
        <f t="shared" si="140"/>
        <v>-6051.7324602214294</v>
      </c>
      <c r="E837" s="74">
        <f t="shared" si="141"/>
        <v>6485.7721318691729</v>
      </c>
      <c r="F837" s="74">
        <f t="shared" si="135"/>
        <v>3167.5629455925923</v>
      </c>
      <c r="G837" s="74">
        <f t="shared" si="136"/>
        <v>3908.8159557811978</v>
      </c>
      <c r="H837" s="74">
        <f t="shared" si="142"/>
        <v>47136.309265073985</v>
      </c>
      <c r="I837" s="74">
        <f t="shared" si="143"/>
        <v>14905.260158129444</v>
      </c>
      <c r="J837" s="74">
        <f t="shared" si="144"/>
        <v>49436.812513694895</v>
      </c>
      <c r="K837" s="74">
        <f t="shared" si="145"/>
        <v>7136.3092650739854</v>
      </c>
      <c r="L837" s="74">
        <f t="shared" si="146"/>
        <v>14905.260158129444</v>
      </c>
      <c r="M837" s="74">
        <f t="shared" si="147"/>
        <v>16525.546596355045</v>
      </c>
      <c r="N837" s="74">
        <f t="shared" si="148"/>
        <v>22136.309265073985</v>
      </c>
      <c r="O837" s="74">
        <f t="shared" si="149"/>
        <v>-40094.739841870556</v>
      </c>
      <c r="P837" s="74">
        <f t="shared" si="150"/>
        <v>45799.610815663953</v>
      </c>
    </row>
    <row r="838" spans="1:16" x14ac:dyDescent="0.3">
      <c r="A838" s="72">
        <f t="shared" si="137"/>
        <v>264.5</v>
      </c>
      <c r="B838" s="74">
        <f t="shared" si="138"/>
        <v>-29370.284758786551</v>
      </c>
      <c r="C838" s="74">
        <f t="shared" si="139"/>
        <v>9314.8298967504434</v>
      </c>
      <c r="D838" s="74">
        <f t="shared" si="140"/>
        <v>-4467.9509874251335</v>
      </c>
      <c r="E838" s="74">
        <f t="shared" si="141"/>
        <v>8440.1801097597709</v>
      </c>
      <c r="F838" s="74">
        <f t="shared" si="135"/>
        <v>4967.8553875485059</v>
      </c>
      <c r="G838" s="74">
        <f t="shared" si="136"/>
        <v>4106.288891185698</v>
      </c>
      <c r="H838" s="74">
        <f t="shared" si="142"/>
        <v>49370.284758786554</v>
      </c>
      <c r="I838" s="74">
        <f t="shared" si="143"/>
        <v>10685.170103249557</v>
      </c>
      <c r="J838" s="74">
        <f t="shared" si="144"/>
        <v>50513.343556916232</v>
      </c>
      <c r="K838" s="74">
        <f t="shared" si="145"/>
        <v>9370.2847587865508</v>
      </c>
      <c r="L838" s="74">
        <f t="shared" si="146"/>
        <v>10685.170103249557</v>
      </c>
      <c r="M838" s="74">
        <f t="shared" si="147"/>
        <v>14211.794277856883</v>
      </c>
      <c r="N838" s="74">
        <f t="shared" si="148"/>
        <v>24370.284758786551</v>
      </c>
      <c r="O838" s="74">
        <f t="shared" si="149"/>
        <v>-44314.829896750445</v>
      </c>
      <c r="P838" s="74">
        <f t="shared" si="150"/>
        <v>50573.856170973071</v>
      </c>
    </row>
    <row r="839" spans="1:16" x14ac:dyDescent="0.3">
      <c r="A839" s="72">
        <f t="shared" si="137"/>
        <v>265</v>
      </c>
      <c r="B839" s="74">
        <f t="shared" si="138"/>
        <v>-30362.296405611989</v>
      </c>
      <c r="C839" s="74">
        <f t="shared" si="139"/>
        <v>14561.492174426754</v>
      </c>
      <c r="D839" s="74">
        <f t="shared" si="140"/>
        <v>-1984.0232936508805</v>
      </c>
      <c r="E839" s="74">
        <f t="shared" si="141"/>
        <v>10493.324555352619</v>
      </c>
      <c r="F839" s="74">
        <f t="shared" si="135"/>
        <v>7734.3187406135958</v>
      </c>
      <c r="G839" s="74">
        <f t="shared" si="136"/>
        <v>3156.2606608461638</v>
      </c>
      <c r="H839" s="74">
        <f t="shared" si="142"/>
        <v>50362.296405611989</v>
      </c>
      <c r="I839" s="74">
        <f t="shared" si="143"/>
        <v>5438.507825573246</v>
      </c>
      <c r="J839" s="74">
        <f t="shared" si="144"/>
        <v>50655.091221076087</v>
      </c>
      <c r="K839" s="74">
        <f t="shared" si="145"/>
        <v>10362.296405611989</v>
      </c>
      <c r="L839" s="74">
        <f t="shared" si="146"/>
        <v>5438.507825573246</v>
      </c>
      <c r="M839" s="74">
        <f t="shared" si="147"/>
        <v>11702.758399906434</v>
      </c>
      <c r="N839" s="74">
        <f t="shared" si="148"/>
        <v>25362.296405611989</v>
      </c>
      <c r="O839" s="74">
        <f t="shared" si="149"/>
        <v>-49561.492174426756</v>
      </c>
      <c r="P839" s="74">
        <f t="shared" si="150"/>
        <v>55673.939913768307</v>
      </c>
    </row>
    <row r="840" spans="1:16" x14ac:dyDescent="0.3">
      <c r="A840" s="72">
        <f t="shared" si="137"/>
        <v>265.5</v>
      </c>
      <c r="B840" s="74">
        <f t="shared" si="138"/>
        <v>-29420.728367284031</v>
      </c>
      <c r="C840" s="74">
        <f t="shared" si="139"/>
        <v>20597.219617314604</v>
      </c>
      <c r="D840" s="74">
        <f t="shared" si="140"/>
        <v>1883.1360766559173</v>
      </c>
      <c r="E840" s="74">
        <f t="shared" si="141"/>
        <v>12071.454885775702</v>
      </c>
      <c r="F840" s="74">
        <f t="shared" si="135"/>
        <v>10387.052060749795</v>
      </c>
      <c r="G840" s="74">
        <f t="shared" si="136"/>
        <v>-1039.5879275945795</v>
      </c>
      <c r="H840" s="74">
        <f t="shared" si="142"/>
        <v>49420.728367284028</v>
      </c>
      <c r="I840" s="74">
        <f t="shared" si="143"/>
        <v>-597.21961731460397</v>
      </c>
      <c r="J840" s="74">
        <f t="shared" si="144"/>
        <v>49424.336754519813</v>
      </c>
      <c r="K840" s="74">
        <f t="shared" si="145"/>
        <v>9420.7283672840313</v>
      </c>
      <c r="L840" s="74">
        <f t="shared" si="146"/>
        <v>-597.21961731460397</v>
      </c>
      <c r="M840" s="74">
        <f t="shared" si="147"/>
        <v>9439.6395186180416</v>
      </c>
      <c r="N840" s="74">
        <f t="shared" si="148"/>
        <v>24420.728367284031</v>
      </c>
      <c r="O840" s="74">
        <f t="shared" si="149"/>
        <v>-55597.219617314608</v>
      </c>
      <c r="P840" s="74">
        <f t="shared" si="150"/>
        <v>60724.153375445123</v>
      </c>
    </row>
    <row r="841" spans="1:16" x14ac:dyDescent="0.3">
      <c r="A841" s="72">
        <f t="shared" si="137"/>
        <v>266</v>
      </c>
      <c r="B841" s="74">
        <f t="shared" si="138"/>
        <v>-25882.397313768626</v>
      </c>
      <c r="C841" s="74">
        <f t="shared" si="139"/>
        <v>26373.050078303811</v>
      </c>
      <c r="D841" s="74">
        <f t="shared" si="140"/>
        <v>7076.6621070308147</v>
      </c>
      <c r="E841" s="74">
        <f t="shared" si="141"/>
        <v>11551.660921978411</v>
      </c>
      <c r="F841" s="74">
        <f t="shared" si="135"/>
        <v>7813.3782246251312</v>
      </c>
      <c r="G841" s="74">
        <f t="shared" si="136"/>
        <v>-7970.3484149652122</v>
      </c>
      <c r="H841" s="74">
        <f t="shared" si="142"/>
        <v>45882.397313768626</v>
      </c>
      <c r="I841" s="74">
        <f t="shared" si="143"/>
        <v>-6373.0500783038115</v>
      </c>
      <c r="J841" s="74">
        <f t="shared" si="144"/>
        <v>46322.890136077331</v>
      </c>
      <c r="K841" s="74">
        <f t="shared" si="145"/>
        <v>5882.3973137686262</v>
      </c>
      <c r="L841" s="74">
        <f t="shared" si="146"/>
        <v>-6373.0500783038115</v>
      </c>
      <c r="M841" s="74">
        <f t="shared" si="147"/>
        <v>8672.85221006334</v>
      </c>
      <c r="N841" s="74">
        <f t="shared" si="148"/>
        <v>20882.397313768626</v>
      </c>
      <c r="O841" s="74">
        <f t="shared" si="149"/>
        <v>-61373.050078303815</v>
      </c>
      <c r="P841" s="74">
        <f t="shared" si="150"/>
        <v>64828.433526378525</v>
      </c>
    </row>
    <row r="842" spans="1:16" x14ac:dyDescent="0.3">
      <c r="A842" s="72">
        <f t="shared" si="137"/>
        <v>266.5</v>
      </c>
      <c r="B842" s="74">
        <f t="shared" si="138"/>
        <v>-20390.721704096934</v>
      </c>
      <c r="C842" s="74">
        <f t="shared" si="139"/>
        <v>30156.293435551714</v>
      </c>
      <c r="D842" s="74">
        <f t="shared" si="140"/>
        <v>10983.35121934338</v>
      </c>
      <c r="E842" s="74">
        <f t="shared" si="141"/>
        <v>7566.4867144958052</v>
      </c>
      <c r="F842" s="74">
        <f t="shared" si="135"/>
        <v>1373.3958387717271</v>
      </c>
      <c r="G842" s="74">
        <f t="shared" si="136"/>
        <v>-9518.7514230946726</v>
      </c>
      <c r="H842" s="74">
        <f t="shared" si="142"/>
        <v>40390.721704096934</v>
      </c>
      <c r="I842" s="74">
        <f t="shared" si="143"/>
        <v>-10156.293435551714</v>
      </c>
      <c r="J842" s="74">
        <f t="shared" si="144"/>
        <v>41648.057531256338</v>
      </c>
      <c r="K842" s="74">
        <f t="shared" si="145"/>
        <v>390.72170409693354</v>
      </c>
      <c r="L842" s="74">
        <f t="shared" si="146"/>
        <v>-10156.293435551714</v>
      </c>
      <c r="M842" s="74">
        <f t="shared" si="147"/>
        <v>10163.806363714493</v>
      </c>
      <c r="N842" s="74">
        <f t="shared" si="148"/>
        <v>15390.721704096934</v>
      </c>
      <c r="O842" s="74">
        <f t="shared" si="149"/>
        <v>-65156.293435551714</v>
      </c>
      <c r="P842" s="74">
        <f t="shared" si="150"/>
        <v>66949.360630499519</v>
      </c>
    </row>
    <row r="843" spans="1:16" x14ac:dyDescent="0.3">
      <c r="A843" s="72">
        <f t="shared" si="137"/>
        <v>267</v>
      </c>
      <c r="B843" s="74">
        <f t="shared" si="138"/>
        <v>-14555.697134732312</v>
      </c>
      <c r="C843" s="74">
        <f t="shared" si="139"/>
        <v>31559.848937025952</v>
      </c>
      <c r="D843" s="74">
        <f t="shared" si="140"/>
        <v>11670.049138729244</v>
      </c>
      <c r="E843" s="74">
        <f t="shared" si="141"/>
        <v>2807.1110029484689</v>
      </c>
      <c r="F843" s="74">
        <f t="shared" si="135"/>
        <v>-1717.4666670740116</v>
      </c>
      <c r="G843" s="74">
        <f t="shared" si="136"/>
        <v>-7057.2724111338885</v>
      </c>
      <c r="H843" s="74">
        <f t="shared" si="142"/>
        <v>34555.697134732312</v>
      </c>
      <c r="I843" s="74">
        <f t="shared" si="143"/>
        <v>-11559.848937025952</v>
      </c>
      <c r="J843" s="74">
        <f t="shared" si="144"/>
        <v>36437.978976806698</v>
      </c>
      <c r="K843" s="74">
        <f t="shared" si="145"/>
        <v>-5444.3028652676876</v>
      </c>
      <c r="L843" s="74">
        <f t="shared" si="146"/>
        <v>-11559.848937025952</v>
      </c>
      <c r="M843" s="74">
        <f t="shared" si="147"/>
        <v>12777.736150649769</v>
      </c>
      <c r="N843" s="74">
        <f t="shared" si="148"/>
        <v>9555.6971347323124</v>
      </c>
      <c r="O843" s="74">
        <f t="shared" si="149"/>
        <v>-66559.848937025949</v>
      </c>
      <c r="P843" s="74">
        <f t="shared" si="150"/>
        <v>67242.284600171377</v>
      </c>
    </row>
    <row r="844" spans="1:16" x14ac:dyDescent="0.3">
      <c r="A844" s="72">
        <f t="shared" si="137"/>
        <v>267.5</v>
      </c>
      <c r="B844" s="74">
        <f t="shared" si="138"/>
        <v>-9150.0392321361942</v>
      </c>
      <c r="C844" s="74">
        <f t="shared" si="139"/>
        <v>31199.086335716711</v>
      </c>
      <c r="D844" s="74">
        <f t="shared" si="140"/>
        <v>10811.315805192238</v>
      </c>
      <c r="E844" s="74">
        <f t="shared" si="141"/>
        <v>-721.5252026184753</v>
      </c>
      <c r="F844" s="74">
        <f t="shared" si="135"/>
        <v>-2121.3812235079181</v>
      </c>
      <c r="G844" s="74">
        <f t="shared" si="136"/>
        <v>-4811.075643828598</v>
      </c>
      <c r="H844" s="74">
        <f t="shared" si="142"/>
        <v>29150.039232136194</v>
      </c>
      <c r="I844" s="74">
        <f t="shared" si="143"/>
        <v>-11199.086335716711</v>
      </c>
      <c r="J844" s="74">
        <f t="shared" si="144"/>
        <v>31227.300907858113</v>
      </c>
      <c r="K844" s="74">
        <f t="shared" si="145"/>
        <v>-10849.960767863806</v>
      </c>
      <c r="L844" s="74">
        <f t="shared" si="146"/>
        <v>-11199.086335716711</v>
      </c>
      <c r="M844" s="74">
        <f t="shared" si="147"/>
        <v>15592.985070826577</v>
      </c>
      <c r="N844" s="74">
        <f t="shared" si="148"/>
        <v>4150.0392321361942</v>
      </c>
      <c r="O844" s="74">
        <f t="shared" si="149"/>
        <v>-66199.086335716711</v>
      </c>
      <c r="P844" s="74">
        <f t="shared" si="150"/>
        <v>66329.042336761835</v>
      </c>
    </row>
    <row r="845" spans="1:16" x14ac:dyDescent="0.3">
      <c r="A845" s="72">
        <f t="shared" si="137"/>
        <v>268</v>
      </c>
      <c r="B845" s="74">
        <f t="shared" si="138"/>
        <v>-4274.7266354170542</v>
      </c>
      <c r="C845" s="74">
        <f t="shared" si="139"/>
        <v>29635.554823450322</v>
      </c>
      <c r="D845" s="74">
        <f t="shared" si="140"/>
        <v>9750.6251934382799</v>
      </c>
      <c r="E845" s="74">
        <f t="shared" si="141"/>
        <v>-3127.0630245327743</v>
      </c>
      <c r="F845" s="74">
        <f t="shared" si="135"/>
        <v>-1387.8768875183182</v>
      </c>
      <c r="G845" s="74">
        <f t="shared" si="136"/>
        <v>-3420.870808691574</v>
      </c>
      <c r="H845" s="74">
        <f t="shared" si="142"/>
        <v>24274.726635417053</v>
      </c>
      <c r="I845" s="74">
        <f t="shared" si="143"/>
        <v>-9635.5548234503221</v>
      </c>
      <c r="J845" s="74">
        <f t="shared" si="144"/>
        <v>26117.164279070246</v>
      </c>
      <c r="K845" s="74">
        <f t="shared" si="145"/>
        <v>-15725.273364582947</v>
      </c>
      <c r="L845" s="74">
        <f t="shared" si="146"/>
        <v>-9635.5548234503221</v>
      </c>
      <c r="M845" s="74">
        <f t="shared" si="147"/>
        <v>18442.563247731556</v>
      </c>
      <c r="N845" s="74">
        <f t="shared" si="148"/>
        <v>-725.27336458294576</v>
      </c>
      <c r="O845" s="74">
        <f t="shared" si="149"/>
        <v>-64635.554823450322</v>
      </c>
      <c r="P845" s="74">
        <f t="shared" si="150"/>
        <v>64639.623829263008</v>
      </c>
    </row>
    <row r="846" spans="1:16" x14ac:dyDescent="0.3">
      <c r="A846" s="72">
        <f t="shared" si="137"/>
        <v>268.5</v>
      </c>
      <c r="B846" s="74">
        <f t="shared" si="138"/>
        <v>253.61673942250616</v>
      </c>
      <c r="C846" s="74">
        <f t="shared" si="139"/>
        <v>27216.80560901104</v>
      </c>
      <c r="D846" s="74">
        <f t="shared" si="140"/>
        <v>9056.6867496791201</v>
      </c>
      <c r="E846" s="74">
        <f t="shared" si="141"/>
        <v>-4837.4984288785618</v>
      </c>
      <c r="F846" s="74">
        <f t="shared" si="135"/>
        <v>69.092612643546175</v>
      </c>
      <c r="G846" s="74">
        <f t="shared" si="136"/>
        <v>-2668.8062622488601</v>
      </c>
      <c r="H846" s="74">
        <f t="shared" si="142"/>
        <v>19746.383260577495</v>
      </c>
      <c r="I846" s="74">
        <f t="shared" si="143"/>
        <v>-7216.8056090110404</v>
      </c>
      <c r="J846" s="74">
        <f t="shared" si="144"/>
        <v>21023.84206256954</v>
      </c>
      <c r="K846" s="74">
        <f t="shared" si="145"/>
        <v>-20253.616739422505</v>
      </c>
      <c r="L846" s="74">
        <f t="shared" si="146"/>
        <v>-7216.8056090110404</v>
      </c>
      <c r="M846" s="74">
        <f t="shared" si="147"/>
        <v>21500.959844287619</v>
      </c>
      <c r="N846" s="74">
        <f t="shared" si="148"/>
        <v>-5253.6167394225058</v>
      </c>
      <c r="O846" s="74">
        <f t="shared" si="149"/>
        <v>-62216.80560901104</v>
      </c>
      <c r="P846" s="74">
        <f t="shared" si="150"/>
        <v>62438.220578698492</v>
      </c>
    </row>
    <row r="847" spans="1:16" x14ac:dyDescent="0.3">
      <c r="A847" s="72">
        <f t="shared" si="137"/>
        <v>269</v>
      </c>
      <c r="B847" s="74">
        <f t="shared" si="138"/>
        <v>4799.2332674229528</v>
      </c>
      <c r="C847" s="74">
        <f t="shared" si="139"/>
        <v>24130.854829009542</v>
      </c>
      <c r="D847" s="74">
        <f t="shared" si="140"/>
        <v>9091.2330560008941</v>
      </c>
      <c r="E847" s="74">
        <f t="shared" si="141"/>
        <v>-6171.9015600029916</v>
      </c>
      <c r="F847" s="74">
        <f t="shared" si="135"/>
        <v>2553.1337929133629</v>
      </c>
      <c r="G847" s="74">
        <f t="shared" si="136"/>
        <v>-2252.9916269830605</v>
      </c>
      <c r="H847" s="74">
        <f t="shared" si="142"/>
        <v>15200.766732577047</v>
      </c>
      <c r="I847" s="74">
        <f t="shared" si="143"/>
        <v>-4130.8548290095423</v>
      </c>
      <c r="J847" s="74">
        <f t="shared" si="144"/>
        <v>15752.056084098118</v>
      </c>
      <c r="K847" s="74">
        <f t="shared" si="145"/>
        <v>-24799.233267422955</v>
      </c>
      <c r="L847" s="74">
        <f t="shared" si="146"/>
        <v>-4130.8548290095423</v>
      </c>
      <c r="M847" s="74">
        <f t="shared" si="147"/>
        <v>25140.92146820416</v>
      </c>
      <c r="N847" s="74">
        <f t="shared" si="148"/>
        <v>-9799.2332674229528</v>
      </c>
      <c r="O847" s="74">
        <f t="shared" si="149"/>
        <v>-59130.854829009542</v>
      </c>
      <c r="P847" s="74">
        <f t="shared" si="150"/>
        <v>59937.325311017754</v>
      </c>
    </row>
    <row r="848" spans="1:16" x14ac:dyDescent="0.3">
      <c r="A848" s="72">
        <f t="shared" si="137"/>
        <v>269.5</v>
      </c>
      <c r="B848" s="74">
        <f t="shared" si="138"/>
        <v>9983.1332436517423</v>
      </c>
      <c r="C848" s="74">
        <f t="shared" si="139"/>
        <v>20481.656142262284</v>
      </c>
      <c r="D848" s="74">
        <f t="shared" si="140"/>
        <v>10367.799952457575</v>
      </c>
      <c r="E848" s="74">
        <f t="shared" si="141"/>
        <v>-7298.3973734945221</v>
      </c>
      <c r="F848" s="74">
        <f t="shared" si="135"/>
        <v>7083.6990185348322</v>
      </c>
      <c r="G848" s="74">
        <f t="shared" si="136"/>
        <v>-965.8731107247246</v>
      </c>
      <c r="H848" s="74">
        <f t="shared" si="142"/>
        <v>10016.866756348258</v>
      </c>
      <c r="I848" s="74">
        <f t="shared" si="143"/>
        <v>-481.65614226228354</v>
      </c>
      <c r="J848" s="74">
        <f t="shared" si="144"/>
        <v>10028.440170525715</v>
      </c>
      <c r="K848" s="74">
        <f t="shared" si="145"/>
        <v>-29983.13324365174</v>
      </c>
      <c r="L848" s="74">
        <f t="shared" si="146"/>
        <v>-481.65614226228354</v>
      </c>
      <c r="M848" s="74">
        <f t="shared" si="147"/>
        <v>29987.001713174879</v>
      </c>
      <c r="N848" s="74">
        <f t="shared" si="148"/>
        <v>-14983.133243651742</v>
      </c>
      <c r="O848" s="74">
        <f t="shared" si="149"/>
        <v>-55481.656142262284</v>
      </c>
      <c r="P848" s="74">
        <f t="shared" si="150"/>
        <v>57469.195662417718</v>
      </c>
    </row>
    <row r="849" spans="1:16" x14ac:dyDescent="0.3">
      <c r="A849" s="72">
        <f t="shared" si="137"/>
        <v>270</v>
      </c>
      <c r="B849" s="74">
        <f t="shared" si="138"/>
        <v>16937.957974514236</v>
      </c>
      <c r="C849" s="74">
        <f t="shared" si="139"/>
        <v>16590.989177833839</v>
      </c>
      <c r="D849" s="74">
        <f t="shared" si="140"/>
        <v>13909.649461724992</v>
      </c>
      <c r="E849" s="74">
        <f t="shared" si="141"/>
        <v>-7781.3339288568841</v>
      </c>
      <c r="F849" s="74">
        <f t="shared" si="135"/>
        <v>6551.5250451606062</v>
      </c>
      <c r="G849" s="74">
        <f t="shared" si="136"/>
        <v>8480.3776783392459</v>
      </c>
      <c r="H849" s="74">
        <f t="shared" si="142"/>
        <v>3062.0420254857636</v>
      </c>
      <c r="I849" s="74">
        <f t="shared" si="143"/>
        <v>3409.0108221661612</v>
      </c>
      <c r="J849" s="74">
        <f t="shared" si="144"/>
        <v>4582.2981299220337</v>
      </c>
      <c r="K849" s="74">
        <f t="shared" si="145"/>
        <v>-36937.95797451424</v>
      </c>
      <c r="L849" s="74">
        <f t="shared" si="146"/>
        <v>3409.0108221661612</v>
      </c>
      <c r="M849" s="74">
        <f t="shared" si="147"/>
        <v>37094.933536975448</v>
      </c>
      <c r="N849" s="74">
        <f t="shared" si="148"/>
        <v>-21937.957974514236</v>
      </c>
      <c r="O849" s="74">
        <f t="shared" si="149"/>
        <v>-51590.989177833835</v>
      </c>
      <c r="P849" s="74">
        <f t="shared" si="150"/>
        <v>56061.610433869275</v>
      </c>
    </row>
    <row r="850" spans="1:16" x14ac:dyDescent="0.3">
      <c r="A850" s="72">
        <f t="shared" si="137"/>
        <v>270.5</v>
      </c>
      <c r="B850" s="74">
        <f t="shared" si="138"/>
        <v>25530.663966666885</v>
      </c>
      <c r="C850" s="74">
        <f t="shared" si="139"/>
        <v>14820.416632990209</v>
      </c>
      <c r="D850" s="74">
        <f t="shared" si="140"/>
        <v>17185.411984305294</v>
      </c>
      <c r="E850" s="74">
        <f t="shared" si="141"/>
        <v>-3541.1450896872611</v>
      </c>
      <c r="F850" s="74">
        <f t="shared" si="135"/>
        <v>-9132.4998009977535</v>
      </c>
      <c r="G850" s="74">
        <f t="shared" si="136"/>
        <v>7213.7958259014358</v>
      </c>
      <c r="H850" s="74">
        <f t="shared" si="142"/>
        <v>-5530.6639666668852</v>
      </c>
      <c r="I850" s="74">
        <f t="shared" si="143"/>
        <v>5179.5833670097909</v>
      </c>
      <c r="J850" s="74">
        <f t="shared" si="144"/>
        <v>7577.3562518857434</v>
      </c>
      <c r="K850" s="74">
        <f t="shared" si="145"/>
        <v>-45530.663966666885</v>
      </c>
      <c r="L850" s="74">
        <f t="shared" si="146"/>
        <v>5179.5833670097909</v>
      </c>
      <c r="M850" s="74">
        <f t="shared" si="147"/>
        <v>45824.33245669098</v>
      </c>
      <c r="N850" s="74">
        <f t="shared" si="148"/>
        <v>-30530.663966666885</v>
      </c>
      <c r="O850" s="74">
        <f t="shared" si="149"/>
        <v>-49820.416632990207</v>
      </c>
      <c r="P850" s="74">
        <f t="shared" si="150"/>
        <v>58431.116331371413</v>
      </c>
    </row>
    <row r="851" spans="1:16" x14ac:dyDescent="0.3">
      <c r="A851" s="72">
        <f t="shared" si="137"/>
        <v>271</v>
      </c>
      <c r="B851" s="74">
        <f t="shared" si="138"/>
        <v>31840.245008570091</v>
      </c>
      <c r="C851" s="74">
        <f t="shared" si="139"/>
        <v>14853.293044621938</v>
      </c>
      <c r="D851" s="74">
        <f t="shared" si="140"/>
        <v>12619.162083806417</v>
      </c>
      <c r="E851" s="74">
        <f t="shared" si="141"/>
        <v>65.752823263456776</v>
      </c>
      <c r="F851" s="74">
        <f t="shared" si="135"/>
        <v>-7181.8339437865852</v>
      </c>
      <c r="G851" s="74">
        <f t="shared" si="136"/>
        <v>2432.9267378183304</v>
      </c>
      <c r="H851" s="74">
        <f t="shared" si="142"/>
        <v>-11840.245008570091</v>
      </c>
      <c r="I851" s="74">
        <f t="shared" si="143"/>
        <v>5146.706955378062</v>
      </c>
      <c r="J851" s="74">
        <f t="shared" si="144"/>
        <v>12910.460655898607</v>
      </c>
      <c r="K851" s="74">
        <f t="shared" si="145"/>
        <v>-51840.245008570091</v>
      </c>
      <c r="L851" s="74">
        <f t="shared" si="146"/>
        <v>5146.706955378062</v>
      </c>
      <c r="M851" s="74">
        <f t="shared" si="147"/>
        <v>52095.101449494403</v>
      </c>
      <c r="N851" s="74">
        <f t="shared" si="148"/>
        <v>-36840.245008570091</v>
      </c>
      <c r="O851" s="74">
        <f t="shared" si="149"/>
        <v>-49853.29304462194</v>
      </c>
      <c r="P851" s="74">
        <f t="shared" si="150"/>
        <v>61988.341481962751</v>
      </c>
    </row>
    <row r="852" spans="1:16" x14ac:dyDescent="0.3">
      <c r="A852" s="72">
        <f t="shared" si="137"/>
        <v>271.5</v>
      </c>
      <c r="B852" s="74">
        <f t="shared" si="138"/>
        <v>36354.367564526648</v>
      </c>
      <c r="C852" s="74">
        <f t="shared" si="139"/>
        <v>15494.401140708249</v>
      </c>
      <c r="D852" s="74">
        <f t="shared" si="140"/>
        <v>9028.2451119131256</v>
      </c>
      <c r="E852" s="74">
        <f t="shared" si="141"/>
        <v>1282.216192172622</v>
      </c>
      <c r="F852" s="74">
        <f t="shared" si="135"/>
        <v>-5324.011617874311</v>
      </c>
      <c r="G852" s="74">
        <f t="shared" si="136"/>
        <v>976.07757879375413</v>
      </c>
      <c r="H852" s="74">
        <f t="shared" si="142"/>
        <v>-16354.367564526648</v>
      </c>
      <c r="I852" s="74">
        <f t="shared" si="143"/>
        <v>4505.5988592917511</v>
      </c>
      <c r="J852" s="74">
        <f t="shared" si="144"/>
        <v>16963.659968193551</v>
      </c>
      <c r="K852" s="74">
        <f t="shared" si="145"/>
        <v>-56354.367564526648</v>
      </c>
      <c r="L852" s="74">
        <f t="shared" si="146"/>
        <v>4505.5988592917511</v>
      </c>
      <c r="M852" s="74">
        <f t="shared" si="147"/>
        <v>56534.194649597906</v>
      </c>
      <c r="N852" s="74">
        <f t="shared" si="148"/>
        <v>-41354.367564526648</v>
      </c>
      <c r="O852" s="74">
        <f t="shared" si="149"/>
        <v>-50494.401140708251</v>
      </c>
      <c r="P852" s="74">
        <f t="shared" si="150"/>
        <v>65267.666292129157</v>
      </c>
    </row>
    <row r="853" spans="1:16" x14ac:dyDescent="0.3">
      <c r="A853" s="72">
        <f t="shared" si="137"/>
        <v>272</v>
      </c>
      <c r="B853" s="74">
        <f t="shared" si="138"/>
        <v>39537.487216014633</v>
      </c>
      <c r="C853" s="74">
        <f t="shared" si="139"/>
        <v>16379.528631492998</v>
      </c>
      <c r="D853" s="74">
        <f t="shared" si="140"/>
        <v>6366.2393029759696</v>
      </c>
      <c r="E853" s="74">
        <f t="shared" si="141"/>
        <v>1770.254981569499</v>
      </c>
      <c r="F853" s="74">
        <f t="shared" si="135"/>
        <v>-4334.0049902587498</v>
      </c>
      <c r="G853" s="74">
        <f t="shared" si="136"/>
        <v>413.66344431590926</v>
      </c>
      <c r="H853" s="74">
        <f t="shared" si="142"/>
        <v>-19537.487216014633</v>
      </c>
      <c r="I853" s="74">
        <f t="shared" si="143"/>
        <v>3620.4713685070019</v>
      </c>
      <c r="J853" s="74">
        <f t="shared" si="144"/>
        <v>19870.108697390515</v>
      </c>
      <c r="K853" s="74">
        <f t="shared" si="145"/>
        <v>-59537.487216014633</v>
      </c>
      <c r="L853" s="74">
        <f t="shared" si="146"/>
        <v>3620.4713685070019</v>
      </c>
      <c r="M853" s="74">
        <f t="shared" si="147"/>
        <v>59647.465972388847</v>
      </c>
      <c r="N853" s="74">
        <f t="shared" si="148"/>
        <v>-44537.487216014633</v>
      </c>
      <c r="O853" s="74">
        <f t="shared" si="149"/>
        <v>-51379.528631492998</v>
      </c>
      <c r="P853" s="74">
        <f t="shared" si="150"/>
        <v>67995.909655736468</v>
      </c>
    </row>
    <row r="854" spans="1:16" x14ac:dyDescent="0.3">
      <c r="A854" s="72">
        <f t="shared" si="137"/>
        <v>272.5</v>
      </c>
      <c r="B854" s="74">
        <f t="shared" si="138"/>
        <v>41637.105619937931</v>
      </c>
      <c r="C854" s="74">
        <f t="shared" si="139"/>
        <v>17368.071983356727</v>
      </c>
      <c r="D854" s="74">
        <f t="shared" si="140"/>
        <v>4199.2368078465952</v>
      </c>
      <c r="E854" s="74">
        <f t="shared" si="141"/>
        <v>1977.0867037274536</v>
      </c>
      <c r="F854" s="74">
        <f t="shared" si="135"/>
        <v>-3810.5779048080831</v>
      </c>
      <c r="G854" s="74">
        <f t="shared" si="136"/>
        <v>135.28771586384363</v>
      </c>
      <c r="H854" s="74">
        <f t="shared" si="142"/>
        <v>-21637.105619937931</v>
      </c>
      <c r="I854" s="74">
        <f t="shared" si="143"/>
        <v>2631.9280166432727</v>
      </c>
      <c r="J854" s="74">
        <f t="shared" si="144"/>
        <v>21796.591125521012</v>
      </c>
      <c r="K854" s="74">
        <f t="shared" si="145"/>
        <v>-61637.105619937931</v>
      </c>
      <c r="L854" s="74">
        <f t="shared" si="146"/>
        <v>2631.9280166432727</v>
      </c>
      <c r="M854" s="74">
        <f t="shared" si="147"/>
        <v>61693.272196311453</v>
      </c>
      <c r="N854" s="74">
        <f t="shared" si="148"/>
        <v>-46637.105619937931</v>
      </c>
      <c r="O854" s="74">
        <f t="shared" si="149"/>
        <v>-52368.071983356727</v>
      </c>
      <c r="P854" s="74">
        <f t="shared" si="150"/>
        <v>70124.422164173855</v>
      </c>
    </row>
    <row r="855" spans="1:16" x14ac:dyDescent="0.3">
      <c r="A855" s="72">
        <f t="shared" si="137"/>
        <v>273</v>
      </c>
      <c r="B855" s="74">
        <f t="shared" si="138"/>
        <v>42784.07954765921</v>
      </c>
      <c r="C855" s="74">
        <f t="shared" si="139"/>
        <v>18390.437264186414</v>
      </c>
      <c r="D855" s="74">
        <f t="shared" si="140"/>
        <v>2293.9478554425536</v>
      </c>
      <c r="E855" s="74">
        <f t="shared" si="141"/>
        <v>2044.7305616593753</v>
      </c>
      <c r="F855" s="74">
        <f t="shared" si="135"/>
        <v>-3562.0489896221629</v>
      </c>
      <c r="G855" s="74">
        <f t="shared" si="136"/>
        <v>-36.381009678049338</v>
      </c>
      <c r="H855" s="74">
        <f t="shared" si="142"/>
        <v>-22784.07954765921</v>
      </c>
      <c r="I855" s="74">
        <f t="shared" si="143"/>
        <v>1609.5627358135862</v>
      </c>
      <c r="J855" s="74">
        <f t="shared" si="144"/>
        <v>22840.861915317084</v>
      </c>
      <c r="K855" s="74">
        <f t="shared" si="145"/>
        <v>-62784.07954765921</v>
      </c>
      <c r="L855" s="74">
        <f t="shared" si="146"/>
        <v>1609.5627358135862</v>
      </c>
      <c r="M855" s="74">
        <f t="shared" si="147"/>
        <v>62804.707919449153</v>
      </c>
      <c r="N855" s="74">
        <f t="shared" si="148"/>
        <v>-47784.07954765921</v>
      </c>
      <c r="O855" s="74">
        <f t="shared" si="149"/>
        <v>-53390.437264186417</v>
      </c>
      <c r="P855" s="74">
        <f t="shared" si="150"/>
        <v>71650.938929493786</v>
      </c>
    </row>
    <row r="856" spans="1:16" x14ac:dyDescent="0.3">
      <c r="A856" s="72">
        <f t="shared" si="137"/>
        <v>273.5</v>
      </c>
      <c r="B856" s="74">
        <f t="shared" si="138"/>
        <v>43040.541227974951</v>
      </c>
      <c r="C856" s="74">
        <f t="shared" si="139"/>
        <v>19403.707292596588</v>
      </c>
      <c r="D856" s="74">
        <f t="shared" si="140"/>
        <v>512.92336063147218</v>
      </c>
      <c r="E856" s="74">
        <f t="shared" si="141"/>
        <v>2026.5400568203506</v>
      </c>
      <c r="F856" s="74">
        <f t="shared" si="135"/>
        <v>-3513.3335348340288</v>
      </c>
      <c r="G856" s="74">
        <f t="shared" si="136"/>
        <v>-169.36757814696915</v>
      </c>
      <c r="H856" s="74">
        <f t="shared" si="142"/>
        <v>-23040.541227974951</v>
      </c>
      <c r="I856" s="74">
        <f t="shared" si="143"/>
        <v>596.29270740341235</v>
      </c>
      <c r="J856" s="74">
        <f t="shared" si="144"/>
        <v>23048.256009314806</v>
      </c>
      <c r="K856" s="74">
        <f t="shared" si="145"/>
        <v>-63040.541227974951</v>
      </c>
      <c r="L856" s="74">
        <f t="shared" si="146"/>
        <v>596.29270740341235</v>
      </c>
      <c r="M856" s="74">
        <f t="shared" si="147"/>
        <v>63043.361294500406</v>
      </c>
      <c r="N856" s="74">
        <f t="shared" si="148"/>
        <v>-48040.541227974951</v>
      </c>
      <c r="O856" s="74">
        <f t="shared" si="149"/>
        <v>-54403.707292596591</v>
      </c>
      <c r="P856" s="74">
        <f t="shared" si="150"/>
        <v>72578.62611440981</v>
      </c>
    </row>
    <row r="857" spans="1:16" x14ac:dyDescent="0.3">
      <c r="A857" s="72">
        <f t="shared" si="137"/>
        <v>274</v>
      </c>
      <c r="B857" s="74">
        <f t="shared" si="138"/>
        <v>42418.669524582176</v>
      </c>
      <c r="C857" s="74">
        <f t="shared" si="139"/>
        <v>20374.63542647002</v>
      </c>
      <c r="D857" s="74">
        <f t="shared" si="140"/>
        <v>-1243.7434067855422</v>
      </c>
      <c r="E857" s="74">
        <f t="shared" si="141"/>
        <v>1941.856267746866</v>
      </c>
      <c r="F857" s="74">
        <f t="shared" si="135"/>
        <v>-3654.4119566167551</v>
      </c>
      <c r="G857" s="74">
        <f t="shared" si="136"/>
        <v>-301.34805015724828</v>
      </c>
      <c r="H857" s="74">
        <f t="shared" si="142"/>
        <v>-22418.669524582176</v>
      </c>
      <c r="I857" s="74">
        <f t="shared" si="143"/>
        <v>-374.63542647002032</v>
      </c>
      <c r="J857" s="74">
        <f t="shared" si="144"/>
        <v>22421.79954765442</v>
      </c>
      <c r="K857" s="74">
        <f t="shared" si="145"/>
        <v>-62418.669524582176</v>
      </c>
      <c r="L857" s="74">
        <f t="shared" si="146"/>
        <v>-374.63542647002032</v>
      </c>
      <c r="M857" s="74">
        <f t="shared" si="147"/>
        <v>62419.793791086573</v>
      </c>
      <c r="N857" s="74">
        <f t="shared" si="148"/>
        <v>-47418.669524582176</v>
      </c>
      <c r="O857" s="74">
        <f t="shared" si="149"/>
        <v>-55374.63542647002</v>
      </c>
      <c r="P857" s="74">
        <f t="shared" si="150"/>
        <v>72903.226733087795</v>
      </c>
    </row>
    <row r="858" spans="1:16" x14ac:dyDescent="0.3">
      <c r="A858" s="72">
        <f t="shared" si="137"/>
        <v>274.5</v>
      </c>
      <c r="B858" s="74">
        <f t="shared" si="138"/>
        <v>40883.194832035217</v>
      </c>
      <c r="C858" s="74">
        <f t="shared" si="139"/>
        <v>21270.226547804141</v>
      </c>
      <c r="D858" s="74">
        <f t="shared" si="140"/>
        <v>-3070.9493850939198</v>
      </c>
      <c r="E858" s="74">
        <f t="shared" si="141"/>
        <v>1791.182242668242</v>
      </c>
      <c r="F858" s="74">
        <f t="shared" si="135"/>
        <v>-4035.6557635289869</v>
      </c>
      <c r="G858" s="74">
        <f t="shared" si="136"/>
        <v>-469.86946815287365</v>
      </c>
      <c r="H858" s="74">
        <f t="shared" si="142"/>
        <v>-20883.194832035217</v>
      </c>
      <c r="I858" s="74">
        <f t="shared" si="143"/>
        <v>-1270.2265478041409</v>
      </c>
      <c r="J858" s="74">
        <f t="shared" si="144"/>
        <v>20921.79012119873</v>
      </c>
      <c r="K858" s="74">
        <f t="shared" si="145"/>
        <v>-60883.194832035217</v>
      </c>
      <c r="L858" s="74">
        <f t="shared" si="146"/>
        <v>-1270.2265478041409</v>
      </c>
      <c r="M858" s="74">
        <f t="shared" si="147"/>
        <v>60896.443972027679</v>
      </c>
      <c r="N858" s="74">
        <f t="shared" si="148"/>
        <v>-45883.194832035217</v>
      </c>
      <c r="O858" s="74">
        <f t="shared" si="149"/>
        <v>-56270.226547804137</v>
      </c>
      <c r="P858" s="74">
        <f t="shared" si="150"/>
        <v>72605.825962767645</v>
      </c>
    </row>
    <row r="859" spans="1:16" x14ac:dyDescent="0.3">
      <c r="A859" s="72">
        <f t="shared" si="137"/>
        <v>275</v>
      </c>
      <c r="B859" s="74">
        <f t="shared" si="138"/>
        <v>38338.806198606013</v>
      </c>
      <c r="C859" s="74">
        <f t="shared" si="139"/>
        <v>22048.350302100043</v>
      </c>
      <c r="D859" s="74">
        <f t="shared" si="140"/>
        <v>-5088.777266858413</v>
      </c>
      <c r="E859" s="74">
        <f t="shared" si="141"/>
        <v>1556.2475085918052</v>
      </c>
      <c r="F859" s="74">
        <f t="shared" si="135"/>
        <v>-4811.26384348176</v>
      </c>
      <c r="G859" s="74">
        <f t="shared" si="136"/>
        <v>-745.48457449700356</v>
      </c>
      <c r="H859" s="74">
        <f t="shared" si="142"/>
        <v>-18338.806198606013</v>
      </c>
      <c r="I859" s="74">
        <f t="shared" si="143"/>
        <v>-2048.3503021000433</v>
      </c>
      <c r="J859" s="74">
        <f t="shared" si="144"/>
        <v>18452.846711283972</v>
      </c>
      <c r="K859" s="74">
        <f t="shared" si="145"/>
        <v>-58338.806198606013</v>
      </c>
      <c r="L859" s="74">
        <f t="shared" si="146"/>
        <v>-2048.3503021000433</v>
      </c>
      <c r="M859" s="74">
        <f t="shared" si="147"/>
        <v>58374.755225513574</v>
      </c>
      <c r="N859" s="74">
        <f t="shared" si="148"/>
        <v>-43338.806198606013</v>
      </c>
      <c r="O859" s="74">
        <f t="shared" si="149"/>
        <v>-57048.350302100043</v>
      </c>
      <c r="P859" s="74">
        <f t="shared" si="150"/>
        <v>71643.327637062263</v>
      </c>
    </row>
    <row r="860" spans="1:16" x14ac:dyDescent="0.3">
      <c r="A860" s="72">
        <f t="shared" si="137"/>
        <v>275.5</v>
      </c>
      <c r="B860" s="74">
        <f t="shared" si="138"/>
        <v>34591.601604306372</v>
      </c>
      <c r="C860" s="74">
        <f t="shared" si="139"/>
        <v>22640.102912771694</v>
      </c>
      <c r="D860" s="74">
        <f t="shared" si="140"/>
        <v>-7494.409188599293</v>
      </c>
      <c r="E860" s="74">
        <f t="shared" si="141"/>
        <v>1183.5052213433034</v>
      </c>
      <c r="F860" s="74">
        <f t="shared" si="135"/>
        <v>-6395.1470301012223</v>
      </c>
      <c r="G860" s="74">
        <f t="shared" si="136"/>
        <v>-1337.3488482125297</v>
      </c>
      <c r="H860" s="74">
        <f t="shared" si="142"/>
        <v>-14591.601604306372</v>
      </c>
      <c r="I860" s="74">
        <f t="shared" si="143"/>
        <v>-2640.1029127716938</v>
      </c>
      <c r="J860" s="74">
        <f t="shared" si="144"/>
        <v>14828.519169789743</v>
      </c>
      <c r="K860" s="74">
        <f t="shared" si="145"/>
        <v>-54591.601604306372</v>
      </c>
      <c r="L860" s="74">
        <f t="shared" si="146"/>
        <v>-2640.1029127716938</v>
      </c>
      <c r="M860" s="74">
        <f t="shared" si="147"/>
        <v>54655.40329293465</v>
      </c>
      <c r="N860" s="74">
        <f t="shared" si="148"/>
        <v>-39591.601604306372</v>
      </c>
      <c r="O860" s="74">
        <f t="shared" si="149"/>
        <v>-57640.10291277169</v>
      </c>
      <c r="P860" s="74">
        <f t="shared" si="150"/>
        <v>69927.651050132001</v>
      </c>
    </row>
    <row r="861" spans="1:16" x14ac:dyDescent="0.3">
      <c r="A861" s="72">
        <f t="shared" si="137"/>
        <v>276</v>
      </c>
      <c r="B861" s="74">
        <f t="shared" si="138"/>
        <v>29245.61025248142</v>
      </c>
      <c r="C861" s="74">
        <f t="shared" si="139"/>
        <v>22897.518311390213</v>
      </c>
      <c r="D861" s="74">
        <f t="shared" si="140"/>
        <v>-10691.982703649905</v>
      </c>
      <c r="E861" s="74">
        <f t="shared" si="141"/>
        <v>514.83079723703861</v>
      </c>
      <c r="F861" s="74">
        <f t="shared" si="135"/>
        <v>-9777.8494126834921</v>
      </c>
      <c r="G861" s="74">
        <f t="shared" si="136"/>
        <v>-3154.8089668920411</v>
      </c>
      <c r="H861" s="74">
        <f t="shared" si="142"/>
        <v>-9245.6102524814196</v>
      </c>
      <c r="I861" s="74">
        <f t="shared" si="143"/>
        <v>-2897.5183113902131</v>
      </c>
      <c r="J861" s="74">
        <f t="shared" si="144"/>
        <v>9689.010336749112</v>
      </c>
      <c r="K861" s="74">
        <f t="shared" si="145"/>
        <v>-49245.61025248142</v>
      </c>
      <c r="L861" s="74">
        <f t="shared" si="146"/>
        <v>-2897.5183113902131</v>
      </c>
      <c r="M861" s="74">
        <f t="shared" si="147"/>
        <v>49330.778845505214</v>
      </c>
      <c r="N861" s="74">
        <f t="shared" si="148"/>
        <v>-34245.61025248142</v>
      </c>
      <c r="O861" s="74">
        <f t="shared" si="149"/>
        <v>-57897.518311390217</v>
      </c>
      <c r="P861" s="74">
        <f t="shared" si="150"/>
        <v>67267.26133999083</v>
      </c>
    </row>
    <row r="862" spans="1:16" x14ac:dyDescent="0.3">
      <c r="A862" s="72">
        <f t="shared" si="137"/>
        <v>276.5</v>
      </c>
      <c r="B862" s="74">
        <f t="shared" si="138"/>
        <v>21455.156547485596</v>
      </c>
      <c r="C862" s="74">
        <f t="shared" si="139"/>
        <v>22366.231468285721</v>
      </c>
      <c r="D862" s="74">
        <f t="shared" si="140"/>
        <v>-15580.907409991651</v>
      </c>
      <c r="E862" s="74">
        <f t="shared" si="141"/>
        <v>-1062.5736862089821</v>
      </c>
      <c r="F862" s="74">
        <f t="shared" si="135"/>
        <v>-6183.111983660111</v>
      </c>
      <c r="G862" s="74">
        <f t="shared" si="136"/>
        <v>-8622.7744361658806</v>
      </c>
      <c r="H862" s="74">
        <f t="shared" si="142"/>
        <v>-1455.1565474855961</v>
      </c>
      <c r="I862" s="74">
        <f t="shared" si="143"/>
        <v>-2366.2314682857213</v>
      </c>
      <c r="J862" s="74">
        <f t="shared" si="144"/>
        <v>2777.8646365861314</v>
      </c>
      <c r="K862" s="74">
        <f t="shared" si="145"/>
        <v>-41455.156547485596</v>
      </c>
      <c r="L862" s="74">
        <f t="shared" si="146"/>
        <v>-2366.2314682857213</v>
      </c>
      <c r="M862" s="74">
        <f t="shared" si="147"/>
        <v>41522.633054010956</v>
      </c>
      <c r="N862" s="74">
        <f t="shared" si="148"/>
        <v>-26455.156547485596</v>
      </c>
      <c r="O862" s="74">
        <f t="shared" si="149"/>
        <v>-57366.231468285725</v>
      </c>
      <c r="P862" s="74">
        <f t="shared" si="150"/>
        <v>63172.460936905925</v>
      </c>
    </row>
    <row r="863" spans="1:16" x14ac:dyDescent="0.3">
      <c r="A863" s="72">
        <f t="shared" si="137"/>
        <v>277</v>
      </c>
      <c r="B863" s="74">
        <f t="shared" si="138"/>
        <v>12118.924846574742</v>
      </c>
      <c r="C863" s="74">
        <f t="shared" si="139"/>
        <v>19679.251016139759</v>
      </c>
      <c r="D863" s="74">
        <f t="shared" si="140"/>
        <v>-18672.463401821708</v>
      </c>
      <c r="E863" s="74">
        <f t="shared" si="141"/>
        <v>-5373.9609042919219</v>
      </c>
      <c r="F863" s="74">
        <f t="shared" si="135"/>
        <v>9062.9185634491187</v>
      </c>
      <c r="G863" s="74">
        <f t="shared" si="136"/>
        <v>-45.38439310641462</v>
      </c>
      <c r="H863" s="74">
        <f t="shared" si="142"/>
        <v>7881.0751534252577</v>
      </c>
      <c r="I863" s="74">
        <f t="shared" si="143"/>
        <v>320.74898386024142</v>
      </c>
      <c r="J863" s="74">
        <f t="shared" si="144"/>
        <v>7887.5994754160993</v>
      </c>
      <c r="K863" s="74">
        <f t="shared" si="145"/>
        <v>-32118.924846574744</v>
      </c>
      <c r="L863" s="74">
        <f t="shared" si="146"/>
        <v>320.74898386024142</v>
      </c>
      <c r="M863" s="74">
        <f t="shared" si="147"/>
        <v>32120.526353261459</v>
      </c>
      <c r="N863" s="74">
        <f t="shared" si="148"/>
        <v>-17118.924846574744</v>
      </c>
      <c r="O863" s="74">
        <f t="shared" si="149"/>
        <v>-54679.251016139759</v>
      </c>
      <c r="P863" s="74">
        <f t="shared" si="150"/>
        <v>57296.405468307479</v>
      </c>
    </row>
    <row r="864" spans="1:16" x14ac:dyDescent="0.3">
      <c r="A864" s="72">
        <f t="shared" si="137"/>
        <v>277.5</v>
      </c>
      <c r="B864" s="74">
        <f t="shared" si="138"/>
        <v>5048.4227865261682</v>
      </c>
      <c r="C864" s="74">
        <f t="shared" si="139"/>
        <v>16980.924465717195</v>
      </c>
      <c r="D864" s="74">
        <f t="shared" si="140"/>
        <v>-14141.004120097148</v>
      </c>
      <c r="E864" s="74">
        <f t="shared" si="141"/>
        <v>-5396.6531008451293</v>
      </c>
      <c r="F864" s="74">
        <f t="shared" si="135"/>
        <v>2836.6841936953451</v>
      </c>
      <c r="G864" s="74">
        <f t="shared" si="136"/>
        <v>778.17182821255199</v>
      </c>
      <c r="H864" s="74">
        <f t="shared" si="142"/>
        <v>14951.577213473833</v>
      </c>
      <c r="I864" s="74">
        <f t="shared" si="143"/>
        <v>3019.0755342828052</v>
      </c>
      <c r="J864" s="74">
        <f t="shared" si="144"/>
        <v>15253.343182796843</v>
      </c>
      <c r="K864" s="74">
        <f t="shared" si="145"/>
        <v>-25048.422786526167</v>
      </c>
      <c r="L864" s="74">
        <f t="shared" si="146"/>
        <v>3019.0755342828052</v>
      </c>
      <c r="M864" s="74">
        <f t="shared" si="147"/>
        <v>25229.710683522873</v>
      </c>
      <c r="N864" s="74">
        <f t="shared" si="148"/>
        <v>-10048.422786526167</v>
      </c>
      <c r="O864" s="74">
        <f t="shared" si="149"/>
        <v>-51980.924465717195</v>
      </c>
      <c r="P864" s="74">
        <f t="shared" si="150"/>
        <v>52943.246111353757</v>
      </c>
    </row>
    <row r="865" spans="1:16" x14ac:dyDescent="0.3">
      <c r="A865" s="72">
        <f t="shared" si="137"/>
        <v>278</v>
      </c>
      <c r="B865" s="74">
        <f t="shared" si="138"/>
        <v>-1312.9082250985696</v>
      </c>
      <c r="C865" s="74">
        <f t="shared" si="139"/>
        <v>14477.140872347769</v>
      </c>
      <c r="D865" s="74">
        <f t="shared" si="140"/>
        <v>-12722.662023249475</v>
      </c>
      <c r="E865" s="74">
        <f t="shared" si="141"/>
        <v>-5007.5671867388537</v>
      </c>
      <c r="F865" s="74">
        <f t="shared" si="135"/>
        <v>-686.23462809555258</v>
      </c>
      <c r="G865" s="74">
        <f t="shared" si="136"/>
        <v>1155.7520103152997</v>
      </c>
      <c r="H865" s="74">
        <f t="shared" si="142"/>
        <v>21312.90822509857</v>
      </c>
      <c r="I865" s="74">
        <f t="shared" si="143"/>
        <v>5522.8591276522311</v>
      </c>
      <c r="J865" s="74">
        <f t="shared" si="144"/>
        <v>22016.857858363121</v>
      </c>
      <c r="K865" s="74">
        <f t="shared" si="145"/>
        <v>-18687.09177490143</v>
      </c>
      <c r="L865" s="74">
        <f t="shared" si="146"/>
        <v>5522.8591276522311</v>
      </c>
      <c r="M865" s="74">
        <f t="shared" si="147"/>
        <v>19486.132811501626</v>
      </c>
      <c r="N865" s="74">
        <f t="shared" si="148"/>
        <v>-3687.0917749014307</v>
      </c>
      <c r="O865" s="74">
        <f t="shared" si="149"/>
        <v>-49477.140872347765</v>
      </c>
      <c r="P865" s="74">
        <f t="shared" si="150"/>
        <v>49614.333762116483</v>
      </c>
    </row>
    <row r="866" spans="1:16" x14ac:dyDescent="0.3">
      <c r="A866" s="72">
        <f t="shared" si="137"/>
        <v>278.5</v>
      </c>
      <c r="B866" s="74">
        <f t="shared" si="138"/>
        <v>-7845.7978937471953</v>
      </c>
      <c r="C866" s="74">
        <f t="shared" si="139"/>
        <v>12262.295281557168</v>
      </c>
      <c r="D866" s="74">
        <f t="shared" si="140"/>
        <v>-13065.779337297252</v>
      </c>
      <c r="E866" s="74">
        <f t="shared" si="141"/>
        <v>-4429.6911815812036</v>
      </c>
      <c r="F866" s="74">
        <f t="shared" si="135"/>
        <v>-3117.2952873851964</v>
      </c>
      <c r="G866" s="74">
        <f t="shared" si="136"/>
        <v>2946.0439562440247</v>
      </c>
      <c r="H866" s="74">
        <f t="shared" si="142"/>
        <v>27845.797893747196</v>
      </c>
      <c r="I866" s="74">
        <f t="shared" si="143"/>
        <v>7737.704718442832</v>
      </c>
      <c r="J866" s="74">
        <f t="shared" si="144"/>
        <v>28900.874288665182</v>
      </c>
      <c r="K866" s="74">
        <f t="shared" si="145"/>
        <v>-12154.202106252804</v>
      </c>
      <c r="L866" s="74">
        <f t="shared" si="146"/>
        <v>7737.704718442832</v>
      </c>
      <c r="M866" s="74">
        <f t="shared" si="147"/>
        <v>14408.216515219798</v>
      </c>
      <c r="N866" s="74">
        <f t="shared" si="148"/>
        <v>2845.7978937471953</v>
      </c>
      <c r="O866" s="74">
        <f t="shared" si="149"/>
        <v>-47262.29528155717</v>
      </c>
      <c r="P866" s="74">
        <f t="shared" si="150"/>
        <v>47347.894577617248</v>
      </c>
    </row>
    <row r="867" spans="1:16" x14ac:dyDescent="0.3">
      <c r="A867" s="72">
        <f t="shared" si="137"/>
        <v>279</v>
      </c>
      <c r="B867" s="74">
        <f t="shared" si="138"/>
        <v>-15158.011384242121</v>
      </c>
      <c r="C867" s="74">
        <f t="shared" si="139"/>
        <v>10783.960679827573</v>
      </c>
      <c r="D867" s="74">
        <f t="shared" si="140"/>
        <v>-14624.426980989851</v>
      </c>
      <c r="E867" s="74">
        <f t="shared" si="141"/>
        <v>-2956.6692034591915</v>
      </c>
      <c r="F867" s="74">
        <f t="shared" si="135"/>
        <v>-2667.6144787244975</v>
      </c>
      <c r="G867" s="74">
        <f t="shared" si="136"/>
        <v>7273.3440095577889</v>
      </c>
      <c r="H867" s="74">
        <f t="shared" si="142"/>
        <v>35158.01138424212</v>
      </c>
      <c r="I867" s="74">
        <f t="shared" si="143"/>
        <v>9216.0393201724273</v>
      </c>
      <c r="J867" s="74">
        <f t="shared" si="144"/>
        <v>36345.854581306281</v>
      </c>
      <c r="K867" s="74">
        <f t="shared" si="145"/>
        <v>-4841.9886157578785</v>
      </c>
      <c r="L867" s="74">
        <f t="shared" si="146"/>
        <v>9216.0393201724273</v>
      </c>
      <c r="M867" s="74">
        <f t="shared" si="147"/>
        <v>10410.582812988576</v>
      </c>
      <c r="N867" s="74">
        <f t="shared" si="148"/>
        <v>10158.011384242121</v>
      </c>
      <c r="O867" s="74">
        <f t="shared" si="149"/>
        <v>-45783.960679827571</v>
      </c>
      <c r="P867" s="74">
        <f t="shared" si="150"/>
        <v>46897.294706778019</v>
      </c>
    </row>
    <row r="868" spans="1:16" x14ac:dyDescent="0.3">
      <c r="A868" s="72">
        <f t="shared" si="137"/>
        <v>279.5</v>
      </c>
      <c r="B868" s="74">
        <f t="shared" si="138"/>
        <v>-23137.128494418172</v>
      </c>
      <c r="C868" s="74">
        <f t="shared" si="139"/>
        <v>11123.962080487425</v>
      </c>
      <c r="D868" s="74">
        <f t="shared" si="140"/>
        <v>-15958.2342203521</v>
      </c>
      <c r="E868" s="74">
        <f t="shared" si="141"/>
        <v>680.00280131970294</v>
      </c>
      <c r="F868" s="74">
        <f t="shared" si="135"/>
        <v>4288.5676876604721</v>
      </c>
      <c r="G868" s="74">
        <f t="shared" si="136"/>
        <v>8523.7067446253186</v>
      </c>
      <c r="H868" s="74">
        <f t="shared" si="142"/>
        <v>43137.128494418168</v>
      </c>
      <c r="I868" s="74">
        <f t="shared" si="143"/>
        <v>8876.0379195125752</v>
      </c>
      <c r="J868" s="74">
        <f t="shared" si="144"/>
        <v>44040.843587431074</v>
      </c>
      <c r="K868" s="74">
        <f t="shared" si="145"/>
        <v>3137.1284944181716</v>
      </c>
      <c r="L868" s="74">
        <f t="shared" si="146"/>
        <v>8876.0379195125752</v>
      </c>
      <c r="M868" s="74">
        <f t="shared" si="147"/>
        <v>9414.1183516628662</v>
      </c>
      <c r="N868" s="74">
        <f t="shared" si="148"/>
        <v>18137.128494418172</v>
      </c>
      <c r="O868" s="74">
        <f t="shared" si="149"/>
        <v>-46123.962080487428</v>
      </c>
      <c r="P868" s="74">
        <f t="shared" si="150"/>
        <v>49561.833178619185</v>
      </c>
    </row>
    <row r="869" spans="1:16" x14ac:dyDescent="0.3">
      <c r="A869" s="72">
        <f t="shared" si="137"/>
        <v>280</v>
      </c>
      <c r="B869" s="74">
        <f t="shared" si="138"/>
        <v>-30044.103682679106</v>
      </c>
      <c r="C869" s="74">
        <f t="shared" si="139"/>
        <v>13594.890167303607</v>
      </c>
      <c r="D869" s="74">
        <f t="shared" si="140"/>
        <v>-13813.950376521865</v>
      </c>
      <c r="E869" s="74">
        <f t="shared" si="141"/>
        <v>4941.8561736323627</v>
      </c>
      <c r="F869" s="74">
        <f t="shared" si="135"/>
        <v>7292.8028781625817</v>
      </c>
      <c r="G869" s="74">
        <f t="shared" si="136"/>
        <v>3631.8722422372553</v>
      </c>
      <c r="H869" s="74">
        <f t="shared" si="142"/>
        <v>50044.10368267911</v>
      </c>
      <c r="I869" s="74">
        <f t="shared" si="143"/>
        <v>6405.1098326963929</v>
      </c>
      <c r="J869" s="74">
        <f t="shared" si="144"/>
        <v>50452.331416611865</v>
      </c>
      <c r="K869" s="74">
        <f t="shared" si="145"/>
        <v>10044.103682679106</v>
      </c>
      <c r="L869" s="74">
        <f t="shared" si="146"/>
        <v>6405.1098326963929</v>
      </c>
      <c r="M869" s="74">
        <f t="shared" si="147"/>
        <v>11912.575320110762</v>
      </c>
      <c r="N869" s="74">
        <f t="shared" si="148"/>
        <v>25044.103682679106</v>
      </c>
      <c r="O869" s="74">
        <f t="shared" si="149"/>
        <v>-48594.890167303609</v>
      </c>
      <c r="P869" s="74">
        <f t="shared" si="150"/>
        <v>54668.734022666758</v>
      </c>
    </row>
    <row r="870" spans="1:16" x14ac:dyDescent="0.3">
      <c r="A870" s="72">
        <f t="shared" si="137"/>
        <v>280.5</v>
      </c>
      <c r="B870" s="74">
        <f t="shared" si="138"/>
        <v>-35127.878151399389</v>
      </c>
      <c r="C870" s="74">
        <f t="shared" si="139"/>
        <v>16973.786314679102</v>
      </c>
      <c r="D870" s="74">
        <f t="shared" si="140"/>
        <v>-10167.548937440573</v>
      </c>
      <c r="E870" s="74">
        <f t="shared" si="141"/>
        <v>6757.7922947509905</v>
      </c>
      <c r="F870" s="74">
        <f t="shared" si="135"/>
        <v>6099.1784457116846</v>
      </c>
      <c r="G870" s="74">
        <f t="shared" si="136"/>
        <v>676.43781102753019</v>
      </c>
      <c r="H870" s="74">
        <f t="shared" si="142"/>
        <v>55127.878151399389</v>
      </c>
      <c r="I870" s="74">
        <f t="shared" si="143"/>
        <v>3026.2136853208976</v>
      </c>
      <c r="J870" s="74">
        <f t="shared" si="144"/>
        <v>55210.876815576492</v>
      </c>
      <c r="K870" s="74">
        <f t="shared" si="145"/>
        <v>15127.878151399389</v>
      </c>
      <c r="L870" s="74">
        <f t="shared" si="146"/>
        <v>3026.2136853208976</v>
      </c>
      <c r="M870" s="74">
        <f t="shared" si="147"/>
        <v>15427.594324223413</v>
      </c>
      <c r="N870" s="74">
        <f t="shared" si="148"/>
        <v>30127.878151399389</v>
      </c>
      <c r="O870" s="74">
        <f t="shared" si="149"/>
        <v>-51973.786314679106</v>
      </c>
      <c r="P870" s="74">
        <f t="shared" si="150"/>
        <v>60074.649443750342</v>
      </c>
    </row>
    <row r="871" spans="1:16" x14ac:dyDescent="0.3">
      <c r="A871" s="72">
        <f t="shared" si="137"/>
        <v>281</v>
      </c>
      <c r="B871" s="74">
        <f t="shared" si="138"/>
        <v>-38686.858008691757</v>
      </c>
      <c r="C871" s="74">
        <f t="shared" si="139"/>
        <v>20521.791914811478</v>
      </c>
      <c r="D871" s="74">
        <f t="shared" si="140"/>
        <v>-7117.959714584731</v>
      </c>
      <c r="E871" s="74">
        <f t="shared" si="141"/>
        <v>7096.0112002647556</v>
      </c>
      <c r="F871" s="74">
        <f t="shared" si="135"/>
        <v>4754.582795147322</v>
      </c>
      <c r="G871" s="74">
        <f t="shared" si="136"/>
        <v>-468.46003489011508</v>
      </c>
      <c r="H871" s="74">
        <f t="shared" si="142"/>
        <v>58686.858008691757</v>
      </c>
      <c r="I871" s="74">
        <f t="shared" si="143"/>
        <v>-521.79191481147791</v>
      </c>
      <c r="J871" s="74">
        <f t="shared" si="144"/>
        <v>58689.177620194256</v>
      </c>
      <c r="K871" s="74">
        <f t="shared" si="145"/>
        <v>18686.858008691757</v>
      </c>
      <c r="L871" s="74">
        <f t="shared" si="146"/>
        <v>-521.79191481147791</v>
      </c>
      <c r="M871" s="74">
        <f t="shared" si="147"/>
        <v>18694.141570004489</v>
      </c>
      <c r="N871" s="74">
        <f t="shared" si="148"/>
        <v>33686.858008691757</v>
      </c>
      <c r="O871" s="74">
        <f t="shared" si="149"/>
        <v>-55521.791914811474</v>
      </c>
      <c r="P871" s="74">
        <f t="shared" si="150"/>
        <v>64942.080194042021</v>
      </c>
    </row>
    <row r="872" spans="1:16" x14ac:dyDescent="0.3">
      <c r="A872" s="72">
        <f t="shared" si="137"/>
        <v>281.5</v>
      </c>
      <c r="B872" s="74">
        <f t="shared" si="138"/>
        <v>-41057.192167197296</v>
      </c>
      <c r="C872" s="74">
        <f t="shared" si="139"/>
        <v>23952.682506221328</v>
      </c>
      <c r="D872" s="74">
        <f t="shared" si="140"/>
        <v>-4740.66831701107</v>
      </c>
      <c r="E872" s="74">
        <f t="shared" si="141"/>
        <v>6861.7811828196982</v>
      </c>
      <c r="F872" s="74">
        <f t="shared" si="135"/>
        <v>3831.6853151767882</v>
      </c>
      <c r="G872" s="74">
        <f t="shared" si="136"/>
        <v>-937.1741343501119</v>
      </c>
      <c r="H872" s="74">
        <f t="shared" si="142"/>
        <v>61057.192167197296</v>
      </c>
      <c r="I872" s="74">
        <f t="shared" si="143"/>
        <v>-3952.6825062213284</v>
      </c>
      <c r="J872" s="74">
        <f t="shared" si="144"/>
        <v>61185.001547250504</v>
      </c>
      <c r="K872" s="74">
        <f t="shared" si="145"/>
        <v>21057.192167197296</v>
      </c>
      <c r="L872" s="74">
        <f t="shared" si="146"/>
        <v>-3952.6825062213284</v>
      </c>
      <c r="M872" s="74">
        <f t="shared" si="147"/>
        <v>21424.963032903073</v>
      </c>
      <c r="N872" s="74">
        <f t="shared" si="148"/>
        <v>36057.192167197296</v>
      </c>
      <c r="O872" s="74">
        <f t="shared" si="149"/>
        <v>-58952.682506221332</v>
      </c>
      <c r="P872" s="74">
        <f t="shared" si="150"/>
        <v>69105.281141614119</v>
      </c>
    </row>
    <row r="873" spans="1:16" x14ac:dyDescent="0.3">
      <c r="A873" s="72">
        <f t="shared" si="137"/>
        <v>282</v>
      </c>
      <c r="B873" s="74">
        <f t="shared" si="138"/>
        <v>-42469.604996908631</v>
      </c>
      <c r="C873" s="74">
        <f t="shared" si="139"/>
        <v>27149.279564043652</v>
      </c>
      <c r="D873" s="74">
        <f t="shared" si="140"/>
        <v>-2824.8256594226759</v>
      </c>
      <c r="E873" s="74">
        <f t="shared" si="141"/>
        <v>6393.1941156446419</v>
      </c>
      <c r="F873" s="74">
        <f t="shared" si="135"/>
        <v>3226.3500224554118</v>
      </c>
      <c r="G873" s="74">
        <f t="shared" si="136"/>
        <v>-1166.5346098514517</v>
      </c>
      <c r="H873" s="74">
        <f t="shared" si="142"/>
        <v>62469.604996908631</v>
      </c>
      <c r="I873" s="74">
        <f t="shared" si="143"/>
        <v>-7149.2795640436525</v>
      </c>
      <c r="J873" s="74">
        <f t="shared" si="144"/>
        <v>62877.370704846144</v>
      </c>
      <c r="K873" s="74">
        <f t="shared" si="145"/>
        <v>22469.604996908631</v>
      </c>
      <c r="L873" s="74">
        <f t="shared" si="146"/>
        <v>-7149.2795640436525</v>
      </c>
      <c r="M873" s="74">
        <f t="shared" si="147"/>
        <v>23579.553579360945</v>
      </c>
      <c r="N873" s="74">
        <f t="shared" si="148"/>
        <v>37469.604996908631</v>
      </c>
      <c r="O873" s="74">
        <f t="shared" si="149"/>
        <v>-62149.279564043652</v>
      </c>
      <c r="P873" s="74">
        <f t="shared" si="150"/>
        <v>72570.684501071184</v>
      </c>
    </row>
    <row r="874" spans="1:16" x14ac:dyDescent="0.3">
      <c r="A874" s="72">
        <f t="shared" si="137"/>
        <v>282.5</v>
      </c>
      <c r="B874" s="74">
        <f t="shared" si="138"/>
        <v>-43075.430321006112</v>
      </c>
      <c r="C874" s="74">
        <f t="shared" si="139"/>
        <v>30054.242969403109</v>
      </c>
      <c r="D874" s="74">
        <f t="shared" si="140"/>
        <v>-1211.65064819497</v>
      </c>
      <c r="E874" s="74">
        <f t="shared" si="141"/>
        <v>5809.9268107189164</v>
      </c>
      <c r="F874" s="74">
        <f t="shared" si="135"/>
        <v>2824.6071227363464</v>
      </c>
      <c r="G874" s="74">
        <f t="shared" si="136"/>
        <v>-1311.9590642982382</v>
      </c>
      <c r="H874" s="74">
        <f t="shared" si="142"/>
        <v>63075.430321006112</v>
      </c>
      <c r="I874" s="74">
        <f t="shared" si="143"/>
        <v>-10054.242969403109</v>
      </c>
      <c r="J874" s="74">
        <f t="shared" si="144"/>
        <v>63871.728580553456</v>
      </c>
      <c r="K874" s="74">
        <f t="shared" si="145"/>
        <v>23075.430321006112</v>
      </c>
      <c r="L874" s="74">
        <f t="shared" si="146"/>
        <v>-10054.242969403109</v>
      </c>
      <c r="M874" s="74">
        <f t="shared" si="147"/>
        <v>25170.683069543426</v>
      </c>
      <c r="N874" s="74">
        <f t="shared" si="148"/>
        <v>38075.430321006112</v>
      </c>
      <c r="O874" s="74">
        <f t="shared" si="149"/>
        <v>-65054.242969403109</v>
      </c>
      <c r="P874" s="74">
        <f t="shared" si="150"/>
        <v>75377.66859257406</v>
      </c>
    </row>
    <row r="875" spans="1:16" x14ac:dyDescent="0.3">
      <c r="A875" s="72">
        <f t="shared" si="137"/>
        <v>283</v>
      </c>
      <c r="B875" s="74">
        <f t="shared" si="138"/>
        <v>-42975.103864419514</v>
      </c>
      <c r="C875" s="74">
        <f t="shared" si="139"/>
        <v>32631.216608688006</v>
      </c>
      <c r="D875" s="74">
        <f t="shared" si="140"/>
        <v>200.65291317320316</v>
      </c>
      <c r="E875" s="74">
        <f t="shared" si="141"/>
        <v>5153.9472785697972</v>
      </c>
      <c r="F875" s="74">
        <f t="shared" si="135"/>
        <v>2555.4129615238116</v>
      </c>
      <c r="G875" s="74">
        <f t="shared" si="136"/>
        <v>-1435.8003125547818</v>
      </c>
      <c r="H875" s="74">
        <f t="shared" si="142"/>
        <v>62975.103864419514</v>
      </c>
      <c r="I875" s="74">
        <f t="shared" si="143"/>
        <v>-12631.216608688006</v>
      </c>
      <c r="J875" s="74">
        <f t="shared" si="144"/>
        <v>64229.365089108745</v>
      </c>
      <c r="K875" s="74">
        <f t="shared" si="145"/>
        <v>22975.103864419514</v>
      </c>
      <c r="L875" s="74">
        <f t="shared" si="146"/>
        <v>-12631.216608688006</v>
      </c>
      <c r="M875" s="74">
        <f t="shared" si="147"/>
        <v>26218.372005074234</v>
      </c>
      <c r="N875" s="74">
        <f t="shared" si="148"/>
        <v>37975.103864419514</v>
      </c>
      <c r="O875" s="74">
        <f t="shared" si="149"/>
        <v>-67631.216608688002</v>
      </c>
      <c r="P875" s="74">
        <f t="shared" si="150"/>
        <v>77563.4577200161</v>
      </c>
    </row>
    <row r="876" spans="1:16" x14ac:dyDescent="0.3">
      <c r="A876" s="72">
        <f t="shared" si="137"/>
        <v>283.5</v>
      </c>
      <c r="B876" s="74">
        <f t="shared" si="138"/>
        <v>-42235.924167451958</v>
      </c>
      <c r="C876" s="74">
        <f t="shared" si="139"/>
        <v>34849.240169834207</v>
      </c>
      <c r="D876" s="74">
        <f t="shared" si="140"/>
        <v>1478.359393935109</v>
      </c>
      <c r="E876" s="74">
        <f t="shared" si="141"/>
        <v>4436.0471222924061</v>
      </c>
      <c r="F876" s="74">
        <f t="shared" si="135"/>
        <v>2377.0829623706531</v>
      </c>
      <c r="G876" s="74">
        <f t="shared" si="136"/>
        <v>-1569.0133773555442</v>
      </c>
      <c r="H876" s="74">
        <f t="shared" si="142"/>
        <v>62235.924167451958</v>
      </c>
      <c r="I876" s="74">
        <f t="shared" si="143"/>
        <v>-14849.240169834207</v>
      </c>
      <c r="J876" s="74">
        <f t="shared" si="144"/>
        <v>63982.889826876752</v>
      </c>
      <c r="K876" s="74">
        <f t="shared" si="145"/>
        <v>22235.924167451958</v>
      </c>
      <c r="L876" s="74">
        <f t="shared" si="146"/>
        <v>-14849.240169834207</v>
      </c>
      <c r="M876" s="74">
        <f t="shared" si="147"/>
        <v>26738.291964934706</v>
      </c>
      <c r="N876" s="74">
        <f t="shared" si="148"/>
        <v>37235.924167451958</v>
      </c>
      <c r="O876" s="74">
        <f t="shared" si="149"/>
        <v>-69849.2401698342</v>
      </c>
      <c r="P876" s="74">
        <f t="shared" si="150"/>
        <v>79154.471768229327</v>
      </c>
    </row>
    <row r="877" spans="1:16" x14ac:dyDescent="0.3">
      <c r="A877" s="72">
        <f t="shared" si="137"/>
        <v>284</v>
      </c>
      <c r="B877" s="74">
        <f t="shared" si="138"/>
        <v>-40902.473729891739</v>
      </c>
      <c r="C877" s="74">
        <f t="shared" si="139"/>
        <v>36675.010386641523</v>
      </c>
      <c r="D877" s="74">
        <f t="shared" si="140"/>
        <v>2666.9008751204356</v>
      </c>
      <c r="E877" s="74">
        <f t="shared" si="141"/>
        <v>3651.5404336146339</v>
      </c>
      <c r="F877" s="74">
        <f t="shared" si="135"/>
        <v>2264.8011657348998</v>
      </c>
      <c r="G877" s="74">
        <f t="shared" si="136"/>
        <v>-1733.1330870923673</v>
      </c>
      <c r="H877" s="74">
        <f t="shared" si="142"/>
        <v>60902.473729891739</v>
      </c>
      <c r="I877" s="74">
        <f t="shared" si="143"/>
        <v>-16675.010386641523</v>
      </c>
      <c r="J877" s="74">
        <f t="shared" si="144"/>
        <v>63144.02012712491</v>
      </c>
      <c r="K877" s="74">
        <f t="shared" si="145"/>
        <v>20902.473729891739</v>
      </c>
      <c r="L877" s="74">
        <f t="shared" si="146"/>
        <v>-16675.010386641523</v>
      </c>
      <c r="M877" s="74">
        <f t="shared" si="147"/>
        <v>26738.911335793327</v>
      </c>
      <c r="N877" s="74">
        <f t="shared" si="148"/>
        <v>35902.473729891739</v>
      </c>
      <c r="O877" s="74">
        <f t="shared" si="149"/>
        <v>-71675.010386641516</v>
      </c>
      <c r="P877" s="74">
        <f t="shared" si="150"/>
        <v>80164.173630436286</v>
      </c>
    </row>
    <row r="878" spans="1:16" x14ac:dyDescent="0.3">
      <c r="A878" s="72">
        <f t="shared" si="137"/>
        <v>284.5</v>
      </c>
      <c r="B878" s="74">
        <f t="shared" si="138"/>
        <v>-39002.823000897792</v>
      </c>
      <c r="C878" s="74">
        <f t="shared" si="139"/>
        <v>38067.497331675746</v>
      </c>
      <c r="D878" s="74">
        <f t="shared" si="140"/>
        <v>3799.3014579878854</v>
      </c>
      <c r="E878" s="74">
        <f t="shared" si="141"/>
        <v>2784.9738900684501</v>
      </c>
      <c r="F878" s="74">
        <f t="shared" si="135"/>
        <v>2202.8542056787496</v>
      </c>
      <c r="G878" s="74">
        <f t="shared" si="136"/>
        <v>-1950.3889400687729</v>
      </c>
      <c r="H878" s="74">
        <f t="shared" si="142"/>
        <v>59002.823000897792</v>
      </c>
      <c r="I878" s="74">
        <f t="shared" si="143"/>
        <v>-18067.497331675746</v>
      </c>
      <c r="J878" s="74">
        <f t="shared" si="144"/>
        <v>61707.111275001225</v>
      </c>
      <c r="K878" s="74">
        <f t="shared" si="145"/>
        <v>19002.823000897792</v>
      </c>
      <c r="L878" s="74">
        <f t="shared" si="146"/>
        <v>-18067.497331675746</v>
      </c>
      <c r="M878" s="74">
        <f t="shared" si="147"/>
        <v>26221.017177706137</v>
      </c>
      <c r="N878" s="74">
        <f t="shared" si="148"/>
        <v>34002.823000897792</v>
      </c>
      <c r="O878" s="74">
        <f t="shared" si="149"/>
        <v>-73067.497331675753</v>
      </c>
      <c r="P878" s="74">
        <f t="shared" si="150"/>
        <v>80591.880101811912</v>
      </c>
    </row>
    <row r="879" spans="1:16" x14ac:dyDescent="0.3">
      <c r="A879" s="72">
        <f t="shared" si="137"/>
        <v>285</v>
      </c>
      <c r="B879" s="74">
        <f t="shared" si="138"/>
        <v>-36552.458720484166</v>
      </c>
      <c r="C879" s="74">
        <f t="shared" si="139"/>
        <v>38972.387041692775</v>
      </c>
      <c r="D879" s="74">
        <f t="shared" si="140"/>
        <v>4900.7285608272605</v>
      </c>
      <c r="E879" s="74">
        <f t="shared" si="141"/>
        <v>1809.7794200340636</v>
      </c>
      <c r="F879" s="74">
        <f t="shared" si="135"/>
        <v>2178.9215485804593</v>
      </c>
      <c r="G879" s="74">
        <f t="shared" si="136"/>
        <v>-2251.4137155286535</v>
      </c>
      <c r="H879" s="74">
        <f t="shared" si="142"/>
        <v>56552.458720484166</v>
      </c>
      <c r="I879" s="74">
        <f t="shared" si="143"/>
        <v>-18972.387041692775</v>
      </c>
      <c r="J879" s="74">
        <f t="shared" si="144"/>
        <v>59650.08011219983</v>
      </c>
      <c r="K879" s="74">
        <f t="shared" si="145"/>
        <v>16552.458720484166</v>
      </c>
      <c r="L879" s="74">
        <f t="shared" si="146"/>
        <v>-18972.387041692775</v>
      </c>
      <c r="M879" s="74">
        <f t="shared" si="147"/>
        <v>25178.072995229883</v>
      </c>
      <c r="N879" s="74">
        <f t="shared" si="148"/>
        <v>31552.458720484166</v>
      </c>
      <c r="O879" s="74">
        <f t="shared" si="149"/>
        <v>-73972.387041692768</v>
      </c>
      <c r="P879" s="74">
        <f t="shared" si="150"/>
        <v>80420.592486961032</v>
      </c>
    </row>
    <row r="880" spans="1:16" x14ac:dyDescent="0.3">
      <c r="A880" s="72">
        <f t="shared" si="137"/>
        <v>285.5</v>
      </c>
      <c r="B880" s="74">
        <f t="shared" si="138"/>
        <v>-33557.364052925419</v>
      </c>
      <c r="C880" s="74">
        <f t="shared" si="139"/>
        <v>39314.423322827643</v>
      </c>
      <c r="D880" s="74">
        <f t="shared" si="140"/>
        <v>5990.1893351174904</v>
      </c>
      <c r="E880" s="74">
        <f t="shared" si="141"/>
        <v>684.07256226973686</v>
      </c>
      <c r="F880" s="74">
        <f t="shared" si="135"/>
        <v>2176.6342819233214</v>
      </c>
      <c r="G880" s="74">
        <f t="shared" si="136"/>
        <v>-2685.3850947493979</v>
      </c>
      <c r="H880" s="74">
        <f t="shared" si="142"/>
        <v>53557.364052925419</v>
      </c>
      <c r="I880" s="74">
        <f t="shared" si="143"/>
        <v>-19314.423322827643</v>
      </c>
      <c r="J880" s="74">
        <f t="shared" si="144"/>
        <v>56933.629715581774</v>
      </c>
      <c r="K880" s="74">
        <f t="shared" si="145"/>
        <v>13557.364052925419</v>
      </c>
      <c r="L880" s="74">
        <f t="shared" si="146"/>
        <v>-19314.423322827643</v>
      </c>
      <c r="M880" s="74">
        <f t="shared" si="147"/>
        <v>23597.649636286718</v>
      </c>
      <c r="N880" s="74">
        <f t="shared" si="148"/>
        <v>28557.364052925419</v>
      </c>
      <c r="O880" s="74">
        <f t="shared" si="149"/>
        <v>-74314.423322827643</v>
      </c>
      <c r="P880" s="74">
        <f t="shared" si="150"/>
        <v>79612.540189694642</v>
      </c>
    </row>
    <row r="881" spans="1:16" x14ac:dyDescent="0.3">
      <c r="A881" s="72">
        <f t="shared" si="137"/>
        <v>286</v>
      </c>
      <c r="B881" s="74">
        <f t="shared" si="138"/>
        <v>-30018.110814885844</v>
      </c>
      <c r="C881" s="74">
        <f t="shared" si="139"/>
        <v>38985.113330275162</v>
      </c>
      <c r="D881" s="74">
        <f t="shared" si="140"/>
        <v>7078.5064760791511</v>
      </c>
      <c r="E881" s="74">
        <f t="shared" si="141"/>
        <v>-658.6199851049621</v>
      </c>
      <c r="F881" s="74">
        <f t="shared" si="135"/>
        <v>2157.9300699575256</v>
      </c>
      <c r="G881" s="74">
        <f t="shared" si="136"/>
        <v>-3337.0616426687034</v>
      </c>
      <c r="H881" s="74">
        <f t="shared" si="142"/>
        <v>50018.110814885848</v>
      </c>
      <c r="I881" s="74">
        <f t="shared" si="143"/>
        <v>-18985.113330275162</v>
      </c>
      <c r="J881" s="74">
        <f t="shared" si="144"/>
        <v>53499.962034132252</v>
      </c>
      <c r="K881" s="74">
        <f t="shared" si="145"/>
        <v>10018.110814885844</v>
      </c>
      <c r="L881" s="74">
        <f t="shared" si="146"/>
        <v>-18985.113330275162</v>
      </c>
      <c r="M881" s="74">
        <f t="shared" si="147"/>
        <v>21466.184394594311</v>
      </c>
      <c r="N881" s="74">
        <f t="shared" si="148"/>
        <v>25018.110814885844</v>
      </c>
      <c r="O881" s="74">
        <f t="shared" si="149"/>
        <v>-73985.11333027517</v>
      </c>
      <c r="P881" s="74">
        <f t="shared" si="150"/>
        <v>78100.594512715252</v>
      </c>
    </row>
    <row r="882" spans="1:16" x14ac:dyDescent="0.3">
      <c r="A882" s="72">
        <f t="shared" si="137"/>
        <v>286.5</v>
      </c>
      <c r="B882" s="74">
        <f t="shared" si="138"/>
        <v>-25939.375059356888</v>
      </c>
      <c r="C882" s="74">
        <f t="shared" si="139"/>
        <v>37821.537927055506</v>
      </c>
      <c r="D882" s="74">
        <f t="shared" si="140"/>
        <v>8157.4715110579136</v>
      </c>
      <c r="E882" s="74">
        <f t="shared" si="141"/>
        <v>-2327.1508064393138</v>
      </c>
      <c r="F882" s="74">
        <f t="shared" si="135"/>
        <v>2007.7285073480466</v>
      </c>
      <c r="G882" s="74">
        <f t="shared" si="136"/>
        <v>-4351.4228719908979</v>
      </c>
      <c r="H882" s="74">
        <f t="shared" si="142"/>
        <v>45939.375059356884</v>
      </c>
      <c r="I882" s="74">
        <f t="shared" si="143"/>
        <v>-17821.537927055506</v>
      </c>
      <c r="J882" s="74">
        <f t="shared" si="144"/>
        <v>49275.078842450763</v>
      </c>
      <c r="K882" s="74">
        <f t="shared" si="145"/>
        <v>5939.3750593568875</v>
      </c>
      <c r="L882" s="74">
        <f t="shared" si="146"/>
        <v>-17821.537927055506</v>
      </c>
      <c r="M882" s="74">
        <f t="shared" si="147"/>
        <v>18785.190714527987</v>
      </c>
      <c r="N882" s="74">
        <f t="shared" si="148"/>
        <v>20939.375059356888</v>
      </c>
      <c r="O882" s="74">
        <f t="shared" si="149"/>
        <v>-72821.537927055499</v>
      </c>
      <c r="P882" s="74">
        <f t="shared" si="150"/>
        <v>75772.249629650032</v>
      </c>
    </row>
    <row r="883" spans="1:16" x14ac:dyDescent="0.3">
      <c r="A883" s="72">
        <f t="shared" si="137"/>
        <v>287</v>
      </c>
      <c r="B883" s="74">
        <f t="shared" si="138"/>
        <v>-21358.70717699092</v>
      </c>
      <c r="C883" s="74">
        <f t="shared" si="139"/>
        <v>35570.106805838128</v>
      </c>
      <c r="D883" s="74">
        <f t="shared" si="140"/>
        <v>9161.3357647319372</v>
      </c>
      <c r="E883" s="74">
        <f t="shared" si="141"/>
        <v>-4502.8622424347632</v>
      </c>
      <c r="F883" s="74">
        <f t="shared" si="135"/>
        <v>1347.2248375573454</v>
      </c>
      <c r="G883" s="74">
        <f t="shared" si="136"/>
        <v>-5909.6940346797292</v>
      </c>
      <c r="H883" s="74">
        <f t="shared" si="142"/>
        <v>41358.707176990923</v>
      </c>
      <c r="I883" s="74">
        <f t="shared" si="143"/>
        <v>-15570.106805838128</v>
      </c>
      <c r="J883" s="74">
        <f t="shared" si="144"/>
        <v>44192.430180940348</v>
      </c>
      <c r="K883" s="74">
        <f t="shared" si="145"/>
        <v>1358.7071769909198</v>
      </c>
      <c r="L883" s="74">
        <f t="shared" si="146"/>
        <v>-15570.106805838128</v>
      </c>
      <c r="M883" s="74">
        <f t="shared" si="147"/>
        <v>15629.277370947559</v>
      </c>
      <c r="N883" s="74">
        <f t="shared" si="148"/>
        <v>16358.70717699092</v>
      </c>
      <c r="O883" s="74">
        <f t="shared" si="149"/>
        <v>-70570.106805838121</v>
      </c>
      <c r="P883" s="74">
        <f t="shared" si="150"/>
        <v>72441.336784255531</v>
      </c>
    </row>
    <row r="884" spans="1:16" x14ac:dyDescent="0.3">
      <c r="A884" s="72">
        <f t="shared" si="137"/>
        <v>287.5</v>
      </c>
      <c r="B884" s="74">
        <f t="shared" si="138"/>
        <v>-16441.233085235617</v>
      </c>
      <c r="C884" s="74">
        <f t="shared" si="139"/>
        <v>31841.252175950809</v>
      </c>
      <c r="D884" s="74">
        <f t="shared" si="140"/>
        <v>9834.9481835106089</v>
      </c>
      <c r="E884" s="74">
        <f t="shared" si="141"/>
        <v>-7457.7092597746278</v>
      </c>
      <c r="F884" s="74">
        <f t="shared" si="135"/>
        <v>-933.83807081643158</v>
      </c>
      <c r="G884" s="74">
        <f t="shared" si="136"/>
        <v>-7642.5202760126977</v>
      </c>
      <c r="H884" s="74">
        <f t="shared" si="142"/>
        <v>36441.233085235617</v>
      </c>
      <c r="I884" s="74">
        <f t="shared" si="143"/>
        <v>-11841.252175950809</v>
      </c>
      <c r="J884" s="74">
        <f t="shared" si="144"/>
        <v>38316.820351732356</v>
      </c>
      <c r="K884" s="74">
        <f t="shared" si="145"/>
        <v>-3558.7669147643828</v>
      </c>
      <c r="L884" s="74">
        <f t="shared" si="146"/>
        <v>-11841.252175950809</v>
      </c>
      <c r="M884" s="74">
        <f t="shared" si="147"/>
        <v>12364.468247687862</v>
      </c>
      <c r="N884" s="74">
        <f t="shared" si="148"/>
        <v>11441.233085235617</v>
      </c>
      <c r="O884" s="74">
        <f t="shared" si="149"/>
        <v>-66841.252175950809</v>
      </c>
      <c r="P884" s="74">
        <f t="shared" si="150"/>
        <v>67813.38221147607</v>
      </c>
    </row>
    <row r="885" spans="1:16" x14ac:dyDescent="0.3">
      <c r="A885" s="72">
        <f t="shared" si="137"/>
        <v>288</v>
      </c>
      <c r="B885" s="74">
        <f t="shared" si="138"/>
        <v>-11757.218511184421</v>
      </c>
      <c r="C885" s="74">
        <f t="shared" si="139"/>
        <v>26201.767477060319</v>
      </c>
      <c r="D885" s="74">
        <f t="shared" si="140"/>
        <v>9368.0291481023924</v>
      </c>
      <c r="E885" s="74">
        <f t="shared" si="141"/>
        <v>-11278.969397780977</v>
      </c>
      <c r="F885" s="74">
        <f t="shared" si="135"/>
        <v>-5440.1981256728532</v>
      </c>
      <c r="G885" s="74">
        <f t="shared" si="136"/>
        <v>-6035.302525343357</v>
      </c>
      <c r="H885" s="74">
        <f t="shared" si="142"/>
        <v>31757.218511184423</v>
      </c>
      <c r="I885" s="74">
        <f t="shared" si="143"/>
        <v>-6201.7674770603189</v>
      </c>
      <c r="J885" s="74">
        <f t="shared" si="144"/>
        <v>32357.114324467158</v>
      </c>
      <c r="K885" s="74">
        <f t="shared" si="145"/>
        <v>-8242.781488815579</v>
      </c>
      <c r="L885" s="74">
        <f t="shared" si="146"/>
        <v>-6201.7674770603189</v>
      </c>
      <c r="M885" s="74">
        <f t="shared" si="147"/>
        <v>10315.297693808157</v>
      </c>
      <c r="N885" s="74">
        <f t="shared" si="148"/>
        <v>6757.218511184421</v>
      </c>
      <c r="O885" s="74">
        <f t="shared" si="149"/>
        <v>-61201.767477060319</v>
      </c>
      <c r="P885" s="74">
        <f t="shared" si="150"/>
        <v>61573.665997113181</v>
      </c>
    </row>
    <row r="886" spans="1:16" x14ac:dyDescent="0.3">
      <c r="A886" s="72">
        <f t="shared" si="137"/>
        <v>288.5</v>
      </c>
      <c r="B886" s="74">
        <f t="shared" si="138"/>
        <v>-8433.2534685514383</v>
      </c>
      <c r="C886" s="74">
        <f t="shared" si="139"/>
        <v>19053.457146833989</v>
      </c>
      <c r="D886" s="74">
        <f t="shared" si="140"/>
        <v>6647.9300852659653</v>
      </c>
      <c r="E886" s="74">
        <f t="shared" si="141"/>
        <v>-14296.620660452656</v>
      </c>
      <c r="F886" s="74">
        <f t="shared" ref="F886:F949" si="151">$C$23*(H886/(J886^2+$C$24^2)^1.5)+$C$32*(K886/(M886^2+$C$33^2)^1.5)+C$41*(N886/(P886^2+$C$42^2)^1.5)</f>
        <v>-5737.2454324688379</v>
      </c>
      <c r="G886" s="74">
        <f t="shared" ref="G886:G949" si="152">$C$23*(I886/(J886^2+$C$24^2)^1.5)+$C$32*(L886/(M886^2+$C$33^2)^1.5)+C$41*(O886/(P886^2+$C$42^2)^1.5)</f>
        <v>115.37932121714266</v>
      </c>
      <c r="H886" s="74">
        <f t="shared" si="142"/>
        <v>28433.25346855144</v>
      </c>
      <c r="I886" s="74">
        <f t="shared" si="143"/>
        <v>946.5428531660109</v>
      </c>
      <c r="J886" s="74">
        <f t="shared" si="144"/>
        <v>28449.004309110223</v>
      </c>
      <c r="K886" s="74">
        <f t="shared" si="145"/>
        <v>-11566.746531448562</v>
      </c>
      <c r="L886" s="74">
        <f t="shared" si="146"/>
        <v>946.5428531660109</v>
      </c>
      <c r="M886" s="74">
        <f t="shared" si="147"/>
        <v>11605.411181671117</v>
      </c>
      <c r="N886" s="74">
        <f t="shared" si="148"/>
        <v>3433.2534685514383</v>
      </c>
      <c r="O886" s="74">
        <f t="shared" si="149"/>
        <v>-54053.457146833985</v>
      </c>
      <c r="P886" s="74">
        <f t="shared" si="150"/>
        <v>54162.380476710387</v>
      </c>
    </row>
    <row r="887" spans="1:16" x14ac:dyDescent="0.3">
      <c r="A887" s="72">
        <f t="shared" ref="A887:A950" si="153">A886+$C$5</f>
        <v>289</v>
      </c>
      <c r="B887" s="74">
        <f t="shared" ref="B887:B950" si="154">B886+D886*(A887-A886)+F886*(A887-A886)^2</f>
        <v>-6543.5997840356649</v>
      </c>
      <c r="C887" s="74">
        <f t="shared" ref="C887:C950" si="155">C886+E886*(A887-A886)+G886*(A887-A886)^2</f>
        <v>11933.991646911947</v>
      </c>
      <c r="D887" s="74">
        <f t="shared" ref="D887:D950" si="156">D886+F886*(A887-A886)</f>
        <v>3779.3073690315464</v>
      </c>
      <c r="E887" s="74">
        <f t="shared" ref="E887:E950" si="157">E886+G886*(A887-A886)</f>
        <v>-14238.930999844084</v>
      </c>
      <c r="F887" s="74">
        <f t="shared" si="151"/>
        <v>-2520.6046495370515</v>
      </c>
      <c r="G887" s="74">
        <f t="shared" si="152"/>
        <v>2540.0903762712996</v>
      </c>
      <c r="H887" s="74">
        <f t="shared" ref="H887:H950" si="158">$C$19-B887</f>
        <v>26543.599784035665</v>
      </c>
      <c r="I887" s="74">
        <f t="shared" ref="I887:I950" si="159">$D$19-C887</f>
        <v>8066.0083530880529</v>
      </c>
      <c r="J887" s="74">
        <f t="shared" ref="J887:J950" si="160">SQRT(H887^2+I887^2)</f>
        <v>27742.08319948494</v>
      </c>
      <c r="K887" s="74">
        <f t="shared" ref="K887:K950" si="161">$C$28-B887</f>
        <v>-13456.400215964335</v>
      </c>
      <c r="L887" s="74">
        <f t="shared" ref="L887:L950" si="162">$D$28-C887</f>
        <v>8066.0083530880529</v>
      </c>
      <c r="M887" s="74">
        <f t="shared" ref="M887:M950" si="163">SQRT(K887^2+L887^2)</f>
        <v>15688.696489010526</v>
      </c>
      <c r="N887" s="74">
        <f t="shared" ref="N887:N950" si="164">$C$37-B887</f>
        <v>1543.5997840356649</v>
      </c>
      <c r="O887" s="74">
        <f t="shared" ref="O887:O950" si="165">$D$37-C887</f>
        <v>-46933.991646911949</v>
      </c>
      <c r="P887" s="74">
        <f t="shared" ref="P887:P950" si="166">SQRT(N887^2+O887^2)</f>
        <v>46959.368311399543</v>
      </c>
    </row>
    <row r="888" spans="1:16" x14ac:dyDescent="0.3">
      <c r="A888" s="72">
        <f t="shared" si="153"/>
        <v>289.5</v>
      </c>
      <c r="B888" s="74">
        <f t="shared" si="154"/>
        <v>-5284.097261904154</v>
      </c>
      <c r="C888" s="74">
        <f t="shared" si="155"/>
        <v>5449.5487410577298</v>
      </c>
      <c r="D888" s="74">
        <f t="shared" si="156"/>
        <v>2519.0050442630209</v>
      </c>
      <c r="E888" s="74">
        <f t="shared" si="157"/>
        <v>-12968.885811708435</v>
      </c>
      <c r="F888" s="74">
        <f t="shared" si="151"/>
        <v>-796.04928050116246</v>
      </c>
      <c r="G888" s="74">
        <f t="shared" si="152"/>
        <v>2325.2329451036121</v>
      </c>
      <c r="H888" s="74">
        <f t="shared" si="158"/>
        <v>25284.097261904153</v>
      </c>
      <c r="I888" s="74">
        <f t="shared" si="159"/>
        <v>14550.45125894227</v>
      </c>
      <c r="J888" s="74">
        <f t="shared" si="160"/>
        <v>29171.924965423241</v>
      </c>
      <c r="K888" s="74">
        <f t="shared" si="161"/>
        <v>-14715.902738095847</v>
      </c>
      <c r="L888" s="74">
        <f t="shared" si="162"/>
        <v>14550.45125894227</v>
      </c>
      <c r="M888" s="74">
        <f t="shared" si="163"/>
        <v>20694.768064318854</v>
      </c>
      <c r="N888" s="74">
        <f t="shared" si="164"/>
        <v>284.09726190415404</v>
      </c>
      <c r="O888" s="74">
        <f t="shared" si="165"/>
        <v>-40449.548741057733</v>
      </c>
      <c r="P888" s="74">
        <f t="shared" si="166"/>
        <v>40450.546406809226</v>
      </c>
    </row>
    <row r="889" spans="1:16" x14ac:dyDescent="0.3">
      <c r="A889" s="72">
        <f t="shared" si="153"/>
        <v>290</v>
      </c>
      <c r="B889" s="74">
        <f t="shared" si="154"/>
        <v>-4223.6070598979341</v>
      </c>
      <c r="C889" s="74">
        <f t="shared" si="155"/>
        <v>-453.5859285205845</v>
      </c>
      <c r="D889" s="74">
        <f t="shared" si="156"/>
        <v>2120.9804040124395</v>
      </c>
      <c r="E889" s="74">
        <f t="shared" si="157"/>
        <v>-11806.269339156628</v>
      </c>
      <c r="F889" s="74">
        <f t="shared" si="151"/>
        <v>-225.69225755886001</v>
      </c>
      <c r="G889" s="74">
        <f t="shared" si="152"/>
        <v>1521.7546097433271</v>
      </c>
      <c r="H889" s="74">
        <f t="shared" si="158"/>
        <v>24223.607059897935</v>
      </c>
      <c r="I889" s="74">
        <f t="shared" si="159"/>
        <v>20453.585928520584</v>
      </c>
      <c r="J889" s="74">
        <f t="shared" si="160"/>
        <v>31703.821793716168</v>
      </c>
      <c r="K889" s="74">
        <f t="shared" si="161"/>
        <v>-15776.392940102065</v>
      </c>
      <c r="L889" s="74">
        <f t="shared" si="162"/>
        <v>20453.585928520584</v>
      </c>
      <c r="M889" s="74">
        <f t="shared" si="163"/>
        <v>25831.061757811611</v>
      </c>
      <c r="N889" s="74">
        <f t="shared" si="164"/>
        <v>-776.39294010206595</v>
      </c>
      <c r="O889" s="74">
        <f t="shared" si="165"/>
        <v>-34546.414071479412</v>
      </c>
      <c r="P889" s="74">
        <f t="shared" si="166"/>
        <v>34555.13726199841</v>
      </c>
    </row>
    <row r="890" spans="1:16" x14ac:dyDescent="0.3">
      <c r="A890" s="72">
        <f t="shared" si="153"/>
        <v>290.5</v>
      </c>
      <c r="B890" s="74">
        <f t="shared" si="154"/>
        <v>-3219.539922281429</v>
      </c>
      <c r="C890" s="74">
        <f t="shared" si="155"/>
        <v>-5976.2819456630668</v>
      </c>
      <c r="D890" s="74">
        <f t="shared" si="156"/>
        <v>2008.1342752330095</v>
      </c>
      <c r="E890" s="74">
        <f t="shared" si="157"/>
        <v>-11045.392034284965</v>
      </c>
      <c r="F890" s="74">
        <f t="shared" si="151"/>
        <v>-130.02613044531631</v>
      </c>
      <c r="G890" s="74">
        <f t="shared" si="152"/>
        <v>544.72161942923526</v>
      </c>
      <c r="H890" s="74">
        <f t="shared" si="158"/>
        <v>23219.53992228143</v>
      </c>
      <c r="I890" s="74">
        <f t="shared" si="159"/>
        <v>25976.281945663068</v>
      </c>
      <c r="J890" s="74">
        <f t="shared" si="160"/>
        <v>34841.272335019603</v>
      </c>
      <c r="K890" s="74">
        <f t="shared" si="161"/>
        <v>-16780.46007771857</v>
      </c>
      <c r="L890" s="74">
        <f t="shared" si="162"/>
        <v>25976.281945663068</v>
      </c>
      <c r="M890" s="74">
        <f t="shared" si="163"/>
        <v>30924.926259257074</v>
      </c>
      <c r="N890" s="74">
        <f t="shared" si="164"/>
        <v>-1780.460077718571</v>
      </c>
      <c r="O890" s="74">
        <f t="shared" si="165"/>
        <v>-29023.718054336932</v>
      </c>
      <c r="P890" s="74">
        <f t="shared" si="166"/>
        <v>29078.277937078619</v>
      </c>
    </row>
    <row r="891" spans="1:16" x14ac:dyDescent="0.3">
      <c r="A891" s="72">
        <f t="shared" si="153"/>
        <v>291</v>
      </c>
      <c r="B891" s="74">
        <f t="shared" si="154"/>
        <v>-2247.9793172762534</v>
      </c>
      <c r="C891" s="74">
        <f t="shared" si="155"/>
        <v>-11362.797557948241</v>
      </c>
      <c r="D891" s="74">
        <f t="shared" si="156"/>
        <v>1943.1212100103512</v>
      </c>
      <c r="E891" s="74">
        <f t="shared" si="157"/>
        <v>-10773.031224570348</v>
      </c>
      <c r="F891" s="74">
        <f t="shared" si="151"/>
        <v>-288.19830659772322</v>
      </c>
      <c r="G891" s="74">
        <f t="shared" si="152"/>
        <v>-656.30748721712916</v>
      </c>
      <c r="H891" s="74">
        <f t="shared" si="158"/>
        <v>22247.979317276255</v>
      </c>
      <c r="I891" s="74">
        <f t="shared" si="159"/>
        <v>31362.797557948241</v>
      </c>
      <c r="J891" s="74">
        <f t="shared" si="160"/>
        <v>38452.537684303701</v>
      </c>
      <c r="K891" s="74">
        <f t="shared" si="161"/>
        <v>-17752.020682723745</v>
      </c>
      <c r="L891" s="74">
        <f t="shared" si="162"/>
        <v>31362.797557948241</v>
      </c>
      <c r="M891" s="74">
        <f t="shared" si="163"/>
        <v>36038.303358797231</v>
      </c>
      <c r="N891" s="74">
        <f t="shared" si="164"/>
        <v>-2752.0206827237466</v>
      </c>
      <c r="O891" s="74">
        <f t="shared" si="165"/>
        <v>-23637.202442051759</v>
      </c>
      <c r="P891" s="74">
        <f t="shared" si="166"/>
        <v>23796.868641161109</v>
      </c>
    </row>
    <row r="892" spans="1:16" x14ac:dyDescent="0.3">
      <c r="A892" s="72">
        <f t="shared" si="153"/>
        <v>291.5</v>
      </c>
      <c r="B892" s="74">
        <f t="shared" si="154"/>
        <v>-1348.4682889205085</v>
      </c>
      <c r="C892" s="74">
        <f t="shared" si="155"/>
        <v>-16913.390042037696</v>
      </c>
      <c r="D892" s="74">
        <f t="shared" si="156"/>
        <v>1799.0220567114895</v>
      </c>
      <c r="E892" s="74">
        <f t="shared" si="157"/>
        <v>-11101.184968178914</v>
      </c>
      <c r="F892" s="74">
        <f t="shared" si="151"/>
        <v>-795.69330298158502</v>
      </c>
      <c r="G892" s="74">
        <f t="shared" si="152"/>
        <v>-2362.9108308054147</v>
      </c>
      <c r="H892" s="74">
        <f t="shared" si="158"/>
        <v>21348.468288920507</v>
      </c>
      <c r="I892" s="74">
        <f t="shared" si="159"/>
        <v>36913.390042037696</v>
      </c>
      <c r="J892" s="74">
        <f t="shared" si="160"/>
        <v>42642.179384720155</v>
      </c>
      <c r="K892" s="74">
        <f t="shared" si="161"/>
        <v>-18651.531711079493</v>
      </c>
      <c r="L892" s="74">
        <f t="shared" si="162"/>
        <v>36913.390042037696</v>
      </c>
      <c r="M892" s="74">
        <f t="shared" si="163"/>
        <v>41357.925474629548</v>
      </c>
      <c r="N892" s="74">
        <f t="shared" si="164"/>
        <v>-3651.5317110794913</v>
      </c>
      <c r="O892" s="74">
        <f t="shared" si="165"/>
        <v>-18086.609957962304</v>
      </c>
      <c r="P892" s="74">
        <f t="shared" si="166"/>
        <v>18451.534993286612</v>
      </c>
    </row>
    <row r="893" spans="1:16" x14ac:dyDescent="0.3">
      <c r="A893" s="72">
        <f t="shared" si="153"/>
        <v>292</v>
      </c>
      <c r="B893" s="74">
        <f t="shared" si="154"/>
        <v>-647.88058631015997</v>
      </c>
      <c r="C893" s="74">
        <f t="shared" si="155"/>
        <v>-23054.710233828508</v>
      </c>
      <c r="D893" s="74">
        <f t="shared" si="156"/>
        <v>1401.175405220697</v>
      </c>
      <c r="E893" s="74">
        <f t="shared" si="157"/>
        <v>-12282.64038358162</v>
      </c>
      <c r="F893" s="74">
        <f t="shared" si="151"/>
        <v>-2381.4447990763574</v>
      </c>
      <c r="G893" s="74">
        <f t="shared" si="152"/>
        <v>-5193.0044855491597</v>
      </c>
      <c r="H893" s="74">
        <f t="shared" si="158"/>
        <v>20647.880586310159</v>
      </c>
      <c r="I893" s="74">
        <f t="shared" si="159"/>
        <v>43054.710233828504</v>
      </c>
      <c r="J893" s="74">
        <f t="shared" si="160"/>
        <v>47749.7962930258</v>
      </c>
      <c r="K893" s="74">
        <f t="shared" si="161"/>
        <v>-19352.119413689841</v>
      </c>
      <c r="L893" s="74">
        <f t="shared" si="162"/>
        <v>43054.710233828504</v>
      </c>
      <c r="M893" s="74">
        <f t="shared" si="163"/>
        <v>47203.94685956512</v>
      </c>
      <c r="N893" s="74">
        <f t="shared" si="164"/>
        <v>-4352.1194136898403</v>
      </c>
      <c r="O893" s="74">
        <f t="shared" si="165"/>
        <v>-11945.289766171492</v>
      </c>
      <c r="P893" s="74">
        <f t="shared" si="166"/>
        <v>12713.413821189704</v>
      </c>
    </row>
    <row r="894" spans="1:16" x14ac:dyDescent="0.3">
      <c r="A894" s="72">
        <f t="shared" si="153"/>
        <v>292.5</v>
      </c>
      <c r="B894" s="74">
        <f t="shared" si="154"/>
        <v>-542.65408346890081</v>
      </c>
      <c r="C894" s="74">
        <f t="shared" si="155"/>
        <v>-30494.281547006609</v>
      </c>
      <c r="D894" s="74">
        <f t="shared" si="156"/>
        <v>210.45300568251832</v>
      </c>
      <c r="E894" s="74">
        <f t="shared" si="157"/>
        <v>-14879.142626356199</v>
      </c>
      <c r="F894" s="74">
        <f t="shared" si="151"/>
        <v>-8312.597467937303</v>
      </c>
      <c r="G894" s="74">
        <f t="shared" si="152"/>
        <v>-7327.0554189083959</v>
      </c>
      <c r="H894" s="74">
        <f t="shared" si="158"/>
        <v>20542.6540834689</v>
      </c>
      <c r="I894" s="74">
        <f t="shared" si="159"/>
        <v>50494.281547006613</v>
      </c>
      <c r="J894" s="74">
        <f t="shared" si="160"/>
        <v>54513.05445250187</v>
      </c>
      <c r="K894" s="74">
        <f t="shared" si="161"/>
        <v>-19457.3459165311</v>
      </c>
      <c r="L894" s="74">
        <f t="shared" si="162"/>
        <v>50494.281547006613</v>
      </c>
      <c r="M894" s="74">
        <f t="shared" si="163"/>
        <v>54113.406648111908</v>
      </c>
      <c r="N894" s="74">
        <f t="shared" si="164"/>
        <v>-4457.3459165310996</v>
      </c>
      <c r="O894" s="74">
        <f t="shared" si="165"/>
        <v>-4505.7184529933911</v>
      </c>
      <c r="P894" s="74">
        <f t="shared" si="166"/>
        <v>6337.9358940637467</v>
      </c>
    </row>
    <row r="895" spans="1:16" x14ac:dyDescent="0.3">
      <c r="A895" s="72">
        <f t="shared" si="153"/>
        <v>293</v>
      </c>
      <c r="B895" s="74">
        <f t="shared" si="154"/>
        <v>-2515.5769476119676</v>
      </c>
      <c r="C895" s="74">
        <f t="shared" si="155"/>
        <v>-39765.616714911805</v>
      </c>
      <c r="D895" s="74">
        <f t="shared" si="156"/>
        <v>-3945.8457282861332</v>
      </c>
      <c r="E895" s="74">
        <f t="shared" si="157"/>
        <v>-18542.670335810399</v>
      </c>
      <c r="F895" s="74">
        <f t="shared" si="151"/>
        <v>-5564.7666225926978</v>
      </c>
      <c r="G895" s="74">
        <f t="shared" si="152"/>
        <v>11546.372211637901</v>
      </c>
      <c r="H895" s="74">
        <f t="shared" si="158"/>
        <v>22515.576947611968</v>
      </c>
      <c r="I895" s="74">
        <f t="shared" si="159"/>
        <v>59765.616714911805</v>
      </c>
      <c r="J895" s="74">
        <f t="shared" si="160"/>
        <v>63866.111096555585</v>
      </c>
      <c r="K895" s="74">
        <f t="shared" si="161"/>
        <v>-17484.423052388032</v>
      </c>
      <c r="L895" s="74">
        <f t="shared" si="162"/>
        <v>59765.616714911805</v>
      </c>
      <c r="M895" s="74">
        <f t="shared" si="163"/>
        <v>62270.651119035392</v>
      </c>
      <c r="N895" s="74">
        <f t="shared" si="164"/>
        <v>-2484.4230523880324</v>
      </c>
      <c r="O895" s="74">
        <f t="shared" si="165"/>
        <v>4765.6167149118046</v>
      </c>
      <c r="P895" s="74">
        <f t="shared" si="166"/>
        <v>5374.3335006941879</v>
      </c>
    </row>
    <row r="896" spans="1:16" x14ac:dyDescent="0.3">
      <c r="A896" s="72">
        <f t="shared" si="153"/>
        <v>293.5</v>
      </c>
      <c r="B896" s="74">
        <f t="shared" si="154"/>
        <v>-5879.6914674032087</v>
      </c>
      <c r="C896" s="74">
        <f t="shared" si="155"/>
        <v>-46150.358829907527</v>
      </c>
      <c r="D896" s="74">
        <f t="shared" si="156"/>
        <v>-6728.2290395824821</v>
      </c>
      <c r="E896" s="74">
        <f t="shared" si="157"/>
        <v>-12769.484229991449</v>
      </c>
      <c r="F896" s="74">
        <f t="shared" si="151"/>
        <v>682.85091988166675</v>
      </c>
      <c r="G896" s="74">
        <f t="shared" si="152"/>
        <v>8759.713897968315</v>
      </c>
      <c r="H896" s="74">
        <f t="shared" si="158"/>
        <v>25879.691467403209</v>
      </c>
      <c r="I896" s="74">
        <f t="shared" si="159"/>
        <v>66150.35882990752</v>
      </c>
      <c r="J896" s="74">
        <f t="shared" si="160"/>
        <v>71032.586914552856</v>
      </c>
      <c r="K896" s="74">
        <f t="shared" si="161"/>
        <v>-14120.308532596791</v>
      </c>
      <c r="L896" s="74">
        <f t="shared" si="162"/>
        <v>66150.35882990752</v>
      </c>
      <c r="M896" s="74">
        <f t="shared" si="163"/>
        <v>67640.617134834378</v>
      </c>
      <c r="N896" s="74">
        <f t="shared" si="164"/>
        <v>879.69146740320866</v>
      </c>
      <c r="O896" s="74">
        <f t="shared" si="165"/>
        <v>11150.358829907527</v>
      </c>
      <c r="P896" s="74">
        <f t="shared" si="166"/>
        <v>11185.005995238393</v>
      </c>
    </row>
    <row r="897" spans="1:16" x14ac:dyDescent="0.3">
      <c r="A897" s="72">
        <f t="shared" si="153"/>
        <v>294</v>
      </c>
      <c r="B897" s="74">
        <f t="shared" si="154"/>
        <v>-9073.0932572240326</v>
      </c>
      <c r="C897" s="74">
        <f t="shared" si="155"/>
        <v>-50345.172470411169</v>
      </c>
      <c r="D897" s="74">
        <f t="shared" si="156"/>
        <v>-6386.8035796416489</v>
      </c>
      <c r="E897" s="74">
        <f t="shared" si="157"/>
        <v>-8389.6272810072915</v>
      </c>
      <c r="F897" s="74">
        <f t="shared" si="151"/>
        <v>1391.7357494319617</v>
      </c>
      <c r="G897" s="74">
        <f t="shared" si="152"/>
        <v>5625.7660101948723</v>
      </c>
      <c r="H897" s="74">
        <f t="shared" si="158"/>
        <v>29073.093257224034</v>
      </c>
      <c r="I897" s="74">
        <f t="shared" si="159"/>
        <v>70345.172470411169</v>
      </c>
      <c r="J897" s="74">
        <f t="shared" si="160"/>
        <v>76116.279739850259</v>
      </c>
      <c r="K897" s="74">
        <f t="shared" si="161"/>
        <v>-10926.906742775967</v>
      </c>
      <c r="L897" s="74">
        <f t="shared" si="162"/>
        <v>70345.172470411169</v>
      </c>
      <c r="M897" s="74">
        <f t="shared" si="163"/>
        <v>71188.767237937311</v>
      </c>
      <c r="N897" s="74">
        <f t="shared" si="164"/>
        <v>4073.0932572240326</v>
      </c>
      <c r="O897" s="74">
        <f t="shared" si="165"/>
        <v>15345.172470411169</v>
      </c>
      <c r="P897" s="74">
        <f t="shared" si="166"/>
        <v>15876.536361206392</v>
      </c>
    </row>
    <row r="898" spans="1:16" x14ac:dyDescent="0.3">
      <c r="A898" s="72">
        <f t="shared" si="153"/>
        <v>294.5</v>
      </c>
      <c r="B898" s="74">
        <f t="shared" si="154"/>
        <v>-11918.561109686867</v>
      </c>
      <c r="C898" s="74">
        <f t="shared" si="155"/>
        <v>-53133.544608366101</v>
      </c>
      <c r="D898" s="74">
        <f t="shared" si="156"/>
        <v>-5690.9357049256678</v>
      </c>
      <c r="E898" s="74">
        <f t="shared" si="157"/>
        <v>-5576.7442759098558</v>
      </c>
      <c r="F898" s="74">
        <f t="shared" si="151"/>
        <v>1431.459852501212</v>
      </c>
      <c r="G898" s="74">
        <f t="shared" si="152"/>
        <v>4127.6963095259644</v>
      </c>
      <c r="H898" s="74">
        <f t="shared" si="158"/>
        <v>31918.561109686867</v>
      </c>
      <c r="I898" s="74">
        <f t="shared" si="159"/>
        <v>73133.544608366094</v>
      </c>
      <c r="J898" s="74">
        <f t="shared" si="160"/>
        <v>79795.425246668674</v>
      </c>
      <c r="K898" s="74">
        <f t="shared" si="161"/>
        <v>-8081.438890313133</v>
      </c>
      <c r="L898" s="74">
        <f t="shared" si="162"/>
        <v>73133.544608366094</v>
      </c>
      <c r="M898" s="74">
        <f t="shared" si="163"/>
        <v>73578.699373675656</v>
      </c>
      <c r="N898" s="74">
        <f t="shared" si="164"/>
        <v>6918.561109686867</v>
      </c>
      <c r="O898" s="74">
        <f t="shared" si="165"/>
        <v>18133.544608366101</v>
      </c>
      <c r="P898" s="74">
        <f t="shared" si="166"/>
        <v>19408.552957190674</v>
      </c>
    </row>
    <row r="899" spans="1:16" x14ac:dyDescent="0.3">
      <c r="A899" s="72">
        <f t="shared" si="153"/>
        <v>295</v>
      </c>
      <c r="B899" s="74">
        <f t="shared" si="154"/>
        <v>-14406.163999024398</v>
      </c>
      <c r="C899" s="74">
        <f t="shared" si="155"/>
        <v>-54889.992668939543</v>
      </c>
      <c r="D899" s="74">
        <f t="shared" si="156"/>
        <v>-4975.205778675062</v>
      </c>
      <c r="E899" s="74">
        <f t="shared" si="157"/>
        <v>-3512.8961211468736</v>
      </c>
      <c r="F899" s="74">
        <f t="shared" si="151"/>
        <v>1407.6712017526704</v>
      </c>
      <c r="G899" s="74">
        <f t="shared" si="152"/>
        <v>3339.7490239613271</v>
      </c>
      <c r="H899" s="74">
        <f t="shared" si="158"/>
        <v>34406.1639990244</v>
      </c>
      <c r="I899" s="74">
        <f t="shared" si="159"/>
        <v>74889.992668939551</v>
      </c>
      <c r="J899" s="74">
        <f t="shared" si="160"/>
        <v>82415.381592768113</v>
      </c>
      <c r="K899" s="74">
        <f t="shared" si="161"/>
        <v>-5593.8360009756016</v>
      </c>
      <c r="L899" s="74">
        <f t="shared" si="162"/>
        <v>74889.992668939551</v>
      </c>
      <c r="M899" s="74">
        <f t="shared" si="163"/>
        <v>75098.615188028794</v>
      </c>
      <c r="N899" s="74">
        <f t="shared" si="164"/>
        <v>9406.1639990243984</v>
      </c>
      <c r="O899" s="74">
        <f t="shared" si="165"/>
        <v>19889.992668939543</v>
      </c>
      <c r="P899" s="74">
        <f t="shared" si="166"/>
        <v>22001.993762998194</v>
      </c>
    </row>
    <row r="900" spans="1:16" x14ac:dyDescent="0.3">
      <c r="A900" s="72">
        <f t="shared" si="153"/>
        <v>295.5</v>
      </c>
      <c r="B900" s="74">
        <f t="shared" si="154"/>
        <v>-16541.849087923762</v>
      </c>
      <c r="C900" s="74">
        <f t="shared" si="155"/>
        <v>-55811.503473522644</v>
      </c>
      <c r="D900" s="74">
        <f t="shared" si="156"/>
        <v>-4271.3701777987271</v>
      </c>
      <c r="E900" s="74">
        <f t="shared" si="157"/>
        <v>-1843.0216091662101</v>
      </c>
      <c r="F900" s="74">
        <f t="shared" si="151"/>
        <v>1406.2384338571615</v>
      </c>
      <c r="G900" s="74">
        <f t="shared" si="152"/>
        <v>2891.626066157854</v>
      </c>
      <c r="H900" s="74">
        <f t="shared" si="158"/>
        <v>36541.849087923765</v>
      </c>
      <c r="I900" s="74">
        <f t="shared" si="159"/>
        <v>75811.503473522636</v>
      </c>
      <c r="J900" s="74">
        <f t="shared" si="160"/>
        <v>84158.723812095253</v>
      </c>
      <c r="K900" s="74">
        <f t="shared" si="161"/>
        <v>-3458.1509120762385</v>
      </c>
      <c r="L900" s="74">
        <f t="shared" si="162"/>
        <v>75811.503473522636</v>
      </c>
      <c r="M900" s="74">
        <f t="shared" si="163"/>
        <v>75890.334474468007</v>
      </c>
      <c r="N900" s="74">
        <f t="shared" si="164"/>
        <v>11541.849087923762</v>
      </c>
      <c r="O900" s="74">
        <f t="shared" si="165"/>
        <v>20811.503473522644</v>
      </c>
      <c r="P900" s="74">
        <f t="shared" si="166"/>
        <v>23797.751095363015</v>
      </c>
    </row>
    <row r="901" spans="1:16" x14ac:dyDescent="0.3">
      <c r="A901" s="72">
        <f t="shared" si="153"/>
        <v>296</v>
      </c>
      <c r="B901" s="74">
        <f t="shared" si="154"/>
        <v>-18325.974568358837</v>
      </c>
      <c r="C901" s="74">
        <f t="shared" si="155"/>
        <v>-56010.107761566287</v>
      </c>
      <c r="D901" s="74">
        <f t="shared" si="156"/>
        <v>-3568.2509608701466</v>
      </c>
      <c r="E901" s="74">
        <f t="shared" si="157"/>
        <v>-397.20857608728306</v>
      </c>
      <c r="F901" s="74">
        <f t="shared" si="151"/>
        <v>1443.9434258468657</v>
      </c>
      <c r="G901" s="74">
        <f t="shared" si="152"/>
        <v>2632.386928103293</v>
      </c>
      <c r="H901" s="74">
        <f t="shared" si="158"/>
        <v>38325.974568358841</v>
      </c>
      <c r="I901" s="74">
        <f t="shared" si="159"/>
        <v>76010.107761566294</v>
      </c>
      <c r="J901" s="74">
        <f t="shared" si="160"/>
        <v>85125.888004410328</v>
      </c>
      <c r="K901" s="74">
        <f t="shared" si="161"/>
        <v>-1674.0254316411629</v>
      </c>
      <c r="L901" s="74">
        <f t="shared" si="162"/>
        <v>76010.107761566294</v>
      </c>
      <c r="M901" s="74">
        <f t="shared" si="163"/>
        <v>76028.53966156856</v>
      </c>
      <c r="N901" s="74">
        <f t="shared" si="164"/>
        <v>13325.974568358837</v>
      </c>
      <c r="O901" s="74">
        <f t="shared" si="165"/>
        <v>21010.107761566287</v>
      </c>
      <c r="P901" s="74">
        <f t="shared" si="166"/>
        <v>24879.835737986185</v>
      </c>
    </row>
    <row r="902" spans="1:16" x14ac:dyDescent="0.3">
      <c r="A902" s="72">
        <f t="shared" si="153"/>
        <v>296.5</v>
      </c>
      <c r="B902" s="74">
        <f t="shared" si="154"/>
        <v>-19749.114192332192</v>
      </c>
      <c r="C902" s="74">
        <f t="shared" si="155"/>
        <v>-55550.61531758411</v>
      </c>
      <c r="D902" s="74">
        <f t="shared" si="156"/>
        <v>-2846.2792479467139</v>
      </c>
      <c r="E902" s="74">
        <f t="shared" si="157"/>
        <v>918.98488796436345</v>
      </c>
      <c r="F902" s="74">
        <f t="shared" si="151"/>
        <v>1529.7083643914325</v>
      </c>
      <c r="G902" s="74">
        <f t="shared" si="152"/>
        <v>2494.517600987037</v>
      </c>
      <c r="H902" s="74">
        <f t="shared" si="158"/>
        <v>39749.114192332192</v>
      </c>
      <c r="I902" s="74">
        <f t="shared" si="159"/>
        <v>75550.615317584103</v>
      </c>
      <c r="J902" s="74">
        <f t="shared" si="160"/>
        <v>85369.125296799422</v>
      </c>
      <c r="K902" s="74">
        <f t="shared" si="161"/>
        <v>-250.88580766780797</v>
      </c>
      <c r="L902" s="74">
        <f t="shared" si="162"/>
        <v>75550.615317584103</v>
      </c>
      <c r="M902" s="74">
        <f t="shared" si="163"/>
        <v>75551.031882788098</v>
      </c>
      <c r="N902" s="74">
        <f t="shared" si="164"/>
        <v>14749.114192332192</v>
      </c>
      <c r="O902" s="74">
        <f t="shared" si="165"/>
        <v>20550.61531758411</v>
      </c>
      <c r="P902" s="74">
        <f t="shared" si="166"/>
        <v>25295.536353075764</v>
      </c>
    </row>
    <row r="903" spans="1:16" x14ac:dyDescent="0.3">
      <c r="A903" s="72">
        <f t="shared" si="153"/>
        <v>297</v>
      </c>
      <c r="B903" s="74">
        <f t="shared" si="154"/>
        <v>-20789.826725207691</v>
      </c>
      <c r="C903" s="74">
        <f t="shared" si="155"/>
        <v>-54467.493473355164</v>
      </c>
      <c r="D903" s="74">
        <f t="shared" si="156"/>
        <v>-2081.4250657509974</v>
      </c>
      <c r="E903" s="74">
        <f t="shared" si="157"/>
        <v>2166.2436884578819</v>
      </c>
      <c r="F903" s="74">
        <f t="shared" si="151"/>
        <v>1677.6242189375289</v>
      </c>
      <c r="G903" s="74">
        <f t="shared" si="152"/>
        <v>2447.0794644947473</v>
      </c>
      <c r="H903" s="74">
        <f t="shared" si="158"/>
        <v>40789.826725207691</v>
      </c>
      <c r="I903" s="74">
        <f t="shared" si="159"/>
        <v>74467.493473355164</v>
      </c>
      <c r="J903" s="74">
        <f t="shared" si="160"/>
        <v>84907.111295089184</v>
      </c>
      <c r="K903" s="74">
        <f t="shared" si="161"/>
        <v>789.8267252076912</v>
      </c>
      <c r="L903" s="74">
        <f t="shared" si="162"/>
        <v>74467.493473355164</v>
      </c>
      <c r="M903" s="74">
        <f t="shared" si="163"/>
        <v>74471.681936559253</v>
      </c>
      <c r="N903" s="74">
        <f t="shared" si="164"/>
        <v>15789.826725207691</v>
      </c>
      <c r="O903" s="74">
        <f t="shared" si="165"/>
        <v>19467.493473355164</v>
      </c>
      <c r="P903" s="74">
        <f t="shared" si="166"/>
        <v>25065.951610645243</v>
      </c>
    </row>
    <row r="904" spans="1:16" x14ac:dyDescent="0.3">
      <c r="A904" s="72">
        <f t="shared" si="153"/>
        <v>297.5</v>
      </c>
      <c r="B904" s="74">
        <f t="shared" si="154"/>
        <v>-21411.133203348807</v>
      </c>
      <c r="C904" s="74">
        <f t="shared" si="155"/>
        <v>-52772.601763002538</v>
      </c>
      <c r="D904" s="74">
        <f t="shared" si="156"/>
        <v>-1242.612956282233</v>
      </c>
      <c r="E904" s="74">
        <f t="shared" si="157"/>
        <v>3389.7834207052556</v>
      </c>
      <c r="F904" s="74">
        <f t="shared" si="151"/>
        <v>1914.7009314758345</v>
      </c>
      <c r="G904" s="74">
        <f t="shared" si="152"/>
        <v>2477.9737397569043</v>
      </c>
      <c r="H904" s="74">
        <f t="shared" si="158"/>
        <v>41411.133203348807</v>
      </c>
      <c r="I904" s="74">
        <f t="shared" si="159"/>
        <v>72772.601763002545</v>
      </c>
      <c r="J904" s="74">
        <f t="shared" si="160"/>
        <v>83730.123137029121</v>
      </c>
      <c r="K904" s="74">
        <f t="shared" si="161"/>
        <v>1411.133203348807</v>
      </c>
      <c r="L904" s="74">
        <f t="shared" si="162"/>
        <v>72772.601763002545</v>
      </c>
      <c r="M904" s="74">
        <f t="shared" si="163"/>
        <v>72786.282116028931</v>
      </c>
      <c r="N904" s="74">
        <f t="shared" si="164"/>
        <v>16411.133203348807</v>
      </c>
      <c r="O904" s="74">
        <f t="shared" si="165"/>
        <v>17772.601763002538</v>
      </c>
      <c r="P904" s="74">
        <f t="shared" si="166"/>
        <v>24190.714467421971</v>
      </c>
    </row>
    <row r="905" spans="1:16" x14ac:dyDescent="0.3">
      <c r="A905" s="72">
        <f t="shared" si="153"/>
        <v>298</v>
      </c>
      <c r="B905" s="74">
        <f t="shared" si="154"/>
        <v>-21553.764448620965</v>
      </c>
      <c r="C905" s="74">
        <f t="shared" si="155"/>
        <v>-50458.216617710685</v>
      </c>
      <c r="D905" s="74">
        <f t="shared" si="156"/>
        <v>-285.26249054431571</v>
      </c>
      <c r="E905" s="74">
        <f t="shared" si="157"/>
        <v>4628.7702905837077</v>
      </c>
      <c r="F905" s="74">
        <f t="shared" si="151"/>
        <v>2294.1424417752141</v>
      </c>
      <c r="G905" s="74">
        <f t="shared" si="152"/>
        <v>2585.7875334552509</v>
      </c>
      <c r="H905" s="74">
        <f t="shared" si="158"/>
        <v>41553.764448620961</v>
      </c>
      <c r="I905" s="74">
        <f t="shared" si="159"/>
        <v>70458.216617710685</v>
      </c>
      <c r="J905" s="74">
        <f t="shared" si="160"/>
        <v>81798.995279891533</v>
      </c>
      <c r="K905" s="74">
        <f t="shared" si="161"/>
        <v>1553.7644486209647</v>
      </c>
      <c r="L905" s="74">
        <f t="shared" si="162"/>
        <v>70458.216617710685</v>
      </c>
      <c r="M905" s="74">
        <f t="shared" si="163"/>
        <v>70475.346561120517</v>
      </c>
      <c r="N905" s="74">
        <f t="shared" si="164"/>
        <v>16553.764448620965</v>
      </c>
      <c r="O905" s="74">
        <f t="shared" si="165"/>
        <v>15458.216617710685</v>
      </c>
      <c r="P905" s="74">
        <f t="shared" si="166"/>
        <v>22649.1407876876</v>
      </c>
    </row>
    <row r="906" spans="1:16" x14ac:dyDescent="0.3">
      <c r="A906" s="72">
        <f t="shared" si="153"/>
        <v>298.5</v>
      </c>
      <c r="B906" s="74">
        <f t="shared" si="154"/>
        <v>-21122.860083449319</v>
      </c>
      <c r="C906" s="74">
        <f t="shared" si="155"/>
        <v>-47497.384589055022</v>
      </c>
      <c r="D906" s="74">
        <f t="shared" si="156"/>
        <v>861.80873034329136</v>
      </c>
      <c r="E906" s="74">
        <f t="shared" si="157"/>
        <v>5921.6640573113327</v>
      </c>
      <c r="F906" s="74">
        <f t="shared" si="151"/>
        <v>2926.6270641453661</v>
      </c>
      <c r="G906" s="74">
        <f t="shared" si="152"/>
        <v>2770.0602290922243</v>
      </c>
      <c r="H906" s="74">
        <f t="shared" si="158"/>
        <v>41122.860083449319</v>
      </c>
      <c r="I906" s="74">
        <f t="shared" si="159"/>
        <v>67497.384589055029</v>
      </c>
      <c r="J906" s="74">
        <f t="shared" si="160"/>
        <v>79037.880461243098</v>
      </c>
      <c r="K906" s="74">
        <f t="shared" si="161"/>
        <v>1122.8600834493191</v>
      </c>
      <c r="L906" s="74">
        <f t="shared" si="162"/>
        <v>67497.384589055029</v>
      </c>
      <c r="M906" s="74">
        <f t="shared" si="163"/>
        <v>67506.723673496454</v>
      </c>
      <c r="N906" s="74">
        <f t="shared" si="164"/>
        <v>16122.860083449319</v>
      </c>
      <c r="O906" s="74">
        <f t="shared" si="165"/>
        <v>12497.384589055022</v>
      </c>
      <c r="P906" s="74">
        <f t="shared" si="166"/>
        <v>20399.295057360028</v>
      </c>
    </row>
    <row r="907" spans="1:16" x14ac:dyDescent="0.3">
      <c r="A907" s="72">
        <f t="shared" si="153"/>
        <v>299</v>
      </c>
      <c r="B907" s="74">
        <f t="shared" si="154"/>
        <v>-19960.298952241334</v>
      </c>
      <c r="C907" s="74">
        <f t="shared" si="155"/>
        <v>-43844.037503126303</v>
      </c>
      <c r="D907" s="74">
        <f t="shared" si="156"/>
        <v>2325.1222624159745</v>
      </c>
      <c r="E907" s="74">
        <f t="shared" si="157"/>
        <v>7306.6941718574453</v>
      </c>
      <c r="F907" s="74">
        <f t="shared" si="151"/>
        <v>4060.950326777041</v>
      </c>
      <c r="G907" s="74">
        <f t="shared" si="152"/>
        <v>2989.4808824106613</v>
      </c>
      <c r="H907" s="74">
        <f t="shared" si="158"/>
        <v>39960.298952241334</v>
      </c>
      <c r="I907" s="74">
        <f t="shared" si="159"/>
        <v>63844.037503126303</v>
      </c>
      <c r="J907" s="74">
        <f t="shared" si="160"/>
        <v>75318.5675451485</v>
      </c>
      <c r="K907" s="74">
        <f t="shared" si="161"/>
        <v>-39.701047758666391</v>
      </c>
      <c r="L907" s="74">
        <f t="shared" si="162"/>
        <v>63844.037503126303</v>
      </c>
      <c r="M907" s="74">
        <f t="shared" si="163"/>
        <v>63844.049847059287</v>
      </c>
      <c r="N907" s="74">
        <f t="shared" si="164"/>
        <v>14960.298952241334</v>
      </c>
      <c r="O907" s="74">
        <f t="shared" si="165"/>
        <v>8844.0375031263029</v>
      </c>
      <c r="P907" s="74">
        <f t="shared" si="166"/>
        <v>17378.939671255484</v>
      </c>
    </row>
    <row r="908" spans="1:16" x14ac:dyDescent="0.3">
      <c r="A908" s="72">
        <f t="shared" si="153"/>
        <v>299.5</v>
      </c>
      <c r="B908" s="74">
        <f t="shared" si="154"/>
        <v>-17782.50023933909</v>
      </c>
      <c r="C908" s="74">
        <f t="shared" si="155"/>
        <v>-39443.320196594912</v>
      </c>
      <c r="D908" s="74">
        <f t="shared" si="156"/>
        <v>4355.5974258044953</v>
      </c>
      <c r="E908" s="74">
        <f t="shared" si="157"/>
        <v>8801.4346130627764</v>
      </c>
      <c r="F908" s="74">
        <f t="shared" si="151"/>
        <v>6268.4516302402444</v>
      </c>
      <c r="G908" s="74">
        <f t="shared" si="152"/>
        <v>2902.9678678608311</v>
      </c>
      <c r="H908" s="74">
        <f t="shared" si="158"/>
        <v>37782.50023933909</v>
      </c>
      <c r="I908" s="74">
        <f t="shared" si="159"/>
        <v>59443.320196594912</v>
      </c>
      <c r="J908" s="74">
        <f t="shared" si="160"/>
        <v>70434.54862729345</v>
      </c>
      <c r="K908" s="74">
        <f t="shared" si="161"/>
        <v>-2217.4997606609104</v>
      </c>
      <c r="L908" s="74">
        <f t="shared" si="162"/>
        <v>59443.320196594912</v>
      </c>
      <c r="M908" s="74">
        <f t="shared" si="163"/>
        <v>59484.66710996574</v>
      </c>
      <c r="N908" s="74">
        <f t="shared" si="164"/>
        <v>12782.50023933909</v>
      </c>
      <c r="O908" s="74">
        <f t="shared" si="165"/>
        <v>4443.320196594912</v>
      </c>
      <c r="P908" s="74">
        <f t="shared" si="166"/>
        <v>13532.753110072323</v>
      </c>
    </row>
    <row r="909" spans="1:16" x14ac:dyDescent="0.3">
      <c r="A909" s="72">
        <f t="shared" si="153"/>
        <v>300</v>
      </c>
      <c r="B909" s="74">
        <f t="shared" si="154"/>
        <v>-14037.58861887678</v>
      </c>
      <c r="C909" s="74">
        <f t="shared" si="155"/>
        <v>-34316.860923098313</v>
      </c>
      <c r="D909" s="74">
        <f t="shared" si="156"/>
        <v>7489.8232409246175</v>
      </c>
      <c r="E909" s="74">
        <f t="shared" si="157"/>
        <v>10252.918546993193</v>
      </c>
      <c r="F909" s="74">
        <f t="shared" si="151"/>
        <v>9970.4442282296568</v>
      </c>
      <c r="G909" s="74">
        <f t="shared" si="152"/>
        <v>187.65481396264352</v>
      </c>
      <c r="H909" s="74">
        <f t="shared" si="158"/>
        <v>34037.588618876776</v>
      </c>
      <c r="I909" s="74">
        <f t="shared" si="159"/>
        <v>54316.860923098313</v>
      </c>
      <c r="J909" s="74">
        <f t="shared" si="160"/>
        <v>64100.536811536098</v>
      </c>
      <c r="K909" s="74">
        <f t="shared" si="161"/>
        <v>-5962.4113811232201</v>
      </c>
      <c r="L909" s="74">
        <f t="shared" si="162"/>
        <v>54316.860923098313</v>
      </c>
      <c r="M909" s="74">
        <f t="shared" si="163"/>
        <v>54643.130675474225</v>
      </c>
      <c r="N909" s="74">
        <f t="shared" si="164"/>
        <v>9037.5886188767799</v>
      </c>
      <c r="O909" s="74">
        <f t="shared" si="165"/>
        <v>-683.13907690168708</v>
      </c>
      <c r="P909" s="74">
        <f t="shared" si="166"/>
        <v>9063.370622590759</v>
      </c>
    </row>
    <row r="910" spans="1:16" x14ac:dyDescent="0.3">
      <c r="A910" s="72">
        <f t="shared" si="153"/>
        <v>300.5</v>
      </c>
      <c r="B910" s="74">
        <f t="shared" si="154"/>
        <v>-7800.0659413570556</v>
      </c>
      <c r="C910" s="74">
        <f t="shared" si="155"/>
        <v>-29143.487946111058</v>
      </c>
      <c r="D910" s="74">
        <f t="shared" si="156"/>
        <v>12475.045355039445</v>
      </c>
      <c r="E910" s="74">
        <f t="shared" si="157"/>
        <v>10346.745953974514</v>
      </c>
      <c r="F910" s="74">
        <f t="shared" si="151"/>
        <v>5175.2634205923378</v>
      </c>
      <c r="G910" s="74">
        <f t="shared" si="152"/>
        <v>-9487.0293504749825</v>
      </c>
      <c r="H910" s="74">
        <f t="shared" si="158"/>
        <v>27800.065941357054</v>
      </c>
      <c r="I910" s="74">
        <f t="shared" si="159"/>
        <v>49143.487946111054</v>
      </c>
      <c r="J910" s="74">
        <f t="shared" si="160"/>
        <v>56461.722200561358</v>
      </c>
      <c r="K910" s="74">
        <f t="shared" si="161"/>
        <v>-12199.934058642944</v>
      </c>
      <c r="L910" s="74">
        <f t="shared" si="162"/>
        <v>49143.487946111054</v>
      </c>
      <c r="M910" s="74">
        <f t="shared" si="163"/>
        <v>50635.173531299348</v>
      </c>
      <c r="N910" s="74">
        <f t="shared" si="164"/>
        <v>2800.0659413570556</v>
      </c>
      <c r="O910" s="74">
        <f t="shared" si="165"/>
        <v>-5856.5120538889423</v>
      </c>
      <c r="P910" s="74">
        <f t="shared" si="166"/>
        <v>6491.463834397774</v>
      </c>
    </row>
    <row r="911" spans="1:16" x14ac:dyDescent="0.3">
      <c r="A911" s="72">
        <f t="shared" si="153"/>
        <v>301</v>
      </c>
      <c r="B911" s="74">
        <f t="shared" si="154"/>
        <v>-268.7274086892487</v>
      </c>
      <c r="C911" s="74">
        <f t="shared" si="155"/>
        <v>-26341.872306742549</v>
      </c>
      <c r="D911" s="74">
        <f t="shared" si="156"/>
        <v>15062.677065335614</v>
      </c>
      <c r="E911" s="74">
        <f t="shared" si="157"/>
        <v>5603.2312787370229</v>
      </c>
      <c r="F911" s="74">
        <f t="shared" si="151"/>
        <v>-4388.2391570261634</v>
      </c>
      <c r="G911" s="74">
        <f t="shared" si="152"/>
        <v>-6804.7417142262648</v>
      </c>
      <c r="H911" s="74">
        <f t="shared" si="158"/>
        <v>20268.72740868925</v>
      </c>
      <c r="I911" s="74">
        <f t="shared" si="159"/>
        <v>46341.872306742545</v>
      </c>
      <c r="J911" s="74">
        <f t="shared" si="160"/>
        <v>50580.534197082008</v>
      </c>
      <c r="K911" s="74">
        <f t="shared" si="161"/>
        <v>-19731.27259131075</v>
      </c>
      <c r="L911" s="74">
        <f t="shared" si="162"/>
        <v>46341.872306742545</v>
      </c>
      <c r="M911" s="74">
        <f t="shared" si="163"/>
        <v>50367.571382458402</v>
      </c>
      <c r="N911" s="74">
        <f t="shared" si="164"/>
        <v>-4731.2725913107515</v>
      </c>
      <c r="O911" s="74">
        <f t="shared" si="165"/>
        <v>-8658.127693257451</v>
      </c>
      <c r="P911" s="74">
        <f t="shared" si="166"/>
        <v>9866.5148601742821</v>
      </c>
    </row>
    <row r="912" spans="1:16" x14ac:dyDescent="0.3">
      <c r="A912" s="72">
        <f t="shared" si="153"/>
        <v>301.5</v>
      </c>
      <c r="B912" s="74">
        <f t="shared" si="154"/>
        <v>6165.5513347220176</v>
      </c>
      <c r="C912" s="74">
        <f t="shared" si="155"/>
        <v>-25241.442095930604</v>
      </c>
      <c r="D912" s="74">
        <f t="shared" si="156"/>
        <v>12868.557486822532</v>
      </c>
      <c r="E912" s="74">
        <f t="shared" si="157"/>
        <v>2200.8604216238905</v>
      </c>
      <c r="F912" s="74">
        <f t="shared" si="151"/>
        <v>-4391.3993058590831</v>
      </c>
      <c r="G912" s="74">
        <f t="shared" si="152"/>
        <v>-2487.2579470188693</v>
      </c>
      <c r="H912" s="74">
        <f t="shared" si="158"/>
        <v>13834.448665277981</v>
      </c>
      <c r="I912" s="74">
        <f t="shared" si="159"/>
        <v>45241.442095930601</v>
      </c>
      <c r="J912" s="74">
        <f t="shared" si="160"/>
        <v>47309.407656317715</v>
      </c>
      <c r="K912" s="74">
        <f t="shared" si="161"/>
        <v>-26165.551334722019</v>
      </c>
      <c r="L912" s="74">
        <f t="shared" si="162"/>
        <v>45241.442095930601</v>
      </c>
      <c r="M912" s="74">
        <f t="shared" si="163"/>
        <v>52263.028610762834</v>
      </c>
      <c r="N912" s="74">
        <f t="shared" si="164"/>
        <v>-11165.551334722019</v>
      </c>
      <c r="O912" s="74">
        <f t="shared" si="165"/>
        <v>-9758.5579040693956</v>
      </c>
      <c r="P912" s="74">
        <f t="shared" si="166"/>
        <v>14828.99150230345</v>
      </c>
    </row>
    <row r="913" spans="1:16" x14ac:dyDescent="0.3">
      <c r="A913" s="72">
        <f t="shared" si="153"/>
        <v>302</v>
      </c>
      <c r="B913" s="74">
        <f t="shared" si="154"/>
        <v>11501.980251668512</v>
      </c>
      <c r="C913" s="74">
        <f t="shared" si="155"/>
        <v>-24762.826371873376</v>
      </c>
      <c r="D913" s="74">
        <f t="shared" si="156"/>
        <v>10672.857833892991</v>
      </c>
      <c r="E913" s="74">
        <f t="shared" si="157"/>
        <v>957.23144811445582</v>
      </c>
      <c r="F913" s="74">
        <f t="shared" si="151"/>
        <v>-3410.0010391231381</v>
      </c>
      <c r="G913" s="74">
        <f t="shared" si="152"/>
        <v>-732.74712063638822</v>
      </c>
      <c r="H913" s="74">
        <f t="shared" si="158"/>
        <v>8498.0197483314878</v>
      </c>
      <c r="I913" s="74">
        <f t="shared" si="159"/>
        <v>44762.82637187338</v>
      </c>
      <c r="J913" s="74">
        <f t="shared" si="160"/>
        <v>45562.341516229331</v>
      </c>
      <c r="K913" s="74">
        <f t="shared" si="161"/>
        <v>-31501.980251668512</v>
      </c>
      <c r="L913" s="74">
        <f t="shared" si="162"/>
        <v>44762.82637187338</v>
      </c>
      <c r="M913" s="74">
        <f t="shared" si="163"/>
        <v>54736.508699176236</v>
      </c>
      <c r="N913" s="74">
        <f t="shared" si="164"/>
        <v>-16501.980251668512</v>
      </c>
      <c r="O913" s="74">
        <f t="shared" si="165"/>
        <v>-10237.173628126624</v>
      </c>
      <c r="P913" s="74">
        <f t="shared" si="166"/>
        <v>19419.450973672476</v>
      </c>
    </row>
    <row r="914" spans="1:16" x14ac:dyDescent="0.3">
      <c r="A914" s="72">
        <f t="shared" si="153"/>
        <v>302.5</v>
      </c>
      <c r="B914" s="74">
        <f t="shared" si="154"/>
        <v>15985.908908834221</v>
      </c>
      <c r="C914" s="74">
        <f t="shared" si="155"/>
        <v>-24467.397427975244</v>
      </c>
      <c r="D914" s="74">
        <f t="shared" si="156"/>
        <v>8967.8573143314225</v>
      </c>
      <c r="E914" s="74">
        <f t="shared" si="157"/>
        <v>590.85788779626171</v>
      </c>
      <c r="F914" s="74">
        <f t="shared" si="151"/>
        <v>-2730.8695886223213</v>
      </c>
      <c r="G914" s="74">
        <f t="shared" si="152"/>
        <v>13.216214847367382</v>
      </c>
      <c r="H914" s="74">
        <f t="shared" si="158"/>
        <v>4014.0910911657793</v>
      </c>
      <c r="I914" s="74">
        <f t="shared" si="159"/>
        <v>44467.397427975244</v>
      </c>
      <c r="J914" s="74">
        <f t="shared" si="160"/>
        <v>44648.206697533504</v>
      </c>
      <c r="K914" s="74">
        <f t="shared" si="161"/>
        <v>-35985.908908834223</v>
      </c>
      <c r="L914" s="74">
        <f t="shared" si="162"/>
        <v>44467.397427975244</v>
      </c>
      <c r="M914" s="74">
        <f t="shared" si="163"/>
        <v>57204.327406345874</v>
      </c>
      <c r="N914" s="74">
        <f t="shared" si="164"/>
        <v>-20985.908908834223</v>
      </c>
      <c r="O914" s="74">
        <f t="shared" si="165"/>
        <v>-10532.602572024756</v>
      </c>
      <c r="P914" s="74">
        <f t="shared" si="166"/>
        <v>23480.717401095524</v>
      </c>
    </row>
    <row r="915" spans="1:16" x14ac:dyDescent="0.3">
      <c r="A915" s="72">
        <f t="shared" si="153"/>
        <v>303</v>
      </c>
      <c r="B915" s="74">
        <f t="shared" si="154"/>
        <v>19787.120168844354</v>
      </c>
      <c r="C915" s="74">
        <f t="shared" si="155"/>
        <v>-24168.664430365268</v>
      </c>
      <c r="D915" s="74">
        <f t="shared" si="156"/>
        <v>7602.4225200202618</v>
      </c>
      <c r="E915" s="74">
        <f t="shared" si="157"/>
        <v>597.4659952199454</v>
      </c>
      <c r="F915" s="74">
        <f t="shared" si="151"/>
        <v>-2302.9833202531399</v>
      </c>
      <c r="G915" s="74">
        <f t="shared" si="152"/>
        <v>365.48061868273896</v>
      </c>
      <c r="H915" s="74">
        <f t="shared" si="158"/>
        <v>212.87983115564566</v>
      </c>
      <c r="I915" s="74">
        <f t="shared" si="159"/>
        <v>44168.664430365272</v>
      </c>
      <c r="J915" s="74">
        <f t="shared" si="160"/>
        <v>44169.177436134436</v>
      </c>
      <c r="K915" s="74">
        <f t="shared" si="161"/>
        <v>-39787.120168844354</v>
      </c>
      <c r="L915" s="74">
        <f t="shared" si="162"/>
        <v>44168.664430365272</v>
      </c>
      <c r="M915" s="74">
        <f t="shared" si="163"/>
        <v>59446.495682186986</v>
      </c>
      <c r="N915" s="74">
        <f t="shared" si="164"/>
        <v>-24787.120168844354</v>
      </c>
      <c r="O915" s="74">
        <f t="shared" si="165"/>
        <v>-10831.335569634732</v>
      </c>
      <c r="P915" s="74">
        <f t="shared" si="166"/>
        <v>27050.307881552202</v>
      </c>
    </row>
    <row r="916" spans="1:16" x14ac:dyDescent="0.3">
      <c r="A916" s="72">
        <f t="shared" si="153"/>
        <v>303.5</v>
      </c>
      <c r="B916" s="74">
        <f t="shared" si="154"/>
        <v>23012.5855987912</v>
      </c>
      <c r="C916" s="74">
        <f t="shared" si="155"/>
        <v>-23778.561278084613</v>
      </c>
      <c r="D916" s="74">
        <f t="shared" si="156"/>
        <v>6450.9308598936914</v>
      </c>
      <c r="E916" s="74">
        <f t="shared" si="157"/>
        <v>780.20630456131494</v>
      </c>
      <c r="F916" s="74">
        <f t="shared" si="151"/>
        <v>-2028.4412554168061</v>
      </c>
      <c r="G916" s="74">
        <f t="shared" si="152"/>
        <v>544.55281368745818</v>
      </c>
      <c r="H916" s="74">
        <f t="shared" si="158"/>
        <v>-3012.5855987912</v>
      </c>
      <c r="I916" s="74">
        <f t="shared" si="159"/>
        <v>43778.561278084613</v>
      </c>
      <c r="J916" s="74">
        <f t="shared" si="160"/>
        <v>43882.093153917049</v>
      </c>
      <c r="K916" s="74">
        <f t="shared" si="161"/>
        <v>-43012.5855987912</v>
      </c>
      <c r="L916" s="74">
        <f t="shared" si="162"/>
        <v>43778.561278084613</v>
      </c>
      <c r="M916" s="74">
        <f t="shared" si="163"/>
        <v>61372.998521111462</v>
      </c>
      <c r="N916" s="74">
        <f t="shared" si="164"/>
        <v>-28012.5855987912</v>
      </c>
      <c r="O916" s="74">
        <f t="shared" si="165"/>
        <v>-11221.438721915387</v>
      </c>
      <c r="P916" s="74">
        <f t="shared" si="166"/>
        <v>30176.574340360541</v>
      </c>
    </row>
    <row r="917" spans="1:16" x14ac:dyDescent="0.3">
      <c r="A917" s="72">
        <f t="shared" si="153"/>
        <v>304</v>
      </c>
      <c r="B917" s="74">
        <f t="shared" si="154"/>
        <v>25730.940714883844</v>
      </c>
      <c r="C917" s="74">
        <f t="shared" si="155"/>
        <v>-23252.319922382088</v>
      </c>
      <c r="D917" s="74">
        <f t="shared" si="156"/>
        <v>5436.7102321852881</v>
      </c>
      <c r="E917" s="74">
        <f t="shared" si="157"/>
        <v>1052.482711405044</v>
      </c>
      <c r="F917" s="74">
        <f t="shared" si="151"/>
        <v>-1847.3785449766535</v>
      </c>
      <c r="G917" s="74">
        <f t="shared" si="152"/>
        <v>640.69518123433591</v>
      </c>
      <c r="H917" s="74">
        <f t="shared" si="158"/>
        <v>-5730.9407148838436</v>
      </c>
      <c r="I917" s="74">
        <f t="shared" si="159"/>
        <v>43252.319922382085</v>
      </c>
      <c r="J917" s="74">
        <f t="shared" si="160"/>
        <v>43630.343342055006</v>
      </c>
      <c r="K917" s="74">
        <f t="shared" si="161"/>
        <v>-45730.940714883844</v>
      </c>
      <c r="L917" s="74">
        <f t="shared" si="162"/>
        <v>43252.319922382085</v>
      </c>
      <c r="M917" s="74">
        <f t="shared" si="163"/>
        <v>62945.072224410949</v>
      </c>
      <c r="N917" s="74">
        <f t="shared" si="164"/>
        <v>-30730.940714883844</v>
      </c>
      <c r="O917" s="74">
        <f t="shared" si="165"/>
        <v>-11747.680077617912</v>
      </c>
      <c r="P917" s="74">
        <f t="shared" si="166"/>
        <v>32899.828334320628</v>
      </c>
    </row>
    <row r="918" spans="1:16" x14ac:dyDescent="0.3">
      <c r="A918" s="72">
        <f t="shared" si="153"/>
        <v>304.5</v>
      </c>
      <c r="B918" s="74">
        <f t="shared" si="154"/>
        <v>27987.451194732323</v>
      </c>
      <c r="C918" s="74">
        <f t="shared" si="155"/>
        <v>-22565.904771370984</v>
      </c>
      <c r="D918" s="74">
        <f t="shared" si="156"/>
        <v>4513.0209596969617</v>
      </c>
      <c r="E918" s="74">
        <f t="shared" si="157"/>
        <v>1372.830302022212</v>
      </c>
      <c r="F918" s="74">
        <f t="shared" si="151"/>
        <v>-1726.1098468115192</v>
      </c>
      <c r="G918" s="74">
        <f t="shared" si="152"/>
        <v>695.77919778191517</v>
      </c>
      <c r="H918" s="74">
        <f t="shared" si="158"/>
        <v>-7987.4511947323226</v>
      </c>
      <c r="I918" s="74">
        <f t="shared" si="159"/>
        <v>42565.904771370988</v>
      </c>
      <c r="J918" s="74">
        <f t="shared" si="160"/>
        <v>43308.840039807743</v>
      </c>
      <c r="K918" s="74">
        <f t="shared" si="161"/>
        <v>-47987.451194732319</v>
      </c>
      <c r="L918" s="74">
        <f t="shared" si="162"/>
        <v>42565.904771370988</v>
      </c>
      <c r="M918" s="74">
        <f t="shared" si="163"/>
        <v>64145.551062971157</v>
      </c>
      <c r="N918" s="74">
        <f t="shared" si="164"/>
        <v>-32987.451194732319</v>
      </c>
      <c r="O918" s="74">
        <f t="shared" si="165"/>
        <v>-12434.095228629016</v>
      </c>
      <c r="P918" s="74">
        <f t="shared" si="166"/>
        <v>35253.065972755641</v>
      </c>
    </row>
    <row r="919" spans="1:16" x14ac:dyDescent="0.3">
      <c r="A919" s="72">
        <f t="shared" si="153"/>
        <v>305</v>
      </c>
      <c r="B919" s="74">
        <f t="shared" si="154"/>
        <v>29812.434212877921</v>
      </c>
      <c r="C919" s="74">
        <f t="shared" si="155"/>
        <v>-21705.544820914398</v>
      </c>
      <c r="D919" s="74">
        <f t="shared" si="156"/>
        <v>3649.9660362912018</v>
      </c>
      <c r="E919" s="74">
        <f t="shared" si="157"/>
        <v>1720.7199009131696</v>
      </c>
      <c r="F919" s="74">
        <f t="shared" si="151"/>
        <v>-1645.5217604201202</v>
      </c>
      <c r="G919" s="74">
        <f t="shared" si="152"/>
        <v>731.36942436430434</v>
      </c>
      <c r="H919" s="74">
        <f t="shared" si="158"/>
        <v>-9812.4342128779208</v>
      </c>
      <c r="I919" s="74">
        <f t="shared" si="159"/>
        <v>41705.544820914394</v>
      </c>
      <c r="J919" s="74">
        <f t="shared" si="160"/>
        <v>42844.326742187892</v>
      </c>
      <c r="K919" s="74">
        <f t="shared" si="161"/>
        <v>-49812.434212877924</v>
      </c>
      <c r="L919" s="74">
        <f t="shared" si="162"/>
        <v>41705.544820914394</v>
      </c>
      <c r="M919" s="74">
        <f t="shared" si="163"/>
        <v>64966.384161515336</v>
      </c>
      <c r="N919" s="74">
        <f t="shared" si="164"/>
        <v>-34812.434212877924</v>
      </c>
      <c r="O919" s="74">
        <f t="shared" si="165"/>
        <v>-13294.455179085602</v>
      </c>
      <c r="P919" s="74">
        <f t="shared" si="166"/>
        <v>37264.569155360827</v>
      </c>
    </row>
    <row r="920" spans="1:16" x14ac:dyDescent="0.3">
      <c r="A920" s="72">
        <f t="shared" si="153"/>
        <v>305.5</v>
      </c>
      <c r="B920" s="74">
        <f t="shared" si="154"/>
        <v>31226.036790918493</v>
      </c>
      <c r="C920" s="74">
        <f t="shared" si="155"/>
        <v>-20662.342514366734</v>
      </c>
      <c r="D920" s="74">
        <f t="shared" si="156"/>
        <v>2827.2051560811415</v>
      </c>
      <c r="E920" s="74">
        <f t="shared" si="157"/>
        <v>2086.4046130953216</v>
      </c>
      <c r="F920" s="74">
        <f t="shared" si="151"/>
        <v>-1594.5302974457873</v>
      </c>
      <c r="G920" s="74">
        <f t="shared" si="152"/>
        <v>759.79550519390409</v>
      </c>
      <c r="H920" s="74">
        <f t="shared" si="158"/>
        <v>-11226.036790918493</v>
      </c>
      <c r="I920" s="74">
        <f t="shared" si="159"/>
        <v>40662.342514366734</v>
      </c>
      <c r="J920" s="74">
        <f t="shared" si="160"/>
        <v>42183.527600080248</v>
      </c>
      <c r="K920" s="74">
        <f t="shared" si="161"/>
        <v>-51226.036790918493</v>
      </c>
      <c r="L920" s="74">
        <f t="shared" si="162"/>
        <v>40662.342514366734</v>
      </c>
      <c r="M920" s="74">
        <f t="shared" si="163"/>
        <v>65402.851192132373</v>
      </c>
      <c r="N920" s="74">
        <f t="shared" si="164"/>
        <v>-36226.036790918493</v>
      </c>
      <c r="O920" s="74">
        <f t="shared" si="165"/>
        <v>-14337.657485633266</v>
      </c>
      <c r="P920" s="74">
        <f t="shared" si="166"/>
        <v>38960.161238787448</v>
      </c>
    </row>
    <row r="921" spans="1:16" x14ac:dyDescent="0.3">
      <c r="A921" s="72">
        <f t="shared" si="153"/>
        <v>306</v>
      </c>
      <c r="B921" s="74">
        <f t="shared" si="154"/>
        <v>32241.006794597615</v>
      </c>
      <c r="C921" s="74">
        <f t="shared" si="155"/>
        <v>-19429.191331520597</v>
      </c>
      <c r="D921" s="74">
        <f t="shared" si="156"/>
        <v>2029.9400073582478</v>
      </c>
      <c r="E921" s="74">
        <f t="shared" si="157"/>
        <v>2466.3023656922737</v>
      </c>
      <c r="F921" s="74">
        <f t="shared" si="151"/>
        <v>-1566.6282576318802</v>
      </c>
      <c r="G921" s="74">
        <f t="shared" si="152"/>
        <v>789.15652064757899</v>
      </c>
      <c r="H921" s="74">
        <f t="shared" si="158"/>
        <v>-12241.006794597615</v>
      </c>
      <c r="I921" s="74">
        <f t="shared" si="159"/>
        <v>39429.191331520597</v>
      </c>
      <c r="J921" s="74">
        <f t="shared" si="160"/>
        <v>41285.631597482483</v>
      </c>
      <c r="K921" s="74">
        <f t="shared" si="161"/>
        <v>-52241.006794597619</v>
      </c>
      <c r="L921" s="74">
        <f t="shared" si="162"/>
        <v>39429.191331520597</v>
      </c>
      <c r="M921" s="74">
        <f t="shared" si="163"/>
        <v>65450.62199834967</v>
      </c>
      <c r="N921" s="74">
        <f t="shared" si="164"/>
        <v>-37241.006794597619</v>
      </c>
      <c r="O921" s="74">
        <f t="shared" si="165"/>
        <v>-15570.808668479403</v>
      </c>
      <c r="P921" s="74">
        <f t="shared" si="166"/>
        <v>40365.116990610339</v>
      </c>
    </row>
    <row r="922" spans="1:16" x14ac:dyDescent="0.3">
      <c r="A922" s="72">
        <f t="shared" si="153"/>
        <v>306.5</v>
      </c>
      <c r="B922" s="74">
        <f t="shared" si="154"/>
        <v>32864.319733868768</v>
      </c>
      <c r="C922" s="74">
        <f t="shared" si="155"/>
        <v>-17998.751018512565</v>
      </c>
      <c r="D922" s="74">
        <f t="shared" si="156"/>
        <v>1246.6258785423079</v>
      </c>
      <c r="E922" s="74">
        <f t="shared" si="157"/>
        <v>2860.8806260160632</v>
      </c>
      <c r="F922" s="74">
        <f t="shared" si="151"/>
        <v>-1558.0672510835798</v>
      </c>
      <c r="G922" s="74">
        <f t="shared" si="152"/>
        <v>825.97821967530876</v>
      </c>
      <c r="H922" s="74">
        <f t="shared" si="158"/>
        <v>-12864.319733868768</v>
      </c>
      <c r="I922" s="74">
        <f t="shared" si="159"/>
        <v>37998.751018512565</v>
      </c>
      <c r="J922" s="74">
        <f t="shared" si="160"/>
        <v>40117.275595211038</v>
      </c>
      <c r="K922" s="74">
        <f t="shared" si="161"/>
        <v>-52864.319733868768</v>
      </c>
      <c r="L922" s="74">
        <f t="shared" si="162"/>
        <v>37998.751018512565</v>
      </c>
      <c r="M922" s="74">
        <f t="shared" si="163"/>
        <v>65104.081130844759</v>
      </c>
      <c r="N922" s="74">
        <f t="shared" si="164"/>
        <v>-37864.319733868768</v>
      </c>
      <c r="O922" s="74">
        <f t="shared" si="165"/>
        <v>-17001.248981487435</v>
      </c>
      <c r="P922" s="74">
        <f t="shared" si="166"/>
        <v>41506.013731014587</v>
      </c>
    </row>
    <row r="923" spans="1:16" x14ac:dyDescent="0.3">
      <c r="A923" s="72">
        <f t="shared" si="153"/>
        <v>307</v>
      </c>
      <c r="B923" s="74">
        <f t="shared" si="154"/>
        <v>33098.115860369027</v>
      </c>
      <c r="C923" s="74">
        <f t="shared" si="155"/>
        <v>-16361.816150585706</v>
      </c>
      <c r="D923" s="74">
        <f t="shared" si="156"/>
        <v>467.59225300051799</v>
      </c>
      <c r="E923" s="74">
        <f t="shared" si="157"/>
        <v>3273.8697358537174</v>
      </c>
      <c r="F923" s="74">
        <f t="shared" si="151"/>
        <v>-1566.9061093197579</v>
      </c>
      <c r="G923" s="74">
        <f t="shared" si="152"/>
        <v>877.02569748602627</v>
      </c>
      <c r="H923" s="74">
        <f t="shared" si="158"/>
        <v>-13098.115860369027</v>
      </c>
      <c r="I923" s="74">
        <f t="shared" si="159"/>
        <v>36361.816150585706</v>
      </c>
      <c r="J923" s="74">
        <f t="shared" si="160"/>
        <v>38648.962636281016</v>
      </c>
      <c r="K923" s="74">
        <f t="shared" si="161"/>
        <v>-53098.115860369027</v>
      </c>
      <c r="L923" s="74">
        <f t="shared" si="162"/>
        <v>36361.816150585706</v>
      </c>
      <c r="M923" s="74">
        <f t="shared" si="163"/>
        <v>64355.198559946723</v>
      </c>
      <c r="N923" s="74">
        <f t="shared" si="164"/>
        <v>-38098.115860369027</v>
      </c>
      <c r="O923" s="74">
        <f t="shared" si="165"/>
        <v>-18638.183849414294</v>
      </c>
      <c r="P923" s="74">
        <f t="shared" si="166"/>
        <v>42412.832130319592</v>
      </c>
    </row>
    <row r="924" spans="1:16" x14ac:dyDescent="0.3">
      <c r="A924" s="72">
        <f t="shared" si="153"/>
        <v>307.5</v>
      </c>
      <c r="B924" s="74">
        <f t="shared" si="154"/>
        <v>32940.185459539345</v>
      </c>
      <c r="C924" s="74">
        <f t="shared" si="155"/>
        <v>-14505.624858287341</v>
      </c>
      <c r="D924" s="74">
        <f t="shared" si="156"/>
        <v>-315.86080165936096</v>
      </c>
      <c r="E924" s="74">
        <f t="shared" si="157"/>
        <v>3712.3825845967303</v>
      </c>
      <c r="F924" s="74">
        <f t="shared" si="151"/>
        <v>-1592.5477306211828</v>
      </c>
      <c r="G924" s="74">
        <f t="shared" si="152"/>
        <v>951.08897891985362</v>
      </c>
      <c r="H924" s="74">
        <f t="shared" si="158"/>
        <v>-12940.185459539345</v>
      </c>
      <c r="I924" s="74">
        <f t="shared" si="159"/>
        <v>34505.624858287338</v>
      </c>
      <c r="J924" s="74">
        <f t="shared" si="160"/>
        <v>36852.22580236003</v>
      </c>
      <c r="K924" s="74">
        <f t="shared" si="161"/>
        <v>-52940.185459539345</v>
      </c>
      <c r="L924" s="74">
        <f t="shared" si="162"/>
        <v>34505.624858287338</v>
      </c>
      <c r="M924" s="74">
        <f t="shared" si="163"/>
        <v>63192.573799072925</v>
      </c>
      <c r="N924" s="74">
        <f t="shared" si="164"/>
        <v>-37940.185459539345</v>
      </c>
      <c r="O924" s="74">
        <f t="shared" si="165"/>
        <v>-20494.375141712659</v>
      </c>
      <c r="P924" s="74">
        <f t="shared" si="166"/>
        <v>43121.654480707148</v>
      </c>
    </row>
    <row r="925" spans="1:16" x14ac:dyDescent="0.3">
      <c r="A925" s="72">
        <f t="shared" si="153"/>
        <v>308</v>
      </c>
      <c r="B925" s="74">
        <f t="shared" si="154"/>
        <v>32384.118126054367</v>
      </c>
      <c r="C925" s="74">
        <f t="shared" si="155"/>
        <v>-12411.661321259013</v>
      </c>
      <c r="D925" s="74">
        <f t="shared" si="156"/>
        <v>-1112.1346669699524</v>
      </c>
      <c r="E925" s="74">
        <f t="shared" si="157"/>
        <v>4187.9270740566571</v>
      </c>
      <c r="F925" s="74">
        <f t="shared" si="151"/>
        <v>-1635.5860851377797</v>
      </c>
      <c r="G925" s="74">
        <f t="shared" si="152"/>
        <v>1061.5025876369964</v>
      </c>
      <c r="H925" s="74">
        <f t="shared" si="158"/>
        <v>-12384.118126054367</v>
      </c>
      <c r="I925" s="74">
        <f t="shared" si="159"/>
        <v>32411.661321259013</v>
      </c>
      <c r="J925" s="74">
        <f t="shared" si="160"/>
        <v>34697.005221835294</v>
      </c>
      <c r="K925" s="74">
        <f t="shared" si="161"/>
        <v>-52384.118126054367</v>
      </c>
      <c r="L925" s="74">
        <f t="shared" si="162"/>
        <v>32411.661321259013</v>
      </c>
      <c r="M925" s="74">
        <f t="shared" si="163"/>
        <v>61600.419003838077</v>
      </c>
      <c r="N925" s="74">
        <f t="shared" si="164"/>
        <v>-37384.118126054367</v>
      </c>
      <c r="O925" s="74">
        <f t="shared" si="165"/>
        <v>-22588.338678740987</v>
      </c>
      <c r="P925" s="74">
        <f t="shared" si="166"/>
        <v>43678.430973745984</v>
      </c>
    </row>
    <row r="926" spans="1:16" x14ac:dyDescent="0.3">
      <c r="A926" s="72">
        <f t="shared" si="153"/>
        <v>308.5</v>
      </c>
      <c r="B926" s="74">
        <f t="shared" si="154"/>
        <v>31419.154271284944</v>
      </c>
      <c r="C926" s="74">
        <f t="shared" si="155"/>
        <v>-10052.322137321435</v>
      </c>
      <c r="D926" s="74">
        <f t="shared" si="156"/>
        <v>-1929.9277095388422</v>
      </c>
      <c r="E926" s="74">
        <f t="shared" si="157"/>
        <v>4718.6783678751553</v>
      </c>
      <c r="F926" s="74">
        <f t="shared" si="151"/>
        <v>-1697.8582848040057</v>
      </c>
      <c r="G926" s="74">
        <f t="shared" si="152"/>
        <v>1230.6371874565082</v>
      </c>
      <c r="H926" s="74">
        <f t="shared" si="158"/>
        <v>-11419.154271284944</v>
      </c>
      <c r="I926" s="74">
        <f t="shared" si="159"/>
        <v>30052.322137321433</v>
      </c>
      <c r="J926" s="74">
        <f t="shared" si="160"/>
        <v>32148.7037081862</v>
      </c>
      <c r="K926" s="74">
        <f t="shared" si="161"/>
        <v>-51419.154271284948</v>
      </c>
      <c r="L926" s="74">
        <f t="shared" si="162"/>
        <v>30052.322137321433</v>
      </c>
      <c r="M926" s="74">
        <f t="shared" si="163"/>
        <v>59557.295873969473</v>
      </c>
      <c r="N926" s="74">
        <f t="shared" si="164"/>
        <v>-36419.154271284948</v>
      </c>
      <c r="O926" s="74">
        <f t="shared" si="165"/>
        <v>-24947.677862678567</v>
      </c>
      <c r="P926" s="74">
        <f t="shared" si="166"/>
        <v>44144.551516304193</v>
      </c>
    </row>
    <row r="927" spans="1:16" x14ac:dyDescent="0.3">
      <c r="A927" s="72">
        <f t="shared" si="153"/>
        <v>309</v>
      </c>
      <c r="B927" s="74">
        <f t="shared" si="154"/>
        <v>30029.725845314522</v>
      </c>
      <c r="C927" s="74">
        <f t="shared" si="155"/>
        <v>-7385.3236565197294</v>
      </c>
      <c r="D927" s="74">
        <f t="shared" si="156"/>
        <v>-2778.856851940845</v>
      </c>
      <c r="E927" s="74">
        <f t="shared" si="157"/>
        <v>5333.9969616034095</v>
      </c>
      <c r="F927" s="74">
        <f t="shared" si="151"/>
        <v>-1782.434155003039</v>
      </c>
      <c r="G927" s="74">
        <f t="shared" si="152"/>
        <v>1499.1248447296839</v>
      </c>
      <c r="H927" s="74">
        <f t="shared" si="158"/>
        <v>-10029.725845314522</v>
      </c>
      <c r="I927" s="74">
        <f t="shared" si="159"/>
        <v>27385.323656519729</v>
      </c>
      <c r="J927" s="74">
        <f t="shared" si="160"/>
        <v>29164.213555391976</v>
      </c>
      <c r="K927" s="74">
        <f t="shared" si="161"/>
        <v>-50029.725845314519</v>
      </c>
      <c r="L927" s="74">
        <f t="shared" si="162"/>
        <v>27385.323656519729</v>
      </c>
      <c r="M927" s="74">
        <f t="shared" si="163"/>
        <v>57034.458180381363</v>
      </c>
      <c r="N927" s="74">
        <f t="shared" si="164"/>
        <v>-35029.725845314519</v>
      </c>
      <c r="O927" s="74">
        <f t="shared" si="165"/>
        <v>-27614.676343480271</v>
      </c>
      <c r="P927" s="74">
        <f t="shared" si="166"/>
        <v>44605.515828797055</v>
      </c>
    </row>
    <row r="928" spans="1:16" x14ac:dyDescent="0.3">
      <c r="A928" s="72">
        <f t="shared" si="153"/>
        <v>309.5</v>
      </c>
      <c r="B928" s="74">
        <f t="shared" si="154"/>
        <v>28194.688880593341</v>
      </c>
      <c r="C928" s="74">
        <f t="shared" si="155"/>
        <v>-4343.5439645356037</v>
      </c>
      <c r="D928" s="74">
        <f t="shared" si="156"/>
        <v>-3670.0739294423647</v>
      </c>
      <c r="E928" s="74">
        <f t="shared" si="157"/>
        <v>6083.5593839682515</v>
      </c>
      <c r="F928" s="74">
        <f t="shared" si="151"/>
        <v>-1892.038872950144</v>
      </c>
      <c r="G928" s="74">
        <f t="shared" si="152"/>
        <v>1947.110989023123</v>
      </c>
      <c r="H928" s="74">
        <f t="shared" si="158"/>
        <v>-8194.6888805933413</v>
      </c>
      <c r="I928" s="74">
        <f t="shared" si="159"/>
        <v>24343.543964535602</v>
      </c>
      <c r="J928" s="74">
        <f t="shared" si="160"/>
        <v>25685.814345723942</v>
      </c>
      <c r="K928" s="74">
        <f t="shared" si="161"/>
        <v>-48194.688880593341</v>
      </c>
      <c r="L928" s="74">
        <f t="shared" si="162"/>
        <v>24343.543964535602</v>
      </c>
      <c r="M928" s="74">
        <f t="shared" si="163"/>
        <v>53993.853067274846</v>
      </c>
      <c r="N928" s="74">
        <f t="shared" si="164"/>
        <v>-33194.688880593341</v>
      </c>
      <c r="O928" s="74">
        <f t="shared" si="165"/>
        <v>-30656.456035464398</v>
      </c>
      <c r="P928" s="74">
        <f t="shared" si="166"/>
        <v>45185.237263222916</v>
      </c>
    </row>
    <row r="929" spans="1:16" x14ac:dyDescent="0.3">
      <c r="A929" s="72">
        <f t="shared" si="153"/>
        <v>310</v>
      </c>
      <c r="B929" s="74">
        <f t="shared" si="154"/>
        <v>25886.642197634625</v>
      </c>
      <c r="C929" s="74">
        <f t="shared" si="155"/>
        <v>-814.98652529569722</v>
      </c>
      <c r="D929" s="74">
        <f t="shared" si="156"/>
        <v>-4616.093365917437</v>
      </c>
      <c r="E929" s="74">
        <f t="shared" si="157"/>
        <v>7057.1148784798133</v>
      </c>
      <c r="F929" s="74">
        <f t="shared" si="151"/>
        <v>-2016.8766439841811</v>
      </c>
      <c r="G929" s="74">
        <f t="shared" si="152"/>
        <v>2749.3677034201228</v>
      </c>
      <c r="H929" s="74">
        <f t="shared" si="158"/>
        <v>-5886.6421976346246</v>
      </c>
      <c r="I929" s="74">
        <f t="shared" si="159"/>
        <v>20814.986525295699</v>
      </c>
      <c r="J929" s="74">
        <f t="shared" si="160"/>
        <v>21631.371209685578</v>
      </c>
      <c r="K929" s="74">
        <f t="shared" si="161"/>
        <v>-45886.642197634625</v>
      </c>
      <c r="L929" s="74">
        <f t="shared" si="162"/>
        <v>20814.986525295699</v>
      </c>
      <c r="M929" s="74">
        <f t="shared" si="163"/>
        <v>50386.97843909658</v>
      </c>
      <c r="N929" s="74">
        <f t="shared" si="164"/>
        <v>-30886.642197634625</v>
      </c>
      <c r="O929" s="74">
        <f t="shared" si="165"/>
        <v>-34185.013474704305</v>
      </c>
      <c r="P929" s="74">
        <f t="shared" si="166"/>
        <v>46071.681242498831</v>
      </c>
    </row>
    <row r="930" spans="1:16" x14ac:dyDescent="0.3">
      <c r="A930" s="72">
        <f t="shared" si="153"/>
        <v>310.5</v>
      </c>
      <c r="B930" s="74">
        <f t="shared" si="154"/>
        <v>23074.376353679861</v>
      </c>
      <c r="C930" s="74">
        <f t="shared" si="155"/>
        <v>3400.9128397992404</v>
      </c>
      <c r="D930" s="74">
        <f t="shared" si="156"/>
        <v>-5624.531687909528</v>
      </c>
      <c r="E930" s="74">
        <f t="shared" si="157"/>
        <v>8431.7987301898756</v>
      </c>
      <c r="F930" s="74">
        <f t="shared" si="151"/>
        <v>-2050.293556908915</v>
      </c>
      <c r="G930" s="74">
        <f t="shared" si="152"/>
        <v>4332.6587528522759</v>
      </c>
      <c r="H930" s="74">
        <f t="shared" si="158"/>
        <v>-3074.3763536798615</v>
      </c>
      <c r="I930" s="74">
        <f t="shared" si="159"/>
        <v>16599.087160200761</v>
      </c>
      <c r="J930" s="74">
        <f t="shared" si="160"/>
        <v>16881.394625919023</v>
      </c>
      <c r="K930" s="74">
        <f t="shared" si="161"/>
        <v>-43074.376353679865</v>
      </c>
      <c r="L930" s="74">
        <f t="shared" si="162"/>
        <v>16599.087160200761</v>
      </c>
      <c r="M930" s="74">
        <f t="shared" si="163"/>
        <v>46162.014609529302</v>
      </c>
      <c r="N930" s="74">
        <f t="shared" si="164"/>
        <v>-28074.376353679861</v>
      </c>
      <c r="O930" s="74">
        <f t="shared" si="165"/>
        <v>-38400.912839799239</v>
      </c>
      <c r="P930" s="74">
        <f t="shared" si="166"/>
        <v>47568.904912536265</v>
      </c>
    </row>
    <row r="931" spans="1:16" x14ac:dyDescent="0.3">
      <c r="A931" s="72">
        <f t="shared" si="153"/>
        <v>311</v>
      </c>
      <c r="B931" s="74">
        <f t="shared" si="154"/>
        <v>19749.537120497869</v>
      </c>
      <c r="C931" s="74">
        <f t="shared" si="155"/>
        <v>8699.9768931072467</v>
      </c>
      <c r="D931" s="74">
        <f t="shared" si="156"/>
        <v>-6649.6784663639855</v>
      </c>
      <c r="E931" s="74">
        <f t="shared" si="157"/>
        <v>10598.128106616014</v>
      </c>
      <c r="F931" s="74">
        <f t="shared" si="151"/>
        <v>-1104.8414150614644</v>
      </c>
      <c r="G931" s="74">
        <f t="shared" si="152"/>
        <v>7680.1632636902423</v>
      </c>
      <c r="H931" s="74">
        <f t="shared" si="158"/>
        <v>250.46287950213082</v>
      </c>
      <c r="I931" s="74">
        <f t="shared" si="159"/>
        <v>11300.023106892753</v>
      </c>
      <c r="J931" s="74">
        <f t="shared" si="160"/>
        <v>11302.798497289008</v>
      </c>
      <c r="K931" s="74">
        <f t="shared" si="161"/>
        <v>-39749.537120497873</v>
      </c>
      <c r="L931" s="74">
        <f t="shared" si="162"/>
        <v>11300.023106892753</v>
      </c>
      <c r="M931" s="74">
        <f t="shared" si="163"/>
        <v>41324.523270210251</v>
      </c>
      <c r="N931" s="74">
        <f t="shared" si="164"/>
        <v>-24749.537120497869</v>
      </c>
      <c r="O931" s="74">
        <f t="shared" si="165"/>
        <v>-43699.976893107247</v>
      </c>
      <c r="P931" s="74">
        <f t="shared" si="166"/>
        <v>50221.783800826997</v>
      </c>
    </row>
    <row r="932" spans="1:16" x14ac:dyDescent="0.3">
      <c r="A932" s="72">
        <f t="shared" si="153"/>
        <v>311.5</v>
      </c>
      <c r="B932" s="74">
        <f t="shared" si="154"/>
        <v>16148.487533550511</v>
      </c>
      <c r="C932" s="74">
        <f t="shared" si="155"/>
        <v>15919.081762337815</v>
      </c>
      <c r="D932" s="74">
        <f t="shared" si="156"/>
        <v>-7202.0991738947178</v>
      </c>
      <c r="E932" s="74">
        <f t="shared" si="157"/>
        <v>14438.209738461135</v>
      </c>
      <c r="F932" s="74">
        <f t="shared" si="151"/>
        <v>6818.2330725056354</v>
      </c>
      <c r="G932" s="74">
        <f t="shared" si="152"/>
        <v>8393.4856050787876</v>
      </c>
      <c r="H932" s="74">
        <f t="shared" si="158"/>
        <v>3851.5124664494888</v>
      </c>
      <c r="I932" s="74">
        <f t="shared" si="159"/>
        <v>4080.9182376621848</v>
      </c>
      <c r="J932" s="74">
        <f t="shared" si="160"/>
        <v>5611.420670534304</v>
      </c>
      <c r="K932" s="74">
        <f t="shared" si="161"/>
        <v>-36148.487533550513</v>
      </c>
      <c r="L932" s="74">
        <f t="shared" si="162"/>
        <v>4080.9182376621848</v>
      </c>
      <c r="M932" s="74">
        <f t="shared" si="163"/>
        <v>36378.11216412612</v>
      </c>
      <c r="N932" s="74">
        <f t="shared" si="164"/>
        <v>-21148.487533550513</v>
      </c>
      <c r="O932" s="74">
        <f t="shared" si="165"/>
        <v>-50919.081762337817</v>
      </c>
      <c r="P932" s="74">
        <f t="shared" si="166"/>
        <v>55136.298501770907</v>
      </c>
    </row>
    <row r="933" spans="1:16" x14ac:dyDescent="0.3">
      <c r="A933" s="72">
        <f t="shared" si="153"/>
        <v>312</v>
      </c>
      <c r="B933" s="74">
        <f t="shared" si="154"/>
        <v>14251.996214729563</v>
      </c>
      <c r="C933" s="74">
        <f t="shared" si="155"/>
        <v>25236.558032838082</v>
      </c>
      <c r="D933" s="74">
        <f t="shared" si="156"/>
        <v>-3792.9826376419001</v>
      </c>
      <c r="E933" s="74">
        <f t="shared" si="157"/>
        <v>18634.95254100053</v>
      </c>
      <c r="F933" s="74">
        <f t="shared" si="151"/>
        <v>6565.9130985981546</v>
      </c>
      <c r="G933" s="74">
        <f t="shared" si="152"/>
        <v>-7959.083836723079</v>
      </c>
      <c r="H933" s="74">
        <f t="shared" si="158"/>
        <v>5748.0037852704372</v>
      </c>
      <c r="I933" s="74">
        <f t="shared" si="159"/>
        <v>-5236.558032838082</v>
      </c>
      <c r="J933" s="74">
        <f t="shared" si="160"/>
        <v>7775.6728034790867</v>
      </c>
      <c r="K933" s="74">
        <f t="shared" si="161"/>
        <v>-34251.996214729559</v>
      </c>
      <c r="L933" s="74">
        <f t="shared" si="162"/>
        <v>-5236.558032838082</v>
      </c>
      <c r="M933" s="74">
        <f t="shared" si="163"/>
        <v>34649.975248550021</v>
      </c>
      <c r="N933" s="74">
        <f t="shared" si="164"/>
        <v>-19251.996214729563</v>
      </c>
      <c r="O933" s="74">
        <f t="shared" si="165"/>
        <v>-60236.558032838082</v>
      </c>
      <c r="P933" s="74">
        <f t="shared" si="166"/>
        <v>63238.297588529626</v>
      </c>
    </row>
    <row r="934" spans="1:16" x14ac:dyDescent="0.3">
      <c r="A934" s="72">
        <f t="shared" si="153"/>
        <v>312.5</v>
      </c>
      <c r="B934" s="74">
        <f t="shared" si="154"/>
        <v>13996.983170558151</v>
      </c>
      <c r="C934" s="74">
        <f t="shared" si="155"/>
        <v>32564.263344157578</v>
      </c>
      <c r="D934" s="74">
        <f t="shared" si="156"/>
        <v>-510.02608834282273</v>
      </c>
      <c r="E934" s="74">
        <f t="shared" si="157"/>
        <v>14655.41062263899</v>
      </c>
      <c r="F934" s="74">
        <f t="shared" si="151"/>
        <v>1400.9720256142032</v>
      </c>
      <c r="G934" s="74">
        <f t="shared" si="152"/>
        <v>-6389.4136217606801</v>
      </c>
      <c r="H934" s="74">
        <f t="shared" si="158"/>
        <v>6003.016829441849</v>
      </c>
      <c r="I934" s="74">
        <f t="shared" si="159"/>
        <v>-12564.263344157578</v>
      </c>
      <c r="J934" s="74">
        <f t="shared" si="160"/>
        <v>13924.687588448935</v>
      </c>
      <c r="K934" s="74">
        <f t="shared" si="161"/>
        <v>-33996.983170558153</v>
      </c>
      <c r="L934" s="74">
        <f t="shared" si="162"/>
        <v>-12564.263344157578</v>
      </c>
      <c r="M934" s="74">
        <f t="shared" si="163"/>
        <v>36244.38684928407</v>
      </c>
      <c r="N934" s="74">
        <f t="shared" si="164"/>
        <v>-18996.983170558153</v>
      </c>
      <c r="O934" s="74">
        <f t="shared" si="165"/>
        <v>-67564.263344157574</v>
      </c>
      <c r="P934" s="74">
        <f t="shared" si="166"/>
        <v>70184.15099451688</v>
      </c>
    </row>
    <row r="935" spans="1:16" x14ac:dyDescent="0.3">
      <c r="A935" s="72">
        <f t="shared" si="153"/>
        <v>313</v>
      </c>
      <c r="B935" s="74">
        <f t="shared" si="154"/>
        <v>14092.21313279029</v>
      </c>
      <c r="C935" s="74">
        <f t="shared" si="155"/>
        <v>38294.615250036906</v>
      </c>
      <c r="D935" s="74">
        <f t="shared" si="156"/>
        <v>190.45992446427886</v>
      </c>
      <c r="E935" s="74">
        <f t="shared" si="157"/>
        <v>11460.703811758651</v>
      </c>
      <c r="F935" s="74">
        <f t="shared" si="151"/>
        <v>127.30114620327558</v>
      </c>
      <c r="G935" s="74">
        <f t="shared" si="152"/>
        <v>-4500.8081082373083</v>
      </c>
      <c r="H935" s="74">
        <f t="shared" si="158"/>
        <v>5907.7868672097102</v>
      </c>
      <c r="I935" s="74">
        <f t="shared" si="159"/>
        <v>-18294.615250036906</v>
      </c>
      <c r="J935" s="74">
        <f t="shared" si="160"/>
        <v>19224.850917894226</v>
      </c>
      <c r="K935" s="74">
        <f t="shared" si="161"/>
        <v>-34092.21313279029</v>
      </c>
      <c r="L935" s="74">
        <f t="shared" si="162"/>
        <v>-18294.615250036906</v>
      </c>
      <c r="M935" s="74">
        <f t="shared" si="163"/>
        <v>38690.721671202795</v>
      </c>
      <c r="N935" s="74">
        <f t="shared" si="164"/>
        <v>-19092.21313279029</v>
      </c>
      <c r="O935" s="74">
        <f t="shared" si="165"/>
        <v>-73294.615250036906</v>
      </c>
      <c r="P935" s="74">
        <f t="shared" si="166"/>
        <v>75740.433237200545</v>
      </c>
    </row>
    <row r="936" spans="1:16" x14ac:dyDescent="0.3">
      <c r="A936" s="72">
        <f t="shared" si="153"/>
        <v>313.5</v>
      </c>
      <c r="B936" s="74">
        <f t="shared" si="154"/>
        <v>14219.268381573247</v>
      </c>
      <c r="C936" s="74">
        <f t="shared" si="155"/>
        <v>42899.765128856903</v>
      </c>
      <c r="D936" s="74">
        <f t="shared" si="156"/>
        <v>254.11049756591666</v>
      </c>
      <c r="E936" s="74">
        <f t="shared" si="157"/>
        <v>9210.2997576399976</v>
      </c>
      <c r="F936" s="74">
        <f t="shared" si="151"/>
        <v>-218.44936729342282</v>
      </c>
      <c r="G936" s="74">
        <f t="shared" si="152"/>
        <v>-3474.4445880739804</v>
      </c>
      <c r="H936" s="74">
        <f t="shared" si="158"/>
        <v>5780.7316184267529</v>
      </c>
      <c r="I936" s="74">
        <f t="shared" si="159"/>
        <v>-22899.765128856903</v>
      </c>
      <c r="J936" s="74">
        <f t="shared" si="160"/>
        <v>23618.130768566112</v>
      </c>
      <c r="K936" s="74">
        <f t="shared" si="161"/>
        <v>-34219.268381573245</v>
      </c>
      <c r="L936" s="74">
        <f t="shared" si="162"/>
        <v>-22899.765128856903</v>
      </c>
      <c r="M936" s="74">
        <f t="shared" si="163"/>
        <v>41174.720054020392</v>
      </c>
      <c r="N936" s="74">
        <f t="shared" si="164"/>
        <v>-19219.268381573245</v>
      </c>
      <c r="O936" s="74">
        <f t="shared" si="165"/>
        <v>-77899.765128856903</v>
      </c>
      <c r="P936" s="74">
        <f t="shared" si="166"/>
        <v>80235.61356563562</v>
      </c>
    </row>
    <row r="937" spans="1:16" x14ac:dyDescent="0.3">
      <c r="A937" s="72">
        <f t="shared" si="153"/>
        <v>314</v>
      </c>
      <c r="B937" s="74">
        <f t="shared" si="154"/>
        <v>14291.71128853285</v>
      </c>
      <c r="C937" s="74">
        <f t="shared" si="155"/>
        <v>46636.303860658401</v>
      </c>
      <c r="D937" s="74">
        <f t="shared" si="156"/>
        <v>144.88581391920525</v>
      </c>
      <c r="E937" s="74">
        <f t="shared" si="157"/>
        <v>7473.0774636030073</v>
      </c>
      <c r="F937" s="74">
        <f t="shared" si="151"/>
        <v>-318.13711897411781</v>
      </c>
      <c r="G937" s="74">
        <f t="shared" si="152"/>
        <v>-2878.4281091368152</v>
      </c>
      <c r="H937" s="74">
        <f t="shared" si="158"/>
        <v>5708.2887114671503</v>
      </c>
      <c r="I937" s="74">
        <f t="shared" si="159"/>
        <v>-26636.303860658401</v>
      </c>
      <c r="J937" s="74">
        <f t="shared" si="160"/>
        <v>27241.094753529804</v>
      </c>
      <c r="K937" s="74">
        <f t="shared" si="161"/>
        <v>-34291.711288532853</v>
      </c>
      <c r="L937" s="74">
        <f t="shared" si="162"/>
        <v>-26636.303860658401</v>
      </c>
      <c r="M937" s="74">
        <f t="shared" si="163"/>
        <v>43421.355879951712</v>
      </c>
      <c r="N937" s="74">
        <f t="shared" si="164"/>
        <v>-19291.71128853285</v>
      </c>
      <c r="O937" s="74">
        <f t="shared" si="165"/>
        <v>-81636.303860658401</v>
      </c>
      <c r="P937" s="74">
        <f t="shared" si="166"/>
        <v>83884.779504209553</v>
      </c>
    </row>
    <row r="938" spans="1:16" x14ac:dyDescent="0.3">
      <c r="A938" s="72">
        <f t="shared" si="153"/>
        <v>314.5</v>
      </c>
      <c r="B938" s="74">
        <f t="shared" si="154"/>
        <v>14284.619915748923</v>
      </c>
      <c r="C938" s="74">
        <f t="shared" si="155"/>
        <v>49653.235565175703</v>
      </c>
      <c r="D938" s="74">
        <f t="shared" si="156"/>
        <v>-14.182745567853658</v>
      </c>
      <c r="E938" s="74">
        <f t="shared" si="157"/>
        <v>6033.8634090345995</v>
      </c>
      <c r="F938" s="74">
        <f t="shared" si="151"/>
        <v>-340.91196548267652</v>
      </c>
      <c r="G938" s="74">
        <f t="shared" si="152"/>
        <v>-2505.6194204032727</v>
      </c>
      <c r="H938" s="74">
        <f t="shared" si="158"/>
        <v>5715.3800842510773</v>
      </c>
      <c r="I938" s="74">
        <f t="shared" si="159"/>
        <v>-29653.235565175703</v>
      </c>
      <c r="J938" s="74">
        <f t="shared" si="160"/>
        <v>30199.005761634849</v>
      </c>
      <c r="K938" s="74">
        <f t="shared" si="161"/>
        <v>-34284.619915748925</v>
      </c>
      <c r="L938" s="74">
        <f t="shared" si="162"/>
        <v>-29653.235565175703</v>
      </c>
      <c r="M938" s="74">
        <f t="shared" si="163"/>
        <v>45329.345266076467</v>
      </c>
      <c r="N938" s="74">
        <f t="shared" si="164"/>
        <v>-19284.619915748925</v>
      </c>
      <c r="O938" s="74">
        <f t="shared" si="165"/>
        <v>-84653.23556517571</v>
      </c>
      <c r="P938" s="74">
        <f t="shared" si="166"/>
        <v>86822.041308345375</v>
      </c>
    </row>
    <row r="939" spans="1:16" x14ac:dyDescent="0.3">
      <c r="A939" s="72">
        <f t="shared" si="153"/>
        <v>315</v>
      </c>
      <c r="B939" s="74">
        <f t="shared" si="154"/>
        <v>14192.300551594326</v>
      </c>
      <c r="C939" s="74">
        <f t="shared" si="155"/>
        <v>52043.762414592187</v>
      </c>
      <c r="D939" s="74">
        <f t="shared" si="156"/>
        <v>-184.63872830919192</v>
      </c>
      <c r="E939" s="74">
        <f t="shared" si="157"/>
        <v>4781.0536988329632</v>
      </c>
      <c r="F939" s="74">
        <f t="shared" si="151"/>
        <v>-337.72077681782383</v>
      </c>
      <c r="G939" s="74">
        <f t="shared" si="152"/>
        <v>-2261.9951767327152</v>
      </c>
      <c r="H939" s="74">
        <f t="shared" si="158"/>
        <v>5807.699448405674</v>
      </c>
      <c r="I939" s="74">
        <f t="shared" si="159"/>
        <v>-32043.762414592187</v>
      </c>
      <c r="J939" s="74">
        <f t="shared" si="160"/>
        <v>32565.811560067752</v>
      </c>
      <c r="K939" s="74">
        <f t="shared" si="161"/>
        <v>-34192.300551594322</v>
      </c>
      <c r="L939" s="74">
        <f t="shared" si="162"/>
        <v>-32043.762414592187</v>
      </c>
      <c r="M939" s="74">
        <f t="shared" si="163"/>
        <v>46860.603140520805</v>
      </c>
      <c r="N939" s="74">
        <f t="shared" si="164"/>
        <v>-19192.300551594326</v>
      </c>
      <c r="O939" s="74">
        <f t="shared" si="165"/>
        <v>-87043.762414592187</v>
      </c>
      <c r="P939" s="74">
        <f t="shared" si="166"/>
        <v>89134.510576716013</v>
      </c>
    </row>
    <row r="940" spans="1:16" x14ac:dyDescent="0.3">
      <c r="A940" s="72">
        <f t="shared" si="153"/>
        <v>315.5</v>
      </c>
      <c r="B940" s="74">
        <f t="shared" si="154"/>
        <v>14015.550993235272</v>
      </c>
      <c r="C940" s="74">
        <f t="shared" si="155"/>
        <v>53868.790469825493</v>
      </c>
      <c r="D940" s="74">
        <f t="shared" si="156"/>
        <v>-353.49911671810383</v>
      </c>
      <c r="E940" s="74">
        <f t="shared" si="157"/>
        <v>3650.0561104666058</v>
      </c>
      <c r="F940" s="74">
        <f t="shared" si="151"/>
        <v>-326.04199271522987</v>
      </c>
      <c r="G940" s="74">
        <f t="shared" si="152"/>
        <v>-2101.0982662288443</v>
      </c>
      <c r="H940" s="74">
        <f t="shared" si="158"/>
        <v>5984.4490067647275</v>
      </c>
      <c r="I940" s="74">
        <f t="shared" si="159"/>
        <v>-33868.790469825493</v>
      </c>
      <c r="J940" s="74">
        <f t="shared" si="160"/>
        <v>34393.438295749227</v>
      </c>
      <c r="K940" s="74">
        <f t="shared" si="161"/>
        <v>-34015.550993235272</v>
      </c>
      <c r="L940" s="74">
        <f t="shared" si="162"/>
        <v>-33868.790469825493</v>
      </c>
      <c r="M940" s="74">
        <f t="shared" si="163"/>
        <v>48001.590361802926</v>
      </c>
      <c r="N940" s="74">
        <f t="shared" si="164"/>
        <v>-19015.550993235272</v>
      </c>
      <c r="O940" s="74">
        <f t="shared" si="165"/>
        <v>-88868.790469825501</v>
      </c>
      <c r="P940" s="74">
        <f t="shared" si="166"/>
        <v>90880.432982826838</v>
      </c>
    </row>
    <row r="941" spans="1:16" x14ac:dyDescent="0.3">
      <c r="A941" s="72">
        <f t="shared" si="153"/>
        <v>316</v>
      </c>
      <c r="B941" s="74">
        <f t="shared" si="154"/>
        <v>13757.290936697413</v>
      </c>
      <c r="C941" s="74">
        <f t="shared" si="155"/>
        <v>55168.543958501585</v>
      </c>
      <c r="D941" s="74">
        <f t="shared" si="156"/>
        <v>-516.52011307571877</v>
      </c>
      <c r="E941" s="74">
        <f t="shared" si="157"/>
        <v>2599.5069773521836</v>
      </c>
      <c r="F941" s="74">
        <f t="shared" si="151"/>
        <v>-312.28938336204942</v>
      </c>
      <c r="G941" s="74">
        <f t="shared" si="152"/>
        <v>-1998.2780898988131</v>
      </c>
      <c r="H941" s="74">
        <f t="shared" si="158"/>
        <v>6242.7090633025873</v>
      </c>
      <c r="I941" s="74">
        <f t="shared" si="159"/>
        <v>-35168.543958501585</v>
      </c>
      <c r="J941" s="74">
        <f t="shared" si="160"/>
        <v>35718.313238590912</v>
      </c>
      <c r="K941" s="74">
        <f t="shared" si="161"/>
        <v>-33757.290936697413</v>
      </c>
      <c r="L941" s="74">
        <f t="shared" si="162"/>
        <v>-35168.543958501585</v>
      </c>
      <c r="M941" s="74">
        <f t="shared" si="163"/>
        <v>48748.140226534713</v>
      </c>
      <c r="N941" s="74">
        <f t="shared" si="164"/>
        <v>-18757.290936697413</v>
      </c>
      <c r="O941" s="74">
        <f t="shared" si="165"/>
        <v>-90168.543958501585</v>
      </c>
      <c r="P941" s="74">
        <f t="shared" si="166"/>
        <v>92098.872321435847</v>
      </c>
    </row>
    <row r="942" spans="1:16" x14ac:dyDescent="0.3">
      <c r="A942" s="72">
        <f t="shared" si="153"/>
        <v>316.5</v>
      </c>
      <c r="B942" s="74">
        <f t="shared" si="154"/>
        <v>13420.958534319041</v>
      </c>
      <c r="C942" s="74">
        <f t="shared" si="155"/>
        <v>55968.727924702973</v>
      </c>
      <c r="D942" s="74">
        <f t="shared" si="156"/>
        <v>-672.66480475674348</v>
      </c>
      <c r="E942" s="74">
        <f t="shared" si="157"/>
        <v>1600.3679324027771</v>
      </c>
      <c r="F942" s="74">
        <f t="shared" si="151"/>
        <v>-298.76769072189944</v>
      </c>
      <c r="G942" s="74">
        <f t="shared" si="152"/>
        <v>-1940.0334924283045</v>
      </c>
      <c r="H942" s="74">
        <f t="shared" si="158"/>
        <v>6579.0414656809589</v>
      </c>
      <c r="I942" s="74">
        <f t="shared" si="159"/>
        <v>-35968.727924702973</v>
      </c>
      <c r="J942" s="74">
        <f t="shared" si="160"/>
        <v>36565.464240570727</v>
      </c>
      <c r="K942" s="74">
        <f t="shared" si="161"/>
        <v>-33420.958534319041</v>
      </c>
      <c r="L942" s="74">
        <f t="shared" si="162"/>
        <v>-35968.727924702973</v>
      </c>
      <c r="M942" s="74">
        <f t="shared" si="163"/>
        <v>49098.980212158996</v>
      </c>
      <c r="N942" s="74">
        <f t="shared" si="164"/>
        <v>-18420.958534319041</v>
      </c>
      <c r="O942" s="74">
        <f t="shared" si="165"/>
        <v>-90968.72792470298</v>
      </c>
      <c r="P942" s="74">
        <f t="shared" si="166"/>
        <v>92815.091302878849</v>
      </c>
    </row>
    <row r="943" spans="1:16" x14ac:dyDescent="0.3">
      <c r="A943" s="72">
        <f t="shared" si="153"/>
        <v>317</v>
      </c>
      <c r="B943" s="74">
        <f t="shared" si="154"/>
        <v>13009.934209260195</v>
      </c>
      <c r="C943" s="74">
        <f t="shared" si="155"/>
        <v>56283.903517797284</v>
      </c>
      <c r="D943" s="74">
        <f t="shared" si="156"/>
        <v>-822.04865011769323</v>
      </c>
      <c r="E943" s="74">
        <f t="shared" si="157"/>
        <v>630.35118618862487</v>
      </c>
      <c r="F943" s="74">
        <f t="shared" si="151"/>
        <v>-286.07030923327522</v>
      </c>
      <c r="G943" s="74">
        <f t="shared" si="152"/>
        <v>-1919.2705337304162</v>
      </c>
      <c r="H943" s="74">
        <f t="shared" si="158"/>
        <v>6990.0657907398054</v>
      </c>
      <c r="I943" s="74">
        <f t="shared" si="159"/>
        <v>-36283.903517797284</v>
      </c>
      <c r="J943" s="74">
        <f t="shared" si="160"/>
        <v>36951.084885936609</v>
      </c>
      <c r="K943" s="74">
        <f t="shared" si="161"/>
        <v>-33009.934209260195</v>
      </c>
      <c r="L943" s="74">
        <f t="shared" si="162"/>
        <v>-36283.903517797284</v>
      </c>
      <c r="M943" s="74">
        <f t="shared" si="163"/>
        <v>49052.802274574569</v>
      </c>
      <c r="N943" s="74">
        <f t="shared" si="164"/>
        <v>-18009.934209260195</v>
      </c>
      <c r="O943" s="74">
        <f t="shared" si="165"/>
        <v>-91283.903517797284</v>
      </c>
      <c r="P943" s="74">
        <f t="shared" si="166"/>
        <v>93043.585333264127</v>
      </c>
    </row>
    <row r="944" spans="1:16" x14ac:dyDescent="0.3">
      <c r="A944" s="72">
        <f t="shared" si="153"/>
        <v>317.5</v>
      </c>
      <c r="B944" s="74">
        <f t="shared" si="154"/>
        <v>12527.392306893029</v>
      </c>
      <c r="C944" s="74">
        <f t="shared" si="155"/>
        <v>56119.261477458989</v>
      </c>
      <c r="D944" s="74">
        <f t="shared" si="156"/>
        <v>-965.0838047343309</v>
      </c>
      <c r="E944" s="74">
        <f t="shared" si="157"/>
        <v>-329.28408067658324</v>
      </c>
      <c r="F944" s="74">
        <f t="shared" si="151"/>
        <v>-273.91585114222619</v>
      </c>
      <c r="G944" s="74">
        <f t="shared" si="152"/>
        <v>-1933.1273217548212</v>
      </c>
      <c r="H944" s="74">
        <f t="shared" si="158"/>
        <v>7472.6076931069711</v>
      </c>
      <c r="I944" s="74">
        <f t="shared" si="159"/>
        <v>-36119.261477458989</v>
      </c>
      <c r="J944" s="74">
        <f t="shared" si="160"/>
        <v>36884.155343617866</v>
      </c>
      <c r="K944" s="74">
        <f t="shared" si="161"/>
        <v>-32527.392306893031</v>
      </c>
      <c r="L944" s="74">
        <f t="shared" si="162"/>
        <v>-36119.261477458989</v>
      </c>
      <c r="M944" s="74">
        <f t="shared" si="163"/>
        <v>48606.916174178099</v>
      </c>
      <c r="N944" s="74">
        <f t="shared" si="164"/>
        <v>-17527.392306893031</v>
      </c>
      <c r="O944" s="74">
        <f t="shared" si="165"/>
        <v>-91119.261477458989</v>
      </c>
      <c r="P944" s="74">
        <f t="shared" si="166"/>
        <v>92789.704672863765</v>
      </c>
    </row>
    <row r="945" spans="1:16" x14ac:dyDescent="0.3">
      <c r="A945" s="72">
        <f t="shared" si="153"/>
        <v>318</v>
      </c>
      <c r="B945" s="74">
        <f t="shared" si="154"/>
        <v>11976.371441740306</v>
      </c>
      <c r="C945" s="74">
        <f t="shared" si="155"/>
        <v>55471.337606681991</v>
      </c>
      <c r="D945" s="74">
        <f t="shared" si="156"/>
        <v>-1102.0417303054439</v>
      </c>
      <c r="E945" s="74">
        <f t="shared" si="157"/>
        <v>-1295.8477415539937</v>
      </c>
      <c r="F945" s="74">
        <f t="shared" si="151"/>
        <v>-261.33277059427172</v>
      </c>
      <c r="G945" s="74">
        <f t="shared" si="152"/>
        <v>-1982.0723058865119</v>
      </c>
      <c r="H945" s="74">
        <f t="shared" si="158"/>
        <v>8023.6285582596938</v>
      </c>
      <c r="I945" s="74">
        <f t="shared" si="159"/>
        <v>-35471.337606681991</v>
      </c>
      <c r="J945" s="74">
        <f t="shared" si="160"/>
        <v>36367.491071671859</v>
      </c>
      <c r="K945" s="74">
        <f t="shared" si="161"/>
        <v>-31976.371441740306</v>
      </c>
      <c r="L945" s="74">
        <f t="shared" si="162"/>
        <v>-35471.337606681991</v>
      </c>
      <c r="M945" s="74">
        <f t="shared" si="163"/>
        <v>47756.718084342407</v>
      </c>
      <c r="N945" s="74">
        <f t="shared" si="164"/>
        <v>-16976.371441740306</v>
      </c>
      <c r="O945" s="74">
        <f t="shared" si="165"/>
        <v>-90471.337606681991</v>
      </c>
      <c r="P945" s="74">
        <f t="shared" si="166"/>
        <v>92050.312958024035</v>
      </c>
    </row>
    <row r="946" spans="1:16" x14ac:dyDescent="0.3">
      <c r="A946" s="72">
        <f t="shared" si="153"/>
        <v>318.5</v>
      </c>
      <c r="B946" s="74">
        <f t="shared" si="154"/>
        <v>11360.017383939015</v>
      </c>
      <c r="C946" s="74">
        <f t="shared" si="155"/>
        <v>54327.895659433365</v>
      </c>
      <c r="D946" s="74">
        <f t="shared" si="156"/>
        <v>-1232.7081156025797</v>
      </c>
      <c r="E946" s="74">
        <f t="shared" si="157"/>
        <v>-2286.8838944972495</v>
      </c>
      <c r="F946" s="74">
        <f t="shared" si="151"/>
        <v>-246.42414431529482</v>
      </c>
      <c r="G946" s="74">
        <f t="shared" si="152"/>
        <v>-2069.7624302241802</v>
      </c>
      <c r="H946" s="74">
        <f t="shared" si="158"/>
        <v>8639.9826160609846</v>
      </c>
      <c r="I946" s="74">
        <f t="shared" si="159"/>
        <v>-34327.895659433365</v>
      </c>
      <c r="J946" s="74">
        <f t="shared" si="160"/>
        <v>35398.498838379855</v>
      </c>
      <c r="K946" s="74">
        <f t="shared" si="161"/>
        <v>-31360.017383939015</v>
      </c>
      <c r="L946" s="74">
        <f t="shared" si="162"/>
        <v>-34327.895659433365</v>
      </c>
      <c r="M946" s="74">
        <f t="shared" si="163"/>
        <v>46495.753684889343</v>
      </c>
      <c r="N946" s="74">
        <f t="shared" si="164"/>
        <v>-16360.017383939015</v>
      </c>
      <c r="O946" s="74">
        <f t="shared" si="165"/>
        <v>-89327.895659433358</v>
      </c>
      <c r="P946" s="74">
        <f t="shared" si="166"/>
        <v>90813.672493437902</v>
      </c>
    </row>
    <row r="947" spans="1:16" x14ac:dyDescent="0.3">
      <c r="A947" s="72">
        <f t="shared" si="153"/>
        <v>319</v>
      </c>
      <c r="B947" s="74">
        <f t="shared" si="154"/>
        <v>10682.057290058901</v>
      </c>
      <c r="C947" s="74">
        <f t="shared" si="155"/>
        <v>52667.013104628692</v>
      </c>
      <c r="D947" s="74">
        <f t="shared" si="156"/>
        <v>-1355.9201877602272</v>
      </c>
      <c r="E947" s="74">
        <f t="shared" si="157"/>
        <v>-3321.7651096093396</v>
      </c>
      <c r="F947" s="74">
        <f t="shared" si="151"/>
        <v>-225.60031194152694</v>
      </c>
      <c r="G947" s="74">
        <f t="shared" si="152"/>
        <v>-2203.4618176174399</v>
      </c>
      <c r="H947" s="74">
        <f t="shared" si="158"/>
        <v>9317.9427099410987</v>
      </c>
      <c r="I947" s="74">
        <f t="shared" si="159"/>
        <v>-32667.013104628692</v>
      </c>
      <c r="J947" s="74">
        <f t="shared" si="160"/>
        <v>33969.954393901193</v>
      </c>
      <c r="K947" s="74">
        <f t="shared" si="161"/>
        <v>-30682.057290058903</v>
      </c>
      <c r="L947" s="74">
        <f t="shared" si="162"/>
        <v>-32667.013104628692</v>
      </c>
      <c r="M947" s="74">
        <f t="shared" si="163"/>
        <v>44816.541418637375</v>
      </c>
      <c r="N947" s="74">
        <f t="shared" si="164"/>
        <v>-15682.057290058901</v>
      </c>
      <c r="O947" s="74">
        <f t="shared" si="165"/>
        <v>-87667.013104628684</v>
      </c>
      <c r="P947" s="74">
        <f t="shared" si="166"/>
        <v>89058.588061656512</v>
      </c>
    </row>
    <row r="948" spans="1:16" x14ac:dyDescent="0.3">
      <c r="A948" s="72">
        <f t="shared" si="153"/>
        <v>319.5</v>
      </c>
      <c r="B948" s="74">
        <f t="shared" si="154"/>
        <v>9947.6971181934059</v>
      </c>
      <c r="C948" s="74">
        <f t="shared" si="155"/>
        <v>50455.265095419665</v>
      </c>
      <c r="D948" s="74">
        <f t="shared" si="156"/>
        <v>-1468.7203437309906</v>
      </c>
      <c r="E948" s="74">
        <f t="shared" si="157"/>
        <v>-4423.49601841806</v>
      </c>
      <c r="F948" s="74">
        <f t="shared" si="151"/>
        <v>-191.74379831973894</v>
      </c>
      <c r="G948" s="74">
        <f t="shared" si="152"/>
        <v>-2394.872051317262</v>
      </c>
      <c r="H948" s="74">
        <f t="shared" si="158"/>
        <v>10052.302881806594</v>
      </c>
      <c r="I948" s="74">
        <f t="shared" si="159"/>
        <v>-30455.265095419665</v>
      </c>
      <c r="J948" s="74">
        <f t="shared" si="160"/>
        <v>32071.35739659088</v>
      </c>
      <c r="K948" s="74">
        <f t="shared" si="161"/>
        <v>-29947.697118193406</v>
      </c>
      <c r="L948" s="74">
        <f t="shared" si="162"/>
        <v>-30455.265095419665</v>
      </c>
      <c r="M948" s="74">
        <f t="shared" si="163"/>
        <v>42712.852102327903</v>
      </c>
      <c r="N948" s="74">
        <f t="shared" si="164"/>
        <v>-14947.697118193406</v>
      </c>
      <c r="O948" s="74">
        <f t="shared" si="165"/>
        <v>-85455.265095419658</v>
      </c>
      <c r="P948" s="74">
        <f t="shared" si="166"/>
        <v>86752.728958031614</v>
      </c>
    </row>
    <row r="949" spans="1:16" x14ac:dyDescent="0.3">
      <c r="A949" s="72">
        <f t="shared" si="153"/>
        <v>320</v>
      </c>
      <c r="B949" s="74">
        <f t="shared" si="154"/>
        <v>9165.400996747976</v>
      </c>
      <c r="C949" s="74">
        <f t="shared" si="155"/>
        <v>47644.799073381313</v>
      </c>
      <c r="D949" s="74">
        <f t="shared" si="156"/>
        <v>-1564.59224289086</v>
      </c>
      <c r="E949" s="74">
        <f t="shared" si="157"/>
        <v>-5620.9320440766915</v>
      </c>
      <c r="F949" s="74">
        <f t="shared" si="151"/>
        <v>-129.80827311235004</v>
      </c>
      <c r="G949" s="74">
        <f t="shared" si="152"/>
        <v>-2660.7719985880371</v>
      </c>
      <c r="H949" s="74">
        <f t="shared" si="158"/>
        <v>10834.599003252024</v>
      </c>
      <c r="I949" s="74">
        <f t="shared" si="159"/>
        <v>-27644.799073381313</v>
      </c>
      <c r="J949" s="74">
        <f t="shared" si="160"/>
        <v>29692.144607099268</v>
      </c>
      <c r="K949" s="74">
        <f t="shared" si="161"/>
        <v>-29165.400996747976</v>
      </c>
      <c r="L949" s="74">
        <f t="shared" si="162"/>
        <v>-27644.799073381313</v>
      </c>
      <c r="M949" s="74">
        <f t="shared" si="163"/>
        <v>40185.265099395976</v>
      </c>
      <c r="N949" s="74">
        <f t="shared" si="164"/>
        <v>-14165.400996747976</v>
      </c>
      <c r="O949" s="74">
        <f t="shared" si="165"/>
        <v>-82644.79907338132</v>
      </c>
      <c r="P949" s="74">
        <f t="shared" si="166"/>
        <v>83849.993436363715</v>
      </c>
    </row>
    <row r="950" spans="1:16" x14ac:dyDescent="0.3">
      <c r="A950" s="72">
        <f t="shared" si="153"/>
        <v>320.5</v>
      </c>
      <c r="B950" s="74">
        <f t="shared" si="154"/>
        <v>8350.6528070244585</v>
      </c>
      <c r="C950" s="74">
        <f t="shared" si="155"/>
        <v>44169.140051695962</v>
      </c>
      <c r="D950" s="74">
        <f t="shared" si="156"/>
        <v>-1629.496379447035</v>
      </c>
      <c r="E950" s="74">
        <f t="shared" si="157"/>
        <v>-6951.3180433707103</v>
      </c>
      <c r="F950" s="74">
        <f t="shared" ref="F950:F1013" si="167">$C$23*(H950/(J950^2+$C$24^2)^1.5)+$C$32*(K950/(M950^2+$C$33^2)^1.5)+C$41*(N950/(P950^2+$C$42^2)^1.5)</f>
        <v>-5.7529621242406819</v>
      </c>
      <c r="G950" s="74">
        <f t="shared" ref="G950:G1013" si="168">$C$23*(I950/(J950^2+$C$24^2)^1.5)+$C$32*(L950/(M950^2+$C$33^2)^1.5)+C$41*(O950/(P950^2+$C$42^2)^1.5)</f>
        <v>-3020.4582104710262</v>
      </c>
      <c r="H950" s="74">
        <f t="shared" si="158"/>
        <v>11649.347192975541</v>
      </c>
      <c r="I950" s="74">
        <f t="shared" si="159"/>
        <v>-24169.140051695962</v>
      </c>
      <c r="J950" s="74">
        <f t="shared" si="160"/>
        <v>26830.106612926105</v>
      </c>
      <c r="K950" s="74">
        <f t="shared" si="161"/>
        <v>-28350.65280702446</v>
      </c>
      <c r="L950" s="74">
        <f t="shared" si="162"/>
        <v>-24169.140051695962</v>
      </c>
      <c r="M950" s="74">
        <f t="shared" si="163"/>
        <v>37254.62179948869</v>
      </c>
      <c r="N950" s="74">
        <f t="shared" si="164"/>
        <v>-13350.652807024459</v>
      </c>
      <c r="O950" s="74">
        <f t="shared" si="165"/>
        <v>-79169.140051695955</v>
      </c>
      <c r="P950" s="74">
        <f t="shared" si="166"/>
        <v>80286.939578606165</v>
      </c>
    </row>
    <row r="951" spans="1:16" x14ac:dyDescent="0.3">
      <c r="A951" s="72">
        <f t="shared" ref="A951:A1014" si="169">A950+$C$5</f>
        <v>321</v>
      </c>
      <c r="B951" s="74">
        <f t="shared" ref="B951:B1014" si="170">B950+D950*(A951-A950)+F950*(A951-A950)^2</f>
        <v>7534.4663767698812</v>
      </c>
      <c r="C951" s="74">
        <f t="shared" ref="C951:C1014" si="171">C950+E950*(A951-A950)+G950*(A951-A950)^2</f>
        <v>39938.366477392847</v>
      </c>
      <c r="D951" s="74">
        <f t="shared" ref="D951:D1014" si="172">D950+F950*(A951-A950)</f>
        <v>-1632.3728605091553</v>
      </c>
      <c r="E951" s="74">
        <f t="shared" ref="E951:E1014" si="173">E950+G950*(A951-A950)</f>
        <v>-8461.5471486062233</v>
      </c>
      <c r="F951" s="74">
        <f t="shared" si="167"/>
        <v>262.0611959894037</v>
      </c>
      <c r="G951" s="74">
        <f t="shared" si="168"/>
        <v>-3476.0624953067454</v>
      </c>
      <c r="H951" s="74">
        <f t="shared" ref="H951:H1014" si="174">$C$19-B951</f>
        <v>12465.53362323012</v>
      </c>
      <c r="I951" s="74">
        <f t="shared" ref="I951:I1014" si="175">$D$19-C951</f>
        <v>-19938.366477392847</v>
      </c>
      <c r="J951" s="74">
        <f t="shared" ref="J951:J1014" si="176">SQRT(H951^2+I951^2)</f>
        <v>23514.420815718669</v>
      </c>
      <c r="K951" s="74">
        <f t="shared" ref="K951:K1014" si="177">$C$28-B951</f>
        <v>-27534.46637676988</v>
      </c>
      <c r="L951" s="74">
        <f t="shared" ref="L951:L1014" si="178">$D$28-C951</f>
        <v>-19938.366477392847</v>
      </c>
      <c r="M951" s="74">
        <f t="shared" ref="M951:M1014" si="179">SQRT(K951^2+L951^2)</f>
        <v>33995.371691456676</v>
      </c>
      <c r="N951" s="74">
        <f t="shared" ref="N951:N1014" si="180">$C$37-B951</f>
        <v>-12534.46637676988</v>
      </c>
      <c r="O951" s="74">
        <f t="shared" ref="O951:O1014" si="181">$D$37-C951</f>
        <v>-74938.366477392847</v>
      </c>
      <c r="P951" s="74">
        <f t="shared" ref="P951:P1014" si="182">SQRT(N951^2+O951^2)</f>
        <v>75979.415749598993</v>
      </c>
    </row>
    <row r="952" spans="1:16" x14ac:dyDescent="0.3">
      <c r="A952" s="72">
        <f t="shared" si="169"/>
        <v>321.5</v>
      </c>
      <c r="B952" s="74">
        <f t="shared" si="170"/>
        <v>6783.7952455126551</v>
      </c>
      <c r="C952" s="74">
        <f t="shared" si="171"/>
        <v>34838.577279263052</v>
      </c>
      <c r="D952" s="74">
        <f t="shared" si="172"/>
        <v>-1501.3422625144535</v>
      </c>
      <c r="E952" s="74">
        <f t="shared" si="173"/>
        <v>-10199.578396259596</v>
      </c>
      <c r="F952" s="74">
        <f t="shared" si="167"/>
        <v>869.24041429742033</v>
      </c>
      <c r="G952" s="74">
        <f t="shared" si="168"/>
        <v>-3915.4502023188434</v>
      </c>
      <c r="H952" s="74">
        <f t="shared" si="174"/>
        <v>13216.204754487346</v>
      </c>
      <c r="I952" s="74">
        <f t="shared" si="175"/>
        <v>-14838.577279263052</v>
      </c>
      <c r="J952" s="74">
        <f t="shared" si="176"/>
        <v>19870.86922570816</v>
      </c>
      <c r="K952" s="74">
        <f t="shared" si="177"/>
        <v>-26783.795245512654</v>
      </c>
      <c r="L952" s="74">
        <f t="shared" si="178"/>
        <v>-14838.577279263052</v>
      </c>
      <c r="M952" s="74">
        <f t="shared" si="179"/>
        <v>30619.520953571562</v>
      </c>
      <c r="N952" s="74">
        <f t="shared" si="180"/>
        <v>-11783.795245512654</v>
      </c>
      <c r="O952" s="74">
        <f t="shared" si="181"/>
        <v>-69838.57727926306</v>
      </c>
      <c r="P952" s="74">
        <f t="shared" si="182"/>
        <v>70825.734777549354</v>
      </c>
    </row>
    <row r="953" spans="1:16" x14ac:dyDescent="0.3">
      <c r="A953" s="72">
        <f t="shared" si="169"/>
        <v>322</v>
      </c>
      <c r="B953" s="74">
        <f t="shared" si="170"/>
        <v>6250.4342178297829</v>
      </c>
      <c r="C953" s="74">
        <f t="shared" si="171"/>
        <v>28759.925530553544</v>
      </c>
      <c r="D953" s="74">
        <f t="shared" si="172"/>
        <v>-1066.7220553657435</v>
      </c>
      <c r="E953" s="74">
        <f t="shared" si="173"/>
        <v>-12157.303497419018</v>
      </c>
      <c r="F953" s="74">
        <f t="shared" si="167"/>
        <v>2164.499731451725</v>
      </c>
      <c r="G953" s="74">
        <f t="shared" si="168"/>
        <v>-3742.3337515617341</v>
      </c>
      <c r="H953" s="74">
        <f t="shared" si="174"/>
        <v>13749.565782170217</v>
      </c>
      <c r="I953" s="74">
        <f t="shared" si="175"/>
        <v>-8759.9255305535444</v>
      </c>
      <c r="J953" s="74">
        <f t="shared" si="176"/>
        <v>16302.970726191894</v>
      </c>
      <c r="K953" s="74">
        <f t="shared" si="177"/>
        <v>-26250.434217829781</v>
      </c>
      <c r="L953" s="74">
        <f t="shared" si="178"/>
        <v>-8759.9255305535444</v>
      </c>
      <c r="M953" s="74">
        <f t="shared" si="179"/>
        <v>27673.481745625224</v>
      </c>
      <c r="N953" s="74">
        <f t="shared" si="180"/>
        <v>-11250.434217829783</v>
      </c>
      <c r="O953" s="74">
        <f t="shared" si="181"/>
        <v>-63759.925530553548</v>
      </c>
      <c r="P953" s="74">
        <f t="shared" si="182"/>
        <v>64744.886854109565</v>
      </c>
    </row>
    <row r="954" spans="1:16" x14ac:dyDescent="0.3">
      <c r="A954" s="72">
        <f t="shared" si="169"/>
        <v>322.5</v>
      </c>
      <c r="B954" s="74">
        <f t="shared" si="170"/>
        <v>6258.1981230098427</v>
      </c>
      <c r="C954" s="74">
        <f t="shared" si="171"/>
        <v>21745.690343953604</v>
      </c>
      <c r="D954" s="74">
        <f t="shared" si="172"/>
        <v>15.52781036011902</v>
      </c>
      <c r="E954" s="74">
        <f t="shared" si="173"/>
        <v>-14028.470373199885</v>
      </c>
      <c r="F954" s="74">
        <f t="shared" si="167"/>
        <v>3847.9253903196582</v>
      </c>
      <c r="G954" s="74">
        <f t="shared" si="168"/>
        <v>-1444.9207866973952</v>
      </c>
      <c r="H954" s="74">
        <f t="shared" si="174"/>
        <v>13741.801876990157</v>
      </c>
      <c r="I954" s="74">
        <f t="shared" si="175"/>
        <v>-1745.6903439536036</v>
      </c>
      <c r="J954" s="74">
        <f t="shared" si="176"/>
        <v>13852.240021145428</v>
      </c>
      <c r="K954" s="74">
        <f t="shared" si="177"/>
        <v>-26258.198123009843</v>
      </c>
      <c r="L954" s="74">
        <f t="shared" si="178"/>
        <v>-1745.6903439536036</v>
      </c>
      <c r="M954" s="74">
        <f t="shared" si="179"/>
        <v>26316.162399639703</v>
      </c>
      <c r="N954" s="74">
        <f t="shared" si="180"/>
        <v>-11258.198123009843</v>
      </c>
      <c r="O954" s="74">
        <f t="shared" si="181"/>
        <v>-56745.690343953604</v>
      </c>
      <c r="P954" s="74">
        <f t="shared" si="182"/>
        <v>57851.710411955944</v>
      </c>
    </row>
    <row r="955" spans="1:16" x14ac:dyDescent="0.3">
      <c r="A955" s="72">
        <f t="shared" si="169"/>
        <v>323</v>
      </c>
      <c r="B955" s="74">
        <f t="shared" si="170"/>
        <v>7227.9433757698171</v>
      </c>
      <c r="C955" s="74">
        <f t="shared" si="171"/>
        <v>14370.224960679312</v>
      </c>
      <c r="D955" s="74">
        <f t="shared" si="172"/>
        <v>1939.4905055199481</v>
      </c>
      <c r="E955" s="74">
        <f t="shared" si="173"/>
        <v>-14750.930766548583</v>
      </c>
      <c r="F955" s="74">
        <f t="shared" si="167"/>
        <v>3499.6382025118683</v>
      </c>
      <c r="G955" s="74">
        <f t="shared" si="168"/>
        <v>2275.3180203010775</v>
      </c>
      <c r="H955" s="74">
        <f t="shared" si="174"/>
        <v>12772.056624230183</v>
      </c>
      <c r="I955" s="74">
        <f t="shared" si="175"/>
        <v>5629.7750393206879</v>
      </c>
      <c r="J955" s="74">
        <f t="shared" si="176"/>
        <v>13957.7862645156</v>
      </c>
      <c r="K955" s="74">
        <f t="shared" si="177"/>
        <v>-27227.943375769817</v>
      </c>
      <c r="L955" s="74">
        <f t="shared" si="178"/>
        <v>5629.7750393206879</v>
      </c>
      <c r="M955" s="74">
        <f t="shared" si="179"/>
        <v>27803.871447470865</v>
      </c>
      <c r="N955" s="74">
        <f t="shared" si="180"/>
        <v>-12227.943375769817</v>
      </c>
      <c r="O955" s="74">
        <f t="shared" si="181"/>
        <v>-49370.224960679312</v>
      </c>
      <c r="P955" s="74">
        <f t="shared" si="182"/>
        <v>50861.986904456615</v>
      </c>
    </row>
    <row r="956" spans="1:16" x14ac:dyDescent="0.3">
      <c r="A956" s="72">
        <f t="shared" si="169"/>
        <v>323.5</v>
      </c>
      <c r="B956" s="74">
        <f t="shared" si="170"/>
        <v>9072.5981791577578</v>
      </c>
      <c r="C956" s="74">
        <f t="shared" si="171"/>
        <v>7563.58908248029</v>
      </c>
      <c r="D956" s="74">
        <f t="shared" si="172"/>
        <v>3689.3096067758825</v>
      </c>
      <c r="E956" s="74">
        <f t="shared" si="173"/>
        <v>-13613.271756398044</v>
      </c>
      <c r="F956" s="74">
        <f t="shared" si="167"/>
        <v>1454.8037578429949</v>
      </c>
      <c r="G956" s="74">
        <f t="shared" si="168"/>
        <v>3499.980878138073</v>
      </c>
      <c r="H956" s="74">
        <f t="shared" si="174"/>
        <v>10927.401820842242</v>
      </c>
      <c r="I956" s="74">
        <f t="shared" si="175"/>
        <v>12436.41091751971</v>
      </c>
      <c r="J956" s="74">
        <f t="shared" si="176"/>
        <v>16555.132952155647</v>
      </c>
      <c r="K956" s="74">
        <f t="shared" si="177"/>
        <v>-29072.598179157758</v>
      </c>
      <c r="L956" s="74">
        <f t="shared" si="178"/>
        <v>12436.41091751971</v>
      </c>
      <c r="M956" s="74">
        <f t="shared" si="179"/>
        <v>31620.883627694064</v>
      </c>
      <c r="N956" s="74">
        <f t="shared" si="180"/>
        <v>-14072.598179157758</v>
      </c>
      <c r="O956" s="74">
        <f t="shared" si="181"/>
        <v>-42563.589082480292</v>
      </c>
      <c r="P956" s="74">
        <f t="shared" si="182"/>
        <v>44829.645716805186</v>
      </c>
    </row>
    <row r="957" spans="1:16" x14ac:dyDescent="0.3">
      <c r="A957" s="72">
        <f t="shared" si="169"/>
        <v>324</v>
      </c>
      <c r="B957" s="74">
        <f t="shared" si="170"/>
        <v>11280.953922006447</v>
      </c>
      <c r="C957" s="74">
        <f t="shared" si="171"/>
        <v>1631.9484238157861</v>
      </c>
      <c r="D957" s="74">
        <f t="shared" si="172"/>
        <v>4416.7114856973803</v>
      </c>
      <c r="E957" s="74">
        <f t="shared" si="173"/>
        <v>-11863.281317329007</v>
      </c>
      <c r="F957" s="74">
        <f t="shared" si="167"/>
        <v>2.0753796615676379</v>
      </c>
      <c r="G957" s="74">
        <f t="shared" si="168"/>
        <v>2873.3374605639692</v>
      </c>
      <c r="H957" s="74">
        <f t="shared" si="174"/>
        <v>8719.0460779935529</v>
      </c>
      <c r="I957" s="74">
        <f t="shared" si="175"/>
        <v>18368.051576184214</v>
      </c>
      <c r="J957" s="74">
        <f t="shared" si="176"/>
        <v>20332.414593833615</v>
      </c>
      <c r="K957" s="74">
        <f t="shared" si="177"/>
        <v>-31280.953922006447</v>
      </c>
      <c r="L957" s="74">
        <f t="shared" si="178"/>
        <v>18368.051576184214</v>
      </c>
      <c r="M957" s="74">
        <f t="shared" si="179"/>
        <v>36275.107125631672</v>
      </c>
      <c r="N957" s="74">
        <f t="shared" si="180"/>
        <v>-16280.953922006447</v>
      </c>
      <c r="O957" s="74">
        <f t="shared" si="181"/>
        <v>-36631.948423815789</v>
      </c>
      <c r="P957" s="74">
        <f t="shared" si="182"/>
        <v>40087.019169995634</v>
      </c>
    </row>
    <row r="958" spans="1:16" x14ac:dyDescent="0.3">
      <c r="A958" s="72">
        <f t="shared" si="169"/>
        <v>324.5</v>
      </c>
      <c r="B958" s="74">
        <f t="shared" si="170"/>
        <v>13489.828509770528</v>
      </c>
      <c r="C958" s="74">
        <f t="shared" si="171"/>
        <v>-3581.3578697077246</v>
      </c>
      <c r="D958" s="74">
        <f t="shared" si="172"/>
        <v>4417.7491755281644</v>
      </c>
      <c r="E958" s="74">
        <f t="shared" si="173"/>
        <v>-10426.612587047022</v>
      </c>
      <c r="F958" s="74">
        <f t="shared" si="167"/>
        <v>-766.69534758076168</v>
      </c>
      <c r="G958" s="74">
        <f t="shared" si="168"/>
        <v>1987.8081862260774</v>
      </c>
      <c r="H958" s="74">
        <f t="shared" si="174"/>
        <v>6510.1714902294716</v>
      </c>
      <c r="I958" s="74">
        <f t="shared" si="175"/>
        <v>23581.357869707725</v>
      </c>
      <c r="J958" s="74">
        <f t="shared" si="176"/>
        <v>24463.498764719308</v>
      </c>
      <c r="K958" s="74">
        <f t="shared" si="177"/>
        <v>-33489.82850977053</v>
      </c>
      <c r="L958" s="74">
        <f t="shared" si="178"/>
        <v>23581.357869707725</v>
      </c>
      <c r="M958" s="74">
        <f t="shared" si="179"/>
        <v>40959.114401962666</v>
      </c>
      <c r="N958" s="74">
        <f t="shared" si="180"/>
        <v>-18489.82850977053</v>
      </c>
      <c r="O958" s="74">
        <f t="shared" si="181"/>
        <v>-31418.642130292275</v>
      </c>
      <c r="P958" s="74">
        <f t="shared" si="182"/>
        <v>36455.518534675924</v>
      </c>
    </row>
    <row r="959" spans="1:16" x14ac:dyDescent="0.3">
      <c r="A959" s="72">
        <f t="shared" si="169"/>
        <v>325</v>
      </c>
      <c r="B959" s="74">
        <f t="shared" si="170"/>
        <v>15507.02926063942</v>
      </c>
      <c r="C959" s="74">
        <f t="shared" si="171"/>
        <v>-8297.7121166747147</v>
      </c>
      <c r="D959" s="74">
        <f t="shared" si="172"/>
        <v>4034.4015017377837</v>
      </c>
      <c r="E959" s="74">
        <f t="shared" si="173"/>
        <v>-9432.7084939339838</v>
      </c>
      <c r="F959" s="74">
        <f t="shared" si="167"/>
        <v>-1221.2326998304572</v>
      </c>
      <c r="G959" s="74">
        <f t="shared" si="168"/>
        <v>1288.1066852033393</v>
      </c>
      <c r="H959" s="74">
        <f t="shared" si="174"/>
        <v>4492.9707393605804</v>
      </c>
      <c r="I959" s="74">
        <f t="shared" si="175"/>
        <v>28297.712116674717</v>
      </c>
      <c r="J959" s="74">
        <f t="shared" si="176"/>
        <v>28652.177877134389</v>
      </c>
      <c r="K959" s="74">
        <f t="shared" si="177"/>
        <v>-35507.029260639421</v>
      </c>
      <c r="L959" s="74">
        <f t="shared" si="178"/>
        <v>28297.712116674717</v>
      </c>
      <c r="M959" s="74">
        <f t="shared" si="179"/>
        <v>45403.850474977371</v>
      </c>
      <c r="N959" s="74">
        <f t="shared" si="180"/>
        <v>-20507.029260639421</v>
      </c>
      <c r="O959" s="74">
        <f t="shared" si="181"/>
        <v>-26702.287883325283</v>
      </c>
      <c r="P959" s="74">
        <f t="shared" si="182"/>
        <v>33668.240632689754</v>
      </c>
    </row>
    <row r="960" spans="1:16" x14ac:dyDescent="0.3">
      <c r="A960" s="72">
        <f t="shared" si="169"/>
        <v>325.5</v>
      </c>
      <c r="B960" s="74">
        <f t="shared" si="170"/>
        <v>17218.921836550697</v>
      </c>
      <c r="C960" s="74">
        <f t="shared" si="171"/>
        <v>-12692.039692340872</v>
      </c>
      <c r="D960" s="74">
        <f t="shared" si="172"/>
        <v>3423.7851518225552</v>
      </c>
      <c r="E960" s="74">
        <f t="shared" si="173"/>
        <v>-8788.6551513323138</v>
      </c>
      <c r="F960" s="74">
        <f t="shared" si="167"/>
        <v>-1552.0598466733522</v>
      </c>
      <c r="G960" s="74">
        <f t="shared" si="168"/>
        <v>812.01967100499246</v>
      </c>
      <c r="H960" s="74">
        <f t="shared" si="174"/>
        <v>2781.0781634493032</v>
      </c>
      <c r="I960" s="74">
        <f t="shared" si="175"/>
        <v>32692.03969234087</v>
      </c>
      <c r="J960" s="74">
        <f t="shared" si="176"/>
        <v>32810.118180171274</v>
      </c>
      <c r="K960" s="74">
        <f t="shared" si="177"/>
        <v>-37218.921836550697</v>
      </c>
      <c r="L960" s="74">
        <f t="shared" si="178"/>
        <v>32692.03969234087</v>
      </c>
      <c r="M960" s="74">
        <f t="shared" si="179"/>
        <v>49538.041966965764</v>
      </c>
      <c r="N960" s="74">
        <f t="shared" si="180"/>
        <v>-22218.921836550697</v>
      </c>
      <c r="O960" s="74">
        <f t="shared" si="181"/>
        <v>-22307.96030765913</v>
      </c>
      <c r="P960" s="74">
        <f t="shared" si="182"/>
        <v>31485.323258096694</v>
      </c>
    </row>
    <row r="961" spans="1:16" x14ac:dyDescent="0.3">
      <c r="A961" s="72">
        <f t="shared" si="169"/>
        <v>326</v>
      </c>
      <c r="B961" s="74">
        <f t="shared" si="170"/>
        <v>18542.799450793638</v>
      </c>
      <c r="C961" s="74">
        <f t="shared" si="171"/>
        <v>-16883.362350255782</v>
      </c>
      <c r="D961" s="74">
        <f t="shared" si="172"/>
        <v>2647.7552284858793</v>
      </c>
      <c r="E961" s="74">
        <f t="shared" si="173"/>
        <v>-8382.6453158298173</v>
      </c>
      <c r="F961" s="74">
        <f t="shared" si="167"/>
        <v>-1833.9671156857132</v>
      </c>
      <c r="G961" s="74">
        <f t="shared" si="168"/>
        <v>523.4331288674955</v>
      </c>
      <c r="H961" s="74">
        <f t="shared" si="174"/>
        <v>1457.2005492063618</v>
      </c>
      <c r="I961" s="74">
        <f t="shared" si="175"/>
        <v>36883.362350255782</v>
      </c>
      <c r="J961" s="74">
        <f t="shared" si="176"/>
        <v>36912.136915936921</v>
      </c>
      <c r="K961" s="74">
        <f t="shared" si="177"/>
        <v>-38542.799450793638</v>
      </c>
      <c r="L961" s="74">
        <f t="shared" si="178"/>
        <v>36883.362350255782</v>
      </c>
      <c r="M961" s="74">
        <f t="shared" si="179"/>
        <v>53347.256796993453</v>
      </c>
      <c r="N961" s="74">
        <f t="shared" si="180"/>
        <v>-23542.799450793638</v>
      </c>
      <c r="O961" s="74">
        <f t="shared" si="181"/>
        <v>-18116.637649744218</v>
      </c>
      <c r="P961" s="74">
        <f t="shared" si="182"/>
        <v>29706.497028637001</v>
      </c>
    </row>
    <row r="962" spans="1:16" x14ac:dyDescent="0.3">
      <c r="A962" s="72">
        <f t="shared" si="169"/>
        <v>326.5</v>
      </c>
      <c r="B962" s="74">
        <f t="shared" si="170"/>
        <v>19408.185286115153</v>
      </c>
      <c r="C962" s="74">
        <f t="shared" si="171"/>
        <v>-20943.826725953815</v>
      </c>
      <c r="D962" s="74">
        <f t="shared" si="172"/>
        <v>1730.7716706430228</v>
      </c>
      <c r="E962" s="74">
        <f t="shared" si="173"/>
        <v>-8120.9287513960699</v>
      </c>
      <c r="F962" s="74">
        <f t="shared" si="167"/>
        <v>-2097.0649536741462</v>
      </c>
      <c r="G962" s="74">
        <f t="shared" si="168"/>
        <v>384.02477661909984</v>
      </c>
      <c r="H962" s="74">
        <f t="shared" si="174"/>
        <v>591.81471388484715</v>
      </c>
      <c r="I962" s="74">
        <f t="shared" si="175"/>
        <v>40943.826725953812</v>
      </c>
      <c r="J962" s="74">
        <f t="shared" si="176"/>
        <v>40948.103638880522</v>
      </c>
      <c r="K962" s="74">
        <f t="shared" si="177"/>
        <v>-39408.185286115156</v>
      </c>
      <c r="L962" s="74">
        <f t="shared" si="178"/>
        <v>40943.826725953812</v>
      </c>
      <c r="M962" s="74">
        <f t="shared" si="179"/>
        <v>56827.827817977632</v>
      </c>
      <c r="N962" s="74">
        <f t="shared" si="180"/>
        <v>-24408.185286115153</v>
      </c>
      <c r="O962" s="74">
        <f t="shared" si="181"/>
        <v>-14056.173274046185</v>
      </c>
      <c r="P962" s="74">
        <f t="shared" si="182"/>
        <v>28166.212313183656</v>
      </c>
    </row>
    <row r="963" spans="1:16" x14ac:dyDescent="0.3">
      <c r="A963" s="72">
        <f t="shared" si="169"/>
        <v>327</v>
      </c>
      <c r="B963" s="74">
        <f t="shared" si="170"/>
        <v>19749.304883018129</v>
      </c>
      <c r="C963" s="74">
        <f t="shared" si="171"/>
        <v>-24908.284907497073</v>
      </c>
      <c r="D963" s="74">
        <f t="shared" si="172"/>
        <v>682.23919380594975</v>
      </c>
      <c r="E963" s="74">
        <f t="shared" si="173"/>
        <v>-7928.9163630865196</v>
      </c>
      <c r="F963" s="74">
        <f t="shared" si="167"/>
        <v>-2357.8914334251122</v>
      </c>
      <c r="G963" s="74">
        <f t="shared" si="168"/>
        <v>366.5742404327035</v>
      </c>
      <c r="H963" s="74">
        <f t="shared" si="174"/>
        <v>250.69511698187125</v>
      </c>
      <c r="I963" s="74">
        <f t="shared" si="175"/>
        <v>44908.284907497073</v>
      </c>
      <c r="J963" s="74">
        <f t="shared" si="176"/>
        <v>44908.984639764545</v>
      </c>
      <c r="K963" s="74">
        <f t="shared" si="177"/>
        <v>-39749.304883018129</v>
      </c>
      <c r="L963" s="74">
        <f t="shared" si="178"/>
        <v>44908.284907497073</v>
      </c>
      <c r="M963" s="74">
        <f t="shared" si="179"/>
        <v>59973.00469391256</v>
      </c>
      <c r="N963" s="74">
        <f t="shared" si="180"/>
        <v>-24749.304883018129</v>
      </c>
      <c r="O963" s="74">
        <f t="shared" si="181"/>
        <v>-10091.715092502927</v>
      </c>
      <c r="P963" s="74">
        <f t="shared" si="182"/>
        <v>26727.716058444581</v>
      </c>
    </row>
    <row r="964" spans="1:16" x14ac:dyDescent="0.3">
      <c r="A964" s="72">
        <f t="shared" si="169"/>
        <v>327.5</v>
      </c>
      <c r="B964" s="74">
        <f t="shared" si="170"/>
        <v>19500.951621564825</v>
      </c>
      <c r="C964" s="74">
        <f t="shared" si="171"/>
        <v>-28781.099528932158</v>
      </c>
      <c r="D964" s="74">
        <f t="shared" si="172"/>
        <v>-496.70652290660632</v>
      </c>
      <c r="E964" s="74">
        <f t="shared" si="173"/>
        <v>-7745.6292428701681</v>
      </c>
      <c r="F964" s="74">
        <f t="shared" si="167"/>
        <v>-2630.9364314194941</v>
      </c>
      <c r="G964" s="74">
        <f t="shared" si="168"/>
        <v>458.66148453393635</v>
      </c>
      <c r="H964" s="74">
        <f t="shared" si="174"/>
        <v>499.04837843517453</v>
      </c>
      <c r="I964" s="74">
        <f t="shared" si="175"/>
        <v>48781.099528932158</v>
      </c>
      <c r="J964" s="74">
        <f t="shared" si="176"/>
        <v>48783.652185292609</v>
      </c>
      <c r="K964" s="74">
        <f t="shared" si="177"/>
        <v>-39500.951621564825</v>
      </c>
      <c r="L964" s="74">
        <f t="shared" si="178"/>
        <v>48781.099528932158</v>
      </c>
      <c r="M964" s="74">
        <f t="shared" si="179"/>
        <v>62768.788822636925</v>
      </c>
      <c r="N964" s="74">
        <f t="shared" si="180"/>
        <v>-24500.951621564825</v>
      </c>
      <c r="O964" s="74">
        <f t="shared" si="181"/>
        <v>-6218.9004710678419</v>
      </c>
      <c r="P964" s="74">
        <f t="shared" si="182"/>
        <v>25277.882692806925</v>
      </c>
    </row>
    <row r="965" spans="1:16" x14ac:dyDescent="0.3">
      <c r="A965" s="72">
        <f t="shared" si="169"/>
        <v>328</v>
      </c>
      <c r="B965" s="74">
        <f t="shared" si="170"/>
        <v>18594.864252256648</v>
      </c>
      <c r="C965" s="74">
        <f t="shared" si="171"/>
        <v>-32539.24877923376</v>
      </c>
      <c r="D965" s="74">
        <f t="shared" si="172"/>
        <v>-1812.1747386163534</v>
      </c>
      <c r="E965" s="74">
        <f t="shared" si="173"/>
        <v>-7516.2985006031995</v>
      </c>
      <c r="F965" s="74">
        <f t="shared" si="167"/>
        <v>-2932.0238563598764</v>
      </c>
      <c r="G965" s="74">
        <f t="shared" si="168"/>
        <v>666.6668038435389</v>
      </c>
      <c r="H965" s="74">
        <f t="shared" si="174"/>
        <v>1405.1357477433521</v>
      </c>
      <c r="I965" s="74">
        <f t="shared" si="175"/>
        <v>52539.248779233763</v>
      </c>
      <c r="J965" s="74">
        <f t="shared" si="176"/>
        <v>52558.035244440049</v>
      </c>
      <c r="K965" s="74">
        <f t="shared" si="177"/>
        <v>-38594.864252256652</v>
      </c>
      <c r="L965" s="74">
        <f t="shared" si="178"/>
        <v>52539.248779233763</v>
      </c>
      <c r="M965" s="74">
        <f t="shared" si="179"/>
        <v>65191.534795066254</v>
      </c>
      <c r="N965" s="74">
        <f t="shared" si="180"/>
        <v>-23594.864252256648</v>
      </c>
      <c r="O965" s="74">
        <f t="shared" si="181"/>
        <v>-2460.7512207662403</v>
      </c>
      <c r="P965" s="74">
        <f t="shared" si="182"/>
        <v>23722.835320697253</v>
      </c>
    </row>
    <row r="966" spans="1:16" x14ac:dyDescent="0.3">
      <c r="A966" s="72">
        <f t="shared" si="169"/>
        <v>328.5</v>
      </c>
      <c r="B966" s="74">
        <f t="shared" si="170"/>
        <v>16955.770918858499</v>
      </c>
      <c r="C966" s="74">
        <f t="shared" si="171"/>
        <v>-36130.731328574475</v>
      </c>
      <c r="D966" s="74">
        <f t="shared" si="172"/>
        <v>-3278.1866667962913</v>
      </c>
      <c r="E966" s="74">
        <f t="shared" si="173"/>
        <v>-7182.9650986814304</v>
      </c>
      <c r="F966" s="74">
        <f t="shared" si="167"/>
        <v>-3277.219013953099</v>
      </c>
      <c r="G966" s="74">
        <f t="shared" si="168"/>
        <v>1024.0416793748323</v>
      </c>
      <c r="H966" s="74">
        <f t="shared" si="174"/>
        <v>3044.2290811415005</v>
      </c>
      <c r="I966" s="74">
        <f t="shared" si="175"/>
        <v>56130.731328574475</v>
      </c>
      <c r="J966" s="74">
        <f t="shared" si="176"/>
        <v>56213.222022750837</v>
      </c>
      <c r="K966" s="74">
        <f t="shared" si="177"/>
        <v>-36955.770918858499</v>
      </c>
      <c r="L966" s="74">
        <f t="shared" si="178"/>
        <v>56130.731328574475</v>
      </c>
      <c r="M966" s="74">
        <f t="shared" si="179"/>
        <v>67204.077284698724</v>
      </c>
      <c r="N966" s="74">
        <f t="shared" si="180"/>
        <v>-21955.770918858499</v>
      </c>
      <c r="O966" s="74">
        <f t="shared" si="181"/>
        <v>1130.7313285744749</v>
      </c>
      <c r="P966" s="74">
        <f t="shared" si="182"/>
        <v>21984.868204717815</v>
      </c>
    </row>
    <row r="967" spans="1:16" x14ac:dyDescent="0.3">
      <c r="A967" s="72">
        <f t="shared" si="169"/>
        <v>329</v>
      </c>
      <c r="B967" s="74">
        <f t="shared" si="170"/>
        <v>14497.372831972079</v>
      </c>
      <c r="C967" s="74">
        <f t="shared" si="171"/>
        <v>-39466.203458071475</v>
      </c>
      <c r="D967" s="74">
        <f t="shared" si="172"/>
        <v>-4916.796173772841</v>
      </c>
      <c r="E967" s="74">
        <f t="shared" si="173"/>
        <v>-6670.9442589940145</v>
      </c>
      <c r="F967" s="74">
        <f t="shared" si="167"/>
        <v>-3674.0713826442134</v>
      </c>
      <c r="G967" s="74">
        <f t="shared" si="168"/>
        <v>1609.2583194222711</v>
      </c>
      <c r="H967" s="74">
        <f t="shared" si="174"/>
        <v>5502.6271680279206</v>
      </c>
      <c r="I967" s="74">
        <f t="shared" si="175"/>
        <v>59466.203458071475</v>
      </c>
      <c r="J967" s="74">
        <f t="shared" si="176"/>
        <v>59720.249995014849</v>
      </c>
      <c r="K967" s="74">
        <f t="shared" si="177"/>
        <v>-34497.372831972083</v>
      </c>
      <c r="L967" s="74">
        <f t="shared" si="178"/>
        <v>59466.203458071475</v>
      </c>
      <c r="M967" s="74">
        <f t="shared" si="179"/>
        <v>68748.076962376465</v>
      </c>
      <c r="N967" s="74">
        <f t="shared" si="180"/>
        <v>-19497.372831972079</v>
      </c>
      <c r="O967" s="74">
        <f t="shared" si="181"/>
        <v>4466.2034580714753</v>
      </c>
      <c r="P967" s="74">
        <f t="shared" si="182"/>
        <v>20002.36287736558</v>
      </c>
    </row>
    <row r="968" spans="1:16" x14ac:dyDescent="0.3">
      <c r="A968" s="72">
        <f t="shared" si="169"/>
        <v>329.5</v>
      </c>
      <c r="B968" s="74">
        <f t="shared" si="170"/>
        <v>11120.456899424606</v>
      </c>
      <c r="C968" s="74">
        <f t="shared" si="171"/>
        <v>-42399.361007712912</v>
      </c>
      <c r="D968" s="74">
        <f t="shared" si="172"/>
        <v>-6753.8318650949477</v>
      </c>
      <c r="E968" s="74">
        <f t="shared" si="173"/>
        <v>-5866.3150992828787</v>
      </c>
      <c r="F968" s="74">
        <f t="shared" si="167"/>
        <v>-4086.6464385973932</v>
      </c>
      <c r="G968" s="74">
        <f t="shared" si="168"/>
        <v>2581.6671688936503</v>
      </c>
      <c r="H968" s="74">
        <f t="shared" si="174"/>
        <v>8879.5431005753944</v>
      </c>
      <c r="I968" s="74">
        <f t="shared" si="175"/>
        <v>62399.361007712912</v>
      </c>
      <c r="J968" s="74">
        <f t="shared" si="176"/>
        <v>63027.982197162703</v>
      </c>
      <c r="K968" s="74">
        <f t="shared" si="177"/>
        <v>-31120.456899424607</v>
      </c>
      <c r="L968" s="74">
        <f t="shared" si="178"/>
        <v>62399.361007712912</v>
      </c>
      <c r="M968" s="74">
        <f t="shared" si="179"/>
        <v>69729.212614225238</v>
      </c>
      <c r="N968" s="74">
        <f t="shared" si="180"/>
        <v>-16120.456899424606</v>
      </c>
      <c r="O968" s="74">
        <f t="shared" si="181"/>
        <v>7399.3610077129124</v>
      </c>
      <c r="P968" s="74">
        <f t="shared" si="182"/>
        <v>17737.521641105013</v>
      </c>
    </row>
    <row r="969" spans="1:16" x14ac:dyDescent="0.3">
      <c r="A969" s="72">
        <f t="shared" si="169"/>
        <v>330</v>
      </c>
      <c r="B969" s="74">
        <f t="shared" si="170"/>
        <v>6721.8793572277837</v>
      </c>
      <c r="C969" s="74">
        <f t="shared" si="171"/>
        <v>-44687.101765130938</v>
      </c>
      <c r="D969" s="74">
        <f t="shared" si="172"/>
        <v>-8797.1550843936438</v>
      </c>
      <c r="E969" s="74">
        <f t="shared" si="173"/>
        <v>-4575.481514836054</v>
      </c>
      <c r="F969" s="74">
        <f t="shared" si="167"/>
        <v>-4304.8894262925915</v>
      </c>
      <c r="G969" s="74">
        <f t="shared" si="168"/>
        <v>4228.9438432345905</v>
      </c>
      <c r="H969" s="74">
        <f t="shared" si="174"/>
        <v>13278.120642772217</v>
      </c>
      <c r="I969" s="74">
        <f t="shared" si="175"/>
        <v>64687.101765130938</v>
      </c>
      <c r="J969" s="74">
        <f t="shared" si="176"/>
        <v>66035.820753409425</v>
      </c>
      <c r="K969" s="74">
        <f t="shared" si="177"/>
        <v>-26721.879357227783</v>
      </c>
      <c r="L969" s="74">
        <f t="shared" si="178"/>
        <v>64687.101765130938</v>
      </c>
      <c r="M969" s="74">
        <f t="shared" si="179"/>
        <v>69989.141808959495</v>
      </c>
      <c r="N969" s="74">
        <f t="shared" si="180"/>
        <v>-11721.879357227783</v>
      </c>
      <c r="O969" s="74">
        <f t="shared" si="181"/>
        <v>9687.1017651309376</v>
      </c>
      <c r="P969" s="74">
        <f t="shared" si="182"/>
        <v>15206.656314700012</v>
      </c>
    </row>
    <row r="970" spans="1:16" x14ac:dyDescent="0.3">
      <c r="A970" s="72">
        <f t="shared" si="169"/>
        <v>330.5</v>
      </c>
      <c r="B970" s="74">
        <f t="shared" si="170"/>
        <v>1247.0794584578139</v>
      </c>
      <c r="C970" s="74">
        <f t="shared" si="171"/>
        <v>-45917.606561740315</v>
      </c>
      <c r="D970" s="74">
        <f t="shared" si="172"/>
        <v>-10949.59979753994</v>
      </c>
      <c r="E970" s="74">
        <f t="shared" si="173"/>
        <v>-2461.0095932187587</v>
      </c>
      <c r="F970" s="74">
        <f t="shared" si="167"/>
        <v>-3524.7237502464118</v>
      </c>
      <c r="G970" s="74">
        <f t="shared" si="168"/>
        <v>6842.6166183956475</v>
      </c>
      <c r="H970" s="74">
        <f t="shared" si="174"/>
        <v>18752.920541542186</v>
      </c>
      <c r="I970" s="74">
        <f t="shared" si="175"/>
        <v>65917.606561740307</v>
      </c>
      <c r="J970" s="74">
        <f t="shared" si="176"/>
        <v>68533.22466997875</v>
      </c>
      <c r="K970" s="74">
        <f t="shared" si="177"/>
        <v>-21247.079458457814</v>
      </c>
      <c r="L970" s="74">
        <f t="shared" si="178"/>
        <v>65917.606561740307</v>
      </c>
      <c r="M970" s="74">
        <f t="shared" si="179"/>
        <v>69257.26850188656</v>
      </c>
      <c r="N970" s="74">
        <f t="shared" si="180"/>
        <v>-6247.0794584578143</v>
      </c>
      <c r="O970" s="74">
        <f t="shared" si="181"/>
        <v>10917.606561740315</v>
      </c>
      <c r="P970" s="74">
        <f t="shared" si="182"/>
        <v>12578.558534158068</v>
      </c>
    </row>
    <row r="971" spans="1:16" x14ac:dyDescent="0.3">
      <c r="A971" s="72">
        <f t="shared" si="169"/>
        <v>331</v>
      </c>
      <c r="B971" s="74">
        <f t="shared" si="170"/>
        <v>-5108.901377873759</v>
      </c>
      <c r="C971" s="74">
        <f t="shared" si="171"/>
        <v>-45437.457203750782</v>
      </c>
      <c r="D971" s="74">
        <f t="shared" si="172"/>
        <v>-12711.961672663147</v>
      </c>
      <c r="E971" s="74">
        <f t="shared" si="173"/>
        <v>960.29871597906504</v>
      </c>
      <c r="F971" s="74">
        <f t="shared" si="167"/>
        <v>131.86123272699615</v>
      </c>
      <c r="G971" s="74">
        <f t="shared" si="168"/>
        <v>9392.1473768961478</v>
      </c>
      <c r="H971" s="74">
        <f t="shared" si="174"/>
        <v>25108.901377873757</v>
      </c>
      <c r="I971" s="74">
        <f t="shared" si="175"/>
        <v>65437.457203750782</v>
      </c>
      <c r="J971" s="74">
        <f t="shared" si="176"/>
        <v>70089.355352268045</v>
      </c>
      <c r="K971" s="74">
        <f t="shared" si="177"/>
        <v>-14891.098622126241</v>
      </c>
      <c r="L971" s="74">
        <f t="shared" si="178"/>
        <v>65437.457203750782</v>
      </c>
      <c r="M971" s="74">
        <f t="shared" si="179"/>
        <v>67110.398772966655</v>
      </c>
      <c r="N971" s="74">
        <f t="shared" si="180"/>
        <v>108.90137787375897</v>
      </c>
      <c r="O971" s="74">
        <f t="shared" si="181"/>
        <v>10437.457203750782</v>
      </c>
      <c r="P971" s="74">
        <f t="shared" si="182"/>
        <v>10438.025310863732</v>
      </c>
    </row>
    <row r="972" spans="1:16" x14ac:dyDescent="0.3">
      <c r="A972" s="72">
        <f t="shared" si="169"/>
        <v>331.5</v>
      </c>
      <c r="B972" s="74">
        <f t="shared" si="170"/>
        <v>-11431.916906023584</v>
      </c>
      <c r="C972" s="74">
        <f t="shared" si="171"/>
        <v>-42609.271001537214</v>
      </c>
      <c r="D972" s="74">
        <f t="shared" si="172"/>
        <v>-12646.031056299649</v>
      </c>
      <c r="E972" s="74">
        <f t="shared" si="173"/>
        <v>5656.3724044271385</v>
      </c>
      <c r="F972" s="74">
        <f t="shared" si="167"/>
        <v>5960.5074344890609</v>
      </c>
      <c r="G972" s="74">
        <f t="shared" si="168"/>
        <v>7678.8681347164256</v>
      </c>
      <c r="H972" s="74">
        <f t="shared" si="174"/>
        <v>31431.916906023584</v>
      </c>
      <c r="I972" s="74">
        <f t="shared" si="175"/>
        <v>62609.271001537214</v>
      </c>
      <c r="J972" s="74">
        <f t="shared" si="176"/>
        <v>70056.307465717182</v>
      </c>
      <c r="K972" s="74">
        <f t="shared" si="177"/>
        <v>-8568.0830939764164</v>
      </c>
      <c r="L972" s="74">
        <f t="shared" si="178"/>
        <v>62609.271001537214</v>
      </c>
      <c r="M972" s="74">
        <f t="shared" si="179"/>
        <v>63192.822877675069</v>
      </c>
      <c r="N972" s="74">
        <f t="shared" si="180"/>
        <v>6431.9169060235836</v>
      </c>
      <c r="O972" s="74">
        <f t="shared" si="181"/>
        <v>7609.271001537214</v>
      </c>
      <c r="P972" s="74">
        <f t="shared" si="182"/>
        <v>9963.461259061889</v>
      </c>
    </row>
    <row r="973" spans="1:16" x14ac:dyDescent="0.3">
      <c r="A973" s="72">
        <f t="shared" si="169"/>
        <v>332</v>
      </c>
      <c r="B973" s="74">
        <f t="shared" si="170"/>
        <v>-16264.805575551145</v>
      </c>
      <c r="C973" s="74">
        <f t="shared" si="171"/>
        <v>-37861.367765644536</v>
      </c>
      <c r="D973" s="74">
        <f t="shared" si="172"/>
        <v>-9665.7773390551192</v>
      </c>
      <c r="E973" s="74">
        <f t="shared" si="173"/>
        <v>9495.8064717853522</v>
      </c>
      <c r="F973" s="74">
        <f t="shared" si="167"/>
        <v>7686.2415116249394</v>
      </c>
      <c r="G973" s="74">
        <f t="shared" si="168"/>
        <v>2737.5978033952238</v>
      </c>
      <c r="H973" s="74">
        <f t="shared" si="174"/>
        <v>36264.805575551145</v>
      </c>
      <c r="I973" s="74">
        <f t="shared" si="175"/>
        <v>57861.367765644536</v>
      </c>
      <c r="J973" s="74">
        <f t="shared" si="176"/>
        <v>68286.704439031862</v>
      </c>
      <c r="K973" s="74">
        <f t="shared" si="177"/>
        <v>-3735.194424448855</v>
      </c>
      <c r="L973" s="74">
        <f t="shared" si="178"/>
        <v>57861.367765644536</v>
      </c>
      <c r="M973" s="74">
        <f t="shared" si="179"/>
        <v>57981.803672355716</v>
      </c>
      <c r="N973" s="74">
        <f t="shared" si="180"/>
        <v>11264.805575551145</v>
      </c>
      <c r="O973" s="74">
        <f t="shared" si="181"/>
        <v>2861.3677656445361</v>
      </c>
      <c r="P973" s="74">
        <f t="shared" si="182"/>
        <v>11622.532862729955</v>
      </c>
    </row>
    <row r="974" spans="1:16" x14ac:dyDescent="0.3">
      <c r="A974" s="72">
        <f t="shared" si="169"/>
        <v>332.5</v>
      </c>
      <c r="B974" s="74">
        <f t="shared" si="170"/>
        <v>-19176.133867172466</v>
      </c>
      <c r="C974" s="74">
        <f t="shared" si="171"/>
        <v>-32429.065078903051</v>
      </c>
      <c r="D974" s="74">
        <f t="shared" si="172"/>
        <v>-5822.6565832426495</v>
      </c>
      <c r="E974" s="74">
        <f t="shared" si="173"/>
        <v>10864.605373482964</v>
      </c>
      <c r="F974" s="74">
        <f t="shared" si="167"/>
        <v>6078.4041450630257</v>
      </c>
      <c r="G974" s="74">
        <f t="shared" si="168"/>
        <v>-112.74072353575741</v>
      </c>
      <c r="H974" s="74">
        <f t="shared" si="174"/>
        <v>39176.133867172466</v>
      </c>
      <c r="I974" s="74">
        <f t="shared" si="175"/>
        <v>52429.065078903048</v>
      </c>
      <c r="J974" s="74">
        <f t="shared" si="176"/>
        <v>65449.036126030674</v>
      </c>
      <c r="K974" s="74">
        <f t="shared" si="177"/>
        <v>-823.86613282753387</v>
      </c>
      <c r="L974" s="74">
        <f t="shared" si="178"/>
        <v>52429.065078903048</v>
      </c>
      <c r="M974" s="74">
        <f t="shared" si="179"/>
        <v>52435.537762596381</v>
      </c>
      <c r="N974" s="74">
        <f t="shared" si="180"/>
        <v>14176.133867172466</v>
      </c>
      <c r="O974" s="74">
        <f t="shared" si="181"/>
        <v>-2570.9349210969485</v>
      </c>
      <c r="P974" s="74">
        <f t="shared" si="182"/>
        <v>14407.375812010663</v>
      </c>
    </row>
    <row r="975" spans="1:16" x14ac:dyDescent="0.3">
      <c r="A975" s="72">
        <f t="shared" si="169"/>
        <v>333</v>
      </c>
      <c r="B975" s="74">
        <f t="shared" si="170"/>
        <v>-20567.861122528033</v>
      </c>
      <c r="C975" s="74">
        <f t="shared" si="171"/>
        <v>-27024.947573045509</v>
      </c>
      <c r="D975" s="74">
        <f t="shared" si="172"/>
        <v>-2783.4545107111367</v>
      </c>
      <c r="E975" s="74">
        <f t="shared" si="173"/>
        <v>10808.235011715085</v>
      </c>
      <c r="F975" s="74">
        <f t="shared" si="167"/>
        <v>4292.9429486873487</v>
      </c>
      <c r="G975" s="74">
        <f t="shared" si="168"/>
        <v>-935.5342120125672</v>
      </c>
      <c r="H975" s="74">
        <f t="shared" si="174"/>
        <v>40567.861122528033</v>
      </c>
      <c r="I975" s="74">
        <f t="shared" si="175"/>
        <v>47024.947573045509</v>
      </c>
      <c r="J975" s="74">
        <f t="shared" si="176"/>
        <v>62105.531559631629</v>
      </c>
      <c r="K975" s="74">
        <f t="shared" si="177"/>
        <v>567.86112252803287</v>
      </c>
      <c r="L975" s="74">
        <f t="shared" si="178"/>
        <v>47024.947573045509</v>
      </c>
      <c r="M975" s="74">
        <f t="shared" si="179"/>
        <v>47028.376120191067</v>
      </c>
      <c r="N975" s="74">
        <f t="shared" si="180"/>
        <v>15567.861122528033</v>
      </c>
      <c r="O975" s="74">
        <f t="shared" si="181"/>
        <v>-7975.0524269544912</v>
      </c>
      <c r="P975" s="74">
        <f t="shared" si="182"/>
        <v>17491.705495548238</v>
      </c>
    </row>
    <row r="976" spans="1:16" x14ac:dyDescent="0.3">
      <c r="A976" s="72">
        <f t="shared" si="169"/>
        <v>333.5</v>
      </c>
      <c r="B976" s="74">
        <f t="shared" si="170"/>
        <v>-20886.352640711761</v>
      </c>
      <c r="C976" s="74">
        <f t="shared" si="171"/>
        <v>-21854.713620191109</v>
      </c>
      <c r="D976" s="74">
        <f t="shared" si="172"/>
        <v>-636.98303636746232</v>
      </c>
      <c r="E976" s="74">
        <f t="shared" si="173"/>
        <v>10340.467905708801</v>
      </c>
      <c r="F976" s="74">
        <f t="shared" si="167"/>
        <v>3030.0347215116731</v>
      </c>
      <c r="G976" s="74">
        <f t="shared" si="168"/>
        <v>-877.38356803097099</v>
      </c>
      <c r="H976" s="74">
        <f t="shared" si="174"/>
        <v>40886.352640711761</v>
      </c>
      <c r="I976" s="74">
        <f t="shared" si="175"/>
        <v>41854.713620191105</v>
      </c>
      <c r="J976" s="74">
        <f t="shared" si="176"/>
        <v>58510.775798042952</v>
      </c>
      <c r="K976" s="74">
        <f t="shared" si="177"/>
        <v>886.35264071176061</v>
      </c>
      <c r="L976" s="74">
        <f t="shared" si="178"/>
        <v>41854.713620191105</v>
      </c>
      <c r="M976" s="74">
        <f t="shared" si="179"/>
        <v>41864.097664131106</v>
      </c>
      <c r="N976" s="74">
        <f t="shared" si="180"/>
        <v>15886.352640711761</v>
      </c>
      <c r="O976" s="74">
        <f t="shared" si="181"/>
        <v>-13145.286379808891</v>
      </c>
      <c r="P976" s="74">
        <f t="shared" si="182"/>
        <v>20619.766105177787</v>
      </c>
    </row>
    <row r="977" spans="1:16" x14ac:dyDescent="0.3">
      <c r="A977" s="72">
        <f t="shared" si="169"/>
        <v>334</v>
      </c>
      <c r="B977" s="74">
        <f t="shared" si="170"/>
        <v>-20447.335478517572</v>
      </c>
      <c r="C977" s="74">
        <f t="shared" si="171"/>
        <v>-16903.825559344452</v>
      </c>
      <c r="D977" s="74">
        <f t="shared" si="172"/>
        <v>878.03432438837422</v>
      </c>
      <c r="E977" s="74">
        <f t="shared" si="173"/>
        <v>9901.7761216933159</v>
      </c>
      <c r="F977" s="74">
        <f t="shared" si="167"/>
        <v>2196.5354684785493</v>
      </c>
      <c r="G977" s="74">
        <f t="shared" si="168"/>
        <v>-452.50032364668868</v>
      </c>
      <c r="H977" s="74">
        <f t="shared" si="174"/>
        <v>40447.335478517576</v>
      </c>
      <c r="I977" s="74">
        <f t="shared" si="175"/>
        <v>36903.825559344448</v>
      </c>
      <c r="J977" s="74">
        <f t="shared" si="176"/>
        <v>54752.892966730724</v>
      </c>
      <c r="K977" s="74">
        <f t="shared" si="177"/>
        <v>447.33547851757248</v>
      </c>
      <c r="L977" s="74">
        <f t="shared" si="178"/>
        <v>36903.825559344448</v>
      </c>
      <c r="M977" s="74">
        <f t="shared" si="179"/>
        <v>36906.536683152284</v>
      </c>
      <c r="N977" s="74">
        <f t="shared" si="180"/>
        <v>15447.335478517572</v>
      </c>
      <c r="O977" s="74">
        <f t="shared" si="181"/>
        <v>-18096.174440655548</v>
      </c>
      <c r="P977" s="74">
        <f t="shared" si="182"/>
        <v>23792.681706199135</v>
      </c>
    </row>
    <row r="978" spans="1:16" x14ac:dyDescent="0.3">
      <c r="A978" s="72">
        <f t="shared" si="169"/>
        <v>334.5</v>
      </c>
      <c r="B978" s="74">
        <f t="shared" si="170"/>
        <v>-19459.184449203745</v>
      </c>
      <c r="C978" s="74">
        <f t="shared" si="171"/>
        <v>-12066.062579409467</v>
      </c>
      <c r="D978" s="74">
        <f t="shared" si="172"/>
        <v>1976.3020586276489</v>
      </c>
      <c r="E978" s="74">
        <f t="shared" si="173"/>
        <v>9675.5259598699722</v>
      </c>
      <c r="F978" s="74">
        <f t="shared" si="167"/>
        <v>1634.8079963922978</v>
      </c>
      <c r="G978" s="74">
        <f t="shared" si="168"/>
        <v>182.64701664032987</v>
      </c>
      <c r="H978" s="74">
        <f t="shared" si="174"/>
        <v>39459.184449203749</v>
      </c>
      <c r="I978" s="74">
        <f t="shared" si="175"/>
        <v>32066.062579409467</v>
      </c>
      <c r="J978" s="74">
        <f t="shared" si="176"/>
        <v>50845.448240160957</v>
      </c>
      <c r="K978" s="74">
        <f t="shared" si="177"/>
        <v>-540.81555079625468</v>
      </c>
      <c r="L978" s="74">
        <f t="shared" si="178"/>
        <v>32066.062579409467</v>
      </c>
      <c r="M978" s="74">
        <f t="shared" si="179"/>
        <v>32070.622862778753</v>
      </c>
      <c r="N978" s="74">
        <f t="shared" si="180"/>
        <v>14459.184449203745</v>
      </c>
      <c r="O978" s="74">
        <f t="shared" si="181"/>
        <v>-22933.937420590533</v>
      </c>
      <c r="P978" s="74">
        <f t="shared" si="182"/>
        <v>27111.501259569861</v>
      </c>
    </row>
    <row r="979" spans="1:16" x14ac:dyDescent="0.3">
      <c r="A979" s="72">
        <f t="shared" si="169"/>
        <v>335</v>
      </c>
      <c r="B979" s="74">
        <f t="shared" si="170"/>
        <v>-18062.331420791848</v>
      </c>
      <c r="C979" s="74">
        <f t="shared" si="171"/>
        <v>-7182.637845314398</v>
      </c>
      <c r="D979" s="74">
        <f t="shared" si="172"/>
        <v>2793.7060568237976</v>
      </c>
      <c r="E979" s="74">
        <f t="shared" si="173"/>
        <v>9766.8494681901375</v>
      </c>
      <c r="F979" s="74">
        <f t="shared" si="167"/>
        <v>1210.366009944082</v>
      </c>
      <c r="G979" s="74">
        <f t="shared" si="168"/>
        <v>1026.2961662359157</v>
      </c>
      <c r="H979" s="74">
        <f t="shared" si="174"/>
        <v>38062.331420791845</v>
      </c>
      <c r="I979" s="74">
        <f t="shared" si="175"/>
        <v>27182.637845314399</v>
      </c>
      <c r="J979" s="74">
        <f t="shared" si="176"/>
        <v>46772.180550148791</v>
      </c>
      <c r="K979" s="74">
        <f t="shared" si="177"/>
        <v>-1937.6685792081516</v>
      </c>
      <c r="L979" s="74">
        <f t="shared" si="178"/>
        <v>27182.637845314399</v>
      </c>
      <c r="M979" s="74">
        <f t="shared" si="179"/>
        <v>27251.612057864928</v>
      </c>
      <c r="N979" s="74">
        <f t="shared" si="180"/>
        <v>13062.331420791848</v>
      </c>
      <c r="O979" s="74">
        <f t="shared" si="181"/>
        <v>-27817.362154685601</v>
      </c>
      <c r="P979" s="74">
        <f t="shared" si="182"/>
        <v>30731.582116635986</v>
      </c>
    </row>
    <row r="980" spans="1:16" x14ac:dyDescent="0.3">
      <c r="A980" s="72">
        <f t="shared" si="169"/>
        <v>335.5</v>
      </c>
      <c r="B980" s="74">
        <f t="shared" si="170"/>
        <v>-16362.886889893927</v>
      </c>
      <c r="C980" s="74">
        <f t="shared" si="171"/>
        <v>-2042.6390696603503</v>
      </c>
      <c r="D980" s="74">
        <f t="shared" si="172"/>
        <v>3398.8890617958386</v>
      </c>
      <c r="E980" s="74">
        <f t="shared" si="173"/>
        <v>10279.997551308095</v>
      </c>
      <c r="F980" s="74">
        <f t="shared" si="167"/>
        <v>749.97836891843963</v>
      </c>
      <c r="G980" s="74">
        <f t="shared" si="168"/>
        <v>2175.7156213744288</v>
      </c>
      <c r="H980" s="74">
        <f t="shared" si="174"/>
        <v>36362.886889893925</v>
      </c>
      <c r="I980" s="74">
        <f t="shared" si="175"/>
        <v>22042.639069660348</v>
      </c>
      <c r="J980" s="74">
        <f t="shared" si="176"/>
        <v>42522.199850460893</v>
      </c>
      <c r="K980" s="74">
        <f t="shared" si="177"/>
        <v>-3637.1131101060728</v>
      </c>
      <c r="L980" s="74">
        <f t="shared" si="178"/>
        <v>22042.639069660348</v>
      </c>
      <c r="M980" s="74">
        <f t="shared" si="179"/>
        <v>22340.692221393281</v>
      </c>
      <c r="N980" s="74">
        <f t="shared" si="180"/>
        <v>11362.886889893927</v>
      </c>
      <c r="O980" s="74">
        <f t="shared" si="181"/>
        <v>-32957.360930339652</v>
      </c>
      <c r="P980" s="74">
        <f t="shared" si="182"/>
        <v>34861.193868902446</v>
      </c>
    </row>
    <row r="981" spans="1:16" x14ac:dyDescent="0.3">
      <c r="A981" s="72">
        <f t="shared" si="169"/>
        <v>336</v>
      </c>
      <c r="B981" s="74">
        <f t="shared" si="170"/>
        <v>-14475.947766766398</v>
      </c>
      <c r="C981" s="74">
        <f t="shared" si="171"/>
        <v>3641.2886113373047</v>
      </c>
      <c r="D981" s="74">
        <f t="shared" si="172"/>
        <v>3773.8782462550585</v>
      </c>
      <c r="E981" s="74">
        <f t="shared" si="173"/>
        <v>11367.855361995309</v>
      </c>
      <c r="F981" s="74">
        <f t="shared" si="167"/>
        <v>-175.2226959509596</v>
      </c>
      <c r="G981" s="74">
        <f t="shared" si="168"/>
        <v>3795.9855730260902</v>
      </c>
      <c r="H981" s="74">
        <f t="shared" si="174"/>
        <v>34475.947766766396</v>
      </c>
      <c r="I981" s="74">
        <f t="shared" si="175"/>
        <v>16358.711388662696</v>
      </c>
      <c r="J981" s="74">
        <f t="shared" si="176"/>
        <v>38160.167881108275</v>
      </c>
      <c r="K981" s="74">
        <f t="shared" si="177"/>
        <v>-5524.0522332336022</v>
      </c>
      <c r="L981" s="74">
        <f t="shared" si="178"/>
        <v>16358.711388662696</v>
      </c>
      <c r="M981" s="74">
        <f t="shared" si="179"/>
        <v>17266.22690031194</v>
      </c>
      <c r="N981" s="74">
        <f t="shared" si="180"/>
        <v>9475.9477667663978</v>
      </c>
      <c r="O981" s="74">
        <f t="shared" si="181"/>
        <v>-38641.288611337302</v>
      </c>
      <c r="P981" s="74">
        <f t="shared" si="182"/>
        <v>39786.213336068446</v>
      </c>
    </row>
    <row r="982" spans="1:16" x14ac:dyDescent="0.3">
      <c r="A982" s="72">
        <f t="shared" si="169"/>
        <v>336.5</v>
      </c>
      <c r="B982" s="74">
        <f t="shared" si="170"/>
        <v>-12632.814317626608</v>
      </c>
      <c r="C982" s="74">
        <f t="shared" si="171"/>
        <v>10274.212685591481</v>
      </c>
      <c r="D982" s="74">
        <f t="shared" si="172"/>
        <v>3686.2668982795785</v>
      </c>
      <c r="E982" s="74">
        <f t="shared" si="173"/>
        <v>13265.848148508354</v>
      </c>
      <c r="F982" s="74">
        <f t="shared" si="167"/>
        <v>-2937.3724268096757</v>
      </c>
      <c r="G982" s="74">
        <f t="shared" si="168"/>
        <v>5461.3811688806754</v>
      </c>
      <c r="H982" s="74">
        <f t="shared" si="174"/>
        <v>32632.814317626609</v>
      </c>
      <c r="I982" s="74">
        <f t="shared" si="175"/>
        <v>9725.7873144085188</v>
      </c>
      <c r="J982" s="74">
        <f t="shared" si="176"/>
        <v>34051.307011241224</v>
      </c>
      <c r="K982" s="74">
        <f t="shared" si="177"/>
        <v>-7367.1856823733924</v>
      </c>
      <c r="L982" s="74">
        <f t="shared" si="178"/>
        <v>9725.7873144085188</v>
      </c>
      <c r="M982" s="74">
        <f t="shared" si="179"/>
        <v>12201.080434276186</v>
      </c>
      <c r="N982" s="74">
        <f t="shared" si="180"/>
        <v>7632.8143176266076</v>
      </c>
      <c r="O982" s="74">
        <f t="shared" si="181"/>
        <v>-45274.212685591483</v>
      </c>
      <c r="P982" s="74">
        <f t="shared" si="182"/>
        <v>45913.115650188003</v>
      </c>
    </row>
    <row r="983" spans="1:16" x14ac:dyDescent="0.3">
      <c r="A983" s="72">
        <f t="shared" si="169"/>
        <v>337</v>
      </c>
      <c r="B983" s="74">
        <f t="shared" si="170"/>
        <v>-11524.023975189239</v>
      </c>
      <c r="C983" s="74">
        <f t="shared" si="171"/>
        <v>18272.482052065825</v>
      </c>
      <c r="D983" s="74">
        <f t="shared" si="172"/>
        <v>2217.5806848747407</v>
      </c>
      <c r="E983" s="74">
        <f t="shared" si="173"/>
        <v>15996.538732948691</v>
      </c>
      <c r="F983" s="74">
        <f t="shared" si="167"/>
        <v>-8278.2606418544528</v>
      </c>
      <c r="G983" s="74">
        <f t="shared" si="168"/>
        <v>1532.0864017516647</v>
      </c>
      <c r="H983" s="74">
        <f t="shared" si="174"/>
        <v>31524.023975189237</v>
      </c>
      <c r="I983" s="74">
        <f t="shared" si="175"/>
        <v>1727.517947934175</v>
      </c>
      <c r="J983" s="74">
        <f t="shared" si="176"/>
        <v>31571.322522959672</v>
      </c>
      <c r="K983" s="74">
        <f t="shared" si="177"/>
        <v>-8475.9760248107614</v>
      </c>
      <c r="L983" s="74">
        <f t="shared" si="178"/>
        <v>1727.517947934175</v>
      </c>
      <c r="M983" s="74">
        <f t="shared" si="179"/>
        <v>8650.2305075414915</v>
      </c>
      <c r="N983" s="74">
        <f t="shared" si="180"/>
        <v>6524.0239751892386</v>
      </c>
      <c r="O983" s="74">
        <f t="shared" si="181"/>
        <v>-53272.482052065825</v>
      </c>
      <c r="P983" s="74">
        <f t="shared" si="182"/>
        <v>53670.478224220431</v>
      </c>
    </row>
    <row r="984" spans="1:16" x14ac:dyDescent="0.3">
      <c r="A984" s="72">
        <f t="shared" si="169"/>
        <v>337.5</v>
      </c>
      <c r="B984" s="74">
        <f t="shared" si="170"/>
        <v>-12484.798793215481</v>
      </c>
      <c r="C984" s="74">
        <f t="shared" si="171"/>
        <v>26653.773018978085</v>
      </c>
      <c r="D984" s="74">
        <f t="shared" si="172"/>
        <v>-1921.5496360524858</v>
      </c>
      <c r="E984" s="74">
        <f t="shared" si="173"/>
        <v>16762.581933824524</v>
      </c>
      <c r="F984" s="74">
        <f t="shared" si="167"/>
        <v>-5235.8850955919706</v>
      </c>
      <c r="G984" s="74">
        <f t="shared" si="168"/>
        <v>-6721.3263759645752</v>
      </c>
      <c r="H984" s="74">
        <f t="shared" si="174"/>
        <v>32484.798793215479</v>
      </c>
      <c r="I984" s="74">
        <f t="shared" si="175"/>
        <v>-6653.773018978085</v>
      </c>
      <c r="J984" s="74">
        <f t="shared" si="176"/>
        <v>33159.23473217943</v>
      </c>
      <c r="K984" s="74">
        <f t="shared" si="177"/>
        <v>-7515.2012067845189</v>
      </c>
      <c r="L984" s="74">
        <f t="shared" si="178"/>
        <v>-6653.773018978085</v>
      </c>
      <c r="M984" s="74">
        <f t="shared" si="179"/>
        <v>10037.477002042706</v>
      </c>
      <c r="N984" s="74">
        <f t="shared" si="180"/>
        <v>7484.7987932154811</v>
      </c>
      <c r="O984" s="74">
        <f t="shared" si="181"/>
        <v>-61653.773018978085</v>
      </c>
      <c r="P984" s="74">
        <f t="shared" si="182"/>
        <v>62106.440410400188</v>
      </c>
    </row>
    <row r="985" spans="1:16" x14ac:dyDescent="0.3">
      <c r="A985" s="72">
        <f t="shared" si="169"/>
        <v>338</v>
      </c>
      <c r="B985" s="74">
        <f t="shared" si="170"/>
        <v>-14754.544885139716</v>
      </c>
      <c r="C985" s="74">
        <f t="shared" si="171"/>
        <v>33354.732391899204</v>
      </c>
      <c r="D985" s="74">
        <f t="shared" si="172"/>
        <v>-4539.4921838484715</v>
      </c>
      <c r="E985" s="74">
        <f t="shared" si="173"/>
        <v>13401.918745842237</v>
      </c>
      <c r="F985" s="74">
        <f t="shared" si="167"/>
        <v>-1011.8538925889487</v>
      </c>
      <c r="G985" s="74">
        <f t="shared" si="168"/>
        <v>-6352.5732513872417</v>
      </c>
      <c r="H985" s="74">
        <f t="shared" si="174"/>
        <v>34754.544885139716</v>
      </c>
      <c r="I985" s="74">
        <f t="shared" si="175"/>
        <v>-13354.732391899204</v>
      </c>
      <c r="J985" s="74">
        <f t="shared" si="176"/>
        <v>37232.073101459617</v>
      </c>
      <c r="K985" s="74">
        <f t="shared" si="177"/>
        <v>-5245.4551148602841</v>
      </c>
      <c r="L985" s="74">
        <f t="shared" si="178"/>
        <v>-13354.732391899204</v>
      </c>
      <c r="M985" s="74">
        <f t="shared" si="179"/>
        <v>14347.950258530162</v>
      </c>
      <c r="N985" s="74">
        <f t="shared" si="180"/>
        <v>9754.5448851397159</v>
      </c>
      <c r="O985" s="74">
        <f t="shared" si="181"/>
        <v>-68354.732391899204</v>
      </c>
      <c r="P985" s="74">
        <f t="shared" si="182"/>
        <v>69047.234457901068</v>
      </c>
    </row>
    <row r="986" spans="1:16" x14ac:dyDescent="0.3">
      <c r="A986" s="72">
        <f t="shared" si="169"/>
        <v>338.5</v>
      </c>
      <c r="B986" s="74">
        <f t="shared" si="170"/>
        <v>-17277.254450211189</v>
      </c>
      <c r="C986" s="74">
        <f t="shared" si="171"/>
        <v>38467.548451973511</v>
      </c>
      <c r="D986" s="74">
        <f t="shared" si="172"/>
        <v>-5045.4191301429455</v>
      </c>
      <c r="E986" s="74">
        <f t="shared" si="173"/>
        <v>10225.632120148615</v>
      </c>
      <c r="F986" s="74">
        <f t="shared" si="167"/>
        <v>332.85410704119175</v>
      </c>
      <c r="G986" s="74">
        <f t="shared" si="168"/>
        <v>-4749.7789526962279</v>
      </c>
      <c r="H986" s="74">
        <f t="shared" si="174"/>
        <v>37277.254450211185</v>
      </c>
      <c r="I986" s="74">
        <f t="shared" si="175"/>
        <v>-18467.548451973511</v>
      </c>
      <c r="J986" s="74">
        <f t="shared" si="176"/>
        <v>41601.010146050285</v>
      </c>
      <c r="K986" s="74">
        <f t="shared" si="177"/>
        <v>-2722.7455497888113</v>
      </c>
      <c r="L986" s="74">
        <f t="shared" si="178"/>
        <v>-18467.548451973511</v>
      </c>
      <c r="M986" s="74">
        <f t="shared" si="179"/>
        <v>18667.182142864629</v>
      </c>
      <c r="N986" s="74">
        <f t="shared" si="180"/>
        <v>12277.254450211189</v>
      </c>
      <c r="O986" s="74">
        <f t="shared" si="181"/>
        <v>-73467.548451973504</v>
      </c>
      <c r="P986" s="74">
        <f t="shared" si="182"/>
        <v>74486.318558365499</v>
      </c>
    </row>
    <row r="987" spans="1:16" x14ac:dyDescent="0.3">
      <c r="A987" s="72">
        <f t="shared" si="169"/>
        <v>339</v>
      </c>
      <c r="B987" s="74">
        <f t="shared" si="170"/>
        <v>-19716.750488522364</v>
      </c>
      <c r="C987" s="74">
        <f t="shared" si="171"/>
        <v>42392.919773873764</v>
      </c>
      <c r="D987" s="74">
        <f t="shared" si="172"/>
        <v>-4878.9920766223495</v>
      </c>
      <c r="E987" s="74">
        <f t="shared" si="173"/>
        <v>7850.7426438005014</v>
      </c>
      <c r="F987" s="74">
        <f t="shared" si="167"/>
        <v>725.88025625543207</v>
      </c>
      <c r="G987" s="74">
        <f t="shared" si="168"/>
        <v>-3681.0414485482293</v>
      </c>
      <c r="H987" s="74">
        <f t="shared" si="174"/>
        <v>39716.750488522361</v>
      </c>
      <c r="I987" s="74">
        <f t="shared" si="175"/>
        <v>-22392.919773873764</v>
      </c>
      <c r="J987" s="74">
        <f t="shared" si="176"/>
        <v>45594.5514877237</v>
      </c>
      <c r="K987" s="74">
        <f t="shared" si="177"/>
        <v>-283.24951147763568</v>
      </c>
      <c r="L987" s="74">
        <f t="shared" si="178"/>
        <v>-22392.919773873764</v>
      </c>
      <c r="M987" s="74">
        <f t="shared" si="179"/>
        <v>22394.711123050882</v>
      </c>
      <c r="N987" s="74">
        <f t="shared" si="180"/>
        <v>14716.750488522364</v>
      </c>
      <c r="O987" s="74">
        <f t="shared" si="181"/>
        <v>-77392.919773873757</v>
      </c>
      <c r="P987" s="74">
        <f t="shared" si="182"/>
        <v>78779.735821254711</v>
      </c>
    </row>
    <row r="988" spans="1:16" x14ac:dyDescent="0.3">
      <c r="A988" s="72">
        <f t="shared" si="169"/>
        <v>339.5</v>
      </c>
      <c r="B988" s="74">
        <f t="shared" si="170"/>
        <v>-21974.776462769682</v>
      </c>
      <c r="C988" s="74">
        <f t="shared" si="171"/>
        <v>45398.030733636959</v>
      </c>
      <c r="D988" s="74">
        <f t="shared" si="172"/>
        <v>-4516.0519484946335</v>
      </c>
      <c r="E988" s="74">
        <f t="shared" si="173"/>
        <v>6010.221919526387</v>
      </c>
      <c r="F988" s="74">
        <f t="shared" si="167"/>
        <v>846.49597845653784</v>
      </c>
      <c r="G988" s="74">
        <f t="shared" si="168"/>
        <v>-3016.6413901089991</v>
      </c>
      <c r="H988" s="74">
        <f t="shared" si="174"/>
        <v>41974.776462769682</v>
      </c>
      <c r="I988" s="74">
        <f t="shared" si="175"/>
        <v>-25398.030733636959</v>
      </c>
      <c r="J988" s="74">
        <f t="shared" si="176"/>
        <v>49060.59339476288</v>
      </c>
      <c r="K988" s="74">
        <f t="shared" si="177"/>
        <v>1974.7764627696815</v>
      </c>
      <c r="L988" s="74">
        <f t="shared" si="178"/>
        <v>-25398.030733636959</v>
      </c>
      <c r="M988" s="74">
        <f t="shared" si="179"/>
        <v>25474.687578548957</v>
      </c>
      <c r="N988" s="74">
        <f t="shared" si="180"/>
        <v>16974.776462769682</v>
      </c>
      <c r="O988" s="74">
        <f t="shared" si="181"/>
        <v>-80398.030733636959</v>
      </c>
      <c r="P988" s="74">
        <f t="shared" si="182"/>
        <v>82170.471471251964</v>
      </c>
    </row>
    <row r="989" spans="1:16" x14ac:dyDescent="0.3">
      <c r="A989" s="72">
        <f t="shared" si="169"/>
        <v>340</v>
      </c>
      <c r="B989" s="74">
        <f t="shared" si="170"/>
        <v>-24021.178442402863</v>
      </c>
      <c r="C989" s="74">
        <f t="shared" si="171"/>
        <v>47648.981345872904</v>
      </c>
      <c r="D989" s="74">
        <f t="shared" si="172"/>
        <v>-4092.8039592663645</v>
      </c>
      <c r="E989" s="74">
        <f t="shared" si="173"/>
        <v>4501.901224471887</v>
      </c>
      <c r="F989" s="74">
        <f t="shared" si="167"/>
        <v>884.89026698188457</v>
      </c>
      <c r="G989" s="74">
        <f t="shared" si="168"/>
        <v>-2592.0180324457428</v>
      </c>
      <c r="H989" s="74">
        <f t="shared" si="174"/>
        <v>44021.178442402859</v>
      </c>
      <c r="I989" s="74">
        <f t="shared" si="175"/>
        <v>-27648.981345872904</v>
      </c>
      <c r="J989" s="74">
        <f t="shared" si="176"/>
        <v>51983.942914349063</v>
      </c>
      <c r="K989" s="74">
        <f t="shared" si="177"/>
        <v>4021.1784424028629</v>
      </c>
      <c r="L989" s="74">
        <f t="shared" si="178"/>
        <v>-27648.981345872904</v>
      </c>
      <c r="M989" s="74">
        <f t="shared" si="179"/>
        <v>27939.864808729359</v>
      </c>
      <c r="N989" s="74">
        <f t="shared" si="180"/>
        <v>19021.178442402863</v>
      </c>
      <c r="O989" s="74">
        <f t="shared" si="181"/>
        <v>-82648.981345872904</v>
      </c>
      <c r="P989" s="74">
        <f t="shared" si="182"/>
        <v>84809.547498192551</v>
      </c>
    </row>
    <row r="990" spans="1:16" x14ac:dyDescent="0.3">
      <c r="A990" s="72">
        <f t="shared" si="169"/>
        <v>340.5</v>
      </c>
      <c r="B990" s="74">
        <f t="shared" si="170"/>
        <v>-25846.357855290575</v>
      </c>
      <c r="C990" s="74">
        <f t="shared" si="171"/>
        <v>49251.927449997413</v>
      </c>
      <c r="D990" s="74">
        <f t="shared" si="172"/>
        <v>-3650.3588257754222</v>
      </c>
      <c r="E990" s="74">
        <f t="shared" si="173"/>
        <v>3205.8922082490153</v>
      </c>
      <c r="F990" s="74">
        <f t="shared" si="167"/>
        <v>900.40521080732356</v>
      </c>
      <c r="G990" s="74">
        <f t="shared" si="168"/>
        <v>-2313.9300064593799</v>
      </c>
      <c r="H990" s="74">
        <f t="shared" si="174"/>
        <v>45846.357855290575</v>
      </c>
      <c r="I990" s="74">
        <f t="shared" si="175"/>
        <v>-29251.927449997413</v>
      </c>
      <c r="J990" s="74">
        <f t="shared" si="176"/>
        <v>54383.488193892787</v>
      </c>
      <c r="K990" s="74">
        <f t="shared" si="177"/>
        <v>5846.3578552905747</v>
      </c>
      <c r="L990" s="74">
        <f t="shared" si="178"/>
        <v>-29251.927449997413</v>
      </c>
      <c r="M990" s="74">
        <f t="shared" si="179"/>
        <v>29830.440152837669</v>
      </c>
      <c r="N990" s="74">
        <f t="shared" si="180"/>
        <v>20846.357855290575</v>
      </c>
      <c r="O990" s="74">
        <f t="shared" si="181"/>
        <v>-84251.927449997413</v>
      </c>
      <c r="P990" s="74">
        <f t="shared" si="182"/>
        <v>86792.61440278466</v>
      </c>
    </row>
    <row r="991" spans="1:16" x14ac:dyDescent="0.3">
      <c r="A991" s="72">
        <f t="shared" si="169"/>
        <v>341</v>
      </c>
      <c r="B991" s="74">
        <f t="shared" si="170"/>
        <v>-27446.435965476456</v>
      </c>
      <c r="C991" s="74">
        <f t="shared" si="171"/>
        <v>50276.391052507075</v>
      </c>
      <c r="D991" s="74">
        <f t="shared" si="172"/>
        <v>-3200.1562203717604</v>
      </c>
      <c r="E991" s="74">
        <f t="shared" si="173"/>
        <v>2048.9272050193254</v>
      </c>
      <c r="F991" s="74">
        <f t="shared" si="167"/>
        <v>914.2579119124423</v>
      </c>
      <c r="G991" s="74">
        <f t="shared" si="168"/>
        <v>-2132.074352533265</v>
      </c>
      <c r="H991" s="74">
        <f t="shared" si="174"/>
        <v>47446.435965476456</v>
      </c>
      <c r="I991" s="74">
        <f t="shared" si="175"/>
        <v>-30276.391052507075</v>
      </c>
      <c r="J991" s="74">
        <f t="shared" si="176"/>
        <v>56283.426876749327</v>
      </c>
      <c r="K991" s="74">
        <f t="shared" si="177"/>
        <v>7446.4359654764557</v>
      </c>
      <c r="L991" s="74">
        <f t="shared" si="178"/>
        <v>-30276.391052507075</v>
      </c>
      <c r="M991" s="74">
        <f t="shared" si="179"/>
        <v>31178.666805241559</v>
      </c>
      <c r="N991" s="74">
        <f t="shared" si="180"/>
        <v>22446.435965476456</v>
      </c>
      <c r="O991" s="74">
        <f t="shared" si="181"/>
        <v>-85276.391052507068</v>
      </c>
      <c r="P991" s="74">
        <f t="shared" si="182"/>
        <v>88181.094110315636</v>
      </c>
    </row>
    <row r="992" spans="1:16" x14ac:dyDescent="0.3">
      <c r="A992" s="72">
        <f t="shared" si="169"/>
        <v>341.5</v>
      </c>
      <c r="B992" s="74">
        <f t="shared" si="170"/>
        <v>-28817.949597684226</v>
      </c>
      <c r="C992" s="74">
        <f t="shared" si="171"/>
        <v>50767.836066883421</v>
      </c>
      <c r="D992" s="74">
        <f t="shared" si="172"/>
        <v>-2743.0272644155393</v>
      </c>
      <c r="E992" s="74">
        <f t="shared" si="173"/>
        <v>982.89002875269284</v>
      </c>
      <c r="F992" s="74">
        <f t="shared" si="167"/>
        <v>935.50810438835606</v>
      </c>
      <c r="G992" s="74">
        <f t="shared" si="168"/>
        <v>-2019.0663931157919</v>
      </c>
      <c r="H992" s="74">
        <f t="shared" si="174"/>
        <v>48817.94959768423</v>
      </c>
      <c r="I992" s="74">
        <f t="shared" si="175"/>
        <v>-30767.836066883421</v>
      </c>
      <c r="J992" s="74">
        <f t="shared" si="176"/>
        <v>57704.869284668261</v>
      </c>
      <c r="K992" s="74">
        <f t="shared" si="177"/>
        <v>8817.9495976842263</v>
      </c>
      <c r="L992" s="74">
        <f t="shared" si="178"/>
        <v>-30767.836066883421</v>
      </c>
      <c r="M992" s="74">
        <f t="shared" si="179"/>
        <v>32006.498892348594</v>
      </c>
      <c r="N992" s="74">
        <f t="shared" si="180"/>
        <v>23817.949597684226</v>
      </c>
      <c r="O992" s="74">
        <f t="shared" si="181"/>
        <v>-85767.836066883421</v>
      </c>
      <c r="P992" s="74">
        <f t="shared" si="182"/>
        <v>89013.574395333751</v>
      </c>
    </row>
    <row r="993" spans="1:16" x14ac:dyDescent="0.3">
      <c r="A993" s="72">
        <f t="shared" si="169"/>
        <v>342</v>
      </c>
      <c r="B993" s="74">
        <f t="shared" si="170"/>
        <v>-29955.586203794908</v>
      </c>
      <c r="C993" s="74">
        <f t="shared" si="171"/>
        <v>50754.51448298082</v>
      </c>
      <c r="D993" s="74">
        <f t="shared" si="172"/>
        <v>-2275.2732122213611</v>
      </c>
      <c r="E993" s="74">
        <f t="shared" si="173"/>
        <v>-26.64316780520312</v>
      </c>
      <c r="F993" s="74">
        <f t="shared" si="167"/>
        <v>969.45690616288107</v>
      </c>
      <c r="G993" s="74">
        <f t="shared" si="168"/>
        <v>-1960.455624389564</v>
      </c>
      <c r="H993" s="74">
        <f t="shared" si="174"/>
        <v>49955.586203794912</v>
      </c>
      <c r="I993" s="74">
        <f t="shared" si="175"/>
        <v>-30754.51448298082</v>
      </c>
      <c r="J993" s="74">
        <f t="shared" si="176"/>
        <v>58663.453308245174</v>
      </c>
      <c r="K993" s="74">
        <f t="shared" si="177"/>
        <v>9955.5862037949082</v>
      </c>
      <c r="L993" s="74">
        <f t="shared" si="178"/>
        <v>-30754.51448298082</v>
      </c>
      <c r="M993" s="74">
        <f t="shared" si="179"/>
        <v>32325.746050865841</v>
      </c>
      <c r="N993" s="74">
        <f t="shared" si="180"/>
        <v>24955.586203794908</v>
      </c>
      <c r="O993" s="74">
        <f t="shared" si="181"/>
        <v>-85754.514482980827</v>
      </c>
      <c r="P993" s="74">
        <f t="shared" si="182"/>
        <v>89311.914305913335</v>
      </c>
    </row>
    <row r="994" spans="1:16" x14ac:dyDescent="0.3">
      <c r="A994" s="72">
        <f t="shared" si="169"/>
        <v>342.5</v>
      </c>
      <c r="B994" s="74">
        <f t="shared" si="170"/>
        <v>-30850.858583364869</v>
      </c>
      <c r="C994" s="74">
        <f t="shared" si="171"/>
        <v>50251.078992980823</v>
      </c>
      <c r="D994" s="74">
        <f t="shared" si="172"/>
        <v>-1790.5447591399206</v>
      </c>
      <c r="E994" s="74">
        <f t="shared" si="173"/>
        <v>-1006.8709799999851</v>
      </c>
      <c r="F994" s="74">
        <f t="shared" si="167"/>
        <v>1020.9779436463157</v>
      </c>
      <c r="G994" s="74">
        <f t="shared" si="168"/>
        <v>-1950.1255345618818</v>
      </c>
      <c r="H994" s="74">
        <f t="shared" si="174"/>
        <v>50850.858583364869</v>
      </c>
      <c r="I994" s="74">
        <f t="shared" si="175"/>
        <v>-30251.078992980823</v>
      </c>
      <c r="J994" s="74">
        <f t="shared" si="176"/>
        <v>59168.721457413099</v>
      </c>
      <c r="K994" s="74">
        <f t="shared" si="177"/>
        <v>10850.858583364869</v>
      </c>
      <c r="L994" s="74">
        <f t="shared" si="178"/>
        <v>-30251.078992980823</v>
      </c>
      <c r="M994" s="74">
        <f t="shared" si="179"/>
        <v>32138.277991139297</v>
      </c>
      <c r="N994" s="74">
        <f t="shared" si="180"/>
        <v>25850.858583364869</v>
      </c>
      <c r="O994" s="74">
        <f t="shared" si="181"/>
        <v>-85251.078992980823</v>
      </c>
      <c r="P994" s="74">
        <f t="shared" si="182"/>
        <v>89084.304784650958</v>
      </c>
    </row>
    <row r="995" spans="1:16" x14ac:dyDescent="0.3">
      <c r="A995" s="72">
        <f t="shared" si="169"/>
        <v>343</v>
      </c>
      <c r="B995" s="74">
        <f t="shared" si="170"/>
        <v>-31490.88647702325</v>
      </c>
      <c r="C995" s="74">
        <f t="shared" si="171"/>
        <v>49260.112119340367</v>
      </c>
      <c r="D995" s="74">
        <f t="shared" si="172"/>
        <v>-1280.0557873167627</v>
      </c>
      <c r="E995" s="74">
        <f t="shared" si="173"/>
        <v>-1981.9337472809261</v>
      </c>
      <c r="F995" s="74">
        <f t="shared" si="167"/>
        <v>1096.5026061220617</v>
      </c>
      <c r="G995" s="74">
        <f t="shared" si="168"/>
        <v>-1988.68195469533</v>
      </c>
      <c r="H995" s="74">
        <f t="shared" si="174"/>
        <v>51490.886477023247</v>
      </c>
      <c r="I995" s="74">
        <f t="shared" si="175"/>
        <v>-29260.112119340367</v>
      </c>
      <c r="J995" s="74">
        <f t="shared" si="176"/>
        <v>59223.859646480865</v>
      </c>
      <c r="K995" s="74">
        <f t="shared" si="177"/>
        <v>11490.88647702325</v>
      </c>
      <c r="L995" s="74">
        <f t="shared" si="178"/>
        <v>-29260.112119340367</v>
      </c>
      <c r="M995" s="74">
        <f t="shared" si="179"/>
        <v>31435.563193049442</v>
      </c>
      <c r="N995" s="74">
        <f t="shared" si="180"/>
        <v>26490.88647702325</v>
      </c>
      <c r="O995" s="74">
        <f t="shared" si="181"/>
        <v>-84260.112119340367</v>
      </c>
      <c r="P995" s="74">
        <f t="shared" si="182"/>
        <v>88326.290314392478</v>
      </c>
    </row>
    <row r="996" spans="1:16" x14ac:dyDescent="0.3">
      <c r="A996" s="72">
        <f t="shared" si="169"/>
        <v>343.5</v>
      </c>
      <c r="B996" s="74">
        <f t="shared" si="170"/>
        <v>-31856.788719151118</v>
      </c>
      <c r="C996" s="74">
        <f t="shared" si="171"/>
        <v>47771.974757026073</v>
      </c>
      <c r="D996" s="74">
        <f t="shared" si="172"/>
        <v>-731.80448425573184</v>
      </c>
      <c r="E996" s="74">
        <f t="shared" si="173"/>
        <v>-2976.2747246285912</v>
      </c>
      <c r="F996" s="74">
        <f t="shared" si="167"/>
        <v>1206.2323501544436</v>
      </c>
      <c r="G996" s="74">
        <f t="shared" si="168"/>
        <v>-2084.1060513645571</v>
      </c>
      <c r="H996" s="74">
        <f t="shared" si="174"/>
        <v>51856.788719151118</v>
      </c>
      <c r="I996" s="74">
        <f t="shared" si="175"/>
        <v>-27771.974757026073</v>
      </c>
      <c r="J996" s="74">
        <f t="shared" si="176"/>
        <v>58825.242185371171</v>
      </c>
      <c r="K996" s="74">
        <f t="shared" si="177"/>
        <v>11856.788719151118</v>
      </c>
      <c r="L996" s="74">
        <f t="shared" si="178"/>
        <v>-27771.974757026073</v>
      </c>
      <c r="M996" s="74">
        <f t="shared" si="179"/>
        <v>30197.11940956426</v>
      </c>
      <c r="N996" s="74">
        <f t="shared" si="180"/>
        <v>26856.788719151118</v>
      </c>
      <c r="O996" s="74">
        <f t="shared" si="181"/>
        <v>-82771.974757026066</v>
      </c>
      <c r="P996" s="74">
        <f t="shared" si="182"/>
        <v>87020.037379231697</v>
      </c>
    </row>
    <row r="997" spans="1:16" x14ac:dyDescent="0.3">
      <c r="A997" s="72">
        <f t="shared" si="169"/>
        <v>344</v>
      </c>
      <c r="B997" s="74">
        <f t="shared" si="170"/>
        <v>-31921.132873740371</v>
      </c>
      <c r="C997" s="74">
        <f t="shared" si="171"/>
        <v>45762.810881870639</v>
      </c>
      <c r="D997" s="74">
        <f t="shared" si="172"/>
        <v>-128.68830917851005</v>
      </c>
      <c r="E997" s="74">
        <f t="shared" si="173"/>
        <v>-4018.3277503108698</v>
      </c>
      <c r="F997" s="74">
        <f t="shared" si="167"/>
        <v>1368.0903935648312</v>
      </c>
      <c r="G997" s="74">
        <f t="shared" si="168"/>
        <v>-2255.3250611847752</v>
      </c>
      <c r="H997" s="74">
        <f t="shared" si="174"/>
        <v>51921.132873740367</v>
      </c>
      <c r="I997" s="74">
        <f t="shared" si="175"/>
        <v>-25762.810881870639</v>
      </c>
      <c r="J997" s="74">
        <f t="shared" si="176"/>
        <v>57961.422199835943</v>
      </c>
      <c r="K997" s="74">
        <f t="shared" si="177"/>
        <v>11921.132873740371</v>
      </c>
      <c r="L997" s="74">
        <f t="shared" si="178"/>
        <v>-25762.810881870639</v>
      </c>
      <c r="M997" s="74">
        <f t="shared" si="179"/>
        <v>28387.247727252558</v>
      </c>
      <c r="N997" s="74">
        <f t="shared" si="180"/>
        <v>26921.132873740371</v>
      </c>
      <c r="O997" s="74">
        <f t="shared" si="181"/>
        <v>-80762.810881870639</v>
      </c>
      <c r="P997" s="74">
        <f t="shared" si="182"/>
        <v>85131.539494751225</v>
      </c>
    </row>
    <row r="998" spans="1:16" x14ac:dyDescent="0.3">
      <c r="A998" s="72">
        <f t="shared" si="169"/>
        <v>344.5</v>
      </c>
      <c r="B998" s="74">
        <f t="shared" si="170"/>
        <v>-31643.454429938422</v>
      </c>
      <c r="C998" s="74">
        <f t="shared" si="171"/>
        <v>43189.815741419014</v>
      </c>
      <c r="D998" s="74">
        <f t="shared" si="172"/>
        <v>555.35688760390553</v>
      </c>
      <c r="E998" s="74">
        <f t="shared" si="173"/>
        <v>-5145.9902809032574</v>
      </c>
      <c r="F998" s="74">
        <f t="shared" si="167"/>
        <v>1616.658888774901</v>
      </c>
      <c r="G998" s="74">
        <f t="shared" si="168"/>
        <v>-2541.6662351460227</v>
      </c>
      <c r="H998" s="74">
        <f t="shared" si="174"/>
        <v>51643.454429938422</v>
      </c>
      <c r="I998" s="74">
        <f t="shared" si="175"/>
        <v>-23189.815741419014</v>
      </c>
      <c r="J998" s="74">
        <f t="shared" si="176"/>
        <v>56611.07612100384</v>
      </c>
      <c r="K998" s="74">
        <f t="shared" si="177"/>
        <v>11643.454429938422</v>
      </c>
      <c r="L998" s="74">
        <f t="shared" si="178"/>
        <v>-23189.815741419014</v>
      </c>
      <c r="M998" s="74">
        <f t="shared" si="179"/>
        <v>25948.749202669052</v>
      </c>
      <c r="N998" s="74">
        <f t="shared" si="180"/>
        <v>26643.454429938422</v>
      </c>
      <c r="O998" s="74">
        <f t="shared" si="181"/>
        <v>-78189.815741419006</v>
      </c>
      <c r="P998" s="74">
        <f t="shared" si="182"/>
        <v>82604.606104243736</v>
      </c>
    </row>
    <row r="999" spans="1:16" x14ac:dyDescent="0.3">
      <c r="A999" s="72">
        <f t="shared" si="169"/>
        <v>345</v>
      </c>
      <c r="B999" s="74">
        <f t="shared" si="170"/>
        <v>-30961.611263942745</v>
      </c>
      <c r="C999" s="74">
        <f t="shared" si="171"/>
        <v>39981.404042180882</v>
      </c>
      <c r="D999" s="74">
        <f t="shared" si="172"/>
        <v>1363.6863319913559</v>
      </c>
      <c r="E999" s="74">
        <f t="shared" si="173"/>
        <v>-6416.8233984762683</v>
      </c>
      <c r="F999" s="74">
        <f t="shared" si="167"/>
        <v>2027.0482640292237</v>
      </c>
      <c r="G999" s="74">
        <f t="shared" si="168"/>
        <v>-3027.5638578469229</v>
      </c>
      <c r="H999" s="74">
        <f t="shared" si="174"/>
        <v>50961.611263942745</v>
      </c>
      <c r="I999" s="74">
        <f t="shared" si="175"/>
        <v>-19981.404042180882</v>
      </c>
      <c r="J999" s="74">
        <f t="shared" si="176"/>
        <v>54738.855761826977</v>
      </c>
      <c r="K999" s="74">
        <f t="shared" si="177"/>
        <v>10961.611263942745</v>
      </c>
      <c r="L999" s="74">
        <f t="shared" si="178"/>
        <v>-19981.404042180882</v>
      </c>
      <c r="M999" s="74">
        <f t="shared" si="179"/>
        <v>22790.643452932145</v>
      </c>
      <c r="N999" s="74">
        <f t="shared" si="180"/>
        <v>25961.611263942745</v>
      </c>
      <c r="O999" s="74">
        <f t="shared" si="181"/>
        <v>-74981.40404218089</v>
      </c>
      <c r="P999" s="74">
        <f t="shared" si="182"/>
        <v>79348.700125187053</v>
      </c>
    </row>
    <row r="1000" spans="1:16" x14ac:dyDescent="0.3">
      <c r="A1000" s="72">
        <f t="shared" si="169"/>
        <v>345.5</v>
      </c>
      <c r="B1000" s="74">
        <f t="shared" si="170"/>
        <v>-29773.006031939763</v>
      </c>
      <c r="C1000" s="74">
        <f t="shared" si="171"/>
        <v>36016.10137848102</v>
      </c>
      <c r="D1000" s="74">
        <f t="shared" si="172"/>
        <v>2377.2104640059679</v>
      </c>
      <c r="E1000" s="74">
        <f t="shared" si="173"/>
        <v>-7930.6053273997295</v>
      </c>
      <c r="F1000" s="74">
        <f t="shared" si="167"/>
        <v>2791.6551406924591</v>
      </c>
      <c r="G1000" s="74">
        <f t="shared" si="168"/>
        <v>-3913.4578442787488</v>
      </c>
      <c r="H1000" s="74">
        <f t="shared" si="174"/>
        <v>49773.00603193976</v>
      </c>
      <c r="I1000" s="74">
        <f t="shared" si="175"/>
        <v>-16016.10137848102</v>
      </c>
      <c r="J1000" s="74">
        <f t="shared" si="176"/>
        <v>52286.400075175319</v>
      </c>
      <c r="K1000" s="74">
        <f t="shared" si="177"/>
        <v>9773.0060319397635</v>
      </c>
      <c r="L1000" s="74">
        <f t="shared" si="178"/>
        <v>-16016.10137848102</v>
      </c>
      <c r="M1000" s="74">
        <f t="shared" si="179"/>
        <v>18762.386582365067</v>
      </c>
      <c r="N1000" s="74">
        <f t="shared" si="180"/>
        <v>24773.006031939763</v>
      </c>
      <c r="O1000" s="74">
        <f t="shared" si="181"/>
        <v>-71016.10137848102</v>
      </c>
      <c r="P1000" s="74">
        <f t="shared" si="182"/>
        <v>75212.954222375934</v>
      </c>
    </row>
    <row r="1001" spans="1:16" x14ac:dyDescent="0.3">
      <c r="A1001" s="72">
        <f t="shared" si="169"/>
        <v>346</v>
      </c>
      <c r="B1001" s="74">
        <f t="shared" si="170"/>
        <v>-27886.487014763665</v>
      </c>
      <c r="C1001" s="74">
        <f t="shared" si="171"/>
        <v>31072.434253711468</v>
      </c>
      <c r="D1001" s="74">
        <f t="shared" si="172"/>
        <v>3773.0380343521974</v>
      </c>
      <c r="E1001" s="74">
        <f t="shared" si="173"/>
        <v>-9887.3342495391043</v>
      </c>
      <c r="F1001" s="74">
        <f t="shared" si="167"/>
        <v>4528.7947111723452</v>
      </c>
      <c r="G1001" s="74">
        <f t="shared" si="168"/>
        <v>-5723.2910916333794</v>
      </c>
      <c r="H1001" s="74">
        <f t="shared" si="174"/>
        <v>47886.487014763668</v>
      </c>
      <c r="I1001" s="74">
        <f t="shared" si="175"/>
        <v>-11072.434253711468</v>
      </c>
      <c r="J1001" s="74">
        <f t="shared" si="176"/>
        <v>49149.917995027135</v>
      </c>
      <c r="K1001" s="74">
        <f t="shared" si="177"/>
        <v>7886.4870147636648</v>
      </c>
      <c r="L1001" s="74">
        <f t="shared" si="178"/>
        <v>-11072.434253711468</v>
      </c>
      <c r="M1001" s="74">
        <f t="shared" si="179"/>
        <v>13593.950041720727</v>
      </c>
      <c r="N1001" s="74">
        <f t="shared" si="180"/>
        <v>22886.487014763665</v>
      </c>
      <c r="O1001" s="74">
        <f t="shared" si="181"/>
        <v>-66072.434253711472</v>
      </c>
      <c r="P1001" s="74">
        <f t="shared" si="182"/>
        <v>69923.943367690372</v>
      </c>
    </row>
    <row r="1002" spans="1:16" x14ac:dyDescent="0.3">
      <c r="A1002" s="72">
        <f t="shared" si="169"/>
        <v>346.5</v>
      </c>
      <c r="B1002" s="74">
        <f t="shared" si="170"/>
        <v>-24867.769319794479</v>
      </c>
      <c r="C1002" s="74">
        <f t="shared" si="171"/>
        <v>24697.944356033571</v>
      </c>
      <c r="D1002" s="74">
        <f t="shared" si="172"/>
        <v>6037.4353899383696</v>
      </c>
      <c r="E1002" s="74">
        <f t="shared" si="173"/>
        <v>-12748.979795355794</v>
      </c>
      <c r="F1002" s="74">
        <f t="shared" si="167"/>
        <v>9315.3389445626253</v>
      </c>
      <c r="G1002" s="74">
        <f t="shared" si="168"/>
        <v>-8558.5964490248571</v>
      </c>
      <c r="H1002" s="74">
        <f t="shared" si="174"/>
        <v>44867.769319794475</v>
      </c>
      <c r="I1002" s="74">
        <f t="shared" si="175"/>
        <v>-4697.9443560335712</v>
      </c>
      <c r="J1002" s="74">
        <f t="shared" si="176"/>
        <v>45113.051381021411</v>
      </c>
      <c r="K1002" s="74">
        <f t="shared" si="177"/>
        <v>4867.7693197944791</v>
      </c>
      <c r="L1002" s="74">
        <f t="shared" si="178"/>
        <v>-4697.9443560335712</v>
      </c>
      <c r="M1002" s="74">
        <f t="shared" si="179"/>
        <v>6765.0468825515236</v>
      </c>
      <c r="N1002" s="74">
        <f t="shared" si="180"/>
        <v>19867.769319794479</v>
      </c>
      <c r="O1002" s="74">
        <f t="shared" si="181"/>
        <v>-59697.944356033571</v>
      </c>
      <c r="P1002" s="74">
        <f t="shared" si="182"/>
        <v>62917.190163584448</v>
      </c>
    </row>
    <row r="1003" spans="1:16" x14ac:dyDescent="0.3">
      <c r="A1003" s="72">
        <f t="shared" si="169"/>
        <v>347</v>
      </c>
      <c r="B1003" s="74">
        <f t="shared" si="170"/>
        <v>-19520.216888684638</v>
      </c>
      <c r="C1003" s="74">
        <f t="shared" si="171"/>
        <v>16183.80534609946</v>
      </c>
      <c r="D1003" s="74">
        <f t="shared" si="172"/>
        <v>10695.104862219683</v>
      </c>
      <c r="E1003" s="74">
        <f t="shared" si="173"/>
        <v>-17028.278019868223</v>
      </c>
      <c r="F1003" s="74">
        <f t="shared" si="167"/>
        <v>-191.82820927837545</v>
      </c>
      <c r="G1003" s="74">
        <f t="shared" si="168"/>
        <v>10781.111342789263</v>
      </c>
      <c r="H1003" s="74">
        <f t="shared" si="174"/>
        <v>39520.216888684634</v>
      </c>
      <c r="I1003" s="74">
        <f t="shared" si="175"/>
        <v>3816.1946539005403</v>
      </c>
      <c r="J1003" s="74">
        <f t="shared" si="176"/>
        <v>39704.041161639121</v>
      </c>
      <c r="K1003" s="74">
        <f t="shared" si="177"/>
        <v>-479.78311131536248</v>
      </c>
      <c r="L1003" s="74">
        <f t="shared" si="178"/>
        <v>3816.1946539005403</v>
      </c>
      <c r="M1003" s="74">
        <f t="shared" si="179"/>
        <v>3846.2362733407986</v>
      </c>
      <c r="N1003" s="74">
        <f t="shared" si="180"/>
        <v>14520.216888684638</v>
      </c>
      <c r="O1003" s="74">
        <f t="shared" si="181"/>
        <v>-51183.805346099456</v>
      </c>
      <c r="P1003" s="74">
        <f t="shared" si="182"/>
        <v>53203.558416724736</v>
      </c>
    </row>
    <row r="1004" spans="1:16" x14ac:dyDescent="0.3">
      <c r="A1004" s="72">
        <f t="shared" si="169"/>
        <v>347.5</v>
      </c>
      <c r="B1004" s="74">
        <f t="shared" si="170"/>
        <v>-14220.62150989439</v>
      </c>
      <c r="C1004" s="74">
        <f t="shared" si="171"/>
        <v>10364.944171862664</v>
      </c>
      <c r="D1004" s="74">
        <f t="shared" si="172"/>
        <v>10599.190757580496</v>
      </c>
      <c r="E1004" s="74">
        <f t="shared" si="173"/>
        <v>-11637.722348473591</v>
      </c>
      <c r="F1004" s="74">
        <f t="shared" si="167"/>
        <v>-2724.2141995689713</v>
      </c>
      <c r="G1004" s="74">
        <f t="shared" si="168"/>
        <v>6484.602651888632</v>
      </c>
      <c r="H1004" s="74">
        <f t="shared" si="174"/>
        <v>34220.621509894394</v>
      </c>
      <c r="I1004" s="74">
        <f t="shared" si="175"/>
        <v>9635.055828137336</v>
      </c>
      <c r="J1004" s="74">
        <f t="shared" si="176"/>
        <v>35551.163656549557</v>
      </c>
      <c r="K1004" s="74">
        <f t="shared" si="177"/>
        <v>-5779.3784901056097</v>
      </c>
      <c r="L1004" s="74">
        <f t="shared" si="178"/>
        <v>9635.055828137336</v>
      </c>
      <c r="M1004" s="74">
        <f t="shared" si="179"/>
        <v>11235.458003268875</v>
      </c>
      <c r="N1004" s="74">
        <f t="shared" si="180"/>
        <v>9220.6215098943903</v>
      </c>
      <c r="O1004" s="74">
        <f t="shared" si="181"/>
        <v>-45364.944171862662</v>
      </c>
      <c r="P1004" s="74">
        <f t="shared" si="182"/>
        <v>46292.526618720469</v>
      </c>
    </row>
    <row r="1005" spans="1:16" x14ac:dyDescent="0.3">
      <c r="A1005" s="72">
        <f t="shared" si="169"/>
        <v>348</v>
      </c>
      <c r="B1005" s="74">
        <f t="shared" si="170"/>
        <v>-9602.0796809963867</v>
      </c>
      <c r="C1005" s="74">
        <f t="shared" si="171"/>
        <v>6167.2336605980263</v>
      </c>
      <c r="D1005" s="74">
        <f t="shared" si="172"/>
        <v>9237.0836577960108</v>
      </c>
      <c r="E1005" s="74">
        <f t="shared" si="173"/>
        <v>-8395.4210225292754</v>
      </c>
      <c r="F1005" s="74">
        <f t="shared" si="167"/>
        <v>-1241.4525350325116</v>
      </c>
      <c r="G1005" s="74">
        <f t="shared" si="168"/>
        <v>3317.2720148538829</v>
      </c>
      <c r="H1005" s="74">
        <f t="shared" si="174"/>
        <v>29602.079680996387</v>
      </c>
      <c r="I1005" s="74">
        <f t="shared" si="175"/>
        <v>13832.766339401973</v>
      </c>
      <c r="J1005" s="74">
        <f t="shared" si="176"/>
        <v>32674.585629209614</v>
      </c>
      <c r="K1005" s="74">
        <f t="shared" si="177"/>
        <v>-10397.920319003613</v>
      </c>
      <c r="L1005" s="74">
        <f t="shared" si="178"/>
        <v>13832.766339401973</v>
      </c>
      <c r="M1005" s="74">
        <f t="shared" si="179"/>
        <v>17304.975341237572</v>
      </c>
      <c r="N1005" s="74">
        <f t="shared" si="180"/>
        <v>4602.0796809963867</v>
      </c>
      <c r="O1005" s="74">
        <f t="shared" si="181"/>
        <v>-41167.233660598024</v>
      </c>
      <c r="P1005" s="74">
        <f t="shared" si="182"/>
        <v>41423.667928570918</v>
      </c>
    </row>
    <row r="1006" spans="1:16" x14ac:dyDescent="0.3">
      <c r="A1006" s="72">
        <f t="shared" si="169"/>
        <v>348.5</v>
      </c>
      <c r="B1006" s="74">
        <f t="shared" si="170"/>
        <v>-5293.9009858565096</v>
      </c>
      <c r="C1006" s="74">
        <f t="shared" si="171"/>
        <v>2798.8411530468593</v>
      </c>
      <c r="D1006" s="74">
        <f t="shared" si="172"/>
        <v>8616.3573902797543</v>
      </c>
      <c r="E1006" s="74">
        <f t="shared" si="173"/>
        <v>-6736.785015102334</v>
      </c>
      <c r="F1006" s="74">
        <f t="shared" si="167"/>
        <v>-477.86474172000402</v>
      </c>
      <c r="G1006" s="74">
        <f t="shared" si="168"/>
        <v>2048.9863549155143</v>
      </c>
      <c r="H1006" s="74">
        <f t="shared" si="174"/>
        <v>25293.900985856511</v>
      </c>
      <c r="I1006" s="74">
        <f t="shared" si="175"/>
        <v>17201.158846953142</v>
      </c>
      <c r="J1006" s="74">
        <f t="shared" si="176"/>
        <v>30588.581084457437</v>
      </c>
      <c r="K1006" s="74">
        <f t="shared" si="177"/>
        <v>-14706.09901414349</v>
      </c>
      <c r="L1006" s="74">
        <f t="shared" si="178"/>
        <v>17201.158846953142</v>
      </c>
      <c r="M1006" s="74">
        <f t="shared" si="179"/>
        <v>22630.713950114488</v>
      </c>
      <c r="N1006" s="74">
        <f t="shared" si="180"/>
        <v>293.90098585650958</v>
      </c>
      <c r="O1006" s="74">
        <f t="shared" si="181"/>
        <v>-37798.841153046858</v>
      </c>
      <c r="P1006" s="74">
        <f t="shared" si="182"/>
        <v>37799.983734159941</v>
      </c>
    </row>
    <row r="1007" spans="1:16" x14ac:dyDescent="0.3">
      <c r="A1007" s="72">
        <f t="shared" si="169"/>
        <v>349</v>
      </c>
      <c r="B1007" s="74">
        <f t="shared" si="170"/>
        <v>-1105.1884761466333</v>
      </c>
      <c r="C1007" s="74">
        <f t="shared" si="171"/>
        <v>-57.304765775429132</v>
      </c>
      <c r="D1007" s="74">
        <f t="shared" si="172"/>
        <v>8377.4250194197521</v>
      </c>
      <c r="E1007" s="74">
        <f t="shared" si="173"/>
        <v>-5712.2918376445768</v>
      </c>
      <c r="F1007" s="74">
        <f t="shared" si="167"/>
        <v>-209.51530052535526</v>
      </c>
      <c r="G1007" s="74">
        <f t="shared" si="168"/>
        <v>1496.9056512704301</v>
      </c>
      <c r="H1007" s="74">
        <f t="shared" si="174"/>
        <v>21105.188476146632</v>
      </c>
      <c r="I1007" s="74">
        <f t="shared" si="175"/>
        <v>20057.304765775429</v>
      </c>
      <c r="J1007" s="74">
        <f t="shared" si="176"/>
        <v>29115.708047046875</v>
      </c>
      <c r="K1007" s="74">
        <f t="shared" si="177"/>
        <v>-18894.811523853368</v>
      </c>
      <c r="L1007" s="74">
        <f t="shared" si="178"/>
        <v>20057.304765775429</v>
      </c>
      <c r="M1007" s="74">
        <f t="shared" si="179"/>
        <v>27555.568892496845</v>
      </c>
      <c r="N1007" s="74">
        <f t="shared" si="180"/>
        <v>-3894.8115238533665</v>
      </c>
      <c r="O1007" s="74">
        <f t="shared" si="181"/>
        <v>-34942.695234224571</v>
      </c>
      <c r="P1007" s="74">
        <f t="shared" si="182"/>
        <v>35159.088541062061</v>
      </c>
    </row>
    <row r="1008" spans="1:16" x14ac:dyDescent="0.3">
      <c r="A1008" s="72">
        <f t="shared" si="169"/>
        <v>349.5</v>
      </c>
      <c r="B1008" s="74">
        <f t="shared" si="170"/>
        <v>3031.1452084319035</v>
      </c>
      <c r="C1008" s="74">
        <f t="shared" si="171"/>
        <v>-2539.22427178011</v>
      </c>
      <c r="D1008" s="74">
        <f t="shared" si="172"/>
        <v>8272.6673691570741</v>
      </c>
      <c r="E1008" s="74">
        <f t="shared" si="173"/>
        <v>-4963.8390120093618</v>
      </c>
      <c r="F1008" s="74">
        <f t="shared" si="167"/>
        <v>-270.96841140966615</v>
      </c>
      <c r="G1008" s="74">
        <f t="shared" si="168"/>
        <v>1275.4798668605506</v>
      </c>
      <c r="H1008" s="74">
        <f t="shared" si="174"/>
        <v>16968.854791568097</v>
      </c>
      <c r="I1008" s="74">
        <f t="shared" si="175"/>
        <v>22539.224271780109</v>
      </c>
      <c r="J1008" s="74">
        <f t="shared" si="176"/>
        <v>28212.739386860772</v>
      </c>
      <c r="K1008" s="74">
        <f t="shared" si="177"/>
        <v>-23031.145208431903</v>
      </c>
      <c r="L1008" s="74">
        <f t="shared" si="178"/>
        <v>22539.224271780109</v>
      </c>
      <c r="M1008" s="74">
        <f t="shared" si="179"/>
        <v>32224.994652993773</v>
      </c>
      <c r="N1008" s="74">
        <f t="shared" si="180"/>
        <v>-8031.1452084319035</v>
      </c>
      <c r="O1008" s="74">
        <f t="shared" si="181"/>
        <v>-32460.775728219891</v>
      </c>
      <c r="P1008" s="74">
        <f t="shared" si="182"/>
        <v>33439.516357697343</v>
      </c>
    </row>
    <row r="1009" spans="1:16" x14ac:dyDescent="0.3">
      <c r="A1009" s="72">
        <f t="shared" si="169"/>
        <v>350</v>
      </c>
      <c r="B1009" s="74">
        <f t="shared" si="170"/>
        <v>7099.7367901580237</v>
      </c>
      <c r="C1009" s="74">
        <f t="shared" si="171"/>
        <v>-4702.2738110696537</v>
      </c>
      <c r="D1009" s="74">
        <f t="shared" si="172"/>
        <v>8137.1831634522414</v>
      </c>
      <c r="E1009" s="74">
        <f t="shared" si="173"/>
        <v>-4326.0990785790864</v>
      </c>
      <c r="F1009" s="74">
        <f t="shared" si="167"/>
        <v>-534.93990575408043</v>
      </c>
      <c r="G1009" s="74">
        <f t="shared" si="168"/>
        <v>1221.4323422975419</v>
      </c>
      <c r="H1009" s="74">
        <f t="shared" si="174"/>
        <v>12900.263209841976</v>
      </c>
      <c r="I1009" s="74">
        <f t="shared" si="175"/>
        <v>24702.273811069652</v>
      </c>
      <c r="J1009" s="74">
        <f t="shared" si="176"/>
        <v>27867.886936763971</v>
      </c>
      <c r="K1009" s="74">
        <f t="shared" si="177"/>
        <v>-27099.736790158022</v>
      </c>
      <c r="L1009" s="74">
        <f t="shared" si="178"/>
        <v>24702.273811069652</v>
      </c>
      <c r="M1009" s="74">
        <f t="shared" si="179"/>
        <v>36668.761439853704</v>
      </c>
      <c r="N1009" s="74">
        <f t="shared" si="180"/>
        <v>-12099.736790158024</v>
      </c>
      <c r="O1009" s="74">
        <f t="shared" si="181"/>
        <v>-30297.726188930348</v>
      </c>
      <c r="P1009" s="74">
        <f t="shared" si="182"/>
        <v>32624.466932204417</v>
      </c>
    </row>
    <row r="1010" spans="1:16" x14ac:dyDescent="0.3">
      <c r="A1010" s="72">
        <f t="shared" si="169"/>
        <v>350.5</v>
      </c>
      <c r="B1010" s="74">
        <f t="shared" si="170"/>
        <v>11034.593395445625</v>
      </c>
      <c r="C1010" s="74">
        <f t="shared" si="171"/>
        <v>-6559.9652647848106</v>
      </c>
      <c r="D1010" s="74">
        <f t="shared" si="172"/>
        <v>7869.7132105752007</v>
      </c>
      <c r="E1010" s="74">
        <f t="shared" si="173"/>
        <v>-3715.3829074303153</v>
      </c>
      <c r="F1010" s="74">
        <f t="shared" si="167"/>
        <v>-870.9715068720011</v>
      </c>
      <c r="G1010" s="74">
        <f t="shared" si="168"/>
        <v>1239.118801574745</v>
      </c>
      <c r="H1010" s="74">
        <f t="shared" si="174"/>
        <v>8965.406604554375</v>
      </c>
      <c r="I1010" s="74">
        <f t="shared" si="175"/>
        <v>26559.965264784812</v>
      </c>
      <c r="J1010" s="74">
        <f t="shared" si="176"/>
        <v>28032.307619094845</v>
      </c>
      <c r="K1010" s="74">
        <f t="shared" si="177"/>
        <v>-31034.593395445627</v>
      </c>
      <c r="L1010" s="74">
        <f t="shared" si="178"/>
        <v>26559.965264784812</v>
      </c>
      <c r="M1010" s="74">
        <f t="shared" si="179"/>
        <v>40848.228138895</v>
      </c>
      <c r="N1010" s="74">
        <f t="shared" si="180"/>
        <v>-16034.593395445625</v>
      </c>
      <c r="O1010" s="74">
        <f t="shared" si="181"/>
        <v>-28440.034735215188</v>
      </c>
      <c r="P1010" s="74">
        <f t="shared" si="182"/>
        <v>32648.794175245046</v>
      </c>
    </row>
    <row r="1011" spans="1:16" x14ac:dyDescent="0.3">
      <c r="A1011" s="72">
        <f t="shared" si="169"/>
        <v>351</v>
      </c>
      <c r="B1011" s="74">
        <f t="shared" si="170"/>
        <v>14751.707124015224</v>
      </c>
      <c r="C1011" s="74">
        <f t="shared" si="171"/>
        <v>-8107.877018106281</v>
      </c>
      <c r="D1011" s="74">
        <f t="shared" si="172"/>
        <v>7434.2274571391999</v>
      </c>
      <c r="E1011" s="74">
        <f t="shared" si="173"/>
        <v>-3095.8235066429429</v>
      </c>
      <c r="F1011" s="74">
        <f t="shared" si="167"/>
        <v>-1173.3240549143968</v>
      </c>
      <c r="G1011" s="74">
        <f t="shared" si="168"/>
        <v>1268.3241751777052</v>
      </c>
      <c r="H1011" s="74">
        <f t="shared" si="174"/>
        <v>5248.2928759847764</v>
      </c>
      <c r="I1011" s="74">
        <f t="shared" si="175"/>
        <v>28107.877018106279</v>
      </c>
      <c r="J1011" s="74">
        <f t="shared" si="176"/>
        <v>28593.658887541827</v>
      </c>
      <c r="K1011" s="74">
        <f t="shared" si="177"/>
        <v>-34751.707124015222</v>
      </c>
      <c r="L1011" s="74">
        <f t="shared" si="178"/>
        <v>28107.877018106279</v>
      </c>
      <c r="M1011" s="74">
        <f t="shared" si="179"/>
        <v>44696.016584236197</v>
      </c>
      <c r="N1011" s="74">
        <f t="shared" si="180"/>
        <v>-19751.707124015222</v>
      </c>
      <c r="O1011" s="74">
        <f t="shared" si="181"/>
        <v>-26892.122981893721</v>
      </c>
      <c r="P1011" s="74">
        <f t="shared" si="182"/>
        <v>33366.393463875742</v>
      </c>
    </row>
    <row r="1012" spans="1:16" x14ac:dyDescent="0.3">
      <c r="A1012" s="72">
        <f t="shared" si="169"/>
        <v>351.5</v>
      </c>
      <c r="B1012" s="74">
        <f t="shared" si="170"/>
        <v>18175.489838856225</v>
      </c>
      <c r="C1012" s="74">
        <f t="shared" si="171"/>
        <v>-9338.7077276333275</v>
      </c>
      <c r="D1012" s="74">
        <f t="shared" si="172"/>
        <v>6847.5654296820012</v>
      </c>
      <c r="E1012" s="74">
        <f t="shared" si="173"/>
        <v>-2461.6614190540904</v>
      </c>
      <c r="F1012" s="74">
        <f t="shared" si="167"/>
        <v>-1392.2427145016934</v>
      </c>
      <c r="G1012" s="74">
        <f t="shared" si="168"/>
        <v>1281.2177831278118</v>
      </c>
      <c r="H1012" s="74">
        <f t="shared" si="174"/>
        <v>1824.5101611437749</v>
      </c>
      <c r="I1012" s="74">
        <f t="shared" si="175"/>
        <v>29338.707727633329</v>
      </c>
      <c r="J1012" s="74">
        <f t="shared" si="176"/>
        <v>29395.384135193886</v>
      </c>
      <c r="K1012" s="74">
        <f t="shared" si="177"/>
        <v>-38175.489838856229</v>
      </c>
      <c r="L1012" s="74">
        <f t="shared" si="178"/>
        <v>29338.707727633329</v>
      </c>
      <c r="M1012" s="74">
        <f t="shared" si="179"/>
        <v>48146.939628226704</v>
      </c>
      <c r="N1012" s="74">
        <f t="shared" si="180"/>
        <v>-23175.489838856225</v>
      </c>
      <c r="O1012" s="74">
        <f t="shared" si="181"/>
        <v>-25661.292272366671</v>
      </c>
      <c r="P1012" s="74">
        <f t="shared" si="182"/>
        <v>34577.525220274998</v>
      </c>
    </row>
    <row r="1013" spans="1:16" x14ac:dyDescent="0.3">
      <c r="A1013" s="72">
        <f t="shared" si="169"/>
        <v>352</v>
      </c>
      <c r="B1013" s="74">
        <f t="shared" si="170"/>
        <v>21251.2118750718</v>
      </c>
      <c r="C1013" s="74">
        <f t="shared" si="171"/>
        <v>-10249.23399137842</v>
      </c>
      <c r="D1013" s="74">
        <f t="shared" si="172"/>
        <v>6151.4440724311544</v>
      </c>
      <c r="E1013" s="74">
        <f t="shared" si="173"/>
        <v>-1821.0525274901845</v>
      </c>
      <c r="F1013" s="74">
        <f t="shared" si="167"/>
        <v>-1527.384182381634</v>
      </c>
      <c r="G1013" s="74">
        <f t="shared" si="168"/>
        <v>1274.4875615082262</v>
      </c>
      <c r="H1013" s="74">
        <f t="shared" si="174"/>
        <v>-1251.2118750718</v>
      </c>
      <c r="I1013" s="74">
        <f t="shared" si="175"/>
        <v>30249.23399137842</v>
      </c>
      <c r="J1013" s="74">
        <f t="shared" si="176"/>
        <v>30275.100135614488</v>
      </c>
      <c r="K1013" s="74">
        <f t="shared" si="177"/>
        <v>-41251.2118750718</v>
      </c>
      <c r="L1013" s="74">
        <f t="shared" si="178"/>
        <v>30249.23399137842</v>
      </c>
      <c r="M1013" s="74">
        <f t="shared" si="179"/>
        <v>51153.481193631662</v>
      </c>
      <c r="N1013" s="74">
        <f t="shared" si="180"/>
        <v>-26251.2118750718</v>
      </c>
      <c r="O1013" s="74">
        <f t="shared" si="181"/>
        <v>-24750.76600862158</v>
      </c>
      <c r="P1013" s="74">
        <f t="shared" si="182"/>
        <v>36079.447652693467</v>
      </c>
    </row>
    <row r="1014" spans="1:16" x14ac:dyDescent="0.3">
      <c r="A1014" s="72">
        <f t="shared" si="169"/>
        <v>352.5</v>
      </c>
      <c r="B1014" s="74">
        <f t="shared" si="170"/>
        <v>23945.08786569197</v>
      </c>
      <c r="C1014" s="74">
        <f t="shared" si="171"/>
        <v>-10841.138364746455</v>
      </c>
      <c r="D1014" s="74">
        <f t="shared" si="172"/>
        <v>5387.751981240337</v>
      </c>
      <c r="E1014" s="74">
        <f t="shared" si="173"/>
        <v>-1183.8087467360715</v>
      </c>
      <c r="F1014" s="74">
        <f t="shared" ref="F1014:F1077" si="183">$C$23*(H1014/(J1014^2+$C$24^2)^1.5)+$C$32*(K1014/(M1014^2+$C$33^2)^1.5)+C$41*(N1014/(P1014^2+$C$42^2)^1.5)</f>
        <v>-1601.017962471841</v>
      </c>
      <c r="G1014" s="74">
        <f t="shared" ref="G1014:G1077" si="184">$C$23*(I1014/(J1014^2+$C$24^2)^1.5)+$C$32*(L1014/(M1014^2+$C$33^2)^1.5)+C$41*(O1014/(P1014^2+$C$42^2)^1.5)</f>
        <v>1256.2726086682937</v>
      </c>
      <c r="H1014" s="74">
        <f t="shared" si="174"/>
        <v>-3945.0878656919704</v>
      </c>
      <c r="I1014" s="74">
        <f t="shared" si="175"/>
        <v>30841.138364746454</v>
      </c>
      <c r="J1014" s="74">
        <f t="shared" si="176"/>
        <v>31092.435316350915</v>
      </c>
      <c r="K1014" s="74">
        <f t="shared" si="177"/>
        <v>-43945.087865691967</v>
      </c>
      <c r="L1014" s="74">
        <f t="shared" si="178"/>
        <v>30841.138364746454</v>
      </c>
      <c r="M1014" s="74">
        <f t="shared" si="179"/>
        <v>53687.489819853035</v>
      </c>
      <c r="N1014" s="74">
        <f t="shared" si="180"/>
        <v>-28945.08786569197</v>
      </c>
      <c r="O1014" s="74">
        <f t="shared" si="181"/>
        <v>-24158.861635253546</v>
      </c>
      <c r="P1014" s="74">
        <f t="shared" si="182"/>
        <v>37702.370045714029</v>
      </c>
    </row>
    <row r="1015" spans="1:16" x14ac:dyDescent="0.3">
      <c r="A1015" s="72">
        <f t="shared" ref="A1015:A1078" si="185">A1014+$C$5</f>
        <v>353</v>
      </c>
      <c r="B1015" s="74">
        <f t="shared" ref="B1015:B1078" si="186">B1014+D1014*(A1015-A1014)+F1014*(A1015-A1014)^2</f>
        <v>26238.70936569418</v>
      </c>
      <c r="C1015" s="74">
        <f t="shared" ref="C1015:C1078" si="187">C1014+E1014*(A1015-A1014)+G1014*(A1015-A1014)^2</f>
        <v>-11118.974585947417</v>
      </c>
      <c r="D1015" s="74">
        <f t="shared" ref="D1015:D1078" si="188">D1014+F1014*(A1015-A1014)</f>
        <v>4587.2430000044169</v>
      </c>
      <c r="E1015" s="74">
        <f t="shared" ref="E1015:E1078" si="189">E1014+G1014*(A1015-A1014)</f>
        <v>-555.67244240192463</v>
      </c>
      <c r="F1015" s="74">
        <f t="shared" si="183"/>
        <v>-1637.8665878969578</v>
      </c>
      <c r="G1015" s="74">
        <f t="shared" si="184"/>
        <v>1236.7312961382713</v>
      </c>
      <c r="H1015" s="74">
        <f t="shared" ref="H1015:H1078" si="190">$C$19-B1015</f>
        <v>-6238.7093656941797</v>
      </c>
      <c r="I1015" s="74">
        <f t="shared" ref="I1015:I1078" si="191">$D$19-C1015</f>
        <v>31118.974585947417</v>
      </c>
      <c r="J1015" s="74">
        <f t="shared" ref="J1015:J1078" si="192">SQRT(H1015^2+I1015^2)</f>
        <v>31738.1800648752</v>
      </c>
      <c r="K1015" s="74">
        <f t="shared" ref="K1015:K1078" si="193">$C$28-B1015</f>
        <v>-46238.70936569418</v>
      </c>
      <c r="L1015" s="74">
        <f t="shared" ref="L1015:L1078" si="194">$D$28-C1015</f>
        <v>31118.974585947417</v>
      </c>
      <c r="M1015" s="74">
        <f t="shared" ref="M1015:M1078" si="195">SQRT(K1015^2+L1015^2)</f>
        <v>55735.166843618361</v>
      </c>
      <c r="N1015" s="74">
        <f t="shared" ref="N1015:N1078" si="196">$C$37-B1015</f>
        <v>-31238.70936569418</v>
      </c>
      <c r="O1015" s="74">
        <f t="shared" ref="O1015:O1078" si="197">$D$37-C1015</f>
        <v>-23881.025414052583</v>
      </c>
      <c r="P1015" s="74">
        <f t="shared" ref="P1015:P1078" si="198">SQRT(N1015^2+O1015^2)</f>
        <v>39321.245372710851</v>
      </c>
    </row>
    <row r="1016" spans="1:16" x14ac:dyDescent="0.3">
      <c r="A1016" s="72">
        <f t="shared" si="185"/>
        <v>353.5</v>
      </c>
      <c r="B1016" s="74">
        <f t="shared" si="186"/>
        <v>28122.864218722149</v>
      </c>
      <c r="C1016" s="74">
        <f t="shared" si="187"/>
        <v>-11087.627983113811</v>
      </c>
      <c r="D1016" s="74">
        <f t="shared" si="188"/>
        <v>3768.309706055938</v>
      </c>
      <c r="E1016" s="74">
        <f t="shared" si="189"/>
        <v>62.693205667211032</v>
      </c>
      <c r="F1016" s="74">
        <f t="shared" si="183"/>
        <v>-1657.3308714076156</v>
      </c>
      <c r="G1016" s="74">
        <f t="shared" si="184"/>
        <v>1224.4537961687704</v>
      </c>
      <c r="H1016" s="74">
        <f t="shared" si="190"/>
        <v>-8122.8642187221485</v>
      </c>
      <c r="I1016" s="74">
        <f t="shared" si="191"/>
        <v>31087.627983113809</v>
      </c>
      <c r="J1016" s="74">
        <f t="shared" si="192"/>
        <v>32131.317071235615</v>
      </c>
      <c r="K1016" s="74">
        <f t="shared" si="193"/>
        <v>-48122.864218722149</v>
      </c>
      <c r="L1016" s="74">
        <f t="shared" si="194"/>
        <v>31087.627983113809</v>
      </c>
      <c r="M1016" s="74">
        <f t="shared" si="195"/>
        <v>57290.930121879232</v>
      </c>
      <c r="N1016" s="74">
        <f t="shared" si="196"/>
        <v>-33122.864218722149</v>
      </c>
      <c r="O1016" s="74">
        <f t="shared" si="197"/>
        <v>-23912.372016886191</v>
      </c>
      <c r="P1016" s="74">
        <f t="shared" si="198"/>
        <v>40852.486699414832</v>
      </c>
    </row>
    <row r="1017" spans="1:16" x14ac:dyDescent="0.3">
      <c r="A1017" s="72">
        <f t="shared" si="185"/>
        <v>354</v>
      </c>
      <c r="B1017" s="74">
        <f t="shared" si="186"/>
        <v>29592.686353898214</v>
      </c>
      <c r="C1017" s="74">
        <f t="shared" si="187"/>
        <v>-10750.167931238013</v>
      </c>
      <c r="D1017" s="74">
        <f t="shared" si="188"/>
        <v>2939.6442703521302</v>
      </c>
      <c r="E1017" s="74">
        <f t="shared" si="189"/>
        <v>674.92010375159623</v>
      </c>
      <c r="F1017" s="74">
        <f t="shared" si="183"/>
        <v>-1672.8542388041969</v>
      </c>
      <c r="G1017" s="74">
        <f t="shared" si="184"/>
        <v>1226.3933537939588</v>
      </c>
      <c r="H1017" s="74">
        <f t="shared" si="190"/>
        <v>-9592.6863538982143</v>
      </c>
      <c r="I1017" s="74">
        <f t="shared" si="191"/>
        <v>30750.167931238015</v>
      </c>
      <c r="J1017" s="74">
        <f t="shared" si="192"/>
        <v>32211.682031269396</v>
      </c>
      <c r="K1017" s="74">
        <f t="shared" si="193"/>
        <v>-49592.686353898214</v>
      </c>
      <c r="L1017" s="74">
        <f t="shared" si="194"/>
        <v>30750.167931238015</v>
      </c>
      <c r="M1017" s="74">
        <f t="shared" si="195"/>
        <v>58352.440973754135</v>
      </c>
      <c r="N1017" s="74">
        <f t="shared" si="196"/>
        <v>-34592.686353898214</v>
      </c>
      <c r="O1017" s="74">
        <f t="shared" si="197"/>
        <v>-24249.832068761985</v>
      </c>
      <c r="P1017" s="74">
        <f t="shared" si="198"/>
        <v>42245.808129829078</v>
      </c>
    </row>
    <row r="1018" spans="1:16" x14ac:dyDescent="0.3">
      <c r="A1018" s="72">
        <f t="shared" si="185"/>
        <v>354.5</v>
      </c>
      <c r="B1018" s="74">
        <f t="shared" si="186"/>
        <v>30644.294929373231</v>
      </c>
      <c r="C1018" s="74">
        <f t="shared" si="187"/>
        <v>-10106.109540913725</v>
      </c>
      <c r="D1018" s="74">
        <f t="shared" si="188"/>
        <v>2103.2171509500317</v>
      </c>
      <c r="E1018" s="74">
        <f t="shared" si="189"/>
        <v>1288.1167806485755</v>
      </c>
      <c r="F1018" s="74">
        <f t="shared" si="183"/>
        <v>-1693.6438687350144</v>
      </c>
      <c r="G1018" s="74">
        <f t="shared" si="184"/>
        <v>1249.1576890468421</v>
      </c>
      <c r="H1018" s="74">
        <f t="shared" si="190"/>
        <v>-10644.294929373231</v>
      </c>
      <c r="I1018" s="74">
        <f t="shared" si="191"/>
        <v>30106.109540913727</v>
      </c>
      <c r="J1018" s="74">
        <f t="shared" si="192"/>
        <v>31932.410592264674</v>
      </c>
      <c r="K1018" s="74">
        <f t="shared" si="193"/>
        <v>-50644.294929373231</v>
      </c>
      <c r="L1018" s="74">
        <f t="shared" si="194"/>
        <v>30106.109540913727</v>
      </c>
      <c r="M1018" s="74">
        <f t="shared" si="195"/>
        <v>58917.081059594559</v>
      </c>
      <c r="N1018" s="74">
        <f t="shared" si="196"/>
        <v>-35644.294929373231</v>
      </c>
      <c r="O1018" s="74">
        <f t="shared" si="197"/>
        <v>-24893.890459086273</v>
      </c>
      <c r="P1018" s="74">
        <f t="shared" si="198"/>
        <v>43476.678152788176</v>
      </c>
    </row>
    <row r="1019" spans="1:16" x14ac:dyDescent="0.3">
      <c r="A1019" s="72">
        <f t="shared" si="185"/>
        <v>355</v>
      </c>
      <c r="B1019" s="74">
        <f t="shared" si="186"/>
        <v>31272.492537664493</v>
      </c>
      <c r="C1019" s="74">
        <f t="shared" si="187"/>
        <v>-9149.7617283277268</v>
      </c>
      <c r="D1019" s="74">
        <f t="shared" si="188"/>
        <v>1256.3952165825244</v>
      </c>
      <c r="E1019" s="74">
        <f t="shared" si="189"/>
        <v>1912.6956251719967</v>
      </c>
      <c r="F1019" s="74">
        <f t="shared" si="183"/>
        <v>-1726.6699902940181</v>
      </c>
      <c r="G1019" s="74">
        <f t="shared" si="184"/>
        <v>1300.8446664523551</v>
      </c>
      <c r="H1019" s="74">
        <f t="shared" si="190"/>
        <v>-11272.492537664493</v>
      </c>
      <c r="I1019" s="74">
        <f t="shared" si="191"/>
        <v>29149.761728327729</v>
      </c>
      <c r="J1019" s="74">
        <f t="shared" si="192"/>
        <v>31253.442959616172</v>
      </c>
      <c r="K1019" s="74">
        <f t="shared" si="193"/>
        <v>-51272.492537664497</v>
      </c>
      <c r="L1019" s="74">
        <f t="shared" si="194"/>
        <v>29149.761728327729</v>
      </c>
      <c r="M1019" s="74">
        <f t="shared" si="195"/>
        <v>58979.463373645078</v>
      </c>
      <c r="N1019" s="74">
        <f t="shared" si="196"/>
        <v>-36272.492537664497</v>
      </c>
      <c r="O1019" s="74">
        <f t="shared" si="197"/>
        <v>-25850.238271672271</v>
      </c>
      <c r="P1019" s="74">
        <f t="shared" si="198"/>
        <v>44541.312661361437</v>
      </c>
    </row>
    <row r="1020" spans="1:16" x14ac:dyDescent="0.3">
      <c r="A1020" s="72">
        <f t="shared" si="185"/>
        <v>355.5</v>
      </c>
      <c r="B1020" s="74">
        <f t="shared" si="186"/>
        <v>31469.022648382252</v>
      </c>
      <c r="C1020" s="74">
        <f t="shared" si="187"/>
        <v>-7868.2027491286399</v>
      </c>
      <c r="D1020" s="74">
        <f t="shared" si="188"/>
        <v>393.06022143551536</v>
      </c>
      <c r="E1020" s="74">
        <f t="shared" si="189"/>
        <v>2563.1179583981743</v>
      </c>
      <c r="F1020" s="74">
        <f t="shared" si="183"/>
        <v>-1778.4934933395971</v>
      </c>
      <c r="G1020" s="74">
        <f t="shared" si="184"/>
        <v>1393.6160225388062</v>
      </c>
      <c r="H1020" s="74">
        <f t="shared" si="190"/>
        <v>-11469.022648382252</v>
      </c>
      <c r="I1020" s="74">
        <f t="shared" si="191"/>
        <v>27868.202749128639</v>
      </c>
      <c r="J1020" s="74">
        <f t="shared" si="192"/>
        <v>30135.945397077659</v>
      </c>
      <c r="K1020" s="74">
        <f t="shared" si="193"/>
        <v>-51469.022648382248</v>
      </c>
      <c r="L1020" s="74">
        <f t="shared" si="194"/>
        <v>27868.202749128639</v>
      </c>
      <c r="M1020" s="74">
        <f t="shared" si="195"/>
        <v>58529.454267456022</v>
      </c>
      <c r="N1020" s="74">
        <f t="shared" si="196"/>
        <v>-36469.022648382248</v>
      </c>
      <c r="O1020" s="74">
        <f t="shared" si="197"/>
        <v>-27131.797250871361</v>
      </c>
      <c r="P1020" s="74">
        <f t="shared" si="198"/>
        <v>45454.637112077005</v>
      </c>
    </row>
    <row r="1021" spans="1:16" x14ac:dyDescent="0.3">
      <c r="A1021" s="72">
        <f t="shared" si="185"/>
        <v>356</v>
      </c>
      <c r="B1021" s="74">
        <f t="shared" si="186"/>
        <v>31220.92938576511</v>
      </c>
      <c r="C1021" s="74">
        <f t="shared" si="187"/>
        <v>-6238.2397642948517</v>
      </c>
      <c r="D1021" s="74">
        <f t="shared" si="188"/>
        <v>-496.18652523428318</v>
      </c>
      <c r="E1021" s="74">
        <f t="shared" si="189"/>
        <v>3259.9259696675772</v>
      </c>
      <c r="F1021" s="74">
        <f t="shared" si="183"/>
        <v>-1857.1704615784065</v>
      </c>
      <c r="G1021" s="74">
        <f t="shared" si="184"/>
        <v>1548.0953943739325</v>
      </c>
      <c r="H1021" s="74">
        <f t="shared" si="190"/>
        <v>-11220.92938576511</v>
      </c>
      <c r="I1021" s="74">
        <f t="shared" si="191"/>
        <v>26238.239764294853</v>
      </c>
      <c r="J1021" s="74">
        <f t="shared" si="192"/>
        <v>28536.896856682761</v>
      </c>
      <c r="K1021" s="74">
        <f t="shared" si="193"/>
        <v>-51220.929385765106</v>
      </c>
      <c r="L1021" s="74">
        <f t="shared" si="194"/>
        <v>26238.239764294853</v>
      </c>
      <c r="M1021" s="74">
        <f t="shared" si="195"/>
        <v>57550.228783821171</v>
      </c>
      <c r="N1021" s="74">
        <f t="shared" si="196"/>
        <v>-36220.929385765106</v>
      </c>
      <c r="O1021" s="74">
        <f t="shared" si="197"/>
        <v>-28761.760235705147</v>
      </c>
      <c r="P1021" s="74">
        <f t="shared" si="198"/>
        <v>46251.427842011239</v>
      </c>
    </row>
    <row r="1022" spans="1:16" x14ac:dyDescent="0.3">
      <c r="A1022" s="72">
        <f t="shared" si="185"/>
        <v>356.5</v>
      </c>
      <c r="B1022" s="74">
        <f t="shared" si="186"/>
        <v>30508.543507753366</v>
      </c>
      <c r="C1022" s="74">
        <f t="shared" si="187"/>
        <v>-4221.2529308675794</v>
      </c>
      <c r="D1022" s="74">
        <f t="shared" si="188"/>
        <v>-1424.7717560234864</v>
      </c>
      <c r="E1022" s="74">
        <f t="shared" si="189"/>
        <v>4033.9736668545434</v>
      </c>
      <c r="F1022" s="74">
        <f t="shared" si="183"/>
        <v>-1974.8729802396156</v>
      </c>
      <c r="G1022" s="74">
        <f t="shared" si="184"/>
        <v>1802.3805636446473</v>
      </c>
      <c r="H1022" s="74">
        <f t="shared" si="190"/>
        <v>-10508.543507753366</v>
      </c>
      <c r="I1022" s="74">
        <f t="shared" si="191"/>
        <v>24221.25293086758</v>
      </c>
      <c r="J1022" s="74">
        <f t="shared" si="192"/>
        <v>26402.624494459007</v>
      </c>
      <c r="K1022" s="74">
        <f t="shared" si="193"/>
        <v>-50508.543507753362</v>
      </c>
      <c r="L1022" s="74">
        <f t="shared" si="194"/>
        <v>24221.25293086758</v>
      </c>
      <c r="M1022" s="74">
        <f t="shared" si="195"/>
        <v>56015.908997495309</v>
      </c>
      <c r="N1022" s="74">
        <f t="shared" si="196"/>
        <v>-35508.543507753362</v>
      </c>
      <c r="O1022" s="74">
        <f t="shared" si="197"/>
        <v>-30778.74706913242</v>
      </c>
      <c r="P1022" s="74">
        <f t="shared" si="198"/>
        <v>46991.360197249465</v>
      </c>
    </row>
    <row r="1023" spans="1:16" x14ac:dyDescent="0.3">
      <c r="A1023" s="72">
        <f t="shared" si="185"/>
        <v>357</v>
      </c>
      <c r="B1023" s="74">
        <f t="shared" si="186"/>
        <v>29302.439384681718</v>
      </c>
      <c r="C1023" s="74">
        <f t="shared" si="187"/>
        <v>-1753.6709565291462</v>
      </c>
      <c r="D1023" s="74">
        <f t="shared" si="188"/>
        <v>-2412.2082461432942</v>
      </c>
      <c r="E1023" s="74">
        <f t="shared" si="189"/>
        <v>4935.1639486768672</v>
      </c>
      <c r="F1023" s="74">
        <f t="shared" si="183"/>
        <v>-2152.2812064248033</v>
      </c>
      <c r="G1023" s="74">
        <f t="shared" si="184"/>
        <v>2233.4138187564863</v>
      </c>
      <c r="H1023" s="74">
        <f t="shared" si="190"/>
        <v>-9302.4393846817184</v>
      </c>
      <c r="I1023" s="74">
        <f t="shared" si="191"/>
        <v>21753.670956529146</v>
      </c>
      <c r="J1023" s="74">
        <f t="shared" si="192"/>
        <v>23659.196490807062</v>
      </c>
      <c r="K1023" s="74">
        <f t="shared" si="193"/>
        <v>-49302.439384681718</v>
      </c>
      <c r="L1023" s="74">
        <f t="shared" si="194"/>
        <v>21753.670956529146</v>
      </c>
      <c r="M1023" s="74">
        <f t="shared" si="195"/>
        <v>53888.335744993601</v>
      </c>
      <c r="N1023" s="74">
        <f t="shared" si="196"/>
        <v>-34302.439384681718</v>
      </c>
      <c r="O1023" s="74">
        <f t="shared" si="197"/>
        <v>-33246.329043470854</v>
      </c>
      <c r="P1023" s="74">
        <f t="shared" si="198"/>
        <v>47770.029753041781</v>
      </c>
    </row>
    <row r="1024" spans="1:16" x14ac:dyDescent="0.3">
      <c r="A1024" s="72">
        <f t="shared" si="185"/>
        <v>357.5</v>
      </c>
      <c r="B1024" s="74">
        <f t="shared" si="186"/>
        <v>27558.264960003871</v>
      </c>
      <c r="C1024" s="74">
        <f t="shared" si="187"/>
        <v>1272.2644724984088</v>
      </c>
      <c r="D1024" s="74">
        <f t="shared" si="188"/>
        <v>-3488.3488493556961</v>
      </c>
      <c r="E1024" s="74">
        <f t="shared" si="189"/>
        <v>6051.8708580551101</v>
      </c>
      <c r="F1024" s="74">
        <f t="shared" si="183"/>
        <v>-2425.1989185302587</v>
      </c>
      <c r="G1024" s="74">
        <f t="shared" si="184"/>
        <v>3015.6261200625954</v>
      </c>
      <c r="H1024" s="74">
        <f t="shared" si="190"/>
        <v>-7558.2649600038712</v>
      </c>
      <c r="I1024" s="74">
        <f t="shared" si="191"/>
        <v>18727.735527501591</v>
      </c>
      <c r="J1024" s="74">
        <f t="shared" si="192"/>
        <v>20195.431344580575</v>
      </c>
      <c r="K1024" s="74">
        <f t="shared" si="193"/>
        <v>-47558.264960003871</v>
      </c>
      <c r="L1024" s="74">
        <f t="shared" si="194"/>
        <v>18727.735527501591</v>
      </c>
      <c r="M1024" s="74">
        <f t="shared" si="195"/>
        <v>51112.783567264043</v>
      </c>
      <c r="N1024" s="74">
        <f t="shared" si="196"/>
        <v>-32558.264960003871</v>
      </c>
      <c r="O1024" s="74">
        <f t="shared" si="197"/>
        <v>-36272.264472498406</v>
      </c>
      <c r="P1024" s="74">
        <f t="shared" si="198"/>
        <v>48741.335508669494</v>
      </c>
    </row>
    <row r="1025" spans="1:16" x14ac:dyDescent="0.3">
      <c r="A1025" s="72">
        <f t="shared" si="185"/>
        <v>358</v>
      </c>
      <c r="B1025" s="74">
        <f t="shared" si="186"/>
        <v>25207.790805693461</v>
      </c>
      <c r="C1025" s="74">
        <f t="shared" si="187"/>
        <v>5052.1064315416133</v>
      </c>
      <c r="D1025" s="74">
        <f t="shared" si="188"/>
        <v>-4700.9483086208256</v>
      </c>
      <c r="E1025" s="74">
        <f t="shared" si="189"/>
        <v>7559.6839180864081</v>
      </c>
      <c r="F1025" s="74">
        <f t="shared" si="183"/>
        <v>-2834.8134379658986</v>
      </c>
      <c r="G1025" s="74">
        <f t="shared" si="184"/>
        <v>4608.8056966028234</v>
      </c>
      <c r="H1025" s="74">
        <f t="shared" si="190"/>
        <v>-5207.7908056934612</v>
      </c>
      <c r="I1025" s="74">
        <f t="shared" si="191"/>
        <v>14947.893568458387</v>
      </c>
      <c r="J1025" s="74">
        <f t="shared" si="192"/>
        <v>15829.10633010673</v>
      </c>
      <c r="K1025" s="74">
        <f t="shared" si="193"/>
        <v>-45207.790805693461</v>
      </c>
      <c r="L1025" s="74">
        <f t="shared" si="194"/>
        <v>14947.893568458387</v>
      </c>
      <c r="M1025" s="74">
        <f t="shared" si="195"/>
        <v>47614.954286078042</v>
      </c>
      <c r="N1025" s="74">
        <f t="shared" si="196"/>
        <v>-30207.790805693461</v>
      </c>
      <c r="O1025" s="74">
        <f t="shared" si="197"/>
        <v>-40052.106431541615</v>
      </c>
      <c r="P1025" s="74">
        <f t="shared" si="198"/>
        <v>50166.541189961215</v>
      </c>
    </row>
    <row r="1026" spans="1:16" x14ac:dyDescent="0.3">
      <c r="A1026" s="72">
        <f t="shared" si="185"/>
        <v>358.5</v>
      </c>
      <c r="B1026" s="74">
        <f t="shared" si="186"/>
        <v>22148.613291891572</v>
      </c>
      <c r="C1026" s="74">
        <f t="shared" si="187"/>
        <v>9984.1498147355233</v>
      </c>
      <c r="D1026" s="74">
        <f t="shared" si="188"/>
        <v>-6118.3550276037749</v>
      </c>
      <c r="E1026" s="74">
        <f t="shared" si="189"/>
        <v>9864.0867663878198</v>
      </c>
      <c r="F1026" s="74">
        <f t="shared" si="183"/>
        <v>-3052.7087495334886</v>
      </c>
      <c r="G1026" s="74">
        <f t="shared" si="184"/>
        <v>8325.7774006792297</v>
      </c>
      <c r="H1026" s="74">
        <f t="shared" si="190"/>
        <v>-2148.6132918915719</v>
      </c>
      <c r="I1026" s="74">
        <f t="shared" si="191"/>
        <v>10015.850185264477</v>
      </c>
      <c r="J1026" s="74">
        <f t="shared" si="192"/>
        <v>10243.71973512335</v>
      </c>
      <c r="K1026" s="74">
        <f t="shared" si="193"/>
        <v>-42148.613291891568</v>
      </c>
      <c r="L1026" s="74">
        <f t="shared" si="194"/>
        <v>10015.850185264477</v>
      </c>
      <c r="M1026" s="74">
        <f t="shared" si="195"/>
        <v>43322.313619693501</v>
      </c>
      <c r="N1026" s="74">
        <f t="shared" si="196"/>
        <v>-27148.613291891572</v>
      </c>
      <c r="O1026" s="74">
        <f t="shared" si="197"/>
        <v>-44984.149814735523</v>
      </c>
      <c r="P1026" s="74">
        <f t="shared" si="198"/>
        <v>52541.611492485092</v>
      </c>
    </row>
    <row r="1027" spans="1:16" x14ac:dyDescent="0.3">
      <c r="A1027" s="72">
        <f t="shared" si="185"/>
        <v>359</v>
      </c>
      <c r="B1027" s="74">
        <f t="shared" si="186"/>
        <v>18326.258590706311</v>
      </c>
      <c r="C1027" s="74">
        <f t="shared" si="187"/>
        <v>16997.637548099239</v>
      </c>
      <c r="D1027" s="74">
        <f t="shared" si="188"/>
        <v>-7644.7094023705195</v>
      </c>
      <c r="E1027" s="74">
        <f t="shared" si="189"/>
        <v>14026.975466727436</v>
      </c>
      <c r="F1027" s="74">
        <f t="shared" si="183"/>
        <v>3922.94173625029</v>
      </c>
      <c r="G1027" s="74">
        <f t="shared" si="184"/>
        <v>9052.5772315485883</v>
      </c>
      <c r="H1027" s="74">
        <f t="shared" si="190"/>
        <v>1673.7414092936888</v>
      </c>
      <c r="I1027" s="74">
        <f t="shared" si="191"/>
        <v>3002.3624519007608</v>
      </c>
      <c r="J1027" s="74">
        <f t="shared" si="192"/>
        <v>3437.3813576279213</v>
      </c>
      <c r="K1027" s="74">
        <f t="shared" si="193"/>
        <v>-38326.258590706311</v>
      </c>
      <c r="L1027" s="74">
        <f t="shared" si="194"/>
        <v>3002.3624519007608</v>
      </c>
      <c r="M1027" s="74">
        <f t="shared" si="195"/>
        <v>38443.676695319773</v>
      </c>
      <c r="N1027" s="74">
        <f t="shared" si="196"/>
        <v>-23326.258590706311</v>
      </c>
      <c r="O1027" s="74">
        <f t="shared" si="197"/>
        <v>-51997.637548099243</v>
      </c>
      <c r="P1027" s="74">
        <f t="shared" si="198"/>
        <v>56990.075016830786</v>
      </c>
    </row>
    <row r="1028" spans="1:16" x14ac:dyDescent="0.3">
      <c r="A1028" s="72">
        <f t="shared" si="185"/>
        <v>359.5</v>
      </c>
      <c r="B1028" s="74">
        <f t="shared" si="186"/>
        <v>15484.639323583622</v>
      </c>
      <c r="C1028" s="74">
        <f t="shared" si="187"/>
        <v>26274.2695893501</v>
      </c>
      <c r="D1028" s="74">
        <f t="shared" si="188"/>
        <v>-5683.2385342453745</v>
      </c>
      <c r="E1028" s="74">
        <f t="shared" si="189"/>
        <v>18553.26408250173</v>
      </c>
      <c r="F1028" s="74">
        <f t="shared" si="183"/>
        <v>4997.2404473673796</v>
      </c>
      <c r="G1028" s="74">
        <f t="shared" si="184"/>
        <v>-9489.9071303837463</v>
      </c>
      <c r="H1028" s="74">
        <f t="shared" si="190"/>
        <v>4515.3606764163778</v>
      </c>
      <c r="I1028" s="74">
        <f t="shared" si="191"/>
        <v>-6274.2695893501004</v>
      </c>
      <c r="J1028" s="74">
        <f t="shared" si="192"/>
        <v>7730.1320116781217</v>
      </c>
      <c r="K1028" s="74">
        <f t="shared" si="193"/>
        <v>-35484.639323583622</v>
      </c>
      <c r="L1028" s="74">
        <f t="shared" si="194"/>
        <v>-6274.2695893501004</v>
      </c>
      <c r="M1028" s="74">
        <f t="shared" si="195"/>
        <v>36035.067459415979</v>
      </c>
      <c r="N1028" s="74">
        <f t="shared" si="196"/>
        <v>-20484.639323583622</v>
      </c>
      <c r="O1028" s="74">
        <f t="shared" si="197"/>
        <v>-61274.2695893501</v>
      </c>
      <c r="P1028" s="74">
        <f t="shared" si="198"/>
        <v>64607.712867162096</v>
      </c>
    </row>
    <row r="1029" spans="1:16" x14ac:dyDescent="0.3">
      <c r="A1029" s="72">
        <f t="shared" si="185"/>
        <v>360</v>
      </c>
      <c r="B1029" s="74">
        <f t="shared" si="186"/>
        <v>13892.33016830278</v>
      </c>
      <c r="C1029" s="74">
        <f t="shared" si="187"/>
        <v>33178.42484800503</v>
      </c>
      <c r="D1029" s="74">
        <f t="shared" si="188"/>
        <v>-3184.6183105616847</v>
      </c>
      <c r="E1029" s="74">
        <f t="shared" si="189"/>
        <v>13808.310517309856</v>
      </c>
      <c r="F1029" s="74">
        <f t="shared" si="183"/>
        <v>1207.9948232467659</v>
      </c>
      <c r="G1029" s="74">
        <f t="shared" si="184"/>
        <v>-6120.7006195025933</v>
      </c>
      <c r="H1029" s="74">
        <f t="shared" si="190"/>
        <v>6107.6698316972197</v>
      </c>
      <c r="I1029" s="74">
        <f t="shared" si="191"/>
        <v>-13178.42484800503</v>
      </c>
      <c r="J1029" s="74">
        <f t="shared" si="192"/>
        <v>14524.961695217677</v>
      </c>
      <c r="K1029" s="74">
        <f t="shared" si="193"/>
        <v>-33892.330168302782</v>
      </c>
      <c r="L1029" s="74">
        <f t="shared" si="194"/>
        <v>-13178.42484800503</v>
      </c>
      <c r="M1029" s="74">
        <f t="shared" si="195"/>
        <v>36364.280904642721</v>
      </c>
      <c r="N1029" s="74">
        <f t="shared" si="196"/>
        <v>-18892.330168302782</v>
      </c>
      <c r="O1029" s="74">
        <f t="shared" si="197"/>
        <v>-68178.42484800503</v>
      </c>
      <c r="P1029" s="74">
        <f t="shared" si="198"/>
        <v>70747.563590156467</v>
      </c>
    </row>
    <row r="1030" spans="1:16" x14ac:dyDescent="0.3">
      <c r="A1030" s="72">
        <f t="shared" si="185"/>
        <v>360.5</v>
      </c>
      <c r="B1030" s="74">
        <f t="shared" si="186"/>
        <v>12602.01971883363</v>
      </c>
      <c r="C1030" s="74">
        <f t="shared" si="187"/>
        <v>38552.404951784309</v>
      </c>
      <c r="D1030" s="74">
        <f t="shared" si="188"/>
        <v>-2580.6208989383017</v>
      </c>
      <c r="E1030" s="74">
        <f t="shared" si="189"/>
        <v>10747.960207558559</v>
      </c>
      <c r="F1030" s="74">
        <f t="shared" si="183"/>
        <v>246.17663240046153</v>
      </c>
      <c r="G1030" s="74">
        <f t="shared" si="184"/>
        <v>-4257.8218674805466</v>
      </c>
      <c r="H1030" s="74">
        <f t="shared" si="190"/>
        <v>7397.9802811663703</v>
      </c>
      <c r="I1030" s="74">
        <f t="shared" si="191"/>
        <v>-18552.404951784309</v>
      </c>
      <c r="J1030" s="74">
        <f t="shared" si="192"/>
        <v>19973.027855974102</v>
      </c>
      <c r="K1030" s="74">
        <f t="shared" si="193"/>
        <v>-32602.019718833631</v>
      </c>
      <c r="L1030" s="74">
        <f t="shared" si="194"/>
        <v>-18552.404951784309</v>
      </c>
      <c r="M1030" s="74">
        <f t="shared" si="195"/>
        <v>37511.110610620526</v>
      </c>
      <c r="N1030" s="74">
        <f t="shared" si="196"/>
        <v>-17602.019718833631</v>
      </c>
      <c r="O1030" s="74">
        <f t="shared" si="197"/>
        <v>-73552.404951784309</v>
      </c>
      <c r="P1030" s="74">
        <f t="shared" si="198"/>
        <v>75629.275894811217</v>
      </c>
    </row>
    <row r="1031" spans="1:16" x14ac:dyDescent="0.3">
      <c r="A1031" s="72">
        <f t="shared" si="185"/>
        <v>361</v>
      </c>
      <c r="B1031" s="74">
        <f t="shared" si="186"/>
        <v>11373.253427464595</v>
      </c>
      <c r="C1031" s="74">
        <f t="shared" si="187"/>
        <v>42861.929588693449</v>
      </c>
      <c r="D1031" s="74">
        <f t="shared" si="188"/>
        <v>-2457.5325827380711</v>
      </c>
      <c r="E1031" s="74">
        <f t="shared" si="189"/>
        <v>8619.0492738182857</v>
      </c>
      <c r="F1031" s="74">
        <f t="shared" si="183"/>
        <v>-40.847808877980277</v>
      </c>
      <c r="G1031" s="74">
        <f t="shared" si="184"/>
        <v>-3342.481597854241</v>
      </c>
      <c r="H1031" s="74">
        <f t="shared" si="190"/>
        <v>8626.746572535405</v>
      </c>
      <c r="I1031" s="74">
        <f t="shared" si="191"/>
        <v>-22861.929588693449</v>
      </c>
      <c r="J1031" s="74">
        <f t="shared" si="192"/>
        <v>24435.396066876598</v>
      </c>
      <c r="K1031" s="74">
        <f t="shared" si="193"/>
        <v>-31373.253427464595</v>
      </c>
      <c r="L1031" s="74">
        <f t="shared" si="194"/>
        <v>-22861.929588693449</v>
      </c>
      <c r="M1031" s="74">
        <f t="shared" si="195"/>
        <v>38819.439139975941</v>
      </c>
      <c r="N1031" s="74">
        <f t="shared" si="196"/>
        <v>-16373.253427464595</v>
      </c>
      <c r="O1031" s="74">
        <f t="shared" si="197"/>
        <v>-77861.929588693456</v>
      </c>
      <c r="P1031" s="74">
        <f t="shared" si="198"/>
        <v>79564.83838401633</v>
      </c>
    </row>
    <row r="1032" spans="1:16" x14ac:dyDescent="0.3">
      <c r="A1032" s="72">
        <f t="shared" si="185"/>
        <v>361.5</v>
      </c>
      <c r="B1032" s="74">
        <f t="shared" si="186"/>
        <v>10134.275183876063</v>
      </c>
      <c r="C1032" s="74">
        <f t="shared" si="187"/>
        <v>46335.833826139031</v>
      </c>
      <c r="D1032" s="74">
        <f t="shared" si="188"/>
        <v>-2477.9564871770613</v>
      </c>
      <c r="E1032" s="74">
        <f t="shared" si="189"/>
        <v>6947.8084748911651</v>
      </c>
      <c r="F1032" s="74">
        <f t="shared" si="183"/>
        <v>-128.44843073842503</v>
      </c>
      <c r="G1032" s="74">
        <f t="shared" si="184"/>
        <v>-2827.5815543489925</v>
      </c>
      <c r="H1032" s="74">
        <f t="shared" si="190"/>
        <v>9865.7248161239368</v>
      </c>
      <c r="I1032" s="74">
        <f t="shared" si="191"/>
        <v>-26335.833826139031</v>
      </c>
      <c r="J1032" s="74">
        <f t="shared" si="192"/>
        <v>28123.098503996542</v>
      </c>
      <c r="K1032" s="74">
        <f t="shared" si="193"/>
        <v>-30134.275183876063</v>
      </c>
      <c r="L1032" s="74">
        <f t="shared" si="194"/>
        <v>-26335.833826139031</v>
      </c>
      <c r="M1032" s="74">
        <f t="shared" si="195"/>
        <v>40020.628233144686</v>
      </c>
      <c r="N1032" s="74">
        <f t="shared" si="196"/>
        <v>-15134.275183876063</v>
      </c>
      <c r="O1032" s="74">
        <f t="shared" si="197"/>
        <v>-81335.833826139031</v>
      </c>
      <c r="P1032" s="74">
        <f t="shared" si="198"/>
        <v>82731.881095104982</v>
      </c>
    </row>
    <row r="1033" spans="1:16" x14ac:dyDescent="0.3">
      <c r="A1033" s="72">
        <f t="shared" si="185"/>
        <v>362</v>
      </c>
      <c r="B1033" s="74">
        <f t="shared" si="186"/>
        <v>8863.1848326029267</v>
      </c>
      <c r="C1033" s="74">
        <f t="shared" si="187"/>
        <v>49102.842674997366</v>
      </c>
      <c r="D1033" s="74">
        <f t="shared" si="188"/>
        <v>-2542.180702546274</v>
      </c>
      <c r="E1033" s="74">
        <f t="shared" si="189"/>
        <v>5534.0176977166684</v>
      </c>
      <c r="F1033" s="74">
        <f t="shared" si="183"/>
        <v>-146.33656892077204</v>
      </c>
      <c r="G1033" s="74">
        <f t="shared" si="184"/>
        <v>-2510.094701312702</v>
      </c>
      <c r="H1033" s="74">
        <f t="shared" si="190"/>
        <v>11136.815167397073</v>
      </c>
      <c r="I1033" s="74">
        <f t="shared" si="191"/>
        <v>-29102.842674997366</v>
      </c>
      <c r="J1033" s="74">
        <f t="shared" si="192"/>
        <v>31160.938750917201</v>
      </c>
      <c r="K1033" s="74">
        <f t="shared" si="193"/>
        <v>-28863.184832602929</v>
      </c>
      <c r="L1033" s="74">
        <f t="shared" si="194"/>
        <v>-29102.842674997366</v>
      </c>
      <c r="M1033" s="74">
        <f t="shared" si="195"/>
        <v>40988.521447432664</v>
      </c>
      <c r="N1033" s="74">
        <f t="shared" si="196"/>
        <v>-13863.184832602927</v>
      </c>
      <c r="O1033" s="74">
        <f t="shared" si="197"/>
        <v>-84102.842674997373</v>
      </c>
      <c r="P1033" s="74">
        <f t="shared" si="198"/>
        <v>85237.761817860228</v>
      </c>
    </row>
    <row r="1034" spans="1:16" x14ac:dyDescent="0.3">
      <c r="A1034" s="72">
        <f t="shared" si="185"/>
        <v>362.5</v>
      </c>
      <c r="B1034" s="74">
        <f t="shared" si="186"/>
        <v>7555.5103390995973</v>
      </c>
      <c r="C1034" s="74">
        <f t="shared" si="187"/>
        <v>51242.327848527522</v>
      </c>
      <c r="D1034" s="74">
        <f t="shared" si="188"/>
        <v>-2615.3489870066601</v>
      </c>
      <c r="E1034" s="74">
        <f t="shared" si="189"/>
        <v>4278.9703470603172</v>
      </c>
      <c r="F1034" s="74">
        <f t="shared" si="183"/>
        <v>-137.64634262292134</v>
      </c>
      <c r="G1034" s="74">
        <f t="shared" si="184"/>
        <v>-2305.393897934654</v>
      </c>
      <c r="H1034" s="74">
        <f t="shared" si="190"/>
        <v>12444.489660900403</v>
      </c>
      <c r="I1034" s="74">
        <f t="shared" si="191"/>
        <v>-31242.327848527522</v>
      </c>
      <c r="J1034" s="74">
        <f t="shared" si="192"/>
        <v>33629.575856902142</v>
      </c>
      <c r="K1034" s="74">
        <f t="shared" si="193"/>
        <v>-27555.510339099597</v>
      </c>
      <c r="L1034" s="74">
        <f t="shared" si="194"/>
        <v>-31242.327848527522</v>
      </c>
      <c r="M1034" s="74">
        <f t="shared" si="195"/>
        <v>41658.002825904929</v>
      </c>
      <c r="N1034" s="74">
        <f t="shared" si="196"/>
        <v>-12555.510339099597</v>
      </c>
      <c r="O1034" s="74">
        <f t="shared" si="197"/>
        <v>-86242.327848527522</v>
      </c>
      <c r="P1034" s="74">
        <f t="shared" si="198"/>
        <v>87151.477053508061</v>
      </c>
    </row>
    <row r="1035" spans="1:16" x14ac:dyDescent="0.3">
      <c r="A1035" s="72">
        <f t="shared" si="185"/>
        <v>363</v>
      </c>
      <c r="B1035" s="74">
        <f t="shared" si="186"/>
        <v>6213.424259940537</v>
      </c>
      <c r="C1035" s="74">
        <f t="shared" si="187"/>
        <v>52805.464547574018</v>
      </c>
      <c r="D1035" s="74">
        <f t="shared" si="188"/>
        <v>-2684.1721583181206</v>
      </c>
      <c r="E1035" s="74">
        <f t="shared" si="189"/>
        <v>3126.2733980929902</v>
      </c>
      <c r="F1035" s="74">
        <f t="shared" si="183"/>
        <v>-118.51882553354554</v>
      </c>
      <c r="G1035" s="74">
        <f t="shared" si="184"/>
        <v>-2173.5747611129977</v>
      </c>
      <c r="H1035" s="74">
        <f t="shared" si="190"/>
        <v>13786.575740059463</v>
      </c>
      <c r="I1035" s="74">
        <f t="shared" si="191"/>
        <v>-32805.464547574018</v>
      </c>
      <c r="J1035" s="74">
        <f t="shared" si="192"/>
        <v>35584.662072563398</v>
      </c>
      <c r="K1035" s="74">
        <f t="shared" si="193"/>
        <v>-26213.424259940537</v>
      </c>
      <c r="L1035" s="74">
        <f t="shared" si="194"/>
        <v>-32805.464547574018</v>
      </c>
      <c r="M1035" s="74">
        <f t="shared" si="195"/>
        <v>41992.167312652186</v>
      </c>
      <c r="N1035" s="74">
        <f t="shared" si="196"/>
        <v>-11213.424259940537</v>
      </c>
      <c r="O1035" s="74">
        <f t="shared" si="197"/>
        <v>-87805.464547574025</v>
      </c>
      <c r="P1035" s="74">
        <f t="shared" si="198"/>
        <v>88518.58837582478</v>
      </c>
    </row>
    <row r="1036" spans="1:16" x14ac:dyDescent="0.3">
      <c r="A1036" s="72">
        <f t="shared" si="185"/>
        <v>363.5</v>
      </c>
      <c r="B1036" s="74">
        <f t="shared" si="186"/>
        <v>4841.7084743980904</v>
      </c>
      <c r="C1036" s="74">
        <f t="shared" si="187"/>
        <v>53825.207556342262</v>
      </c>
      <c r="D1036" s="74">
        <f t="shared" si="188"/>
        <v>-2743.4315710848932</v>
      </c>
      <c r="E1036" s="74">
        <f t="shared" si="189"/>
        <v>2039.4860175364913</v>
      </c>
      <c r="F1036" s="74">
        <f t="shared" si="183"/>
        <v>-95.393895449316815</v>
      </c>
      <c r="G1036" s="74">
        <f t="shared" si="184"/>
        <v>-2094.2229528388152</v>
      </c>
      <c r="H1036" s="74">
        <f t="shared" si="190"/>
        <v>15158.29152560191</v>
      </c>
      <c r="I1036" s="74">
        <f t="shared" si="191"/>
        <v>-33825.207556342262</v>
      </c>
      <c r="J1036" s="74">
        <f t="shared" si="192"/>
        <v>37066.406194892545</v>
      </c>
      <c r="K1036" s="74">
        <f t="shared" si="193"/>
        <v>-24841.708474398089</v>
      </c>
      <c r="L1036" s="74">
        <f t="shared" si="194"/>
        <v>-33825.207556342262</v>
      </c>
      <c r="M1036" s="74">
        <f t="shared" si="195"/>
        <v>41967.310447020733</v>
      </c>
      <c r="N1036" s="74">
        <f t="shared" si="196"/>
        <v>-9841.7084743980904</v>
      </c>
      <c r="O1036" s="74">
        <f t="shared" si="197"/>
        <v>-88825.20755634227</v>
      </c>
      <c r="P1036" s="74">
        <f t="shared" si="198"/>
        <v>89368.768163840796</v>
      </c>
    </row>
    <row r="1037" spans="1:16" x14ac:dyDescent="0.3">
      <c r="A1037" s="72">
        <f t="shared" si="185"/>
        <v>364</v>
      </c>
      <c r="B1037" s="74">
        <f t="shared" si="186"/>
        <v>3446.1442149933146</v>
      </c>
      <c r="C1037" s="74">
        <f t="shared" si="187"/>
        <v>54321.394826900803</v>
      </c>
      <c r="D1037" s="74">
        <f t="shared" si="188"/>
        <v>-2791.1285188095517</v>
      </c>
      <c r="E1037" s="74">
        <f t="shared" si="189"/>
        <v>992.37454111708371</v>
      </c>
      <c r="F1037" s="74">
        <f t="shared" si="183"/>
        <v>-70.92260936594046</v>
      </c>
      <c r="G1037" s="74">
        <f t="shared" si="184"/>
        <v>-2056.6959135457951</v>
      </c>
      <c r="H1037" s="74">
        <f t="shared" si="190"/>
        <v>16553.855785006686</v>
      </c>
      <c r="I1037" s="74">
        <f t="shared" si="191"/>
        <v>-34321.394826900803</v>
      </c>
      <c r="J1037" s="74">
        <f t="shared" si="192"/>
        <v>38104.96403639311</v>
      </c>
      <c r="K1037" s="74">
        <f t="shared" si="193"/>
        <v>-23446.144214993314</v>
      </c>
      <c r="L1037" s="74">
        <f t="shared" si="194"/>
        <v>-34321.394826900803</v>
      </c>
      <c r="M1037" s="74">
        <f t="shared" si="195"/>
        <v>41565.368053396058</v>
      </c>
      <c r="N1037" s="74">
        <f t="shared" si="196"/>
        <v>-8446.1442149933137</v>
      </c>
      <c r="O1037" s="74">
        <f t="shared" si="197"/>
        <v>-89321.394826900796</v>
      </c>
      <c r="P1037" s="74">
        <f t="shared" si="198"/>
        <v>89719.835743962249</v>
      </c>
    </row>
    <row r="1038" spans="1:16" x14ac:dyDescent="0.3">
      <c r="A1038" s="72">
        <f t="shared" si="185"/>
        <v>364.5</v>
      </c>
      <c r="B1038" s="74">
        <f t="shared" si="186"/>
        <v>2032.8493032470535</v>
      </c>
      <c r="C1038" s="74">
        <f t="shared" si="187"/>
        <v>54303.408119072898</v>
      </c>
      <c r="D1038" s="74">
        <f t="shared" si="188"/>
        <v>-2826.5898234925221</v>
      </c>
      <c r="E1038" s="74">
        <f t="shared" si="189"/>
        <v>-35.973415655813824</v>
      </c>
      <c r="F1038" s="74">
        <f t="shared" si="183"/>
        <v>-46.285573232428376</v>
      </c>
      <c r="G1038" s="74">
        <f t="shared" si="184"/>
        <v>-2056.0518599758602</v>
      </c>
      <c r="H1038" s="74">
        <f t="shared" si="190"/>
        <v>17967.150696752946</v>
      </c>
      <c r="I1038" s="74">
        <f t="shared" si="191"/>
        <v>-34303.408119072898</v>
      </c>
      <c r="J1038" s="74">
        <f t="shared" si="192"/>
        <v>38723.924294207398</v>
      </c>
      <c r="K1038" s="74">
        <f t="shared" si="193"/>
        <v>-22032.849303247054</v>
      </c>
      <c r="L1038" s="74">
        <f t="shared" si="194"/>
        <v>-34303.408119072898</v>
      </c>
      <c r="M1038" s="74">
        <f t="shared" si="195"/>
        <v>40769.722307164062</v>
      </c>
      <c r="N1038" s="74">
        <f t="shared" si="196"/>
        <v>-7032.8493032470533</v>
      </c>
      <c r="O1038" s="74">
        <f t="shared" si="197"/>
        <v>-89303.408119072905</v>
      </c>
      <c r="P1038" s="74">
        <f t="shared" si="198"/>
        <v>89579.906625335789</v>
      </c>
    </row>
    <row r="1039" spans="1:16" x14ac:dyDescent="0.3">
      <c r="A1039" s="72">
        <f t="shared" si="185"/>
        <v>365</v>
      </c>
      <c r="B1039" s="74">
        <f t="shared" si="186"/>
        <v>607.98299819268539</v>
      </c>
      <c r="C1039" s="74">
        <f t="shared" si="187"/>
        <v>53771.408446251029</v>
      </c>
      <c r="D1039" s="74">
        <f t="shared" si="188"/>
        <v>-2849.7326101087365</v>
      </c>
      <c r="E1039" s="74">
        <f t="shared" si="189"/>
        <v>-1063.9993456437439</v>
      </c>
      <c r="F1039" s="74">
        <f t="shared" si="183"/>
        <v>-22.310209514618442</v>
      </c>
      <c r="G1039" s="74">
        <f t="shared" si="184"/>
        <v>-2091.3701526722743</v>
      </c>
      <c r="H1039" s="74">
        <f t="shared" si="190"/>
        <v>19392.017001807315</v>
      </c>
      <c r="I1039" s="74">
        <f t="shared" si="191"/>
        <v>-33771.408446251029</v>
      </c>
      <c r="J1039" s="74">
        <f t="shared" si="192"/>
        <v>38943.014159691076</v>
      </c>
      <c r="K1039" s="74">
        <f t="shared" si="193"/>
        <v>-20607.982998192685</v>
      </c>
      <c r="L1039" s="74">
        <f t="shared" si="194"/>
        <v>-33771.408446251029</v>
      </c>
      <c r="M1039" s="74">
        <f t="shared" si="195"/>
        <v>39562.570590108451</v>
      </c>
      <c r="N1039" s="74">
        <f t="shared" si="196"/>
        <v>-5607.982998192685</v>
      </c>
      <c r="O1039" s="74">
        <f t="shared" si="197"/>
        <v>-88771.408446251036</v>
      </c>
      <c r="P1039" s="74">
        <f t="shared" si="198"/>
        <v>88948.369467006807</v>
      </c>
    </row>
    <row r="1040" spans="1:16" x14ac:dyDescent="0.3">
      <c r="A1040" s="72">
        <f t="shared" si="185"/>
        <v>365.5</v>
      </c>
      <c r="B1040" s="74">
        <f t="shared" si="186"/>
        <v>-822.46085924033741</v>
      </c>
      <c r="C1040" s="74">
        <f t="shared" si="187"/>
        <v>52716.566235261089</v>
      </c>
      <c r="D1040" s="74">
        <f t="shared" si="188"/>
        <v>-2860.8877148660458</v>
      </c>
      <c r="E1040" s="74">
        <f t="shared" si="189"/>
        <v>-2109.6844219798813</v>
      </c>
      <c r="F1040" s="74">
        <f t="shared" si="183"/>
        <v>-0.3300129492683066</v>
      </c>
      <c r="G1040" s="74">
        <f t="shared" si="184"/>
        <v>-2165.3384236342458</v>
      </c>
      <c r="H1040" s="74">
        <f t="shared" si="190"/>
        <v>20822.460859240338</v>
      </c>
      <c r="I1040" s="74">
        <f t="shared" si="191"/>
        <v>-32716.566235261089</v>
      </c>
      <c r="J1040" s="74">
        <f t="shared" si="192"/>
        <v>38780.775939385509</v>
      </c>
      <c r="K1040" s="74">
        <f t="shared" si="193"/>
        <v>-19177.539140759662</v>
      </c>
      <c r="L1040" s="74">
        <f t="shared" si="194"/>
        <v>-32716.566235261089</v>
      </c>
      <c r="M1040" s="74">
        <f t="shared" si="195"/>
        <v>37922.970792404893</v>
      </c>
      <c r="N1040" s="74">
        <f t="shared" si="196"/>
        <v>-4177.5391407596626</v>
      </c>
      <c r="O1040" s="74">
        <f t="shared" si="197"/>
        <v>-87716.566235261096</v>
      </c>
      <c r="P1040" s="74">
        <f t="shared" si="198"/>
        <v>87815.988438196873</v>
      </c>
    </row>
    <row r="1041" spans="1:16" x14ac:dyDescent="0.3">
      <c r="A1041" s="72">
        <f t="shared" si="185"/>
        <v>366</v>
      </c>
      <c r="B1041" s="74">
        <f t="shared" si="186"/>
        <v>-2252.9872199106776</v>
      </c>
      <c r="C1041" s="74">
        <f t="shared" si="187"/>
        <v>51120.389418362589</v>
      </c>
      <c r="D1041" s="74">
        <f t="shared" si="188"/>
        <v>-2861.0527213406799</v>
      </c>
      <c r="E1041" s="74">
        <f t="shared" si="189"/>
        <v>-3192.3536337970045</v>
      </c>
      <c r="F1041" s="74">
        <f t="shared" si="183"/>
        <v>16.551758988816051</v>
      </c>
      <c r="G1041" s="74">
        <f t="shared" si="184"/>
        <v>-2284.8381219935554</v>
      </c>
      <c r="H1041" s="74">
        <f t="shared" si="190"/>
        <v>22252.987219910676</v>
      </c>
      <c r="I1041" s="74">
        <f t="shared" si="191"/>
        <v>-31120.389418362589</v>
      </c>
      <c r="J1041" s="74">
        <f t="shared" si="192"/>
        <v>38257.993645250688</v>
      </c>
      <c r="K1041" s="74">
        <f t="shared" si="193"/>
        <v>-17747.012780089324</v>
      </c>
      <c r="L1041" s="74">
        <f t="shared" si="194"/>
        <v>-31120.389418362589</v>
      </c>
      <c r="M1041" s="74">
        <f t="shared" si="195"/>
        <v>35825.062458664157</v>
      </c>
      <c r="N1041" s="74">
        <f t="shared" si="196"/>
        <v>-2747.0127800893224</v>
      </c>
      <c r="O1041" s="74">
        <f t="shared" si="197"/>
        <v>-86120.389418362582</v>
      </c>
      <c r="P1041" s="74">
        <f t="shared" si="198"/>
        <v>86164.189503438087</v>
      </c>
    </row>
    <row r="1042" spans="1:16" x14ac:dyDescent="0.3">
      <c r="A1042" s="72">
        <f t="shared" si="185"/>
        <v>366.5</v>
      </c>
      <c r="B1042" s="74">
        <f t="shared" si="186"/>
        <v>-3679.3756408338136</v>
      </c>
      <c r="C1042" s="74">
        <f t="shared" si="187"/>
        <v>48953.0030709657</v>
      </c>
      <c r="D1042" s="74">
        <f t="shared" si="188"/>
        <v>-2852.776841846272</v>
      </c>
      <c r="E1042" s="74">
        <f t="shared" si="189"/>
        <v>-4334.7726947937826</v>
      </c>
      <c r="F1042" s="74">
        <f t="shared" si="183"/>
        <v>20.717641657682382</v>
      </c>
      <c r="G1042" s="74">
        <f t="shared" si="184"/>
        <v>-2462.8499218844422</v>
      </c>
      <c r="H1042" s="74">
        <f t="shared" si="190"/>
        <v>23679.375640833812</v>
      </c>
      <c r="I1042" s="74">
        <f t="shared" si="191"/>
        <v>-28953.0030709657</v>
      </c>
      <c r="J1042" s="74">
        <f t="shared" si="192"/>
        <v>37403.064280444494</v>
      </c>
      <c r="K1042" s="74">
        <f t="shared" si="193"/>
        <v>-16320.624359166186</v>
      </c>
      <c r="L1042" s="74">
        <f t="shared" si="194"/>
        <v>-28953.0030709657</v>
      </c>
      <c r="M1042" s="74">
        <f t="shared" si="195"/>
        <v>33236.112382472747</v>
      </c>
      <c r="N1042" s="74">
        <f t="shared" si="196"/>
        <v>-1320.6243591661864</v>
      </c>
      <c r="O1042" s="74">
        <f t="shared" si="197"/>
        <v>-83953.0030709657</v>
      </c>
      <c r="P1042" s="74">
        <f t="shared" si="198"/>
        <v>83963.38948215227</v>
      </c>
    </row>
    <row r="1043" spans="1:16" x14ac:dyDescent="0.3">
      <c r="A1043" s="72">
        <f t="shared" si="185"/>
        <v>367</v>
      </c>
      <c r="B1043" s="74">
        <f t="shared" si="186"/>
        <v>-5100.5846513425286</v>
      </c>
      <c r="C1043" s="74">
        <f t="shared" si="187"/>
        <v>46169.904243097699</v>
      </c>
      <c r="D1043" s="74">
        <f t="shared" si="188"/>
        <v>-2842.4180210174309</v>
      </c>
      <c r="E1043" s="74">
        <f t="shared" si="189"/>
        <v>-5566.197655736004</v>
      </c>
      <c r="F1043" s="74">
        <f t="shared" si="183"/>
        <v>-6.9496717460638848</v>
      </c>
      <c r="G1043" s="74">
        <f t="shared" si="184"/>
        <v>-2722.9218753953669</v>
      </c>
      <c r="H1043" s="74">
        <f t="shared" si="190"/>
        <v>25100.584651342528</v>
      </c>
      <c r="I1043" s="74">
        <f t="shared" si="191"/>
        <v>-26169.904243097699</v>
      </c>
      <c r="J1043" s="74">
        <f t="shared" si="192"/>
        <v>36261.594531020215</v>
      </c>
      <c r="K1043" s="74">
        <f t="shared" si="193"/>
        <v>-14899.415348657472</v>
      </c>
      <c r="L1043" s="74">
        <f t="shared" si="194"/>
        <v>-26169.904243097699</v>
      </c>
      <c r="M1043" s="74">
        <f t="shared" si="195"/>
        <v>30114.057611433116</v>
      </c>
      <c r="N1043" s="74">
        <f t="shared" si="196"/>
        <v>100.58465134252856</v>
      </c>
      <c r="O1043" s="74">
        <f t="shared" si="197"/>
        <v>-81169.904243097699</v>
      </c>
      <c r="P1043" s="74">
        <f t="shared" si="198"/>
        <v>81169.966564645918</v>
      </c>
    </row>
    <row r="1044" spans="1:16" x14ac:dyDescent="0.3">
      <c r="A1044" s="72">
        <f t="shared" si="185"/>
        <v>367.5</v>
      </c>
      <c r="B1044" s="74">
        <f t="shared" si="186"/>
        <v>-6523.5310797877601</v>
      </c>
      <c r="C1044" s="74">
        <f t="shared" si="187"/>
        <v>42706.074946380853</v>
      </c>
      <c r="D1044" s="74">
        <f t="shared" si="188"/>
        <v>-2845.892856890463</v>
      </c>
      <c r="E1044" s="74">
        <f t="shared" si="189"/>
        <v>-6927.6585934336872</v>
      </c>
      <c r="F1044" s="74">
        <f t="shared" si="183"/>
        <v>-116.74660768376997</v>
      </c>
      <c r="G1044" s="74">
        <f t="shared" si="184"/>
        <v>-3109.6908260860287</v>
      </c>
      <c r="H1044" s="74">
        <f t="shared" si="190"/>
        <v>26523.531079787761</v>
      </c>
      <c r="I1044" s="74">
        <f t="shared" si="191"/>
        <v>-22706.074946380853</v>
      </c>
      <c r="J1044" s="74">
        <f t="shared" si="192"/>
        <v>34915.0904396814</v>
      </c>
      <c r="K1044" s="74">
        <f t="shared" si="193"/>
        <v>-13476.468920212239</v>
      </c>
      <c r="L1044" s="74">
        <f t="shared" si="194"/>
        <v>-22706.074946380853</v>
      </c>
      <c r="M1044" s="74">
        <f t="shared" si="195"/>
        <v>26404.186297405773</v>
      </c>
      <c r="N1044" s="74">
        <f t="shared" si="196"/>
        <v>1523.5310797877601</v>
      </c>
      <c r="O1044" s="74">
        <f t="shared" si="197"/>
        <v>-77706.074946380861</v>
      </c>
      <c r="P1044" s="74">
        <f t="shared" si="198"/>
        <v>77721.008939177045</v>
      </c>
    </row>
    <row r="1045" spans="1:16" x14ac:dyDescent="0.3">
      <c r="A1045" s="72">
        <f t="shared" si="185"/>
        <v>368</v>
      </c>
      <c r="B1045" s="74">
        <f t="shared" si="186"/>
        <v>-7975.6641601539341</v>
      </c>
      <c r="C1045" s="74">
        <f t="shared" si="187"/>
        <v>38464.822943142499</v>
      </c>
      <c r="D1045" s="74">
        <f t="shared" si="188"/>
        <v>-2904.266160732348</v>
      </c>
      <c r="E1045" s="74">
        <f t="shared" si="189"/>
        <v>-8482.5040064767018</v>
      </c>
      <c r="F1045" s="74">
        <f t="shared" si="183"/>
        <v>-452.06376022887792</v>
      </c>
      <c r="G1045" s="74">
        <f t="shared" si="184"/>
        <v>-3714.2388586072666</v>
      </c>
      <c r="H1045" s="74">
        <f t="shared" si="190"/>
        <v>27975.664160153934</v>
      </c>
      <c r="I1045" s="74">
        <f t="shared" si="191"/>
        <v>-18464.822943142499</v>
      </c>
      <c r="J1045" s="74">
        <f t="shared" si="192"/>
        <v>33519.956317443539</v>
      </c>
      <c r="K1045" s="74">
        <f t="shared" si="193"/>
        <v>-12024.335839846066</v>
      </c>
      <c r="L1045" s="74">
        <f t="shared" si="194"/>
        <v>-18464.822943142499</v>
      </c>
      <c r="M1045" s="74">
        <f t="shared" si="195"/>
        <v>22034.843741470195</v>
      </c>
      <c r="N1045" s="74">
        <f t="shared" si="196"/>
        <v>2975.6641601539341</v>
      </c>
      <c r="O1045" s="74">
        <f t="shared" si="197"/>
        <v>-73464.822943142499</v>
      </c>
      <c r="P1045" s="74">
        <f t="shared" si="198"/>
        <v>73525.062307088883</v>
      </c>
    </row>
    <row r="1046" spans="1:16" x14ac:dyDescent="0.3">
      <c r="A1046" s="72">
        <f t="shared" si="185"/>
        <v>368.5</v>
      </c>
      <c r="B1046" s="74">
        <f t="shared" si="186"/>
        <v>-9540.8131805773264</v>
      </c>
      <c r="C1046" s="74">
        <f t="shared" si="187"/>
        <v>33295.011225252332</v>
      </c>
      <c r="D1046" s="74">
        <f t="shared" si="188"/>
        <v>-3130.298040846787</v>
      </c>
      <c r="E1046" s="74">
        <f t="shared" si="189"/>
        <v>-10339.623435780335</v>
      </c>
      <c r="F1046" s="74">
        <f t="shared" si="183"/>
        <v>-1472.7165461591569</v>
      </c>
      <c r="G1046" s="74">
        <f t="shared" si="184"/>
        <v>-4716.877914763947</v>
      </c>
      <c r="H1046" s="74">
        <f t="shared" si="190"/>
        <v>29540.813180577326</v>
      </c>
      <c r="I1046" s="74">
        <f t="shared" si="191"/>
        <v>-13295.011225252332</v>
      </c>
      <c r="J1046" s="74">
        <f t="shared" si="192"/>
        <v>32394.705846007564</v>
      </c>
      <c r="K1046" s="74">
        <f t="shared" si="193"/>
        <v>-10459.186819422674</v>
      </c>
      <c r="L1046" s="74">
        <f t="shared" si="194"/>
        <v>-13295.011225252332</v>
      </c>
      <c r="M1046" s="74">
        <f t="shared" si="195"/>
        <v>16916.025313387614</v>
      </c>
      <c r="N1046" s="74">
        <f t="shared" si="196"/>
        <v>4540.8131805773264</v>
      </c>
      <c r="O1046" s="74">
        <f t="shared" si="197"/>
        <v>-68295.011225252325</v>
      </c>
      <c r="P1046" s="74">
        <f t="shared" si="198"/>
        <v>68445.800036220244</v>
      </c>
    </row>
    <row r="1047" spans="1:16" x14ac:dyDescent="0.3">
      <c r="A1047" s="72">
        <f t="shared" si="185"/>
        <v>369</v>
      </c>
      <c r="B1047" s="74">
        <f t="shared" si="186"/>
        <v>-11474.14133754051</v>
      </c>
      <c r="C1047" s="74">
        <f t="shared" si="187"/>
        <v>26945.98002867118</v>
      </c>
      <c r="D1047" s="74">
        <f t="shared" si="188"/>
        <v>-3866.6563139263653</v>
      </c>
      <c r="E1047" s="74">
        <f t="shared" si="189"/>
        <v>-12698.062393162309</v>
      </c>
      <c r="F1047" s="74">
        <f t="shared" si="183"/>
        <v>-4806.8930464076147</v>
      </c>
      <c r="G1047" s="74">
        <f t="shared" si="184"/>
        <v>-5986.3485652638119</v>
      </c>
      <c r="H1047" s="74">
        <f t="shared" si="190"/>
        <v>31474.14133754051</v>
      </c>
      <c r="I1047" s="74">
        <f t="shared" si="191"/>
        <v>-6945.9800286711798</v>
      </c>
      <c r="J1047" s="74">
        <f t="shared" si="192"/>
        <v>32231.478580638759</v>
      </c>
      <c r="K1047" s="74">
        <f t="shared" si="193"/>
        <v>-8525.85866245949</v>
      </c>
      <c r="L1047" s="74">
        <f t="shared" si="194"/>
        <v>-6945.9800286711798</v>
      </c>
      <c r="M1047" s="74">
        <f t="shared" si="195"/>
        <v>10997.131648340599</v>
      </c>
      <c r="N1047" s="74">
        <f t="shared" si="196"/>
        <v>6474.14133754051</v>
      </c>
      <c r="O1047" s="74">
        <f t="shared" si="197"/>
        <v>-61945.980028671183</v>
      </c>
      <c r="P1047" s="74">
        <f t="shared" si="198"/>
        <v>62283.37617511578</v>
      </c>
    </row>
    <row r="1048" spans="1:16" x14ac:dyDescent="0.3">
      <c r="A1048" s="72">
        <f t="shared" si="185"/>
        <v>369.5</v>
      </c>
      <c r="B1048" s="74">
        <f t="shared" si="186"/>
        <v>-14609.192756105596</v>
      </c>
      <c r="C1048" s="74">
        <f t="shared" si="187"/>
        <v>19100.361690774072</v>
      </c>
      <c r="D1048" s="74">
        <f t="shared" si="188"/>
        <v>-6270.1028371301727</v>
      </c>
      <c r="E1048" s="74">
        <f t="shared" si="189"/>
        <v>-15691.236675794215</v>
      </c>
      <c r="F1048" s="74">
        <f t="shared" si="183"/>
        <v>-10444.381312600641</v>
      </c>
      <c r="G1048" s="74">
        <f t="shared" si="184"/>
        <v>1464.4381550872699</v>
      </c>
      <c r="H1048" s="74">
        <f t="shared" si="190"/>
        <v>34609.192756105593</v>
      </c>
      <c r="I1048" s="74">
        <f t="shared" si="191"/>
        <v>899.63830922592751</v>
      </c>
      <c r="J1048" s="74">
        <f t="shared" si="192"/>
        <v>34620.883471059758</v>
      </c>
      <c r="K1048" s="74">
        <f t="shared" si="193"/>
        <v>-5390.8072438944037</v>
      </c>
      <c r="L1048" s="74">
        <f t="shared" si="194"/>
        <v>899.63830922592751</v>
      </c>
      <c r="M1048" s="74">
        <f t="shared" si="195"/>
        <v>5465.3592588457768</v>
      </c>
      <c r="N1048" s="74">
        <f t="shared" si="196"/>
        <v>9609.1927561055963</v>
      </c>
      <c r="O1048" s="74">
        <f t="shared" si="197"/>
        <v>-54100.361690774072</v>
      </c>
      <c r="P1048" s="74">
        <f t="shared" si="198"/>
        <v>54947.117490333985</v>
      </c>
    </row>
    <row r="1049" spans="1:16" x14ac:dyDescent="0.3">
      <c r="A1049" s="72">
        <f t="shared" si="185"/>
        <v>370</v>
      </c>
      <c r="B1049" s="74">
        <f t="shared" si="186"/>
        <v>-20355.339502820843</v>
      </c>
      <c r="C1049" s="74">
        <f t="shared" si="187"/>
        <v>11620.852891648783</v>
      </c>
      <c r="D1049" s="74">
        <f t="shared" si="188"/>
        <v>-11492.293493430494</v>
      </c>
      <c r="E1049" s="74">
        <f t="shared" si="189"/>
        <v>-14959.017598250579</v>
      </c>
      <c r="F1049" s="74">
        <f t="shared" si="183"/>
        <v>1632.5006891627834</v>
      </c>
      <c r="G1049" s="74">
        <f t="shared" si="184"/>
        <v>9925.0544898179869</v>
      </c>
      <c r="H1049" s="74">
        <f t="shared" si="190"/>
        <v>40355.339502820847</v>
      </c>
      <c r="I1049" s="74">
        <f t="shared" si="191"/>
        <v>8379.147108351217</v>
      </c>
      <c r="J1049" s="74">
        <f t="shared" si="192"/>
        <v>41216.059159644596</v>
      </c>
      <c r="K1049" s="74">
        <f t="shared" si="193"/>
        <v>355.33950282084334</v>
      </c>
      <c r="L1049" s="74">
        <f t="shared" si="194"/>
        <v>8379.147108351217</v>
      </c>
      <c r="M1049" s="74">
        <f t="shared" si="195"/>
        <v>8386.6782712618424</v>
      </c>
      <c r="N1049" s="74">
        <f t="shared" si="196"/>
        <v>15355.339502820843</v>
      </c>
      <c r="O1049" s="74">
        <f t="shared" si="197"/>
        <v>-46620.852891648785</v>
      </c>
      <c r="P1049" s="74">
        <f t="shared" si="198"/>
        <v>49084.522770336138</v>
      </c>
    </row>
    <row r="1050" spans="1:16" x14ac:dyDescent="0.3">
      <c r="A1050" s="72">
        <f t="shared" si="185"/>
        <v>370.5</v>
      </c>
      <c r="B1050" s="74">
        <f t="shared" si="186"/>
        <v>-25693.361077245394</v>
      </c>
      <c r="C1050" s="74">
        <f t="shared" si="187"/>
        <v>6622.6077149779903</v>
      </c>
      <c r="D1050" s="74">
        <f t="shared" si="188"/>
        <v>-10676.043148849103</v>
      </c>
      <c r="E1050" s="74">
        <f t="shared" si="189"/>
        <v>-9996.4903533415854</v>
      </c>
      <c r="F1050" s="74">
        <f t="shared" si="183"/>
        <v>3369.5696267728581</v>
      </c>
      <c r="G1050" s="74">
        <f t="shared" si="184"/>
        <v>4906.151979101518</v>
      </c>
      <c r="H1050" s="74">
        <f t="shared" si="190"/>
        <v>45693.361077245398</v>
      </c>
      <c r="I1050" s="74">
        <f t="shared" si="191"/>
        <v>13377.39228502201</v>
      </c>
      <c r="J1050" s="74">
        <f t="shared" si="192"/>
        <v>47611.320826909337</v>
      </c>
      <c r="K1050" s="74">
        <f t="shared" si="193"/>
        <v>5693.361077245394</v>
      </c>
      <c r="L1050" s="74">
        <f t="shared" si="194"/>
        <v>13377.39228502201</v>
      </c>
      <c r="M1050" s="74">
        <f t="shared" si="195"/>
        <v>14538.534475773658</v>
      </c>
      <c r="N1050" s="74">
        <f t="shared" si="196"/>
        <v>20693.361077245394</v>
      </c>
      <c r="O1050" s="74">
        <f t="shared" si="197"/>
        <v>-41622.607714977989</v>
      </c>
      <c r="P1050" s="74">
        <f t="shared" si="198"/>
        <v>46482.864215409529</v>
      </c>
    </row>
    <row r="1051" spans="1:16" x14ac:dyDescent="0.3">
      <c r="A1051" s="72">
        <f t="shared" si="185"/>
        <v>371</v>
      </c>
      <c r="B1051" s="74">
        <f t="shared" si="186"/>
        <v>-30188.990244976729</v>
      </c>
      <c r="C1051" s="74">
        <f t="shared" si="187"/>
        <v>2850.9005330825771</v>
      </c>
      <c r="D1051" s="74">
        <f t="shared" si="188"/>
        <v>-8991.2583354626731</v>
      </c>
      <c r="E1051" s="74">
        <f t="shared" si="189"/>
        <v>-7543.4143637908264</v>
      </c>
      <c r="F1051" s="74">
        <f t="shared" si="183"/>
        <v>2892.3224634439621</v>
      </c>
      <c r="G1051" s="74">
        <f t="shared" si="184"/>
        <v>2644.7453957336129</v>
      </c>
      <c r="H1051" s="74">
        <f t="shared" si="190"/>
        <v>50188.990244976725</v>
      </c>
      <c r="I1051" s="74">
        <f t="shared" si="191"/>
        <v>17149.099466917422</v>
      </c>
      <c r="J1051" s="74">
        <f t="shared" si="192"/>
        <v>53037.970873107472</v>
      </c>
      <c r="K1051" s="74">
        <f t="shared" si="193"/>
        <v>10188.990244976729</v>
      </c>
      <c r="L1051" s="74">
        <f t="shared" si="194"/>
        <v>17149.099466917422</v>
      </c>
      <c r="M1051" s="74">
        <f t="shared" si="195"/>
        <v>19947.609750004092</v>
      </c>
      <c r="N1051" s="74">
        <f t="shared" si="196"/>
        <v>25188.990244976729</v>
      </c>
      <c r="O1051" s="74">
        <f t="shared" si="197"/>
        <v>-37850.900533082575</v>
      </c>
      <c r="P1051" s="74">
        <f t="shared" si="198"/>
        <v>45466.206139580681</v>
      </c>
    </row>
    <row r="1052" spans="1:16" x14ac:dyDescent="0.3">
      <c r="A1052" s="72">
        <f t="shared" si="185"/>
        <v>371.5</v>
      </c>
      <c r="B1052" s="74">
        <f t="shared" si="186"/>
        <v>-33961.538796847075</v>
      </c>
      <c r="C1052" s="74">
        <f t="shared" si="187"/>
        <v>-259.62029987943288</v>
      </c>
      <c r="D1052" s="74">
        <f t="shared" si="188"/>
        <v>-7545.0971037406925</v>
      </c>
      <c r="E1052" s="74">
        <f t="shared" si="189"/>
        <v>-6221.04166592402</v>
      </c>
      <c r="F1052" s="74">
        <f t="shared" si="183"/>
        <v>2466.4009722961359</v>
      </c>
      <c r="G1052" s="74">
        <f t="shared" si="184"/>
        <v>1648.9445472015577</v>
      </c>
      <c r="H1052" s="74">
        <f t="shared" si="190"/>
        <v>53961.538796847075</v>
      </c>
      <c r="I1052" s="74">
        <f t="shared" si="191"/>
        <v>20259.620299879432</v>
      </c>
      <c r="J1052" s="74">
        <f t="shared" si="192"/>
        <v>57639.39524334827</v>
      </c>
      <c r="K1052" s="74">
        <f t="shared" si="193"/>
        <v>13961.538796847075</v>
      </c>
      <c r="L1052" s="74">
        <f t="shared" si="194"/>
        <v>20259.620299879432</v>
      </c>
      <c r="M1052" s="74">
        <f t="shared" si="195"/>
        <v>24604.405708554572</v>
      </c>
      <c r="N1052" s="74">
        <f t="shared" si="196"/>
        <v>28961.538796847075</v>
      </c>
      <c r="O1052" s="74">
        <f t="shared" si="197"/>
        <v>-34740.379700120568</v>
      </c>
      <c r="P1052" s="74">
        <f t="shared" si="198"/>
        <v>45229.025096610552</v>
      </c>
    </row>
    <row r="1053" spans="1:16" x14ac:dyDescent="0.3">
      <c r="A1053" s="72">
        <f t="shared" si="185"/>
        <v>372</v>
      </c>
      <c r="B1053" s="74">
        <f t="shared" si="186"/>
        <v>-37117.487105643391</v>
      </c>
      <c r="C1053" s="74">
        <f t="shared" si="187"/>
        <v>-2957.9049960410534</v>
      </c>
      <c r="D1053" s="74">
        <f t="shared" si="188"/>
        <v>-6311.8966175926244</v>
      </c>
      <c r="E1053" s="74">
        <f t="shared" si="189"/>
        <v>-5396.5693923232411</v>
      </c>
      <c r="F1053" s="74">
        <f t="shared" si="183"/>
        <v>2172.9995879874423</v>
      </c>
      <c r="G1053" s="74">
        <f t="shared" si="184"/>
        <v>1151.6530680560531</v>
      </c>
      <c r="H1053" s="74">
        <f t="shared" si="190"/>
        <v>57117.487105643391</v>
      </c>
      <c r="I1053" s="74">
        <f t="shared" si="191"/>
        <v>22957.904996041052</v>
      </c>
      <c r="J1053" s="74">
        <f t="shared" si="192"/>
        <v>61558.693415882255</v>
      </c>
      <c r="K1053" s="74">
        <f t="shared" si="193"/>
        <v>17117.487105643391</v>
      </c>
      <c r="L1053" s="74">
        <f t="shared" si="194"/>
        <v>22957.904996041052</v>
      </c>
      <c r="M1053" s="74">
        <f t="shared" si="195"/>
        <v>28636.930118626795</v>
      </c>
      <c r="N1053" s="74">
        <f t="shared" si="196"/>
        <v>32117.487105643391</v>
      </c>
      <c r="O1053" s="74">
        <f t="shared" si="197"/>
        <v>-32042.095003958948</v>
      </c>
      <c r="P1053" s="74">
        <f t="shared" si="198"/>
        <v>45367.706909473622</v>
      </c>
    </row>
    <row r="1054" spans="1:16" x14ac:dyDescent="0.3">
      <c r="A1054" s="72">
        <f t="shared" si="185"/>
        <v>372.5</v>
      </c>
      <c r="B1054" s="74">
        <f t="shared" si="186"/>
        <v>-39730.185517442842</v>
      </c>
      <c r="C1054" s="74">
        <f t="shared" si="187"/>
        <v>-5368.2764251886601</v>
      </c>
      <c r="D1054" s="74">
        <f t="shared" si="188"/>
        <v>-5225.3968235989032</v>
      </c>
      <c r="E1054" s="74">
        <f t="shared" si="189"/>
        <v>-4820.7428582952143</v>
      </c>
      <c r="F1054" s="74">
        <f t="shared" si="183"/>
        <v>1968.4642808137999</v>
      </c>
      <c r="G1054" s="74">
        <f t="shared" si="184"/>
        <v>879.34838527593126</v>
      </c>
      <c r="H1054" s="74">
        <f t="shared" si="190"/>
        <v>59730.185517442842</v>
      </c>
      <c r="I1054" s="74">
        <f t="shared" si="191"/>
        <v>25368.276425188662</v>
      </c>
      <c r="J1054" s="74">
        <f t="shared" si="192"/>
        <v>64894.102280044848</v>
      </c>
      <c r="K1054" s="74">
        <f t="shared" si="193"/>
        <v>19730.185517442842</v>
      </c>
      <c r="L1054" s="74">
        <f t="shared" si="194"/>
        <v>25368.276425188662</v>
      </c>
      <c r="M1054" s="74">
        <f t="shared" si="195"/>
        <v>32137.667453278158</v>
      </c>
      <c r="N1054" s="74">
        <f t="shared" si="196"/>
        <v>34730.185517442842</v>
      </c>
      <c r="O1054" s="74">
        <f t="shared" si="197"/>
        <v>-29631.723574811338</v>
      </c>
      <c r="P1054" s="74">
        <f t="shared" si="198"/>
        <v>45653.311250007122</v>
      </c>
    </row>
    <row r="1055" spans="1:16" x14ac:dyDescent="0.3">
      <c r="A1055" s="72">
        <f t="shared" si="185"/>
        <v>373</v>
      </c>
      <c r="B1055" s="74">
        <f t="shared" si="186"/>
        <v>-41850.767859038846</v>
      </c>
      <c r="C1055" s="74">
        <f t="shared" si="187"/>
        <v>-7558.8107580172846</v>
      </c>
      <c r="D1055" s="74">
        <f t="shared" si="188"/>
        <v>-4241.1646831920034</v>
      </c>
      <c r="E1055" s="74">
        <f t="shared" si="189"/>
        <v>-4381.0686656572489</v>
      </c>
      <c r="F1055" s="74">
        <f t="shared" si="183"/>
        <v>1821.4285275249597</v>
      </c>
      <c r="G1055" s="74">
        <f t="shared" si="184"/>
        <v>720.6076624800836</v>
      </c>
      <c r="H1055" s="74">
        <f t="shared" si="190"/>
        <v>61850.767859038846</v>
      </c>
      <c r="I1055" s="74">
        <f t="shared" si="191"/>
        <v>27558.810758017284</v>
      </c>
      <c r="J1055" s="74">
        <f t="shared" si="192"/>
        <v>67712.668941261814</v>
      </c>
      <c r="K1055" s="74">
        <f t="shared" si="193"/>
        <v>21850.767859038846</v>
      </c>
      <c r="L1055" s="74">
        <f t="shared" si="194"/>
        <v>27558.810758017284</v>
      </c>
      <c r="M1055" s="74">
        <f t="shared" si="195"/>
        <v>35170.216183950506</v>
      </c>
      <c r="N1055" s="74">
        <f t="shared" si="196"/>
        <v>36850.767859038846</v>
      </c>
      <c r="O1055" s="74">
        <f t="shared" si="197"/>
        <v>-27441.189241982716</v>
      </c>
      <c r="P1055" s="74">
        <f t="shared" si="198"/>
        <v>45945.5978175829</v>
      </c>
    </row>
    <row r="1056" spans="1:16" x14ac:dyDescent="0.3">
      <c r="A1056" s="72">
        <f t="shared" si="185"/>
        <v>373.5</v>
      </c>
      <c r="B1056" s="74">
        <f t="shared" si="186"/>
        <v>-43515.993068753611</v>
      </c>
      <c r="C1056" s="74">
        <f t="shared" si="187"/>
        <v>-9569.1931752258879</v>
      </c>
      <c r="D1056" s="74">
        <f t="shared" si="188"/>
        <v>-3330.4504194295237</v>
      </c>
      <c r="E1056" s="74">
        <f t="shared" si="189"/>
        <v>-4020.7648344172071</v>
      </c>
      <c r="F1056" s="74">
        <f t="shared" si="183"/>
        <v>1713.7988044456688</v>
      </c>
      <c r="G1056" s="74">
        <f t="shared" si="184"/>
        <v>624.21362731175407</v>
      </c>
      <c r="H1056" s="74">
        <f t="shared" si="190"/>
        <v>63515.993068753611</v>
      </c>
      <c r="I1056" s="74">
        <f t="shared" si="191"/>
        <v>29569.19317522589</v>
      </c>
      <c r="J1056" s="74">
        <f t="shared" si="192"/>
        <v>70061.534100701669</v>
      </c>
      <c r="K1056" s="74">
        <f t="shared" si="193"/>
        <v>23515.993068753611</v>
      </c>
      <c r="L1056" s="74">
        <f t="shared" si="194"/>
        <v>29569.19317522589</v>
      </c>
      <c r="M1056" s="74">
        <f t="shared" si="195"/>
        <v>37780.141808144304</v>
      </c>
      <c r="N1056" s="74">
        <f t="shared" si="196"/>
        <v>38515.993068753611</v>
      </c>
      <c r="O1056" s="74">
        <f t="shared" si="197"/>
        <v>-25430.80682477411</v>
      </c>
      <c r="P1056" s="74">
        <f t="shared" si="198"/>
        <v>46154.172702273121</v>
      </c>
    </row>
    <row r="1057" spans="1:16" x14ac:dyDescent="0.3">
      <c r="A1057" s="72">
        <f t="shared" si="185"/>
        <v>374</v>
      </c>
      <c r="B1057" s="74">
        <f t="shared" si="186"/>
        <v>-44752.768577356961</v>
      </c>
      <c r="C1057" s="74">
        <f t="shared" si="187"/>
        <v>-11423.522185606553</v>
      </c>
      <c r="D1057" s="74">
        <f t="shared" si="188"/>
        <v>-2473.5510172066893</v>
      </c>
      <c r="E1057" s="74">
        <f t="shared" si="189"/>
        <v>-3708.6580207613301</v>
      </c>
      <c r="F1057" s="74">
        <f t="shared" si="183"/>
        <v>1635.1571090893531</v>
      </c>
      <c r="G1057" s="74">
        <f t="shared" si="184"/>
        <v>564.40731042283164</v>
      </c>
      <c r="H1057" s="74">
        <f t="shared" si="190"/>
        <v>64752.768577356961</v>
      </c>
      <c r="I1057" s="74">
        <f t="shared" si="191"/>
        <v>31423.522185606555</v>
      </c>
      <c r="J1057" s="74">
        <f t="shared" si="192"/>
        <v>71974.7093428105</v>
      </c>
      <c r="K1057" s="74">
        <f t="shared" si="193"/>
        <v>24752.768577356961</v>
      </c>
      <c r="L1057" s="74">
        <f t="shared" si="194"/>
        <v>31423.522185606555</v>
      </c>
      <c r="M1057" s="74">
        <f t="shared" si="195"/>
        <v>40001.716198102018</v>
      </c>
      <c r="N1057" s="74">
        <f t="shared" si="196"/>
        <v>39752.768577356961</v>
      </c>
      <c r="O1057" s="74">
        <f t="shared" si="197"/>
        <v>-23576.477814393445</v>
      </c>
      <c r="P1057" s="74">
        <f t="shared" si="198"/>
        <v>46218.317966986695</v>
      </c>
    </row>
    <row r="1058" spans="1:16" x14ac:dyDescent="0.3">
      <c r="A1058" s="72">
        <f t="shared" si="185"/>
        <v>374.5</v>
      </c>
      <c r="B1058" s="74">
        <f t="shared" si="186"/>
        <v>-45580.754808687969</v>
      </c>
      <c r="C1058" s="74">
        <f t="shared" si="187"/>
        <v>-13136.74936838151</v>
      </c>
      <c r="D1058" s="74">
        <f t="shared" si="188"/>
        <v>-1655.9724626620127</v>
      </c>
      <c r="E1058" s="74">
        <f t="shared" si="189"/>
        <v>-3426.4543655499142</v>
      </c>
      <c r="F1058" s="74">
        <f t="shared" si="183"/>
        <v>1579.357990734195</v>
      </c>
      <c r="G1058" s="74">
        <f t="shared" si="184"/>
        <v>527.30978154806826</v>
      </c>
      <c r="H1058" s="74">
        <f t="shared" si="190"/>
        <v>65580.754808687969</v>
      </c>
      <c r="I1058" s="74">
        <f t="shared" si="191"/>
        <v>33136.749368381512</v>
      </c>
      <c r="J1058" s="74">
        <f t="shared" si="192"/>
        <v>73477.068259288775</v>
      </c>
      <c r="K1058" s="74">
        <f t="shared" si="193"/>
        <v>25580.754808687969</v>
      </c>
      <c r="L1058" s="74">
        <f t="shared" si="194"/>
        <v>33136.749368381512</v>
      </c>
      <c r="M1058" s="74">
        <f t="shared" si="195"/>
        <v>41861.906015913148</v>
      </c>
      <c r="N1058" s="74">
        <f t="shared" si="196"/>
        <v>40580.754808687969</v>
      </c>
      <c r="O1058" s="74">
        <f t="shared" si="197"/>
        <v>-21863.250631618488</v>
      </c>
      <c r="P1058" s="74">
        <f t="shared" si="198"/>
        <v>46095.546303561889</v>
      </c>
    </row>
    <row r="1059" spans="1:16" x14ac:dyDescent="0.3">
      <c r="A1059" s="72">
        <f t="shared" si="185"/>
        <v>375</v>
      </c>
      <c r="B1059" s="74">
        <f t="shared" si="186"/>
        <v>-46013.901542335429</v>
      </c>
      <c r="C1059" s="74">
        <f t="shared" si="187"/>
        <v>-14718.149105769451</v>
      </c>
      <c r="D1059" s="74">
        <f t="shared" si="188"/>
        <v>-866.29346729491522</v>
      </c>
      <c r="E1059" s="74">
        <f t="shared" si="189"/>
        <v>-3162.7994747758803</v>
      </c>
      <c r="F1059" s="74">
        <f t="shared" si="183"/>
        <v>1542.7680851448404</v>
      </c>
      <c r="G1059" s="74">
        <f t="shared" si="184"/>
        <v>504.99464137773759</v>
      </c>
      <c r="H1059" s="74">
        <f t="shared" si="190"/>
        <v>66013.901542335429</v>
      </c>
      <c r="I1059" s="74">
        <f t="shared" si="191"/>
        <v>34718.149105769451</v>
      </c>
      <c r="J1059" s="74">
        <f t="shared" si="192"/>
        <v>74586.762057161293</v>
      </c>
      <c r="K1059" s="74">
        <f t="shared" si="193"/>
        <v>26013.901542335429</v>
      </c>
      <c r="L1059" s="74">
        <f t="shared" si="194"/>
        <v>34718.149105769451</v>
      </c>
      <c r="M1059" s="74">
        <f t="shared" si="195"/>
        <v>43382.86471390244</v>
      </c>
      <c r="N1059" s="74">
        <f t="shared" si="196"/>
        <v>41013.901542335429</v>
      </c>
      <c r="O1059" s="74">
        <f t="shared" si="197"/>
        <v>-20281.850894230549</v>
      </c>
      <c r="P1059" s="74">
        <f t="shared" si="198"/>
        <v>45754.711182786246</v>
      </c>
    </row>
    <row r="1060" spans="1:16" x14ac:dyDescent="0.3">
      <c r="A1060" s="72">
        <f t="shared" si="185"/>
        <v>375.5</v>
      </c>
      <c r="B1060" s="74">
        <f t="shared" si="186"/>
        <v>-46061.356254696679</v>
      </c>
      <c r="C1060" s="74">
        <f t="shared" si="187"/>
        <v>-16173.300182812956</v>
      </c>
      <c r="D1060" s="74">
        <f t="shared" si="188"/>
        <v>-94.909424722495032</v>
      </c>
      <c r="E1060" s="74">
        <f t="shared" si="189"/>
        <v>-2910.3021540870113</v>
      </c>
      <c r="F1060" s="74">
        <f t="shared" si="183"/>
        <v>1523.3837006854706</v>
      </c>
      <c r="G1060" s="74">
        <f t="shared" si="184"/>
        <v>492.65540107921407</v>
      </c>
      <c r="H1060" s="74">
        <f t="shared" si="190"/>
        <v>66061.356254696671</v>
      </c>
      <c r="I1060" s="74">
        <f t="shared" si="191"/>
        <v>36173.300182812956</v>
      </c>
      <c r="J1060" s="74">
        <f t="shared" si="192"/>
        <v>75316.734105548196</v>
      </c>
      <c r="K1060" s="74">
        <f t="shared" si="193"/>
        <v>26061.356254696679</v>
      </c>
      <c r="L1060" s="74">
        <f t="shared" si="194"/>
        <v>36173.300182812956</v>
      </c>
      <c r="M1060" s="74">
        <f t="shared" si="195"/>
        <v>44583.650993947471</v>
      </c>
      <c r="N1060" s="74">
        <f t="shared" si="196"/>
        <v>41061.356254696679</v>
      </c>
      <c r="O1060" s="74">
        <f t="shared" si="197"/>
        <v>-18826.699817187044</v>
      </c>
      <c r="P1060" s="74">
        <f t="shared" si="198"/>
        <v>45171.668150308426</v>
      </c>
    </row>
    <row r="1061" spans="1:16" x14ac:dyDescent="0.3">
      <c r="A1061" s="72">
        <f t="shared" si="185"/>
        <v>376</v>
      </c>
      <c r="B1061" s="74">
        <f t="shared" si="186"/>
        <v>-45727.965041886564</v>
      </c>
      <c r="C1061" s="74">
        <f t="shared" si="187"/>
        <v>-17505.287409586657</v>
      </c>
      <c r="D1061" s="74">
        <f t="shared" si="188"/>
        <v>666.78242562024025</v>
      </c>
      <c r="E1061" s="74">
        <f t="shared" si="189"/>
        <v>-2663.9744535474042</v>
      </c>
      <c r="F1061" s="74">
        <f t="shared" si="183"/>
        <v>1520.4144969647573</v>
      </c>
      <c r="G1061" s="74">
        <f t="shared" si="184"/>
        <v>487.12626597270406</v>
      </c>
      <c r="H1061" s="74">
        <f t="shared" si="190"/>
        <v>65727.965041886564</v>
      </c>
      <c r="I1061" s="74">
        <f t="shared" si="191"/>
        <v>37505.287409586657</v>
      </c>
      <c r="J1061" s="74">
        <f t="shared" si="192"/>
        <v>75675.70265430749</v>
      </c>
      <c r="K1061" s="74">
        <f t="shared" si="193"/>
        <v>25727.965041886564</v>
      </c>
      <c r="L1061" s="74">
        <f t="shared" si="194"/>
        <v>37505.287409586657</v>
      </c>
      <c r="M1061" s="74">
        <f t="shared" si="195"/>
        <v>45481.587141086413</v>
      </c>
      <c r="N1061" s="74">
        <f t="shared" si="196"/>
        <v>40727.965041886564</v>
      </c>
      <c r="O1061" s="74">
        <f t="shared" si="197"/>
        <v>-17494.712590413343</v>
      </c>
      <c r="P1061" s="74">
        <f t="shared" si="198"/>
        <v>44326.426712225533</v>
      </c>
    </row>
    <row r="1062" spans="1:16" x14ac:dyDescent="0.3">
      <c r="A1062" s="72">
        <f t="shared" si="185"/>
        <v>376.5</v>
      </c>
      <c r="B1062" s="74">
        <f t="shared" si="186"/>
        <v>-45014.470204835256</v>
      </c>
      <c r="C1062" s="74">
        <f t="shared" si="187"/>
        <v>-18715.493069867181</v>
      </c>
      <c r="D1062" s="74">
        <f t="shared" si="188"/>
        <v>1426.9896741026189</v>
      </c>
      <c r="E1062" s="74">
        <f t="shared" si="189"/>
        <v>-2420.411320561052</v>
      </c>
      <c r="F1062" s="74">
        <f t="shared" si="183"/>
        <v>1534.1455470487772</v>
      </c>
      <c r="G1062" s="74">
        <f t="shared" si="184"/>
        <v>486.00812795965157</v>
      </c>
      <c r="H1062" s="74">
        <f t="shared" si="190"/>
        <v>65014.470204835256</v>
      </c>
      <c r="I1062" s="74">
        <f t="shared" si="191"/>
        <v>38715.493069867181</v>
      </c>
      <c r="J1062" s="74">
        <f t="shared" si="192"/>
        <v>75668.822771722465</v>
      </c>
      <c r="K1062" s="74">
        <f t="shared" si="193"/>
        <v>25014.470204835256</v>
      </c>
      <c r="L1062" s="74">
        <f t="shared" si="194"/>
        <v>38715.493069867181</v>
      </c>
      <c r="M1062" s="74">
        <f t="shared" si="195"/>
        <v>46093.525828162943</v>
      </c>
      <c r="N1062" s="74">
        <f t="shared" si="196"/>
        <v>40014.470204835256</v>
      </c>
      <c r="O1062" s="74">
        <f t="shared" si="197"/>
        <v>-16284.506930132819</v>
      </c>
      <c r="P1062" s="74">
        <f t="shared" si="198"/>
        <v>43201.192017480171</v>
      </c>
    </row>
    <row r="1063" spans="1:16" x14ac:dyDescent="0.3">
      <c r="A1063" s="72">
        <f t="shared" si="185"/>
        <v>377</v>
      </c>
      <c r="B1063" s="74">
        <f t="shared" si="186"/>
        <v>-43917.438981021754</v>
      </c>
      <c r="C1063" s="74">
        <f t="shared" si="187"/>
        <v>-19804.196698157793</v>
      </c>
      <c r="D1063" s="74">
        <f t="shared" si="188"/>
        <v>2194.0624476270077</v>
      </c>
      <c r="E1063" s="74">
        <f t="shared" si="189"/>
        <v>-2177.4072565812262</v>
      </c>
      <c r="F1063" s="74">
        <f t="shared" si="183"/>
        <v>1566.0147236163104</v>
      </c>
      <c r="G1063" s="74">
        <f t="shared" si="184"/>
        <v>487.02543638582569</v>
      </c>
      <c r="H1063" s="74">
        <f t="shared" si="190"/>
        <v>63917.438981021754</v>
      </c>
      <c r="I1063" s="74">
        <f t="shared" si="191"/>
        <v>39804.196698157793</v>
      </c>
      <c r="J1063" s="74">
        <f t="shared" si="192"/>
        <v>75298.161203832031</v>
      </c>
      <c r="K1063" s="74">
        <f t="shared" si="193"/>
        <v>23917.438981021754</v>
      </c>
      <c r="L1063" s="74">
        <f t="shared" si="194"/>
        <v>39804.196698157793</v>
      </c>
      <c r="M1063" s="74">
        <f t="shared" si="195"/>
        <v>46437.24757343543</v>
      </c>
      <c r="N1063" s="74">
        <f t="shared" si="196"/>
        <v>38917.438981021754</v>
      </c>
      <c r="O1063" s="74">
        <f t="shared" si="197"/>
        <v>-15195.803301842207</v>
      </c>
      <c r="P1063" s="74">
        <f t="shared" si="198"/>
        <v>41778.936018403227</v>
      </c>
    </row>
    <row r="1064" spans="1:16" x14ac:dyDescent="0.3">
      <c r="A1064" s="72">
        <f t="shared" si="185"/>
        <v>377.5</v>
      </c>
      <c r="B1064" s="74">
        <f t="shared" si="186"/>
        <v>-42428.904076304178</v>
      </c>
      <c r="C1064" s="74">
        <f t="shared" si="187"/>
        <v>-20771.143967351949</v>
      </c>
      <c r="D1064" s="74">
        <f t="shared" si="188"/>
        <v>2977.0698094351628</v>
      </c>
      <c r="E1064" s="74">
        <f t="shared" si="189"/>
        <v>-1933.8945383883133</v>
      </c>
      <c r="F1064" s="74">
        <f t="shared" si="183"/>
        <v>1618.9288182188916</v>
      </c>
      <c r="G1064" s="74">
        <f t="shared" si="184"/>
        <v>487.36257665917623</v>
      </c>
      <c r="H1064" s="74">
        <f t="shared" si="190"/>
        <v>62428.904076304178</v>
      </c>
      <c r="I1064" s="74">
        <f t="shared" si="191"/>
        <v>40771.143967351949</v>
      </c>
      <c r="J1064" s="74">
        <f t="shared" si="192"/>
        <v>74563.089022484361</v>
      </c>
      <c r="K1064" s="74">
        <f t="shared" si="193"/>
        <v>22428.904076304178</v>
      </c>
      <c r="L1064" s="74">
        <f t="shared" si="194"/>
        <v>40771.143967351949</v>
      </c>
      <c r="M1064" s="74">
        <f t="shared" si="195"/>
        <v>46533.234558437834</v>
      </c>
      <c r="N1064" s="74">
        <f t="shared" si="196"/>
        <v>37428.904076304178</v>
      </c>
      <c r="O1064" s="74">
        <f t="shared" si="197"/>
        <v>-14228.856032648051</v>
      </c>
      <c r="P1064" s="74">
        <f t="shared" si="198"/>
        <v>40042.267722383112</v>
      </c>
    </row>
    <row r="1065" spans="1:16" x14ac:dyDescent="0.3">
      <c r="A1065" s="72">
        <f t="shared" si="185"/>
        <v>378</v>
      </c>
      <c r="B1065" s="74">
        <f t="shared" si="186"/>
        <v>-40535.636967031867</v>
      </c>
      <c r="C1065" s="74">
        <f t="shared" si="187"/>
        <v>-21616.250592381311</v>
      </c>
      <c r="D1065" s="74">
        <f t="shared" si="188"/>
        <v>3786.5342185446088</v>
      </c>
      <c r="E1065" s="74">
        <f t="shared" si="189"/>
        <v>-1690.2132500587252</v>
      </c>
      <c r="F1065" s="74">
        <f t="shared" si="183"/>
        <v>1697.9382424976952</v>
      </c>
      <c r="G1065" s="74">
        <f t="shared" si="184"/>
        <v>482.70427081701996</v>
      </c>
      <c r="H1065" s="74">
        <f t="shared" si="190"/>
        <v>60535.636967031867</v>
      </c>
      <c r="I1065" s="74">
        <f t="shared" si="191"/>
        <v>41616.250592381315</v>
      </c>
      <c r="J1065" s="74">
        <f t="shared" si="192"/>
        <v>73460.708248506242</v>
      </c>
      <c r="K1065" s="74">
        <f t="shared" si="193"/>
        <v>20535.636967031867</v>
      </c>
      <c r="L1065" s="74">
        <f t="shared" si="194"/>
        <v>41616.250592381315</v>
      </c>
      <c r="M1065" s="74">
        <f t="shared" si="195"/>
        <v>46407.162152081699</v>
      </c>
      <c r="N1065" s="74">
        <f t="shared" si="196"/>
        <v>35535.636967031867</v>
      </c>
      <c r="O1065" s="74">
        <f t="shared" si="197"/>
        <v>-13383.749407618689</v>
      </c>
      <c r="P1065" s="74">
        <f t="shared" si="198"/>
        <v>37972.440570216386</v>
      </c>
    </row>
    <row r="1066" spans="1:16" x14ac:dyDescent="0.3">
      <c r="A1066" s="72">
        <f t="shared" si="185"/>
        <v>378.5</v>
      </c>
      <c r="B1066" s="74">
        <f t="shared" si="186"/>
        <v>-38217.885297135137</v>
      </c>
      <c r="C1066" s="74">
        <f t="shared" si="187"/>
        <v>-22340.681149706419</v>
      </c>
      <c r="D1066" s="74">
        <f t="shared" si="188"/>
        <v>4635.5033397934567</v>
      </c>
      <c r="E1066" s="74">
        <f t="shared" si="189"/>
        <v>-1448.8611146502153</v>
      </c>
      <c r="F1066" s="74">
        <f t="shared" si="183"/>
        <v>1811.5523359792037</v>
      </c>
      <c r="G1066" s="74">
        <f t="shared" si="184"/>
        <v>465.50762457961952</v>
      </c>
      <c r="H1066" s="74">
        <f t="shared" si="190"/>
        <v>58217.885297135137</v>
      </c>
      <c r="I1066" s="74">
        <f t="shared" si="191"/>
        <v>42340.681149706419</v>
      </c>
      <c r="J1066" s="74">
        <f t="shared" si="192"/>
        <v>71986.494904888154</v>
      </c>
      <c r="K1066" s="74">
        <f t="shared" si="193"/>
        <v>18217.885297135137</v>
      </c>
      <c r="L1066" s="74">
        <f t="shared" si="194"/>
        <v>42340.681149706419</v>
      </c>
      <c r="M1066" s="74">
        <f t="shared" si="195"/>
        <v>46093.650592252692</v>
      </c>
      <c r="N1066" s="74">
        <f t="shared" si="196"/>
        <v>33217.885297135137</v>
      </c>
      <c r="O1066" s="74">
        <f t="shared" si="197"/>
        <v>-12659.318850293581</v>
      </c>
      <c r="P1066" s="74">
        <f t="shared" si="198"/>
        <v>35548.365044921899</v>
      </c>
    </row>
    <row r="1067" spans="1:16" x14ac:dyDescent="0.3">
      <c r="A1067" s="72">
        <f t="shared" si="185"/>
        <v>379</v>
      </c>
      <c r="B1067" s="74">
        <f t="shared" si="186"/>
        <v>-35447.245543243604</v>
      </c>
      <c r="C1067" s="74">
        <f t="shared" si="187"/>
        <v>-22948.734800886621</v>
      </c>
      <c r="D1067" s="74">
        <f t="shared" si="188"/>
        <v>5541.2795077830588</v>
      </c>
      <c r="E1067" s="74">
        <f t="shared" si="189"/>
        <v>-1216.1073023604056</v>
      </c>
      <c r="F1067" s="74">
        <f t="shared" si="183"/>
        <v>1974.3026848209377</v>
      </c>
      <c r="G1067" s="74">
        <f t="shared" si="184"/>
        <v>421.47187321924753</v>
      </c>
      <c r="H1067" s="74">
        <f t="shared" si="190"/>
        <v>55447.245543243604</v>
      </c>
      <c r="I1067" s="74">
        <f t="shared" si="191"/>
        <v>42948.734800886625</v>
      </c>
      <c r="J1067" s="74">
        <f t="shared" si="192"/>
        <v>70135.517816079737</v>
      </c>
      <c r="K1067" s="74">
        <f t="shared" si="193"/>
        <v>15447.245543243604</v>
      </c>
      <c r="L1067" s="74">
        <f t="shared" si="194"/>
        <v>42948.734800886625</v>
      </c>
      <c r="M1067" s="74">
        <f t="shared" si="195"/>
        <v>45642.208709375023</v>
      </c>
      <c r="N1067" s="74">
        <f t="shared" si="196"/>
        <v>30447.245543243604</v>
      </c>
      <c r="O1067" s="74">
        <f t="shared" si="197"/>
        <v>-12051.265199113379</v>
      </c>
      <c r="P1067" s="74">
        <f t="shared" si="198"/>
        <v>32745.499752942065</v>
      </c>
    </row>
    <row r="1068" spans="1:16" x14ac:dyDescent="0.3">
      <c r="A1068" s="72">
        <f t="shared" si="185"/>
        <v>379.5</v>
      </c>
      <c r="B1068" s="74">
        <f t="shared" si="186"/>
        <v>-32183.030118146839</v>
      </c>
      <c r="C1068" s="74">
        <f t="shared" si="187"/>
        <v>-23451.420483762013</v>
      </c>
      <c r="D1068" s="74">
        <f t="shared" si="188"/>
        <v>6528.4308501935275</v>
      </c>
      <c r="E1068" s="74">
        <f t="shared" si="189"/>
        <v>-1005.3713657507818</v>
      </c>
      <c r="F1068" s="74">
        <f t="shared" si="183"/>
        <v>2211.8287655850918</v>
      </c>
      <c r="G1068" s="74">
        <f t="shared" si="184"/>
        <v>321.60653605120149</v>
      </c>
      <c r="H1068" s="74">
        <f t="shared" si="190"/>
        <v>52183.030118146839</v>
      </c>
      <c r="I1068" s="74">
        <f t="shared" si="191"/>
        <v>43451.420483762013</v>
      </c>
      <c r="J1068" s="74">
        <f t="shared" si="192"/>
        <v>67905.040861250585</v>
      </c>
      <c r="K1068" s="74">
        <f t="shared" si="193"/>
        <v>12183.030118146839</v>
      </c>
      <c r="L1068" s="74">
        <f t="shared" si="194"/>
        <v>43451.420483762013</v>
      </c>
      <c r="M1068" s="74">
        <f t="shared" si="195"/>
        <v>45127.066876946104</v>
      </c>
      <c r="N1068" s="74">
        <f t="shared" si="196"/>
        <v>27183.030118146839</v>
      </c>
      <c r="O1068" s="74">
        <f t="shared" si="197"/>
        <v>-11548.579516237987</v>
      </c>
      <c r="P1068" s="74">
        <f t="shared" si="198"/>
        <v>29534.502116117514</v>
      </c>
    </row>
    <row r="1069" spans="1:16" x14ac:dyDescent="0.3">
      <c r="A1069" s="72">
        <f t="shared" si="185"/>
        <v>380</v>
      </c>
      <c r="B1069" s="74">
        <f t="shared" si="186"/>
        <v>-28365.857501653802</v>
      </c>
      <c r="C1069" s="74">
        <f t="shared" si="187"/>
        <v>-23873.704532624604</v>
      </c>
      <c r="D1069" s="74">
        <f t="shared" si="188"/>
        <v>7634.3452329860738</v>
      </c>
      <c r="E1069" s="74">
        <f t="shared" si="189"/>
        <v>-844.56809772518113</v>
      </c>
      <c r="F1069" s="74">
        <f t="shared" si="183"/>
        <v>2570.8910129004016</v>
      </c>
      <c r="G1069" s="74">
        <f t="shared" si="184"/>
        <v>102.52327872456169</v>
      </c>
      <c r="H1069" s="74">
        <f t="shared" si="190"/>
        <v>48365.857501653802</v>
      </c>
      <c r="I1069" s="74">
        <f t="shared" si="191"/>
        <v>43873.704532624601</v>
      </c>
      <c r="J1069" s="74">
        <f t="shared" si="192"/>
        <v>65300.521600415457</v>
      </c>
      <c r="K1069" s="74">
        <f t="shared" si="193"/>
        <v>8365.8575016538016</v>
      </c>
      <c r="L1069" s="74">
        <f t="shared" si="194"/>
        <v>43873.704532624601</v>
      </c>
      <c r="M1069" s="74">
        <f t="shared" si="195"/>
        <v>44664.186113193886</v>
      </c>
      <c r="N1069" s="74">
        <f t="shared" si="196"/>
        <v>23365.857501653802</v>
      </c>
      <c r="O1069" s="74">
        <f t="shared" si="197"/>
        <v>-11126.295467375396</v>
      </c>
      <c r="P1069" s="74">
        <f t="shared" si="198"/>
        <v>25879.678274950202</v>
      </c>
    </row>
    <row r="1070" spans="1:16" x14ac:dyDescent="0.3">
      <c r="A1070" s="72">
        <f t="shared" si="185"/>
        <v>380.5</v>
      </c>
      <c r="B1070" s="74">
        <f t="shared" si="186"/>
        <v>-23905.962131935663</v>
      </c>
      <c r="C1070" s="74">
        <f t="shared" si="187"/>
        <v>-24270.357761806055</v>
      </c>
      <c r="D1070" s="74">
        <f t="shared" si="188"/>
        <v>8919.7907394362737</v>
      </c>
      <c r="E1070" s="74">
        <f t="shared" si="189"/>
        <v>-793.30645836290023</v>
      </c>
      <c r="F1070" s="74">
        <f t="shared" si="183"/>
        <v>3136.0520440888195</v>
      </c>
      <c r="G1070" s="74">
        <f t="shared" si="184"/>
        <v>-388.87302756910958</v>
      </c>
      <c r="H1070" s="74">
        <f t="shared" si="190"/>
        <v>43905.962131935667</v>
      </c>
      <c r="I1070" s="74">
        <f t="shared" si="191"/>
        <v>44270.357761806052</v>
      </c>
      <c r="J1070" s="74">
        <f t="shared" si="192"/>
        <v>62350.606148531311</v>
      </c>
      <c r="K1070" s="74">
        <f t="shared" si="193"/>
        <v>3905.9621319356629</v>
      </c>
      <c r="L1070" s="74">
        <f t="shared" si="194"/>
        <v>44270.357761806052</v>
      </c>
      <c r="M1070" s="74">
        <f t="shared" si="195"/>
        <v>44442.334733161988</v>
      </c>
      <c r="N1070" s="74">
        <f t="shared" si="196"/>
        <v>18905.962131935663</v>
      </c>
      <c r="O1070" s="74">
        <f t="shared" si="197"/>
        <v>-10729.642238193945</v>
      </c>
      <c r="P1070" s="74">
        <f t="shared" si="198"/>
        <v>21738.459620999387</v>
      </c>
    </row>
    <row r="1071" spans="1:16" x14ac:dyDescent="0.3">
      <c r="A1071" s="72">
        <f t="shared" si="185"/>
        <v>381</v>
      </c>
      <c r="B1071" s="74">
        <f t="shared" si="186"/>
        <v>-18662.053751195319</v>
      </c>
      <c r="C1071" s="74">
        <f t="shared" si="187"/>
        <v>-24764.229247879783</v>
      </c>
      <c r="D1071" s="74">
        <f t="shared" si="188"/>
        <v>10487.816761480684</v>
      </c>
      <c r="E1071" s="74">
        <f t="shared" si="189"/>
        <v>-987.74297214745502</v>
      </c>
      <c r="F1071" s="74">
        <f t="shared" si="183"/>
        <v>4021.2918747035092</v>
      </c>
      <c r="G1071" s="74">
        <f t="shared" si="184"/>
        <v>-1572.0753741852916</v>
      </c>
      <c r="H1071" s="74">
        <f t="shared" si="190"/>
        <v>38662.053751195315</v>
      </c>
      <c r="I1071" s="74">
        <f t="shared" si="191"/>
        <v>44764.229247879783</v>
      </c>
      <c r="J1071" s="74">
        <f t="shared" si="192"/>
        <v>59148.885200120647</v>
      </c>
      <c r="K1071" s="74">
        <f t="shared" si="193"/>
        <v>-1337.9462488046811</v>
      </c>
      <c r="L1071" s="74">
        <f t="shared" si="194"/>
        <v>44764.229247879783</v>
      </c>
      <c r="M1071" s="74">
        <f t="shared" si="195"/>
        <v>44784.219545744301</v>
      </c>
      <c r="N1071" s="74">
        <f t="shared" si="196"/>
        <v>13662.053751195319</v>
      </c>
      <c r="O1071" s="74">
        <f t="shared" si="197"/>
        <v>-10235.770752120217</v>
      </c>
      <c r="P1071" s="74">
        <f t="shared" si="198"/>
        <v>17071.107626352477</v>
      </c>
    </row>
    <row r="1072" spans="1:16" x14ac:dyDescent="0.3">
      <c r="A1072" s="72">
        <f t="shared" si="185"/>
        <v>381.5</v>
      </c>
      <c r="B1072" s="74">
        <f t="shared" si="186"/>
        <v>-12412.8224017791</v>
      </c>
      <c r="C1072" s="74">
        <f t="shared" si="187"/>
        <v>-25651.119577499834</v>
      </c>
      <c r="D1072" s="74">
        <f t="shared" si="188"/>
        <v>12498.462698832438</v>
      </c>
      <c r="E1072" s="74">
        <f t="shared" si="189"/>
        <v>-1773.7806592401007</v>
      </c>
      <c r="F1072" s="74">
        <f t="shared" si="183"/>
        <v>4868.0473187412763</v>
      </c>
      <c r="G1072" s="74">
        <f t="shared" si="184"/>
        <v>-4672.2896713045357</v>
      </c>
      <c r="H1072" s="74">
        <f t="shared" si="190"/>
        <v>32412.8224017791</v>
      </c>
      <c r="I1072" s="74">
        <f t="shared" si="191"/>
        <v>45651.119577499834</v>
      </c>
      <c r="J1072" s="74">
        <f t="shared" si="192"/>
        <v>55987.639481661143</v>
      </c>
      <c r="K1072" s="74">
        <f t="shared" si="193"/>
        <v>-7587.1775982209001</v>
      </c>
      <c r="L1072" s="74">
        <f t="shared" si="194"/>
        <v>45651.119577499834</v>
      </c>
      <c r="M1072" s="74">
        <f t="shared" si="195"/>
        <v>46277.316069389046</v>
      </c>
      <c r="N1072" s="74">
        <f t="shared" si="196"/>
        <v>7412.8224017790999</v>
      </c>
      <c r="O1072" s="74">
        <f t="shared" si="197"/>
        <v>-9348.8804225001659</v>
      </c>
      <c r="P1072" s="74">
        <f t="shared" si="198"/>
        <v>11931.114831168334</v>
      </c>
    </row>
    <row r="1073" spans="1:16" x14ac:dyDescent="0.3">
      <c r="A1073" s="72">
        <f t="shared" si="185"/>
        <v>382</v>
      </c>
      <c r="B1073" s="74">
        <f t="shared" si="186"/>
        <v>-4946.579222677562</v>
      </c>
      <c r="C1073" s="74">
        <f t="shared" si="187"/>
        <v>-27706.082324946019</v>
      </c>
      <c r="D1073" s="74">
        <f t="shared" si="188"/>
        <v>14932.486358203076</v>
      </c>
      <c r="E1073" s="74">
        <f t="shared" si="189"/>
        <v>-4109.9254948923681</v>
      </c>
      <c r="F1073" s="74">
        <f t="shared" si="183"/>
        <v>-13.451635205766109</v>
      </c>
      <c r="G1073" s="74">
        <f t="shared" si="184"/>
        <v>-10079.721140462254</v>
      </c>
      <c r="H1073" s="74">
        <f t="shared" si="190"/>
        <v>24946.579222677563</v>
      </c>
      <c r="I1073" s="74">
        <f t="shared" si="191"/>
        <v>47706.082324946023</v>
      </c>
      <c r="J1073" s="74">
        <f t="shared" si="192"/>
        <v>53834.952453845959</v>
      </c>
      <c r="K1073" s="74">
        <f t="shared" si="193"/>
        <v>-15053.420777322437</v>
      </c>
      <c r="L1073" s="74">
        <f t="shared" si="194"/>
        <v>47706.082324946023</v>
      </c>
      <c r="M1073" s="74">
        <f t="shared" si="195"/>
        <v>50024.75155254297</v>
      </c>
      <c r="N1073" s="74">
        <f t="shared" si="196"/>
        <v>-53.420777322437971</v>
      </c>
      <c r="O1073" s="74">
        <f t="shared" si="197"/>
        <v>-7293.9176750539809</v>
      </c>
      <c r="P1073" s="74">
        <f t="shared" si="198"/>
        <v>7294.1132997722625</v>
      </c>
    </row>
    <row r="1074" spans="1:16" x14ac:dyDescent="0.3">
      <c r="A1074" s="72">
        <f t="shared" si="185"/>
        <v>382.5</v>
      </c>
      <c r="B1074" s="74">
        <f t="shared" si="186"/>
        <v>2516.3010476225345</v>
      </c>
      <c r="C1074" s="74">
        <f t="shared" si="187"/>
        <v>-32280.975357507767</v>
      </c>
      <c r="D1074" s="74">
        <f t="shared" si="188"/>
        <v>14925.760540600193</v>
      </c>
      <c r="E1074" s="74">
        <f t="shared" si="189"/>
        <v>-9149.7860651234951</v>
      </c>
      <c r="F1074" s="74">
        <f t="shared" si="183"/>
        <v>-10117.681259305189</v>
      </c>
      <c r="G1074" s="74">
        <f t="shared" si="184"/>
        <v>-2624.2986495341706</v>
      </c>
      <c r="H1074" s="74">
        <f t="shared" si="190"/>
        <v>17483.698952377465</v>
      </c>
      <c r="I1074" s="74">
        <f t="shared" si="191"/>
        <v>52280.975357507763</v>
      </c>
      <c r="J1074" s="74">
        <f t="shared" si="192"/>
        <v>55126.945438593808</v>
      </c>
      <c r="K1074" s="74">
        <f t="shared" si="193"/>
        <v>-22516.301047622535</v>
      </c>
      <c r="L1074" s="74">
        <f t="shared" si="194"/>
        <v>52280.975357507763</v>
      </c>
      <c r="M1074" s="74">
        <f t="shared" si="195"/>
        <v>56923.494246220529</v>
      </c>
      <c r="N1074" s="74">
        <f t="shared" si="196"/>
        <v>-7516.3010476225345</v>
      </c>
      <c r="O1074" s="74">
        <f t="shared" si="197"/>
        <v>-2719.0246424922334</v>
      </c>
      <c r="P1074" s="74">
        <f t="shared" si="198"/>
        <v>7992.989205858571</v>
      </c>
    </row>
    <row r="1075" spans="1:16" x14ac:dyDescent="0.3">
      <c r="A1075" s="72">
        <f t="shared" si="185"/>
        <v>383</v>
      </c>
      <c r="B1075" s="74">
        <f t="shared" si="186"/>
        <v>7449.7610030963333</v>
      </c>
      <c r="C1075" s="74">
        <f t="shared" si="187"/>
        <v>-37511.943052453062</v>
      </c>
      <c r="D1075" s="74">
        <f t="shared" si="188"/>
        <v>9866.9199109475994</v>
      </c>
      <c r="E1075" s="74">
        <f t="shared" si="189"/>
        <v>-10461.935389890581</v>
      </c>
      <c r="F1075" s="74">
        <f t="shared" si="183"/>
        <v>-6933.5456030716441</v>
      </c>
      <c r="G1075" s="74">
        <f t="shared" si="184"/>
        <v>2254.3705347016926</v>
      </c>
      <c r="H1075" s="74">
        <f t="shared" si="190"/>
        <v>12550.238996903667</v>
      </c>
      <c r="I1075" s="74">
        <f t="shared" si="191"/>
        <v>57511.943052453062</v>
      </c>
      <c r="J1075" s="74">
        <f t="shared" si="192"/>
        <v>58865.372610287668</v>
      </c>
      <c r="K1075" s="74">
        <f t="shared" si="193"/>
        <v>-27449.761003096333</v>
      </c>
      <c r="L1075" s="74">
        <f t="shared" si="194"/>
        <v>57511.943052453062</v>
      </c>
      <c r="M1075" s="74">
        <f t="shared" si="195"/>
        <v>63726.86225443484</v>
      </c>
      <c r="N1075" s="74">
        <f t="shared" si="196"/>
        <v>-12449.761003096333</v>
      </c>
      <c r="O1075" s="74">
        <f t="shared" si="197"/>
        <v>2511.9430524530617</v>
      </c>
      <c r="P1075" s="74">
        <f t="shared" si="198"/>
        <v>12700.645925817531</v>
      </c>
    </row>
    <row r="1076" spans="1:16" x14ac:dyDescent="0.3">
      <c r="A1076" s="72">
        <f t="shared" si="185"/>
        <v>383.5</v>
      </c>
      <c r="B1076" s="74">
        <f t="shared" si="186"/>
        <v>10649.834557802222</v>
      </c>
      <c r="C1076" s="74">
        <f t="shared" si="187"/>
        <v>-42179.318113722933</v>
      </c>
      <c r="D1076" s="74">
        <f t="shared" si="188"/>
        <v>6400.1471094117769</v>
      </c>
      <c r="E1076" s="74">
        <f t="shared" si="189"/>
        <v>-9334.7501225397355</v>
      </c>
      <c r="F1076" s="74">
        <f t="shared" si="183"/>
        <v>-4269.6883476005914</v>
      </c>
      <c r="G1076" s="74">
        <f t="shared" si="184"/>
        <v>2672.1095051912962</v>
      </c>
      <c r="H1076" s="74">
        <f t="shared" si="190"/>
        <v>9350.1654421977782</v>
      </c>
      <c r="I1076" s="74">
        <f t="shared" si="191"/>
        <v>62179.318113722933</v>
      </c>
      <c r="J1076" s="74">
        <f t="shared" si="192"/>
        <v>62878.400066191432</v>
      </c>
      <c r="K1076" s="74">
        <f t="shared" si="193"/>
        <v>-30649.83455780222</v>
      </c>
      <c r="L1076" s="74">
        <f t="shared" si="194"/>
        <v>62179.318113722933</v>
      </c>
      <c r="M1076" s="74">
        <f t="shared" si="195"/>
        <v>69323.011760224326</v>
      </c>
      <c r="N1076" s="74">
        <f t="shared" si="196"/>
        <v>-15649.834557802222</v>
      </c>
      <c r="O1076" s="74">
        <f t="shared" si="197"/>
        <v>7179.318113722933</v>
      </c>
      <c r="P1076" s="74">
        <f t="shared" si="198"/>
        <v>17218.011797667317</v>
      </c>
    </row>
    <row r="1077" spans="1:16" x14ac:dyDescent="0.3">
      <c r="A1077" s="72">
        <f t="shared" si="185"/>
        <v>384</v>
      </c>
      <c r="B1077" s="74">
        <f t="shared" si="186"/>
        <v>12782.486025607963</v>
      </c>
      <c r="C1077" s="74">
        <f t="shared" si="187"/>
        <v>-46178.665798694979</v>
      </c>
      <c r="D1077" s="74">
        <f t="shared" si="188"/>
        <v>4265.3029356114812</v>
      </c>
      <c r="E1077" s="74">
        <f t="shared" si="189"/>
        <v>-7998.6953699440874</v>
      </c>
      <c r="F1077" s="74">
        <f t="shared" si="183"/>
        <v>-2931.6829741184242</v>
      </c>
      <c r="G1077" s="74">
        <f t="shared" si="184"/>
        <v>2455.4550714023753</v>
      </c>
      <c r="H1077" s="74">
        <f t="shared" si="190"/>
        <v>7217.5139743920372</v>
      </c>
      <c r="I1077" s="74">
        <f t="shared" si="191"/>
        <v>66178.665798694972</v>
      </c>
      <c r="J1077" s="74">
        <f t="shared" si="192"/>
        <v>66571.077164680944</v>
      </c>
      <c r="K1077" s="74">
        <f t="shared" si="193"/>
        <v>-32782.486025607963</v>
      </c>
      <c r="L1077" s="74">
        <f t="shared" si="194"/>
        <v>66178.665798694972</v>
      </c>
      <c r="M1077" s="74">
        <f t="shared" si="195"/>
        <v>73853.281558198491</v>
      </c>
      <c r="N1077" s="74">
        <f t="shared" si="196"/>
        <v>-17782.486025607963</v>
      </c>
      <c r="O1077" s="74">
        <f t="shared" si="197"/>
        <v>11178.665798694979</v>
      </c>
      <c r="P1077" s="74">
        <f t="shared" si="198"/>
        <v>21004.27047744947</v>
      </c>
    </row>
    <row r="1078" spans="1:16" x14ac:dyDescent="0.3">
      <c r="A1078" s="72">
        <f t="shared" si="185"/>
        <v>384.5</v>
      </c>
      <c r="B1078" s="74">
        <f t="shared" si="186"/>
        <v>14182.216749884097</v>
      </c>
      <c r="C1078" s="74">
        <f t="shared" si="187"/>
        <v>-49564.149715816435</v>
      </c>
      <c r="D1078" s="74">
        <f t="shared" si="188"/>
        <v>2799.4614485522688</v>
      </c>
      <c r="E1078" s="74">
        <f t="shared" si="189"/>
        <v>-6770.9678342428997</v>
      </c>
      <c r="F1078" s="74">
        <f t="shared" ref="F1078:F1141" si="199">$C$23*(H1078/(J1078^2+$C$24^2)^1.5)+$C$32*(K1078/(M1078^2+$C$33^2)^1.5)+C$41*(N1078/(P1078^2+$C$42^2)^1.5)</f>
        <v>-2210.031819704122</v>
      </c>
      <c r="G1078" s="74">
        <f t="shared" ref="G1078:G1141" si="200">$C$23*(I1078/(J1078^2+$C$24^2)^1.5)+$C$32*(L1078/(M1078^2+$C$33^2)^1.5)+C$41*(O1078/(P1078^2+$C$42^2)^1.5)</f>
        <v>2218.9474946767627</v>
      </c>
      <c r="H1078" s="74">
        <f t="shared" si="190"/>
        <v>5817.7832501159028</v>
      </c>
      <c r="I1078" s="74">
        <f t="shared" si="191"/>
        <v>69564.149715816427</v>
      </c>
      <c r="J1078" s="74">
        <f t="shared" si="192"/>
        <v>69807.001995715662</v>
      </c>
      <c r="K1078" s="74">
        <f t="shared" si="193"/>
        <v>-34182.216749884101</v>
      </c>
      <c r="L1078" s="74">
        <f t="shared" si="194"/>
        <v>69564.149715816427</v>
      </c>
      <c r="M1078" s="74">
        <f t="shared" si="195"/>
        <v>77508.676079653043</v>
      </c>
      <c r="N1078" s="74">
        <f t="shared" si="196"/>
        <v>-19182.216749884097</v>
      </c>
      <c r="O1078" s="74">
        <f t="shared" si="197"/>
        <v>14564.149715816435</v>
      </c>
      <c r="P1078" s="74">
        <f t="shared" si="198"/>
        <v>24084.681778762406</v>
      </c>
    </row>
    <row r="1079" spans="1:16" x14ac:dyDescent="0.3">
      <c r="A1079" s="72">
        <f t="shared" ref="A1079:A1142" si="201">A1078+$C$5</f>
        <v>385</v>
      </c>
      <c r="B1079" s="74">
        <f t="shared" ref="B1079:B1142" si="202">B1078+D1078*(A1079-A1078)+F1078*(A1079-A1078)^2</f>
        <v>15029.439519234202</v>
      </c>
      <c r="C1079" s="74">
        <f t="shared" ref="C1079:C1142" si="203">C1078+E1078*(A1079-A1078)+G1078*(A1079-A1078)^2</f>
        <v>-52394.896759268689</v>
      </c>
      <c r="D1079" s="74">
        <f t="shared" ref="D1079:D1142" si="204">D1078+F1078*(A1079-A1078)</f>
        <v>1694.4455387002079</v>
      </c>
      <c r="E1079" s="74">
        <f t="shared" ref="E1079:E1142" si="205">E1078+G1078*(A1079-A1078)</f>
        <v>-5661.4940869045186</v>
      </c>
      <c r="F1079" s="74">
        <f t="shared" si="199"/>
        <v>-1784.1574353063913</v>
      </c>
      <c r="G1079" s="74">
        <f t="shared" si="200"/>
        <v>2039.387441608063</v>
      </c>
      <c r="H1079" s="74">
        <f t="shared" ref="H1079:H1142" si="206">$C$19-B1079</f>
        <v>4970.5604807657983</v>
      </c>
      <c r="I1079" s="74">
        <f t="shared" ref="I1079:I1142" si="207">$D$19-C1079</f>
        <v>72394.896759268682</v>
      </c>
      <c r="J1079" s="74">
        <f t="shared" ref="J1079:J1142" si="208">SQRT(H1079^2+I1079^2)</f>
        <v>72565.332964702378</v>
      </c>
      <c r="K1079" s="74">
        <f t="shared" ref="K1079:K1142" si="209">$C$28-B1079</f>
        <v>-35029.439519234205</v>
      </c>
      <c r="L1079" s="74">
        <f t="shared" ref="L1079:L1142" si="210">$D$28-C1079</f>
        <v>72394.896759268682</v>
      </c>
      <c r="M1079" s="74">
        <f t="shared" ref="M1079:M1142" si="211">SQRT(K1079^2+L1079^2)</f>
        <v>80424.391261711513</v>
      </c>
      <c r="N1079" s="74">
        <f t="shared" ref="N1079:N1142" si="212">$C$37-B1079</f>
        <v>-20029.439519234202</v>
      </c>
      <c r="O1079" s="74">
        <f t="shared" ref="O1079:O1142" si="213">$D$37-C1079</f>
        <v>17394.896759268689</v>
      </c>
      <c r="P1079" s="74">
        <f t="shared" ref="P1079:P1142" si="214">SQRT(N1079^2+O1079^2)</f>
        <v>26528.491866675671</v>
      </c>
    </row>
    <row r="1080" spans="1:16" x14ac:dyDescent="0.3">
      <c r="A1080" s="72">
        <f t="shared" si="201"/>
        <v>385.5</v>
      </c>
      <c r="B1080" s="74">
        <f t="shared" si="202"/>
        <v>15430.622929757708</v>
      </c>
      <c r="C1080" s="74">
        <f t="shared" si="203"/>
        <v>-54715.796942318935</v>
      </c>
      <c r="D1080" s="74">
        <f t="shared" si="204"/>
        <v>802.36682104701219</v>
      </c>
      <c r="E1080" s="74">
        <f t="shared" si="205"/>
        <v>-4641.8003661004868</v>
      </c>
      <c r="F1080" s="74">
        <f t="shared" si="199"/>
        <v>-1516.0605092753692</v>
      </c>
      <c r="G1080" s="74">
        <f t="shared" si="200"/>
        <v>1916.5305954634928</v>
      </c>
      <c r="H1080" s="74">
        <f t="shared" si="206"/>
        <v>4569.3770702422917</v>
      </c>
      <c r="I1080" s="74">
        <f t="shared" si="207"/>
        <v>74715.796942318935</v>
      </c>
      <c r="J1080" s="74">
        <f t="shared" si="208"/>
        <v>74855.390717942893</v>
      </c>
      <c r="K1080" s="74">
        <f t="shared" si="209"/>
        <v>-35430.622929757708</v>
      </c>
      <c r="L1080" s="74">
        <f t="shared" si="210"/>
        <v>74715.796942318935</v>
      </c>
      <c r="M1080" s="74">
        <f t="shared" si="211"/>
        <v>82690.866206108331</v>
      </c>
      <c r="N1080" s="74">
        <f t="shared" si="212"/>
        <v>-20430.622929757708</v>
      </c>
      <c r="O1080" s="74">
        <f t="shared" si="213"/>
        <v>19715.796942318935</v>
      </c>
      <c r="P1080" s="74">
        <f t="shared" si="214"/>
        <v>28392.305337339094</v>
      </c>
    </row>
    <row r="1081" spans="1:16" x14ac:dyDescent="0.3">
      <c r="A1081" s="72">
        <f t="shared" si="201"/>
        <v>386</v>
      </c>
      <c r="B1081" s="74">
        <f t="shared" si="202"/>
        <v>15452.791212962373</v>
      </c>
      <c r="C1081" s="74">
        <f t="shared" si="203"/>
        <v>-56557.564476503307</v>
      </c>
      <c r="D1081" s="74">
        <f t="shared" si="204"/>
        <v>44.336566409327588</v>
      </c>
      <c r="E1081" s="74">
        <f t="shared" si="205"/>
        <v>-3683.5350683687402</v>
      </c>
      <c r="F1081" s="74">
        <f t="shared" si="199"/>
        <v>-1341.0540018231447</v>
      </c>
      <c r="G1081" s="74">
        <f t="shared" si="200"/>
        <v>1841.6363756681299</v>
      </c>
      <c r="H1081" s="74">
        <f t="shared" si="206"/>
        <v>4547.2087870376272</v>
      </c>
      <c r="I1081" s="74">
        <f t="shared" si="207"/>
        <v>76557.564476503307</v>
      </c>
      <c r="J1081" s="74">
        <f t="shared" si="208"/>
        <v>76692.48846091039</v>
      </c>
      <c r="K1081" s="74">
        <f t="shared" si="209"/>
        <v>-35452.791212962373</v>
      </c>
      <c r="L1081" s="74">
        <f t="shared" si="210"/>
        <v>76557.564476503307</v>
      </c>
      <c r="M1081" s="74">
        <f t="shared" si="211"/>
        <v>84368.009834082623</v>
      </c>
      <c r="N1081" s="74">
        <f t="shared" si="212"/>
        <v>-20452.791212962373</v>
      </c>
      <c r="O1081" s="74">
        <f t="shared" si="213"/>
        <v>21557.564476503307</v>
      </c>
      <c r="P1081" s="74">
        <f t="shared" si="214"/>
        <v>29716.077375044442</v>
      </c>
    </row>
    <row r="1082" spans="1:16" x14ac:dyDescent="0.3">
      <c r="A1082" s="72">
        <f t="shared" si="201"/>
        <v>386.5</v>
      </c>
      <c r="B1082" s="74">
        <f t="shared" si="202"/>
        <v>15139.69599571125</v>
      </c>
      <c r="C1082" s="74">
        <f t="shared" si="203"/>
        <v>-57938.922916770643</v>
      </c>
      <c r="D1082" s="74">
        <f t="shared" si="204"/>
        <v>-626.19043450224478</v>
      </c>
      <c r="E1082" s="74">
        <f t="shared" si="205"/>
        <v>-2762.7168805346755</v>
      </c>
      <c r="F1082" s="74">
        <f t="shared" si="199"/>
        <v>-1226.3694969843439</v>
      </c>
      <c r="G1082" s="74">
        <f t="shared" si="200"/>
        <v>1808.347276400259</v>
      </c>
      <c r="H1082" s="74">
        <f t="shared" si="206"/>
        <v>4860.3040042887496</v>
      </c>
      <c r="I1082" s="74">
        <f t="shared" si="207"/>
        <v>77938.922916770651</v>
      </c>
      <c r="J1082" s="74">
        <f t="shared" si="208"/>
        <v>78090.32117004272</v>
      </c>
      <c r="K1082" s="74">
        <f t="shared" si="209"/>
        <v>-35139.695995711249</v>
      </c>
      <c r="L1082" s="74">
        <f t="shared" si="210"/>
        <v>77938.922916770651</v>
      </c>
      <c r="M1082" s="74">
        <f t="shared" si="211"/>
        <v>85494.29185680949</v>
      </c>
      <c r="N1082" s="74">
        <f t="shared" si="212"/>
        <v>-20139.695995711249</v>
      </c>
      <c r="O1082" s="74">
        <f t="shared" si="213"/>
        <v>22938.922916770643</v>
      </c>
      <c r="P1082" s="74">
        <f t="shared" si="214"/>
        <v>30525.424475037413</v>
      </c>
    </row>
    <row r="1083" spans="1:16" x14ac:dyDescent="0.3">
      <c r="A1083" s="72">
        <f t="shared" si="201"/>
        <v>387</v>
      </c>
      <c r="B1083" s="74">
        <f t="shared" si="202"/>
        <v>14520.008404214042</v>
      </c>
      <c r="C1083" s="74">
        <f t="shared" si="203"/>
        <v>-58868.194537937918</v>
      </c>
      <c r="D1083" s="74">
        <f t="shared" si="204"/>
        <v>-1239.3751829944167</v>
      </c>
      <c r="E1083" s="74">
        <f t="shared" si="205"/>
        <v>-1858.543242334546</v>
      </c>
      <c r="F1083" s="74">
        <f t="shared" si="199"/>
        <v>-1154.6952070089642</v>
      </c>
      <c r="G1083" s="74">
        <f t="shared" si="200"/>
        <v>1814.2187682351296</v>
      </c>
      <c r="H1083" s="74">
        <f t="shared" si="206"/>
        <v>5479.9915957859575</v>
      </c>
      <c r="I1083" s="74">
        <f t="shared" si="207"/>
        <v>78868.194537937918</v>
      </c>
      <c r="J1083" s="74">
        <f t="shared" si="208"/>
        <v>79058.348183881913</v>
      </c>
      <c r="K1083" s="74">
        <f t="shared" si="209"/>
        <v>-34520.008404214044</v>
      </c>
      <c r="L1083" s="74">
        <f t="shared" si="210"/>
        <v>78868.194537937918</v>
      </c>
      <c r="M1083" s="74">
        <f t="shared" si="211"/>
        <v>86091.94555764801</v>
      </c>
      <c r="N1083" s="74">
        <f t="shared" si="212"/>
        <v>-19520.008404214044</v>
      </c>
      <c r="O1083" s="74">
        <f t="shared" si="213"/>
        <v>23868.194537937918</v>
      </c>
      <c r="P1083" s="74">
        <f t="shared" si="214"/>
        <v>30833.771073312397</v>
      </c>
    </row>
    <row r="1084" spans="1:16" x14ac:dyDescent="0.3">
      <c r="A1084" s="72">
        <f t="shared" si="201"/>
        <v>387.5</v>
      </c>
      <c r="B1084" s="74">
        <f t="shared" si="202"/>
        <v>13611.647010964594</v>
      </c>
      <c r="C1084" s="74">
        <f t="shared" si="203"/>
        <v>-59343.911467046411</v>
      </c>
      <c r="D1084" s="74">
        <f t="shared" si="204"/>
        <v>-1816.7227864988988</v>
      </c>
      <c r="E1084" s="74">
        <f t="shared" si="205"/>
        <v>-951.43385821698121</v>
      </c>
      <c r="F1084" s="74">
        <f t="shared" si="199"/>
        <v>-1117.1807973517848</v>
      </c>
      <c r="G1084" s="74">
        <f t="shared" si="200"/>
        <v>1861.1057683471217</v>
      </c>
      <c r="H1084" s="74">
        <f t="shared" si="206"/>
        <v>6388.3529890354057</v>
      </c>
      <c r="I1084" s="74">
        <f t="shared" si="207"/>
        <v>79343.911467046419</v>
      </c>
      <c r="J1084" s="74">
        <f t="shared" si="208"/>
        <v>79600.674248419644</v>
      </c>
      <c r="K1084" s="74">
        <f t="shared" si="209"/>
        <v>-33611.647010964596</v>
      </c>
      <c r="L1084" s="74">
        <f t="shared" si="210"/>
        <v>79343.911467046419</v>
      </c>
      <c r="M1084" s="74">
        <f t="shared" si="211"/>
        <v>86169.594995451756</v>
      </c>
      <c r="N1084" s="74">
        <f t="shared" si="212"/>
        <v>-18611.647010964596</v>
      </c>
      <c r="O1084" s="74">
        <f t="shared" si="213"/>
        <v>24343.911467046411</v>
      </c>
      <c r="P1084" s="74">
        <f t="shared" si="214"/>
        <v>30643.423927102878</v>
      </c>
    </row>
    <row r="1085" spans="1:16" x14ac:dyDescent="0.3">
      <c r="A1085" s="72">
        <f t="shared" si="201"/>
        <v>388</v>
      </c>
      <c r="B1085" s="74">
        <f t="shared" si="202"/>
        <v>12423.990418377198</v>
      </c>
      <c r="C1085" s="74">
        <f t="shared" si="203"/>
        <v>-59354.351954068123</v>
      </c>
      <c r="D1085" s="74">
        <f t="shared" si="204"/>
        <v>-2375.3131851747912</v>
      </c>
      <c r="E1085" s="74">
        <f t="shared" si="205"/>
        <v>-20.880974043420338</v>
      </c>
      <c r="F1085" s="74">
        <f t="shared" si="199"/>
        <v>-1110.47531669825</v>
      </c>
      <c r="G1085" s="74">
        <f t="shared" si="200"/>
        <v>1956.2099627124717</v>
      </c>
      <c r="H1085" s="74">
        <f t="shared" si="206"/>
        <v>7576.0095816228022</v>
      </c>
      <c r="I1085" s="74">
        <f t="shared" si="207"/>
        <v>79354.351954068115</v>
      </c>
      <c r="J1085" s="74">
        <f t="shared" si="208"/>
        <v>79715.174811518504</v>
      </c>
      <c r="K1085" s="74">
        <f t="shared" si="209"/>
        <v>-32423.990418377198</v>
      </c>
      <c r="L1085" s="74">
        <f t="shared" si="210"/>
        <v>79354.351954068115</v>
      </c>
      <c r="M1085" s="74">
        <f t="shared" si="211"/>
        <v>85722.974334195445</v>
      </c>
      <c r="N1085" s="74">
        <f t="shared" si="212"/>
        <v>-17423.990418377198</v>
      </c>
      <c r="O1085" s="74">
        <f t="shared" si="213"/>
        <v>24354.351954068123</v>
      </c>
      <c r="P1085" s="74">
        <f t="shared" si="214"/>
        <v>29945.448756068461</v>
      </c>
    </row>
    <row r="1086" spans="1:16" x14ac:dyDescent="0.3">
      <c r="A1086" s="72">
        <f t="shared" si="201"/>
        <v>388.5</v>
      </c>
      <c r="B1086" s="74">
        <f t="shared" si="202"/>
        <v>10958.714996615241</v>
      </c>
      <c r="C1086" s="74">
        <f t="shared" si="203"/>
        <v>-58875.739950411713</v>
      </c>
      <c r="D1086" s="74">
        <f t="shared" si="204"/>
        <v>-2930.5508435239162</v>
      </c>
      <c r="E1086" s="74">
        <f t="shared" si="205"/>
        <v>957.2240073128155</v>
      </c>
      <c r="F1086" s="74">
        <f t="shared" si="199"/>
        <v>-1135.8741340071424</v>
      </c>
      <c r="G1086" s="74">
        <f t="shared" si="200"/>
        <v>2114.8304942669365</v>
      </c>
      <c r="H1086" s="74">
        <f t="shared" si="206"/>
        <v>9041.285003384759</v>
      </c>
      <c r="I1086" s="74">
        <f t="shared" si="207"/>
        <v>78875.73995041172</v>
      </c>
      <c r="J1086" s="74">
        <f t="shared" si="208"/>
        <v>79392.236315885486</v>
      </c>
      <c r="K1086" s="74">
        <f t="shared" si="209"/>
        <v>-30958.714996615243</v>
      </c>
      <c r="L1086" s="74">
        <f t="shared" si="210"/>
        <v>78875.73995041172</v>
      </c>
      <c r="M1086" s="74">
        <f t="shared" si="211"/>
        <v>84733.844400963091</v>
      </c>
      <c r="N1086" s="74">
        <f t="shared" si="212"/>
        <v>-15958.714996615241</v>
      </c>
      <c r="O1086" s="74">
        <f t="shared" si="213"/>
        <v>23875.739950411713</v>
      </c>
      <c r="P1086" s="74">
        <f t="shared" si="214"/>
        <v>28718.139607622186</v>
      </c>
    </row>
    <row r="1087" spans="1:16" x14ac:dyDescent="0.3">
      <c r="A1087" s="72">
        <f t="shared" si="201"/>
        <v>389</v>
      </c>
      <c r="B1087" s="74">
        <f t="shared" si="202"/>
        <v>9209.4710413514968</v>
      </c>
      <c r="C1087" s="74">
        <f t="shared" si="203"/>
        <v>-57868.420323188569</v>
      </c>
      <c r="D1087" s="74">
        <f t="shared" si="204"/>
        <v>-3498.4879105274877</v>
      </c>
      <c r="E1087" s="74">
        <f t="shared" si="205"/>
        <v>2014.6392544462838</v>
      </c>
      <c r="F1087" s="74">
        <f t="shared" si="199"/>
        <v>-1200.1211988982002</v>
      </c>
      <c r="G1087" s="74">
        <f t="shared" si="200"/>
        <v>2366.8400911557355</v>
      </c>
      <c r="H1087" s="74">
        <f t="shared" si="206"/>
        <v>10790.528958648503</v>
      </c>
      <c r="I1087" s="74">
        <f t="shared" si="207"/>
        <v>77868.420323188562</v>
      </c>
      <c r="J1087" s="74">
        <f t="shared" si="208"/>
        <v>78612.507903235077</v>
      </c>
      <c r="K1087" s="74">
        <f t="shared" si="209"/>
        <v>-29209.471041351499</v>
      </c>
      <c r="L1087" s="74">
        <f t="shared" si="210"/>
        <v>77868.420323188562</v>
      </c>
      <c r="M1087" s="74">
        <f t="shared" si="211"/>
        <v>83166.604368245768</v>
      </c>
      <c r="N1087" s="74">
        <f t="shared" si="212"/>
        <v>-14209.471041351497</v>
      </c>
      <c r="O1087" s="74">
        <f t="shared" si="213"/>
        <v>22868.420323188569</v>
      </c>
      <c r="P1087" s="74">
        <f t="shared" si="214"/>
        <v>26923.478886522647</v>
      </c>
    </row>
    <row r="1088" spans="1:16" x14ac:dyDescent="0.3">
      <c r="A1088" s="72">
        <f t="shared" si="201"/>
        <v>389.5</v>
      </c>
      <c r="B1088" s="74">
        <f t="shared" si="202"/>
        <v>7160.1967863632026</v>
      </c>
      <c r="C1088" s="74">
        <f t="shared" si="203"/>
        <v>-56269.390673176495</v>
      </c>
      <c r="D1088" s="74">
        <f t="shared" si="204"/>
        <v>-4098.5485099765874</v>
      </c>
      <c r="E1088" s="74">
        <f t="shared" si="205"/>
        <v>3198.0593000241515</v>
      </c>
      <c r="F1088" s="74">
        <f t="shared" si="199"/>
        <v>-1318.4109772672098</v>
      </c>
      <c r="G1088" s="74">
        <f t="shared" si="200"/>
        <v>2772.4346082571033</v>
      </c>
      <c r="H1088" s="74">
        <f t="shared" si="206"/>
        <v>12839.803213636798</v>
      </c>
      <c r="I1088" s="74">
        <f t="shared" si="207"/>
        <v>76269.390673176502</v>
      </c>
      <c r="J1088" s="74">
        <f t="shared" si="208"/>
        <v>77342.617619411743</v>
      </c>
      <c r="K1088" s="74">
        <f t="shared" si="209"/>
        <v>-27160.196786363202</v>
      </c>
      <c r="L1088" s="74">
        <f t="shared" si="210"/>
        <v>76269.390673176502</v>
      </c>
      <c r="M1088" s="74">
        <f t="shared" si="211"/>
        <v>80961.078569468154</v>
      </c>
      <c r="N1088" s="74">
        <f t="shared" si="212"/>
        <v>-12160.196786363202</v>
      </c>
      <c r="O1088" s="74">
        <f t="shared" si="213"/>
        <v>21269.390673176495</v>
      </c>
      <c r="P1088" s="74">
        <f t="shared" si="214"/>
        <v>24500.150315687559</v>
      </c>
    </row>
    <row r="1089" spans="1:16" x14ac:dyDescent="0.3">
      <c r="A1089" s="72">
        <f t="shared" si="201"/>
        <v>390</v>
      </c>
      <c r="B1089" s="74">
        <f t="shared" si="202"/>
        <v>4781.3197870581062</v>
      </c>
      <c r="C1089" s="74">
        <f t="shared" si="203"/>
        <v>-53977.252371100141</v>
      </c>
      <c r="D1089" s="74">
        <f t="shared" si="204"/>
        <v>-4757.753998610192</v>
      </c>
      <c r="E1089" s="74">
        <f t="shared" si="205"/>
        <v>4584.2766041527029</v>
      </c>
      <c r="F1089" s="74">
        <f t="shared" si="199"/>
        <v>-1521.1658538333747</v>
      </c>
      <c r="G1089" s="74">
        <f t="shared" si="200"/>
        <v>3464.6958398681677</v>
      </c>
      <c r="H1089" s="74">
        <f t="shared" si="206"/>
        <v>15218.680212941894</v>
      </c>
      <c r="I1089" s="74">
        <f t="shared" si="207"/>
        <v>73977.252371100141</v>
      </c>
      <c r="J1089" s="74">
        <f t="shared" si="208"/>
        <v>75526.433093329848</v>
      </c>
      <c r="K1089" s="74">
        <f t="shared" si="209"/>
        <v>-24781.319787058106</v>
      </c>
      <c r="L1089" s="74">
        <f t="shared" si="210"/>
        <v>73977.252371100141</v>
      </c>
      <c r="M1089" s="74">
        <f t="shared" si="211"/>
        <v>78017.611337222304</v>
      </c>
      <c r="N1089" s="74">
        <f t="shared" si="212"/>
        <v>-9781.3197870581062</v>
      </c>
      <c r="O1089" s="74">
        <f t="shared" si="213"/>
        <v>18977.252371100141</v>
      </c>
      <c r="P1089" s="74">
        <f t="shared" si="214"/>
        <v>21349.714853672409</v>
      </c>
    </row>
    <row r="1090" spans="1:16" x14ac:dyDescent="0.3">
      <c r="A1090" s="72">
        <f t="shared" si="201"/>
        <v>390.5</v>
      </c>
      <c r="B1090" s="74">
        <f t="shared" si="202"/>
        <v>2022.1513242946664</v>
      </c>
      <c r="C1090" s="74">
        <f t="shared" si="203"/>
        <v>-50818.940109056748</v>
      </c>
      <c r="D1090" s="74">
        <f t="shared" si="204"/>
        <v>-5518.336925526879</v>
      </c>
      <c r="E1090" s="74">
        <f t="shared" si="205"/>
        <v>6316.6245240867866</v>
      </c>
      <c r="F1090" s="74">
        <f t="shared" si="199"/>
        <v>-1862.7692490083803</v>
      </c>
      <c r="G1090" s="74">
        <f t="shared" si="200"/>
        <v>4783.2375461007387</v>
      </c>
      <c r="H1090" s="74">
        <f t="shared" si="206"/>
        <v>17977.848675705332</v>
      </c>
      <c r="I1090" s="74">
        <f t="shared" si="207"/>
        <v>70818.940109056741</v>
      </c>
      <c r="J1090" s="74">
        <f t="shared" si="208"/>
        <v>73065.212797724249</v>
      </c>
      <c r="K1090" s="74">
        <f t="shared" si="209"/>
        <v>-22022.151324294668</v>
      </c>
      <c r="L1090" s="74">
        <f t="shared" si="210"/>
        <v>70818.940109056741</v>
      </c>
      <c r="M1090" s="74">
        <f t="shared" si="211"/>
        <v>74163.990097083501</v>
      </c>
      <c r="N1090" s="74">
        <f t="shared" si="212"/>
        <v>-7022.1513242946667</v>
      </c>
      <c r="O1090" s="74">
        <f t="shared" si="213"/>
        <v>15818.940109056748</v>
      </c>
      <c r="P1090" s="74">
        <f t="shared" si="214"/>
        <v>17307.497664169066</v>
      </c>
    </row>
    <row r="1091" spans="1:16" x14ac:dyDescent="0.3">
      <c r="A1091" s="72">
        <f t="shared" si="201"/>
        <v>391</v>
      </c>
      <c r="B1091" s="74">
        <f t="shared" si="202"/>
        <v>-1202.7094507208681</v>
      </c>
      <c r="C1091" s="74">
        <f t="shared" si="203"/>
        <v>-46464.818460488168</v>
      </c>
      <c r="D1091" s="74">
        <f t="shared" si="204"/>
        <v>-6449.7215500310695</v>
      </c>
      <c r="E1091" s="74">
        <f t="shared" si="205"/>
        <v>8708.2432971371563</v>
      </c>
      <c r="F1091" s="74">
        <f t="shared" si="199"/>
        <v>-2325.9764102954564</v>
      </c>
      <c r="G1091" s="74">
        <f t="shared" si="200"/>
        <v>7741.2401444454827</v>
      </c>
      <c r="H1091" s="74">
        <f t="shared" si="206"/>
        <v>21202.709450720868</v>
      </c>
      <c r="I1091" s="74">
        <f t="shared" si="207"/>
        <v>66464.818460488168</v>
      </c>
      <c r="J1091" s="74">
        <f t="shared" si="208"/>
        <v>69764.797577555815</v>
      </c>
      <c r="K1091" s="74">
        <f t="shared" si="209"/>
        <v>-18797.290549279132</v>
      </c>
      <c r="L1091" s="74">
        <f t="shared" si="210"/>
        <v>66464.818460488168</v>
      </c>
      <c r="M1091" s="74">
        <f t="shared" si="211"/>
        <v>69071.775892760052</v>
      </c>
      <c r="N1091" s="74">
        <f t="shared" si="212"/>
        <v>-3797.2905492791319</v>
      </c>
      <c r="O1091" s="74">
        <f t="shared" si="213"/>
        <v>11464.818460488168</v>
      </c>
      <c r="P1091" s="74">
        <f t="shared" si="214"/>
        <v>12077.312525872423</v>
      </c>
    </row>
    <row r="1092" spans="1:16" x14ac:dyDescent="0.3">
      <c r="A1092" s="72">
        <f t="shared" si="201"/>
        <v>391.5</v>
      </c>
      <c r="B1092" s="74">
        <f t="shared" si="202"/>
        <v>-5009.0643283102672</v>
      </c>
      <c r="C1092" s="74">
        <f t="shared" si="203"/>
        <v>-40175.38677580822</v>
      </c>
      <c r="D1092" s="74">
        <f t="shared" si="204"/>
        <v>-7612.7097551787974</v>
      </c>
      <c r="E1092" s="74">
        <f t="shared" si="205"/>
        <v>12578.863369359897</v>
      </c>
      <c r="F1092" s="74">
        <f t="shared" si="199"/>
        <v>69.070561730595188</v>
      </c>
      <c r="G1092" s="74">
        <f t="shared" si="200"/>
        <v>12900.227859969866</v>
      </c>
      <c r="H1092" s="74">
        <f t="shared" si="206"/>
        <v>25009.064328310269</v>
      </c>
      <c r="I1092" s="74">
        <f t="shared" si="207"/>
        <v>60175.38677580822</v>
      </c>
      <c r="J1092" s="74">
        <f t="shared" si="208"/>
        <v>65165.408555426671</v>
      </c>
      <c r="K1092" s="74">
        <f t="shared" si="209"/>
        <v>-14990.935671689733</v>
      </c>
      <c r="L1092" s="74">
        <f t="shared" si="210"/>
        <v>60175.38677580822</v>
      </c>
      <c r="M1092" s="74">
        <f t="shared" si="211"/>
        <v>62014.557371079049</v>
      </c>
      <c r="N1092" s="74">
        <f t="shared" si="212"/>
        <v>9.0643283102672285</v>
      </c>
      <c r="O1092" s="74">
        <f t="shared" si="213"/>
        <v>5175.3867758082197</v>
      </c>
      <c r="P1092" s="74">
        <f t="shared" si="214"/>
        <v>5175.3947135709677</v>
      </c>
    </row>
    <row r="1093" spans="1:16" x14ac:dyDescent="0.3">
      <c r="A1093" s="72">
        <f t="shared" si="201"/>
        <v>392</v>
      </c>
      <c r="B1093" s="74">
        <f t="shared" si="202"/>
        <v>-8798.1515654670184</v>
      </c>
      <c r="C1093" s="74">
        <f t="shared" si="203"/>
        <v>-30660.898126135806</v>
      </c>
      <c r="D1093" s="74">
        <f t="shared" si="204"/>
        <v>-7578.1744743134996</v>
      </c>
      <c r="E1093" s="74">
        <f t="shared" si="205"/>
        <v>19028.977299344828</v>
      </c>
      <c r="F1093" s="74">
        <f t="shared" si="199"/>
        <v>8040.0326656728294</v>
      </c>
      <c r="G1093" s="74">
        <f t="shared" si="200"/>
        <v>-7992.6876850128265</v>
      </c>
      <c r="H1093" s="74">
        <f t="shared" si="206"/>
        <v>28798.151565467018</v>
      </c>
      <c r="I1093" s="74">
        <f t="shared" si="207"/>
        <v>50660.898126135806</v>
      </c>
      <c r="J1093" s="74">
        <f t="shared" si="208"/>
        <v>58274.009065228391</v>
      </c>
      <c r="K1093" s="74">
        <f t="shared" si="209"/>
        <v>-11201.848434532982</v>
      </c>
      <c r="L1093" s="74">
        <f t="shared" si="210"/>
        <v>50660.898126135806</v>
      </c>
      <c r="M1093" s="74">
        <f t="shared" si="211"/>
        <v>51884.564248887735</v>
      </c>
      <c r="N1093" s="74">
        <f t="shared" si="212"/>
        <v>3798.1515654670184</v>
      </c>
      <c r="O1093" s="74">
        <f t="shared" si="213"/>
        <v>-4339.1018738641942</v>
      </c>
      <c r="P1093" s="74">
        <f t="shared" si="214"/>
        <v>5766.6073549385455</v>
      </c>
    </row>
    <row r="1094" spans="1:16" x14ac:dyDescent="0.3">
      <c r="A1094" s="72">
        <f t="shared" si="201"/>
        <v>392.5</v>
      </c>
      <c r="B1094" s="74">
        <f t="shared" si="202"/>
        <v>-10577.230636205561</v>
      </c>
      <c r="C1094" s="74">
        <f t="shared" si="203"/>
        <v>-23144.5813977166</v>
      </c>
      <c r="D1094" s="74">
        <f t="shared" si="204"/>
        <v>-3558.1581414770849</v>
      </c>
      <c r="E1094" s="74">
        <f t="shared" si="205"/>
        <v>15032.633456838415</v>
      </c>
      <c r="F1094" s="74">
        <f t="shared" si="199"/>
        <v>3033.9265513137084</v>
      </c>
      <c r="G1094" s="74">
        <f t="shared" si="200"/>
        <v>-4740.4279830287724</v>
      </c>
      <c r="H1094" s="74">
        <f t="shared" si="206"/>
        <v>30577.230636205561</v>
      </c>
      <c r="I1094" s="74">
        <f t="shared" si="207"/>
        <v>43144.581397716596</v>
      </c>
      <c r="J1094" s="74">
        <f t="shared" si="208"/>
        <v>52881.205899297536</v>
      </c>
      <c r="K1094" s="74">
        <f t="shared" si="209"/>
        <v>-9422.7693637944394</v>
      </c>
      <c r="L1094" s="74">
        <f t="shared" si="210"/>
        <v>43144.581397716596</v>
      </c>
      <c r="M1094" s="74">
        <f t="shared" si="211"/>
        <v>44161.561186935593</v>
      </c>
      <c r="N1094" s="74">
        <f t="shared" si="212"/>
        <v>5577.2306362055606</v>
      </c>
      <c r="O1094" s="74">
        <f t="shared" si="213"/>
        <v>-11855.4186022834</v>
      </c>
      <c r="P1094" s="74">
        <f t="shared" si="214"/>
        <v>13101.772849687068</v>
      </c>
    </row>
    <row r="1095" spans="1:16" x14ac:dyDescent="0.3">
      <c r="A1095" s="72">
        <f t="shared" si="201"/>
        <v>393</v>
      </c>
      <c r="B1095" s="74">
        <f t="shared" si="202"/>
        <v>-11597.828069115676</v>
      </c>
      <c r="C1095" s="74">
        <f t="shared" si="203"/>
        <v>-16813.371665054587</v>
      </c>
      <c r="D1095" s="74">
        <f t="shared" si="204"/>
        <v>-2041.1948658202307</v>
      </c>
      <c r="E1095" s="74">
        <f t="shared" si="205"/>
        <v>12662.41946532403</v>
      </c>
      <c r="F1095" s="74">
        <f t="shared" si="199"/>
        <v>1516.9089103284853</v>
      </c>
      <c r="G1095" s="74">
        <f t="shared" si="200"/>
        <v>-1907.5159896511884</v>
      </c>
      <c r="H1095" s="74">
        <f t="shared" si="206"/>
        <v>31597.828069115676</v>
      </c>
      <c r="I1095" s="74">
        <f t="shared" si="207"/>
        <v>36813.371665054583</v>
      </c>
      <c r="J1095" s="74">
        <f t="shared" si="208"/>
        <v>48514.400666553003</v>
      </c>
      <c r="K1095" s="74">
        <f t="shared" si="209"/>
        <v>-8402.171930884324</v>
      </c>
      <c r="L1095" s="74">
        <f t="shared" si="210"/>
        <v>36813.371665054583</v>
      </c>
      <c r="M1095" s="74">
        <f t="shared" si="211"/>
        <v>37760.042723831553</v>
      </c>
      <c r="N1095" s="74">
        <f t="shared" si="212"/>
        <v>6597.828069115676</v>
      </c>
      <c r="O1095" s="74">
        <f t="shared" si="213"/>
        <v>-18186.628334945413</v>
      </c>
      <c r="P1095" s="74">
        <f t="shared" si="214"/>
        <v>19346.441156529283</v>
      </c>
    </row>
    <row r="1096" spans="1:16" x14ac:dyDescent="0.3">
      <c r="A1096" s="72">
        <f t="shared" si="201"/>
        <v>393.5</v>
      </c>
      <c r="B1096" s="74">
        <f t="shared" si="202"/>
        <v>-12239.19827444367</v>
      </c>
      <c r="C1096" s="74">
        <f t="shared" si="203"/>
        <v>-10959.040929805369</v>
      </c>
      <c r="D1096" s="74">
        <f t="shared" si="204"/>
        <v>-1282.7404106559879</v>
      </c>
      <c r="E1096" s="74">
        <f t="shared" si="205"/>
        <v>11708.661470498437</v>
      </c>
      <c r="F1096" s="74">
        <f t="shared" si="199"/>
        <v>933.86030560888844</v>
      </c>
      <c r="G1096" s="74">
        <f t="shared" si="200"/>
        <v>-221.27726789968983</v>
      </c>
      <c r="H1096" s="74">
        <f t="shared" si="206"/>
        <v>32239.198274443668</v>
      </c>
      <c r="I1096" s="74">
        <f t="shared" si="207"/>
        <v>30959.040929805371</v>
      </c>
      <c r="J1096" s="74">
        <f t="shared" si="208"/>
        <v>44697.070605043635</v>
      </c>
      <c r="K1096" s="74">
        <f t="shared" si="209"/>
        <v>-7760.80172555633</v>
      </c>
      <c r="L1096" s="74">
        <f t="shared" si="210"/>
        <v>30959.040929805371</v>
      </c>
      <c r="M1096" s="74">
        <f t="shared" si="211"/>
        <v>31916.958794922211</v>
      </c>
      <c r="N1096" s="74">
        <f t="shared" si="212"/>
        <v>7239.19827444367</v>
      </c>
      <c r="O1096" s="74">
        <f t="shared" si="213"/>
        <v>-24040.959070194629</v>
      </c>
      <c r="P1096" s="74">
        <f t="shared" si="214"/>
        <v>25107.244067628802</v>
      </c>
    </row>
    <row r="1097" spans="1:16" x14ac:dyDescent="0.3">
      <c r="A1097" s="72">
        <f t="shared" si="201"/>
        <v>394</v>
      </c>
      <c r="B1097" s="74">
        <f t="shared" si="202"/>
        <v>-12647.103403369441</v>
      </c>
      <c r="C1097" s="74">
        <f t="shared" si="203"/>
        <v>-5160.0295115310728</v>
      </c>
      <c r="D1097" s="74">
        <f t="shared" si="204"/>
        <v>-815.81025785154372</v>
      </c>
      <c r="E1097" s="74">
        <f t="shared" si="205"/>
        <v>11598.022836548593</v>
      </c>
      <c r="F1097" s="74">
        <f t="shared" si="199"/>
        <v>567.54400634162425</v>
      </c>
      <c r="G1097" s="74">
        <f t="shared" si="200"/>
        <v>1143.7838766721968</v>
      </c>
      <c r="H1097" s="74">
        <f t="shared" si="206"/>
        <v>32647.103403369441</v>
      </c>
      <c r="I1097" s="74">
        <f t="shared" si="207"/>
        <v>25160.029511531073</v>
      </c>
      <c r="J1097" s="74">
        <f t="shared" si="208"/>
        <v>41217.234813259987</v>
      </c>
      <c r="K1097" s="74">
        <f t="shared" si="209"/>
        <v>-7352.8965966305586</v>
      </c>
      <c r="L1097" s="74">
        <f t="shared" si="210"/>
        <v>25160.029511531073</v>
      </c>
      <c r="M1097" s="74">
        <f t="shared" si="211"/>
        <v>26212.443102119567</v>
      </c>
      <c r="N1097" s="74">
        <f t="shared" si="212"/>
        <v>7647.1034033694414</v>
      </c>
      <c r="O1097" s="74">
        <f t="shared" si="213"/>
        <v>-29839.970488468927</v>
      </c>
      <c r="P1097" s="74">
        <f t="shared" si="214"/>
        <v>30804.253427319432</v>
      </c>
    </row>
    <row r="1098" spans="1:16" x14ac:dyDescent="0.3">
      <c r="A1098" s="72">
        <f t="shared" si="201"/>
        <v>394.5</v>
      </c>
      <c r="B1098" s="74">
        <f t="shared" si="202"/>
        <v>-12913.122530709807</v>
      </c>
      <c r="C1098" s="74">
        <f t="shared" si="203"/>
        <v>924.92787591127285</v>
      </c>
      <c r="D1098" s="74">
        <f t="shared" si="204"/>
        <v>-532.0382546807316</v>
      </c>
      <c r="E1098" s="74">
        <f t="shared" si="205"/>
        <v>12169.914774884692</v>
      </c>
      <c r="F1098" s="74">
        <f t="shared" si="199"/>
        <v>34.270693525576462</v>
      </c>
      <c r="G1098" s="74">
        <f t="shared" si="200"/>
        <v>2683.2356742418569</v>
      </c>
      <c r="H1098" s="74">
        <f t="shared" si="206"/>
        <v>32913.122530709807</v>
      </c>
      <c r="I1098" s="74">
        <f t="shared" si="207"/>
        <v>19075.072124088729</v>
      </c>
      <c r="J1098" s="74">
        <f t="shared" si="208"/>
        <v>38041.18835237281</v>
      </c>
      <c r="K1098" s="74">
        <f t="shared" si="209"/>
        <v>-7086.8774692901934</v>
      </c>
      <c r="L1098" s="74">
        <f t="shared" si="210"/>
        <v>19075.072124088729</v>
      </c>
      <c r="M1098" s="74">
        <f t="shared" si="211"/>
        <v>20349.010020242258</v>
      </c>
      <c r="N1098" s="74">
        <f t="shared" si="212"/>
        <v>7913.1225307098066</v>
      </c>
      <c r="O1098" s="74">
        <f t="shared" si="213"/>
        <v>-35924.927875911271</v>
      </c>
      <c r="P1098" s="74">
        <f t="shared" si="214"/>
        <v>36786.110844657851</v>
      </c>
    </row>
    <row r="1099" spans="1:16" x14ac:dyDescent="0.3">
      <c r="A1099" s="72">
        <f t="shared" si="201"/>
        <v>395</v>
      </c>
      <c r="B1099" s="74">
        <f t="shared" si="202"/>
        <v>-13170.573984668777</v>
      </c>
      <c r="C1099" s="74">
        <f t="shared" si="203"/>
        <v>7680.6941819140829</v>
      </c>
      <c r="D1099" s="74">
        <f t="shared" si="204"/>
        <v>-514.90290791794337</v>
      </c>
      <c r="E1099" s="74">
        <f t="shared" si="205"/>
        <v>13511.53261200562</v>
      </c>
      <c r="F1099" s="74">
        <f t="shared" si="199"/>
        <v>-1562.7227333422925</v>
      </c>
      <c r="G1099" s="74">
        <f t="shared" si="200"/>
        <v>4937.5933113728297</v>
      </c>
      <c r="H1099" s="74">
        <f t="shared" si="206"/>
        <v>33170.573984668779</v>
      </c>
      <c r="I1099" s="74">
        <f t="shared" si="207"/>
        <v>12319.305818085917</v>
      </c>
      <c r="J1099" s="74">
        <f t="shared" si="208"/>
        <v>35384.35069789907</v>
      </c>
      <c r="K1099" s="74">
        <f t="shared" si="209"/>
        <v>-6829.4260153312225</v>
      </c>
      <c r="L1099" s="74">
        <f t="shared" si="210"/>
        <v>12319.305818085917</v>
      </c>
      <c r="M1099" s="74">
        <f t="shared" si="211"/>
        <v>14085.679093973724</v>
      </c>
      <c r="N1099" s="74">
        <f t="shared" si="212"/>
        <v>8170.5739846687775</v>
      </c>
      <c r="O1099" s="74">
        <f t="shared" si="213"/>
        <v>-42680.694181914085</v>
      </c>
      <c r="P1099" s="74">
        <f t="shared" si="214"/>
        <v>43455.723847256544</v>
      </c>
    </row>
    <row r="1100" spans="1:16" x14ac:dyDescent="0.3">
      <c r="A1100" s="72">
        <f t="shared" si="201"/>
        <v>395.5</v>
      </c>
      <c r="B1100" s="74">
        <f t="shared" si="202"/>
        <v>-13818.706121963321</v>
      </c>
      <c r="C1100" s="74">
        <f t="shared" si="203"/>
        <v>15670.858815760101</v>
      </c>
      <c r="D1100" s="74">
        <f t="shared" si="204"/>
        <v>-1296.2642745890896</v>
      </c>
      <c r="E1100" s="74">
        <f t="shared" si="205"/>
        <v>15980.329267692036</v>
      </c>
      <c r="F1100" s="74">
        <f t="shared" si="199"/>
        <v>-7553.8009907504429</v>
      </c>
      <c r="G1100" s="74">
        <f t="shared" si="200"/>
        <v>5894.0512705843612</v>
      </c>
      <c r="H1100" s="74">
        <f t="shared" si="206"/>
        <v>33818.706121963318</v>
      </c>
      <c r="I1100" s="74">
        <f t="shared" si="207"/>
        <v>4329.1411842398993</v>
      </c>
      <c r="J1100" s="74">
        <f t="shared" si="208"/>
        <v>34094.667429919318</v>
      </c>
      <c r="K1100" s="74">
        <f t="shared" si="209"/>
        <v>-6181.2938780366785</v>
      </c>
      <c r="L1100" s="74">
        <f t="shared" si="210"/>
        <v>4329.1411842398993</v>
      </c>
      <c r="M1100" s="74">
        <f t="shared" si="211"/>
        <v>7546.5129298064385</v>
      </c>
      <c r="N1100" s="74">
        <f t="shared" si="212"/>
        <v>8818.7061219633215</v>
      </c>
      <c r="O1100" s="74">
        <f t="shared" si="213"/>
        <v>-50670.858815760104</v>
      </c>
      <c r="P1100" s="74">
        <f t="shared" si="214"/>
        <v>51432.533583251046</v>
      </c>
    </row>
    <row r="1101" spans="1:16" x14ac:dyDescent="0.3">
      <c r="A1101" s="72">
        <f t="shared" si="201"/>
        <v>396</v>
      </c>
      <c r="B1101" s="74">
        <f t="shared" si="202"/>
        <v>-16355.288506945477</v>
      </c>
      <c r="C1101" s="74">
        <f t="shared" si="203"/>
        <v>25134.536267252206</v>
      </c>
      <c r="D1101" s="74">
        <f t="shared" si="204"/>
        <v>-5073.1647699643108</v>
      </c>
      <c r="E1101" s="74">
        <f t="shared" si="205"/>
        <v>18927.354902984218</v>
      </c>
      <c r="F1101" s="74">
        <f t="shared" si="199"/>
        <v>-5552.0343602613466</v>
      </c>
      <c r="G1101" s="74">
        <f t="shared" si="200"/>
        <v>-10287.743197881067</v>
      </c>
      <c r="H1101" s="74">
        <f t="shared" si="206"/>
        <v>36355.288506945479</v>
      </c>
      <c r="I1101" s="74">
        <f t="shared" si="207"/>
        <v>-5134.536267252206</v>
      </c>
      <c r="J1101" s="74">
        <f t="shared" si="208"/>
        <v>36716.07910851825</v>
      </c>
      <c r="K1101" s="74">
        <f t="shared" si="209"/>
        <v>-3644.7114930545231</v>
      </c>
      <c r="L1101" s="74">
        <f t="shared" si="210"/>
        <v>-5134.536267252206</v>
      </c>
      <c r="M1101" s="74">
        <f t="shared" si="211"/>
        <v>6296.6169128613774</v>
      </c>
      <c r="N1101" s="74">
        <f t="shared" si="212"/>
        <v>11355.288506945477</v>
      </c>
      <c r="O1101" s="74">
        <f t="shared" si="213"/>
        <v>-60134.536267252202</v>
      </c>
      <c r="P1101" s="74">
        <f t="shared" si="214"/>
        <v>61197.26324888588</v>
      </c>
    </row>
    <row r="1102" spans="1:16" x14ac:dyDescent="0.3">
      <c r="A1102" s="72">
        <f t="shared" si="201"/>
        <v>396.5</v>
      </c>
      <c r="B1102" s="74">
        <f t="shared" si="202"/>
        <v>-20279.879481992968</v>
      </c>
      <c r="C1102" s="74">
        <f t="shared" si="203"/>
        <v>32026.277919274049</v>
      </c>
      <c r="D1102" s="74">
        <f t="shared" si="204"/>
        <v>-7849.1819500949841</v>
      </c>
      <c r="E1102" s="74">
        <f t="shared" si="205"/>
        <v>13783.483304043684</v>
      </c>
      <c r="F1102" s="74">
        <f t="shared" si="199"/>
        <v>1169.4899186070702</v>
      </c>
      <c r="G1102" s="74">
        <f t="shared" si="200"/>
        <v>-8091.1370255123975</v>
      </c>
      <c r="H1102" s="74">
        <f t="shared" si="206"/>
        <v>40279.879481992968</v>
      </c>
      <c r="I1102" s="74">
        <f t="shared" si="207"/>
        <v>-12026.277919274049</v>
      </c>
      <c r="J1102" s="74">
        <f t="shared" si="208"/>
        <v>42036.88917695381</v>
      </c>
      <c r="K1102" s="74">
        <f t="shared" si="209"/>
        <v>279.87948199296807</v>
      </c>
      <c r="L1102" s="74">
        <f t="shared" si="210"/>
        <v>-12026.277919274049</v>
      </c>
      <c r="M1102" s="74">
        <f t="shared" si="211"/>
        <v>12029.534201957247</v>
      </c>
      <c r="N1102" s="74">
        <f t="shared" si="212"/>
        <v>15279.879481992968</v>
      </c>
      <c r="O1102" s="74">
        <f t="shared" si="213"/>
        <v>-67026.277919274056</v>
      </c>
      <c r="P1102" s="74">
        <f t="shared" si="214"/>
        <v>68745.884594614065</v>
      </c>
    </row>
    <row r="1103" spans="1:16" x14ac:dyDescent="0.3">
      <c r="A1103" s="72">
        <f t="shared" si="201"/>
        <v>397</v>
      </c>
      <c r="B1103" s="74">
        <f t="shared" si="202"/>
        <v>-23912.097977388694</v>
      </c>
      <c r="C1103" s="74">
        <f t="shared" si="203"/>
        <v>36895.235314917787</v>
      </c>
      <c r="D1103" s="74">
        <f t="shared" si="204"/>
        <v>-7264.4369907914488</v>
      </c>
      <c r="E1103" s="74">
        <f t="shared" si="205"/>
        <v>9737.9147912874851</v>
      </c>
      <c r="F1103" s="74">
        <f t="shared" si="199"/>
        <v>1822.5056080416184</v>
      </c>
      <c r="G1103" s="74">
        <f t="shared" si="200"/>
        <v>-5006.8019455996582</v>
      </c>
      <c r="H1103" s="74">
        <f t="shared" si="206"/>
        <v>43912.097977388694</v>
      </c>
      <c r="I1103" s="74">
        <f t="shared" si="207"/>
        <v>-16895.235314917787</v>
      </c>
      <c r="J1103" s="74">
        <f t="shared" si="208"/>
        <v>47050.200054008586</v>
      </c>
      <c r="K1103" s="74">
        <f t="shared" si="209"/>
        <v>3912.0979773886938</v>
      </c>
      <c r="L1103" s="74">
        <f t="shared" si="210"/>
        <v>-16895.235314917787</v>
      </c>
      <c r="M1103" s="74">
        <f t="shared" si="211"/>
        <v>17342.245729176306</v>
      </c>
      <c r="N1103" s="74">
        <f t="shared" si="212"/>
        <v>18912.097977388694</v>
      </c>
      <c r="O1103" s="74">
        <f t="shared" si="213"/>
        <v>-71895.23531491778</v>
      </c>
      <c r="P1103" s="74">
        <f t="shared" si="214"/>
        <v>74341.05400714837</v>
      </c>
    </row>
    <row r="1104" spans="1:16" x14ac:dyDescent="0.3">
      <c r="A1104" s="72">
        <f t="shared" si="201"/>
        <v>397.5</v>
      </c>
      <c r="B1104" s="74">
        <f t="shared" si="202"/>
        <v>-27088.690070774013</v>
      </c>
      <c r="C1104" s="74">
        <f t="shared" si="203"/>
        <v>40512.492224161615</v>
      </c>
      <c r="D1104" s="74">
        <f t="shared" si="204"/>
        <v>-6353.1841867706398</v>
      </c>
      <c r="E1104" s="74">
        <f t="shared" si="205"/>
        <v>7234.513818487656</v>
      </c>
      <c r="F1104" s="74">
        <f t="shared" si="199"/>
        <v>1708.7175946142097</v>
      </c>
      <c r="G1104" s="74">
        <f t="shared" si="200"/>
        <v>-3523.4874429486072</v>
      </c>
      <c r="H1104" s="74">
        <f t="shared" si="206"/>
        <v>47088.690070774013</v>
      </c>
      <c r="I1104" s="74">
        <f t="shared" si="207"/>
        <v>-20512.492224161615</v>
      </c>
      <c r="J1104" s="74">
        <f t="shared" si="208"/>
        <v>51362.50645974846</v>
      </c>
      <c r="K1104" s="74">
        <f t="shared" si="209"/>
        <v>7088.6900707740133</v>
      </c>
      <c r="L1104" s="74">
        <f t="shared" si="210"/>
        <v>-20512.492224161615</v>
      </c>
      <c r="M1104" s="74">
        <f t="shared" si="211"/>
        <v>21702.807748440773</v>
      </c>
      <c r="N1104" s="74">
        <f t="shared" si="212"/>
        <v>22088.690070774013</v>
      </c>
      <c r="O1104" s="74">
        <f t="shared" si="213"/>
        <v>-75512.492224161615</v>
      </c>
      <c r="P1104" s="74">
        <f t="shared" si="214"/>
        <v>78676.849904827643</v>
      </c>
    </row>
    <row r="1105" spans="1:16" x14ac:dyDescent="0.3">
      <c r="A1105" s="72">
        <f t="shared" si="201"/>
        <v>398</v>
      </c>
      <c r="B1105" s="74">
        <f t="shared" si="202"/>
        <v>-29838.102765505781</v>
      </c>
      <c r="C1105" s="74">
        <f t="shared" si="203"/>
        <v>43248.877272668295</v>
      </c>
      <c r="D1105" s="74">
        <f t="shared" si="204"/>
        <v>-5498.8253894635345</v>
      </c>
      <c r="E1105" s="74">
        <f t="shared" si="205"/>
        <v>5472.7700970133519</v>
      </c>
      <c r="F1105" s="74">
        <f t="shared" si="199"/>
        <v>1545.281786264537</v>
      </c>
      <c r="G1105" s="74">
        <f t="shared" si="200"/>
        <v>-2736.4536852331507</v>
      </c>
      <c r="H1105" s="74">
        <f t="shared" si="206"/>
        <v>49838.102765505784</v>
      </c>
      <c r="I1105" s="74">
        <f t="shared" si="207"/>
        <v>-23248.877272668295</v>
      </c>
      <c r="J1105" s="74">
        <f t="shared" si="208"/>
        <v>54994.061331244739</v>
      </c>
      <c r="K1105" s="74">
        <f t="shared" si="209"/>
        <v>9838.1027655057806</v>
      </c>
      <c r="L1105" s="74">
        <f t="shared" si="210"/>
        <v>-23248.877272668295</v>
      </c>
      <c r="M1105" s="74">
        <f t="shared" si="211"/>
        <v>25244.772933505359</v>
      </c>
      <c r="N1105" s="74">
        <f t="shared" si="212"/>
        <v>24838.102765505781</v>
      </c>
      <c r="O1105" s="74">
        <f t="shared" si="213"/>
        <v>-78248.877272668295</v>
      </c>
      <c r="P1105" s="74">
        <f t="shared" si="214"/>
        <v>82096.395435018523</v>
      </c>
    </row>
    <row r="1106" spans="1:16" x14ac:dyDescent="0.3">
      <c r="A1106" s="72">
        <f t="shared" si="201"/>
        <v>398.5</v>
      </c>
      <c r="B1106" s="74">
        <f t="shared" si="202"/>
        <v>-32201.195013671415</v>
      </c>
      <c r="C1106" s="74">
        <f t="shared" si="203"/>
        <v>45301.14889986669</v>
      </c>
      <c r="D1106" s="74">
        <f t="shared" si="204"/>
        <v>-4726.184496331266</v>
      </c>
      <c r="E1106" s="74">
        <f t="shared" si="205"/>
        <v>4104.5432543967763</v>
      </c>
      <c r="F1106" s="74">
        <f t="shared" si="199"/>
        <v>1416.2789448368753</v>
      </c>
      <c r="G1106" s="74">
        <f t="shared" si="200"/>
        <v>-2272.9257313791695</v>
      </c>
      <c r="H1106" s="74">
        <f t="shared" si="206"/>
        <v>52201.195013671415</v>
      </c>
      <c r="I1106" s="74">
        <f t="shared" si="207"/>
        <v>-25301.14889986669</v>
      </c>
      <c r="J1106" s="74">
        <f t="shared" si="208"/>
        <v>58009.593142070727</v>
      </c>
      <c r="K1106" s="74">
        <f t="shared" si="209"/>
        <v>12201.195013671415</v>
      </c>
      <c r="L1106" s="74">
        <f t="shared" si="210"/>
        <v>-25301.14889986669</v>
      </c>
      <c r="M1106" s="74">
        <f t="shared" si="211"/>
        <v>28089.451675226159</v>
      </c>
      <c r="N1106" s="74">
        <f t="shared" si="212"/>
        <v>27201.195013671415</v>
      </c>
      <c r="O1106" s="74">
        <f t="shared" si="213"/>
        <v>-80301.14889986669</v>
      </c>
      <c r="P1106" s="74">
        <f t="shared" si="214"/>
        <v>84783.132313039387</v>
      </c>
    </row>
    <row r="1107" spans="1:16" x14ac:dyDescent="0.3">
      <c r="A1107" s="72">
        <f t="shared" si="201"/>
        <v>399</v>
      </c>
      <c r="B1107" s="74">
        <f t="shared" si="202"/>
        <v>-34210.217525627828</v>
      </c>
      <c r="C1107" s="74">
        <f t="shared" si="203"/>
        <v>46785.189094220288</v>
      </c>
      <c r="D1107" s="74">
        <f t="shared" si="204"/>
        <v>-4018.0450239128286</v>
      </c>
      <c r="E1107" s="74">
        <f t="shared" si="205"/>
        <v>2968.0803887071916</v>
      </c>
      <c r="F1107" s="74">
        <f t="shared" si="199"/>
        <v>1325.4837270371388</v>
      </c>
      <c r="G1107" s="74">
        <f t="shared" si="200"/>
        <v>-1980.7153786591805</v>
      </c>
      <c r="H1107" s="74">
        <f t="shared" si="206"/>
        <v>54210.217525627828</v>
      </c>
      <c r="I1107" s="74">
        <f t="shared" si="207"/>
        <v>-26785.189094220288</v>
      </c>
      <c r="J1107" s="74">
        <f t="shared" si="208"/>
        <v>60466.4703698589</v>
      </c>
      <c r="K1107" s="74">
        <f t="shared" si="209"/>
        <v>14210.217525627828</v>
      </c>
      <c r="L1107" s="74">
        <f t="shared" si="210"/>
        <v>-26785.189094220288</v>
      </c>
      <c r="M1107" s="74">
        <f t="shared" si="211"/>
        <v>30321.224199210654</v>
      </c>
      <c r="N1107" s="74">
        <f t="shared" si="212"/>
        <v>29210.217525627828</v>
      </c>
      <c r="O1107" s="74">
        <f t="shared" si="213"/>
        <v>-81785.189094220288</v>
      </c>
      <c r="P1107" s="74">
        <f t="shared" si="214"/>
        <v>86844.999643455943</v>
      </c>
    </row>
    <row r="1108" spans="1:16" x14ac:dyDescent="0.3">
      <c r="A1108" s="72">
        <f t="shared" si="201"/>
        <v>399.5</v>
      </c>
      <c r="B1108" s="74">
        <f t="shared" si="202"/>
        <v>-35887.869105824953</v>
      </c>
      <c r="C1108" s="74">
        <f t="shared" si="203"/>
        <v>47774.050443909095</v>
      </c>
      <c r="D1108" s="74">
        <f t="shared" si="204"/>
        <v>-3355.3031603942591</v>
      </c>
      <c r="E1108" s="74">
        <f t="shared" si="205"/>
        <v>1977.7226993776012</v>
      </c>
      <c r="F1108" s="74">
        <f t="shared" si="199"/>
        <v>1266.9305146736699</v>
      </c>
      <c r="G1108" s="74">
        <f t="shared" si="200"/>
        <v>-1790.1712638514089</v>
      </c>
      <c r="H1108" s="74">
        <f t="shared" si="206"/>
        <v>55887.869105824953</v>
      </c>
      <c r="I1108" s="74">
        <f t="shared" si="207"/>
        <v>-27774.050443909095</v>
      </c>
      <c r="J1108" s="74">
        <f t="shared" si="208"/>
        <v>62408.747714167686</v>
      </c>
      <c r="K1108" s="74">
        <f t="shared" si="209"/>
        <v>15887.869105824953</v>
      </c>
      <c r="L1108" s="74">
        <f t="shared" si="210"/>
        <v>-27774.050443909095</v>
      </c>
      <c r="M1108" s="74">
        <f t="shared" si="211"/>
        <v>31997.222735491185</v>
      </c>
      <c r="N1108" s="74">
        <f t="shared" si="212"/>
        <v>30887.869105824953</v>
      </c>
      <c r="O1108" s="74">
        <f t="shared" si="213"/>
        <v>-82774.050443909102</v>
      </c>
      <c r="P1108" s="74">
        <f t="shared" si="214"/>
        <v>88349.328717253899</v>
      </c>
    </row>
    <row r="1109" spans="1:16" x14ac:dyDescent="0.3">
      <c r="A1109" s="72">
        <f t="shared" si="201"/>
        <v>400</v>
      </c>
      <c r="B1109" s="74">
        <f t="shared" si="202"/>
        <v>-37248.788057353668</v>
      </c>
      <c r="C1109" s="74">
        <f t="shared" si="203"/>
        <v>48315.368977635044</v>
      </c>
      <c r="D1109" s="74">
        <f t="shared" si="204"/>
        <v>-2721.8379030574242</v>
      </c>
      <c r="E1109" s="74">
        <f t="shared" si="205"/>
        <v>1082.6370674518967</v>
      </c>
      <c r="F1109" s="74">
        <f t="shared" si="199"/>
        <v>1235.4932262917253</v>
      </c>
      <c r="G1109" s="74">
        <f t="shared" si="200"/>
        <v>-1666.3310260381725</v>
      </c>
      <c r="H1109" s="74">
        <f t="shared" si="206"/>
        <v>57248.788057353668</v>
      </c>
      <c r="I1109" s="74">
        <f t="shared" si="207"/>
        <v>-28315.368977635044</v>
      </c>
      <c r="J1109" s="74">
        <f t="shared" si="208"/>
        <v>63868.488743475187</v>
      </c>
      <c r="K1109" s="74">
        <f t="shared" si="209"/>
        <v>17248.788057353668</v>
      </c>
      <c r="L1109" s="74">
        <f t="shared" si="210"/>
        <v>-28315.368977635044</v>
      </c>
      <c r="M1109" s="74">
        <f t="shared" si="211"/>
        <v>33155.403930387023</v>
      </c>
      <c r="N1109" s="74">
        <f t="shared" si="212"/>
        <v>32248.788057353668</v>
      </c>
      <c r="O1109" s="74">
        <f t="shared" si="213"/>
        <v>-83315.368977635051</v>
      </c>
      <c r="P1109" s="74">
        <f t="shared" si="214"/>
        <v>89338.877534070183</v>
      </c>
    </row>
    <row r="1110" spans="1:16" x14ac:dyDescent="0.3">
      <c r="A1110" s="72">
        <f t="shared" si="201"/>
        <v>400.5</v>
      </c>
      <c r="B1110" s="74">
        <f t="shared" si="202"/>
        <v>-38300.83370230945</v>
      </c>
      <c r="C1110" s="74">
        <f t="shared" si="203"/>
        <v>48440.104754851447</v>
      </c>
      <c r="D1110" s="74">
        <f t="shared" si="204"/>
        <v>-2104.0912899115615</v>
      </c>
      <c r="E1110" s="74">
        <f t="shared" si="205"/>
        <v>249.47155443281042</v>
      </c>
      <c r="F1110" s="74">
        <f t="shared" si="199"/>
        <v>1228.2972117656805</v>
      </c>
      <c r="G1110" s="74">
        <f t="shared" si="200"/>
        <v>-1590.7360487882684</v>
      </c>
      <c r="H1110" s="74">
        <f t="shared" si="206"/>
        <v>58300.83370230945</v>
      </c>
      <c r="I1110" s="74">
        <f t="shared" si="207"/>
        <v>-28440.104754851447</v>
      </c>
      <c r="J1110" s="74">
        <f t="shared" si="208"/>
        <v>64867.763710885432</v>
      </c>
      <c r="K1110" s="74">
        <f t="shared" si="209"/>
        <v>18300.83370230945</v>
      </c>
      <c r="L1110" s="74">
        <f t="shared" si="210"/>
        <v>-28440.104754851447</v>
      </c>
      <c r="M1110" s="74">
        <f t="shared" si="211"/>
        <v>33819.522064430617</v>
      </c>
      <c r="N1110" s="74">
        <f t="shared" si="212"/>
        <v>33300.83370230945</v>
      </c>
      <c r="O1110" s="74">
        <f t="shared" si="213"/>
        <v>-83440.104754851447</v>
      </c>
      <c r="P1110" s="74">
        <f t="shared" si="214"/>
        <v>89839.838639489171</v>
      </c>
    </row>
    <row r="1111" spans="1:16" x14ac:dyDescent="0.3">
      <c r="A1111" s="72">
        <f t="shared" si="201"/>
        <v>401</v>
      </c>
      <c r="B1111" s="74">
        <f t="shared" si="202"/>
        <v>-39045.80504432381</v>
      </c>
      <c r="C1111" s="74">
        <f t="shared" si="203"/>
        <v>48167.156519870783</v>
      </c>
      <c r="D1111" s="74">
        <f t="shared" si="204"/>
        <v>-1489.9426840287213</v>
      </c>
      <c r="E1111" s="74">
        <f t="shared" si="205"/>
        <v>-545.89646996132376</v>
      </c>
      <c r="F1111" s="74">
        <f t="shared" si="199"/>
        <v>1244.7680045032569</v>
      </c>
      <c r="G1111" s="74">
        <f t="shared" si="200"/>
        <v>-1553.8557274334171</v>
      </c>
      <c r="H1111" s="74">
        <f t="shared" si="206"/>
        <v>59045.80504432381</v>
      </c>
      <c r="I1111" s="74">
        <f t="shared" si="207"/>
        <v>-28167.156519870783</v>
      </c>
      <c r="J1111" s="74">
        <f t="shared" si="208"/>
        <v>65420.148270599282</v>
      </c>
      <c r="K1111" s="74">
        <f t="shared" si="209"/>
        <v>19045.80504432381</v>
      </c>
      <c r="L1111" s="74">
        <f t="shared" si="210"/>
        <v>-28167.156519870783</v>
      </c>
      <c r="M1111" s="74">
        <f t="shared" si="211"/>
        <v>34001.932242172494</v>
      </c>
      <c r="N1111" s="74">
        <f t="shared" si="212"/>
        <v>34045.80504432381</v>
      </c>
      <c r="O1111" s="74">
        <f t="shared" si="213"/>
        <v>-83167.156519870783</v>
      </c>
      <c r="P1111" s="74">
        <f t="shared" si="214"/>
        <v>89865.971116528803</v>
      </c>
    </row>
    <row r="1112" spans="1:16" x14ac:dyDescent="0.3">
      <c r="A1112" s="72">
        <f t="shared" si="201"/>
        <v>401.5</v>
      </c>
      <c r="B1112" s="74">
        <f t="shared" si="202"/>
        <v>-39479.584385212358</v>
      </c>
      <c r="C1112" s="74">
        <f t="shared" si="203"/>
        <v>47505.744353031761</v>
      </c>
      <c r="D1112" s="74">
        <f t="shared" si="204"/>
        <v>-867.55868177709283</v>
      </c>
      <c r="E1112" s="74">
        <f t="shared" si="205"/>
        <v>-1322.8243336780324</v>
      </c>
      <c r="F1112" s="74">
        <f t="shared" si="199"/>
        <v>1286.7642960611608</v>
      </c>
      <c r="G1112" s="74">
        <f t="shared" si="200"/>
        <v>-1551.845710677517</v>
      </c>
      <c r="H1112" s="74">
        <f t="shared" si="206"/>
        <v>59479.584385212358</v>
      </c>
      <c r="I1112" s="74">
        <f t="shared" si="207"/>
        <v>-27505.744353031761</v>
      </c>
      <c r="J1112" s="74">
        <f t="shared" si="208"/>
        <v>65531.572017249338</v>
      </c>
      <c r="K1112" s="74">
        <f t="shared" si="209"/>
        <v>19479.584385212358</v>
      </c>
      <c r="L1112" s="74">
        <f t="shared" si="210"/>
        <v>-27505.744353031761</v>
      </c>
      <c r="M1112" s="74">
        <f t="shared" si="211"/>
        <v>33704.898460534598</v>
      </c>
      <c r="N1112" s="74">
        <f t="shared" si="212"/>
        <v>34479.584385212358</v>
      </c>
      <c r="O1112" s="74">
        <f t="shared" si="213"/>
        <v>-82505.744353031769</v>
      </c>
      <c r="P1112" s="74">
        <f t="shared" si="214"/>
        <v>89420.576997829834</v>
      </c>
    </row>
    <row r="1113" spans="1:16" x14ac:dyDescent="0.3">
      <c r="A1113" s="72">
        <f t="shared" si="201"/>
        <v>402</v>
      </c>
      <c r="B1113" s="74">
        <f t="shared" si="202"/>
        <v>-39591.672652085617</v>
      </c>
      <c r="C1113" s="74">
        <f t="shared" si="203"/>
        <v>46456.370758523364</v>
      </c>
      <c r="D1113" s="74">
        <f t="shared" si="204"/>
        <v>-224.1765337465124</v>
      </c>
      <c r="E1113" s="74">
        <f t="shared" si="205"/>
        <v>-2098.7471890167908</v>
      </c>
      <c r="F1113" s="74">
        <f t="shared" si="199"/>
        <v>1359.2117552892851</v>
      </c>
      <c r="G1113" s="74">
        <f t="shared" si="200"/>
        <v>-1585.4484888408997</v>
      </c>
      <c r="H1113" s="74">
        <f t="shared" si="206"/>
        <v>59591.672652085617</v>
      </c>
      <c r="I1113" s="74">
        <f t="shared" si="207"/>
        <v>-26456.370758523364</v>
      </c>
      <c r="J1113" s="74">
        <f t="shared" si="208"/>
        <v>65200.513826087132</v>
      </c>
      <c r="K1113" s="74">
        <f t="shared" si="209"/>
        <v>19591.672652085617</v>
      </c>
      <c r="L1113" s="74">
        <f t="shared" si="210"/>
        <v>-26456.370758523364</v>
      </c>
      <c r="M1113" s="74">
        <f t="shared" si="211"/>
        <v>32920.710670016371</v>
      </c>
      <c r="N1113" s="74">
        <f t="shared" si="212"/>
        <v>34591.672652085617</v>
      </c>
      <c r="O1113" s="74">
        <f t="shared" si="213"/>
        <v>-81456.370758523364</v>
      </c>
      <c r="P1113" s="74">
        <f t="shared" si="214"/>
        <v>88497.029068884949</v>
      </c>
    </row>
    <row r="1114" spans="1:16" x14ac:dyDescent="0.3">
      <c r="A1114" s="72">
        <f t="shared" si="201"/>
        <v>402.5</v>
      </c>
      <c r="B1114" s="74">
        <f t="shared" si="202"/>
        <v>-39363.957980136554</v>
      </c>
      <c r="C1114" s="74">
        <f t="shared" si="203"/>
        <v>45010.635041804744</v>
      </c>
      <c r="D1114" s="74">
        <f t="shared" si="204"/>
        <v>455.42934389813013</v>
      </c>
      <c r="E1114" s="74">
        <f t="shared" si="205"/>
        <v>-2891.4714334372406</v>
      </c>
      <c r="F1114" s="74">
        <f t="shared" si="199"/>
        <v>1471.6792893713034</v>
      </c>
      <c r="G1114" s="74">
        <f t="shared" si="200"/>
        <v>-1660.4099192198983</v>
      </c>
      <c r="H1114" s="74">
        <f t="shared" si="206"/>
        <v>59363.957980136554</v>
      </c>
      <c r="I1114" s="74">
        <f t="shared" si="207"/>
        <v>-25010.635041804744</v>
      </c>
      <c r="J1114" s="74">
        <f t="shared" si="208"/>
        <v>64417.477226772629</v>
      </c>
      <c r="K1114" s="74">
        <f t="shared" si="209"/>
        <v>19363.957980136554</v>
      </c>
      <c r="L1114" s="74">
        <f t="shared" si="210"/>
        <v>-25010.635041804744</v>
      </c>
      <c r="M1114" s="74">
        <f t="shared" si="211"/>
        <v>31630.598063439229</v>
      </c>
      <c r="N1114" s="74">
        <f t="shared" si="212"/>
        <v>34363.957980136554</v>
      </c>
      <c r="O1114" s="74">
        <f t="shared" si="213"/>
        <v>-80010.635041804751</v>
      </c>
      <c r="P1114" s="74">
        <f t="shared" si="214"/>
        <v>87078.030110088424</v>
      </c>
    </row>
    <row r="1115" spans="1:16" x14ac:dyDescent="0.3">
      <c r="A1115" s="72">
        <f t="shared" si="201"/>
        <v>403</v>
      </c>
      <c r="B1115" s="74">
        <f t="shared" si="202"/>
        <v>-38768.323485844667</v>
      </c>
      <c r="C1115" s="74">
        <f t="shared" si="203"/>
        <v>43149.796845281147</v>
      </c>
      <c r="D1115" s="74">
        <f t="shared" si="204"/>
        <v>1191.2689885837817</v>
      </c>
      <c r="E1115" s="74">
        <f t="shared" si="205"/>
        <v>-3721.6763930471898</v>
      </c>
      <c r="F1115" s="74">
        <f t="shared" si="199"/>
        <v>1641.9061549567366</v>
      </c>
      <c r="G1115" s="74">
        <f t="shared" si="200"/>
        <v>-1789.7423434434991</v>
      </c>
      <c r="H1115" s="74">
        <f t="shared" si="206"/>
        <v>58768.323485844667</v>
      </c>
      <c r="I1115" s="74">
        <f t="shared" si="207"/>
        <v>-23149.796845281147</v>
      </c>
      <c r="J1115" s="74">
        <f t="shared" si="208"/>
        <v>63163.509555079909</v>
      </c>
      <c r="K1115" s="74">
        <f t="shared" si="209"/>
        <v>18768.323485844667</v>
      </c>
      <c r="L1115" s="74">
        <f t="shared" si="210"/>
        <v>-23149.796845281147</v>
      </c>
      <c r="M1115" s="74">
        <f t="shared" si="211"/>
        <v>29802.064701075622</v>
      </c>
      <c r="N1115" s="74">
        <f t="shared" si="212"/>
        <v>33768.323485844667</v>
      </c>
      <c r="O1115" s="74">
        <f t="shared" si="213"/>
        <v>-78149.796845281147</v>
      </c>
      <c r="P1115" s="74">
        <f t="shared" si="214"/>
        <v>85133.368416874961</v>
      </c>
    </row>
    <row r="1116" spans="1:16" x14ac:dyDescent="0.3">
      <c r="A1116" s="72">
        <f t="shared" si="201"/>
        <v>403.5</v>
      </c>
      <c r="B1116" s="74">
        <f t="shared" si="202"/>
        <v>-37762.212452813597</v>
      </c>
      <c r="C1116" s="74">
        <f t="shared" si="203"/>
        <v>40841.523062896675</v>
      </c>
      <c r="D1116" s="74">
        <f t="shared" si="204"/>
        <v>2012.2220660621501</v>
      </c>
      <c r="E1116" s="74">
        <f t="shared" si="205"/>
        <v>-4616.5475647689391</v>
      </c>
      <c r="F1116" s="74">
        <f t="shared" si="199"/>
        <v>1903.9831141196044</v>
      </c>
      <c r="G1116" s="74">
        <f t="shared" si="200"/>
        <v>-1999.5198105690295</v>
      </c>
      <c r="H1116" s="74">
        <f t="shared" si="206"/>
        <v>57762.212452813597</v>
      </c>
      <c r="I1116" s="74">
        <f t="shared" si="207"/>
        <v>-20841.523062896675</v>
      </c>
      <c r="J1116" s="74">
        <f t="shared" si="208"/>
        <v>61407.184197170514</v>
      </c>
      <c r="K1116" s="74">
        <f t="shared" si="209"/>
        <v>17762.212452813597</v>
      </c>
      <c r="L1116" s="74">
        <f t="shared" si="210"/>
        <v>-20841.523062896675</v>
      </c>
      <c r="M1116" s="74">
        <f t="shared" si="211"/>
        <v>27383.668030418066</v>
      </c>
      <c r="N1116" s="74">
        <f t="shared" si="212"/>
        <v>32762.212452813597</v>
      </c>
      <c r="O1116" s="74">
        <f t="shared" si="213"/>
        <v>-75841.523062896682</v>
      </c>
      <c r="P1116" s="74">
        <f t="shared" si="214"/>
        <v>82615.368941276203</v>
      </c>
    </row>
    <row r="1117" spans="1:16" x14ac:dyDescent="0.3">
      <c r="A1117" s="72">
        <f t="shared" si="201"/>
        <v>404</v>
      </c>
      <c r="B1117" s="74">
        <f t="shared" si="202"/>
        <v>-36280.105641252623</v>
      </c>
      <c r="C1117" s="74">
        <f t="shared" si="203"/>
        <v>38033.369327869943</v>
      </c>
      <c r="D1117" s="74">
        <f t="shared" si="204"/>
        <v>2964.2136231219524</v>
      </c>
      <c r="E1117" s="74">
        <f t="shared" si="205"/>
        <v>-5616.3074700534535</v>
      </c>
      <c r="F1117" s="74">
        <f t="shared" si="199"/>
        <v>2329.3622111058853</v>
      </c>
      <c r="G1117" s="74">
        <f t="shared" si="200"/>
        <v>-2343.3356927622481</v>
      </c>
      <c r="H1117" s="74">
        <f t="shared" si="206"/>
        <v>56280.105641252623</v>
      </c>
      <c r="I1117" s="74">
        <f t="shared" si="207"/>
        <v>-18033.369327869943</v>
      </c>
      <c r="J1117" s="74">
        <f t="shared" si="208"/>
        <v>59098.669192342357</v>
      </c>
      <c r="K1117" s="74">
        <f t="shared" si="209"/>
        <v>16280.105641252623</v>
      </c>
      <c r="L1117" s="74">
        <f t="shared" si="210"/>
        <v>-18033.369327869943</v>
      </c>
      <c r="M1117" s="74">
        <f t="shared" si="211"/>
        <v>24294.942868953323</v>
      </c>
      <c r="N1117" s="74">
        <f t="shared" si="212"/>
        <v>31280.105641252623</v>
      </c>
      <c r="O1117" s="74">
        <f t="shared" si="213"/>
        <v>-73033.369327869936</v>
      </c>
      <c r="P1117" s="74">
        <f t="shared" si="214"/>
        <v>79450.097824414144</v>
      </c>
    </row>
    <row r="1118" spans="1:16" x14ac:dyDescent="0.3">
      <c r="A1118" s="72">
        <f t="shared" si="201"/>
        <v>404.5</v>
      </c>
      <c r="B1118" s="74">
        <f t="shared" si="202"/>
        <v>-34215.658276915179</v>
      </c>
      <c r="C1118" s="74">
        <f t="shared" si="203"/>
        <v>34639.381669652656</v>
      </c>
      <c r="D1118" s="74">
        <f t="shared" si="204"/>
        <v>4128.8947286748953</v>
      </c>
      <c r="E1118" s="74">
        <f t="shared" si="205"/>
        <v>-6787.9753164345775</v>
      </c>
      <c r="F1118" s="74">
        <f t="shared" si="199"/>
        <v>3089.6874348509518</v>
      </c>
      <c r="G1118" s="74">
        <f t="shared" si="200"/>
        <v>-2941.4243525747765</v>
      </c>
      <c r="H1118" s="74">
        <f t="shared" si="206"/>
        <v>54215.658276915179</v>
      </c>
      <c r="I1118" s="74">
        <f t="shared" si="207"/>
        <v>-14639.381669652656</v>
      </c>
      <c r="J1118" s="74">
        <f t="shared" si="208"/>
        <v>56157.36014156117</v>
      </c>
      <c r="K1118" s="74">
        <f t="shared" si="209"/>
        <v>14215.658276915179</v>
      </c>
      <c r="L1118" s="74">
        <f t="shared" si="210"/>
        <v>-14639.381669652656</v>
      </c>
      <c r="M1118" s="74">
        <f t="shared" si="211"/>
        <v>20405.794175081479</v>
      </c>
      <c r="N1118" s="74">
        <f t="shared" si="212"/>
        <v>29215.658276915179</v>
      </c>
      <c r="O1118" s="74">
        <f t="shared" si="213"/>
        <v>-69639.381669652648</v>
      </c>
      <c r="P1118" s="74">
        <f t="shared" si="214"/>
        <v>75519.52176679243</v>
      </c>
    </row>
    <row r="1119" spans="1:16" x14ac:dyDescent="0.3">
      <c r="A1119" s="72">
        <f t="shared" si="201"/>
        <v>405</v>
      </c>
      <c r="B1119" s="74">
        <f t="shared" si="202"/>
        <v>-31378.789053864995</v>
      </c>
      <c r="C1119" s="74">
        <f t="shared" si="203"/>
        <v>30510.037923291675</v>
      </c>
      <c r="D1119" s="74">
        <f t="shared" si="204"/>
        <v>5673.7384461003712</v>
      </c>
      <c r="E1119" s="74">
        <f t="shared" si="205"/>
        <v>-8258.6874927219651</v>
      </c>
      <c r="F1119" s="74">
        <f t="shared" si="199"/>
        <v>4685.5504527349358</v>
      </c>
      <c r="G1119" s="74">
        <f t="shared" si="200"/>
        <v>-4091.6741354639494</v>
      </c>
      <c r="H1119" s="74">
        <f t="shared" si="206"/>
        <v>51378.789053864995</v>
      </c>
      <c r="I1119" s="74">
        <f t="shared" si="207"/>
        <v>-10510.037923291675</v>
      </c>
      <c r="J1119" s="74">
        <f t="shared" si="208"/>
        <v>52442.738885288847</v>
      </c>
      <c r="K1119" s="74">
        <f t="shared" si="209"/>
        <v>11378.789053864995</v>
      </c>
      <c r="L1119" s="74">
        <f t="shared" si="210"/>
        <v>-10510.037923291675</v>
      </c>
      <c r="M1119" s="74">
        <f t="shared" si="211"/>
        <v>15489.92374033478</v>
      </c>
      <c r="N1119" s="74">
        <f t="shared" si="212"/>
        <v>26378.789053864995</v>
      </c>
      <c r="O1119" s="74">
        <f t="shared" si="213"/>
        <v>-65510.037923291675</v>
      </c>
      <c r="P1119" s="74">
        <f t="shared" si="214"/>
        <v>70621.565974278856</v>
      </c>
    </row>
    <row r="1120" spans="1:16" x14ac:dyDescent="0.3">
      <c r="A1120" s="72">
        <f t="shared" si="201"/>
        <v>405.5</v>
      </c>
      <c r="B1120" s="74">
        <f t="shared" si="202"/>
        <v>-27370.532217631076</v>
      </c>
      <c r="C1120" s="74">
        <f t="shared" si="203"/>
        <v>25357.775643064706</v>
      </c>
      <c r="D1120" s="74">
        <f t="shared" si="204"/>
        <v>8016.5136724678396</v>
      </c>
      <c r="E1120" s="74">
        <f t="shared" si="205"/>
        <v>-10304.52456045394</v>
      </c>
      <c r="F1120" s="74">
        <f t="shared" si="199"/>
        <v>8813.9041803467408</v>
      </c>
      <c r="G1120" s="74">
        <f t="shared" si="200"/>
        <v>-6236.1225024870291</v>
      </c>
      <c r="H1120" s="74">
        <f t="shared" si="206"/>
        <v>47370.532217631073</v>
      </c>
      <c r="I1120" s="74">
        <f t="shared" si="207"/>
        <v>-5357.7756430647059</v>
      </c>
      <c r="J1120" s="74">
        <f t="shared" si="208"/>
        <v>47672.561106186025</v>
      </c>
      <c r="K1120" s="74">
        <f t="shared" si="209"/>
        <v>7370.5322176310765</v>
      </c>
      <c r="L1120" s="74">
        <f t="shared" si="210"/>
        <v>-5357.7756430647059</v>
      </c>
      <c r="M1120" s="74">
        <f t="shared" si="211"/>
        <v>9112.1076054091409</v>
      </c>
      <c r="N1120" s="74">
        <f t="shared" si="212"/>
        <v>22370.532217631076</v>
      </c>
      <c r="O1120" s="74">
        <f t="shared" si="213"/>
        <v>-60357.775643064706</v>
      </c>
      <c r="P1120" s="74">
        <f t="shared" si="214"/>
        <v>64370.038001220761</v>
      </c>
    </row>
    <row r="1121" spans="1:16" x14ac:dyDescent="0.3">
      <c r="A1121" s="72">
        <f t="shared" si="201"/>
        <v>406</v>
      </c>
      <c r="B1121" s="74">
        <f t="shared" si="202"/>
        <v>-21158.799336310472</v>
      </c>
      <c r="C1121" s="74">
        <f t="shared" si="203"/>
        <v>18646.482737215978</v>
      </c>
      <c r="D1121" s="74">
        <f t="shared" si="204"/>
        <v>12423.46576264121</v>
      </c>
      <c r="E1121" s="74">
        <f t="shared" si="205"/>
        <v>-13422.585811697454</v>
      </c>
      <c r="F1121" s="74">
        <f t="shared" si="199"/>
        <v>5620.025201536876</v>
      </c>
      <c r="G1121" s="74">
        <f t="shared" si="200"/>
        <v>4729.1182713689195</v>
      </c>
      <c r="H1121" s="74">
        <f t="shared" si="206"/>
        <v>41158.799336310476</v>
      </c>
      <c r="I1121" s="74">
        <f t="shared" si="207"/>
        <v>1353.517262784022</v>
      </c>
      <c r="J1121" s="74">
        <f t="shared" si="208"/>
        <v>41181.048697032056</v>
      </c>
      <c r="K1121" s="74">
        <f t="shared" si="209"/>
        <v>1158.7993363104724</v>
      </c>
      <c r="L1121" s="74">
        <f t="shared" si="210"/>
        <v>1353.517262784022</v>
      </c>
      <c r="M1121" s="74">
        <f t="shared" si="211"/>
        <v>1781.8038282841192</v>
      </c>
      <c r="N1121" s="74">
        <f t="shared" si="212"/>
        <v>16158.799336310472</v>
      </c>
      <c r="O1121" s="74">
        <f t="shared" si="213"/>
        <v>-53646.482737215978</v>
      </c>
      <c r="P1121" s="74">
        <f t="shared" si="214"/>
        <v>56027.242534909383</v>
      </c>
    </row>
    <row r="1122" spans="1:16" x14ac:dyDescent="0.3">
      <c r="A1122" s="72">
        <f t="shared" si="201"/>
        <v>406.5</v>
      </c>
      <c r="B1122" s="74">
        <f t="shared" si="202"/>
        <v>-13542.06015460565</v>
      </c>
      <c r="C1122" s="74">
        <f t="shared" si="203"/>
        <v>13117.46939920948</v>
      </c>
      <c r="D1122" s="74">
        <f t="shared" si="204"/>
        <v>15233.478363409647</v>
      </c>
      <c r="E1122" s="74">
        <f t="shared" si="205"/>
        <v>-11058.026676012994</v>
      </c>
      <c r="F1122" s="74">
        <f t="shared" si="199"/>
        <v>-5013.023324730666</v>
      </c>
      <c r="G1122" s="74">
        <f t="shared" si="200"/>
        <v>6521.3195430608084</v>
      </c>
      <c r="H1122" s="74">
        <f t="shared" si="206"/>
        <v>33542.06015460565</v>
      </c>
      <c r="I1122" s="74">
        <f t="shared" si="207"/>
        <v>6882.5306007905201</v>
      </c>
      <c r="J1122" s="74">
        <f t="shared" si="208"/>
        <v>34240.896993011178</v>
      </c>
      <c r="K1122" s="74">
        <f t="shared" si="209"/>
        <v>-6457.9398453943504</v>
      </c>
      <c r="L1122" s="74">
        <f t="shared" si="210"/>
        <v>6882.5306007905201</v>
      </c>
      <c r="M1122" s="74">
        <f t="shared" si="211"/>
        <v>9437.9136739827154</v>
      </c>
      <c r="N1122" s="74">
        <f t="shared" si="212"/>
        <v>8542.0601546056496</v>
      </c>
      <c r="O1122" s="74">
        <f t="shared" si="213"/>
        <v>-48117.469399209484</v>
      </c>
      <c r="P1122" s="74">
        <f t="shared" si="214"/>
        <v>48869.803079905723</v>
      </c>
    </row>
    <row r="1123" spans="1:16" x14ac:dyDescent="0.3">
      <c r="A1123" s="72">
        <f t="shared" si="201"/>
        <v>407</v>
      </c>
      <c r="B1123" s="74">
        <f t="shared" si="202"/>
        <v>-7178.5768040834919</v>
      </c>
      <c r="C1123" s="74">
        <f t="shared" si="203"/>
        <v>9218.7859469681844</v>
      </c>
      <c r="D1123" s="74">
        <f t="shared" si="204"/>
        <v>12726.966701044315</v>
      </c>
      <c r="E1123" s="74">
        <f t="shared" si="205"/>
        <v>-7797.3669044825901</v>
      </c>
      <c r="F1123" s="74">
        <f t="shared" si="199"/>
        <v>-1875.6708059005371</v>
      </c>
      <c r="G1123" s="74">
        <f t="shared" si="200"/>
        <v>2910.9740270386042</v>
      </c>
      <c r="H1123" s="74">
        <f t="shared" si="206"/>
        <v>27178.576804083492</v>
      </c>
      <c r="I1123" s="74">
        <f t="shared" si="207"/>
        <v>10781.214053031816</v>
      </c>
      <c r="J1123" s="74">
        <f t="shared" si="208"/>
        <v>29238.837417940471</v>
      </c>
      <c r="K1123" s="74">
        <f t="shared" si="209"/>
        <v>-12821.423195916508</v>
      </c>
      <c r="L1123" s="74">
        <f t="shared" si="210"/>
        <v>10781.214053031816</v>
      </c>
      <c r="M1123" s="74">
        <f t="shared" si="211"/>
        <v>16751.81987803345</v>
      </c>
      <c r="N1123" s="74">
        <f t="shared" si="212"/>
        <v>2178.5768040834919</v>
      </c>
      <c r="O1123" s="74">
        <f t="shared" si="213"/>
        <v>-44218.785946968186</v>
      </c>
      <c r="P1123" s="74">
        <f t="shared" si="214"/>
        <v>44272.420619558201</v>
      </c>
    </row>
    <row r="1124" spans="1:16" x14ac:dyDescent="0.3">
      <c r="A1124" s="72">
        <f t="shared" si="201"/>
        <v>407.5</v>
      </c>
      <c r="B1124" s="74">
        <f t="shared" si="202"/>
        <v>-1284.0111550364684</v>
      </c>
      <c r="C1124" s="74">
        <f t="shared" si="203"/>
        <v>6047.8460014865395</v>
      </c>
      <c r="D1124" s="74">
        <f t="shared" si="204"/>
        <v>11789.131298094047</v>
      </c>
      <c r="E1124" s="74">
        <f t="shared" si="205"/>
        <v>-6341.8798909632878</v>
      </c>
      <c r="F1124" s="74">
        <f t="shared" si="199"/>
        <v>-319.06463602756196</v>
      </c>
      <c r="G1124" s="74">
        <f t="shared" si="200"/>
        <v>2006.1046976963805</v>
      </c>
      <c r="H1124" s="74">
        <f t="shared" si="206"/>
        <v>21284.011155036467</v>
      </c>
      <c r="I1124" s="74">
        <f t="shared" si="207"/>
        <v>13952.15399851346</v>
      </c>
      <c r="J1124" s="74">
        <f t="shared" si="208"/>
        <v>25449.395514352633</v>
      </c>
      <c r="K1124" s="74">
        <f t="shared" si="209"/>
        <v>-18715.988844963533</v>
      </c>
      <c r="L1124" s="74">
        <f t="shared" si="210"/>
        <v>13952.15399851346</v>
      </c>
      <c r="M1124" s="74">
        <f t="shared" si="211"/>
        <v>23344.182136948693</v>
      </c>
      <c r="N1124" s="74">
        <f t="shared" si="212"/>
        <v>-3715.9888449635318</v>
      </c>
      <c r="O1124" s="74">
        <f t="shared" si="213"/>
        <v>-41047.846001486541</v>
      </c>
      <c r="P1124" s="74">
        <f t="shared" si="214"/>
        <v>41215.703736047602</v>
      </c>
    </row>
    <row r="1125" spans="1:16" x14ac:dyDescent="0.3">
      <c r="A1125" s="72">
        <f t="shared" si="201"/>
        <v>408</v>
      </c>
      <c r="B1125" s="74">
        <f t="shared" si="202"/>
        <v>4530.7883350036655</v>
      </c>
      <c r="C1125" s="74">
        <f t="shared" si="203"/>
        <v>3378.4322304289908</v>
      </c>
      <c r="D1125" s="74">
        <f t="shared" si="204"/>
        <v>11629.598980080267</v>
      </c>
      <c r="E1125" s="74">
        <f t="shared" si="205"/>
        <v>-5338.8275421150975</v>
      </c>
      <c r="F1125" s="74">
        <f t="shared" si="199"/>
        <v>222.88456167943264</v>
      </c>
      <c r="G1125" s="74">
        <f t="shared" si="200"/>
        <v>2136.496873245912</v>
      </c>
      <c r="H1125" s="74">
        <f t="shared" si="206"/>
        <v>15469.211664996335</v>
      </c>
      <c r="I1125" s="74">
        <f t="shared" si="207"/>
        <v>16621.567769571011</v>
      </c>
      <c r="J1125" s="74">
        <f t="shared" si="208"/>
        <v>22706.233167456478</v>
      </c>
      <c r="K1125" s="74">
        <f t="shared" si="209"/>
        <v>-24530.788335003665</v>
      </c>
      <c r="L1125" s="74">
        <f t="shared" si="210"/>
        <v>16621.567769571011</v>
      </c>
      <c r="M1125" s="74">
        <f t="shared" si="211"/>
        <v>29631.67378760764</v>
      </c>
      <c r="N1125" s="74">
        <f t="shared" si="212"/>
        <v>-9530.7883350036645</v>
      </c>
      <c r="O1125" s="74">
        <f t="shared" si="213"/>
        <v>-38378.432230428989</v>
      </c>
      <c r="P1125" s="74">
        <f t="shared" si="214"/>
        <v>39544.152371144235</v>
      </c>
    </row>
    <row r="1126" spans="1:16" x14ac:dyDescent="0.3">
      <c r="A1126" s="72">
        <f t="shared" si="201"/>
        <v>408.5</v>
      </c>
      <c r="B1126" s="74">
        <f t="shared" si="202"/>
        <v>10401.308965463659</v>
      </c>
      <c r="C1126" s="74">
        <f t="shared" si="203"/>
        <v>1243.1426776829201</v>
      </c>
      <c r="D1126" s="74">
        <f t="shared" si="204"/>
        <v>11741.041260919983</v>
      </c>
      <c r="E1126" s="74">
        <f t="shared" si="205"/>
        <v>-4270.579105492141</v>
      </c>
      <c r="F1126" s="74">
        <f t="shared" si="199"/>
        <v>-10.983802290317499</v>
      </c>
      <c r="G1126" s="74">
        <f t="shared" si="200"/>
        <v>2650.264759357678</v>
      </c>
      <c r="H1126" s="74">
        <f t="shared" si="206"/>
        <v>9598.6910345363412</v>
      </c>
      <c r="I1126" s="74">
        <f t="shared" si="207"/>
        <v>18756.857322317079</v>
      </c>
      <c r="J1126" s="74">
        <f t="shared" si="208"/>
        <v>21070.229381434085</v>
      </c>
      <c r="K1126" s="74">
        <f t="shared" si="209"/>
        <v>-30401.308965463657</v>
      </c>
      <c r="L1126" s="74">
        <f t="shared" si="210"/>
        <v>18756.857322317079</v>
      </c>
      <c r="M1126" s="74">
        <f t="shared" si="211"/>
        <v>35721.971997964232</v>
      </c>
      <c r="N1126" s="74">
        <f t="shared" si="212"/>
        <v>-15401.308965463659</v>
      </c>
      <c r="O1126" s="74">
        <f t="shared" si="213"/>
        <v>-36243.142677682918</v>
      </c>
      <c r="P1126" s="74">
        <f t="shared" si="214"/>
        <v>39379.76268344633</v>
      </c>
    </row>
    <row r="1127" spans="1:16" x14ac:dyDescent="0.3">
      <c r="A1127" s="72">
        <f t="shared" si="201"/>
        <v>409</v>
      </c>
      <c r="B1127" s="74">
        <f t="shared" si="202"/>
        <v>16269.083645351069</v>
      </c>
      <c r="C1127" s="74">
        <f t="shared" si="203"/>
        <v>-229.58068522373094</v>
      </c>
      <c r="D1127" s="74">
        <f t="shared" si="204"/>
        <v>11735.549359774825</v>
      </c>
      <c r="E1127" s="74">
        <f t="shared" si="205"/>
        <v>-2945.4467258133018</v>
      </c>
      <c r="F1127" s="74">
        <f t="shared" si="199"/>
        <v>-752.67768821018581</v>
      </c>
      <c r="G1127" s="74">
        <f t="shared" si="200"/>
        <v>3018.1647705144492</v>
      </c>
      <c r="H1127" s="74">
        <f t="shared" si="206"/>
        <v>3730.9163546489308</v>
      </c>
      <c r="I1127" s="74">
        <f t="shared" si="207"/>
        <v>20229.580685223729</v>
      </c>
      <c r="J1127" s="74">
        <f t="shared" si="208"/>
        <v>20570.747957849366</v>
      </c>
      <c r="K1127" s="74">
        <f t="shared" si="209"/>
        <v>-36269.083645351071</v>
      </c>
      <c r="L1127" s="74">
        <f t="shared" si="210"/>
        <v>20229.580685223729</v>
      </c>
      <c r="M1127" s="74">
        <f t="shared" si="211"/>
        <v>41529.295240510037</v>
      </c>
      <c r="N1127" s="74">
        <f t="shared" si="212"/>
        <v>-21269.083645351071</v>
      </c>
      <c r="O1127" s="74">
        <f t="shared" si="213"/>
        <v>-34770.419314776271</v>
      </c>
      <c r="P1127" s="74">
        <f t="shared" si="214"/>
        <v>40759.73476898871</v>
      </c>
    </row>
    <row r="1128" spans="1:16" x14ac:dyDescent="0.3">
      <c r="A1128" s="72">
        <f t="shared" si="201"/>
        <v>409.5</v>
      </c>
      <c r="B1128" s="74">
        <f t="shared" si="202"/>
        <v>21948.688903185935</v>
      </c>
      <c r="C1128" s="74">
        <f t="shared" si="203"/>
        <v>-947.76285550176965</v>
      </c>
      <c r="D1128" s="74">
        <f t="shared" si="204"/>
        <v>11359.210515669733</v>
      </c>
      <c r="E1128" s="74">
        <f t="shared" si="205"/>
        <v>-1436.3643405560772</v>
      </c>
      <c r="F1128" s="74">
        <f t="shared" si="199"/>
        <v>-1557.8909114730036</v>
      </c>
      <c r="G1128" s="74">
        <f t="shared" si="200"/>
        <v>2964.9886547734914</v>
      </c>
      <c r="H1128" s="74">
        <f t="shared" si="206"/>
        <v>-1948.6889031859355</v>
      </c>
      <c r="I1128" s="74">
        <f t="shared" si="207"/>
        <v>20947.762855501769</v>
      </c>
      <c r="J1128" s="74">
        <f t="shared" si="208"/>
        <v>21038.207078830164</v>
      </c>
      <c r="K1128" s="74">
        <f t="shared" si="209"/>
        <v>-41948.688903185932</v>
      </c>
      <c r="L1128" s="74">
        <f t="shared" si="210"/>
        <v>20947.762855501769</v>
      </c>
      <c r="M1128" s="74">
        <f t="shared" si="211"/>
        <v>46888.178353894429</v>
      </c>
      <c r="N1128" s="74">
        <f t="shared" si="212"/>
        <v>-26948.688903185935</v>
      </c>
      <c r="O1128" s="74">
        <f t="shared" si="213"/>
        <v>-34052.237144498227</v>
      </c>
      <c r="P1128" s="74">
        <f t="shared" si="214"/>
        <v>43425.645512137657</v>
      </c>
    </row>
    <row r="1129" spans="1:16" x14ac:dyDescent="0.3">
      <c r="A1129" s="72">
        <f t="shared" si="201"/>
        <v>410</v>
      </c>
      <c r="B1129" s="74">
        <f t="shared" si="202"/>
        <v>27238.821433152549</v>
      </c>
      <c r="C1129" s="74">
        <f t="shared" si="203"/>
        <v>-924.69786208643541</v>
      </c>
      <c r="D1129" s="74">
        <f t="shared" si="204"/>
        <v>10580.26505993323</v>
      </c>
      <c r="E1129" s="74">
        <f t="shared" si="205"/>
        <v>46.129986830668486</v>
      </c>
      <c r="F1129" s="74">
        <f t="shared" si="199"/>
        <v>-2119.3630409459047</v>
      </c>
      <c r="G1129" s="74">
        <f t="shared" si="200"/>
        <v>2592.5402783616591</v>
      </c>
      <c r="H1129" s="74">
        <f t="shared" si="206"/>
        <v>-7238.8214331525487</v>
      </c>
      <c r="I1129" s="74">
        <f t="shared" si="207"/>
        <v>20924.697862086436</v>
      </c>
      <c r="J1129" s="74">
        <f t="shared" si="208"/>
        <v>22141.443411861688</v>
      </c>
      <c r="K1129" s="74">
        <f t="shared" si="209"/>
        <v>-47238.821433152552</v>
      </c>
      <c r="L1129" s="74">
        <f t="shared" si="210"/>
        <v>20924.697862086436</v>
      </c>
      <c r="M1129" s="74">
        <f t="shared" si="211"/>
        <v>51665.745238144758</v>
      </c>
      <c r="N1129" s="74">
        <f t="shared" si="212"/>
        <v>-32238.821433152549</v>
      </c>
      <c r="O1129" s="74">
        <f t="shared" si="213"/>
        <v>-34075.302137913568</v>
      </c>
      <c r="P1129" s="74">
        <f t="shared" si="214"/>
        <v>46909.144345093242</v>
      </c>
    </row>
    <row r="1130" spans="1:16" x14ac:dyDescent="0.3">
      <c r="A1130" s="72">
        <f t="shared" si="201"/>
        <v>410.5</v>
      </c>
      <c r="B1130" s="74">
        <f t="shared" si="202"/>
        <v>31999.113202882691</v>
      </c>
      <c r="C1130" s="74">
        <f t="shared" si="203"/>
        <v>-253.49779908068638</v>
      </c>
      <c r="D1130" s="74">
        <f t="shared" si="204"/>
        <v>9520.5835394602782</v>
      </c>
      <c r="E1130" s="74">
        <f t="shared" si="205"/>
        <v>1342.4001260114981</v>
      </c>
      <c r="F1130" s="74">
        <f t="shared" si="199"/>
        <v>-2404.7657151173107</v>
      </c>
      <c r="G1130" s="74">
        <f t="shared" si="200"/>
        <v>2118.9943313164868</v>
      </c>
      <c r="H1130" s="74">
        <f t="shared" si="206"/>
        <v>-11999.113202882691</v>
      </c>
      <c r="I1130" s="74">
        <f t="shared" si="207"/>
        <v>20253.497799080687</v>
      </c>
      <c r="J1130" s="74">
        <f t="shared" si="208"/>
        <v>23541.089413044589</v>
      </c>
      <c r="K1130" s="74">
        <f t="shared" si="209"/>
        <v>-51999.113202882691</v>
      </c>
      <c r="L1130" s="74">
        <f t="shared" si="210"/>
        <v>20253.497799080687</v>
      </c>
      <c r="M1130" s="74">
        <f t="shared" si="211"/>
        <v>55804.228755387128</v>
      </c>
      <c r="N1130" s="74">
        <f t="shared" si="212"/>
        <v>-36999.113202882691</v>
      </c>
      <c r="O1130" s="74">
        <f t="shared" si="213"/>
        <v>-34746.502200919313</v>
      </c>
      <c r="P1130" s="74">
        <f t="shared" si="214"/>
        <v>50756.810311506168</v>
      </c>
    </row>
    <row r="1131" spans="1:16" x14ac:dyDescent="0.3">
      <c r="A1131" s="72">
        <f t="shared" si="201"/>
        <v>411</v>
      </c>
      <c r="B1131" s="74">
        <f t="shared" si="202"/>
        <v>36158.213543833503</v>
      </c>
      <c r="C1131" s="74">
        <f t="shared" si="203"/>
        <v>947.45084675418434</v>
      </c>
      <c r="D1131" s="74">
        <f t="shared" si="204"/>
        <v>8318.2006819016224</v>
      </c>
      <c r="E1131" s="74">
        <f t="shared" si="205"/>
        <v>2401.8972916697412</v>
      </c>
      <c r="F1131" s="74">
        <f t="shared" si="199"/>
        <v>-2507.1485640929518</v>
      </c>
      <c r="G1131" s="74">
        <f t="shared" si="200"/>
        <v>1676.4253198979591</v>
      </c>
      <c r="H1131" s="74">
        <f t="shared" si="206"/>
        <v>-16158.213543833503</v>
      </c>
      <c r="I1131" s="74">
        <f t="shared" si="207"/>
        <v>19052.549153245815</v>
      </c>
      <c r="J1131" s="74">
        <f t="shared" si="208"/>
        <v>24981.743217097006</v>
      </c>
      <c r="K1131" s="74">
        <f t="shared" si="209"/>
        <v>-56158.213543833503</v>
      </c>
      <c r="L1131" s="74">
        <f t="shared" si="210"/>
        <v>19052.549153245815</v>
      </c>
      <c r="M1131" s="74">
        <f t="shared" si="211"/>
        <v>59302.146484521552</v>
      </c>
      <c r="N1131" s="74">
        <f t="shared" si="212"/>
        <v>-41158.213543833503</v>
      </c>
      <c r="O1131" s="74">
        <f t="shared" si="213"/>
        <v>-35947.450846754182</v>
      </c>
      <c r="P1131" s="74">
        <f t="shared" si="214"/>
        <v>54646.296896492517</v>
      </c>
    </row>
    <row r="1132" spans="1:16" x14ac:dyDescent="0.3">
      <c r="A1132" s="72">
        <f t="shared" si="201"/>
        <v>411.5</v>
      </c>
      <c r="B1132" s="74">
        <f t="shared" si="202"/>
        <v>39690.526743761075</v>
      </c>
      <c r="C1132" s="74">
        <f t="shared" si="203"/>
        <v>2567.5058225635444</v>
      </c>
      <c r="D1132" s="74">
        <f t="shared" si="204"/>
        <v>7064.6263998551467</v>
      </c>
      <c r="E1132" s="74">
        <f t="shared" si="205"/>
        <v>3240.1099516187205</v>
      </c>
      <c r="F1132" s="74">
        <f t="shared" si="199"/>
        <v>-2517.8791125693874</v>
      </c>
      <c r="G1132" s="74">
        <f t="shared" si="200"/>
        <v>1306.1266580773981</v>
      </c>
      <c r="H1132" s="74">
        <f t="shared" si="206"/>
        <v>-19690.526743761075</v>
      </c>
      <c r="I1132" s="74">
        <f t="shared" si="207"/>
        <v>17432.494177436456</v>
      </c>
      <c r="J1132" s="74">
        <f t="shared" si="208"/>
        <v>26298.454264331318</v>
      </c>
      <c r="K1132" s="74">
        <f t="shared" si="209"/>
        <v>-59690.526743761075</v>
      </c>
      <c r="L1132" s="74">
        <f t="shared" si="210"/>
        <v>17432.494177436456</v>
      </c>
      <c r="M1132" s="74">
        <f t="shared" si="211"/>
        <v>62184.007881399957</v>
      </c>
      <c r="N1132" s="74">
        <f t="shared" si="212"/>
        <v>-44690.526743761075</v>
      </c>
      <c r="O1132" s="74">
        <f t="shared" si="213"/>
        <v>-37567.505822563544</v>
      </c>
      <c r="P1132" s="74">
        <f t="shared" si="214"/>
        <v>58382.879976609322</v>
      </c>
    </row>
    <row r="1133" spans="1:16" x14ac:dyDescent="0.3">
      <c r="A1133" s="72">
        <f t="shared" si="201"/>
        <v>412</v>
      </c>
      <c r="B1133" s="74">
        <f t="shared" si="202"/>
        <v>42593.370165546301</v>
      </c>
      <c r="C1133" s="74">
        <f t="shared" si="203"/>
        <v>4514.0924628922539</v>
      </c>
      <c r="D1133" s="74">
        <f t="shared" si="204"/>
        <v>5805.6868435704528</v>
      </c>
      <c r="E1133" s="74">
        <f t="shared" si="205"/>
        <v>3893.1732806574196</v>
      </c>
      <c r="F1133" s="74">
        <f t="shared" si="199"/>
        <v>-2495.0990459233058</v>
      </c>
      <c r="G1133" s="74">
        <f t="shared" si="200"/>
        <v>1006.1926961439297</v>
      </c>
      <c r="H1133" s="74">
        <f t="shared" si="206"/>
        <v>-22593.370165546301</v>
      </c>
      <c r="I1133" s="74">
        <f t="shared" si="207"/>
        <v>15485.907537107745</v>
      </c>
      <c r="J1133" s="74">
        <f t="shared" si="208"/>
        <v>27391.124615196946</v>
      </c>
      <c r="K1133" s="74">
        <f t="shared" si="209"/>
        <v>-62593.370165546301</v>
      </c>
      <c r="L1133" s="74">
        <f t="shared" si="210"/>
        <v>15485.907537107745</v>
      </c>
      <c r="M1133" s="74">
        <f t="shared" si="211"/>
        <v>64480.565451374197</v>
      </c>
      <c r="N1133" s="74">
        <f t="shared" si="212"/>
        <v>-47593.370165546301</v>
      </c>
      <c r="O1133" s="74">
        <f t="shared" si="213"/>
        <v>-39514.092462892251</v>
      </c>
      <c r="P1133" s="74">
        <f t="shared" si="214"/>
        <v>61858.648440462312</v>
      </c>
    </row>
    <row r="1134" spans="1:16" x14ac:dyDescent="0.3">
      <c r="A1134" s="72">
        <f t="shared" si="201"/>
        <v>412.5</v>
      </c>
      <c r="B1134" s="74">
        <f t="shared" si="202"/>
        <v>44872.438825850702</v>
      </c>
      <c r="C1134" s="74">
        <f t="shared" si="203"/>
        <v>6712.2272772569468</v>
      </c>
      <c r="D1134" s="74">
        <f t="shared" si="204"/>
        <v>4558.1373206088001</v>
      </c>
      <c r="E1134" s="74">
        <f t="shared" si="205"/>
        <v>4396.2696287293847</v>
      </c>
      <c r="F1134" s="74">
        <f t="shared" si="199"/>
        <v>-2470.7877706525696</v>
      </c>
      <c r="G1134" s="74">
        <f t="shared" si="200"/>
        <v>761.51200848465965</v>
      </c>
      <c r="H1134" s="74">
        <f t="shared" si="206"/>
        <v>-24872.438825850702</v>
      </c>
      <c r="I1134" s="74">
        <f t="shared" si="207"/>
        <v>13287.772722743053</v>
      </c>
      <c r="J1134" s="74">
        <f t="shared" si="208"/>
        <v>28199.346039881133</v>
      </c>
      <c r="K1134" s="74">
        <f t="shared" si="209"/>
        <v>-64872.438825850702</v>
      </c>
      <c r="L1134" s="74">
        <f t="shared" si="210"/>
        <v>13287.772722743053</v>
      </c>
      <c r="M1134" s="74">
        <f t="shared" si="211"/>
        <v>66219.319108135023</v>
      </c>
      <c r="N1134" s="74">
        <f t="shared" si="212"/>
        <v>-49872.438825850702</v>
      </c>
      <c r="O1134" s="74">
        <f t="shared" si="213"/>
        <v>-41712.227277256949</v>
      </c>
      <c r="P1134" s="74">
        <f t="shared" si="214"/>
        <v>65016.690617623404</v>
      </c>
    </row>
    <row r="1135" spans="1:16" x14ac:dyDescent="0.3">
      <c r="A1135" s="72">
        <f t="shared" si="201"/>
        <v>413</v>
      </c>
      <c r="B1135" s="74">
        <f t="shared" si="202"/>
        <v>46533.810543491963</v>
      </c>
      <c r="C1135" s="74">
        <f t="shared" si="203"/>
        <v>9100.7400937428029</v>
      </c>
      <c r="D1135" s="74">
        <f t="shared" si="204"/>
        <v>3322.7434352825153</v>
      </c>
      <c r="E1135" s="74">
        <f t="shared" si="205"/>
        <v>4777.0256329717149</v>
      </c>
      <c r="F1135" s="74">
        <f t="shared" si="199"/>
        <v>-2462.175834957528</v>
      </c>
      <c r="G1135" s="74">
        <f t="shared" si="200"/>
        <v>555.42747740428558</v>
      </c>
      <c r="H1135" s="74">
        <f t="shared" si="206"/>
        <v>-26533.810543491963</v>
      </c>
      <c r="I1135" s="74">
        <f t="shared" si="207"/>
        <v>10899.259906257197</v>
      </c>
      <c r="J1135" s="74">
        <f t="shared" si="208"/>
        <v>28685.134973746786</v>
      </c>
      <c r="K1135" s="74">
        <f t="shared" si="209"/>
        <v>-66533.810543491971</v>
      </c>
      <c r="L1135" s="74">
        <f t="shared" si="210"/>
        <v>10899.259906257197</v>
      </c>
      <c r="M1135" s="74">
        <f t="shared" si="211"/>
        <v>67420.633428805973</v>
      </c>
      <c r="N1135" s="74">
        <f t="shared" si="212"/>
        <v>-51533.810543491963</v>
      </c>
      <c r="O1135" s="74">
        <f t="shared" si="213"/>
        <v>-44100.740093742803</v>
      </c>
      <c r="P1135" s="74">
        <f t="shared" si="214"/>
        <v>67827.788596919316</v>
      </c>
    </row>
    <row r="1136" spans="1:16" x14ac:dyDescent="0.3">
      <c r="A1136" s="72">
        <f t="shared" si="201"/>
        <v>413.5</v>
      </c>
      <c r="B1136" s="74">
        <f t="shared" si="202"/>
        <v>47579.63830239384</v>
      </c>
      <c r="C1136" s="74">
        <f t="shared" si="203"/>
        <v>11628.109779579732</v>
      </c>
      <c r="D1136" s="74">
        <f t="shared" si="204"/>
        <v>2091.6555178037515</v>
      </c>
      <c r="E1136" s="74">
        <f t="shared" si="205"/>
        <v>5054.7393716738579</v>
      </c>
      <c r="F1136" s="74">
        <f t="shared" si="199"/>
        <v>-2479.6054032255133</v>
      </c>
      <c r="G1136" s="74">
        <f t="shared" si="200"/>
        <v>372.65952464690361</v>
      </c>
      <c r="H1136" s="74">
        <f t="shared" si="206"/>
        <v>-27579.63830239384</v>
      </c>
      <c r="I1136" s="74">
        <f t="shared" si="207"/>
        <v>8371.8902204202677</v>
      </c>
      <c r="J1136" s="74">
        <f t="shared" si="208"/>
        <v>28822.300302953579</v>
      </c>
      <c r="K1136" s="74">
        <f t="shared" si="209"/>
        <v>-67579.63830239384</v>
      </c>
      <c r="L1136" s="74">
        <f t="shared" si="210"/>
        <v>8371.8902204202677</v>
      </c>
      <c r="M1136" s="74">
        <f t="shared" si="211"/>
        <v>68096.226466267166</v>
      </c>
      <c r="N1136" s="74">
        <f t="shared" si="212"/>
        <v>-52579.63830239384</v>
      </c>
      <c r="O1136" s="74">
        <f t="shared" si="213"/>
        <v>-46628.109779579732</v>
      </c>
      <c r="P1136" s="74">
        <f t="shared" si="214"/>
        <v>70276.589171836589</v>
      </c>
    </row>
    <row r="1137" spans="1:16" x14ac:dyDescent="0.3">
      <c r="A1137" s="72">
        <f t="shared" si="201"/>
        <v>414</v>
      </c>
      <c r="B1137" s="74">
        <f t="shared" si="202"/>
        <v>48005.564710489336</v>
      </c>
      <c r="C1137" s="74">
        <f t="shared" si="203"/>
        <v>14248.644346578387</v>
      </c>
      <c r="D1137" s="74">
        <f t="shared" si="204"/>
        <v>851.85281619099487</v>
      </c>
      <c r="E1137" s="74">
        <f t="shared" si="205"/>
        <v>5241.06913399731</v>
      </c>
      <c r="F1137" s="74">
        <f t="shared" si="199"/>
        <v>-2531.2003572497451</v>
      </c>
      <c r="G1137" s="74">
        <f t="shared" si="200"/>
        <v>198.8774818737501</v>
      </c>
      <c r="H1137" s="74">
        <f t="shared" si="206"/>
        <v>-28005.564710489336</v>
      </c>
      <c r="I1137" s="74">
        <f t="shared" si="207"/>
        <v>5751.3556534216132</v>
      </c>
      <c r="J1137" s="74">
        <f t="shared" si="208"/>
        <v>28590.028796864659</v>
      </c>
      <c r="K1137" s="74">
        <f t="shared" si="209"/>
        <v>-68005.564710489329</v>
      </c>
      <c r="L1137" s="74">
        <f t="shared" si="210"/>
        <v>5751.3556534216132</v>
      </c>
      <c r="M1137" s="74">
        <f t="shared" si="211"/>
        <v>68248.332752124406</v>
      </c>
      <c r="N1137" s="74">
        <f t="shared" si="212"/>
        <v>-53005.564710489336</v>
      </c>
      <c r="O1137" s="74">
        <f t="shared" si="213"/>
        <v>-49248.644346578389</v>
      </c>
      <c r="P1137" s="74">
        <f t="shared" si="214"/>
        <v>72353.430189961553</v>
      </c>
    </row>
    <row r="1138" spans="1:16" x14ac:dyDescent="0.3">
      <c r="A1138" s="72">
        <f t="shared" si="201"/>
        <v>414.5</v>
      </c>
      <c r="B1138" s="74">
        <f t="shared" si="202"/>
        <v>47798.691029272399</v>
      </c>
      <c r="C1138" s="74">
        <f t="shared" si="203"/>
        <v>16918.898284045477</v>
      </c>
      <c r="D1138" s="74">
        <f t="shared" si="204"/>
        <v>-413.7473624338777</v>
      </c>
      <c r="E1138" s="74">
        <f t="shared" si="205"/>
        <v>5340.5078749341847</v>
      </c>
      <c r="F1138" s="74">
        <f t="shared" si="199"/>
        <v>-2625.817530454372</v>
      </c>
      <c r="G1138" s="74">
        <f t="shared" si="200"/>
        <v>18.813686900334346</v>
      </c>
      <c r="H1138" s="74">
        <f t="shared" si="206"/>
        <v>-27798.691029272399</v>
      </c>
      <c r="I1138" s="74">
        <f t="shared" si="207"/>
        <v>3081.1017159545227</v>
      </c>
      <c r="J1138" s="74">
        <f t="shared" si="208"/>
        <v>27968.918654910623</v>
      </c>
      <c r="K1138" s="74">
        <f t="shared" si="209"/>
        <v>-67798.691029272391</v>
      </c>
      <c r="L1138" s="74">
        <f t="shared" si="210"/>
        <v>3081.1017159545227</v>
      </c>
      <c r="M1138" s="74">
        <f t="shared" si="211"/>
        <v>67868.665030828459</v>
      </c>
      <c r="N1138" s="74">
        <f t="shared" si="212"/>
        <v>-52798.691029272399</v>
      </c>
      <c r="O1138" s="74">
        <f t="shared" si="213"/>
        <v>-51918.898284045477</v>
      </c>
      <c r="P1138" s="74">
        <f t="shared" si="214"/>
        <v>74049.130808090049</v>
      </c>
    </row>
    <row r="1139" spans="1:16" x14ac:dyDescent="0.3">
      <c r="A1139" s="72">
        <f t="shared" si="201"/>
        <v>415</v>
      </c>
      <c r="B1139" s="74">
        <f t="shared" si="202"/>
        <v>46935.362965441869</v>
      </c>
      <c r="C1139" s="74">
        <f t="shared" si="203"/>
        <v>19593.855643237654</v>
      </c>
      <c r="D1139" s="74">
        <f t="shared" si="204"/>
        <v>-1726.6561276610637</v>
      </c>
      <c r="E1139" s="74">
        <f t="shared" si="205"/>
        <v>5349.9147183843515</v>
      </c>
      <c r="F1139" s="74">
        <f t="shared" si="199"/>
        <v>-2775.3895957555519</v>
      </c>
      <c r="G1139" s="74">
        <f t="shared" si="200"/>
        <v>-187.01786567878077</v>
      </c>
      <c r="H1139" s="74">
        <f t="shared" si="206"/>
        <v>-26935.362965441869</v>
      </c>
      <c r="I1139" s="74">
        <f t="shared" si="207"/>
        <v>406.14435676234643</v>
      </c>
      <c r="J1139" s="74">
        <f t="shared" si="208"/>
        <v>26938.42481138471</v>
      </c>
      <c r="K1139" s="74">
        <f t="shared" si="209"/>
        <v>-66935.362965441862</v>
      </c>
      <c r="L1139" s="74">
        <f t="shared" si="210"/>
        <v>406.14435676234643</v>
      </c>
      <c r="M1139" s="74">
        <f t="shared" si="211"/>
        <v>66936.595137144352</v>
      </c>
      <c r="N1139" s="74">
        <f t="shared" si="212"/>
        <v>-51935.362965441869</v>
      </c>
      <c r="O1139" s="74">
        <f t="shared" si="213"/>
        <v>-54593.85564323765</v>
      </c>
      <c r="P1139" s="74">
        <f t="shared" si="214"/>
        <v>75350.985397318218</v>
      </c>
    </row>
    <row r="1140" spans="1:16" x14ac:dyDescent="0.3">
      <c r="A1140" s="72">
        <f t="shared" si="201"/>
        <v>415.5</v>
      </c>
      <c r="B1140" s="74">
        <f t="shared" si="202"/>
        <v>45378.187502672452</v>
      </c>
      <c r="C1140" s="74">
        <f t="shared" si="203"/>
        <v>22222.058536010136</v>
      </c>
      <c r="D1140" s="74">
        <f t="shared" si="204"/>
        <v>-3114.3509255388399</v>
      </c>
      <c r="E1140" s="74">
        <f t="shared" si="205"/>
        <v>5256.405785544961</v>
      </c>
      <c r="F1140" s="74">
        <f t="shared" si="199"/>
        <v>-2997.3067973004745</v>
      </c>
      <c r="G1140" s="74">
        <f t="shared" si="200"/>
        <v>-448.34317399978352</v>
      </c>
      <c r="H1140" s="74">
        <f t="shared" si="206"/>
        <v>-25378.187502672452</v>
      </c>
      <c r="I1140" s="74">
        <f t="shared" si="207"/>
        <v>-2222.0585360101359</v>
      </c>
      <c r="J1140" s="74">
        <f t="shared" si="208"/>
        <v>25475.28105945557</v>
      </c>
      <c r="K1140" s="74">
        <f t="shared" si="209"/>
        <v>-65378.187502672452</v>
      </c>
      <c r="L1140" s="74">
        <f t="shared" si="210"/>
        <v>-2222.0585360101359</v>
      </c>
      <c r="M1140" s="74">
        <f t="shared" si="211"/>
        <v>65415.938006513759</v>
      </c>
      <c r="N1140" s="74">
        <f t="shared" si="212"/>
        <v>-50378.187502672452</v>
      </c>
      <c r="O1140" s="74">
        <f t="shared" si="213"/>
        <v>-57222.05853601014</v>
      </c>
      <c r="P1140" s="74">
        <f t="shared" si="214"/>
        <v>76238.610684829473</v>
      </c>
    </row>
    <row r="1141" spans="1:16" x14ac:dyDescent="0.3">
      <c r="A1141" s="72">
        <f t="shared" si="201"/>
        <v>416</v>
      </c>
      <c r="B1141" s="74">
        <f t="shared" si="202"/>
        <v>43071.685340577918</v>
      </c>
      <c r="C1141" s="74">
        <f t="shared" si="203"/>
        <v>24738.175635282667</v>
      </c>
      <c r="D1141" s="74">
        <f t="shared" si="204"/>
        <v>-4613.0043241890771</v>
      </c>
      <c r="E1141" s="74">
        <f t="shared" si="205"/>
        <v>5032.2341985450694</v>
      </c>
      <c r="F1141" s="74">
        <f t="shared" si="199"/>
        <v>-3316.6393316565254</v>
      </c>
      <c r="G1141" s="74">
        <f t="shared" si="200"/>
        <v>-817.63732585455466</v>
      </c>
      <c r="H1141" s="74">
        <f t="shared" si="206"/>
        <v>-23071.685340577918</v>
      </c>
      <c r="I1141" s="74">
        <f t="shared" si="207"/>
        <v>-4738.1756352826669</v>
      </c>
      <c r="J1141" s="74">
        <f t="shared" si="208"/>
        <v>23553.194535039707</v>
      </c>
      <c r="K1141" s="74">
        <f t="shared" si="209"/>
        <v>-63071.685340577918</v>
      </c>
      <c r="L1141" s="74">
        <f t="shared" si="210"/>
        <v>-4738.1756352826669</v>
      </c>
      <c r="M1141" s="74">
        <f t="shared" si="211"/>
        <v>63249.40948381777</v>
      </c>
      <c r="N1141" s="74">
        <f t="shared" si="212"/>
        <v>-48071.685340577918</v>
      </c>
      <c r="O1141" s="74">
        <f t="shared" si="213"/>
        <v>-59738.175635282663</v>
      </c>
      <c r="P1141" s="74">
        <f t="shared" si="214"/>
        <v>76678.136125726305</v>
      </c>
    </row>
    <row r="1142" spans="1:16" x14ac:dyDescent="0.3">
      <c r="A1142" s="72">
        <f t="shared" si="201"/>
        <v>416.5</v>
      </c>
      <c r="B1142" s="74">
        <f t="shared" si="202"/>
        <v>39936.023345569243</v>
      </c>
      <c r="C1142" s="74">
        <f t="shared" si="203"/>
        <v>27049.883403091564</v>
      </c>
      <c r="D1142" s="74">
        <f t="shared" si="204"/>
        <v>-6271.3239900173394</v>
      </c>
      <c r="E1142" s="74">
        <f t="shared" si="205"/>
        <v>4623.4155356177916</v>
      </c>
      <c r="F1142" s="74">
        <f t="shared" ref="F1142:F1205" si="215">$C$23*(H1142/(J1142^2+$C$24^2)^1.5)+$C$32*(K1142/(M1142^2+$C$33^2)^1.5)+C$41*(N1142/(P1142^2+$C$42^2)^1.5)</f>
        <v>-3764.2423850243313</v>
      </c>
      <c r="G1142" s="74">
        <f t="shared" ref="G1142:G1205" si="216">$C$23*(I1142/(J1142^2+$C$24^2)^1.5)+$C$32*(L1142/(M1142^2+$C$33^2)^1.5)+C$41*(O1142/(P1142^2+$C$42^2)^1.5)</f>
        <v>-1398.8134524630616</v>
      </c>
      <c r="H1142" s="74">
        <f t="shared" si="206"/>
        <v>-19936.023345569243</v>
      </c>
      <c r="I1142" s="74">
        <f t="shared" si="207"/>
        <v>-7049.8834030915641</v>
      </c>
      <c r="J1142" s="74">
        <f t="shared" si="208"/>
        <v>21145.824241023751</v>
      </c>
      <c r="K1142" s="74">
        <f t="shared" si="209"/>
        <v>-59936.023345569243</v>
      </c>
      <c r="L1142" s="74">
        <f t="shared" si="210"/>
        <v>-7049.8834030915641</v>
      </c>
      <c r="M1142" s="74">
        <f t="shared" si="211"/>
        <v>60349.214994710637</v>
      </c>
      <c r="N1142" s="74">
        <f t="shared" si="212"/>
        <v>-44936.023345569243</v>
      </c>
      <c r="O1142" s="74">
        <f t="shared" si="213"/>
        <v>-62049.88340309156</v>
      </c>
      <c r="P1142" s="74">
        <f t="shared" si="214"/>
        <v>76612.232864280901</v>
      </c>
    </row>
    <row r="1143" spans="1:16" x14ac:dyDescent="0.3">
      <c r="A1143" s="72">
        <f t="shared" ref="A1143:A1206" si="217">A1142+$C$5</f>
        <v>417</v>
      </c>
      <c r="B1143" s="74">
        <f t="shared" ref="B1143:B1206" si="218">B1142+D1142*(A1143-A1142)+F1142*(A1143-A1142)^2</f>
        <v>35859.300754304495</v>
      </c>
      <c r="C1143" s="74">
        <f t="shared" ref="C1143:C1206" si="219">C1142+E1142*(A1143-A1142)+G1142*(A1143-A1142)^2</f>
        <v>29011.887807784697</v>
      </c>
      <c r="D1143" s="74">
        <f t="shared" ref="D1143:D1206" si="220">D1142+F1142*(A1143-A1142)</f>
        <v>-8153.4451825295055</v>
      </c>
      <c r="E1143" s="74">
        <f t="shared" ref="E1143:E1206" si="221">E1142+G1142*(A1143-A1142)</f>
        <v>3924.008809386261</v>
      </c>
      <c r="F1143" s="74">
        <f t="shared" si="215"/>
        <v>-4346.4768961131504</v>
      </c>
      <c r="G1143" s="74">
        <f t="shared" si="216"/>
        <v>-2416.0483344404834</v>
      </c>
      <c r="H1143" s="74">
        <f t="shared" ref="H1143:H1206" si="222">$C$19-B1143</f>
        <v>-15859.300754304495</v>
      </c>
      <c r="I1143" s="74">
        <f t="shared" ref="I1143:I1206" si="223">$D$19-C1143</f>
        <v>-9011.8878077846966</v>
      </c>
      <c r="J1143" s="74">
        <f t="shared" ref="J1143:J1206" si="224">SQRT(H1143^2+I1143^2)</f>
        <v>18240.930411456033</v>
      </c>
      <c r="K1143" s="74">
        <f t="shared" ref="K1143:K1206" si="225">$C$28-B1143</f>
        <v>-55859.300754304495</v>
      </c>
      <c r="L1143" s="74">
        <f t="shared" ref="L1143:L1206" si="226">$D$28-C1143</f>
        <v>-9011.8878077846966</v>
      </c>
      <c r="M1143" s="74">
        <f t="shared" ref="M1143:M1206" si="227">SQRT(K1143^2+L1143^2)</f>
        <v>56581.583599435791</v>
      </c>
      <c r="N1143" s="74">
        <f t="shared" ref="N1143:N1206" si="228">$C$37-B1143</f>
        <v>-40859.300754304495</v>
      </c>
      <c r="O1143" s="74">
        <f t="shared" ref="O1143:O1206" si="229">$D$37-C1143</f>
        <v>-64011.887807784697</v>
      </c>
      <c r="P1143" s="74">
        <f t="shared" ref="P1143:P1206" si="230">SQRT(N1143^2+O1143^2)</f>
        <v>75940.794299553672</v>
      </c>
    </row>
    <row r="1144" spans="1:16" x14ac:dyDescent="0.3">
      <c r="A1144" s="72">
        <f t="shared" si="217"/>
        <v>417.5</v>
      </c>
      <c r="B1144" s="74">
        <f t="shared" si="218"/>
        <v>30695.958939011456</v>
      </c>
      <c r="C1144" s="74">
        <f t="shared" si="219"/>
        <v>30369.880128867706</v>
      </c>
      <c r="D1144" s="74">
        <f t="shared" si="220"/>
        <v>-10326.683630586082</v>
      </c>
      <c r="E1144" s="74">
        <f t="shared" si="221"/>
        <v>2715.9846421660195</v>
      </c>
      <c r="F1144" s="74">
        <f t="shared" si="215"/>
        <v>-4850.765743796519</v>
      </c>
      <c r="G1144" s="74">
        <f t="shared" si="216"/>
        <v>-4353.0517939438851</v>
      </c>
      <c r="H1144" s="74">
        <f t="shared" si="222"/>
        <v>-10695.958939011456</v>
      </c>
      <c r="I1144" s="74">
        <f t="shared" si="223"/>
        <v>-10369.880128867706</v>
      </c>
      <c r="J1144" s="74">
        <f t="shared" si="224"/>
        <v>14897.582069319316</v>
      </c>
      <c r="K1144" s="74">
        <f t="shared" si="225"/>
        <v>-50695.958939011456</v>
      </c>
      <c r="L1144" s="74">
        <f t="shared" si="226"/>
        <v>-10369.880128867706</v>
      </c>
      <c r="M1144" s="74">
        <f t="shared" si="227"/>
        <v>51745.67292666142</v>
      </c>
      <c r="N1144" s="74">
        <f t="shared" si="228"/>
        <v>-35695.958939011456</v>
      </c>
      <c r="O1144" s="74">
        <f t="shared" si="229"/>
        <v>-65369.880128867706</v>
      </c>
      <c r="P1144" s="74">
        <f t="shared" si="230"/>
        <v>74481.022499950443</v>
      </c>
    </row>
    <row r="1145" spans="1:16" x14ac:dyDescent="0.3">
      <c r="A1145" s="72">
        <f t="shared" si="217"/>
        <v>418</v>
      </c>
      <c r="B1145" s="74">
        <f t="shared" si="218"/>
        <v>24319.925687769286</v>
      </c>
      <c r="C1145" s="74">
        <f t="shared" si="219"/>
        <v>30639.609501464744</v>
      </c>
      <c r="D1145" s="74">
        <f t="shared" si="220"/>
        <v>-12752.06650248434</v>
      </c>
      <c r="E1145" s="74">
        <f t="shared" si="221"/>
        <v>539.45874519407698</v>
      </c>
      <c r="F1145" s="74">
        <f t="shared" si="215"/>
        <v>-3890.6754725262244</v>
      </c>
      <c r="G1145" s="74">
        <f t="shared" si="216"/>
        <v>-7785.2827273479406</v>
      </c>
      <c r="H1145" s="74">
        <f t="shared" si="222"/>
        <v>-4319.925687769286</v>
      </c>
      <c r="I1145" s="74">
        <f t="shared" si="223"/>
        <v>-10639.609501464744</v>
      </c>
      <c r="J1145" s="74">
        <f t="shared" si="224"/>
        <v>11483.163688265868</v>
      </c>
      <c r="K1145" s="74">
        <f t="shared" si="225"/>
        <v>-44319.925687769282</v>
      </c>
      <c r="L1145" s="74">
        <f t="shared" si="226"/>
        <v>-10639.609501464744</v>
      </c>
      <c r="M1145" s="74">
        <f t="shared" si="227"/>
        <v>45579.130128964185</v>
      </c>
      <c r="N1145" s="74">
        <f t="shared" si="228"/>
        <v>-29319.925687769286</v>
      </c>
      <c r="O1145" s="74">
        <f t="shared" si="229"/>
        <v>-65639.609501464744</v>
      </c>
      <c r="P1145" s="74">
        <f t="shared" si="230"/>
        <v>71890.30795483556</v>
      </c>
    </row>
    <row r="1146" spans="1:16" x14ac:dyDescent="0.3">
      <c r="A1146" s="72">
        <f t="shared" si="217"/>
        <v>418.5</v>
      </c>
      <c r="B1146" s="74">
        <f t="shared" si="218"/>
        <v>16971.223568395559</v>
      </c>
      <c r="C1146" s="74">
        <f t="shared" si="219"/>
        <v>28963.018192224798</v>
      </c>
      <c r="D1146" s="74">
        <f t="shared" si="220"/>
        <v>-14697.404238747453</v>
      </c>
      <c r="E1146" s="74">
        <f t="shared" si="221"/>
        <v>-3353.1826184798933</v>
      </c>
      <c r="F1146" s="74">
        <f t="shared" si="215"/>
        <v>1797.5278848181224</v>
      </c>
      <c r="G1146" s="74">
        <f t="shared" si="216"/>
        <v>-9631.0799611142356</v>
      </c>
      <c r="H1146" s="74">
        <f t="shared" si="222"/>
        <v>3028.7764316044413</v>
      </c>
      <c r="I1146" s="74">
        <f t="shared" si="223"/>
        <v>-8963.0181922247975</v>
      </c>
      <c r="J1146" s="74">
        <f t="shared" si="224"/>
        <v>9460.9292242778774</v>
      </c>
      <c r="K1146" s="74">
        <f t="shared" si="225"/>
        <v>-36971.223568395559</v>
      </c>
      <c r="L1146" s="74">
        <f t="shared" si="226"/>
        <v>-8963.0181922247975</v>
      </c>
      <c r="M1146" s="74">
        <f t="shared" si="227"/>
        <v>38042.174849217539</v>
      </c>
      <c r="N1146" s="74">
        <f t="shared" si="228"/>
        <v>-21971.223568395559</v>
      </c>
      <c r="O1146" s="74">
        <f t="shared" si="229"/>
        <v>-63963.018192224801</v>
      </c>
      <c r="P1146" s="74">
        <f t="shared" si="230"/>
        <v>67631.371133160545</v>
      </c>
    </row>
    <row r="1147" spans="1:16" x14ac:dyDescent="0.3">
      <c r="A1147" s="72">
        <f t="shared" si="217"/>
        <v>419</v>
      </c>
      <c r="B1147" s="74">
        <f t="shared" si="218"/>
        <v>10071.903420226361</v>
      </c>
      <c r="C1147" s="74">
        <f t="shared" si="219"/>
        <v>24878.656892706291</v>
      </c>
      <c r="D1147" s="74">
        <f t="shared" si="220"/>
        <v>-13798.640296338392</v>
      </c>
      <c r="E1147" s="74">
        <f t="shared" si="221"/>
        <v>-8168.7225990370116</v>
      </c>
      <c r="F1147" s="74">
        <f t="shared" si="215"/>
        <v>5518.0132384681929</v>
      </c>
      <c r="G1147" s="74">
        <f t="shared" si="216"/>
        <v>-4330.3256730929297</v>
      </c>
      <c r="H1147" s="74">
        <f t="shared" si="222"/>
        <v>9928.096579773639</v>
      </c>
      <c r="I1147" s="74">
        <f t="shared" si="223"/>
        <v>-4878.6568927062908</v>
      </c>
      <c r="J1147" s="74">
        <f t="shared" si="224"/>
        <v>11062.024894840168</v>
      </c>
      <c r="K1147" s="74">
        <f t="shared" si="225"/>
        <v>-30071.903420226361</v>
      </c>
      <c r="L1147" s="74">
        <f t="shared" si="226"/>
        <v>-4878.6568927062908</v>
      </c>
      <c r="M1147" s="74">
        <f t="shared" si="227"/>
        <v>30465.072926093129</v>
      </c>
      <c r="N1147" s="74">
        <f t="shared" si="228"/>
        <v>-15071.903420226361</v>
      </c>
      <c r="O1147" s="74">
        <f t="shared" si="229"/>
        <v>-59878.656892706291</v>
      </c>
      <c r="P1147" s="74">
        <f t="shared" si="230"/>
        <v>61746.383084218578</v>
      </c>
    </row>
    <row r="1148" spans="1:16" x14ac:dyDescent="0.3">
      <c r="A1148" s="72">
        <f t="shared" si="217"/>
        <v>419.5</v>
      </c>
      <c r="B1148" s="74">
        <f t="shared" si="218"/>
        <v>4552.0865816742134</v>
      </c>
      <c r="C1148" s="74">
        <f t="shared" si="219"/>
        <v>19711.714174914552</v>
      </c>
      <c r="D1148" s="74">
        <f t="shared" si="220"/>
        <v>-11039.633677104295</v>
      </c>
      <c r="E1148" s="74">
        <f t="shared" si="221"/>
        <v>-10333.885435583477</v>
      </c>
      <c r="F1148" s="74">
        <f t="shared" si="215"/>
        <v>2728.7962078996402</v>
      </c>
      <c r="G1148" s="74">
        <f t="shared" si="216"/>
        <v>-418.59658098423267</v>
      </c>
      <c r="H1148" s="74">
        <f t="shared" si="222"/>
        <v>15447.913418325787</v>
      </c>
      <c r="I1148" s="74">
        <f t="shared" si="223"/>
        <v>288.28582508544787</v>
      </c>
      <c r="J1148" s="74">
        <f t="shared" si="224"/>
        <v>15450.60314994321</v>
      </c>
      <c r="K1148" s="74">
        <f t="shared" si="225"/>
        <v>-24552.086581674215</v>
      </c>
      <c r="L1148" s="74">
        <f t="shared" si="226"/>
        <v>288.28582508544787</v>
      </c>
      <c r="M1148" s="74">
        <f t="shared" si="227"/>
        <v>24553.779021384307</v>
      </c>
      <c r="N1148" s="74">
        <f t="shared" si="228"/>
        <v>-9552.0865816742134</v>
      </c>
      <c r="O1148" s="74">
        <f t="shared" si="229"/>
        <v>-54711.714174914552</v>
      </c>
      <c r="P1148" s="74">
        <f t="shared" si="230"/>
        <v>55539.301634260279</v>
      </c>
    </row>
    <row r="1149" spans="1:16" x14ac:dyDescent="0.3">
      <c r="A1149" s="72">
        <f t="shared" si="217"/>
        <v>420</v>
      </c>
      <c r="B1149" s="74">
        <f t="shared" si="218"/>
        <v>-285.5312049030241</v>
      </c>
      <c r="C1149" s="74">
        <f t="shared" si="219"/>
        <v>14440.122311876756</v>
      </c>
      <c r="D1149" s="74">
        <f t="shared" si="220"/>
        <v>-9675.2355731544758</v>
      </c>
      <c r="E1149" s="74">
        <f t="shared" si="221"/>
        <v>-10543.183726075593</v>
      </c>
      <c r="F1149" s="74">
        <f t="shared" si="215"/>
        <v>-203.092214522429</v>
      </c>
      <c r="G1149" s="74">
        <f t="shared" si="216"/>
        <v>1139.4354269099454</v>
      </c>
      <c r="H1149" s="74">
        <f t="shared" si="222"/>
        <v>20285.531204903025</v>
      </c>
      <c r="I1149" s="74">
        <f t="shared" si="223"/>
        <v>5559.8776881232443</v>
      </c>
      <c r="J1149" s="74">
        <f t="shared" si="224"/>
        <v>21033.663878934291</v>
      </c>
      <c r="K1149" s="74">
        <f t="shared" si="225"/>
        <v>-19714.468795096975</v>
      </c>
      <c r="L1149" s="74">
        <f t="shared" si="226"/>
        <v>5559.8776881232443</v>
      </c>
      <c r="M1149" s="74">
        <f t="shared" si="227"/>
        <v>20483.469427314874</v>
      </c>
      <c r="N1149" s="74">
        <f t="shared" si="228"/>
        <v>-4714.4687950969756</v>
      </c>
      <c r="O1149" s="74">
        <f t="shared" si="229"/>
        <v>-49440.122311876752</v>
      </c>
      <c r="P1149" s="74">
        <f t="shared" si="230"/>
        <v>49664.39278027344</v>
      </c>
    </row>
    <row r="1150" spans="1:16" x14ac:dyDescent="0.3">
      <c r="A1150" s="72">
        <f t="shared" si="217"/>
        <v>420.5</v>
      </c>
      <c r="B1150" s="74">
        <f t="shared" si="218"/>
        <v>-5173.9220451108695</v>
      </c>
      <c r="C1150" s="74">
        <f t="shared" si="219"/>
        <v>9453.3893055664448</v>
      </c>
      <c r="D1150" s="74">
        <f t="shared" si="220"/>
        <v>-9776.7816804156901</v>
      </c>
      <c r="E1150" s="74">
        <f t="shared" si="221"/>
        <v>-9973.4660126206199</v>
      </c>
      <c r="F1150" s="74">
        <f t="shared" si="215"/>
        <v>-1472.5306692867584</v>
      </c>
      <c r="G1150" s="74">
        <f t="shared" si="216"/>
        <v>2409.6917213762445</v>
      </c>
      <c r="H1150" s="74">
        <f t="shared" si="222"/>
        <v>25173.92204511087</v>
      </c>
      <c r="I1150" s="74">
        <f t="shared" si="223"/>
        <v>10546.610694433555</v>
      </c>
      <c r="J1150" s="74">
        <f t="shared" si="224"/>
        <v>27293.90679754841</v>
      </c>
      <c r="K1150" s="74">
        <f t="shared" si="225"/>
        <v>-14826.07795488913</v>
      </c>
      <c r="L1150" s="74">
        <f t="shared" si="226"/>
        <v>10546.610694433555</v>
      </c>
      <c r="M1150" s="74">
        <f t="shared" si="227"/>
        <v>18194.603174139018</v>
      </c>
      <c r="N1150" s="74">
        <f t="shared" si="228"/>
        <v>173.92204511086948</v>
      </c>
      <c r="O1150" s="74">
        <f t="shared" si="229"/>
        <v>-44453.389305566445</v>
      </c>
      <c r="P1150" s="74">
        <f t="shared" si="230"/>
        <v>44453.729535664665</v>
      </c>
    </row>
    <row r="1151" spans="1:16" x14ac:dyDescent="0.3">
      <c r="A1151" s="72">
        <f t="shared" si="217"/>
        <v>421</v>
      </c>
      <c r="B1151" s="74">
        <f t="shared" si="218"/>
        <v>-10430.445552640405</v>
      </c>
      <c r="C1151" s="74">
        <f t="shared" si="219"/>
        <v>5069.0792296001964</v>
      </c>
      <c r="D1151" s="74">
        <f t="shared" si="220"/>
        <v>-10513.04701505907</v>
      </c>
      <c r="E1151" s="74">
        <f t="shared" si="221"/>
        <v>-8768.6201519324968</v>
      </c>
      <c r="F1151" s="74">
        <f t="shared" si="215"/>
        <v>-945.54914761104931</v>
      </c>
      <c r="G1151" s="74">
        <f t="shared" si="216"/>
        <v>3308.508639832487</v>
      </c>
      <c r="H1151" s="74">
        <f t="shared" si="222"/>
        <v>30430.445552640405</v>
      </c>
      <c r="I1151" s="74">
        <f t="shared" si="223"/>
        <v>14930.920770399804</v>
      </c>
      <c r="J1151" s="74">
        <f t="shared" si="224"/>
        <v>33896.082540378738</v>
      </c>
      <c r="K1151" s="74">
        <f t="shared" si="225"/>
        <v>-9569.5544473595946</v>
      </c>
      <c r="L1151" s="74">
        <f t="shared" si="226"/>
        <v>14930.920770399804</v>
      </c>
      <c r="M1151" s="74">
        <f t="shared" si="227"/>
        <v>17734.39503825648</v>
      </c>
      <c r="N1151" s="74">
        <f t="shared" si="228"/>
        <v>5430.4455526404054</v>
      </c>
      <c r="O1151" s="74">
        <f t="shared" si="229"/>
        <v>-40069.079229600196</v>
      </c>
      <c r="P1151" s="74">
        <f t="shared" si="230"/>
        <v>40435.391048043173</v>
      </c>
    </row>
    <row r="1152" spans="1:16" x14ac:dyDescent="0.3">
      <c r="A1152" s="72">
        <f t="shared" si="217"/>
        <v>421.5</v>
      </c>
      <c r="B1152" s="74">
        <f t="shared" si="218"/>
        <v>-15923.356347072702</v>
      </c>
      <c r="C1152" s="74">
        <f t="shared" si="219"/>
        <v>1511.8963135920699</v>
      </c>
      <c r="D1152" s="74">
        <f t="shared" si="220"/>
        <v>-10985.821588864595</v>
      </c>
      <c r="E1152" s="74">
        <f t="shared" si="221"/>
        <v>-7114.3658320162531</v>
      </c>
      <c r="F1152" s="74">
        <f t="shared" si="215"/>
        <v>391.20235597911818</v>
      </c>
      <c r="G1152" s="74">
        <f t="shared" si="216"/>
        <v>3238.7940389472333</v>
      </c>
      <c r="H1152" s="74">
        <f t="shared" si="222"/>
        <v>35923.356347072702</v>
      </c>
      <c r="I1152" s="74">
        <f t="shared" si="223"/>
        <v>18488.103686407929</v>
      </c>
      <c r="J1152" s="74">
        <f t="shared" si="224"/>
        <v>40401.701810173035</v>
      </c>
      <c r="K1152" s="74">
        <f t="shared" si="225"/>
        <v>-4076.6436529272978</v>
      </c>
      <c r="L1152" s="74">
        <f t="shared" si="226"/>
        <v>18488.103686407929</v>
      </c>
      <c r="M1152" s="74">
        <f t="shared" si="227"/>
        <v>18932.221248240337</v>
      </c>
      <c r="N1152" s="74">
        <f t="shared" si="228"/>
        <v>10923.356347072702</v>
      </c>
      <c r="O1152" s="74">
        <f t="shared" si="229"/>
        <v>-36511.896313592071</v>
      </c>
      <c r="P1152" s="74">
        <f t="shared" si="230"/>
        <v>38110.868348800868</v>
      </c>
    </row>
    <row r="1153" spans="1:16" x14ac:dyDescent="0.3">
      <c r="A1153" s="72">
        <f t="shared" si="217"/>
        <v>422</v>
      </c>
      <c r="B1153" s="74">
        <f t="shared" si="218"/>
        <v>-21318.466552510221</v>
      </c>
      <c r="C1153" s="74">
        <f t="shared" si="219"/>
        <v>-1235.5880926792483</v>
      </c>
      <c r="D1153" s="74">
        <f t="shared" si="220"/>
        <v>-10790.220410875036</v>
      </c>
      <c r="E1153" s="74">
        <f t="shared" si="221"/>
        <v>-5494.9688125426364</v>
      </c>
      <c r="F1153" s="74">
        <f t="shared" si="215"/>
        <v>1419.1746839588534</v>
      </c>
      <c r="G1153" s="74">
        <f t="shared" si="216"/>
        <v>2561.8200724665817</v>
      </c>
      <c r="H1153" s="74">
        <f t="shared" si="222"/>
        <v>41318.466552510217</v>
      </c>
      <c r="I1153" s="74">
        <f t="shared" si="223"/>
        <v>21235.588092679249</v>
      </c>
      <c r="J1153" s="74">
        <f t="shared" si="224"/>
        <v>46456.063973316188</v>
      </c>
      <c r="K1153" s="74">
        <f t="shared" si="225"/>
        <v>1318.4665525102209</v>
      </c>
      <c r="L1153" s="74">
        <f t="shared" si="226"/>
        <v>21235.588092679249</v>
      </c>
      <c r="M1153" s="74">
        <f t="shared" si="227"/>
        <v>21276.478930782436</v>
      </c>
      <c r="N1153" s="74">
        <f t="shared" si="228"/>
        <v>16318.466552510221</v>
      </c>
      <c r="O1153" s="74">
        <f t="shared" si="229"/>
        <v>-33764.411907320755</v>
      </c>
      <c r="P1153" s="74">
        <f t="shared" si="230"/>
        <v>37501.038146598272</v>
      </c>
    </row>
    <row r="1154" spans="1:16" x14ac:dyDescent="0.3">
      <c r="A1154" s="72">
        <f t="shared" si="217"/>
        <v>422.5</v>
      </c>
      <c r="B1154" s="74">
        <f t="shared" si="218"/>
        <v>-26358.783086958025</v>
      </c>
      <c r="C1154" s="74">
        <f t="shared" si="219"/>
        <v>-3342.617480833921</v>
      </c>
      <c r="D1154" s="74">
        <f t="shared" si="220"/>
        <v>-10080.63306889561</v>
      </c>
      <c r="E1154" s="74">
        <f t="shared" si="221"/>
        <v>-4214.0587763093454</v>
      </c>
      <c r="F1154" s="74">
        <f t="shared" si="215"/>
        <v>1899.7903330716224</v>
      </c>
      <c r="G1154" s="74">
        <f t="shared" si="216"/>
        <v>1875.3801184042734</v>
      </c>
      <c r="H1154" s="74">
        <f t="shared" si="222"/>
        <v>46358.783086958021</v>
      </c>
      <c r="I1154" s="74">
        <f t="shared" si="223"/>
        <v>23342.61748083392</v>
      </c>
      <c r="J1154" s="74">
        <f t="shared" si="224"/>
        <v>51903.897350393236</v>
      </c>
      <c r="K1154" s="74">
        <f t="shared" si="225"/>
        <v>6358.7830869580248</v>
      </c>
      <c r="L1154" s="74">
        <f t="shared" si="226"/>
        <v>23342.61748083392</v>
      </c>
      <c r="M1154" s="74">
        <f t="shared" si="227"/>
        <v>24193.220397531139</v>
      </c>
      <c r="N1154" s="74">
        <f t="shared" si="228"/>
        <v>21358.783086958025</v>
      </c>
      <c r="O1154" s="74">
        <f t="shared" si="229"/>
        <v>-31657.38251916608</v>
      </c>
      <c r="P1154" s="74">
        <f t="shared" si="230"/>
        <v>38188.8397692379</v>
      </c>
    </row>
    <row r="1155" spans="1:16" x14ac:dyDescent="0.3">
      <c r="A1155" s="72">
        <f t="shared" si="217"/>
        <v>423</v>
      </c>
      <c r="B1155" s="74">
        <f t="shared" si="218"/>
        <v>-30924.152038137923</v>
      </c>
      <c r="C1155" s="74">
        <f t="shared" si="219"/>
        <v>-4980.8018393875245</v>
      </c>
      <c r="D1155" s="74">
        <f t="shared" si="220"/>
        <v>-9130.7379023597987</v>
      </c>
      <c r="E1155" s="74">
        <f t="shared" si="221"/>
        <v>-3276.3687171072088</v>
      </c>
      <c r="F1155" s="74">
        <f t="shared" si="215"/>
        <v>2030.697034601013</v>
      </c>
      <c r="G1155" s="74">
        <f t="shared" si="216"/>
        <v>1381.4965785144973</v>
      </c>
      <c r="H1155" s="74">
        <f t="shared" si="222"/>
        <v>50924.152038137923</v>
      </c>
      <c r="I1155" s="74">
        <f t="shared" si="223"/>
        <v>24980.801839387525</v>
      </c>
      <c r="J1155" s="74">
        <f t="shared" si="224"/>
        <v>56721.333917161479</v>
      </c>
      <c r="K1155" s="74">
        <f t="shared" si="225"/>
        <v>10924.152038137923</v>
      </c>
      <c r="L1155" s="74">
        <f t="shared" si="226"/>
        <v>24980.801839387525</v>
      </c>
      <c r="M1155" s="74">
        <f t="shared" si="227"/>
        <v>27264.95109643698</v>
      </c>
      <c r="N1155" s="74">
        <f t="shared" si="228"/>
        <v>25924.152038137923</v>
      </c>
      <c r="O1155" s="74">
        <f t="shared" si="229"/>
        <v>-30019.198160612475</v>
      </c>
      <c r="P1155" s="74">
        <f t="shared" si="230"/>
        <v>39663.760753395662</v>
      </c>
    </row>
    <row r="1156" spans="1:16" x14ac:dyDescent="0.3">
      <c r="A1156" s="72">
        <f t="shared" si="217"/>
        <v>423.5</v>
      </c>
      <c r="B1156" s="74">
        <f t="shared" si="218"/>
        <v>-34981.846730667574</v>
      </c>
      <c r="C1156" s="74">
        <f t="shared" si="219"/>
        <v>-6273.6120533125049</v>
      </c>
      <c r="D1156" s="74">
        <f t="shared" si="220"/>
        <v>-8115.3893850592922</v>
      </c>
      <c r="E1156" s="74">
        <f t="shared" si="221"/>
        <v>-2585.6204278499599</v>
      </c>
      <c r="F1156" s="74">
        <f t="shared" si="215"/>
        <v>2000.092094206195</v>
      </c>
      <c r="G1156" s="74">
        <f t="shared" si="216"/>
        <v>1059.3243996975673</v>
      </c>
      <c r="H1156" s="74">
        <f t="shared" si="222"/>
        <v>54981.846730667574</v>
      </c>
      <c r="I1156" s="74">
        <f t="shared" si="223"/>
        <v>26273.612053312507</v>
      </c>
      <c r="J1156" s="74">
        <f t="shared" si="224"/>
        <v>60936.903106759441</v>
      </c>
      <c r="K1156" s="74">
        <f t="shared" si="225"/>
        <v>14981.846730667574</v>
      </c>
      <c r="L1156" s="74">
        <f t="shared" si="226"/>
        <v>26273.612053312507</v>
      </c>
      <c r="M1156" s="74">
        <f t="shared" si="227"/>
        <v>30244.973496255257</v>
      </c>
      <c r="N1156" s="74">
        <f t="shared" si="228"/>
        <v>29981.846730667574</v>
      </c>
      <c r="O1156" s="74">
        <f t="shared" si="229"/>
        <v>-28726.387946687493</v>
      </c>
      <c r="P1156" s="74">
        <f t="shared" si="230"/>
        <v>41522.48183628761</v>
      </c>
    </row>
    <row r="1157" spans="1:16" x14ac:dyDescent="0.3">
      <c r="A1157" s="72">
        <f t="shared" si="217"/>
        <v>424</v>
      </c>
      <c r="B1157" s="74">
        <f t="shared" si="218"/>
        <v>-38539.518399645669</v>
      </c>
      <c r="C1157" s="74">
        <f t="shared" si="219"/>
        <v>-7301.5911673130931</v>
      </c>
      <c r="D1157" s="74">
        <f t="shared" si="220"/>
        <v>-7115.3433379561948</v>
      </c>
      <c r="E1157" s="74">
        <f t="shared" si="221"/>
        <v>-2055.9582280011764</v>
      </c>
      <c r="F1157" s="74">
        <f t="shared" si="215"/>
        <v>1910.6112736074288</v>
      </c>
      <c r="G1157" s="74">
        <f t="shared" si="216"/>
        <v>850.99331771179561</v>
      </c>
      <c r="H1157" s="74">
        <f t="shared" si="222"/>
        <v>58539.518399645669</v>
      </c>
      <c r="I1157" s="74">
        <f t="shared" si="223"/>
        <v>27301.591167313094</v>
      </c>
      <c r="J1157" s="74">
        <f t="shared" si="224"/>
        <v>64592.972487179766</v>
      </c>
      <c r="K1157" s="74">
        <f t="shared" si="225"/>
        <v>18539.518399645669</v>
      </c>
      <c r="L1157" s="74">
        <f t="shared" si="226"/>
        <v>27301.591167313094</v>
      </c>
      <c r="M1157" s="74">
        <f t="shared" si="227"/>
        <v>33001.373043525149</v>
      </c>
      <c r="N1157" s="74">
        <f t="shared" si="228"/>
        <v>33539.518399645669</v>
      </c>
      <c r="O1157" s="74">
        <f t="shared" si="229"/>
        <v>-27698.408832686906</v>
      </c>
      <c r="P1157" s="74">
        <f t="shared" si="230"/>
        <v>43498.289004773949</v>
      </c>
    </row>
    <row r="1158" spans="1:16" x14ac:dyDescent="0.3">
      <c r="A1158" s="72">
        <f t="shared" si="217"/>
        <v>424.5</v>
      </c>
      <c r="B1158" s="74">
        <f t="shared" si="218"/>
        <v>-41619.537250221903</v>
      </c>
      <c r="C1158" s="74">
        <f t="shared" si="219"/>
        <v>-8116.8219518857322</v>
      </c>
      <c r="D1158" s="74">
        <f t="shared" si="220"/>
        <v>-6160.0377011524806</v>
      </c>
      <c r="E1158" s="74">
        <f t="shared" si="221"/>
        <v>-1630.4615691452786</v>
      </c>
      <c r="F1158" s="74">
        <f t="shared" si="215"/>
        <v>1808.9788064192007</v>
      </c>
      <c r="G1158" s="74">
        <f t="shared" si="216"/>
        <v>713.20373283471736</v>
      </c>
      <c r="H1158" s="74">
        <f t="shared" si="222"/>
        <v>61619.537250221903</v>
      </c>
      <c r="I1158" s="74">
        <f t="shared" si="223"/>
        <v>28116.821951885733</v>
      </c>
      <c r="J1158" s="74">
        <f t="shared" si="224"/>
        <v>67731.256061035281</v>
      </c>
      <c r="K1158" s="74">
        <f t="shared" si="225"/>
        <v>21619.537250221903</v>
      </c>
      <c r="L1158" s="74">
        <f t="shared" si="226"/>
        <v>28116.821951885733</v>
      </c>
      <c r="M1158" s="74">
        <f t="shared" si="227"/>
        <v>35467.732766386071</v>
      </c>
      <c r="N1158" s="74">
        <f t="shared" si="228"/>
        <v>36619.537250221903</v>
      </c>
      <c r="O1158" s="74">
        <f t="shared" si="229"/>
        <v>-26883.178048114267</v>
      </c>
      <c r="P1158" s="74">
        <f t="shared" si="230"/>
        <v>45427.918402530864</v>
      </c>
    </row>
    <row r="1159" spans="1:16" x14ac:dyDescent="0.3">
      <c r="A1159" s="72">
        <f t="shared" si="217"/>
        <v>425</v>
      </c>
      <c r="B1159" s="74">
        <f t="shared" si="218"/>
        <v>-44247.311399193342</v>
      </c>
      <c r="C1159" s="74">
        <f t="shared" si="219"/>
        <v>-8753.7518032496937</v>
      </c>
      <c r="D1159" s="74">
        <f t="shared" si="220"/>
        <v>-5255.5482979428798</v>
      </c>
      <c r="E1159" s="74">
        <f t="shared" si="221"/>
        <v>-1273.85970272792</v>
      </c>
      <c r="F1159" s="74">
        <f t="shared" si="215"/>
        <v>1714.378218238558</v>
      </c>
      <c r="G1159" s="74">
        <f t="shared" si="216"/>
        <v>619.42621064226364</v>
      </c>
      <c r="H1159" s="74">
        <f t="shared" si="222"/>
        <v>64247.311399193342</v>
      </c>
      <c r="I1159" s="74">
        <f t="shared" si="223"/>
        <v>28753.751803249696</v>
      </c>
      <c r="J1159" s="74">
        <f t="shared" si="224"/>
        <v>70388.175603490425</v>
      </c>
      <c r="K1159" s="74">
        <f t="shared" si="225"/>
        <v>24247.311399193342</v>
      </c>
      <c r="L1159" s="74">
        <f t="shared" si="226"/>
        <v>28753.751803249696</v>
      </c>
      <c r="M1159" s="74">
        <f t="shared" si="227"/>
        <v>37612.635547809412</v>
      </c>
      <c r="N1159" s="74">
        <f t="shared" si="228"/>
        <v>39247.311399193342</v>
      </c>
      <c r="O1159" s="74">
        <f t="shared" si="229"/>
        <v>-26246.248196750304</v>
      </c>
      <c r="P1159" s="74">
        <f t="shared" si="230"/>
        <v>47214.584573738124</v>
      </c>
    </row>
    <row r="1160" spans="1:16" x14ac:dyDescent="0.3">
      <c r="A1160" s="72">
        <f t="shared" si="217"/>
        <v>425.5</v>
      </c>
      <c r="B1160" s="74">
        <f t="shared" si="218"/>
        <v>-46446.490993605141</v>
      </c>
      <c r="C1160" s="74">
        <f t="shared" si="219"/>
        <v>-9235.825101953089</v>
      </c>
      <c r="D1160" s="74">
        <f t="shared" si="220"/>
        <v>-4398.3591888236006</v>
      </c>
      <c r="E1160" s="74">
        <f t="shared" si="221"/>
        <v>-964.14659740678815</v>
      </c>
      <c r="F1160" s="74">
        <f t="shared" si="215"/>
        <v>1633.7361544637474</v>
      </c>
      <c r="G1160" s="74">
        <f t="shared" si="216"/>
        <v>554.10788815338901</v>
      </c>
      <c r="H1160" s="74">
        <f t="shared" si="222"/>
        <v>66446.490993605141</v>
      </c>
      <c r="I1160" s="74">
        <f t="shared" si="223"/>
        <v>29235.825101953087</v>
      </c>
      <c r="J1160" s="74">
        <f t="shared" si="224"/>
        <v>72593.867748972014</v>
      </c>
      <c r="K1160" s="74">
        <f t="shared" si="225"/>
        <v>26446.490993605141</v>
      </c>
      <c r="L1160" s="74">
        <f t="shared" si="226"/>
        <v>29235.825101953087</v>
      </c>
      <c r="M1160" s="74">
        <f t="shared" si="227"/>
        <v>39422.713697395666</v>
      </c>
      <c r="N1160" s="74">
        <f t="shared" si="228"/>
        <v>41446.490993605141</v>
      </c>
      <c r="O1160" s="74">
        <f t="shared" si="229"/>
        <v>-25764.174898046913</v>
      </c>
      <c r="P1160" s="74">
        <f t="shared" si="230"/>
        <v>48801.683617065333</v>
      </c>
    </row>
    <row r="1161" spans="1:16" x14ac:dyDescent="0.3">
      <c r="A1161" s="72">
        <f t="shared" si="217"/>
        <v>426</v>
      </c>
      <c r="B1161" s="74">
        <f t="shared" si="218"/>
        <v>-48237.236549401001</v>
      </c>
      <c r="C1161" s="74">
        <f t="shared" si="219"/>
        <v>-9579.3714286181348</v>
      </c>
      <c r="D1161" s="74">
        <f t="shared" si="220"/>
        <v>-3581.4911115917266</v>
      </c>
      <c r="E1161" s="74">
        <f t="shared" si="221"/>
        <v>-687.09265333009364</v>
      </c>
      <c r="F1161" s="74">
        <f t="shared" si="215"/>
        <v>1568.8578094866245</v>
      </c>
      <c r="G1161" s="74">
        <f t="shared" si="216"/>
        <v>508.09659645370613</v>
      </c>
      <c r="H1161" s="74">
        <f t="shared" si="222"/>
        <v>68237.236549401001</v>
      </c>
      <c r="I1161" s="74">
        <f t="shared" si="223"/>
        <v>29579.371428618135</v>
      </c>
      <c r="J1161" s="74">
        <f t="shared" si="224"/>
        <v>74372.438887070646</v>
      </c>
      <c r="K1161" s="74">
        <f t="shared" si="225"/>
        <v>28237.236549401001</v>
      </c>
      <c r="L1161" s="74">
        <f t="shared" si="226"/>
        <v>29579.371428618135</v>
      </c>
      <c r="M1161" s="74">
        <f t="shared" si="227"/>
        <v>40893.529342170732</v>
      </c>
      <c r="N1161" s="74">
        <f t="shared" si="228"/>
        <v>43237.236549401001</v>
      </c>
      <c r="O1161" s="74">
        <f t="shared" si="229"/>
        <v>-25420.628571381865</v>
      </c>
      <c r="P1161" s="74">
        <f t="shared" si="230"/>
        <v>50156.425125730544</v>
      </c>
    </row>
    <row r="1162" spans="1:16" x14ac:dyDescent="0.3">
      <c r="A1162" s="72">
        <f t="shared" si="217"/>
        <v>426.5</v>
      </c>
      <c r="B1162" s="74">
        <f t="shared" si="218"/>
        <v>-49635.767652825205</v>
      </c>
      <c r="C1162" s="74">
        <f t="shared" si="219"/>
        <v>-9795.8936061697568</v>
      </c>
      <c r="D1162" s="74">
        <f t="shared" si="220"/>
        <v>-2797.0622068484145</v>
      </c>
      <c r="E1162" s="74">
        <f t="shared" si="221"/>
        <v>-433.0443551032406</v>
      </c>
      <c r="F1162" s="74">
        <f t="shared" si="215"/>
        <v>1519.5966475055097</v>
      </c>
      <c r="G1162" s="74">
        <f t="shared" si="216"/>
        <v>475.92349100566457</v>
      </c>
      <c r="H1162" s="74">
        <f t="shared" si="222"/>
        <v>69635.767652825205</v>
      </c>
      <c r="I1162" s="74">
        <f t="shared" si="223"/>
        <v>29795.893606169757</v>
      </c>
      <c r="J1162" s="74">
        <f t="shared" si="224"/>
        <v>75742.560112452265</v>
      </c>
      <c r="K1162" s="74">
        <f t="shared" si="225"/>
        <v>29635.767652825205</v>
      </c>
      <c r="L1162" s="74">
        <f t="shared" si="226"/>
        <v>29795.893606169757</v>
      </c>
      <c r="M1162" s="74">
        <f t="shared" si="227"/>
        <v>42024.683225009903</v>
      </c>
      <c r="N1162" s="74">
        <f t="shared" si="228"/>
        <v>44635.767652825205</v>
      </c>
      <c r="O1162" s="74">
        <f t="shared" si="229"/>
        <v>-25204.106393830243</v>
      </c>
      <c r="P1162" s="74">
        <f t="shared" si="230"/>
        <v>51260.108593998426</v>
      </c>
    </row>
    <row r="1163" spans="1:16" x14ac:dyDescent="0.3">
      <c r="A1163" s="72">
        <f t="shared" si="217"/>
        <v>427</v>
      </c>
      <c r="B1163" s="74">
        <f t="shared" si="218"/>
        <v>-50654.399594373033</v>
      </c>
      <c r="C1163" s="74">
        <f t="shared" si="219"/>
        <v>-9893.4349109699615</v>
      </c>
      <c r="D1163" s="74">
        <f t="shared" si="220"/>
        <v>-2037.2638830956596</v>
      </c>
      <c r="E1163" s="74">
        <f t="shared" si="221"/>
        <v>-195.08260960040832</v>
      </c>
      <c r="F1163" s="74">
        <f t="shared" si="215"/>
        <v>1485.2336728331575</v>
      </c>
      <c r="G1163" s="74">
        <f t="shared" si="216"/>
        <v>454.30090233857368</v>
      </c>
      <c r="H1163" s="74">
        <f t="shared" si="222"/>
        <v>70654.399594373041</v>
      </c>
      <c r="I1163" s="74">
        <f t="shared" si="223"/>
        <v>29893.434910969961</v>
      </c>
      <c r="J1163" s="74">
        <f t="shared" si="224"/>
        <v>76718.065882930983</v>
      </c>
      <c r="K1163" s="74">
        <f t="shared" si="225"/>
        <v>30654.399594373033</v>
      </c>
      <c r="L1163" s="74">
        <f t="shared" si="226"/>
        <v>29893.434910969961</v>
      </c>
      <c r="M1163" s="74">
        <f t="shared" si="227"/>
        <v>42817.165544532429</v>
      </c>
      <c r="N1163" s="74">
        <f t="shared" si="228"/>
        <v>45654.399594373033</v>
      </c>
      <c r="O1163" s="74">
        <f t="shared" si="229"/>
        <v>-25106.565089030039</v>
      </c>
      <c r="P1163" s="74">
        <f t="shared" si="230"/>
        <v>52102.43576736495</v>
      </c>
    </row>
    <row r="1164" spans="1:16" x14ac:dyDescent="0.3">
      <c r="A1164" s="72">
        <f t="shared" si="217"/>
        <v>427.5</v>
      </c>
      <c r="B1164" s="74">
        <f t="shared" si="218"/>
        <v>-51301.723117712572</v>
      </c>
      <c r="C1164" s="74">
        <f t="shared" si="219"/>
        <v>-9877.4009901855225</v>
      </c>
      <c r="D1164" s="74">
        <f t="shared" si="220"/>
        <v>-1294.6470466790809</v>
      </c>
      <c r="E1164" s="74">
        <f t="shared" si="221"/>
        <v>32.067841568878521</v>
      </c>
      <c r="F1164" s="74">
        <f t="shared" si="215"/>
        <v>1465.070853997785</v>
      </c>
      <c r="G1164" s="74">
        <f t="shared" si="216"/>
        <v>441.30928185156148</v>
      </c>
      <c r="H1164" s="74">
        <f t="shared" si="222"/>
        <v>71301.723117712565</v>
      </c>
      <c r="I1164" s="74">
        <f t="shared" si="223"/>
        <v>29877.400990185524</v>
      </c>
      <c r="J1164" s="74">
        <f t="shared" si="224"/>
        <v>77308.439445401338</v>
      </c>
      <c r="K1164" s="74">
        <f t="shared" si="225"/>
        <v>31301.723117712572</v>
      </c>
      <c r="L1164" s="74">
        <f t="shared" si="226"/>
        <v>29877.400990185524</v>
      </c>
      <c r="M1164" s="74">
        <f t="shared" si="227"/>
        <v>43271.895729980228</v>
      </c>
      <c r="N1164" s="74">
        <f t="shared" si="228"/>
        <v>46301.723117712572</v>
      </c>
      <c r="O1164" s="74">
        <f t="shared" si="229"/>
        <v>-25122.599009814476</v>
      </c>
      <c r="P1164" s="74">
        <f t="shared" si="230"/>
        <v>52678.216984606166</v>
      </c>
    </row>
    <row r="1165" spans="1:16" x14ac:dyDescent="0.3">
      <c r="A1165" s="72">
        <f t="shared" si="217"/>
        <v>428</v>
      </c>
      <c r="B1165" s="74">
        <f t="shared" si="218"/>
        <v>-51582.778927552667</v>
      </c>
      <c r="C1165" s="74">
        <f t="shared" si="219"/>
        <v>-9751.039748938194</v>
      </c>
      <c r="D1165" s="74">
        <f t="shared" si="220"/>
        <v>-562.11161968018837</v>
      </c>
      <c r="E1165" s="74">
        <f t="shared" si="221"/>
        <v>252.72248249465926</v>
      </c>
      <c r="F1165" s="74">
        <f t="shared" si="215"/>
        <v>1458.687022681582</v>
      </c>
      <c r="G1165" s="74">
        <f t="shared" si="216"/>
        <v>435.97075483369287</v>
      </c>
      <c r="H1165" s="74">
        <f t="shared" si="222"/>
        <v>71582.778927552659</v>
      </c>
      <c r="I1165" s="74">
        <f t="shared" si="223"/>
        <v>29751.039748938194</v>
      </c>
      <c r="J1165" s="74">
        <f t="shared" si="224"/>
        <v>77519.149925252525</v>
      </c>
      <c r="K1165" s="74">
        <f t="shared" si="225"/>
        <v>31582.778927552667</v>
      </c>
      <c r="L1165" s="74">
        <f t="shared" si="226"/>
        <v>29751.039748938194</v>
      </c>
      <c r="M1165" s="74">
        <f t="shared" si="227"/>
        <v>43388.895940431175</v>
      </c>
      <c r="N1165" s="74">
        <f t="shared" si="228"/>
        <v>46582.778927552667</v>
      </c>
      <c r="O1165" s="74">
        <f t="shared" si="229"/>
        <v>-25248.960251061806</v>
      </c>
      <c r="P1165" s="74">
        <f t="shared" si="230"/>
        <v>52985.519591421806</v>
      </c>
    </row>
    <row r="1166" spans="1:16" x14ac:dyDescent="0.3">
      <c r="A1166" s="72">
        <f t="shared" si="217"/>
        <v>428.5</v>
      </c>
      <c r="B1166" s="74">
        <f t="shared" si="218"/>
        <v>-51499.162981722366</v>
      </c>
      <c r="C1166" s="74">
        <f t="shared" si="219"/>
        <v>-9515.6858189824397</v>
      </c>
      <c r="D1166" s="74">
        <f t="shared" si="220"/>
        <v>167.23189166060263</v>
      </c>
      <c r="E1166" s="74">
        <f t="shared" si="221"/>
        <v>470.70785991150569</v>
      </c>
      <c r="F1166" s="74">
        <f t="shared" si="215"/>
        <v>1466.0554702091456</v>
      </c>
      <c r="G1166" s="74">
        <f t="shared" si="216"/>
        <v>438.05501493907639</v>
      </c>
      <c r="H1166" s="74">
        <f t="shared" si="222"/>
        <v>71499.162981722358</v>
      </c>
      <c r="I1166" s="74">
        <f t="shared" si="223"/>
        <v>29515.685818982442</v>
      </c>
      <c r="J1166" s="74">
        <f t="shared" si="224"/>
        <v>77351.832663821086</v>
      </c>
      <c r="K1166" s="74">
        <f t="shared" si="225"/>
        <v>31499.162981722366</v>
      </c>
      <c r="L1166" s="74">
        <f t="shared" si="226"/>
        <v>29515.685818982442</v>
      </c>
      <c r="M1166" s="74">
        <f t="shared" si="227"/>
        <v>43166.804119763023</v>
      </c>
      <c r="N1166" s="74">
        <f t="shared" si="228"/>
        <v>46499.162981722366</v>
      </c>
      <c r="O1166" s="74">
        <f t="shared" si="229"/>
        <v>-25484.314181017558</v>
      </c>
      <c r="P1166" s="74">
        <f t="shared" si="230"/>
        <v>53024.734108504425</v>
      </c>
    </row>
    <row r="1167" spans="1:16" x14ac:dyDescent="0.3">
      <c r="A1167" s="72">
        <f t="shared" si="217"/>
        <v>429</v>
      </c>
      <c r="B1167" s="74">
        <f t="shared" si="218"/>
        <v>-51049.033168339782</v>
      </c>
      <c r="C1167" s="74">
        <f t="shared" si="219"/>
        <v>-9170.8181352919182</v>
      </c>
      <c r="D1167" s="74">
        <f t="shared" si="220"/>
        <v>900.25962676517543</v>
      </c>
      <c r="E1167" s="74">
        <f t="shared" si="221"/>
        <v>689.73536738104394</v>
      </c>
      <c r="F1167" s="74">
        <f t="shared" si="215"/>
        <v>1487.6121527671316</v>
      </c>
      <c r="G1167" s="74">
        <f t="shared" si="216"/>
        <v>448.05131450516859</v>
      </c>
      <c r="H1167" s="74">
        <f t="shared" si="222"/>
        <v>71049.033168339782</v>
      </c>
      <c r="I1167" s="74">
        <f t="shared" si="223"/>
        <v>29170.81813529192</v>
      </c>
      <c r="J1167" s="74">
        <f t="shared" si="224"/>
        <v>76804.308113790874</v>
      </c>
      <c r="K1167" s="74">
        <f t="shared" si="225"/>
        <v>31049.033168339782</v>
      </c>
      <c r="L1167" s="74">
        <f t="shared" si="226"/>
        <v>29170.81813529192</v>
      </c>
      <c r="M1167" s="74">
        <f t="shared" si="227"/>
        <v>42602.571417356252</v>
      </c>
      <c r="N1167" s="74">
        <f t="shared" si="228"/>
        <v>46049.033168339782</v>
      </c>
      <c r="O1167" s="74">
        <f t="shared" si="229"/>
        <v>-25829.18186470808</v>
      </c>
      <c r="P1167" s="74">
        <f t="shared" si="230"/>
        <v>52798.296293905376</v>
      </c>
    </row>
    <row r="1168" spans="1:16" x14ac:dyDescent="0.3">
      <c r="A1168" s="72">
        <f t="shared" si="217"/>
        <v>429.5</v>
      </c>
      <c r="B1168" s="74">
        <f t="shared" si="218"/>
        <v>-50227.000316765407</v>
      </c>
      <c r="C1168" s="74">
        <f t="shared" si="219"/>
        <v>-8713.9376229751051</v>
      </c>
      <c r="D1168" s="74">
        <f t="shared" si="220"/>
        <v>1644.0657031487412</v>
      </c>
      <c r="E1168" s="74">
        <f t="shared" si="221"/>
        <v>913.76102463362827</v>
      </c>
      <c r="F1168" s="74">
        <f t="shared" si="215"/>
        <v>1524.3130614032182</v>
      </c>
      <c r="G1168" s="74">
        <f t="shared" si="216"/>
        <v>467.30025579470788</v>
      </c>
      <c r="H1168" s="74">
        <f t="shared" si="222"/>
        <v>70227.000316765407</v>
      </c>
      <c r="I1168" s="74">
        <f t="shared" si="223"/>
        <v>28713.937622975107</v>
      </c>
      <c r="J1168" s="74">
        <f t="shared" si="224"/>
        <v>75870.427620431088</v>
      </c>
      <c r="K1168" s="74">
        <f t="shared" si="225"/>
        <v>30227.000316765407</v>
      </c>
      <c r="L1168" s="74">
        <f t="shared" si="226"/>
        <v>28713.937622975107</v>
      </c>
      <c r="M1168" s="74">
        <f t="shared" si="227"/>
        <v>41691.26721467988</v>
      </c>
      <c r="N1168" s="74">
        <f t="shared" si="228"/>
        <v>45227.000316765407</v>
      </c>
      <c r="O1168" s="74">
        <f t="shared" si="229"/>
        <v>-26286.062377024893</v>
      </c>
      <c r="P1168" s="74">
        <f t="shared" si="230"/>
        <v>52310.980041875926</v>
      </c>
    </row>
    <row r="1169" spans="1:16" x14ac:dyDescent="0.3">
      <c r="A1169" s="72">
        <f t="shared" si="217"/>
        <v>430</v>
      </c>
      <c r="B1169" s="74">
        <f t="shared" si="218"/>
        <v>-49023.889199840232</v>
      </c>
      <c r="C1169" s="74">
        <f t="shared" si="219"/>
        <v>-8140.2320467096133</v>
      </c>
      <c r="D1169" s="74">
        <f t="shared" si="220"/>
        <v>2406.2222338503502</v>
      </c>
      <c r="E1169" s="74">
        <f t="shared" si="221"/>
        <v>1147.4111525309822</v>
      </c>
      <c r="F1169" s="74">
        <f t="shared" si="215"/>
        <v>1577.691936743603</v>
      </c>
      <c r="G1169" s="74">
        <f t="shared" si="216"/>
        <v>498.33830055401762</v>
      </c>
      <c r="H1169" s="74">
        <f t="shared" si="222"/>
        <v>69023.889199840225</v>
      </c>
      <c r="I1169" s="74">
        <f t="shared" si="223"/>
        <v>28140.232046709614</v>
      </c>
      <c r="J1169" s="74">
        <f t="shared" si="224"/>
        <v>74539.720551625913</v>
      </c>
      <c r="K1169" s="74">
        <f t="shared" si="225"/>
        <v>29023.889199840232</v>
      </c>
      <c r="L1169" s="74">
        <f t="shared" si="226"/>
        <v>28140.232046709614</v>
      </c>
      <c r="M1169" s="74">
        <f t="shared" si="227"/>
        <v>40425.966951048496</v>
      </c>
      <c r="N1169" s="74">
        <f t="shared" si="228"/>
        <v>44023.889199840232</v>
      </c>
      <c r="O1169" s="74">
        <f t="shared" si="229"/>
        <v>-26859.767953290386</v>
      </c>
      <c r="P1169" s="74">
        <f t="shared" si="230"/>
        <v>51570.824647124027</v>
      </c>
    </row>
    <row r="1170" spans="1:16" x14ac:dyDescent="0.3">
      <c r="A1170" s="72">
        <f t="shared" si="217"/>
        <v>430.5</v>
      </c>
      <c r="B1170" s="74">
        <f t="shared" si="218"/>
        <v>-47426.35509872916</v>
      </c>
      <c r="C1170" s="74">
        <f t="shared" si="219"/>
        <v>-7441.9418953056183</v>
      </c>
      <c r="D1170" s="74">
        <f t="shared" si="220"/>
        <v>3195.0682022221517</v>
      </c>
      <c r="E1170" s="74">
        <f t="shared" si="221"/>
        <v>1396.5803028079911</v>
      </c>
      <c r="F1170" s="74">
        <f t="shared" si="215"/>
        <v>1649.90298063724</v>
      </c>
      <c r="G1170" s="74">
        <f t="shared" si="216"/>
        <v>545.59712329722174</v>
      </c>
      <c r="H1170" s="74">
        <f t="shared" si="222"/>
        <v>67426.355098729167</v>
      </c>
      <c r="I1170" s="74">
        <f t="shared" si="223"/>
        <v>27441.941895305619</v>
      </c>
      <c r="J1170" s="74">
        <f t="shared" si="224"/>
        <v>72796.796199319448</v>
      </c>
      <c r="K1170" s="74">
        <f t="shared" si="225"/>
        <v>27426.35509872916</v>
      </c>
      <c r="L1170" s="74">
        <f t="shared" si="226"/>
        <v>27441.941895305619</v>
      </c>
      <c r="M1170" s="74">
        <f t="shared" si="227"/>
        <v>38797.746442118478</v>
      </c>
      <c r="N1170" s="74">
        <f t="shared" si="228"/>
        <v>42426.35509872916</v>
      </c>
      <c r="O1170" s="74">
        <f t="shared" si="229"/>
        <v>-27558.058104694381</v>
      </c>
      <c r="P1170" s="74">
        <f t="shared" si="230"/>
        <v>50590.92975489948</v>
      </c>
    </row>
    <row r="1171" spans="1:16" x14ac:dyDescent="0.3">
      <c r="A1171" s="72">
        <f t="shared" si="217"/>
        <v>431</v>
      </c>
      <c r="B1171" s="74">
        <f t="shared" si="218"/>
        <v>-45416.34525245877</v>
      </c>
      <c r="C1171" s="74">
        <f t="shared" si="219"/>
        <v>-6607.2524630773169</v>
      </c>
      <c r="D1171" s="74">
        <f t="shared" si="220"/>
        <v>4020.0196925407718</v>
      </c>
      <c r="E1171" s="74">
        <f t="shared" si="221"/>
        <v>1669.3788644566021</v>
      </c>
      <c r="F1171" s="74">
        <f t="shared" si="215"/>
        <v>1743.680794422517</v>
      </c>
      <c r="G1171" s="74">
        <f t="shared" si="216"/>
        <v>616.77220789384046</v>
      </c>
      <c r="H1171" s="74">
        <f t="shared" si="222"/>
        <v>65416.34525245877</v>
      </c>
      <c r="I1171" s="74">
        <f t="shared" si="223"/>
        <v>26607.252463077319</v>
      </c>
      <c r="J1171" s="74">
        <f t="shared" si="224"/>
        <v>70620.422753073479</v>
      </c>
      <c r="K1171" s="74">
        <f t="shared" si="225"/>
        <v>25416.34525245877</v>
      </c>
      <c r="L1171" s="74">
        <f t="shared" si="226"/>
        <v>26607.252463077319</v>
      </c>
      <c r="M1171" s="74">
        <f t="shared" si="227"/>
        <v>36795.875986666186</v>
      </c>
      <c r="N1171" s="74">
        <f t="shared" si="228"/>
        <v>40416.34525245877</v>
      </c>
      <c r="O1171" s="74">
        <f t="shared" si="229"/>
        <v>-28392.747536922681</v>
      </c>
      <c r="P1171" s="74">
        <f t="shared" si="230"/>
        <v>49392.601432414711</v>
      </c>
    </row>
    <row r="1172" spans="1:16" x14ac:dyDescent="0.3">
      <c r="A1172" s="72">
        <f t="shared" si="217"/>
        <v>431.5</v>
      </c>
      <c r="B1172" s="74">
        <f t="shared" si="218"/>
        <v>-42970.415207582759</v>
      </c>
      <c r="C1172" s="74">
        <f t="shared" si="219"/>
        <v>-5618.3699788755566</v>
      </c>
      <c r="D1172" s="74">
        <f t="shared" si="220"/>
        <v>4891.86008975203</v>
      </c>
      <c r="E1172" s="74">
        <f t="shared" si="221"/>
        <v>1977.7649684035223</v>
      </c>
      <c r="F1172" s="74">
        <f t="shared" si="215"/>
        <v>1862.0076610615172</v>
      </c>
      <c r="G1172" s="74">
        <f t="shared" si="216"/>
        <v>725.54448607114296</v>
      </c>
      <c r="H1172" s="74">
        <f t="shared" si="222"/>
        <v>62970.415207582759</v>
      </c>
      <c r="I1172" s="74">
        <f t="shared" si="223"/>
        <v>25618.369978875555</v>
      </c>
      <c r="J1172" s="74">
        <f t="shared" si="224"/>
        <v>67982.159952372225</v>
      </c>
      <c r="K1172" s="74">
        <f t="shared" si="225"/>
        <v>22970.415207582759</v>
      </c>
      <c r="L1172" s="74">
        <f t="shared" si="226"/>
        <v>25618.369978875555</v>
      </c>
      <c r="M1172" s="74">
        <f t="shared" si="227"/>
        <v>34408.44162677673</v>
      </c>
      <c r="N1172" s="74">
        <f t="shared" si="228"/>
        <v>37970.415207582759</v>
      </c>
      <c r="O1172" s="74">
        <f t="shared" si="229"/>
        <v>-29381.630021124445</v>
      </c>
      <c r="P1172" s="74">
        <f t="shared" si="230"/>
        <v>48010.75518812918</v>
      </c>
    </row>
    <row r="1173" spans="1:16" x14ac:dyDescent="0.3">
      <c r="A1173" s="72">
        <f t="shared" si="217"/>
        <v>432</v>
      </c>
      <c r="B1173" s="74">
        <f t="shared" si="218"/>
        <v>-40058.983247441363</v>
      </c>
      <c r="C1173" s="74">
        <f t="shared" si="219"/>
        <v>-4448.1013731560097</v>
      </c>
      <c r="D1173" s="74">
        <f t="shared" si="220"/>
        <v>5822.863920282789</v>
      </c>
      <c r="E1173" s="74">
        <f t="shared" si="221"/>
        <v>2340.5372114390939</v>
      </c>
      <c r="F1173" s="74">
        <f t="shared" si="215"/>
        <v>2006.8448321840419</v>
      </c>
      <c r="G1173" s="74">
        <f t="shared" si="216"/>
        <v>897.1629658414347</v>
      </c>
      <c r="H1173" s="74">
        <f t="shared" si="222"/>
        <v>60058.983247441363</v>
      </c>
      <c r="I1173" s="74">
        <f t="shared" si="223"/>
        <v>24448.101373156009</v>
      </c>
      <c r="J1173" s="74">
        <f t="shared" si="224"/>
        <v>64844.360814711981</v>
      </c>
      <c r="K1173" s="74">
        <f t="shared" si="225"/>
        <v>20058.983247441363</v>
      </c>
      <c r="L1173" s="74">
        <f t="shared" si="226"/>
        <v>24448.101373156009</v>
      </c>
      <c r="M1173" s="74">
        <f t="shared" si="227"/>
        <v>31623.922427068501</v>
      </c>
      <c r="N1173" s="74">
        <f t="shared" si="228"/>
        <v>35058.983247441363</v>
      </c>
      <c r="O1173" s="74">
        <f t="shared" si="229"/>
        <v>-30551.898626843991</v>
      </c>
      <c r="P1173" s="74">
        <f t="shared" si="230"/>
        <v>46503.234468683208</v>
      </c>
    </row>
    <row r="1174" spans="1:16" x14ac:dyDescent="0.3">
      <c r="A1174" s="72">
        <f t="shared" si="217"/>
        <v>432.5</v>
      </c>
      <c r="B1174" s="74">
        <f t="shared" si="218"/>
        <v>-36645.840079253954</v>
      </c>
      <c r="C1174" s="74">
        <f t="shared" si="219"/>
        <v>-3053.542025976104</v>
      </c>
      <c r="D1174" s="74">
        <f t="shared" si="220"/>
        <v>6826.2863363748102</v>
      </c>
      <c r="E1174" s="74">
        <f t="shared" si="221"/>
        <v>2789.1186943598113</v>
      </c>
      <c r="F1174" s="74">
        <f t="shared" si="215"/>
        <v>2174.8292622769586</v>
      </c>
      <c r="G1174" s="74">
        <f t="shared" si="216"/>
        <v>1180.2111024598739</v>
      </c>
      <c r="H1174" s="74">
        <f t="shared" si="222"/>
        <v>56645.840079253954</v>
      </c>
      <c r="I1174" s="74">
        <f t="shared" si="223"/>
        <v>23053.542025976105</v>
      </c>
      <c r="J1174" s="74">
        <f t="shared" si="224"/>
        <v>61157.313530172825</v>
      </c>
      <c r="K1174" s="74">
        <f t="shared" si="225"/>
        <v>16645.840079253954</v>
      </c>
      <c r="L1174" s="74">
        <f t="shared" si="226"/>
        <v>23053.542025976105</v>
      </c>
      <c r="M1174" s="74">
        <f t="shared" si="227"/>
        <v>28435.009968128088</v>
      </c>
      <c r="N1174" s="74">
        <f t="shared" si="228"/>
        <v>31645.840079253954</v>
      </c>
      <c r="O1174" s="74">
        <f t="shared" si="229"/>
        <v>-31946.457974023895</v>
      </c>
      <c r="P1174" s="74">
        <f t="shared" si="230"/>
        <v>44967.047617202879</v>
      </c>
    </row>
    <row r="1175" spans="1:16" x14ac:dyDescent="0.3">
      <c r="A1175" s="72">
        <f t="shared" si="217"/>
        <v>433</v>
      </c>
      <c r="B1175" s="74">
        <f t="shared" si="218"/>
        <v>-32688.989595497311</v>
      </c>
      <c r="C1175" s="74">
        <f t="shared" si="219"/>
        <v>-1363.9299031812297</v>
      </c>
      <c r="D1175" s="74">
        <f t="shared" si="220"/>
        <v>7913.7009675132895</v>
      </c>
      <c r="E1175" s="74">
        <f t="shared" si="221"/>
        <v>3379.2242455897485</v>
      </c>
      <c r="F1175" s="74">
        <f t="shared" si="215"/>
        <v>2342.4157272749676</v>
      </c>
      <c r="G1175" s="74">
        <f t="shared" si="216"/>
        <v>1671.2852064761651</v>
      </c>
      <c r="H1175" s="74">
        <f t="shared" si="222"/>
        <v>52688.989595497311</v>
      </c>
      <c r="I1175" s="74">
        <f t="shared" si="223"/>
        <v>21363.92990318123</v>
      </c>
      <c r="J1175" s="74">
        <f t="shared" si="224"/>
        <v>56855.493362580761</v>
      </c>
      <c r="K1175" s="74">
        <f t="shared" si="225"/>
        <v>12688.989595497311</v>
      </c>
      <c r="L1175" s="74">
        <f t="shared" si="226"/>
        <v>21363.92990318123</v>
      </c>
      <c r="M1175" s="74">
        <f t="shared" si="227"/>
        <v>24848.097670901894</v>
      </c>
      <c r="N1175" s="74">
        <f t="shared" si="228"/>
        <v>27688.989595497311</v>
      </c>
      <c r="O1175" s="74">
        <f t="shared" si="229"/>
        <v>-33636.070096818774</v>
      </c>
      <c r="P1175" s="74">
        <f t="shared" si="230"/>
        <v>43566.7918990791</v>
      </c>
    </row>
    <row r="1176" spans="1:16" x14ac:dyDescent="0.3">
      <c r="A1176" s="72">
        <f t="shared" si="217"/>
        <v>433.5</v>
      </c>
      <c r="B1176" s="74">
        <f t="shared" si="218"/>
        <v>-28146.535179921924</v>
      </c>
      <c r="C1176" s="74">
        <f t="shared" si="219"/>
        <v>743.50352123268578</v>
      </c>
      <c r="D1176" s="74">
        <f t="shared" si="220"/>
        <v>9084.908831150773</v>
      </c>
      <c r="E1176" s="74">
        <f t="shared" si="221"/>
        <v>4214.8668488278308</v>
      </c>
      <c r="F1176" s="74">
        <f t="shared" si="215"/>
        <v>2410.95890155899</v>
      </c>
      <c r="G1176" s="74">
        <f t="shared" si="216"/>
        <v>2559.899951293296</v>
      </c>
      <c r="H1176" s="74">
        <f t="shared" si="222"/>
        <v>48146.535179921921</v>
      </c>
      <c r="I1176" s="74">
        <f t="shared" si="223"/>
        <v>19256.496478767313</v>
      </c>
      <c r="J1176" s="74">
        <f t="shared" si="224"/>
        <v>51854.618950178745</v>
      </c>
      <c r="K1176" s="74">
        <f t="shared" si="225"/>
        <v>8146.5351799219243</v>
      </c>
      <c r="L1176" s="74">
        <f t="shared" si="226"/>
        <v>19256.496478767313</v>
      </c>
      <c r="M1176" s="74">
        <f t="shared" si="227"/>
        <v>20908.818524117603</v>
      </c>
      <c r="N1176" s="74">
        <f t="shared" si="228"/>
        <v>23146.535179921924</v>
      </c>
      <c r="O1176" s="74">
        <f t="shared" si="229"/>
        <v>-35743.503521232684</v>
      </c>
      <c r="P1176" s="74">
        <f t="shared" si="230"/>
        <v>42583.566487645636</v>
      </c>
    </row>
    <row r="1177" spans="1:16" x14ac:dyDescent="0.3">
      <c r="A1177" s="72">
        <f t="shared" si="217"/>
        <v>434</v>
      </c>
      <c r="B1177" s="74">
        <f t="shared" si="218"/>
        <v>-23001.341038956791</v>
      </c>
      <c r="C1177" s="74">
        <f t="shared" si="219"/>
        <v>3490.9119334699253</v>
      </c>
      <c r="D1177" s="74">
        <f t="shared" si="220"/>
        <v>10290.388281930267</v>
      </c>
      <c r="E1177" s="74">
        <f t="shared" si="221"/>
        <v>5494.8168244744793</v>
      </c>
      <c r="F1177" s="74">
        <f t="shared" si="215"/>
        <v>1997.8548972791255</v>
      </c>
      <c r="G1177" s="74">
        <f t="shared" si="216"/>
        <v>4139.2031311366718</v>
      </c>
      <c r="H1177" s="74">
        <f t="shared" si="222"/>
        <v>43001.341038956787</v>
      </c>
      <c r="I1177" s="74">
        <f t="shared" si="223"/>
        <v>16509.088066530076</v>
      </c>
      <c r="J1177" s="74">
        <f t="shared" si="224"/>
        <v>46061.538401763297</v>
      </c>
      <c r="K1177" s="74">
        <f t="shared" si="225"/>
        <v>3001.3410389567907</v>
      </c>
      <c r="L1177" s="74">
        <f t="shared" si="226"/>
        <v>16509.088066530076</v>
      </c>
      <c r="M1177" s="74">
        <f t="shared" si="227"/>
        <v>16779.691201585683</v>
      </c>
      <c r="N1177" s="74">
        <f t="shared" si="228"/>
        <v>18001.341038956791</v>
      </c>
      <c r="O1177" s="74">
        <f t="shared" si="229"/>
        <v>-38490.911933469928</v>
      </c>
      <c r="P1177" s="74">
        <f t="shared" si="230"/>
        <v>42492.335552084776</v>
      </c>
    </row>
    <row r="1178" spans="1:16" x14ac:dyDescent="0.3">
      <c r="A1178" s="72">
        <f t="shared" si="217"/>
        <v>434.5</v>
      </c>
      <c r="B1178" s="74">
        <f t="shared" si="218"/>
        <v>-17356.683173671874</v>
      </c>
      <c r="C1178" s="74">
        <f t="shared" si="219"/>
        <v>7273.1211284913334</v>
      </c>
      <c r="D1178" s="74">
        <f t="shared" si="220"/>
        <v>11289.31573056983</v>
      </c>
      <c r="E1178" s="74">
        <f t="shared" si="221"/>
        <v>7564.4183900428152</v>
      </c>
      <c r="F1178" s="74">
        <f t="shared" si="215"/>
        <v>-118.89025928163781</v>
      </c>
      <c r="G1178" s="74">
        <f t="shared" si="216"/>
        <v>6163.6215540580188</v>
      </c>
      <c r="H1178" s="74">
        <f t="shared" si="222"/>
        <v>37356.683173671874</v>
      </c>
      <c r="I1178" s="74">
        <f t="shared" si="223"/>
        <v>12726.878871508667</v>
      </c>
      <c r="J1178" s="74">
        <f t="shared" si="224"/>
        <v>39465.114006526739</v>
      </c>
      <c r="K1178" s="74">
        <f t="shared" si="225"/>
        <v>-2643.3168263281259</v>
      </c>
      <c r="L1178" s="74">
        <f t="shared" si="226"/>
        <v>12726.878871508667</v>
      </c>
      <c r="M1178" s="74">
        <f t="shared" si="227"/>
        <v>12998.483359777136</v>
      </c>
      <c r="N1178" s="74">
        <f t="shared" si="228"/>
        <v>12356.683173671874</v>
      </c>
      <c r="O1178" s="74">
        <f t="shared" si="229"/>
        <v>-42273.12112849133</v>
      </c>
      <c r="P1178" s="74">
        <f t="shared" si="230"/>
        <v>44042.0752122173</v>
      </c>
    </row>
    <row r="1179" spans="1:16" x14ac:dyDescent="0.3">
      <c r="A1179" s="72">
        <f t="shared" si="217"/>
        <v>435</v>
      </c>
      <c r="B1179" s="74">
        <f t="shared" si="218"/>
        <v>-11741.747873207369</v>
      </c>
      <c r="C1179" s="74">
        <f t="shared" si="219"/>
        <v>12596.235712027245</v>
      </c>
      <c r="D1179" s="74">
        <f t="shared" si="220"/>
        <v>11229.870600929011</v>
      </c>
      <c r="E1179" s="74">
        <f t="shared" si="221"/>
        <v>10646.229167071824</v>
      </c>
      <c r="F1179" s="74">
        <f t="shared" si="215"/>
        <v>-4477.4723428354309</v>
      </c>
      <c r="G1179" s="74">
        <f t="shared" si="216"/>
        <v>5070.4759634858219</v>
      </c>
      <c r="H1179" s="74">
        <f t="shared" si="222"/>
        <v>31741.747873207369</v>
      </c>
      <c r="I1179" s="74">
        <f t="shared" si="223"/>
        <v>7403.7642879727555</v>
      </c>
      <c r="J1179" s="74">
        <f t="shared" si="224"/>
        <v>32593.776763028327</v>
      </c>
      <c r="K1179" s="74">
        <f t="shared" si="225"/>
        <v>-8258.2521267926313</v>
      </c>
      <c r="L1179" s="74">
        <f t="shared" si="226"/>
        <v>7403.7642879727555</v>
      </c>
      <c r="M1179" s="74">
        <f t="shared" si="227"/>
        <v>11091.188115866385</v>
      </c>
      <c r="N1179" s="74">
        <f t="shared" si="228"/>
        <v>6741.7478732073687</v>
      </c>
      <c r="O1179" s="74">
        <f t="shared" si="229"/>
        <v>-47596.235712027243</v>
      </c>
      <c r="P1179" s="74">
        <f t="shared" si="230"/>
        <v>48071.330523928227</v>
      </c>
    </row>
    <row r="1180" spans="1:16" x14ac:dyDescent="0.3">
      <c r="A1180" s="72">
        <f t="shared" si="217"/>
        <v>435.5</v>
      </c>
      <c r="B1180" s="74">
        <f t="shared" si="218"/>
        <v>-7246.1806584517208</v>
      </c>
      <c r="C1180" s="74">
        <f t="shared" si="219"/>
        <v>19186.969286434611</v>
      </c>
      <c r="D1180" s="74">
        <f t="shared" si="220"/>
        <v>8991.1344295112958</v>
      </c>
      <c r="E1180" s="74">
        <f t="shared" si="221"/>
        <v>13181.467148814736</v>
      </c>
      <c r="F1180" s="74">
        <f t="shared" si="215"/>
        <v>-4772.1024379290957</v>
      </c>
      <c r="G1180" s="74">
        <f t="shared" si="216"/>
        <v>-78.305549116568784</v>
      </c>
      <c r="H1180" s="74">
        <f t="shared" si="222"/>
        <v>27246.180658451722</v>
      </c>
      <c r="I1180" s="74">
        <f t="shared" si="223"/>
        <v>813.03071356538931</v>
      </c>
      <c r="J1180" s="74">
        <f t="shared" si="224"/>
        <v>27258.308447410844</v>
      </c>
      <c r="K1180" s="74">
        <f t="shared" si="225"/>
        <v>-12753.819341548278</v>
      </c>
      <c r="L1180" s="74">
        <f t="shared" si="226"/>
        <v>813.03071356538931</v>
      </c>
      <c r="M1180" s="74">
        <f t="shared" si="227"/>
        <v>12779.707615514981</v>
      </c>
      <c r="N1180" s="74">
        <f t="shared" si="228"/>
        <v>2246.1806584517208</v>
      </c>
      <c r="O1180" s="74">
        <f t="shared" si="229"/>
        <v>-54186.969286434614</v>
      </c>
      <c r="P1180" s="74">
        <f t="shared" si="230"/>
        <v>54233.504109539252</v>
      </c>
    </row>
    <row r="1181" spans="1:16" x14ac:dyDescent="0.3">
      <c r="A1181" s="72">
        <f t="shared" si="217"/>
        <v>436</v>
      </c>
      <c r="B1181" s="74">
        <f t="shared" si="218"/>
        <v>-3943.6390531783468</v>
      </c>
      <c r="C1181" s="74">
        <f t="shared" si="219"/>
        <v>25758.126473562836</v>
      </c>
      <c r="D1181" s="74">
        <f t="shared" si="220"/>
        <v>6605.083210546748</v>
      </c>
      <c r="E1181" s="74">
        <f t="shared" si="221"/>
        <v>13142.314374256452</v>
      </c>
      <c r="F1181" s="74">
        <f t="shared" si="215"/>
        <v>-1913.521831604786</v>
      </c>
      <c r="G1181" s="74">
        <f t="shared" si="216"/>
        <v>-2636.9566859704714</v>
      </c>
      <c r="H1181" s="74">
        <f t="shared" si="222"/>
        <v>23943.639053178347</v>
      </c>
      <c r="I1181" s="74">
        <f t="shared" si="223"/>
        <v>-5758.1264735628356</v>
      </c>
      <c r="J1181" s="74">
        <f t="shared" si="224"/>
        <v>24626.284161327152</v>
      </c>
      <c r="K1181" s="74">
        <f t="shared" si="225"/>
        <v>-16056.360946821653</v>
      </c>
      <c r="L1181" s="74">
        <f t="shared" si="226"/>
        <v>-5758.1264735628356</v>
      </c>
      <c r="M1181" s="74">
        <f t="shared" si="227"/>
        <v>17057.630179487558</v>
      </c>
      <c r="N1181" s="74">
        <f t="shared" si="228"/>
        <v>-1056.3609468216532</v>
      </c>
      <c r="O1181" s="74">
        <f t="shared" si="229"/>
        <v>-60758.126473562836</v>
      </c>
      <c r="P1181" s="74">
        <f t="shared" si="230"/>
        <v>60767.30890065337</v>
      </c>
    </row>
    <row r="1182" spans="1:16" x14ac:dyDescent="0.3">
      <c r="A1182" s="72">
        <f t="shared" si="217"/>
        <v>436.5</v>
      </c>
      <c r="B1182" s="74">
        <f t="shared" si="218"/>
        <v>-1119.4779058061692</v>
      </c>
      <c r="C1182" s="74">
        <f t="shared" si="219"/>
        <v>31670.044489198444</v>
      </c>
      <c r="D1182" s="74">
        <f t="shared" si="220"/>
        <v>5648.3222947443546</v>
      </c>
      <c r="E1182" s="74">
        <f t="shared" si="221"/>
        <v>11823.836031271216</v>
      </c>
      <c r="F1182" s="74">
        <f t="shared" si="215"/>
        <v>-303.59613506364383</v>
      </c>
      <c r="G1182" s="74">
        <f t="shared" si="216"/>
        <v>-3270.0576371472057</v>
      </c>
      <c r="H1182" s="74">
        <f t="shared" si="222"/>
        <v>21119.477905806169</v>
      </c>
      <c r="I1182" s="74">
        <f t="shared" si="223"/>
        <v>-11670.044489198444</v>
      </c>
      <c r="J1182" s="74">
        <f t="shared" si="224"/>
        <v>24129.282736826346</v>
      </c>
      <c r="K1182" s="74">
        <f t="shared" si="225"/>
        <v>-18880.522094193831</v>
      </c>
      <c r="L1182" s="74">
        <f t="shared" si="226"/>
        <v>-11670.044489198444</v>
      </c>
      <c r="M1182" s="74">
        <f t="shared" si="227"/>
        <v>22196.036874388465</v>
      </c>
      <c r="N1182" s="74">
        <f t="shared" si="228"/>
        <v>-3880.5220941938305</v>
      </c>
      <c r="O1182" s="74">
        <f t="shared" si="229"/>
        <v>-66670.044489198452</v>
      </c>
      <c r="P1182" s="74">
        <f t="shared" si="230"/>
        <v>66782.881668248097</v>
      </c>
    </row>
    <row r="1183" spans="1:16" x14ac:dyDescent="0.3">
      <c r="A1183" s="72">
        <f t="shared" si="217"/>
        <v>437</v>
      </c>
      <c r="B1183" s="74">
        <f t="shared" si="218"/>
        <v>1628.7842078000972</v>
      </c>
      <c r="C1183" s="74">
        <f t="shared" si="219"/>
        <v>36764.448095547254</v>
      </c>
      <c r="D1183" s="74">
        <f t="shared" si="220"/>
        <v>5496.5242272125324</v>
      </c>
      <c r="E1183" s="74">
        <f t="shared" si="221"/>
        <v>10188.807212697613</v>
      </c>
      <c r="F1183" s="74">
        <f t="shared" si="215"/>
        <v>148.11730957354186</v>
      </c>
      <c r="G1183" s="74">
        <f t="shared" si="216"/>
        <v>-3320.2449148134747</v>
      </c>
      <c r="H1183" s="74">
        <f t="shared" si="222"/>
        <v>18371.215792199902</v>
      </c>
      <c r="I1183" s="74">
        <f t="shared" si="223"/>
        <v>-16764.448095547254</v>
      </c>
      <c r="J1183" s="74">
        <f t="shared" si="224"/>
        <v>24870.631066216898</v>
      </c>
      <c r="K1183" s="74">
        <f t="shared" si="225"/>
        <v>-21628.784207800098</v>
      </c>
      <c r="L1183" s="74">
        <f t="shared" si="226"/>
        <v>-16764.448095547254</v>
      </c>
      <c r="M1183" s="74">
        <f t="shared" si="227"/>
        <v>27365.142540390334</v>
      </c>
      <c r="N1183" s="74">
        <f t="shared" si="228"/>
        <v>-6628.7842078000976</v>
      </c>
      <c r="O1183" s="74">
        <f t="shared" si="229"/>
        <v>-71764.448095547254</v>
      </c>
      <c r="P1183" s="74">
        <f t="shared" si="230"/>
        <v>72069.943738926813</v>
      </c>
    </row>
    <row r="1184" spans="1:16" x14ac:dyDescent="0.3">
      <c r="A1184" s="72">
        <f t="shared" si="217"/>
        <v>437.5</v>
      </c>
      <c r="B1184" s="74">
        <f t="shared" si="218"/>
        <v>4414.0756487997496</v>
      </c>
      <c r="C1184" s="74">
        <f t="shared" si="219"/>
        <v>41028.790473192697</v>
      </c>
      <c r="D1184" s="74">
        <f t="shared" si="220"/>
        <v>5570.582881999303</v>
      </c>
      <c r="E1184" s="74">
        <f t="shared" si="221"/>
        <v>8528.6847552908766</v>
      </c>
      <c r="F1184" s="74">
        <f t="shared" si="215"/>
        <v>136.45401901603628</v>
      </c>
      <c r="G1184" s="74">
        <f t="shared" si="216"/>
        <v>-3161.7101744313736</v>
      </c>
      <c r="H1184" s="74">
        <f t="shared" si="222"/>
        <v>15585.92435120025</v>
      </c>
      <c r="I1184" s="74">
        <f t="shared" si="223"/>
        <v>-21028.790473192697</v>
      </c>
      <c r="J1184" s="74">
        <f t="shared" si="224"/>
        <v>26175.008436422268</v>
      </c>
      <c r="K1184" s="74">
        <f t="shared" si="225"/>
        <v>-24414.07564879975</v>
      </c>
      <c r="L1184" s="74">
        <f t="shared" si="226"/>
        <v>-21028.790473192697</v>
      </c>
      <c r="M1184" s="74">
        <f t="shared" si="227"/>
        <v>32221.997432666351</v>
      </c>
      <c r="N1184" s="74">
        <f t="shared" si="228"/>
        <v>-9414.0756487997496</v>
      </c>
      <c r="O1184" s="74">
        <f t="shared" si="229"/>
        <v>-76028.790473192697</v>
      </c>
      <c r="P1184" s="74">
        <f t="shared" si="230"/>
        <v>76609.410656511129</v>
      </c>
    </row>
    <row r="1185" spans="1:16" x14ac:dyDescent="0.3">
      <c r="A1185" s="72">
        <f t="shared" si="217"/>
        <v>438</v>
      </c>
      <c r="B1185" s="74">
        <f t="shared" si="218"/>
        <v>7233.4805945534108</v>
      </c>
      <c r="C1185" s="74">
        <f t="shared" si="219"/>
        <v>44502.705307230288</v>
      </c>
      <c r="D1185" s="74">
        <f t="shared" si="220"/>
        <v>5638.8098915073215</v>
      </c>
      <c r="E1185" s="74">
        <f t="shared" si="221"/>
        <v>6947.8296680751901</v>
      </c>
      <c r="F1185" s="74">
        <f t="shared" si="215"/>
        <v>5.2251128091711507E-2</v>
      </c>
      <c r="G1185" s="74">
        <f t="shared" si="216"/>
        <v>-2939.8802615541726</v>
      </c>
      <c r="H1185" s="74">
        <f t="shared" si="222"/>
        <v>12766.51940544659</v>
      </c>
      <c r="I1185" s="74">
        <f t="shared" si="223"/>
        <v>-24502.705307230288</v>
      </c>
      <c r="J1185" s="74">
        <f t="shared" si="224"/>
        <v>27629.089472919943</v>
      </c>
      <c r="K1185" s="74">
        <f t="shared" si="225"/>
        <v>-27233.48059455341</v>
      </c>
      <c r="L1185" s="74">
        <f t="shared" si="226"/>
        <v>-24502.705307230288</v>
      </c>
      <c r="M1185" s="74">
        <f t="shared" si="227"/>
        <v>36633.932803712029</v>
      </c>
      <c r="N1185" s="74">
        <f t="shared" si="228"/>
        <v>-12233.48059455341</v>
      </c>
      <c r="O1185" s="74">
        <f t="shared" si="229"/>
        <v>-79502.705307230295</v>
      </c>
      <c r="P1185" s="74">
        <f t="shared" si="230"/>
        <v>80438.412457144004</v>
      </c>
    </row>
    <row r="1186" spans="1:16" x14ac:dyDescent="0.3">
      <c r="A1186" s="72">
        <f t="shared" si="217"/>
        <v>438.5</v>
      </c>
      <c r="B1186" s="74">
        <f t="shared" si="218"/>
        <v>10052.898603089096</v>
      </c>
      <c r="C1186" s="74">
        <f t="shared" si="219"/>
        <v>47241.650075879341</v>
      </c>
      <c r="D1186" s="74">
        <f t="shared" si="220"/>
        <v>5638.8360170713677</v>
      </c>
      <c r="E1186" s="74">
        <f t="shared" si="221"/>
        <v>5477.8895372981042</v>
      </c>
      <c r="F1186" s="74">
        <f t="shared" si="215"/>
        <v>-147.65099870032154</v>
      </c>
      <c r="G1186" s="74">
        <f t="shared" si="216"/>
        <v>-2722.5809424477739</v>
      </c>
      <c r="H1186" s="74">
        <f t="shared" si="222"/>
        <v>9947.1013969109044</v>
      </c>
      <c r="I1186" s="74">
        <f t="shared" si="223"/>
        <v>-27241.650075879341</v>
      </c>
      <c r="J1186" s="74">
        <f t="shared" si="224"/>
        <v>29000.902142124542</v>
      </c>
      <c r="K1186" s="74">
        <f t="shared" si="225"/>
        <v>-30052.898603089096</v>
      </c>
      <c r="L1186" s="74">
        <f t="shared" si="226"/>
        <v>-27241.650075879341</v>
      </c>
      <c r="M1186" s="74">
        <f t="shared" si="227"/>
        <v>40562.103166677778</v>
      </c>
      <c r="N1186" s="74">
        <f t="shared" si="228"/>
        <v>-15052.898603089096</v>
      </c>
      <c r="O1186" s="74">
        <f t="shared" si="229"/>
        <v>-82241.650075879341</v>
      </c>
      <c r="P1186" s="74">
        <f t="shared" si="230"/>
        <v>83607.886969820407</v>
      </c>
    </row>
    <row r="1187" spans="1:16" x14ac:dyDescent="0.3">
      <c r="A1187" s="72">
        <f t="shared" si="217"/>
        <v>439</v>
      </c>
      <c r="B1187" s="74">
        <f t="shared" si="218"/>
        <v>12835.403861949699</v>
      </c>
      <c r="C1187" s="74">
        <f t="shared" si="219"/>
        <v>49299.949608916453</v>
      </c>
      <c r="D1187" s="74">
        <f t="shared" si="220"/>
        <v>5565.0105177212072</v>
      </c>
      <c r="E1187" s="74">
        <f t="shared" si="221"/>
        <v>4116.5990660742173</v>
      </c>
      <c r="F1187" s="74">
        <f t="shared" si="215"/>
        <v>-279.26942269126232</v>
      </c>
      <c r="G1187" s="74">
        <f t="shared" si="216"/>
        <v>-2536.5782791094839</v>
      </c>
      <c r="H1187" s="74">
        <f t="shared" si="222"/>
        <v>7164.5961380503013</v>
      </c>
      <c r="I1187" s="74">
        <f t="shared" si="223"/>
        <v>-29299.949608916453</v>
      </c>
      <c r="J1187" s="74">
        <f t="shared" si="224"/>
        <v>30163.197524573032</v>
      </c>
      <c r="K1187" s="74">
        <f t="shared" si="225"/>
        <v>-32835.403861949701</v>
      </c>
      <c r="L1187" s="74">
        <f t="shared" si="226"/>
        <v>-29299.949608916453</v>
      </c>
      <c r="M1187" s="74">
        <f t="shared" si="227"/>
        <v>44007.394763407487</v>
      </c>
      <c r="N1187" s="74">
        <f t="shared" si="228"/>
        <v>-17835.403861949701</v>
      </c>
      <c r="O1187" s="74">
        <f t="shared" si="229"/>
        <v>-84299.949608916446</v>
      </c>
      <c r="P1187" s="74">
        <f t="shared" si="230"/>
        <v>86166.02076796109</v>
      </c>
    </row>
    <row r="1188" spans="1:16" x14ac:dyDescent="0.3">
      <c r="A1188" s="72">
        <f t="shared" si="217"/>
        <v>439.5</v>
      </c>
      <c r="B1188" s="74">
        <f t="shared" si="218"/>
        <v>15548.091765137486</v>
      </c>
      <c r="C1188" s="74">
        <f t="shared" si="219"/>
        <v>50724.104572176191</v>
      </c>
      <c r="D1188" s="74">
        <f t="shared" si="220"/>
        <v>5425.3758063755758</v>
      </c>
      <c r="E1188" s="74">
        <f t="shared" si="221"/>
        <v>2848.3099265194751</v>
      </c>
      <c r="F1188" s="74">
        <f t="shared" si="215"/>
        <v>-394.13631454743069</v>
      </c>
      <c r="G1188" s="74">
        <f t="shared" si="216"/>
        <v>-2389.3868312027503</v>
      </c>
      <c r="H1188" s="74">
        <f t="shared" si="222"/>
        <v>4451.9082348625143</v>
      </c>
      <c r="I1188" s="74">
        <f t="shared" si="223"/>
        <v>-30724.104572176191</v>
      </c>
      <c r="J1188" s="74">
        <f t="shared" si="224"/>
        <v>31044.968814506075</v>
      </c>
      <c r="K1188" s="74">
        <f t="shared" si="225"/>
        <v>-35548.091765137484</v>
      </c>
      <c r="L1188" s="74">
        <f t="shared" si="226"/>
        <v>-30724.104572176191</v>
      </c>
      <c r="M1188" s="74">
        <f t="shared" si="227"/>
        <v>46985.50233747271</v>
      </c>
      <c r="N1188" s="74">
        <f t="shared" si="228"/>
        <v>-20548.091765137484</v>
      </c>
      <c r="O1188" s="74">
        <f t="shared" si="229"/>
        <v>-85724.104572176191</v>
      </c>
      <c r="P1188" s="74">
        <f t="shared" si="230"/>
        <v>88152.403143022195</v>
      </c>
    </row>
    <row r="1189" spans="1:16" x14ac:dyDescent="0.3">
      <c r="A1189" s="72">
        <f t="shared" si="217"/>
        <v>440</v>
      </c>
      <c r="B1189" s="74">
        <f t="shared" si="218"/>
        <v>18162.245589688417</v>
      </c>
      <c r="C1189" s="74">
        <f t="shared" si="219"/>
        <v>51550.912827635242</v>
      </c>
      <c r="D1189" s="74">
        <f t="shared" si="220"/>
        <v>5228.3076491018601</v>
      </c>
      <c r="E1189" s="74">
        <f t="shared" si="221"/>
        <v>1653.6165109180999</v>
      </c>
      <c r="F1189" s="74">
        <f t="shared" si="215"/>
        <v>-498.46044640016032</v>
      </c>
      <c r="G1189" s="74">
        <f t="shared" si="216"/>
        <v>-2281.1920626425203</v>
      </c>
      <c r="H1189" s="74">
        <f t="shared" si="222"/>
        <v>1837.7544103115833</v>
      </c>
      <c r="I1189" s="74">
        <f t="shared" si="223"/>
        <v>-31550.912827635242</v>
      </c>
      <c r="J1189" s="74">
        <f t="shared" si="224"/>
        <v>31604.389592739451</v>
      </c>
      <c r="K1189" s="74">
        <f t="shared" si="225"/>
        <v>-38162.24558968842</v>
      </c>
      <c r="L1189" s="74">
        <f t="shared" si="226"/>
        <v>-31550.912827635242</v>
      </c>
      <c r="M1189" s="74">
        <f t="shared" si="227"/>
        <v>49515.826648706287</v>
      </c>
      <c r="N1189" s="74">
        <f t="shared" si="228"/>
        <v>-23162.245589688417</v>
      </c>
      <c r="O1189" s="74">
        <f t="shared" si="229"/>
        <v>-86550.912827635242</v>
      </c>
      <c r="P1189" s="74">
        <f t="shared" si="230"/>
        <v>89596.596654415145</v>
      </c>
    </row>
    <row r="1190" spans="1:16" x14ac:dyDescent="0.3">
      <c r="A1190" s="72">
        <f t="shared" si="217"/>
        <v>440.5</v>
      </c>
      <c r="B1190" s="74">
        <f t="shared" si="218"/>
        <v>20651.784302639306</v>
      </c>
      <c r="C1190" s="74">
        <f t="shared" si="219"/>
        <v>51807.423067433665</v>
      </c>
      <c r="D1190" s="74">
        <f t="shared" si="220"/>
        <v>4979.0774259017799</v>
      </c>
      <c r="E1190" s="74">
        <f t="shared" si="221"/>
        <v>513.02047959683978</v>
      </c>
      <c r="F1190" s="74">
        <f t="shared" si="215"/>
        <v>-599.73619757809001</v>
      </c>
      <c r="G1190" s="74">
        <f t="shared" si="216"/>
        <v>-2210.399606617807</v>
      </c>
      <c r="H1190" s="74">
        <f t="shared" si="222"/>
        <v>-651.78430263930568</v>
      </c>
      <c r="I1190" s="74">
        <f t="shared" si="223"/>
        <v>-31807.423067433665</v>
      </c>
      <c r="J1190" s="74">
        <f t="shared" si="224"/>
        <v>31814.100411105108</v>
      </c>
      <c r="K1190" s="74">
        <f t="shared" si="225"/>
        <v>-40651.784302639309</v>
      </c>
      <c r="L1190" s="74">
        <f t="shared" si="226"/>
        <v>-31807.423067433665</v>
      </c>
      <c r="M1190" s="74">
        <f t="shared" si="227"/>
        <v>51616.661352503448</v>
      </c>
      <c r="N1190" s="74">
        <f t="shared" si="228"/>
        <v>-25651.784302639306</v>
      </c>
      <c r="O1190" s="74">
        <f t="shared" si="229"/>
        <v>-86807.423067433672</v>
      </c>
      <c r="P1190" s="74">
        <f t="shared" si="230"/>
        <v>90518.190091923228</v>
      </c>
    </row>
    <row r="1191" spans="1:16" x14ac:dyDescent="0.3">
      <c r="A1191" s="72">
        <f t="shared" si="217"/>
        <v>441</v>
      </c>
      <c r="B1191" s="74">
        <f t="shared" si="218"/>
        <v>22991.388966195671</v>
      </c>
      <c r="C1191" s="74">
        <f t="shared" si="219"/>
        <v>51511.333405577636</v>
      </c>
      <c r="D1191" s="74">
        <f t="shared" si="220"/>
        <v>4679.2093271127351</v>
      </c>
      <c r="E1191" s="74">
        <f t="shared" si="221"/>
        <v>-592.17932371206371</v>
      </c>
      <c r="F1191" s="74">
        <f t="shared" si="215"/>
        <v>-705.81384383725401</v>
      </c>
      <c r="G1191" s="74">
        <f t="shared" si="216"/>
        <v>-2176.0837106839722</v>
      </c>
      <c r="H1191" s="74">
        <f t="shared" si="222"/>
        <v>-2991.3889661956709</v>
      </c>
      <c r="I1191" s="74">
        <f t="shared" si="223"/>
        <v>-31511.333405577636</v>
      </c>
      <c r="J1191" s="74">
        <f t="shared" si="224"/>
        <v>31653.002084234446</v>
      </c>
      <c r="K1191" s="74">
        <f t="shared" si="225"/>
        <v>-42991.388966195671</v>
      </c>
      <c r="L1191" s="74">
        <f t="shared" si="226"/>
        <v>-31511.333405577636</v>
      </c>
      <c r="M1191" s="74">
        <f t="shared" si="227"/>
        <v>53303.129910355208</v>
      </c>
      <c r="N1191" s="74">
        <f t="shared" si="228"/>
        <v>-27991.388966195671</v>
      </c>
      <c r="O1191" s="74">
        <f t="shared" si="229"/>
        <v>-86511.333405577636</v>
      </c>
      <c r="P1191" s="74">
        <f t="shared" si="230"/>
        <v>90927.051331646479</v>
      </c>
    </row>
    <row r="1192" spans="1:16" x14ac:dyDescent="0.3">
      <c r="A1192" s="72">
        <f t="shared" si="217"/>
        <v>441.5</v>
      </c>
      <c r="B1192" s="74">
        <f t="shared" si="218"/>
        <v>25154.540168792726</v>
      </c>
      <c r="C1192" s="74">
        <f t="shared" si="219"/>
        <v>50671.222816050613</v>
      </c>
      <c r="D1192" s="74">
        <f t="shared" si="220"/>
        <v>4326.3024051941084</v>
      </c>
      <c r="E1192" s="74">
        <f t="shared" si="221"/>
        <v>-1680.2211790540498</v>
      </c>
      <c r="F1192" s="74">
        <f t="shared" si="215"/>
        <v>-825.59613770307612</v>
      </c>
      <c r="G1192" s="74">
        <f t="shared" si="216"/>
        <v>-2179.223010978586</v>
      </c>
      <c r="H1192" s="74">
        <f t="shared" si="222"/>
        <v>-5154.540168792726</v>
      </c>
      <c r="I1192" s="74">
        <f t="shared" si="223"/>
        <v>-30671.222816050613</v>
      </c>
      <c r="J1192" s="74">
        <f t="shared" si="224"/>
        <v>31101.337485444597</v>
      </c>
      <c r="K1192" s="74">
        <f t="shared" si="225"/>
        <v>-45154.540168792722</v>
      </c>
      <c r="L1192" s="74">
        <f t="shared" si="226"/>
        <v>-30671.222816050613</v>
      </c>
      <c r="M1192" s="74">
        <f t="shared" si="227"/>
        <v>54586.229095688039</v>
      </c>
      <c r="N1192" s="74">
        <f t="shared" si="228"/>
        <v>-30154.540168792726</v>
      </c>
      <c r="O1192" s="74">
        <f t="shared" si="229"/>
        <v>-85671.222816050606</v>
      </c>
      <c r="P1192" s="74">
        <f t="shared" si="230"/>
        <v>90823.205798896597</v>
      </c>
    </row>
    <row r="1193" spans="1:16" x14ac:dyDescent="0.3">
      <c r="A1193" s="72">
        <f t="shared" si="217"/>
        <v>442</v>
      </c>
      <c r="B1193" s="74">
        <f t="shared" si="218"/>
        <v>27111.292336964012</v>
      </c>
      <c r="C1193" s="74">
        <f t="shared" si="219"/>
        <v>49286.306473778946</v>
      </c>
      <c r="D1193" s="74">
        <f t="shared" si="220"/>
        <v>3913.5043363425702</v>
      </c>
      <c r="E1193" s="74">
        <f t="shared" si="221"/>
        <v>-2769.832684543343</v>
      </c>
      <c r="F1193" s="74">
        <f t="shared" si="215"/>
        <v>-970.71505397628005</v>
      </c>
      <c r="G1193" s="74">
        <f t="shared" si="216"/>
        <v>-2223.6987384629883</v>
      </c>
      <c r="H1193" s="74">
        <f t="shared" si="222"/>
        <v>-7111.2923369640121</v>
      </c>
      <c r="I1193" s="74">
        <f t="shared" si="223"/>
        <v>-29286.306473778946</v>
      </c>
      <c r="J1193" s="74">
        <f t="shared" si="224"/>
        <v>30137.322800439153</v>
      </c>
      <c r="K1193" s="74">
        <f t="shared" si="225"/>
        <v>-47111.292336964012</v>
      </c>
      <c r="L1193" s="74">
        <f t="shared" si="226"/>
        <v>-29286.306473778946</v>
      </c>
      <c r="M1193" s="74">
        <f t="shared" si="227"/>
        <v>55472.169711802249</v>
      </c>
      <c r="N1193" s="74">
        <f t="shared" si="228"/>
        <v>-32111.292336964012</v>
      </c>
      <c r="O1193" s="74">
        <f t="shared" si="229"/>
        <v>-84286.306473778939</v>
      </c>
      <c r="P1193" s="74">
        <f t="shared" si="230"/>
        <v>90195.989681037114</v>
      </c>
    </row>
    <row r="1194" spans="1:16" x14ac:dyDescent="0.3">
      <c r="A1194" s="72">
        <f t="shared" si="217"/>
        <v>442.5</v>
      </c>
      <c r="B1194" s="74">
        <f t="shared" si="218"/>
        <v>28825.365741641228</v>
      </c>
      <c r="C1194" s="74">
        <f t="shared" si="219"/>
        <v>47345.465446891525</v>
      </c>
      <c r="D1194" s="74">
        <f t="shared" si="220"/>
        <v>3428.1468093544304</v>
      </c>
      <c r="E1194" s="74">
        <f t="shared" si="221"/>
        <v>-3881.6820537748372</v>
      </c>
      <c r="F1194" s="74">
        <f t="shared" si="215"/>
        <v>-1158.6631305958119</v>
      </c>
      <c r="G1194" s="74">
        <f t="shared" si="216"/>
        <v>-2317.6540986874329</v>
      </c>
      <c r="H1194" s="74">
        <f t="shared" si="222"/>
        <v>-8825.3657416412279</v>
      </c>
      <c r="I1194" s="74">
        <f t="shared" si="223"/>
        <v>-27345.465446891525</v>
      </c>
      <c r="J1194" s="74">
        <f t="shared" si="224"/>
        <v>28734.32722339037</v>
      </c>
      <c r="K1194" s="74">
        <f t="shared" si="225"/>
        <v>-48825.365741641232</v>
      </c>
      <c r="L1194" s="74">
        <f t="shared" si="226"/>
        <v>-27345.465446891525</v>
      </c>
      <c r="M1194" s="74">
        <f t="shared" si="227"/>
        <v>55961.511955201597</v>
      </c>
      <c r="N1194" s="74">
        <f t="shared" si="228"/>
        <v>-33825.365741641232</v>
      </c>
      <c r="O1194" s="74">
        <f t="shared" si="229"/>
        <v>-82345.465446891525</v>
      </c>
      <c r="P1194" s="74">
        <f t="shared" si="230"/>
        <v>89022.081795591614</v>
      </c>
    </row>
    <row r="1195" spans="1:16" x14ac:dyDescent="0.3">
      <c r="A1195" s="72">
        <f t="shared" si="217"/>
        <v>443</v>
      </c>
      <c r="B1195" s="74">
        <f t="shared" si="218"/>
        <v>30249.77336366949</v>
      </c>
      <c r="C1195" s="74">
        <f t="shared" si="219"/>
        <v>44825.210895332246</v>
      </c>
      <c r="D1195" s="74">
        <f t="shared" si="220"/>
        <v>2848.8152440565245</v>
      </c>
      <c r="E1195" s="74">
        <f t="shared" si="221"/>
        <v>-5040.5091031185539</v>
      </c>
      <c r="F1195" s="74">
        <f t="shared" si="215"/>
        <v>-1419.1430673661725</v>
      </c>
      <c r="G1195" s="74">
        <f t="shared" si="216"/>
        <v>-2475.755858180863</v>
      </c>
      <c r="H1195" s="74">
        <f t="shared" si="222"/>
        <v>-10249.77336366949</v>
      </c>
      <c r="I1195" s="74">
        <f t="shared" si="223"/>
        <v>-24825.210895332246</v>
      </c>
      <c r="J1195" s="74">
        <f t="shared" si="224"/>
        <v>26857.940166816803</v>
      </c>
      <c r="K1195" s="74">
        <f t="shared" si="225"/>
        <v>-50249.77336366949</v>
      </c>
      <c r="L1195" s="74">
        <f t="shared" si="226"/>
        <v>-24825.210895332246</v>
      </c>
      <c r="M1195" s="74">
        <f t="shared" si="227"/>
        <v>56047.576389152375</v>
      </c>
      <c r="N1195" s="74">
        <f t="shared" si="228"/>
        <v>-35249.77336366949</v>
      </c>
      <c r="O1195" s="74">
        <f t="shared" si="229"/>
        <v>-79825.210895332246</v>
      </c>
      <c r="P1195" s="74">
        <f t="shared" si="230"/>
        <v>87261.737414942254</v>
      </c>
    </row>
    <row r="1196" spans="1:16" x14ac:dyDescent="0.3">
      <c r="A1196" s="72">
        <f t="shared" si="217"/>
        <v>443.5</v>
      </c>
      <c r="B1196" s="74">
        <f t="shared" si="218"/>
        <v>31319.395218856211</v>
      </c>
      <c r="C1196" s="74">
        <f t="shared" si="219"/>
        <v>41686.017379227749</v>
      </c>
      <c r="D1196" s="74">
        <f t="shared" si="220"/>
        <v>2139.2437103734383</v>
      </c>
      <c r="E1196" s="74">
        <f t="shared" si="221"/>
        <v>-6278.3870322089851</v>
      </c>
      <c r="F1196" s="74">
        <f t="shared" si="215"/>
        <v>-1808.4989053324123</v>
      </c>
      <c r="G1196" s="74">
        <f t="shared" si="216"/>
        <v>-2722.8050913794505</v>
      </c>
      <c r="H1196" s="74">
        <f t="shared" si="222"/>
        <v>-11319.395218856211</v>
      </c>
      <c r="I1196" s="74">
        <f t="shared" si="223"/>
        <v>-21686.017379227749</v>
      </c>
      <c r="J1196" s="74">
        <f t="shared" si="224"/>
        <v>24462.462220570371</v>
      </c>
      <c r="K1196" s="74">
        <f t="shared" si="225"/>
        <v>-51319.395218856211</v>
      </c>
      <c r="L1196" s="74">
        <f t="shared" si="226"/>
        <v>-21686.017379227749</v>
      </c>
      <c r="M1196" s="74">
        <f t="shared" si="227"/>
        <v>55713.227113508066</v>
      </c>
      <c r="N1196" s="74">
        <f t="shared" si="228"/>
        <v>-36319.395218856211</v>
      </c>
      <c r="O1196" s="74">
        <f t="shared" si="229"/>
        <v>-76686.017379227749</v>
      </c>
      <c r="P1196" s="74">
        <f t="shared" si="230"/>
        <v>84851.892910828436</v>
      </c>
    </row>
    <row r="1197" spans="1:16" x14ac:dyDescent="0.3">
      <c r="A1197" s="72">
        <f t="shared" si="217"/>
        <v>444</v>
      </c>
      <c r="B1197" s="74">
        <f t="shared" si="218"/>
        <v>31936.892347709829</v>
      </c>
      <c r="C1197" s="74">
        <f t="shared" si="219"/>
        <v>37866.122590278399</v>
      </c>
      <c r="D1197" s="74">
        <f t="shared" si="220"/>
        <v>1234.994257707232</v>
      </c>
      <c r="E1197" s="74">
        <f t="shared" si="221"/>
        <v>-7639.7895778987104</v>
      </c>
      <c r="F1197" s="74">
        <f t="shared" si="215"/>
        <v>-2446.5887586830272</v>
      </c>
      <c r="G1197" s="74">
        <f t="shared" si="216"/>
        <v>-3097.0354173963997</v>
      </c>
      <c r="H1197" s="74">
        <f t="shared" si="222"/>
        <v>-11936.892347709829</v>
      </c>
      <c r="I1197" s="74">
        <f t="shared" si="223"/>
        <v>-17866.122590278399</v>
      </c>
      <c r="J1197" s="74">
        <f t="shared" si="224"/>
        <v>21486.920098787297</v>
      </c>
      <c r="K1197" s="74">
        <f t="shared" si="225"/>
        <v>-51936.892347709829</v>
      </c>
      <c r="L1197" s="74">
        <f t="shared" si="226"/>
        <v>-17866.122590278399</v>
      </c>
      <c r="M1197" s="74">
        <f t="shared" si="227"/>
        <v>54923.93943580937</v>
      </c>
      <c r="N1197" s="74">
        <f t="shared" si="228"/>
        <v>-36936.892347709829</v>
      </c>
      <c r="O1197" s="74">
        <f t="shared" si="229"/>
        <v>-72866.122590278392</v>
      </c>
      <c r="P1197" s="74">
        <f t="shared" si="230"/>
        <v>81693.364710041074</v>
      </c>
    </row>
    <row r="1198" spans="1:16" x14ac:dyDescent="0.3">
      <c r="A1198" s="72">
        <f t="shared" si="217"/>
        <v>444.5</v>
      </c>
      <c r="B1198" s="74">
        <f t="shared" si="218"/>
        <v>31942.742286892688</v>
      </c>
      <c r="C1198" s="74">
        <f t="shared" si="219"/>
        <v>33271.968946979941</v>
      </c>
      <c r="D1198" s="74">
        <f t="shared" si="220"/>
        <v>11.699878365718405</v>
      </c>
      <c r="E1198" s="74">
        <f t="shared" si="221"/>
        <v>-9188.3072865969098</v>
      </c>
      <c r="F1198" s="74">
        <f t="shared" si="215"/>
        <v>-3622.2035918538463</v>
      </c>
      <c r="G1198" s="74">
        <f t="shared" si="216"/>
        <v>-3631.5751780710207</v>
      </c>
      <c r="H1198" s="74">
        <f t="shared" si="222"/>
        <v>-11942.742286892688</v>
      </c>
      <c r="I1198" s="74">
        <f t="shared" si="223"/>
        <v>-13271.968946979941</v>
      </c>
      <c r="J1198" s="74">
        <f t="shared" si="224"/>
        <v>17854.250279995926</v>
      </c>
      <c r="K1198" s="74">
        <f t="shared" si="225"/>
        <v>-51942.742286892688</v>
      </c>
      <c r="L1198" s="74">
        <f t="shared" si="226"/>
        <v>-13271.968946979941</v>
      </c>
      <c r="M1198" s="74">
        <f t="shared" si="227"/>
        <v>53611.506563536801</v>
      </c>
      <c r="N1198" s="74">
        <f t="shared" si="228"/>
        <v>-36942.742286892688</v>
      </c>
      <c r="O1198" s="74">
        <f t="shared" si="229"/>
        <v>-68271.968946979934</v>
      </c>
      <c r="P1198" s="74">
        <f t="shared" si="230"/>
        <v>77626.206603009792</v>
      </c>
    </row>
    <row r="1199" spans="1:16" x14ac:dyDescent="0.3">
      <c r="A1199" s="72">
        <f t="shared" si="217"/>
        <v>445</v>
      </c>
      <c r="B1199" s="74">
        <f t="shared" si="218"/>
        <v>31043.041328112085</v>
      </c>
      <c r="C1199" s="74">
        <f t="shared" si="219"/>
        <v>27769.921509163731</v>
      </c>
      <c r="D1199" s="74">
        <f t="shared" si="220"/>
        <v>-1799.4019175612048</v>
      </c>
      <c r="E1199" s="74">
        <f t="shared" si="221"/>
        <v>-11004.09487563242</v>
      </c>
      <c r="F1199" s="74">
        <f t="shared" si="215"/>
        <v>-6096.2905774780593</v>
      </c>
      <c r="G1199" s="74">
        <f t="shared" si="216"/>
        <v>-4110.7211202500803</v>
      </c>
      <c r="H1199" s="74">
        <f t="shared" si="222"/>
        <v>-11043.041328112085</v>
      </c>
      <c r="I1199" s="74">
        <f t="shared" si="223"/>
        <v>-7769.9215091637307</v>
      </c>
      <c r="J1199" s="74">
        <f t="shared" si="224"/>
        <v>13502.608712132509</v>
      </c>
      <c r="K1199" s="74">
        <f t="shared" si="225"/>
        <v>-51043.041328112085</v>
      </c>
      <c r="L1199" s="74">
        <f t="shared" si="226"/>
        <v>-7769.9215091637307</v>
      </c>
      <c r="M1199" s="74">
        <f t="shared" si="227"/>
        <v>51631.034739601368</v>
      </c>
      <c r="N1199" s="74">
        <f t="shared" si="228"/>
        <v>-36043.041328112085</v>
      </c>
      <c r="O1199" s="74">
        <f t="shared" si="229"/>
        <v>-62769.921509163731</v>
      </c>
      <c r="P1199" s="74">
        <f t="shared" si="230"/>
        <v>72382.06873561001</v>
      </c>
    </row>
    <row r="1200" spans="1:16" x14ac:dyDescent="0.3">
      <c r="A1200" s="72">
        <f t="shared" si="217"/>
        <v>445.5</v>
      </c>
      <c r="B1200" s="74">
        <f t="shared" si="218"/>
        <v>28619.267724961966</v>
      </c>
      <c r="C1200" s="74">
        <f t="shared" si="219"/>
        <v>21240.193791285001</v>
      </c>
      <c r="D1200" s="74">
        <f t="shared" si="220"/>
        <v>-4847.5472063002344</v>
      </c>
      <c r="E1200" s="74">
        <f t="shared" si="221"/>
        <v>-13059.45543575746</v>
      </c>
      <c r="F1200" s="74">
        <f t="shared" si="215"/>
        <v>-10962.408519572504</v>
      </c>
      <c r="G1200" s="74">
        <f t="shared" si="216"/>
        <v>-1808.6608894323863</v>
      </c>
      <c r="H1200" s="74">
        <f t="shared" si="222"/>
        <v>-8619.2677249619665</v>
      </c>
      <c r="I1200" s="74">
        <f t="shared" si="223"/>
        <v>-1240.1937912850008</v>
      </c>
      <c r="J1200" s="74">
        <f t="shared" si="224"/>
        <v>8708.0340349882026</v>
      </c>
      <c r="K1200" s="74">
        <f t="shared" si="225"/>
        <v>-48619.267724961966</v>
      </c>
      <c r="L1200" s="74">
        <f t="shared" si="226"/>
        <v>-1240.1937912850008</v>
      </c>
      <c r="M1200" s="74">
        <f t="shared" si="227"/>
        <v>48635.082756704243</v>
      </c>
      <c r="N1200" s="74">
        <f t="shared" si="228"/>
        <v>-33619.267724961966</v>
      </c>
      <c r="O1200" s="74">
        <f t="shared" si="229"/>
        <v>-56240.193791284997</v>
      </c>
      <c r="P1200" s="74">
        <f t="shared" si="230"/>
        <v>65522.626321324766</v>
      </c>
    </row>
    <row r="1201" spans="1:16" x14ac:dyDescent="0.3">
      <c r="A1201" s="72">
        <f t="shared" si="217"/>
        <v>446</v>
      </c>
      <c r="B1201" s="74">
        <f t="shared" si="218"/>
        <v>23454.891991918721</v>
      </c>
      <c r="C1201" s="74">
        <f t="shared" si="219"/>
        <v>14258.300851048174</v>
      </c>
      <c r="D1201" s="74">
        <f t="shared" si="220"/>
        <v>-10328.751466086487</v>
      </c>
      <c r="E1201" s="74">
        <f t="shared" si="221"/>
        <v>-13963.785880473653</v>
      </c>
      <c r="F1201" s="74">
        <f t="shared" si="215"/>
        <v>-7140.5715176454705</v>
      </c>
      <c r="G1201" s="74">
        <f t="shared" si="216"/>
        <v>9627.9665528802616</v>
      </c>
      <c r="H1201" s="74">
        <f t="shared" si="222"/>
        <v>-3454.891991918721</v>
      </c>
      <c r="I1201" s="74">
        <f t="shared" si="223"/>
        <v>5741.6991489518259</v>
      </c>
      <c r="J1201" s="74">
        <f t="shared" si="224"/>
        <v>6700.9990145424008</v>
      </c>
      <c r="K1201" s="74">
        <f t="shared" si="225"/>
        <v>-43454.891991918717</v>
      </c>
      <c r="L1201" s="74">
        <f t="shared" si="226"/>
        <v>5741.6991489518259</v>
      </c>
      <c r="M1201" s="74">
        <f t="shared" si="227"/>
        <v>43832.576323396679</v>
      </c>
      <c r="N1201" s="74">
        <f t="shared" si="228"/>
        <v>-28454.891991918721</v>
      </c>
      <c r="O1201" s="74">
        <f t="shared" si="229"/>
        <v>-49258.300851048174</v>
      </c>
      <c r="P1201" s="74">
        <f t="shared" si="230"/>
        <v>56886.387484213948</v>
      </c>
    </row>
    <row r="1202" spans="1:16" x14ac:dyDescent="0.3">
      <c r="A1202" s="72">
        <f t="shared" si="217"/>
        <v>446.5</v>
      </c>
      <c r="B1202" s="74">
        <f t="shared" si="218"/>
        <v>16505.373379464108</v>
      </c>
      <c r="C1202" s="74">
        <f t="shared" si="219"/>
        <v>9683.3995490314119</v>
      </c>
      <c r="D1202" s="74">
        <f t="shared" si="220"/>
        <v>-13899.037224909222</v>
      </c>
      <c r="E1202" s="74">
        <f t="shared" si="221"/>
        <v>-9149.8026040335226</v>
      </c>
      <c r="F1202" s="74">
        <f t="shared" si="215"/>
        <v>1253.0885718619015</v>
      </c>
      <c r="G1202" s="74">
        <f t="shared" si="216"/>
        <v>7571.4997466820741</v>
      </c>
      <c r="H1202" s="74">
        <f t="shared" si="222"/>
        <v>3494.6266205358916</v>
      </c>
      <c r="I1202" s="74">
        <f t="shared" si="223"/>
        <v>10316.600450968588</v>
      </c>
      <c r="J1202" s="74">
        <f t="shared" si="224"/>
        <v>10892.412959573438</v>
      </c>
      <c r="K1202" s="74">
        <f t="shared" si="225"/>
        <v>-36505.373379464108</v>
      </c>
      <c r="L1202" s="74">
        <f t="shared" si="226"/>
        <v>10316.600450968588</v>
      </c>
      <c r="M1202" s="74">
        <f t="shared" si="227"/>
        <v>37935.135829979728</v>
      </c>
      <c r="N1202" s="74">
        <f t="shared" si="228"/>
        <v>-21505.373379464108</v>
      </c>
      <c r="O1202" s="74">
        <f t="shared" si="229"/>
        <v>-44683.399549031412</v>
      </c>
      <c r="P1202" s="74">
        <f t="shared" si="230"/>
        <v>49589.185105711753</v>
      </c>
    </row>
    <row r="1203" spans="1:16" x14ac:dyDescent="0.3">
      <c r="A1203" s="72">
        <f t="shared" si="217"/>
        <v>447</v>
      </c>
      <c r="B1203" s="74">
        <f t="shared" si="218"/>
        <v>9869.1269099749734</v>
      </c>
      <c r="C1203" s="74">
        <f t="shared" si="219"/>
        <v>7001.3731836851694</v>
      </c>
      <c r="D1203" s="74">
        <f t="shared" si="220"/>
        <v>-13272.49293897827</v>
      </c>
      <c r="E1203" s="74">
        <f t="shared" si="221"/>
        <v>-5364.0527306924851</v>
      </c>
      <c r="F1203" s="74">
        <f t="shared" si="215"/>
        <v>1317.8029865293722</v>
      </c>
      <c r="G1203" s="74">
        <f t="shared" si="216"/>
        <v>3679.8463892286636</v>
      </c>
      <c r="H1203" s="74">
        <f t="shared" si="222"/>
        <v>10130.873090025027</v>
      </c>
      <c r="I1203" s="74">
        <f t="shared" si="223"/>
        <v>12998.626816314831</v>
      </c>
      <c r="J1203" s="74">
        <f t="shared" si="224"/>
        <v>16480.257542769537</v>
      </c>
      <c r="K1203" s="74">
        <f t="shared" si="225"/>
        <v>-29869.126909974973</v>
      </c>
      <c r="L1203" s="74">
        <f t="shared" si="226"/>
        <v>12998.626816314831</v>
      </c>
      <c r="M1203" s="74">
        <f t="shared" si="227"/>
        <v>32574.975694143046</v>
      </c>
      <c r="N1203" s="74">
        <f t="shared" si="228"/>
        <v>-14869.126909974973</v>
      </c>
      <c r="O1203" s="74">
        <f t="shared" si="229"/>
        <v>-42001.373183685166</v>
      </c>
      <c r="P1203" s="74">
        <f t="shared" si="230"/>
        <v>44555.653786922812</v>
      </c>
    </row>
    <row r="1204" spans="1:16" x14ac:dyDescent="0.3">
      <c r="A1204" s="72">
        <f t="shared" si="217"/>
        <v>447.5</v>
      </c>
      <c r="B1204" s="74">
        <f t="shared" si="218"/>
        <v>3562.3311871181813</v>
      </c>
      <c r="C1204" s="74">
        <f t="shared" si="219"/>
        <v>5239.3084156460927</v>
      </c>
      <c r="D1204" s="74">
        <f t="shared" si="220"/>
        <v>-12613.591445713584</v>
      </c>
      <c r="E1204" s="74">
        <f t="shared" si="221"/>
        <v>-3524.1295360781533</v>
      </c>
      <c r="F1204" s="74">
        <f t="shared" si="215"/>
        <v>336.93928282958336</v>
      </c>
      <c r="G1204" s="74">
        <f t="shared" si="216"/>
        <v>2173.8032423886148</v>
      </c>
      <c r="H1204" s="74">
        <f t="shared" si="222"/>
        <v>16437.66881288182</v>
      </c>
      <c r="I1204" s="74">
        <f t="shared" si="223"/>
        <v>14760.691584353906</v>
      </c>
      <c r="J1204" s="74">
        <f t="shared" si="224"/>
        <v>22092.418881833739</v>
      </c>
      <c r="K1204" s="74">
        <f t="shared" si="225"/>
        <v>-23562.33118711818</v>
      </c>
      <c r="L1204" s="74">
        <f t="shared" si="226"/>
        <v>14760.691584353906</v>
      </c>
      <c r="M1204" s="74">
        <f t="shared" si="227"/>
        <v>27803.982934462074</v>
      </c>
      <c r="N1204" s="74">
        <f t="shared" si="228"/>
        <v>-8562.3311871181813</v>
      </c>
      <c r="O1204" s="74">
        <f t="shared" si="229"/>
        <v>-40239.30841564609</v>
      </c>
      <c r="P1204" s="74">
        <f t="shared" si="230"/>
        <v>41140.192721077314</v>
      </c>
    </row>
    <row r="1205" spans="1:16" x14ac:dyDescent="0.3">
      <c r="A1205" s="72">
        <f t="shared" si="217"/>
        <v>448</v>
      </c>
      <c r="B1205" s="74">
        <f t="shared" si="218"/>
        <v>-2660.2297150312147</v>
      </c>
      <c r="C1205" s="74">
        <f t="shared" si="219"/>
        <v>4020.6944582041697</v>
      </c>
      <c r="D1205" s="74">
        <f t="shared" si="220"/>
        <v>-12445.121804298793</v>
      </c>
      <c r="E1205" s="74">
        <f t="shared" si="221"/>
        <v>-2437.2279148838461</v>
      </c>
      <c r="F1205" s="74">
        <f t="shared" si="215"/>
        <v>-398.54301537951187</v>
      </c>
      <c r="G1205" s="74">
        <f t="shared" si="216"/>
        <v>1961.9860552629377</v>
      </c>
      <c r="H1205" s="74">
        <f t="shared" si="222"/>
        <v>22660.229715031215</v>
      </c>
      <c r="I1205" s="74">
        <f t="shared" si="223"/>
        <v>15979.305541795831</v>
      </c>
      <c r="J1205" s="74">
        <f t="shared" si="224"/>
        <v>27727.679606055222</v>
      </c>
      <c r="K1205" s="74">
        <f t="shared" si="225"/>
        <v>-17339.770284968785</v>
      </c>
      <c r="L1205" s="74">
        <f t="shared" si="226"/>
        <v>15979.305541795831</v>
      </c>
      <c r="M1205" s="74">
        <f t="shared" si="227"/>
        <v>23579.776061989083</v>
      </c>
      <c r="N1205" s="74">
        <f t="shared" si="228"/>
        <v>-2339.7702849687853</v>
      </c>
      <c r="O1205" s="74">
        <f t="shared" si="229"/>
        <v>-39020.694458204169</v>
      </c>
      <c r="P1205" s="74">
        <f t="shared" si="230"/>
        <v>39090.780511355209</v>
      </c>
    </row>
    <row r="1206" spans="1:16" x14ac:dyDescent="0.3">
      <c r="A1206" s="72">
        <f t="shared" si="217"/>
        <v>448.5</v>
      </c>
      <c r="B1206" s="74">
        <f t="shared" si="218"/>
        <v>-8982.4263710254891</v>
      </c>
      <c r="C1206" s="74">
        <f t="shared" si="219"/>
        <v>3292.5770145779811</v>
      </c>
      <c r="D1206" s="74">
        <f t="shared" si="220"/>
        <v>-12644.39331198855</v>
      </c>
      <c r="E1206" s="74">
        <f t="shared" si="221"/>
        <v>-1456.2348872523771</v>
      </c>
      <c r="F1206" s="74">
        <f t="shared" ref="F1206:F1269" si="231">$C$23*(H1206/(J1206^2+$C$24^2)^1.5)+$C$32*(K1206/(M1206^2+$C$33^2)^1.5)+C$41*(N1206/(P1206^2+$C$42^2)^1.5)</f>
        <v>-606.73789262551031</v>
      </c>
      <c r="G1206" s="74">
        <f t="shared" ref="G1206:G1269" si="232">$C$23*(I1206/(J1206^2+$C$24^2)^1.5)+$C$32*(L1206/(M1206^2+$C$33^2)^1.5)+C$41*(O1206/(P1206^2+$C$42^2)^1.5)</f>
        <v>2635.591618071202</v>
      </c>
      <c r="H1206" s="74">
        <f t="shared" si="222"/>
        <v>28982.426371025489</v>
      </c>
      <c r="I1206" s="74">
        <f t="shared" si="223"/>
        <v>16707.422985422018</v>
      </c>
      <c r="J1206" s="74">
        <f t="shared" si="224"/>
        <v>33453.236333211797</v>
      </c>
      <c r="K1206" s="74">
        <f t="shared" si="225"/>
        <v>-11017.573628974511</v>
      </c>
      <c r="L1206" s="74">
        <f t="shared" si="226"/>
        <v>16707.422985422018</v>
      </c>
      <c r="M1206" s="74">
        <f t="shared" si="227"/>
        <v>20013.118484726027</v>
      </c>
      <c r="N1206" s="74">
        <f t="shared" si="228"/>
        <v>3982.4263710254891</v>
      </c>
      <c r="O1206" s="74">
        <f t="shared" si="229"/>
        <v>-38292.577014577982</v>
      </c>
      <c r="P1206" s="74">
        <f t="shared" si="230"/>
        <v>38499.106148299405</v>
      </c>
    </row>
    <row r="1207" spans="1:16" x14ac:dyDescent="0.3">
      <c r="A1207" s="72">
        <f t="shared" ref="A1207:A1270" si="233">A1206+$C$5</f>
        <v>449</v>
      </c>
      <c r="B1207" s="74">
        <f t="shared" ref="B1207:B1270" si="234">B1206+D1206*(A1207-A1206)+F1206*(A1207-A1206)^2</f>
        <v>-15456.307500176141</v>
      </c>
      <c r="C1207" s="74">
        <f t="shared" ref="C1207:C1270" si="235">C1206+E1206*(A1207-A1206)+G1206*(A1207-A1206)^2</f>
        <v>3223.3574754695928</v>
      </c>
      <c r="D1207" s="74">
        <f t="shared" ref="D1207:D1270" si="236">D1206+F1206*(A1207-A1206)</f>
        <v>-12947.762258301305</v>
      </c>
      <c r="E1207" s="74">
        <f t="shared" ref="E1207:E1270" si="237">E1206+G1206*(A1207-A1206)</f>
        <v>-138.43907821677612</v>
      </c>
      <c r="F1207" s="74">
        <f t="shared" si="231"/>
        <v>81.771257115699655</v>
      </c>
      <c r="G1207" s="74">
        <f t="shared" si="232"/>
        <v>3806.1907627629707</v>
      </c>
      <c r="H1207" s="74">
        <f t="shared" ref="H1207:H1270" si="238">$C$19-B1207</f>
        <v>35456.307500176139</v>
      </c>
      <c r="I1207" s="74">
        <f t="shared" ref="I1207:I1270" si="239">$D$19-C1207</f>
        <v>16776.642524530405</v>
      </c>
      <c r="J1207" s="74">
        <f t="shared" ref="J1207:J1270" si="240">SQRT(H1207^2+I1207^2)</f>
        <v>39225.061834787826</v>
      </c>
      <c r="K1207" s="74">
        <f t="shared" ref="K1207:K1270" si="241">$C$28-B1207</f>
        <v>-4543.6924998238592</v>
      </c>
      <c r="L1207" s="74">
        <f t="shared" ref="L1207:L1270" si="242">$D$28-C1207</f>
        <v>16776.642524530405</v>
      </c>
      <c r="M1207" s="74">
        <f t="shared" ref="M1207:M1270" si="243">SQRT(K1207^2+L1207^2)</f>
        <v>17381.049333364128</v>
      </c>
      <c r="N1207" s="74">
        <f t="shared" ref="N1207:N1270" si="244">$C$37-B1207</f>
        <v>10456.307500176141</v>
      </c>
      <c r="O1207" s="74">
        <f t="shared" ref="O1207:O1270" si="245">$D$37-C1207</f>
        <v>-38223.357475469595</v>
      </c>
      <c r="P1207" s="74">
        <f t="shared" ref="P1207:P1270" si="246">SQRT(N1207^2+O1207^2)</f>
        <v>39627.760764844854</v>
      </c>
    </row>
    <row r="1208" spans="1:16" x14ac:dyDescent="0.3">
      <c r="A1208" s="72">
        <f t="shared" si="233"/>
        <v>449.5</v>
      </c>
      <c r="B1208" s="74">
        <f t="shared" si="234"/>
        <v>-21909.745815047867</v>
      </c>
      <c r="C1208" s="74">
        <f t="shared" si="235"/>
        <v>4105.6856270519474</v>
      </c>
      <c r="D1208" s="74">
        <f t="shared" si="236"/>
        <v>-12906.876629743456</v>
      </c>
      <c r="E1208" s="74">
        <f t="shared" si="237"/>
        <v>1764.6563031647092</v>
      </c>
      <c r="F1208" s="74">
        <f t="shared" si="231"/>
        <v>1768.9881931675432</v>
      </c>
      <c r="G1208" s="74">
        <f t="shared" si="232"/>
        <v>4529.4173336293052</v>
      </c>
      <c r="H1208" s="74">
        <f t="shared" si="238"/>
        <v>41909.745815047863</v>
      </c>
      <c r="I1208" s="74">
        <f t="shared" si="239"/>
        <v>15894.314372948053</v>
      </c>
      <c r="J1208" s="74">
        <f t="shared" si="240"/>
        <v>44822.494616743781</v>
      </c>
      <c r="K1208" s="74">
        <f t="shared" si="241"/>
        <v>1909.7458150478669</v>
      </c>
      <c r="L1208" s="74">
        <f t="shared" si="242"/>
        <v>15894.314372948053</v>
      </c>
      <c r="M1208" s="74">
        <f t="shared" si="243"/>
        <v>16008.63387251379</v>
      </c>
      <c r="N1208" s="74">
        <f t="shared" si="244"/>
        <v>16909.745815047867</v>
      </c>
      <c r="O1208" s="74">
        <f t="shared" si="245"/>
        <v>-39105.685627051949</v>
      </c>
      <c r="P1208" s="74">
        <f t="shared" si="246"/>
        <v>42605.095374747681</v>
      </c>
    </row>
    <row r="1209" spans="1:16" x14ac:dyDescent="0.3">
      <c r="A1209" s="72">
        <f t="shared" si="233"/>
        <v>450</v>
      </c>
      <c r="B1209" s="74">
        <f t="shared" si="234"/>
        <v>-27920.937081627708</v>
      </c>
      <c r="C1209" s="74">
        <f t="shared" si="235"/>
        <v>6120.3681120416286</v>
      </c>
      <c r="D1209" s="74">
        <f t="shared" si="236"/>
        <v>-12022.382533159684</v>
      </c>
      <c r="E1209" s="74">
        <f t="shared" si="237"/>
        <v>4029.3649699793618</v>
      </c>
      <c r="F1209" s="74">
        <f t="shared" si="231"/>
        <v>3577.7115305888765</v>
      </c>
      <c r="G1209" s="74">
        <f t="shared" si="232"/>
        <v>3978.6456259236038</v>
      </c>
      <c r="H1209" s="74">
        <f t="shared" si="238"/>
        <v>47920.937081627708</v>
      </c>
      <c r="I1209" s="74">
        <f t="shared" si="239"/>
        <v>13879.63188795837</v>
      </c>
      <c r="J1209" s="74">
        <f t="shared" si="240"/>
        <v>49890.483983687234</v>
      </c>
      <c r="K1209" s="74">
        <f t="shared" si="241"/>
        <v>7920.9370816277078</v>
      </c>
      <c r="L1209" s="74">
        <f t="shared" si="242"/>
        <v>13879.63188795837</v>
      </c>
      <c r="M1209" s="74">
        <f t="shared" si="243"/>
        <v>15980.783009487855</v>
      </c>
      <c r="N1209" s="74">
        <f t="shared" si="244"/>
        <v>22920.937081627708</v>
      </c>
      <c r="O1209" s="74">
        <f t="shared" si="245"/>
        <v>-41120.36811204163</v>
      </c>
      <c r="P1209" s="74">
        <f t="shared" si="246"/>
        <v>47077.107285492239</v>
      </c>
    </row>
    <row r="1210" spans="1:16" x14ac:dyDescent="0.3">
      <c r="A1210" s="72">
        <f t="shared" si="233"/>
        <v>450.5</v>
      </c>
      <c r="B1210" s="74">
        <f t="shared" si="234"/>
        <v>-33037.70046556033</v>
      </c>
      <c r="C1210" s="74">
        <f t="shared" si="235"/>
        <v>9129.7120035122098</v>
      </c>
      <c r="D1210" s="74">
        <f t="shared" si="236"/>
        <v>-10233.526767865245</v>
      </c>
      <c r="E1210" s="74">
        <f t="shared" si="237"/>
        <v>6018.6877829411642</v>
      </c>
      <c r="F1210" s="74">
        <f t="shared" si="231"/>
        <v>4515.1102763755662</v>
      </c>
      <c r="G1210" s="74">
        <f t="shared" si="232"/>
        <v>2593.9953622969865</v>
      </c>
      <c r="H1210" s="74">
        <f t="shared" si="238"/>
        <v>53037.70046556033</v>
      </c>
      <c r="I1210" s="74">
        <f t="shared" si="239"/>
        <v>10870.28799648779</v>
      </c>
      <c r="J1210" s="74">
        <f t="shared" si="240"/>
        <v>54140.196082033959</v>
      </c>
      <c r="K1210" s="74">
        <f t="shared" si="241"/>
        <v>13037.70046556033</v>
      </c>
      <c r="L1210" s="74">
        <f t="shared" si="242"/>
        <v>10870.28799648779</v>
      </c>
      <c r="M1210" s="74">
        <f t="shared" si="243"/>
        <v>16974.828262938587</v>
      </c>
      <c r="N1210" s="74">
        <f t="shared" si="244"/>
        <v>28037.70046556033</v>
      </c>
      <c r="O1210" s="74">
        <f t="shared" si="245"/>
        <v>-44129.712003512206</v>
      </c>
      <c r="P1210" s="74">
        <f t="shared" si="246"/>
        <v>52283.306407584932</v>
      </c>
    </row>
    <row r="1211" spans="1:16" x14ac:dyDescent="0.3">
      <c r="A1211" s="72">
        <f t="shared" si="233"/>
        <v>451</v>
      </c>
      <c r="B1211" s="74">
        <f t="shared" si="234"/>
        <v>-37025.686280399059</v>
      </c>
      <c r="C1211" s="74">
        <f t="shared" si="235"/>
        <v>12787.554735557038</v>
      </c>
      <c r="D1211" s="74">
        <f t="shared" si="236"/>
        <v>-7975.9716296774623</v>
      </c>
      <c r="E1211" s="74">
        <f t="shared" si="237"/>
        <v>7315.6854640896572</v>
      </c>
      <c r="F1211" s="74">
        <f t="shared" si="231"/>
        <v>4594.4191252079136</v>
      </c>
      <c r="G1211" s="74">
        <f t="shared" si="232"/>
        <v>1237.254115847669</v>
      </c>
      <c r="H1211" s="74">
        <f t="shared" si="238"/>
        <v>57025.686280399059</v>
      </c>
      <c r="I1211" s="74">
        <f t="shared" si="239"/>
        <v>7212.4452644429621</v>
      </c>
      <c r="J1211" s="74">
        <f t="shared" si="240"/>
        <v>57479.981406078055</v>
      </c>
      <c r="K1211" s="74">
        <f t="shared" si="241"/>
        <v>17025.686280399059</v>
      </c>
      <c r="L1211" s="74">
        <f t="shared" si="242"/>
        <v>7212.4452644429621</v>
      </c>
      <c r="M1211" s="74">
        <f t="shared" si="243"/>
        <v>18490.358569026033</v>
      </c>
      <c r="N1211" s="74">
        <f t="shared" si="244"/>
        <v>32025.686280399059</v>
      </c>
      <c r="O1211" s="74">
        <f t="shared" si="245"/>
        <v>-47787.554735557038</v>
      </c>
      <c r="P1211" s="74">
        <f t="shared" si="246"/>
        <v>57526.471900633711</v>
      </c>
    </row>
    <row r="1212" spans="1:16" x14ac:dyDescent="0.3">
      <c r="A1212" s="72">
        <f t="shared" si="233"/>
        <v>451.5</v>
      </c>
      <c r="B1212" s="74">
        <f t="shared" si="234"/>
        <v>-39865.067313935811</v>
      </c>
      <c r="C1212" s="74">
        <f t="shared" si="235"/>
        <v>16754.710996563783</v>
      </c>
      <c r="D1212" s="74">
        <f t="shared" si="236"/>
        <v>-5678.762067073505</v>
      </c>
      <c r="E1212" s="74">
        <f t="shared" si="237"/>
        <v>7934.3125220134916</v>
      </c>
      <c r="F1212" s="74">
        <f t="shared" si="231"/>
        <v>4269.7133129057311</v>
      </c>
      <c r="G1212" s="74">
        <f t="shared" si="232"/>
        <v>236.28248464871029</v>
      </c>
      <c r="H1212" s="74">
        <f t="shared" si="238"/>
        <v>59865.067313935811</v>
      </c>
      <c r="I1212" s="74">
        <f t="shared" si="239"/>
        <v>3245.2890034362172</v>
      </c>
      <c r="J1212" s="74">
        <f t="shared" si="240"/>
        <v>59952.96644218608</v>
      </c>
      <c r="K1212" s="74">
        <f t="shared" si="241"/>
        <v>19865.067313935811</v>
      </c>
      <c r="L1212" s="74">
        <f t="shared" si="242"/>
        <v>3245.2890034362172</v>
      </c>
      <c r="M1212" s="74">
        <f t="shared" si="243"/>
        <v>20128.40778857148</v>
      </c>
      <c r="N1212" s="74">
        <f t="shared" si="244"/>
        <v>34865.067313935811</v>
      </c>
      <c r="O1212" s="74">
        <f t="shared" si="245"/>
        <v>-51754.710996563779</v>
      </c>
      <c r="P1212" s="74">
        <f t="shared" si="246"/>
        <v>62402.908819566379</v>
      </c>
    </row>
    <row r="1213" spans="1:16" x14ac:dyDescent="0.3">
      <c r="A1213" s="72">
        <f t="shared" si="233"/>
        <v>452</v>
      </c>
      <c r="B1213" s="74">
        <f t="shared" si="234"/>
        <v>-41637.020019246134</v>
      </c>
      <c r="C1213" s="74">
        <f t="shared" si="235"/>
        <v>20780.937878732704</v>
      </c>
      <c r="D1213" s="74">
        <f t="shared" si="236"/>
        <v>-3543.9054106206395</v>
      </c>
      <c r="E1213" s="74">
        <f t="shared" si="237"/>
        <v>8052.4537643378471</v>
      </c>
      <c r="F1213" s="74">
        <f t="shared" si="231"/>
        <v>3847.0309075868417</v>
      </c>
      <c r="G1213" s="74">
        <f t="shared" si="232"/>
        <v>-445.93276087776917</v>
      </c>
      <c r="H1213" s="74">
        <f t="shared" si="238"/>
        <v>61637.020019246134</v>
      </c>
      <c r="I1213" s="74">
        <f t="shared" si="239"/>
        <v>-780.93787873270412</v>
      </c>
      <c r="J1213" s="74">
        <f t="shared" si="240"/>
        <v>61641.967042132812</v>
      </c>
      <c r="K1213" s="74">
        <f t="shared" si="241"/>
        <v>21637.020019246134</v>
      </c>
      <c r="L1213" s="74">
        <f t="shared" si="242"/>
        <v>-780.93787873270412</v>
      </c>
      <c r="M1213" s="74">
        <f t="shared" si="243"/>
        <v>21651.108500113744</v>
      </c>
      <c r="N1213" s="74">
        <f t="shared" si="244"/>
        <v>36637.020019246134</v>
      </c>
      <c r="O1213" s="74">
        <f t="shared" si="245"/>
        <v>-55780.9378787327</v>
      </c>
      <c r="P1213" s="74">
        <f t="shared" si="246"/>
        <v>66736.678569746626</v>
      </c>
    </row>
    <row r="1214" spans="1:16" x14ac:dyDescent="0.3">
      <c r="A1214" s="72">
        <f t="shared" si="233"/>
        <v>452.5</v>
      </c>
      <c r="B1214" s="74">
        <f t="shared" si="234"/>
        <v>-42447.21499765975</v>
      </c>
      <c r="C1214" s="74">
        <f t="shared" si="235"/>
        <v>24695.681570682187</v>
      </c>
      <c r="D1214" s="74">
        <f t="shared" si="236"/>
        <v>-1620.3899568272186</v>
      </c>
      <c r="E1214" s="74">
        <f t="shared" si="237"/>
        <v>7829.4873838989624</v>
      </c>
      <c r="F1214" s="74">
        <f t="shared" si="231"/>
        <v>3449.6965180793782</v>
      </c>
      <c r="G1214" s="74">
        <f t="shared" si="232"/>
        <v>-920.20758864485401</v>
      </c>
      <c r="H1214" s="74">
        <f t="shared" si="238"/>
        <v>62447.21499765975</v>
      </c>
      <c r="I1214" s="74">
        <f t="shared" si="239"/>
        <v>-4695.6815706821872</v>
      </c>
      <c r="J1214" s="74">
        <f t="shared" si="240"/>
        <v>62623.510651968281</v>
      </c>
      <c r="K1214" s="74">
        <f t="shared" si="241"/>
        <v>22447.21499765975</v>
      </c>
      <c r="L1214" s="74">
        <f t="shared" si="242"/>
        <v>-4695.6815706821872</v>
      </c>
      <c r="M1214" s="74">
        <f t="shared" si="243"/>
        <v>22933.095878324086</v>
      </c>
      <c r="N1214" s="74">
        <f t="shared" si="244"/>
        <v>37447.21499765975</v>
      </c>
      <c r="O1214" s="74">
        <f t="shared" si="245"/>
        <v>-59695.681570682187</v>
      </c>
      <c r="P1214" s="74">
        <f t="shared" si="246"/>
        <v>70468.917327210569</v>
      </c>
    </row>
    <row r="1215" spans="1:16" x14ac:dyDescent="0.3">
      <c r="A1215" s="72">
        <f t="shared" si="233"/>
        <v>453</v>
      </c>
      <c r="B1215" s="74">
        <f t="shared" si="234"/>
        <v>-42394.985846553514</v>
      </c>
      <c r="C1215" s="74">
        <f t="shared" si="235"/>
        <v>28380.373365470452</v>
      </c>
      <c r="D1215" s="74">
        <f t="shared" si="236"/>
        <v>104.45830221247047</v>
      </c>
      <c r="E1215" s="74">
        <f t="shared" si="237"/>
        <v>7369.3835895765351</v>
      </c>
      <c r="F1215" s="74">
        <f t="shared" si="231"/>
        <v>3110.5162464686159</v>
      </c>
      <c r="G1215" s="74">
        <f t="shared" si="232"/>
        <v>-1275.8110471277446</v>
      </c>
      <c r="H1215" s="74">
        <f t="shared" si="238"/>
        <v>62394.985846553514</v>
      </c>
      <c r="I1215" s="74">
        <f t="shared" si="239"/>
        <v>-8380.373365470452</v>
      </c>
      <c r="J1215" s="74">
        <f t="shared" si="240"/>
        <v>62955.261229990145</v>
      </c>
      <c r="K1215" s="74">
        <f t="shared" si="241"/>
        <v>22394.985846553514</v>
      </c>
      <c r="L1215" s="74">
        <f t="shared" si="242"/>
        <v>-8380.373365470452</v>
      </c>
      <c r="M1215" s="74">
        <f t="shared" si="243"/>
        <v>23911.629990697387</v>
      </c>
      <c r="N1215" s="74">
        <f t="shared" si="244"/>
        <v>37394.985846553514</v>
      </c>
      <c r="O1215" s="74">
        <f t="shared" si="245"/>
        <v>-63380.373365470456</v>
      </c>
      <c r="P1215" s="74">
        <f t="shared" si="246"/>
        <v>73589.7866175081</v>
      </c>
    </row>
    <row r="1216" spans="1:16" x14ac:dyDescent="0.3">
      <c r="A1216" s="72">
        <f t="shared" si="233"/>
        <v>453.5</v>
      </c>
      <c r="B1216" s="74">
        <f t="shared" si="234"/>
        <v>-41565.127633830125</v>
      </c>
      <c r="C1216" s="74">
        <f t="shared" si="235"/>
        <v>31746.112398476784</v>
      </c>
      <c r="D1216" s="74">
        <f t="shared" si="236"/>
        <v>1659.7164254467784</v>
      </c>
      <c r="E1216" s="74">
        <f t="shared" si="237"/>
        <v>6731.4780660126626</v>
      </c>
      <c r="F1216" s="74">
        <f t="shared" si="231"/>
        <v>2828.2876240033715</v>
      </c>
      <c r="G1216" s="74">
        <f t="shared" si="232"/>
        <v>-1572.4683014465297</v>
      </c>
      <c r="H1216" s="74">
        <f t="shared" si="238"/>
        <v>61565.127633830125</v>
      </c>
      <c r="I1216" s="74">
        <f t="shared" si="239"/>
        <v>-11746.112398476784</v>
      </c>
      <c r="J1216" s="74">
        <f t="shared" si="240"/>
        <v>62675.641975550949</v>
      </c>
      <c r="K1216" s="74">
        <f t="shared" si="241"/>
        <v>21565.127633830125</v>
      </c>
      <c r="L1216" s="74">
        <f t="shared" si="242"/>
        <v>-11746.112398476784</v>
      </c>
      <c r="M1216" s="74">
        <f t="shared" si="243"/>
        <v>24556.585396610695</v>
      </c>
      <c r="N1216" s="74">
        <f t="shared" si="244"/>
        <v>36565.127633830125</v>
      </c>
      <c r="O1216" s="74">
        <f t="shared" si="245"/>
        <v>-66746.112398476776</v>
      </c>
      <c r="P1216" s="74">
        <f t="shared" si="246"/>
        <v>76105.532513664089</v>
      </c>
    </row>
    <row r="1217" spans="1:16" x14ac:dyDescent="0.3">
      <c r="A1217" s="72">
        <f t="shared" si="233"/>
        <v>454</v>
      </c>
      <c r="B1217" s="74">
        <f t="shared" si="234"/>
        <v>-40028.197515105894</v>
      </c>
      <c r="C1217" s="74">
        <f t="shared" si="235"/>
        <v>34718.73435612148</v>
      </c>
      <c r="D1217" s="74">
        <f t="shared" si="236"/>
        <v>3073.8602374484644</v>
      </c>
      <c r="E1217" s="74">
        <f t="shared" si="237"/>
        <v>5945.2439152893976</v>
      </c>
      <c r="F1217" s="74">
        <f t="shared" si="231"/>
        <v>2590.6601948056755</v>
      </c>
      <c r="G1217" s="74">
        <f t="shared" si="232"/>
        <v>-1850.0002121771581</v>
      </c>
      <c r="H1217" s="74">
        <f t="shared" si="238"/>
        <v>60028.197515105894</v>
      </c>
      <c r="I1217" s="74">
        <f t="shared" si="239"/>
        <v>-14718.73435612148</v>
      </c>
      <c r="J1217" s="74">
        <f t="shared" si="240"/>
        <v>61806.355967316471</v>
      </c>
      <c r="K1217" s="74">
        <f t="shared" si="241"/>
        <v>20028.197515105894</v>
      </c>
      <c r="L1217" s="74">
        <f t="shared" si="242"/>
        <v>-14718.73435612148</v>
      </c>
      <c r="M1217" s="74">
        <f t="shared" si="243"/>
        <v>24854.9760963507</v>
      </c>
      <c r="N1217" s="74">
        <f t="shared" si="244"/>
        <v>35028.197515105894</v>
      </c>
      <c r="O1217" s="74">
        <f t="shared" si="245"/>
        <v>-69718.73435612148</v>
      </c>
      <c r="P1217" s="74">
        <f t="shared" si="246"/>
        <v>78023.564013551091</v>
      </c>
    </row>
    <row r="1218" spans="1:16" x14ac:dyDescent="0.3">
      <c r="A1218" s="72">
        <f t="shared" si="233"/>
        <v>454.5</v>
      </c>
      <c r="B1218" s="74">
        <f t="shared" si="234"/>
        <v>-37843.602347680244</v>
      </c>
      <c r="C1218" s="74">
        <f t="shared" si="235"/>
        <v>37228.856260721885</v>
      </c>
      <c r="D1218" s="74">
        <f t="shared" si="236"/>
        <v>4369.1903348513024</v>
      </c>
      <c r="E1218" s="74">
        <f t="shared" si="237"/>
        <v>5020.2438092008188</v>
      </c>
      <c r="F1218" s="74">
        <f t="shared" si="231"/>
        <v>2381.2203860213131</v>
      </c>
      <c r="G1218" s="74">
        <f t="shared" si="232"/>
        <v>-2137.2349421709991</v>
      </c>
      <c r="H1218" s="74">
        <f t="shared" si="238"/>
        <v>57843.602347680244</v>
      </c>
      <c r="I1218" s="74">
        <f t="shared" si="239"/>
        <v>-17228.856260721885</v>
      </c>
      <c r="J1218" s="74">
        <f t="shared" si="240"/>
        <v>60354.91546352439</v>
      </c>
      <c r="K1218" s="74">
        <f t="shared" si="241"/>
        <v>17843.602347680244</v>
      </c>
      <c r="L1218" s="74">
        <f t="shared" si="242"/>
        <v>-17228.856260721885</v>
      </c>
      <c r="M1218" s="74">
        <f t="shared" si="243"/>
        <v>24803.782630775404</v>
      </c>
      <c r="N1218" s="74">
        <f t="shared" si="244"/>
        <v>32843.602347680244</v>
      </c>
      <c r="O1218" s="74">
        <f t="shared" si="245"/>
        <v>-72228.856260721892</v>
      </c>
      <c r="P1218" s="74">
        <f t="shared" si="246"/>
        <v>79345.509588788773</v>
      </c>
    </row>
    <row r="1219" spans="1:16" x14ac:dyDescent="0.3">
      <c r="A1219" s="72">
        <f t="shared" si="233"/>
        <v>455</v>
      </c>
      <c r="B1219" s="74">
        <f t="shared" si="234"/>
        <v>-35063.702083749267</v>
      </c>
      <c r="C1219" s="74">
        <f t="shared" si="235"/>
        <v>39204.669429779547</v>
      </c>
      <c r="D1219" s="74">
        <f t="shared" si="236"/>
        <v>5559.8005278619585</v>
      </c>
      <c r="E1219" s="74">
        <f t="shared" si="237"/>
        <v>3951.6263381153194</v>
      </c>
      <c r="F1219" s="74">
        <f t="shared" si="231"/>
        <v>2179.8796343053491</v>
      </c>
      <c r="G1219" s="74">
        <f t="shared" si="232"/>
        <v>-2457.6993909710595</v>
      </c>
      <c r="H1219" s="74">
        <f t="shared" si="238"/>
        <v>55063.702083749267</v>
      </c>
      <c r="I1219" s="74">
        <f t="shared" si="239"/>
        <v>-19204.669429779547</v>
      </c>
      <c r="J1219" s="74">
        <f t="shared" si="240"/>
        <v>58316.640979012183</v>
      </c>
      <c r="K1219" s="74">
        <f t="shared" si="241"/>
        <v>15063.702083749267</v>
      </c>
      <c r="L1219" s="74">
        <f t="shared" si="242"/>
        <v>-19204.669429779547</v>
      </c>
      <c r="M1219" s="74">
        <f t="shared" si="243"/>
        <v>24407.671916327068</v>
      </c>
      <c r="N1219" s="74">
        <f t="shared" si="244"/>
        <v>30063.702083749267</v>
      </c>
      <c r="O1219" s="74">
        <f t="shared" si="245"/>
        <v>-74204.669429779547</v>
      </c>
      <c r="P1219" s="74">
        <f t="shared" si="246"/>
        <v>80063.469498662686</v>
      </c>
    </row>
    <row r="1220" spans="1:16" x14ac:dyDescent="0.3">
      <c r="A1220" s="72">
        <f t="shared" si="233"/>
        <v>455.5</v>
      </c>
      <c r="B1220" s="74">
        <f t="shared" si="234"/>
        <v>-31738.831911241949</v>
      </c>
      <c r="C1220" s="74">
        <f t="shared" si="235"/>
        <v>40566.057751094442</v>
      </c>
      <c r="D1220" s="74">
        <f t="shared" si="236"/>
        <v>6649.740345014633</v>
      </c>
      <c r="E1220" s="74">
        <f t="shared" si="237"/>
        <v>2722.7766426297894</v>
      </c>
      <c r="F1220" s="74">
        <f t="shared" si="231"/>
        <v>1959.7011454751371</v>
      </c>
      <c r="G1220" s="74">
        <f t="shared" si="232"/>
        <v>-2832.1597556316851</v>
      </c>
      <c r="H1220" s="74">
        <f t="shared" si="238"/>
        <v>51738.831911241949</v>
      </c>
      <c r="I1220" s="74">
        <f t="shared" si="239"/>
        <v>-20566.057751094442</v>
      </c>
      <c r="J1220" s="74">
        <f t="shared" si="240"/>
        <v>55676.471322822712</v>
      </c>
      <c r="K1220" s="74">
        <f t="shared" si="241"/>
        <v>11738.831911241949</v>
      </c>
      <c r="L1220" s="74">
        <f t="shared" si="242"/>
        <v>-20566.057751094442</v>
      </c>
      <c r="M1220" s="74">
        <f t="shared" si="243"/>
        <v>23680.43297876422</v>
      </c>
      <c r="N1220" s="74">
        <f t="shared" si="244"/>
        <v>26738.831911241949</v>
      </c>
      <c r="O1220" s="74">
        <f t="shared" si="245"/>
        <v>-75566.057751094442</v>
      </c>
      <c r="P1220" s="74">
        <f t="shared" si="246"/>
        <v>80157.309186495215</v>
      </c>
    </row>
    <row r="1221" spans="1:16" x14ac:dyDescent="0.3">
      <c r="A1221" s="72">
        <f t="shared" si="233"/>
        <v>456</v>
      </c>
      <c r="B1221" s="74">
        <f t="shared" si="234"/>
        <v>-27924.03645236585</v>
      </c>
      <c r="C1221" s="74">
        <f t="shared" si="235"/>
        <v>41219.406133501412</v>
      </c>
      <c r="D1221" s="74">
        <f t="shared" si="236"/>
        <v>7629.5909177522017</v>
      </c>
      <c r="E1221" s="74">
        <f t="shared" si="237"/>
        <v>1306.6967648139469</v>
      </c>
      <c r="F1221" s="74">
        <f t="shared" si="231"/>
        <v>1680.7623305529733</v>
      </c>
      <c r="G1221" s="74">
        <f t="shared" si="232"/>
        <v>-3276.7763925060576</v>
      </c>
      <c r="H1221" s="74">
        <f t="shared" si="238"/>
        <v>47924.03645236585</v>
      </c>
      <c r="I1221" s="74">
        <f t="shared" si="239"/>
        <v>-21219.406133501412</v>
      </c>
      <c r="J1221" s="74">
        <f t="shared" si="240"/>
        <v>52411.606219864771</v>
      </c>
      <c r="K1221" s="74">
        <f t="shared" si="241"/>
        <v>7924.03645236585</v>
      </c>
      <c r="L1221" s="74">
        <f t="shared" si="242"/>
        <v>-21219.406133501412</v>
      </c>
      <c r="M1221" s="74">
        <f t="shared" si="243"/>
        <v>22650.685427971053</v>
      </c>
      <c r="N1221" s="74">
        <f t="shared" si="244"/>
        <v>22924.03645236585</v>
      </c>
      <c r="O1221" s="74">
        <f t="shared" si="245"/>
        <v>-76219.406133501412</v>
      </c>
      <c r="P1221" s="74">
        <f t="shared" si="246"/>
        <v>79592.143573427093</v>
      </c>
    </row>
    <row r="1222" spans="1:16" x14ac:dyDescent="0.3">
      <c r="A1222" s="72">
        <f t="shared" si="233"/>
        <v>456.5</v>
      </c>
      <c r="B1222" s="74">
        <f t="shared" si="234"/>
        <v>-23689.050410851505</v>
      </c>
      <c r="C1222" s="74">
        <f t="shared" si="235"/>
        <v>41053.560417781868</v>
      </c>
      <c r="D1222" s="74">
        <f t="shared" si="236"/>
        <v>8469.9720830286878</v>
      </c>
      <c r="E1222" s="74">
        <f t="shared" si="237"/>
        <v>-331.69143143908195</v>
      </c>
      <c r="F1222" s="74">
        <f t="shared" si="231"/>
        <v>1281.9750530068493</v>
      </c>
      <c r="G1222" s="74">
        <f t="shared" si="232"/>
        <v>-3791.7593329717934</v>
      </c>
      <c r="H1222" s="74">
        <f t="shared" si="238"/>
        <v>43689.050410851502</v>
      </c>
      <c r="I1222" s="74">
        <f t="shared" si="239"/>
        <v>-21053.560417781868</v>
      </c>
      <c r="J1222" s="74">
        <f t="shared" si="240"/>
        <v>48497.273449825152</v>
      </c>
      <c r="K1222" s="74">
        <f t="shared" si="241"/>
        <v>3689.0504108515051</v>
      </c>
      <c r="L1222" s="74">
        <f t="shared" si="242"/>
        <v>-21053.560417781868</v>
      </c>
      <c r="M1222" s="74">
        <f t="shared" si="243"/>
        <v>21374.31868385505</v>
      </c>
      <c r="N1222" s="74">
        <f t="shared" si="244"/>
        <v>18689.050410851505</v>
      </c>
      <c r="O1222" s="74">
        <f t="shared" si="245"/>
        <v>-76053.560417781875</v>
      </c>
      <c r="P1222" s="74">
        <f t="shared" si="246"/>
        <v>78316.183879709992</v>
      </c>
    </row>
    <row r="1223" spans="1:16" x14ac:dyDescent="0.3">
      <c r="A1223" s="72">
        <f t="shared" si="233"/>
        <v>457</v>
      </c>
      <c r="B1223" s="74">
        <f t="shared" si="234"/>
        <v>-19133.570606085446</v>
      </c>
      <c r="C1223" s="74">
        <f t="shared" si="235"/>
        <v>39939.774868819375</v>
      </c>
      <c r="D1223" s="74">
        <f t="shared" si="236"/>
        <v>9110.9596095321122</v>
      </c>
      <c r="E1223" s="74">
        <f t="shared" si="237"/>
        <v>-2227.5710979249789</v>
      </c>
      <c r="F1223" s="74">
        <f t="shared" si="231"/>
        <v>679.32718090534411</v>
      </c>
      <c r="G1223" s="74">
        <f t="shared" si="232"/>
        <v>-4328.0825804804927</v>
      </c>
      <c r="H1223" s="74">
        <f t="shared" si="238"/>
        <v>39133.570606085443</v>
      </c>
      <c r="I1223" s="74">
        <f t="shared" si="239"/>
        <v>-19939.774868819375</v>
      </c>
      <c r="J1223" s="74">
        <f t="shared" si="240"/>
        <v>43920.735082654013</v>
      </c>
      <c r="K1223" s="74">
        <f t="shared" si="241"/>
        <v>-866.42939391455366</v>
      </c>
      <c r="L1223" s="74">
        <f t="shared" si="242"/>
        <v>-19939.774868819375</v>
      </c>
      <c r="M1223" s="74">
        <f t="shared" si="243"/>
        <v>19958.590173502733</v>
      </c>
      <c r="N1223" s="74">
        <f t="shared" si="244"/>
        <v>14133.570606085446</v>
      </c>
      <c r="O1223" s="74">
        <f t="shared" si="245"/>
        <v>-74939.774868819368</v>
      </c>
      <c r="P1223" s="74">
        <f t="shared" si="246"/>
        <v>76260.918401672388</v>
      </c>
    </row>
    <row r="1224" spans="1:16" x14ac:dyDescent="0.3">
      <c r="A1224" s="72">
        <f t="shared" si="233"/>
        <v>457.5</v>
      </c>
      <c r="B1224" s="74">
        <f t="shared" si="234"/>
        <v>-14408.259006093054</v>
      </c>
      <c r="C1224" s="74">
        <f t="shared" si="235"/>
        <v>37743.96867473676</v>
      </c>
      <c r="D1224" s="74">
        <f t="shared" si="236"/>
        <v>9450.6231999847842</v>
      </c>
      <c r="E1224" s="74">
        <f t="shared" si="237"/>
        <v>-4391.6123881652256</v>
      </c>
      <c r="F1224" s="74">
        <f t="shared" si="231"/>
        <v>-191.24075536699064</v>
      </c>
      <c r="G1224" s="74">
        <f t="shared" si="232"/>
        <v>-4717.0479234929708</v>
      </c>
      <c r="H1224" s="74">
        <f t="shared" si="238"/>
        <v>34408.259006093052</v>
      </c>
      <c r="I1224" s="74">
        <f t="shared" si="239"/>
        <v>-17743.96867473676</v>
      </c>
      <c r="J1224" s="74">
        <f t="shared" si="240"/>
        <v>38714.037662848124</v>
      </c>
      <c r="K1224" s="74">
        <f t="shared" si="241"/>
        <v>-5591.7409939069457</v>
      </c>
      <c r="L1224" s="74">
        <f t="shared" si="242"/>
        <v>-17743.96867473676</v>
      </c>
      <c r="M1224" s="74">
        <f t="shared" si="243"/>
        <v>18604.192851961594</v>
      </c>
      <c r="N1224" s="74">
        <f t="shared" si="244"/>
        <v>9408.2590060930543</v>
      </c>
      <c r="O1224" s="74">
        <f t="shared" si="245"/>
        <v>-72743.968674736767</v>
      </c>
      <c r="P1224" s="74">
        <f t="shared" si="246"/>
        <v>73349.848780190499</v>
      </c>
    </row>
    <row r="1225" spans="1:16" x14ac:dyDescent="0.3">
      <c r="A1225" s="72">
        <f t="shared" si="233"/>
        <v>458</v>
      </c>
      <c r="B1225" s="74">
        <f t="shared" si="234"/>
        <v>-9730.7575949424099</v>
      </c>
      <c r="C1225" s="74">
        <f t="shared" si="235"/>
        <v>34368.900499780902</v>
      </c>
      <c r="D1225" s="74">
        <f t="shared" si="236"/>
        <v>9355.0028223012887</v>
      </c>
      <c r="E1225" s="74">
        <f t="shared" si="237"/>
        <v>-6750.1363499117106</v>
      </c>
      <c r="F1225" s="74">
        <f t="shared" si="231"/>
        <v>-1191.2400296695616</v>
      </c>
      <c r="G1225" s="74">
        <f t="shared" si="232"/>
        <v>-4606.7212065890881</v>
      </c>
      <c r="H1225" s="74">
        <f t="shared" si="238"/>
        <v>29730.75759494241</v>
      </c>
      <c r="I1225" s="74">
        <f t="shared" si="239"/>
        <v>-14368.900499780902</v>
      </c>
      <c r="J1225" s="74">
        <f t="shared" si="240"/>
        <v>33020.951663176362</v>
      </c>
      <c r="K1225" s="74">
        <f t="shared" si="241"/>
        <v>-10269.24240505759</v>
      </c>
      <c r="L1225" s="74">
        <f t="shared" si="242"/>
        <v>-14368.900499780902</v>
      </c>
      <c r="M1225" s="74">
        <f t="shared" si="243"/>
        <v>17661.331805569953</v>
      </c>
      <c r="N1225" s="74">
        <f t="shared" si="244"/>
        <v>4730.7575949424099</v>
      </c>
      <c r="O1225" s="74">
        <f t="shared" si="245"/>
        <v>-69368.900499780895</v>
      </c>
      <c r="P1225" s="74">
        <f t="shared" si="246"/>
        <v>69530.025341363187</v>
      </c>
    </row>
    <row r="1226" spans="1:16" x14ac:dyDescent="0.3">
      <c r="A1226" s="72">
        <f t="shared" si="233"/>
        <v>458.5</v>
      </c>
      <c r="B1226" s="74">
        <f t="shared" si="234"/>
        <v>-5351.0661912091564</v>
      </c>
      <c r="C1226" s="74">
        <f t="shared" si="235"/>
        <v>29842.152023177772</v>
      </c>
      <c r="D1226" s="74">
        <f t="shared" si="236"/>
        <v>8759.3828074665071</v>
      </c>
      <c r="E1226" s="74">
        <f t="shared" si="237"/>
        <v>-9053.4969532062551</v>
      </c>
      <c r="F1226" s="74">
        <f t="shared" si="231"/>
        <v>-1673.5132173748254</v>
      </c>
      <c r="G1226" s="74">
        <f t="shared" si="232"/>
        <v>-3653.3734070728337</v>
      </c>
      <c r="H1226" s="74">
        <f t="shared" si="238"/>
        <v>25351.066191209156</v>
      </c>
      <c r="I1226" s="74">
        <f t="shared" si="239"/>
        <v>-9842.1520231777722</v>
      </c>
      <c r="J1226" s="74">
        <f t="shared" si="240"/>
        <v>27194.567720013685</v>
      </c>
      <c r="K1226" s="74">
        <f t="shared" si="241"/>
        <v>-14648.933808790844</v>
      </c>
      <c r="L1226" s="74">
        <f t="shared" si="242"/>
        <v>-9842.1520231777722</v>
      </c>
      <c r="M1226" s="74">
        <f t="shared" si="243"/>
        <v>17648.20722287898</v>
      </c>
      <c r="N1226" s="74">
        <f t="shared" si="244"/>
        <v>351.06619120915639</v>
      </c>
      <c r="O1226" s="74">
        <f t="shared" si="245"/>
        <v>-64842.152023177769</v>
      </c>
      <c r="P1226" s="74">
        <f t="shared" si="246"/>
        <v>64843.102381575693</v>
      </c>
    </row>
    <row r="1227" spans="1:16" x14ac:dyDescent="0.3">
      <c r="A1227" s="72">
        <f t="shared" si="233"/>
        <v>459</v>
      </c>
      <c r="B1227" s="74">
        <f t="shared" si="234"/>
        <v>-1389.7530918196092</v>
      </c>
      <c r="C1227" s="74">
        <f t="shared" si="235"/>
        <v>24402.060194806436</v>
      </c>
      <c r="D1227" s="74">
        <f t="shared" si="236"/>
        <v>7922.626198779094</v>
      </c>
      <c r="E1227" s="74">
        <f t="shared" si="237"/>
        <v>-10880.183656742673</v>
      </c>
      <c r="F1227" s="74">
        <f t="shared" si="231"/>
        <v>-753.14522760705063</v>
      </c>
      <c r="G1227" s="74">
        <f t="shared" si="232"/>
        <v>-2015.7620439049265</v>
      </c>
      <c r="H1227" s="74">
        <f t="shared" si="238"/>
        <v>21389.75309181961</v>
      </c>
      <c r="I1227" s="74">
        <f t="shared" si="239"/>
        <v>-4402.0601948064359</v>
      </c>
      <c r="J1227" s="74">
        <f t="shared" si="240"/>
        <v>21838.032678968724</v>
      </c>
      <c r="K1227" s="74">
        <f t="shared" si="241"/>
        <v>-18610.24690818039</v>
      </c>
      <c r="L1227" s="74">
        <f t="shared" si="242"/>
        <v>-4402.0601948064359</v>
      </c>
      <c r="M1227" s="74">
        <f t="shared" si="243"/>
        <v>19123.792091061256</v>
      </c>
      <c r="N1227" s="74">
        <f t="shared" si="244"/>
        <v>-3610.2469081803911</v>
      </c>
      <c r="O1227" s="74">
        <f t="shared" si="245"/>
        <v>-59402.060194806436</v>
      </c>
      <c r="P1227" s="74">
        <f t="shared" si="246"/>
        <v>59511.668083876066</v>
      </c>
    </row>
    <row r="1228" spans="1:16" x14ac:dyDescent="0.3">
      <c r="A1228" s="72">
        <f t="shared" si="233"/>
        <v>459.5</v>
      </c>
      <c r="B1228" s="74">
        <f t="shared" si="234"/>
        <v>2383.273700668175</v>
      </c>
      <c r="C1228" s="74">
        <f t="shared" si="235"/>
        <v>18458.027855458869</v>
      </c>
      <c r="D1228" s="74">
        <f t="shared" si="236"/>
        <v>7546.0535849755688</v>
      </c>
      <c r="E1228" s="74">
        <f t="shared" si="237"/>
        <v>-11888.064678695137</v>
      </c>
      <c r="F1228" s="74">
        <f t="shared" si="231"/>
        <v>1324.0198179821159</v>
      </c>
      <c r="G1228" s="74">
        <f t="shared" si="232"/>
        <v>6.1962661339331362</v>
      </c>
      <c r="H1228" s="74">
        <f t="shared" si="238"/>
        <v>17616.726299331825</v>
      </c>
      <c r="I1228" s="74">
        <f t="shared" si="239"/>
        <v>1541.9721445411305</v>
      </c>
      <c r="J1228" s="74">
        <f t="shared" si="240"/>
        <v>17684.081078758667</v>
      </c>
      <c r="K1228" s="74">
        <f t="shared" si="241"/>
        <v>-22383.273700668175</v>
      </c>
      <c r="L1228" s="74">
        <f t="shared" si="242"/>
        <v>1541.9721445411305</v>
      </c>
      <c r="M1228" s="74">
        <f t="shared" si="243"/>
        <v>22436.323666179454</v>
      </c>
      <c r="N1228" s="74">
        <f t="shared" si="244"/>
        <v>-7383.2737006681746</v>
      </c>
      <c r="O1228" s="74">
        <f t="shared" si="245"/>
        <v>-53458.027855458873</v>
      </c>
      <c r="P1228" s="74">
        <f t="shared" si="246"/>
        <v>53965.48408690498</v>
      </c>
    </row>
    <row r="1229" spans="1:16" x14ac:dyDescent="0.3">
      <c r="A1229" s="72">
        <f t="shared" si="233"/>
        <v>460</v>
      </c>
      <c r="B1229" s="74">
        <f t="shared" si="234"/>
        <v>6487.3054476514881</v>
      </c>
      <c r="C1229" s="74">
        <f t="shared" si="235"/>
        <v>12515.544582644785</v>
      </c>
      <c r="D1229" s="74">
        <f t="shared" si="236"/>
        <v>8208.063493966627</v>
      </c>
      <c r="E1229" s="74">
        <f t="shared" si="237"/>
        <v>-11884.966545628169</v>
      </c>
      <c r="F1229" s="74">
        <f t="shared" si="231"/>
        <v>2532.335265443236</v>
      </c>
      <c r="G1229" s="74">
        <f t="shared" si="232"/>
        <v>2487.7510087122705</v>
      </c>
      <c r="H1229" s="74">
        <f t="shared" si="238"/>
        <v>13512.694552348512</v>
      </c>
      <c r="I1229" s="74">
        <f t="shared" si="239"/>
        <v>7484.4554173552151</v>
      </c>
      <c r="J1229" s="74">
        <f t="shared" si="240"/>
        <v>15447.00576032284</v>
      </c>
      <c r="K1229" s="74">
        <f t="shared" si="241"/>
        <v>-26487.305447651488</v>
      </c>
      <c r="L1229" s="74">
        <f t="shared" si="242"/>
        <v>7484.4554173552151</v>
      </c>
      <c r="M1229" s="74">
        <f t="shared" si="243"/>
        <v>27524.433196190726</v>
      </c>
      <c r="N1229" s="74">
        <f t="shared" si="244"/>
        <v>-11487.305447651488</v>
      </c>
      <c r="O1229" s="74">
        <f t="shared" si="245"/>
        <v>-47515.544582644783</v>
      </c>
      <c r="P1229" s="74">
        <f t="shared" si="246"/>
        <v>48884.406137672857</v>
      </c>
    </row>
    <row r="1230" spans="1:16" x14ac:dyDescent="0.3">
      <c r="A1230" s="72">
        <f t="shared" si="233"/>
        <v>460.5</v>
      </c>
      <c r="B1230" s="74">
        <f t="shared" si="234"/>
        <v>11224.421010995611</v>
      </c>
      <c r="C1230" s="74">
        <f t="shared" si="235"/>
        <v>7194.9990620087683</v>
      </c>
      <c r="D1230" s="74">
        <f t="shared" si="236"/>
        <v>9474.2311266882443</v>
      </c>
      <c r="E1230" s="74">
        <f t="shared" si="237"/>
        <v>-10641.091041272033</v>
      </c>
      <c r="F1230" s="74">
        <f t="shared" si="231"/>
        <v>1392.935766037835</v>
      </c>
      <c r="G1230" s="74">
        <f t="shared" si="232"/>
        <v>4188.628150643699</v>
      </c>
      <c r="H1230" s="74">
        <f t="shared" si="238"/>
        <v>8775.5789890043889</v>
      </c>
      <c r="I1230" s="74">
        <f t="shared" si="239"/>
        <v>12805.000937991232</v>
      </c>
      <c r="J1230" s="74">
        <f t="shared" si="240"/>
        <v>15523.493022326245</v>
      </c>
      <c r="K1230" s="74">
        <f t="shared" si="241"/>
        <v>-31224.421010995611</v>
      </c>
      <c r="L1230" s="74">
        <f t="shared" si="242"/>
        <v>12805.000937991232</v>
      </c>
      <c r="M1230" s="74">
        <f t="shared" si="243"/>
        <v>33748.074263487397</v>
      </c>
      <c r="N1230" s="74">
        <f t="shared" si="244"/>
        <v>-16224.421010995611</v>
      </c>
      <c r="O1230" s="74">
        <f t="shared" si="245"/>
        <v>-42194.99906200877</v>
      </c>
      <c r="P1230" s="74">
        <f t="shared" si="246"/>
        <v>45206.744883755528</v>
      </c>
    </row>
    <row r="1231" spans="1:16" x14ac:dyDescent="0.3">
      <c r="A1231" s="72">
        <f t="shared" si="233"/>
        <v>461</v>
      </c>
      <c r="B1231" s="74">
        <f t="shared" si="234"/>
        <v>16309.770515849194</v>
      </c>
      <c r="C1231" s="74">
        <f t="shared" si="235"/>
        <v>2921.6105790336765</v>
      </c>
      <c r="D1231" s="74">
        <f t="shared" si="236"/>
        <v>10170.699009707161</v>
      </c>
      <c r="E1231" s="74">
        <f t="shared" si="237"/>
        <v>-8546.7769659501828</v>
      </c>
      <c r="F1231" s="74">
        <f t="shared" si="231"/>
        <v>-432.5537682526014</v>
      </c>
      <c r="G1231" s="74">
        <f t="shared" si="232"/>
        <v>4054.7269351683185</v>
      </c>
      <c r="H1231" s="74">
        <f t="shared" si="238"/>
        <v>3690.2294841508065</v>
      </c>
      <c r="I1231" s="74">
        <f t="shared" si="239"/>
        <v>17078.389420966323</v>
      </c>
      <c r="J1231" s="74">
        <f t="shared" si="240"/>
        <v>17472.526401750561</v>
      </c>
      <c r="K1231" s="74">
        <f t="shared" si="241"/>
        <v>-36309.770515849195</v>
      </c>
      <c r="L1231" s="74">
        <f t="shared" si="242"/>
        <v>17078.389420966323</v>
      </c>
      <c r="M1231" s="74">
        <f t="shared" si="243"/>
        <v>40125.687783859932</v>
      </c>
      <c r="N1231" s="74">
        <f t="shared" si="244"/>
        <v>-21309.770515849195</v>
      </c>
      <c r="O1231" s="74">
        <f t="shared" si="245"/>
        <v>-37921.610579033673</v>
      </c>
      <c r="P1231" s="74">
        <f t="shared" si="246"/>
        <v>43498.90651896935</v>
      </c>
    </row>
    <row r="1232" spans="1:16" x14ac:dyDescent="0.3">
      <c r="A1232" s="72">
        <f t="shared" si="233"/>
        <v>461.5</v>
      </c>
      <c r="B1232" s="74">
        <f t="shared" si="234"/>
        <v>21286.981578639621</v>
      </c>
      <c r="C1232" s="74">
        <f t="shared" si="235"/>
        <v>-338.09617014933531</v>
      </c>
      <c r="D1232" s="74">
        <f t="shared" si="236"/>
        <v>9954.4221255808607</v>
      </c>
      <c r="E1232" s="74">
        <f t="shared" si="237"/>
        <v>-6519.4134983660233</v>
      </c>
      <c r="F1232" s="74">
        <f t="shared" si="231"/>
        <v>-1481.6317128109806</v>
      </c>
      <c r="G1232" s="74">
        <f t="shared" si="232"/>
        <v>3152.328758200098</v>
      </c>
      <c r="H1232" s="74">
        <f t="shared" si="238"/>
        <v>-1286.9815786396211</v>
      </c>
      <c r="I1232" s="74">
        <f t="shared" si="239"/>
        <v>20338.096170149336</v>
      </c>
      <c r="J1232" s="74">
        <f t="shared" si="240"/>
        <v>20378.775169523826</v>
      </c>
      <c r="K1232" s="74">
        <f t="shared" si="241"/>
        <v>-41286.981578639621</v>
      </c>
      <c r="L1232" s="74">
        <f t="shared" si="242"/>
        <v>20338.096170149336</v>
      </c>
      <c r="M1232" s="74">
        <f t="shared" si="243"/>
        <v>46024.482655442967</v>
      </c>
      <c r="N1232" s="74">
        <f t="shared" si="244"/>
        <v>-26286.981578639621</v>
      </c>
      <c r="O1232" s="74">
        <f t="shared" si="245"/>
        <v>-34661.903829850664</v>
      </c>
      <c r="P1232" s="74">
        <f t="shared" si="246"/>
        <v>43502.333013593132</v>
      </c>
    </row>
    <row r="1233" spans="1:16" x14ac:dyDescent="0.3">
      <c r="A1233" s="72">
        <f t="shared" si="233"/>
        <v>462</v>
      </c>
      <c r="B1233" s="74">
        <f t="shared" si="234"/>
        <v>25893.784713227305</v>
      </c>
      <c r="C1233" s="74">
        <f t="shared" si="235"/>
        <v>-2809.7207297823225</v>
      </c>
      <c r="D1233" s="74">
        <f t="shared" si="236"/>
        <v>9213.6062691753705</v>
      </c>
      <c r="E1233" s="74">
        <f t="shared" si="237"/>
        <v>-4943.2491192659745</v>
      </c>
      <c r="F1233" s="74">
        <f t="shared" si="231"/>
        <v>-1862.3266946777933</v>
      </c>
      <c r="G1233" s="74">
        <f t="shared" si="232"/>
        <v>2342.9354779380483</v>
      </c>
      <c r="H1233" s="74">
        <f t="shared" si="238"/>
        <v>-5893.7847132273055</v>
      </c>
      <c r="I1233" s="74">
        <f t="shared" si="239"/>
        <v>22809.720729782322</v>
      </c>
      <c r="J1233" s="74">
        <f t="shared" si="240"/>
        <v>23558.863682625553</v>
      </c>
      <c r="K1233" s="74">
        <f t="shared" si="241"/>
        <v>-45893.784713227302</v>
      </c>
      <c r="L1233" s="74">
        <f t="shared" si="242"/>
        <v>22809.720729782322</v>
      </c>
      <c r="M1233" s="74">
        <f t="shared" si="243"/>
        <v>51249.61302365821</v>
      </c>
      <c r="N1233" s="74">
        <f t="shared" si="244"/>
        <v>-30893.784713227305</v>
      </c>
      <c r="O1233" s="74">
        <f t="shared" si="245"/>
        <v>-32190.279270217678</v>
      </c>
      <c r="P1233" s="74">
        <f t="shared" si="246"/>
        <v>44616.588993353616</v>
      </c>
    </row>
    <row r="1234" spans="1:16" x14ac:dyDescent="0.3">
      <c r="A1234" s="72">
        <f t="shared" si="233"/>
        <v>462.5</v>
      </c>
      <c r="B1234" s="74">
        <f t="shared" si="234"/>
        <v>30035.006174145543</v>
      </c>
      <c r="C1234" s="74">
        <f t="shared" si="235"/>
        <v>-4695.6114199307976</v>
      </c>
      <c r="D1234" s="74">
        <f t="shared" si="236"/>
        <v>8282.442921836473</v>
      </c>
      <c r="E1234" s="74">
        <f t="shared" si="237"/>
        <v>-3771.7813802969504</v>
      </c>
      <c r="F1234" s="74">
        <f t="shared" si="231"/>
        <v>-1929.7485491175325</v>
      </c>
      <c r="G1234" s="74">
        <f t="shared" si="232"/>
        <v>1781.4842828449468</v>
      </c>
      <c r="H1234" s="74">
        <f t="shared" si="238"/>
        <v>-10035.006174145543</v>
      </c>
      <c r="I1234" s="74">
        <f t="shared" si="239"/>
        <v>24695.611419930799</v>
      </c>
      <c r="J1234" s="74">
        <f t="shared" si="240"/>
        <v>26656.604665998926</v>
      </c>
      <c r="K1234" s="74">
        <f t="shared" si="241"/>
        <v>-50035.006174145543</v>
      </c>
      <c r="L1234" s="74">
        <f t="shared" si="242"/>
        <v>24695.611419930799</v>
      </c>
      <c r="M1234" s="74">
        <f t="shared" si="243"/>
        <v>55797.625991174566</v>
      </c>
      <c r="N1234" s="74">
        <f t="shared" si="244"/>
        <v>-35035.006174145543</v>
      </c>
      <c r="O1234" s="74">
        <f t="shared" si="245"/>
        <v>-30304.388580069201</v>
      </c>
      <c r="P1234" s="74">
        <f t="shared" si="246"/>
        <v>46322.862873901096</v>
      </c>
    </row>
    <row r="1235" spans="1:16" x14ac:dyDescent="0.3">
      <c r="A1235" s="72">
        <f t="shared" si="233"/>
        <v>463</v>
      </c>
      <c r="B1235" s="74">
        <f t="shared" si="234"/>
        <v>33693.790497784394</v>
      </c>
      <c r="C1235" s="74">
        <f t="shared" si="235"/>
        <v>-6136.131039368036</v>
      </c>
      <c r="D1235" s="74">
        <f t="shared" si="236"/>
        <v>7317.568647277707</v>
      </c>
      <c r="E1235" s="74">
        <f t="shared" si="237"/>
        <v>-2881.0392388744767</v>
      </c>
      <c r="F1235" s="74">
        <f t="shared" si="231"/>
        <v>-1879.2630758838686</v>
      </c>
      <c r="G1235" s="74">
        <f t="shared" si="232"/>
        <v>1411.1329054207317</v>
      </c>
      <c r="H1235" s="74">
        <f t="shared" si="238"/>
        <v>-13693.790497784394</v>
      </c>
      <c r="I1235" s="74">
        <f t="shared" si="239"/>
        <v>26136.131039368036</v>
      </c>
      <c r="J1235" s="74">
        <f t="shared" si="240"/>
        <v>29506.223816412486</v>
      </c>
      <c r="K1235" s="74">
        <f t="shared" si="241"/>
        <v>-53693.790497784394</v>
      </c>
      <c r="L1235" s="74">
        <f t="shared" si="242"/>
        <v>26136.131039368036</v>
      </c>
      <c r="M1235" s="74">
        <f t="shared" si="243"/>
        <v>59717.003304979895</v>
      </c>
      <c r="N1235" s="74">
        <f t="shared" si="244"/>
        <v>-38693.790497784394</v>
      </c>
      <c r="O1235" s="74">
        <f t="shared" si="245"/>
        <v>-28863.868960631964</v>
      </c>
      <c r="P1235" s="74">
        <f t="shared" si="246"/>
        <v>48273.516077275366</v>
      </c>
    </row>
    <row r="1236" spans="1:16" x14ac:dyDescent="0.3">
      <c r="A1236" s="72">
        <f t="shared" si="233"/>
        <v>463.5</v>
      </c>
      <c r="B1236" s="74">
        <f t="shared" si="234"/>
        <v>36882.759052452275</v>
      </c>
      <c r="C1236" s="74">
        <f t="shared" si="235"/>
        <v>-7223.8674324500917</v>
      </c>
      <c r="D1236" s="74">
        <f t="shared" si="236"/>
        <v>6377.9371093357731</v>
      </c>
      <c r="E1236" s="74">
        <f t="shared" si="237"/>
        <v>-2175.4727861641109</v>
      </c>
      <c r="F1236" s="74">
        <f t="shared" si="231"/>
        <v>-1794.3828906374647</v>
      </c>
      <c r="G1236" s="74">
        <f t="shared" si="232"/>
        <v>1164.6224258826201</v>
      </c>
      <c r="H1236" s="74">
        <f t="shared" si="238"/>
        <v>-16882.759052452275</v>
      </c>
      <c r="I1236" s="74">
        <f t="shared" si="239"/>
        <v>27223.86743245009</v>
      </c>
      <c r="J1236" s="74">
        <f t="shared" si="240"/>
        <v>32033.833851145198</v>
      </c>
      <c r="K1236" s="74">
        <f t="shared" si="241"/>
        <v>-56882.759052452275</v>
      </c>
      <c r="L1236" s="74">
        <f t="shared" si="242"/>
        <v>27223.86743245009</v>
      </c>
      <c r="M1236" s="74">
        <f t="shared" si="243"/>
        <v>63061.77317043153</v>
      </c>
      <c r="N1236" s="74">
        <f t="shared" si="244"/>
        <v>-41882.759052452275</v>
      </c>
      <c r="O1236" s="74">
        <f t="shared" si="245"/>
        <v>-27776.13256754991</v>
      </c>
      <c r="P1236" s="74">
        <f t="shared" si="246"/>
        <v>50256.134414177541</v>
      </c>
    </row>
    <row r="1237" spans="1:16" x14ac:dyDescent="0.3">
      <c r="A1237" s="72">
        <f t="shared" si="233"/>
        <v>464</v>
      </c>
      <c r="B1237" s="74">
        <f t="shared" si="234"/>
        <v>39623.131884460796</v>
      </c>
      <c r="C1237" s="74">
        <f t="shared" si="235"/>
        <v>-8020.4482190614926</v>
      </c>
      <c r="D1237" s="74">
        <f t="shared" si="236"/>
        <v>5480.7456640170403</v>
      </c>
      <c r="E1237" s="74">
        <f t="shared" si="237"/>
        <v>-1593.1615732228008</v>
      </c>
      <c r="F1237" s="74">
        <f t="shared" si="231"/>
        <v>-1708.1256133395314</v>
      </c>
      <c r="G1237" s="74">
        <f t="shared" si="232"/>
        <v>996.61960430473732</v>
      </c>
      <c r="H1237" s="74">
        <f t="shared" si="238"/>
        <v>-19623.131884460796</v>
      </c>
      <c r="I1237" s="74">
        <f t="shared" si="239"/>
        <v>28020.448219061494</v>
      </c>
      <c r="J1237" s="74">
        <f t="shared" si="240"/>
        <v>34208.373585308735</v>
      </c>
      <c r="K1237" s="74">
        <f t="shared" si="241"/>
        <v>-59623.131884460796</v>
      </c>
      <c r="L1237" s="74">
        <f t="shared" si="242"/>
        <v>28020.448219061494</v>
      </c>
      <c r="M1237" s="74">
        <f t="shared" si="243"/>
        <v>65879.157357307718</v>
      </c>
      <c r="N1237" s="74">
        <f t="shared" si="244"/>
        <v>-44623.131884460796</v>
      </c>
      <c r="O1237" s="74">
        <f t="shared" si="245"/>
        <v>-26979.551780938506</v>
      </c>
      <c r="P1237" s="74">
        <f t="shared" si="246"/>
        <v>52145.183032359986</v>
      </c>
    </row>
    <row r="1238" spans="1:16" x14ac:dyDescent="0.3">
      <c r="A1238" s="72">
        <f t="shared" si="233"/>
        <v>464.5</v>
      </c>
      <c r="B1238" s="74">
        <f t="shared" si="234"/>
        <v>41936.473313134433</v>
      </c>
      <c r="C1238" s="74">
        <f t="shared" si="235"/>
        <v>-8567.874104596709</v>
      </c>
      <c r="D1238" s="74">
        <f t="shared" si="236"/>
        <v>4626.6828573472749</v>
      </c>
      <c r="E1238" s="74">
        <f t="shared" si="237"/>
        <v>-1094.8517710704323</v>
      </c>
      <c r="F1238" s="74">
        <f t="shared" si="231"/>
        <v>-1632.7623706325285</v>
      </c>
      <c r="G1238" s="74">
        <f t="shared" si="232"/>
        <v>879.6355975672077</v>
      </c>
      <c r="H1238" s="74">
        <f t="shared" si="238"/>
        <v>-21936.473313134433</v>
      </c>
      <c r="I1238" s="74">
        <f t="shared" si="239"/>
        <v>28567.874104596711</v>
      </c>
      <c r="J1238" s="74">
        <f t="shared" si="240"/>
        <v>36018.499306244652</v>
      </c>
      <c r="K1238" s="74">
        <f t="shared" si="241"/>
        <v>-61936.473313134433</v>
      </c>
      <c r="L1238" s="74">
        <f t="shared" si="242"/>
        <v>28567.874104596711</v>
      </c>
      <c r="M1238" s="74">
        <f t="shared" si="243"/>
        <v>68207.405443431882</v>
      </c>
      <c r="N1238" s="74">
        <f t="shared" si="244"/>
        <v>-46936.473313134433</v>
      </c>
      <c r="O1238" s="74">
        <f t="shared" si="245"/>
        <v>-26432.125895403289</v>
      </c>
      <c r="P1238" s="74">
        <f t="shared" si="246"/>
        <v>53867.335245258138</v>
      </c>
    </row>
    <row r="1239" spans="1:16" x14ac:dyDescent="0.3">
      <c r="A1239" s="72">
        <f t="shared" si="233"/>
        <v>465</v>
      </c>
      <c r="B1239" s="74">
        <f t="shared" si="234"/>
        <v>43841.624149149939</v>
      </c>
      <c r="C1239" s="74">
        <f t="shared" si="235"/>
        <v>-8895.3910907401241</v>
      </c>
      <c r="D1239" s="74">
        <f t="shared" si="236"/>
        <v>3810.3016720310106</v>
      </c>
      <c r="E1239" s="74">
        <f t="shared" si="237"/>
        <v>-655.03397228682843</v>
      </c>
      <c r="F1239" s="74">
        <f t="shared" si="231"/>
        <v>-1572.3083972473894</v>
      </c>
      <c r="G1239" s="74">
        <f t="shared" si="232"/>
        <v>797.25324018293679</v>
      </c>
      <c r="H1239" s="74">
        <f t="shared" si="238"/>
        <v>-23841.624149149939</v>
      </c>
      <c r="I1239" s="74">
        <f t="shared" si="239"/>
        <v>28895.391090740122</v>
      </c>
      <c r="J1239" s="74">
        <f t="shared" si="240"/>
        <v>37461.535851539149</v>
      </c>
      <c r="K1239" s="74">
        <f t="shared" si="241"/>
        <v>-63841.624149149939</v>
      </c>
      <c r="L1239" s="74">
        <f t="shared" si="242"/>
        <v>28895.391090740122</v>
      </c>
      <c r="M1239" s="74">
        <f t="shared" si="243"/>
        <v>70076.362635971251</v>
      </c>
      <c r="N1239" s="74">
        <f t="shared" si="244"/>
        <v>-48841.624149149939</v>
      </c>
      <c r="O1239" s="74">
        <f t="shared" si="245"/>
        <v>-26104.608909259878</v>
      </c>
      <c r="P1239" s="74">
        <f t="shared" si="246"/>
        <v>55380.094400716189</v>
      </c>
    </row>
    <row r="1240" spans="1:16" x14ac:dyDescent="0.3">
      <c r="A1240" s="72">
        <f t="shared" si="233"/>
        <v>465.5</v>
      </c>
      <c r="B1240" s="74">
        <f t="shared" si="234"/>
        <v>45353.697885853595</v>
      </c>
      <c r="C1240" s="74">
        <f t="shared" si="235"/>
        <v>-9023.594766837803</v>
      </c>
      <c r="D1240" s="74">
        <f t="shared" si="236"/>
        <v>3024.1474734073158</v>
      </c>
      <c r="E1240" s="74">
        <f t="shared" si="237"/>
        <v>-256.40735219536003</v>
      </c>
      <c r="F1240" s="74">
        <f t="shared" si="231"/>
        <v>-1527.6595143328079</v>
      </c>
      <c r="G1240" s="74">
        <f t="shared" si="232"/>
        <v>739.59892862024856</v>
      </c>
      <c r="H1240" s="74">
        <f t="shared" si="238"/>
        <v>-25353.697885853595</v>
      </c>
      <c r="I1240" s="74">
        <f t="shared" si="239"/>
        <v>29023.594766837803</v>
      </c>
      <c r="J1240" s="74">
        <f t="shared" si="240"/>
        <v>38538.020832377362</v>
      </c>
      <c r="K1240" s="74">
        <f t="shared" si="241"/>
        <v>-65353.697885853595</v>
      </c>
      <c r="L1240" s="74">
        <f t="shared" si="242"/>
        <v>29023.594766837803</v>
      </c>
      <c r="M1240" s="74">
        <f t="shared" si="243"/>
        <v>71508.565085205279</v>
      </c>
      <c r="N1240" s="74">
        <f t="shared" si="244"/>
        <v>-50353.697885853595</v>
      </c>
      <c r="O1240" s="74">
        <f t="shared" si="245"/>
        <v>-25976.405233162197</v>
      </c>
      <c r="P1240" s="74">
        <f t="shared" si="246"/>
        <v>56659.231548065254</v>
      </c>
    </row>
    <row r="1241" spans="1:16" x14ac:dyDescent="0.3">
      <c r="A1241" s="72">
        <f t="shared" si="233"/>
        <v>466</v>
      </c>
      <c r="B1241" s="74">
        <f t="shared" si="234"/>
        <v>46483.856743974051</v>
      </c>
      <c r="C1241" s="74">
        <f t="shared" si="235"/>
        <v>-8966.8987107804223</v>
      </c>
      <c r="D1241" s="74">
        <f t="shared" si="236"/>
        <v>2260.317716240912</v>
      </c>
      <c r="E1241" s="74">
        <f t="shared" si="237"/>
        <v>113.39211211476425</v>
      </c>
      <c r="F1241" s="74">
        <f t="shared" si="231"/>
        <v>-1498.7306939700484</v>
      </c>
      <c r="G1241" s="74">
        <f t="shared" si="232"/>
        <v>700.73538476257943</v>
      </c>
      <c r="H1241" s="74">
        <f t="shared" si="238"/>
        <v>-26483.856743974051</v>
      </c>
      <c r="I1241" s="74">
        <f t="shared" si="239"/>
        <v>28966.898710780421</v>
      </c>
      <c r="J1241" s="74">
        <f t="shared" si="240"/>
        <v>39248.896659090329</v>
      </c>
      <c r="K1241" s="74">
        <f t="shared" si="241"/>
        <v>-66483.856743974058</v>
      </c>
      <c r="L1241" s="74">
        <f t="shared" si="242"/>
        <v>28966.898710780421</v>
      </c>
      <c r="M1241" s="74">
        <f t="shared" si="243"/>
        <v>72520.234614029469</v>
      </c>
      <c r="N1241" s="74">
        <f t="shared" si="244"/>
        <v>-51483.856743974051</v>
      </c>
      <c r="O1241" s="74">
        <f t="shared" si="245"/>
        <v>-26033.101289219579</v>
      </c>
      <c r="P1241" s="74">
        <f t="shared" si="246"/>
        <v>57691.506029647106</v>
      </c>
    </row>
    <row r="1242" spans="1:16" x14ac:dyDescent="0.3">
      <c r="A1242" s="72">
        <f t="shared" si="233"/>
        <v>466.5</v>
      </c>
      <c r="B1242" s="74">
        <f t="shared" si="234"/>
        <v>47239.332928601994</v>
      </c>
      <c r="C1242" s="74">
        <f t="shared" si="235"/>
        <v>-8735.0188085323953</v>
      </c>
      <c r="D1242" s="74">
        <f t="shared" si="236"/>
        <v>1510.9523692558878</v>
      </c>
      <c r="E1242" s="74">
        <f t="shared" si="237"/>
        <v>463.75980449605396</v>
      </c>
      <c r="F1242" s="74">
        <f t="shared" si="231"/>
        <v>-1485.3779855652613</v>
      </c>
      <c r="G1242" s="74">
        <f t="shared" si="232"/>
        <v>677.22979259083104</v>
      </c>
      <c r="H1242" s="74">
        <f t="shared" si="238"/>
        <v>-27239.332928601994</v>
      </c>
      <c r="I1242" s="74">
        <f t="shared" si="239"/>
        <v>28735.018808532397</v>
      </c>
      <c r="J1242" s="74">
        <f t="shared" si="240"/>
        <v>39593.971312839174</v>
      </c>
      <c r="K1242" s="74">
        <f t="shared" si="241"/>
        <v>-67239.332928602002</v>
      </c>
      <c r="L1242" s="74">
        <f t="shared" si="242"/>
        <v>28735.018808532397</v>
      </c>
      <c r="M1242" s="74">
        <f t="shared" si="243"/>
        <v>73122.015827041396</v>
      </c>
      <c r="N1242" s="74">
        <f t="shared" si="244"/>
        <v>-52239.332928601994</v>
      </c>
      <c r="O1242" s="74">
        <f t="shared" si="245"/>
        <v>-26264.981191467603</v>
      </c>
      <c r="P1242" s="74">
        <f t="shared" si="246"/>
        <v>58470.480943921328</v>
      </c>
    </row>
    <row r="1243" spans="1:16" x14ac:dyDescent="0.3">
      <c r="A1243" s="72">
        <f t="shared" si="233"/>
        <v>467</v>
      </c>
      <c r="B1243" s="74">
        <f t="shared" si="234"/>
        <v>47623.464616838624</v>
      </c>
      <c r="C1243" s="74">
        <f t="shared" si="235"/>
        <v>-8333.8314581366612</v>
      </c>
      <c r="D1243" s="74">
        <f t="shared" si="236"/>
        <v>768.26337647325715</v>
      </c>
      <c r="E1243" s="74">
        <f t="shared" si="237"/>
        <v>802.37470079146942</v>
      </c>
      <c r="F1243" s="74">
        <f t="shared" si="231"/>
        <v>-1487.8384716716423</v>
      </c>
      <c r="G1243" s="74">
        <f t="shared" si="232"/>
        <v>667.40967393874348</v>
      </c>
      <c r="H1243" s="74">
        <f t="shared" si="238"/>
        <v>-27623.464616838624</v>
      </c>
      <c r="I1243" s="74">
        <f t="shared" si="239"/>
        <v>28333.831458136661</v>
      </c>
      <c r="J1243" s="74">
        <f t="shared" si="240"/>
        <v>39570.971715840264</v>
      </c>
      <c r="K1243" s="74">
        <f t="shared" si="241"/>
        <v>-67623.464616838624</v>
      </c>
      <c r="L1243" s="74">
        <f t="shared" si="242"/>
        <v>28333.831458136661</v>
      </c>
      <c r="M1243" s="74">
        <f t="shared" si="243"/>
        <v>73319.431066279561</v>
      </c>
      <c r="N1243" s="74">
        <f t="shared" si="244"/>
        <v>-52623.464616838624</v>
      </c>
      <c r="O1243" s="74">
        <f t="shared" si="245"/>
        <v>-26666.168541863339</v>
      </c>
      <c r="P1243" s="74">
        <f t="shared" si="246"/>
        <v>58994.18253508331</v>
      </c>
    </row>
    <row r="1244" spans="1:16" x14ac:dyDescent="0.3">
      <c r="A1244" s="72">
        <f t="shared" si="233"/>
        <v>467.5</v>
      </c>
      <c r="B1244" s="74">
        <f t="shared" si="234"/>
        <v>47635.636687157341</v>
      </c>
      <c r="C1244" s="74">
        <f t="shared" si="235"/>
        <v>-7765.7916892562407</v>
      </c>
      <c r="D1244" s="74">
        <f t="shared" si="236"/>
        <v>24.344140637435999</v>
      </c>
      <c r="E1244" s="74">
        <f t="shared" si="237"/>
        <v>1136.079537760841</v>
      </c>
      <c r="F1244" s="74">
        <f t="shared" si="231"/>
        <v>-1507.0087032619408</v>
      </c>
      <c r="G1244" s="74">
        <f t="shared" si="232"/>
        <v>671.0529973393925</v>
      </c>
      <c r="H1244" s="74">
        <f t="shared" si="238"/>
        <v>-27635.636687157341</v>
      </c>
      <c r="I1244" s="74">
        <f t="shared" si="239"/>
        <v>27765.791689256243</v>
      </c>
      <c r="J1244" s="74">
        <f t="shared" si="240"/>
        <v>39174.833799720553</v>
      </c>
      <c r="K1244" s="74">
        <f t="shared" si="241"/>
        <v>-67635.636687157341</v>
      </c>
      <c r="L1244" s="74">
        <f t="shared" si="242"/>
        <v>27765.791689256243</v>
      </c>
      <c r="M1244" s="74">
        <f t="shared" si="243"/>
        <v>73113.053131491615</v>
      </c>
      <c r="N1244" s="74">
        <f t="shared" si="244"/>
        <v>-52635.636687157341</v>
      </c>
      <c r="O1244" s="74">
        <f t="shared" si="245"/>
        <v>-27234.208310743757</v>
      </c>
      <c r="P1244" s="74">
        <f t="shared" si="246"/>
        <v>59263.921164359417</v>
      </c>
    </row>
    <row r="1245" spans="1:16" x14ac:dyDescent="0.3">
      <c r="A1245" s="72">
        <f t="shared" si="233"/>
        <v>468</v>
      </c>
      <c r="B1245" s="74">
        <f t="shared" si="234"/>
        <v>47271.056581660574</v>
      </c>
      <c r="C1245" s="74">
        <f t="shared" si="235"/>
        <v>-7029.9886710409719</v>
      </c>
      <c r="D1245" s="74">
        <f t="shared" si="236"/>
        <v>-729.16021099353441</v>
      </c>
      <c r="E1245" s="74">
        <f t="shared" si="237"/>
        <v>1471.6060364305372</v>
      </c>
      <c r="F1245" s="74">
        <f t="shared" si="231"/>
        <v>-1544.7253079043198</v>
      </c>
      <c r="G1245" s="74">
        <f t="shared" si="232"/>
        <v>689.41806347658962</v>
      </c>
      <c r="H1245" s="74">
        <f t="shared" si="238"/>
        <v>-27271.056581660574</v>
      </c>
      <c r="I1245" s="74">
        <f t="shared" si="239"/>
        <v>27029.98867104097</v>
      </c>
      <c r="J1245" s="74">
        <f t="shared" si="240"/>
        <v>38397.015699618321</v>
      </c>
      <c r="K1245" s="74">
        <f t="shared" si="241"/>
        <v>-67271.056581660581</v>
      </c>
      <c r="L1245" s="74">
        <f t="shared" si="242"/>
        <v>27029.98867104097</v>
      </c>
      <c r="M1245" s="74">
        <f t="shared" si="243"/>
        <v>72498.381645175934</v>
      </c>
      <c r="N1245" s="74">
        <f t="shared" si="244"/>
        <v>-52271.056581660574</v>
      </c>
      <c r="O1245" s="74">
        <f t="shared" si="245"/>
        <v>-27970.01132895903</v>
      </c>
      <c r="P1245" s="74">
        <f t="shared" si="246"/>
        <v>59283.934500885291</v>
      </c>
    </row>
    <row r="1246" spans="1:16" x14ac:dyDescent="0.3">
      <c r="A1246" s="72">
        <f t="shared" si="233"/>
        <v>468.5</v>
      </c>
      <c r="B1246" s="74">
        <f t="shared" si="234"/>
        <v>46520.295149187725</v>
      </c>
      <c r="C1246" s="74">
        <f t="shared" si="235"/>
        <v>-6121.8311369565554</v>
      </c>
      <c r="D1246" s="74">
        <f t="shared" si="236"/>
        <v>-1501.5228649456944</v>
      </c>
      <c r="E1246" s="74">
        <f t="shared" si="237"/>
        <v>1816.3150681688321</v>
      </c>
      <c r="F1246" s="74">
        <f t="shared" si="231"/>
        <v>-1604.1704669239514</v>
      </c>
      <c r="G1246" s="74">
        <f t="shared" si="232"/>
        <v>725.64971225203328</v>
      </c>
      <c r="H1246" s="74">
        <f t="shared" si="238"/>
        <v>-26520.295149187725</v>
      </c>
      <c r="I1246" s="74">
        <f t="shared" si="239"/>
        <v>26121.831136956556</v>
      </c>
      <c r="J1246" s="74">
        <f t="shared" si="240"/>
        <v>37224.670807781542</v>
      </c>
      <c r="K1246" s="74">
        <f t="shared" si="241"/>
        <v>-66520.295149187732</v>
      </c>
      <c r="L1246" s="74">
        <f t="shared" si="242"/>
        <v>26121.831136956556</v>
      </c>
      <c r="M1246" s="74">
        <f t="shared" si="243"/>
        <v>71465.374333887885</v>
      </c>
      <c r="N1246" s="74">
        <f t="shared" si="244"/>
        <v>-51520.295149187725</v>
      </c>
      <c r="O1246" s="74">
        <f t="shared" si="245"/>
        <v>-28878.168863043444</v>
      </c>
      <c r="P1246" s="74">
        <f t="shared" si="246"/>
        <v>59061.742686292862</v>
      </c>
    </row>
    <row r="1247" spans="1:16" x14ac:dyDescent="0.3">
      <c r="A1247" s="72">
        <f t="shared" si="233"/>
        <v>469</v>
      </c>
      <c r="B1247" s="74">
        <f t="shared" si="234"/>
        <v>45368.49109998389</v>
      </c>
      <c r="C1247" s="74">
        <f t="shared" si="235"/>
        <v>-5032.2611748091304</v>
      </c>
      <c r="D1247" s="74">
        <f t="shared" si="236"/>
        <v>-2303.6080984076702</v>
      </c>
      <c r="E1247" s="74">
        <f t="shared" si="237"/>
        <v>2179.1399242948487</v>
      </c>
      <c r="F1247" s="74">
        <f t="shared" si="231"/>
        <v>-1690.5578700344608</v>
      </c>
      <c r="G1247" s="74">
        <f t="shared" si="232"/>
        <v>785.76978214040139</v>
      </c>
      <c r="H1247" s="74">
        <f t="shared" si="238"/>
        <v>-25368.49109998389</v>
      </c>
      <c r="I1247" s="74">
        <f t="shared" si="239"/>
        <v>25032.261174809129</v>
      </c>
      <c r="J1247" s="74">
        <f t="shared" si="240"/>
        <v>35639.506733592971</v>
      </c>
      <c r="K1247" s="74">
        <f t="shared" si="241"/>
        <v>-65368.49109998389</v>
      </c>
      <c r="L1247" s="74">
        <f t="shared" si="242"/>
        <v>25032.261174809129</v>
      </c>
      <c r="M1247" s="74">
        <f t="shared" si="243"/>
        <v>69997.526586391105</v>
      </c>
      <c r="N1247" s="74">
        <f t="shared" si="244"/>
        <v>-50368.49109998389</v>
      </c>
      <c r="O1247" s="74">
        <f t="shared" si="245"/>
        <v>-29967.738825190871</v>
      </c>
      <c r="P1247" s="74">
        <f t="shared" si="246"/>
        <v>58609.301872518568</v>
      </c>
    </row>
    <row r="1248" spans="1:16" x14ac:dyDescent="0.3">
      <c r="A1248" s="72">
        <f t="shared" si="233"/>
        <v>469.5</v>
      </c>
      <c r="B1248" s="74">
        <f t="shared" si="234"/>
        <v>43794.047583271444</v>
      </c>
      <c r="C1248" s="74">
        <f t="shared" si="235"/>
        <v>-3746.2487671266058</v>
      </c>
      <c r="D1248" s="74">
        <f t="shared" si="236"/>
        <v>-3148.8870334249004</v>
      </c>
      <c r="E1248" s="74">
        <f t="shared" si="237"/>
        <v>2572.0248153650496</v>
      </c>
      <c r="F1248" s="74">
        <f t="shared" si="231"/>
        <v>-1812.377562435023</v>
      </c>
      <c r="G1248" s="74">
        <f t="shared" si="232"/>
        <v>880.79765695855565</v>
      </c>
      <c r="H1248" s="74">
        <f t="shared" si="238"/>
        <v>-23794.047583271444</v>
      </c>
      <c r="I1248" s="74">
        <f t="shared" si="239"/>
        <v>23746.248767126606</v>
      </c>
      <c r="J1248" s="74">
        <f t="shared" si="240"/>
        <v>33616.082920311339</v>
      </c>
      <c r="K1248" s="74">
        <f t="shared" si="241"/>
        <v>-63794.047583271444</v>
      </c>
      <c r="L1248" s="74">
        <f t="shared" si="242"/>
        <v>23746.248767126606</v>
      </c>
      <c r="M1248" s="74">
        <f t="shared" si="243"/>
        <v>68070.29335596376</v>
      </c>
      <c r="N1248" s="74">
        <f t="shared" si="244"/>
        <v>-48794.047583271444</v>
      </c>
      <c r="O1248" s="74">
        <f t="shared" si="245"/>
        <v>-31253.751232873394</v>
      </c>
      <c r="P1248" s="74">
        <f t="shared" si="246"/>
        <v>57945.284930569571</v>
      </c>
    </row>
    <row r="1249" spans="1:16" x14ac:dyDescent="0.3">
      <c r="A1249" s="72">
        <f t="shared" si="233"/>
        <v>470</v>
      </c>
      <c r="B1249" s="74">
        <f t="shared" si="234"/>
        <v>41766.509675950241</v>
      </c>
      <c r="C1249" s="74">
        <f t="shared" si="235"/>
        <v>-2240.0369452044424</v>
      </c>
      <c r="D1249" s="74">
        <f t="shared" si="236"/>
        <v>-4055.0758146424118</v>
      </c>
      <c r="E1249" s="74">
        <f t="shared" si="237"/>
        <v>3012.4236438443272</v>
      </c>
      <c r="F1249" s="74">
        <f t="shared" si="231"/>
        <v>-1983.7748086342951</v>
      </c>
      <c r="G1249" s="74">
        <f t="shared" si="232"/>
        <v>1031.3790948291969</v>
      </c>
      <c r="H1249" s="74">
        <f t="shared" si="238"/>
        <v>-21766.509675950241</v>
      </c>
      <c r="I1249" s="74">
        <f t="shared" si="239"/>
        <v>22240.036945204443</v>
      </c>
      <c r="J1249" s="74">
        <f t="shared" si="240"/>
        <v>31119.128953061878</v>
      </c>
      <c r="K1249" s="74">
        <f t="shared" si="241"/>
        <v>-61766.509675950241</v>
      </c>
      <c r="L1249" s="74">
        <f t="shared" si="242"/>
        <v>22240.036945204443</v>
      </c>
      <c r="M1249" s="74">
        <f t="shared" si="243"/>
        <v>65648.465030595456</v>
      </c>
      <c r="N1249" s="74">
        <f t="shared" si="244"/>
        <v>-46766.509675950241</v>
      </c>
      <c r="O1249" s="74">
        <f t="shared" si="245"/>
        <v>-32759.963054795557</v>
      </c>
      <c r="P1249" s="74">
        <f t="shared" si="246"/>
        <v>57099.225972182125</v>
      </c>
    </row>
    <row r="1250" spans="1:16" x14ac:dyDescent="0.3">
      <c r="A1250" s="72">
        <f t="shared" si="233"/>
        <v>470.5</v>
      </c>
      <c r="B1250" s="74">
        <f t="shared" si="234"/>
        <v>39243.028066470462</v>
      </c>
      <c r="C1250" s="74">
        <f t="shared" si="235"/>
        <v>-475.98034957497958</v>
      </c>
      <c r="D1250" s="74">
        <f t="shared" si="236"/>
        <v>-5046.9632189595595</v>
      </c>
      <c r="E1250" s="74">
        <f t="shared" si="237"/>
        <v>3528.1131912589258</v>
      </c>
      <c r="F1250" s="74">
        <f t="shared" si="231"/>
        <v>-2229.3134422211519</v>
      </c>
      <c r="G1250" s="74">
        <f t="shared" si="232"/>
        <v>1278.6618430236097</v>
      </c>
      <c r="H1250" s="74">
        <f t="shared" si="238"/>
        <v>-19243.028066470462</v>
      </c>
      <c r="I1250" s="74">
        <f t="shared" si="239"/>
        <v>20475.98034957498</v>
      </c>
      <c r="J1250" s="74">
        <f t="shared" si="240"/>
        <v>28099.108534669758</v>
      </c>
      <c r="K1250" s="74">
        <f t="shared" si="241"/>
        <v>-59243.028066470462</v>
      </c>
      <c r="L1250" s="74">
        <f t="shared" si="242"/>
        <v>20475.98034957498</v>
      </c>
      <c r="M1250" s="74">
        <f t="shared" si="243"/>
        <v>62681.752893172888</v>
      </c>
      <c r="N1250" s="74">
        <f t="shared" si="244"/>
        <v>-44243.028066470462</v>
      </c>
      <c r="O1250" s="74">
        <f t="shared" si="245"/>
        <v>-34524.01965042502</v>
      </c>
      <c r="P1250" s="74">
        <f t="shared" si="246"/>
        <v>56119.10071725514</v>
      </c>
    </row>
    <row r="1251" spans="1:16" x14ac:dyDescent="0.3">
      <c r="A1251" s="72">
        <f t="shared" si="233"/>
        <v>471</v>
      </c>
      <c r="B1251" s="74">
        <f t="shared" si="234"/>
        <v>36162.218096435397</v>
      </c>
      <c r="C1251" s="74">
        <f t="shared" si="235"/>
        <v>1607.7417068103857</v>
      </c>
      <c r="D1251" s="74">
        <f t="shared" si="236"/>
        <v>-6161.6199400701353</v>
      </c>
      <c r="E1251" s="74">
        <f t="shared" si="237"/>
        <v>4167.4441127707305</v>
      </c>
      <c r="F1251" s="74">
        <f t="shared" si="231"/>
        <v>-2593.6859198448246</v>
      </c>
      <c r="G1251" s="74">
        <f t="shared" si="232"/>
        <v>1712.8136088314391</v>
      </c>
      <c r="H1251" s="74">
        <f t="shared" si="238"/>
        <v>-16162.218096435397</v>
      </c>
      <c r="I1251" s="74">
        <f t="shared" si="239"/>
        <v>18392.258293189614</v>
      </c>
      <c r="J1251" s="74">
        <f t="shared" si="240"/>
        <v>24484.535097080076</v>
      </c>
      <c r="K1251" s="74">
        <f t="shared" si="241"/>
        <v>-56162.218096435397</v>
      </c>
      <c r="L1251" s="74">
        <f t="shared" si="242"/>
        <v>18392.258293189614</v>
      </c>
      <c r="M1251" s="74">
        <f t="shared" si="243"/>
        <v>59097.122659525296</v>
      </c>
      <c r="N1251" s="74">
        <f t="shared" si="244"/>
        <v>-41162.218096435397</v>
      </c>
      <c r="O1251" s="74">
        <f t="shared" si="245"/>
        <v>-36607.741706810382</v>
      </c>
      <c r="P1251" s="74">
        <f t="shared" si="246"/>
        <v>55085.887044605704</v>
      </c>
    </row>
    <row r="1252" spans="1:16" x14ac:dyDescent="0.3">
      <c r="A1252" s="72">
        <f t="shared" si="233"/>
        <v>471.5</v>
      </c>
      <c r="B1252" s="74">
        <f t="shared" si="234"/>
        <v>32432.986646439127</v>
      </c>
      <c r="C1252" s="74">
        <f t="shared" si="235"/>
        <v>4119.6671654036109</v>
      </c>
      <c r="D1252" s="74">
        <f t="shared" si="236"/>
        <v>-7458.462899992548</v>
      </c>
      <c r="E1252" s="74">
        <f t="shared" si="237"/>
        <v>5023.8509171864498</v>
      </c>
      <c r="F1252" s="74">
        <f t="shared" si="231"/>
        <v>-3158.2971902522977</v>
      </c>
      <c r="G1252" s="74">
        <f t="shared" si="232"/>
        <v>2559.3914581957001</v>
      </c>
      <c r="H1252" s="74">
        <f t="shared" si="238"/>
        <v>-12432.986646439127</v>
      </c>
      <c r="I1252" s="74">
        <f t="shared" si="239"/>
        <v>15880.332834596389</v>
      </c>
      <c r="J1252" s="74">
        <f t="shared" si="240"/>
        <v>20168.394281352539</v>
      </c>
      <c r="K1252" s="74">
        <f t="shared" si="241"/>
        <v>-52432.986646439123</v>
      </c>
      <c r="L1252" s="74">
        <f t="shared" si="242"/>
        <v>15880.332834596389</v>
      </c>
      <c r="M1252" s="74">
        <f t="shared" si="243"/>
        <v>54785.062376556838</v>
      </c>
      <c r="N1252" s="74">
        <f t="shared" si="244"/>
        <v>-37432.986646439123</v>
      </c>
      <c r="O1252" s="74">
        <f t="shared" si="245"/>
        <v>-39119.667165403611</v>
      </c>
      <c r="P1252" s="74">
        <f t="shared" si="246"/>
        <v>54144.037976534841</v>
      </c>
    </row>
    <row r="1253" spans="1:16" x14ac:dyDescent="0.3">
      <c r="A1253" s="72">
        <f t="shared" si="233"/>
        <v>472</v>
      </c>
      <c r="B1253" s="74">
        <f t="shared" si="234"/>
        <v>27914.180898879778</v>
      </c>
      <c r="C1253" s="74">
        <f t="shared" si="235"/>
        <v>7271.4404885457607</v>
      </c>
      <c r="D1253" s="74">
        <f t="shared" si="236"/>
        <v>-9037.6114951186973</v>
      </c>
      <c r="E1253" s="74">
        <f t="shared" si="237"/>
        <v>6303.5466462842996</v>
      </c>
      <c r="F1253" s="74">
        <f t="shared" si="231"/>
        <v>-4009.744292682492</v>
      </c>
      <c r="G1253" s="74">
        <f t="shared" si="232"/>
        <v>4484.3356941323218</v>
      </c>
      <c r="H1253" s="74">
        <f t="shared" si="238"/>
        <v>-7914.1808988797784</v>
      </c>
      <c r="I1253" s="74">
        <f t="shared" si="239"/>
        <v>12728.559511454239</v>
      </c>
      <c r="J1253" s="74">
        <f t="shared" si="240"/>
        <v>14988.345023278112</v>
      </c>
      <c r="K1253" s="74">
        <f t="shared" si="241"/>
        <v>-47914.180898879778</v>
      </c>
      <c r="L1253" s="74">
        <f t="shared" si="242"/>
        <v>12728.559511454239</v>
      </c>
      <c r="M1253" s="74">
        <f t="shared" si="243"/>
        <v>49576.05226767464</v>
      </c>
      <c r="N1253" s="74">
        <f t="shared" si="244"/>
        <v>-32914.180898879778</v>
      </c>
      <c r="O1253" s="74">
        <f t="shared" si="245"/>
        <v>-42271.440488545762</v>
      </c>
      <c r="P1253" s="74">
        <f t="shared" si="246"/>
        <v>53574.415397844969</v>
      </c>
    </row>
    <row r="1254" spans="1:16" x14ac:dyDescent="0.3">
      <c r="A1254" s="72">
        <f t="shared" si="233"/>
        <v>472.5</v>
      </c>
      <c r="B1254" s="74">
        <f t="shared" si="234"/>
        <v>22392.939078149808</v>
      </c>
      <c r="C1254" s="74">
        <f t="shared" si="235"/>
        <v>11544.297735220991</v>
      </c>
      <c r="D1254" s="74">
        <f t="shared" si="236"/>
        <v>-11042.483641459943</v>
      </c>
      <c r="E1254" s="74">
        <f t="shared" si="237"/>
        <v>8545.7144933504605</v>
      </c>
      <c r="F1254" s="74">
        <f t="shared" si="231"/>
        <v>-3927.9048743998574</v>
      </c>
      <c r="G1254" s="74">
        <f t="shared" si="232"/>
        <v>9359.4934633685098</v>
      </c>
      <c r="H1254" s="74">
        <f t="shared" si="238"/>
        <v>-2392.9390781498078</v>
      </c>
      <c r="I1254" s="74">
        <f t="shared" si="239"/>
        <v>8455.7022647790091</v>
      </c>
      <c r="J1254" s="74">
        <f t="shared" si="240"/>
        <v>8787.7789129179455</v>
      </c>
      <c r="K1254" s="74">
        <f t="shared" si="241"/>
        <v>-42392.939078149808</v>
      </c>
      <c r="L1254" s="74">
        <f t="shared" si="242"/>
        <v>8455.7022647790091</v>
      </c>
      <c r="M1254" s="74">
        <f t="shared" si="243"/>
        <v>43228.002318801526</v>
      </c>
      <c r="N1254" s="74">
        <f t="shared" si="244"/>
        <v>-27392.939078149808</v>
      </c>
      <c r="O1254" s="74">
        <f t="shared" si="245"/>
        <v>-46544.297735220993</v>
      </c>
      <c r="P1254" s="74">
        <f t="shared" si="246"/>
        <v>54006.89551348165</v>
      </c>
    </row>
    <row r="1255" spans="1:16" x14ac:dyDescent="0.3">
      <c r="A1255" s="72">
        <f t="shared" si="233"/>
        <v>473</v>
      </c>
      <c r="B1255" s="74">
        <f t="shared" si="234"/>
        <v>15889.721038819873</v>
      </c>
      <c r="C1255" s="74">
        <f t="shared" si="235"/>
        <v>18157.028347738349</v>
      </c>
      <c r="D1255" s="74">
        <f t="shared" si="236"/>
        <v>-13006.436078659872</v>
      </c>
      <c r="E1255" s="74">
        <f t="shared" si="237"/>
        <v>13225.461225034716</v>
      </c>
      <c r="F1255" s="74">
        <f t="shared" si="231"/>
        <v>9371.8440205956867</v>
      </c>
      <c r="G1255" s="74">
        <f t="shared" si="232"/>
        <v>4437.9139682718842</v>
      </c>
      <c r="H1255" s="74">
        <f t="shared" si="238"/>
        <v>4110.2789611801272</v>
      </c>
      <c r="I1255" s="74">
        <f t="shared" si="239"/>
        <v>1842.9716522616509</v>
      </c>
      <c r="J1255" s="74">
        <f t="shared" si="240"/>
        <v>4504.5463311814237</v>
      </c>
      <c r="K1255" s="74">
        <f t="shared" si="241"/>
        <v>-35889.721038819873</v>
      </c>
      <c r="L1255" s="74">
        <f t="shared" si="242"/>
        <v>1842.9716522616509</v>
      </c>
      <c r="M1255" s="74">
        <f t="shared" si="243"/>
        <v>35937.009068025538</v>
      </c>
      <c r="N1255" s="74">
        <f t="shared" si="244"/>
        <v>-20889.721038819873</v>
      </c>
      <c r="O1255" s="74">
        <f t="shared" si="245"/>
        <v>-53157.028347738349</v>
      </c>
      <c r="P1255" s="74">
        <f t="shared" si="246"/>
        <v>57114.359909237995</v>
      </c>
    </row>
    <row r="1256" spans="1:16" x14ac:dyDescent="0.3">
      <c r="A1256" s="72">
        <f t="shared" si="233"/>
        <v>473.5</v>
      </c>
      <c r="B1256" s="74">
        <f t="shared" si="234"/>
        <v>11729.464004638859</v>
      </c>
      <c r="C1256" s="74">
        <f t="shared" si="235"/>
        <v>25879.237452323676</v>
      </c>
      <c r="D1256" s="74">
        <f t="shared" si="236"/>
        <v>-8320.5140683620284</v>
      </c>
      <c r="E1256" s="74">
        <f t="shared" si="237"/>
        <v>15444.418209170659</v>
      </c>
      <c r="F1256" s="74">
        <f t="shared" si="231"/>
        <v>5617.7754243701365</v>
      </c>
      <c r="G1256" s="74">
        <f t="shared" si="232"/>
        <v>-5875.7078480160844</v>
      </c>
      <c r="H1256" s="74">
        <f t="shared" si="238"/>
        <v>8270.5359953611405</v>
      </c>
      <c r="I1256" s="74">
        <f t="shared" si="239"/>
        <v>-5879.2374523236758</v>
      </c>
      <c r="J1256" s="74">
        <f t="shared" si="240"/>
        <v>10147.275430940548</v>
      </c>
      <c r="K1256" s="74">
        <f t="shared" si="241"/>
        <v>-31729.464004638859</v>
      </c>
      <c r="L1256" s="74">
        <f t="shared" si="242"/>
        <v>-5879.2374523236758</v>
      </c>
      <c r="M1256" s="74">
        <f t="shared" si="243"/>
        <v>32269.55715597099</v>
      </c>
      <c r="N1256" s="74">
        <f t="shared" si="244"/>
        <v>-16729.464004638859</v>
      </c>
      <c r="O1256" s="74">
        <f t="shared" si="245"/>
        <v>-60879.237452323679</v>
      </c>
      <c r="P1256" s="74">
        <f t="shared" si="246"/>
        <v>63136.016018267401</v>
      </c>
    </row>
    <row r="1257" spans="1:16" x14ac:dyDescent="0.3">
      <c r="A1257" s="72">
        <f t="shared" si="233"/>
        <v>474</v>
      </c>
      <c r="B1257" s="74">
        <f t="shared" si="234"/>
        <v>8973.6508265503799</v>
      </c>
      <c r="C1257" s="74">
        <f t="shared" si="235"/>
        <v>32132.519594904981</v>
      </c>
      <c r="D1257" s="74">
        <f t="shared" si="236"/>
        <v>-5511.6263561769601</v>
      </c>
      <c r="E1257" s="74">
        <f t="shared" si="237"/>
        <v>12506.564285162616</v>
      </c>
      <c r="F1257" s="74">
        <f t="shared" si="231"/>
        <v>1729.8076187682659</v>
      </c>
      <c r="G1257" s="74">
        <f t="shared" si="232"/>
        <v>-4656.8280174465544</v>
      </c>
      <c r="H1257" s="74">
        <f t="shared" si="238"/>
        <v>11026.34917344962</v>
      </c>
      <c r="I1257" s="74">
        <f t="shared" si="239"/>
        <v>-12132.519594904981</v>
      </c>
      <c r="J1257" s="74">
        <f t="shared" si="240"/>
        <v>16394.462718112674</v>
      </c>
      <c r="K1257" s="74">
        <f t="shared" si="241"/>
        <v>-28973.65082655038</v>
      </c>
      <c r="L1257" s="74">
        <f t="shared" si="242"/>
        <v>-12132.519594904981</v>
      </c>
      <c r="M1257" s="74">
        <f t="shared" si="243"/>
        <v>31411.311241965319</v>
      </c>
      <c r="N1257" s="74">
        <f t="shared" si="244"/>
        <v>-13973.65082655038</v>
      </c>
      <c r="O1257" s="74">
        <f t="shared" si="245"/>
        <v>-67132.519594904981</v>
      </c>
      <c r="P1257" s="74">
        <f t="shared" si="246"/>
        <v>68571.408798293283</v>
      </c>
    </row>
    <row r="1258" spans="1:16" x14ac:dyDescent="0.3">
      <c r="A1258" s="72">
        <f t="shared" si="233"/>
        <v>474.5</v>
      </c>
      <c r="B1258" s="74">
        <f t="shared" si="234"/>
        <v>6650.2895531539671</v>
      </c>
      <c r="C1258" s="74">
        <f t="shared" si="235"/>
        <v>37221.59473312465</v>
      </c>
      <c r="D1258" s="74">
        <f t="shared" si="236"/>
        <v>-4646.7225467928274</v>
      </c>
      <c r="E1258" s="74">
        <f t="shared" si="237"/>
        <v>10178.150276439339</v>
      </c>
      <c r="F1258" s="74">
        <f t="shared" si="231"/>
        <v>517.22730799829196</v>
      </c>
      <c r="G1258" s="74">
        <f t="shared" si="232"/>
        <v>-3685.7555528846046</v>
      </c>
      <c r="H1258" s="74">
        <f t="shared" si="238"/>
        <v>13349.710446846033</v>
      </c>
      <c r="I1258" s="74">
        <f t="shared" si="239"/>
        <v>-17221.59473312465</v>
      </c>
      <c r="J1258" s="74">
        <f t="shared" si="240"/>
        <v>21789.862187875737</v>
      </c>
      <c r="K1258" s="74">
        <f t="shared" si="241"/>
        <v>-26650.289553153969</v>
      </c>
      <c r="L1258" s="74">
        <f t="shared" si="242"/>
        <v>-17221.59473312465</v>
      </c>
      <c r="M1258" s="74">
        <f t="shared" si="243"/>
        <v>31730.446867621238</v>
      </c>
      <c r="N1258" s="74">
        <f t="shared" si="244"/>
        <v>-11650.289553153967</v>
      </c>
      <c r="O1258" s="74">
        <f t="shared" si="245"/>
        <v>-72221.594733124657</v>
      </c>
      <c r="P1258" s="74">
        <f t="shared" si="246"/>
        <v>73155.23216057774</v>
      </c>
    </row>
    <row r="1259" spans="1:16" x14ac:dyDescent="0.3">
      <c r="A1259" s="72">
        <f t="shared" si="233"/>
        <v>475</v>
      </c>
      <c r="B1259" s="74">
        <f t="shared" si="234"/>
        <v>4456.2351067571262</v>
      </c>
      <c r="C1259" s="74">
        <f t="shared" si="235"/>
        <v>41389.230983123169</v>
      </c>
      <c r="D1259" s="74">
        <f t="shared" si="236"/>
        <v>-4388.1088927936817</v>
      </c>
      <c r="E1259" s="74">
        <f t="shared" si="237"/>
        <v>8335.272499997036</v>
      </c>
      <c r="F1259" s="74">
        <f t="shared" si="231"/>
        <v>121.28847737436223</v>
      </c>
      <c r="G1259" s="74">
        <f t="shared" si="232"/>
        <v>-3132.057538894815</v>
      </c>
      <c r="H1259" s="74">
        <f t="shared" si="238"/>
        <v>15543.764893242875</v>
      </c>
      <c r="I1259" s="74">
        <f t="shared" si="239"/>
        <v>-21389.230983123169</v>
      </c>
      <c r="J1259" s="74">
        <f t="shared" si="240"/>
        <v>26440.64728984156</v>
      </c>
      <c r="K1259" s="74">
        <f t="shared" si="241"/>
        <v>-24456.235106757125</v>
      </c>
      <c r="L1259" s="74">
        <f t="shared" si="242"/>
        <v>-21389.230983123169</v>
      </c>
      <c r="M1259" s="74">
        <f t="shared" si="243"/>
        <v>32490.100609976202</v>
      </c>
      <c r="N1259" s="74">
        <f t="shared" si="244"/>
        <v>-9456.2351067571253</v>
      </c>
      <c r="O1259" s="74">
        <f t="shared" si="245"/>
        <v>-76389.230983123169</v>
      </c>
      <c r="P1259" s="74">
        <f t="shared" si="246"/>
        <v>76972.30016432672</v>
      </c>
    </row>
    <row r="1260" spans="1:16" x14ac:dyDescent="0.3">
      <c r="A1260" s="72">
        <f t="shared" si="233"/>
        <v>475.5</v>
      </c>
      <c r="B1260" s="74">
        <f t="shared" si="234"/>
        <v>2292.5027797038761</v>
      </c>
      <c r="C1260" s="74">
        <f t="shared" si="235"/>
        <v>44773.852848397983</v>
      </c>
      <c r="D1260" s="74">
        <f t="shared" si="236"/>
        <v>-4327.4646541065003</v>
      </c>
      <c r="E1260" s="74">
        <f t="shared" si="237"/>
        <v>6769.2437305496287</v>
      </c>
      <c r="F1260" s="74">
        <f t="shared" si="231"/>
        <v>1.4987812410580226</v>
      </c>
      <c r="G1260" s="74">
        <f t="shared" si="232"/>
        <v>-2788.1811586725398</v>
      </c>
      <c r="H1260" s="74">
        <f t="shared" si="238"/>
        <v>17707.497220296125</v>
      </c>
      <c r="I1260" s="74">
        <f t="shared" si="239"/>
        <v>-24773.852848397983</v>
      </c>
      <c r="J1260" s="74">
        <f t="shared" si="240"/>
        <v>30451.58850964711</v>
      </c>
      <c r="K1260" s="74">
        <f t="shared" si="241"/>
        <v>-22292.502779703875</v>
      </c>
      <c r="L1260" s="74">
        <f t="shared" si="242"/>
        <v>-24773.852848397983</v>
      </c>
      <c r="M1260" s="74">
        <f t="shared" si="243"/>
        <v>33327.158071716549</v>
      </c>
      <c r="N1260" s="74">
        <f t="shared" si="244"/>
        <v>-7292.5027797038765</v>
      </c>
      <c r="O1260" s="74">
        <f t="shared" si="245"/>
        <v>-79773.852848397975</v>
      </c>
      <c r="P1260" s="74">
        <f t="shared" si="246"/>
        <v>80106.48035627231</v>
      </c>
    </row>
    <row r="1261" spans="1:16" x14ac:dyDescent="0.3">
      <c r="A1261" s="72">
        <f t="shared" si="233"/>
        <v>476</v>
      </c>
      <c r="B1261" s="74">
        <f t="shared" si="234"/>
        <v>129.1451479608904</v>
      </c>
      <c r="C1261" s="74">
        <f t="shared" si="235"/>
        <v>47461.429424004658</v>
      </c>
      <c r="D1261" s="74">
        <f t="shared" si="236"/>
        <v>-4326.7152634859713</v>
      </c>
      <c r="E1261" s="74">
        <f t="shared" si="237"/>
        <v>5375.1531512133588</v>
      </c>
      <c r="F1261" s="74">
        <f t="shared" si="231"/>
        <v>-15.967802648430967</v>
      </c>
      <c r="G1261" s="74">
        <f t="shared" si="232"/>
        <v>-2560.0988524145805</v>
      </c>
      <c r="H1261" s="74">
        <f t="shared" si="238"/>
        <v>19870.854852039109</v>
      </c>
      <c r="I1261" s="74">
        <f t="shared" si="239"/>
        <v>-27461.429424004658</v>
      </c>
      <c r="J1261" s="74">
        <f t="shared" si="240"/>
        <v>33896.621934352028</v>
      </c>
      <c r="K1261" s="74">
        <f t="shared" si="241"/>
        <v>-20129.145147960891</v>
      </c>
      <c r="L1261" s="74">
        <f t="shared" si="242"/>
        <v>-27461.429424004658</v>
      </c>
      <c r="M1261" s="74">
        <f t="shared" si="243"/>
        <v>34048.679715919476</v>
      </c>
      <c r="N1261" s="74">
        <f t="shared" si="244"/>
        <v>-5129.1451479608904</v>
      </c>
      <c r="O1261" s="74">
        <f t="shared" si="245"/>
        <v>-82461.429424004658</v>
      </c>
      <c r="P1261" s="74">
        <f t="shared" si="246"/>
        <v>82620.793221797096</v>
      </c>
    </row>
    <row r="1262" spans="1:16" x14ac:dyDescent="0.3">
      <c r="A1262" s="72">
        <f t="shared" si="233"/>
        <v>476.5</v>
      </c>
      <c r="B1262" s="74">
        <f t="shared" si="234"/>
        <v>-2038.2044344442029</v>
      </c>
      <c r="C1262" s="74">
        <f t="shared" si="235"/>
        <v>49508.981286507696</v>
      </c>
      <c r="D1262" s="74">
        <f t="shared" si="236"/>
        <v>-4334.6991648101866</v>
      </c>
      <c r="E1262" s="74">
        <f t="shared" si="237"/>
        <v>4095.1037250060685</v>
      </c>
      <c r="F1262" s="74">
        <f t="shared" si="231"/>
        <v>6.3748759213643087</v>
      </c>
      <c r="G1262" s="74">
        <f t="shared" si="232"/>
        <v>-2406.6066547743089</v>
      </c>
      <c r="H1262" s="74">
        <f t="shared" si="238"/>
        <v>22038.204434444204</v>
      </c>
      <c r="I1262" s="74">
        <f t="shared" si="239"/>
        <v>-29508.981286507696</v>
      </c>
      <c r="J1262" s="74">
        <f t="shared" si="240"/>
        <v>36830.183698453329</v>
      </c>
      <c r="K1262" s="74">
        <f t="shared" si="241"/>
        <v>-17961.795565555796</v>
      </c>
      <c r="L1262" s="74">
        <f t="shared" si="242"/>
        <v>-29508.981286507696</v>
      </c>
      <c r="M1262" s="74">
        <f t="shared" si="243"/>
        <v>34545.7099580582</v>
      </c>
      <c r="N1262" s="74">
        <f t="shared" si="244"/>
        <v>-2961.7955655557971</v>
      </c>
      <c r="O1262" s="74">
        <f t="shared" si="245"/>
        <v>-84508.981286507696</v>
      </c>
      <c r="P1262" s="74">
        <f t="shared" si="246"/>
        <v>84560.866546266276</v>
      </c>
    </row>
    <row r="1263" spans="1:16" x14ac:dyDescent="0.3">
      <c r="A1263" s="72">
        <f t="shared" si="233"/>
        <v>477</v>
      </c>
      <c r="B1263" s="74">
        <f t="shared" si="234"/>
        <v>-4203.9602978689554</v>
      </c>
      <c r="C1263" s="74">
        <f t="shared" si="235"/>
        <v>50954.88148531715</v>
      </c>
      <c r="D1263" s="74">
        <f t="shared" si="236"/>
        <v>-4331.5117268495042</v>
      </c>
      <c r="E1263" s="74">
        <f t="shared" si="237"/>
        <v>2891.8003976189138</v>
      </c>
      <c r="F1263" s="74">
        <f t="shared" si="231"/>
        <v>44.764749790662627</v>
      </c>
      <c r="G1263" s="74">
        <f t="shared" si="232"/>
        <v>-2308.2308674622791</v>
      </c>
      <c r="H1263" s="74">
        <f t="shared" si="238"/>
        <v>24203.960297868955</v>
      </c>
      <c r="I1263" s="74">
        <f t="shared" si="239"/>
        <v>-30954.88148531715</v>
      </c>
      <c r="J1263" s="74">
        <f t="shared" si="240"/>
        <v>39294.228353167178</v>
      </c>
      <c r="K1263" s="74">
        <f t="shared" si="241"/>
        <v>-15796.039702131045</v>
      </c>
      <c r="L1263" s="74">
        <f t="shared" si="242"/>
        <v>-30954.88148531715</v>
      </c>
      <c r="M1263" s="74">
        <f t="shared" si="243"/>
        <v>34752.259754458137</v>
      </c>
      <c r="N1263" s="74">
        <f t="shared" si="244"/>
        <v>-796.03970213104458</v>
      </c>
      <c r="O1263" s="74">
        <f t="shared" si="245"/>
        <v>-85954.88148531715</v>
      </c>
      <c r="P1263" s="74">
        <f t="shared" si="246"/>
        <v>85958.567521581499</v>
      </c>
    </row>
    <row r="1264" spans="1:16" x14ac:dyDescent="0.3">
      <c r="A1264" s="72">
        <f t="shared" si="233"/>
        <v>477.5</v>
      </c>
      <c r="B1264" s="74">
        <f t="shared" si="234"/>
        <v>-6358.5249738460416</v>
      </c>
      <c r="C1264" s="74">
        <f t="shared" si="235"/>
        <v>51823.72396726103</v>
      </c>
      <c r="D1264" s="74">
        <f t="shared" si="236"/>
        <v>-4309.1293519541732</v>
      </c>
      <c r="E1264" s="74">
        <f t="shared" si="237"/>
        <v>1737.6849638877743</v>
      </c>
      <c r="F1264" s="74">
        <f t="shared" si="231"/>
        <v>90.298481634973442</v>
      </c>
      <c r="G1264" s="74">
        <f t="shared" si="232"/>
        <v>-2255.7129254281658</v>
      </c>
      <c r="H1264" s="74">
        <f t="shared" si="238"/>
        <v>26358.524973846041</v>
      </c>
      <c r="I1264" s="74">
        <f t="shared" si="239"/>
        <v>-31823.72396726103</v>
      </c>
      <c r="J1264" s="74">
        <f t="shared" si="240"/>
        <v>41322.164100410926</v>
      </c>
      <c r="K1264" s="74">
        <f t="shared" si="241"/>
        <v>-13641.475026153959</v>
      </c>
      <c r="L1264" s="74">
        <f t="shared" si="242"/>
        <v>-31823.72396726103</v>
      </c>
      <c r="M1264" s="74">
        <f t="shared" si="243"/>
        <v>34624.258086399575</v>
      </c>
      <c r="N1264" s="74">
        <f t="shared" si="244"/>
        <v>1358.5249738460416</v>
      </c>
      <c r="O1264" s="74">
        <f t="shared" si="245"/>
        <v>-86823.72396726103</v>
      </c>
      <c r="P1264" s="74">
        <f t="shared" si="246"/>
        <v>86834.35169129612</v>
      </c>
    </row>
    <row r="1265" spans="1:16" x14ac:dyDescent="0.3">
      <c r="A1265" s="72">
        <f t="shared" si="233"/>
        <v>478</v>
      </c>
      <c r="B1265" s="74">
        <f t="shared" si="234"/>
        <v>-8490.5150294143859</v>
      </c>
      <c r="C1265" s="74">
        <f t="shared" si="235"/>
        <v>52128.638217847874</v>
      </c>
      <c r="D1265" s="74">
        <f t="shared" si="236"/>
        <v>-4263.9801111366869</v>
      </c>
      <c r="E1265" s="74">
        <f t="shared" si="237"/>
        <v>609.82850117369139</v>
      </c>
      <c r="F1265" s="74">
        <f t="shared" si="231"/>
        <v>140.28541799295189</v>
      </c>
      <c r="G1265" s="74">
        <f t="shared" si="232"/>
        <v>-2245.8862335015633</v>
      </c>
      <c r="H1265" s="74">
        <f t="shared" si="238"/>
        <v>28490.515029414386</v>
      </c>
      <c r="I1265" s="74">
        <f t="shared" si="239"/>
        <v>-32128.638217847874</v>
      </c>
      <c r="J1265" s="74">
        <f t="shared" si="240"/>
        <v>42941.341855776256</v>
      </c>
      <c r="K1265" s="74">
        <f t="shared" si="241"/>
        <v>-11509.484970585614</v>
      </c>
      <c r="L1265" s="74">
        <f t="shared" si="242"/>
        <v>-32128.638217847874</v>
      </c>
      <c r="M1265" s="74">
        <f t="shared" si="243"/>
        <v>34127.959769395697</v>
      </c>
      <c r="N1265" s="74">
        <f t="shared" si="244"/>
        <v>3490.5150294143859</v>
      </c>
      <c r="O1265" s="74">
        <f t="shared" si="245"/>
        <v>-87128.638217847882</v>
      </c>
      <c r="P1265" s="74">
        <f t="shared" si="246"/>
        <v>87198.528043007638</v>
      </c>
    </row>
    <row r="1266" spans="1:16" x14ac:dyDescent="0.3">
      <c r="A1266" s="72">
        <f t="shared" si="233"/>
        <v>478.5</v>
      </c>
      <c r="B1266" s="74">
        <f t="shared" si="234"/>
        <v>-10587.433730484492</v>
      </c>
      <c r="C1266" s="74">
        <f t="shared" si="235"/>
        <v>51872.080910059325</v>
      </c>
      <c r="D1266" s="74">
        <f t="shared" si="236"/>
        <v>-4193.8374021402105</v>
      </c>
      <c r="E1266" s="74">
        <f t="shared" si="237"/>
        <v>-513.11461557709026</v>
      </c>
      <c r="F1266" s="74">
        <f t="shared" si="231"/>
        <v>195.02403998531057</v>
      </c>
      <c r="G1266" s="74">
        <f t="shared" si="232"/>
        <v>-2280.5961603032902</v>
      </c>
      <c r="H1266" s="74">
        <f t="shared" si="238"/>
        <v>30587.433730484492</v>
      </c>
      <c r="I1266" s="74">
        <f t="shared" si="239"/>
        <v>-31872.080910059325</v>
      </c>
      <c r="J1266" s="74">
        <f t="shared" si="240"/>
        <v>44174.887025935321</v>
      </c>
      <c r="K1266" s="74">
        <f t="shared" si="241"/>
        <v>-9412.5662695155079</v>
      </c>
      <c r="L1266" s="74">
        <f t="shared" si="242"/>
        <v>-31872.080910059325</v>
      </c>
      <c r="M1266" s="74">
        <f t="shared" si="243"/>
        <v>33232.904557311704</v>
      </c>
      <c r="N1266" s="74">
        <f t="shared" si="244"/>
        <v>5587.4337304844921</v>
      </c>
      <c r="O1266" s="74">
        <f t="shared" si="245"/>
        <v>-86872.080910059332</v>
      </c>
      <c r="P1266" s="74">
        <f t="shared" si="246"/>
        <v>87051.581590092042</v>
      </c>
    </row>
    <row r="1267" spans="1:16" x14ac:dyDescent="0.3">
      <c r="A1267" s="72">
        <f t="shared" si="233"/>
        <v>479</v>
      </c>
      <c r="B1267" s="74">
        <f t="shared" si="234"/>
        <v>-12635.59642155827</v>
      </c>
      <c r="C1267" s="74">
        <f t="shared" si="235"/>
        <v>51045.374562194964</v>
      </c>
      <c r="D1267" s="74">
        <f t="shared" si="236"/>
        <v>-4096.3253821475555</v>
      </c>
      <c r="E1267" s="74">
        <f t="shared" si="237"/>
        <v>-1653.4126957287353</v>
      </c>
      <c r="F1267" s="74">
        <f t="shared" si="231"/>
        <v>256.80848797493644</v>
      </c>
      <c r="G1267" s="74">
        <f t="shared" si="232"/>
        <v>-2367.4835290670717</v>
      </c>
      <c r="H1267" s="74">
        <f t="shared" si="238"/>
        <v>32635.596421558272</v>
      </c>
      <c r="I1267" s="74">
        <f t="shared" si="239"/>
        <v>-31045.374562194964</v>
      </c>
      <c r="J1267" s="74">
        <f t="shared" si="240"/>
        <v>45043.284022124863</v>
      </c>
      <c r="K1267" s="74">
        <f t="shared" si="241"/>
        <v>-7364.4035784417301</v>
      </c>
      <c r="L1267" s="74">
        <f t="shared" si="242"/>
        <v>-31045.374562194964</v>
      </c>
      <c r="M1267" s="74">
        <f t="shared" si="243"/>
        <v>31906.891446412443</v>
      </c>
      <c r="N1267" s="74">
        <f t="shared" si="244"/>
        <v>7635.5964215582699</v>
      </c>
      <c r="O1267" s="74">
        <f t="shared" si="245"/>
        <v>-86045.374562194964</v>
      </c>
      <c r="P1267" s="74">
        <f t="shared" si="246"/>
        <v>86383.498518301174</v>
      </c>
    </row>
    <row r="1268" spans="1:16" x14ac:dyDescent="0.3">
      <c r="A1268" s="72">
        <f t="shared" si="233"/>
        <v>479.5</v>
      </c>
      <c r="B1268" s="74">
        <f t="shared" si="234"/>
        <v>-14619.556990638313</v>
      </c>
      <c r="C1268" s="74">
        <f t="shared" si="235"/>
        <v>49626.797332063827</v>
      </c>
      <c r="D1268" s="74">
        <f t="shared" si="236"/>
        <v>-3967.9211381600871</v>
      </c>
      <c r="E1268" s="74">
        <f t="shared" si="237"/>
        <v>-2837.1544602622712</v>
      </c>
      <c r="F1268" s="74">
        <f t="shared" si="231"/>
        <v>330.24222262463485</v>
      </c>
      <c r="G1268" s="74">
        <f t="shared" si="232"/>
        <v>-2522.9786925276394</v>
      </c>
      <c r="H1268" s="74">
        <f t="shared" si="238"/>
        <v>34619.556990638317</v>
      </c>
      <c r="I1268" s="74">
        <f t="shared" si="239"/>
        <v>-29626.797332063827</v>
      </c>
      <c r="J1268" s="74">
        <f t="shared" si="240"/>
        <v>45566.005381021045</v>
      </c>
      <c r="K1268" s="74">
        <f t="shared" si="241"/>
        <v>-5380.4430093616866</v>
      </c>
      <c r="L1268" s="74">
        <f t="shared" si="242"/>
        <v>-29626.797332063827</v>
      </c>
      <c r="M1268" s="74">
        <f t="shared" si="243"/>
        <v>30111.397960443039</v>
      </c>
      <c r="N1268" s="74">
        <f t="shared" si="244"/>
        <v>9619.5569906383134</v>
      </c>
      <c r="O1268" s="74">
        <f t="shared" si="245"/>
        <v>-84626.797332063827</v>
      </c>
      <c r="P1268" s="74">
        <f t="shared" si="246"/>
        <v>85171.771752020883</v>
      </c>
    </row>
    <row r="1269" spans="1:16" x14ac:dyDescent="0.3">
      <c r="A1269" s="72">
        <f t="shared" si="233"/>
        <v>480</v>
      </c>
      <c r="B1269" s="74">
        <f t="shared" si="234"/>
        <v>-16520.957004062195</v>
      </c>
      <c r="C1269" s="74">
        <f t="shared" si="235"/>
        <v>47577.475428800783</v>
      </c>
      <c r="D1269" s="74">
        <f t="shared" si="236"/>
        <v>-3802.8000268477699</v>
      </c>
      <c r="E1269" s="74">
        <f t="shared" si="237"/>
        <v>-4098.6438065260909</v>
      </c>
      <c r="F1269" s="74">
        <f t="shared" si="231"/>
        <v>424.19905111928637</v>
      </c>
      <c r="G1269" s="74">
        <f t="shared" si="232"/>
        <v>-2779.5854042574274</v>
      </c>
      <c r="H1269" s="74">
        <f t="shared" si="238"/>
        <v>36520.957004062191</v>
      </c>
      <c r="I1269" s="74">
        <f t="shared" si="239"/>
        <v>-27577.475428800783</v>
      </c>
      <c r="J1269" s="74">
        <f t="shared" si="240"/>
        <v>45763.494747655255</v>
      </c>
      <c r="K1269" s="74">
        <f t="shared" si="241"/>
        <v>-3479.0429959378052</v>
      </c>
      <c r="L1269" s="74">
        <f t="shared" si="242"/>
        <v>-27577.475428800783</v>
      </c>
      <c r="M1269" s="74">
        <f t="shared" si="243"/>
        <v>27796.058914775938</v>
      </c>
      <c r="N1269" s="74">
        <f t="shared" si="244"/>
        <v>11520.957004062195</v>
      </c>
      <c r="O1269" s="74">
        <f t="shared" si="245"/>
        <v>-82577.475428800783</v>
      </c>
      <c r="P1269" s="74">
        <f t="shared" si="246"/>
        <v>83377.286466301157</v>
      </c>
    </row>
    <row r="1270" spans="1:16" x14ac:dyDescent="0.3">
      <c r="A1270" s="72">
        <f t="shared" si="233"/>
        <v>480.5</v>
      </c>
      <c r="B1270" s="74">
        <f t="shared" si="234"/>
        <v>-18316.307254706258</v>
      </c>
      <c r="C1270" s="74">
        <f t="shared" si="235"/>
        <v>44833.25717447338</v>
      </c>
      <c r="D1270" s="74">
        <f t="shared" si="236"/>
        <v>-3590.7005012881268</v>
      </c>
      <c r="E1270" s="74">
        <f t="shared" si="237"/>
        <v>-5488.4365086548041</v>
      </c>
      <c r="F1270" s="74">
        <f t="shared" ref="F1270:F1309" si="247">$C$23*(H1270/(J1270^2+$C$24^2)^1.5)+$C$32*(K1270/(M1270^2+$C$33^2)^1.5)+C$41*(N1270/(P1270^2+$C$42^2)^1.5)</f>
        <v>557.90029361879738</v>
      </c>
      <c r="G1270" s="74">
        <f t="shared" ref="G1270:G1309" si="248">$C$23*(I1270/(J1270^2+$C$24^2)^1.5)+$C$32*(L1270/(M1270^2+$C$33^2)^1.5)+C$41*(O1270/(P1270^2+$C$42^2)^1.5)</f>
        <v>-3203.7079725766985</v>
      </c>
      <c r="H1270" s="74">
        <f t="shared" si="238"/>
        <v>38316.307254706262</v>
      </c>
      <c r="I1270" s="74">
        <f t="shared" si="239"/>
        <v>-24833.25717447338</v>
      </c>
      <c r="J1270" s="74">
        <f t="shared" si="240"/>
        <v>45659.93937283085</v>
      </c>
      <c r="K1270" s="74">
        <f t="shared" si="241"/>
        <v>-1683.6927452937416</v>
      </c>
      <c r="L1270" s="74">
        <f t="shared" si="242"/>
        <v>-24833.25717447338</v>
      </c>
      <c r="M1270" s="74">
        <f t="shared" si="243"/>
        <v>24890.268844552251</v>
      </c>
      <c r="N1270" s="74">
        <f t="shared" si="244"/>
        <v>13316.307254706258</v>
      </c>
      <c r="O1270" s="74">
        <f t="shared" si="245"/>
        <v>-79833.257174473372</v>
      </c>
      <c r="P1270" s="74">
        <f t="shared" si="246"/>
        <v>80936.227920427249</v>
      </c>
    </row>
    <row r="1271" spans="1:16" x14ac:dyDescent="0.3">
      <c r="A1271" s="72">
        <f t="shared" ref="A1271:A1309" si="249">A1270+$C$5</f>
        <v>481</v>
      </c>
      <c r="B1271" s="74">
        <f t="shared" ref="B1271:B1309" si="250">B1270+D1270*(A1271-A1270)+F1270*(A1271-A1270)^2</f>
        <v>-19972.182431945621</v>
      </c>
      <c r="C1271" s="74">
        <f t="shared" ref="C1271:C1309" si="251">C1270+E1270*(A1271-A1270)+G1270*(A1271-A1270)^2</f>
        <v>41288.111927001803</v>
      </c>
      <c r="D1271" s="74">
        <f t="shared" ref="D1271:D1309" si="252">D1270+F1270*(A1271-A1270)</f>
        <v>-3311.7503544787282</v>
      </c>
      <c r="E1271" s="74">
        <f t="shared" ref="E1271:E1309" si="253">E1270+G1270*(A1271-A1270)</f>
        <v>-7090.2904949431531</v>
      </c>
      <c r="F1271" s="74">
        <f t="shared" si="247"/>
        <v>781.5006484807642</v>
      </c>
      <c r="G1271" s="74">
        <f t="shared" si="248"/>
        <v>-3943.5817664026008</v>
      </c>
      <c r="H1271" s="74">
        <f t="shared" ref="H1271:H1309" si="254">$C$19-B1271</f>
        <v>39972.182431945621</v>
      </c>
      <c r="I1271" s="74">
        <f t="shared" ref="I1271:I1309" si="255">$D$19-C1271</f>
        <v>-21288.111927001803</v>
      </c>
      <c r="J1271" s="74">
        <f t="shared" ref="J1271:J1309" si="256">SQRT(H1271^2+I1271^2)</f>
        <v>45287.515694607253</v>
      </c>
      <c r="K1271" s="74">
        <f t="shared" ref="K1271:K1309" si="257">$C$28-B1271</f>
        <v>-27.81756805437908</v>
      </c>
      <c r="L1271" s="74">
        <f t="shared" ref="L1271:L1309" si="258">$D$28-C1271</f>
        <v>-21288.111927001803</v>
      </c>
      <c r="M1271" s="74">
        <f t="shared" ref="M1271:M1309" si="259">SQRT(K1271^2+L1271^2)</f>
        <v>21288.13010185838</v>
      </c>
      <c r="N1271" s="74">
        <f t="shared" ref="N1271:N1309" si="260">$C$37-B1271</f>
        <v>14972.182431945621</v>
      </c>
      <c r="O1271" s="74">
        <f t="shared" ref="O1271:O1309" si="261">$D$37-C1271</f>
        <v>-76288.111927001795</v>
      </c>
      <c r="P1271" s="74">
        <f t="shared" ref="P1271:P1309" si="262">SQRT(N1271^2+O1271^2)</f>
        <v>77743.438746702057</v>
      </c>
    </row>
    <row r="1272" spans="1:16" x14ac:dyDescent="0.3">
      <c r="A1272" s="72">
        <f t="shared" si="249"/>
        <v>481.5</v>
      </c>
      <c r="B1272" s="74">
        <f t="shared" si="250"/>
        <v>-21432.682447064792</v>
      </c>
      <c r="C1272" s="74">
        <f t="shared" si="251"/>
        <v>36757.071237929573</v>
      </c>
      <c r="D1272" s="74">
        <f t="shared" si="252"/>
        <v>-2921.000030238346</v>
      </c>
      <c r="E1272" s="74">
        <f t="shared" si="253"/>
        <v>-9062.081378144454</v>
      </c>
      <c r="F1272" s="74">
        <f t="shared" si="247"/>
        <v>1263.8061013984266</v>
      </c>
      <c r="G1272" s="74">
        <f t="shared" si="248"/>
        <v>-5373.297844876236</v>
      </c>
      <c r="H1272" s="74">
        <f t="shared" si="254"/>
        <v>41432.682447064792</v>
      </c>
      <c r="I1272" s="74">
        <f t="shared" si="255"/>
        <v>-16757.071237929573</v>
      </c>
      <c r="J1272" s="74">
        <f t="shared" si="256"/>
        <v>44693.026427311423</v>
      </c>
      <c r="K1272" s="74">
        <f t="shared" si="257"/>
        <v>1432.6824470647916</v>
      </c>
      <c r="L1272" s="74">
        <f t="shared" si="258"/>
        <v>-16757.071237929573</v>
      </c>
      <c r="M1272" s="74">
        <f t="shared" si="259"/>
        <v>16818.204882423513</v>
      </c>
      <c r="N1272" s="74">
        <f t="shared" si="260"/>
        <v>16432.682447064792</v>
      </c>
      <c r="O1272" s="74">
        <f t="shared" si="261"/>
        <v>-71757.071237929573</v>
      </c>
      <c r="P1272" s="74">
        <f t="shared" si="262"/>
        <v>73614.606737055728</v>
      </c>
    </row>
    <row r="1273" spans="1:16" x14ac:dyDescent="0.3">
      <c r="A1273" s="72">
        <f t="shared" si="249"/>
        <v>482</v>
      </c>
      <c r="B1273" s="74">
        <f t="shared" si="250"/>
        <v>-22577.230936834359</v>
      </c>
      <c r="C1273" s="74">
        <f t="shared" si="251"/>
        <v>30882.706087638289</v>
      </c>
      <c r="D1273" s="74">
        <f t="shared" si="252"/>
        <v>-2289.0969795391329</v>
      </c>
      <c r="E1273" s="74">
        <f t="shared" si="253"/>
        <v>-11748.730300582572</v>
      </c>
      <c r="F1273" s="74">
        <f t="shared" si="247"/>
        <v>2810.6330672256604</v>
      </c>
      <c r="G1273" s="74">
        <f t="shared" si="248"/>
        <v>-8453.9897156316129</v>
      </c>
      <c r="H1273" s="74">
        <f t="shared" si="254"/>
        <v>42577.230936834356</v>
      </c>
      <c r="I1273" s="74">
        <f t="shared" si="255"/>
        <v>-10882.706087638289</v>
      </c>
      <c r="J1273" s="74">
        <f t="shared" si="256"/>
        <v>43946.033791895759</v>
      </c>
      <c r="K1273" s="74">
        <f t="shared" si="257"/>
        <v>2577.2309368343595</v>
      </c>
      <c r="L1273" s="74">
        <f t="shared" si="258"/>
        <v>-10882.706087638289</v>
      </c>
      <c r="M1273" s="74">
        <f t="shared" si="259"/>
        <v>11183.711865552314</v>
      </c>
      <c r="N1273" s="74">
        <f t="shared" si="260"/>
        <v>17577.230936834359</v>
      </c>
      <c r="O1273" s="74">
        <f t="shared" si="261"/>
        <v>-65882.706087638289</v>
      </c>
      <c r="P1273" s="74">
        <f t="shared" si="262"/>
        <v>68187.168945755024</v>
      </c>
    </row>
    <row r="1274" spans="1:16" x14ac:dyDescent="0.3">
      <c r="A1274" s="72">
        <f t="shared" si="249"/>
        <v>482.5</v>
      </c>
      <c r="B1274" s="74">
        <f t="shared" si="250"/>
        <v>-23019.121159797513</v>
      </c>
      <c r="C1274" s="74">
        <f t="shared" si="251"/>
        <v>22894.843508439099</v>
      </c>
      <c r="D1274" s="74">
        <f t="shared" si="252"/>
        <v>-883.78044592630272</v>
      </c>
      <c r="E1274" s="74">
        <f t="shared" si="253"/>
        <v>-15975.725158398378</v>
      </c>
      <c r="F1274" s="74">
        <f t="shared" si="247"/>
        <v>9471.2394166870272</v>
      </c>
      <c r="G1274" s="74">
        <f t="shared" si="248"/>
        <v>-8587.5087331413706</v>
      </c>
      <c r="H1274" s="74">
        <f t="shared" si="254"/>
        <v>43019.121159797513</v>
      </c>
      <c r="I1274" s="74">
        <f t="shared" si="255"/>
        <v>-2894.8435084390985</v>
      </c>
      <c r="J1274" s="74">
        <f t="shared" si="256"/>
        <v>43116.411078610079</v>
      </c>
      <c r="K1274" s="74">
        <f t="shared" si="257"/>
        <v>3019.1211597975125</v>
      </c>
      <c r="L1274" s="74">
        <f t="shared" si="258"/>
        <v>-2894.8435084390985</v>
      </c>
      <c r="M1274" s="74">
        <f t="shared" si="259"/>
        <v>4182.72776019299</v>
      </c>
      <c r="N1274" s="74">
        <f t="shared" si="260"/>
        <v>18019.121159797513</v>
      </c>
      <c r="O1274" s="74">
        <f t="shared" si="261"/>
        <v>-57894.843508439095</v>
      </c>
      <c r="P1274" s="74">
        <f t="shared" si="262"/>
        <v>60634.162253948183</v>
      </c>
    </row>
    <row r="1275" spans="1:16" x14ac:dyDescent="0.3">
      <c r="A1275" s="72">
        <f t="shared" si="249"/>
        <v>483</v>
      </c>
      <c r="B1275" s="74">
        <f t="shared" si="250"/>
        <v>-21093.20152858891</v>
      </c>
      <c r="C1275" s="74">
        <f t="shared" si="251"/>
        <v>12760.103745954566</v>
      </c>
      <c r="D1275" s="74">
        <f t="shared" si="252"/>
        <v>3851.8392624172111</v>
      </c>
      <c r="E1275" s="74">
        <f t="shared" si="253"/>
        <v>-20269.479524969065</v>
      </c>
      <c r="F1275" s="74">
        <f t="shared" si="247"/>
        <v>2845.671975046575</v>
      </c>
      <c r="G1275" s="74">
        <f t="shared" si="248"/>
        <v>10640.537891144009</v>
      </c>
      <c r="H1275" s="74">
        <f t="shared" si="254"/>
        <v>41093.201528588907</v>
      </c>
      <c r="I1275" s="74">
        <f t="shared" si="255"/>
        <v>7239.896254045434</v>
      </c>
      <c r="J1275" s="74">
        <f t="shared" si="256"/>
        <v>41726.098663049757</v>
      </c>
      <c r="K1275" s="74">
        <f t="shared" si="257"/>
        <v>1093.2015285889102</v>
      </c>
      <c r="L1275" s="74">
        <f t="shared" si="258"/>
        <v>7239.896254045434</v>
      </c>
      <c r="M1275" s="74">
        <f t="shared" si="259"/>
        <v>7321.96608510653</v>
      </c>
      <c r="N1275" s="74">
        <f t="shared" si="260"/>
        <v>16093.20152858891</v>
      </c>
      <c r="O1275" s="74">
        <f t="shared" si="261"/>
        <v>-47760.103745954562</v>
      </c>
      <c r="P1275" s="74">
        <f t="shared" si="262"/>
        <v>50398.597651761302</v>
      </c>
    </row>
    <row r="1276" spans="1:16" x14ac:dyDescent="0.3">
      <c r="A1276" s="72">
        <f t="shared" si="249"/>
        <v>483.5</v>
      </c>
      <c r="B1276" s="74">
        <f t="shared" si="250"/>
        <v>-18455.863903618661</v>
      </c>
      <c r="C1276" s="74">
        <f t="shared" si="251"/>
        <v>5285.4984562560358</v>
      </c>
      <c r="D1276" s="74">
        <f t="shared" si="252"/>
        <v>5274.6752499404984</v>
      </c>
      <c r="E1276" s="74">
        <f t="shared" si="253"/>
        <v>-14949.21057939706</v>
      </c>
      <c r="F1276" s="74">
        <f t="shared" si="247"/>
        <v>625.49679190783866</v>
      </c>
      <c r="G1276" s="74">
        <f t="shared" si="248"/>
        <v>5164.5979563434721</v>
      </c>
      <c r="H1276" s="74">
        <f t="shared" si="254"/>
        <v>38455.863903618665</v>
      </c>
      <c r="I1276" s="74">
        <f t="shared" si="255"/>
        <v>14714.501543743965</v>
      </c>
      <c r="J1276" s="74">
        <f t="shared" si="256"/>
        <v>41174.871271862947</v>
      </c>
      <c r="K1276" s="74">
        <f t="shared" si="257"/>
        <v>-1544.1360963813386</v>
      </c>
      <c r="L1276" s="74">
        <f t="shared" si="258"/>
        <v>14714.501543743965</v>
      </c>
      <c r="M1276" s="74">
        <f t="shared" si="259"/>
        <v>14795.300333720546</v>
      </c>
      <c r="N1276" s="74">
        <f t="shared" si="260"/>
        <v>13455.863903618661</v>
      </c>
      <c r="O1276" s="74">
        <f t="shared" si="261"/>
        <v>-40285.498456256035</v>
      </c>
      <c r="P1276" s="74">
        <f t="shared" si="262"/>
        <v>42473.305254732826</v>
      </c>
    </row>
    <row r="1277" spans="1:16" x14ac:dyDescent="0.3">
      <c r="A1277" s="72">
        <f t="shared" si="249"/>
        <v>484</v>
      </c>
      <c r="B1277" s="74">
        <f t="shared" si="250"/>
        <v>-15662.152080671452</v>
      </c>
      <c r="C1277" s="74">
        <f t="shared" si="251"/>
        <v>-897.95734435662644</v>
      </c>
      <c r="D1277" s="74">
        <f t="shared" si="252"/>
        <v>5587.4236458944179</v>
      </c>
      <c r="E1277" s="74">
        <f t="shared" si="253"/>
        <v>-12366.911601225325</v>
      </c>
      <c r="F1277" s="74">
        <f t="shared" si="247"/>
        <v>575.18171486558299</v>
      </c>
      <c r="G1277" s="74">
        <f t="shared" si="248"/>
        <v>2449.3229154127598</v>
      </c>
      <c r="H1277" s="74">
        <f t="shared" si="254"/>
        <v>35662.152080671454</v>
      </c>
      <c r="I1277" s="74">
        <f t="shared" si="255"/>
        <v>20897.957344356626</v>
      </c>
      <c r="J1277" s="74">
        <f t="shared" si="256"/>
        <v>41334.171241135198</v>
      </c>
      <c r="K1277" s="74">
        <f t="shared" si="257"/>
        <v>-4337.8479193285475</v>
      </c>
      <c r="L1277" s="74">
        <f t="shared" si="258"/>
        <v>20897.957344356626</v>
      </c>
      <c r="M1277" s="74">
        <f t="shared" si="259"/>
        <v>21343.419260694198</v>
      </c>
      <c r="N1277" s="74">
        <f t="shared" si="260"/>
        <v>10662.152080671452</v>
      </c>
      <c r="O1277" s="74">
        <f t="shared" si="261"/>
        <v>-34102.042655643374</v>
      </c>
      <c r="P1277" s="74">
        <f t="shared" si="262"/>
        <v>35729.970616818129</v>
      </c>
    </row>
    <row r="1278" spans="1:16" x14ac:dyDescent="0.3">
      <c r="A1278" s="72">
        <f t="shared" si="249"/>
        <v>484.5</v>
      </c>
      <c r="B1278" s="74">
        <f t="shared" si="250"/>
        <v>-12724.644829007848</v>
      </c>
      <c r="C1278" s="74">
        <f t="shared" si="251"/>
        <v>-6469.082416116099</v>
      </c>
      <c r="D1278" s="74">
        <f t="shared" si="252"/>
        <v>5875.0145033272092</v>
      </c>
      <c r="E1278" s="74">
        <f t="shared" si="253"/>
        <v>-11142.250143518946</v>
      </c>
      <c r="F1278" s="74">
        <f t="shared" si="247"/>
        <v>663.51175209908388</v>
      </c>
      <c r="G1278" s="74">
        <f t="shared" si="248"/>
        <v>850.4650609228604</v>
      </c>
      <c r="H1278" s="74">
        <f t="shared" si="254"/>
        <v>32724.644829007848</v>
      </c>
      <c r="I1278" s="74">
        <f t="shared" si="255"/>
        <v>26469.0824161161</v>
      </c>
      <c r="J1278" s="74">
        <f t="shared" si="256"/>
        <v>42089.365677518312</v>
      </c>
      <c r="K1278" s="74">
        <f t="shared" si="257"/>
        <v>-7275.3551709921521</v>
      </c>
      <c r="L1278" s="74">
        <f t="shared" si="258"/>
        <v>26469.0824161161</v>
      </c>
      <c r="M1278" s="74">
        <f t="shared" si="259"/>
        <v>27450.739822730255</v>
      </c>
      <c r="N1278" s="74">
        <f t="shared" si="260"/>
        <v>7724.6448290078479</v>
      </c>
      <c r="O1278" s="74">
        <f t="shared" si="261"/>
        <v>-28530.9175838839</v>
      </c>
      <c r="P1278" s="74">
        <f t="shared" si="262"/>
        <v>29558.13586667287</v>
      </c>
    </row>
    <row r="1279" spans="1:16" x14ac:dyDescent="0.3">
      <c r="A1279" s="72">
        <f t="shared" si="249"/>
        <v>485</v>
      </c>
      <c r="B1279" s="74">
        <f t="shared" si="250"/>
        <v>-9621.2596393194726</v>
      </c>
      <c r="C1279" s="74">
        <f t="shared" si="251"/>
        <v>-11827.591222644856</v>
      </c>
      <c r="D1279" s="74">
        <f t="shared" si="252"/>
        <v>6206.7703793767514</v>
      </c>
      <c r="E1279" s="74">
        <f t="shared" si="253"/>
        <v>-10717.017613057516</v>
      </c>
      <c r="F1279" s="74">
        <f t="shared" si="247"/>
        <v>691.24319905433117</v>
      </c>
      <c r="G1279" s="74">
        <f t="shared" si="248"/>
        <v>-639.97456996395749</v>
      </c>
      <c r="H1279" s="74">
        <f t="shared" si="254"/>
        <v>29621.259639319473</v>
      </c>
      <c r="I1279" s="74">
        <f t="shared" si="255"/>
        <v>31827.591222644856</v>
      </c>
      <c r="J1279" s="74">
        <f t="shared" si="256"/>
        <v>43478.898165153136</v>
      </c>
      <c r="K1279" s="74">
        <f t="shared" si="257"/>
        <v>-10378.740360680527</v>
      </c>
      <c r="L1279" s="74">
        <f t="shared" si="258"/>
        <v>31827.591222644856</v>
      </c>
      <c r="M1279" s="74">
        <f t="shared" si="259"/>
        <v>33477.064006722554</v>
      </c>
      <c r="N1279" s="74">
        <f t="shared" si="260"/>
        <v>4621.2596393194726</v>
      </c>
      <c r="O1279" s="74">
        <f t="shared" si="261"/>
        <v>-23172.408777355144</v>
      </c>
      <c r="P1279" s="74">
        <f t="shared" si="262"/>
        <v>23628.723393337372</v>
      </c>
    </row>
    <row r="1280" spans="1:16" x14ac:dyDescent="0.3">
      <c r="A1280" s="72">
        <f t="shared" si="249"/>
        <v>485.5</v>
      </c>
      <c r="B1280" s="74">
        <f t="shared" si="250"/>
        <v>-6345.0636498675149</v>
      </c>
      <c r="C1280" s="74">
        <f t="shared" si="251"/>
        <v>-17346.093671664603</v>
      </c>
      <c r="D1280" s="74">
        <f t="shared" si="252"/>
        <v>6552.3919789039173</v>
      </c>
      <c r="E1280" s="74">
        <f t="shared" si="253"/>
        <v>-11037.004898039495</v>
      </c>
      <c r="F1280" s="74">
        <f t="shared" si="247"/>
        <v>438.79163902527904</v>
      </c>
      <c r="G1280" s="74">
        <f t="shared" si="248"/>
        <v>-2728.0586977029002</v>
      </c>
      <c r="H1280" s="74">
        <f t="shared" si="254"/>
        <v>26345.063649867516</v>
      </c>
      <c r="I1280" s="74">
        <f t="shared" si="255"/>
        <v>37346.093671664603</v>
      </c>
      <c r="J1280" s="74">
        <f t="shared" si="256"/>
        <v>45703.315976505663</v>
      </c>
      <c r="K1280" s="74">
        <f t="shared" si="257"/>
        <v>-13654.936350132484</v>
      </c>
      <c r="L1280" s="74">
        <f t="shared" si="258"/>
        <v>37346.093671664603</v>
      </c>
      <c r="M1280" s="74">
        <f t="shared" si="259"/>
        <v>39764.154703186083</v>
      </c>
      <c r="N1280" s="74">
        <f t="shared" si="260"/>
        <v>1345.0636498675149</v>
      </c>
      <c r="O1280" s="74">
        <f t="shared" si="261"/>
        <v>-17653.906328335397</v>
      </c>
      <c r="P1280" s="74">
        <f t="shared" si="262"/>
        <v>17705.072857004445</v>
      </c>
    </row>
    <row r="1281" spans="1:16" x14ac:dyDescent="0.3">
      <c r="A1281" s="72">
        <f t="shared" si="249"/>
        <v>486</v>
      </c>
      <c r="B1281" s="74">
        <f t="shared" si="250"/>
        <v>-2959.1697506592363</v>
      </c>
      <c r="C1281" s="74">
        <f t="shared" si="251"/>
        <v>-23546.610795110075</v>
      </c>
      <c r="D1281" s="74">
        <f t="shared" si="252"/>
        <v>6771.7877984165571</v>
      </c>
      <c r="E1281" s="74">
        <f t="shared" si="253"/>
        <v>-12401.034246890946</v>
      </c>
      <c r="F1281" s="74">
        <f t="shared" si="247"/>
        <v>-1314.7990700017276</v>
      </c>
      <c r="G1281" s="74">
        <f t="shared" si="248"/>
        <v>-6284.2081506647919</v>
      </c>
      <c r="H1281" s="74">
        <f t="shared" si="254"/>
        <v>22959.169750659235</v>
      </c>
      <c r="I1281" s="74">
        <f t="shared" si="255"/>
        <v>43546.610795110071</v>
      </c>
      <c r="J1281" s="74">
        <f t="shared" si="256"/>
        <v>49228.353490446774</v>
      </c>
      <c r="K1281" s="74">
        <f t="shared" si="257"/>
        <v>-17040.830249340765</v>
      </c>
      <c r="L1281" s="74">
        <f t="shared" si="258"/>
        <v>43546.610795110071</v>
      </c>
      <c r="M1281" s="74">
        <f t="shared" si="259"/>
        <v>46762.134332466521</v>
      </c>
      <c r="N1281" s="74">
        <f t="shared" si="260"/>
        <v>-2040.8302493407637</v>
      </c>
      <c r="O1281" s="74">
        <f t="shared" si="261"/>
        <v>-11453.389204889925</v>
      </c>
      <c r="P1281" s="74">
        <f t="shared" si="262"/>
        <v>11633.791831785256</v>
      </c>
    </row>
    <row r="1282" spans="1:16" x14ac:dyDescent="0.3">
      <c r="A1282" s="72">
        <f t="shared" si="249"/>
        <v>486.5</v>
      </c>
      <c r="B1282" s="74">
        <f t="shared" si="250"/>
        <v>98.02438104861028</v>
      </c>
      <c r="C1282" s="74">
        <f t="shared" si="251"/>
        <v>-31318.179956221746</v>
      </c>
      <c r="D1282" s="74">
        <f t="shared" si="252"/>
        <v>6114.3882634156935</v>
      </c>
      <c r="E1282" s="74">
        <f t="shared" si="253"/>
        <v>-15543.138322223342</v>
      </c>
      <c r="F1282" s="74">
        <f t="shared" si="247"/>
        <v>-9609.7342021112163</v>
      </c>
      <c r="G1282" s="74">
        <f t="shared" si="248"/>
        <v>-5883.2797599027235</v>
      </c>
      <c r="H1282" s="74">
        <f t="shared" si="254"/>
        <v>19901.97561895139</v>
      </c>
      <c r="I1282" s="74">
        <f t="shared" si="255"/>
        <v>51318.179956221749</v>
      </c>
      <c r="J1282" s="74">
        <f t="shared" si="256"/>
        <v>55042.204057945346</v>
      </c>
      <c r="K1282" s="74">
        <f t="shared" si="257"/>
        <v>-20098.02438104861</v>
      </c>
      <c r="L1282" s="74">
        <f t="shared" si="258"/>
        <v>51318.179956221749</v>
      </c>
      <c r="M1282" s="74">
        <f t="shared" si="259"/>
        <v>55113.393817114767</v>
      </c>
      <c r="N1282" s="74">
        <f t="shared" si="260"/>
        <v>-5098.0243810486099</v>
      </c>
      <c r="O1282" s="74">
        <f t="shared" si="261"/>
        <v>-3681.8200437782543</v>
      </c>
      <c r="P1282" s="74">
        <f t="shared" si="262"/>
        <v>6288.5333285698161</v>
      </c>
    </row>
    <row r="1283" spans="1:16" x14ac:dyDescent="0.3">
      <c r="A1283" s="72">
        <f t="shared" si="249"/>
        <v>487</v>
      </c>
      <c r="B1283" s="74">
        <f t="shared" si="250"/>
        <v>752.78496222865306</v>
      </c>
      <c r="C1283" s="74">
        <f t="shared" si="251"/>
        <v>-40560.569057309091</v>
      </c>
      <c r="D1283" s="74">
        <f t="shared" si="252"/>
        <v>1309.5211623600853</v>
      </c>
      <c r="E1283" s="74">
        <f t="shared" si="253"/>
        <v>-18484.778202174704</v>
      </c>
      <c r="F1283" s="74">
        <f t="shared" si="247"/>
        <v>-7715.1736226998464</v>
      </c>
      <c r="G1283" s="74">
        <f t="shared" si="248"/>
        <v>8258.6592629549068</v>
      </c>
      <c r="H1283" s="74">
        <f t="shared" si="254"/>
        <v>19247.215037771348</v>
      </c>
      <c r="I1283" s="74">
        <f t="shared" si="255"/>
        <v>60560.569057309091</v>
      </c>
      <c r="J1283" s="74">
        <f t="shared" si="256"/>
        <v>63545.556974939755</v>
      </c>
      <c r="K1283" s="74">
        <f t="shared" si="257"/>
        <v>-20752.784962228652</v>
      </c>
      <c r="L1283" s="74">
        <f t="shared" si="258"/>
        <v>60560.569057309091</v>
      </c>
      <c r="M1283" s="74">
        <f t="shared" si="259"/>
        <v>64017.658565692691</v>
      </c>
      <c r="N1283" s="74">
        <f t="shared" si="260"/>
        <v>-5752.7849622286531</v>
      </c>
      <c r="O1283" s="74">
        <f t="shared" si="261"/>
        <v>5560.5690573090906</v>
      </c>
      <c r="P1283" s="74">
        <f t="shared" si="262"/>
        <v>8000.9038903581031</v>
      </c>
    </row>
    <row r="1284" spans="1:16" x14ac:dyDescent="0.3">
      <c r="A1284" s="72">
        <f t="shared" si="249"/>
        <v>487.5</v>
      </c>
      <c r="B1284" s="74">
        <f t="shared" si="250"/>
        <v>-521.24786226626588</v>
      </c>
      <c r="C1284" s="74">
        <f t="shared" si="251"/>
        <v>-47738.293342657722</v>
      </c>
      <c r="D1284" s="74">
        <f t="shared" si="252"/>
        <v>-2548.0656489898379</v>
      </c>
      <c r="E1284" s="74">
        <f t="shared" si="253"/>
        <v>-14355.448570697252</v>
      </c>
      <c r="F1284" s="74">
        <f t="shared" si="247"/>
        <v>-2143.8951305518017</v>
      </c>
      <c r="G1284" s="74">
        <f t="shared" si="248"/>
        <v>6776.854989365218</v>
      </c>
      <c r="H1284" s="74">
        <f t="shared" si="254"/>
        <v>20521.247862266267</v>
      </c>
      <c r="I1284" s="74">
        <f t="shared" si="255"/>
        <v>67738.293342657722</v>
      </c>
      <c r="J1284" s="74">
        <f t="shared" si="256"/>
        <v>70778.513680357224</v>
      </c>
      <c r="K1284" s="74">
        <f t="shared" si="257"/>
        <v>-19478.752137733733</v>
      </c>
      <c r="L1284" s="74">
        <f t="shared" si="258"/>
        <v>67738.293342657722</v>
      </c>
      <c r="M1284" s="74">
        <f t="shared" si="259"/>
        <v>70483.31837973588</v>
      </c>
      <c r="N1284" s="74">
        <f t="shared" si="260"/>
        <v>-4478.7521377337343</v>
      </c>
      <c r="O1284" s="74">
        <f t="shared" si="261"/>
        <v>12738.293342657722</v>
      </c>
      <c r="P1284" s="74">
        <f t="shared" si="262"/>
        <v>13502.715948832389</v>
      </c>
    </row>
    <row r="1285" spans="1:16" x14ac:dyDescent="0.3">
      <c r="A1285" s="72">
        <f t="shared" si="249"/>
        <v>488</v>
      </c>
      <c r="B1285" s="74">
        <f t="shared" si="250"/>
        <v>-2331.2544693991354</v>
      </c>
      <c r="C1285" s="74">
        <f t="shared" si="251"/>
        <v>-53221.803880665044</v>
      </c>
      <c r="D1285" s="74">
        <f t="shared" si="252"/>
        <v>-3620.0132142657385</v>
      </c>
      <c r="E1285" s="74">
        <f t="shared" si="253"/>
        <v>-10967.021076014644</v>
      </c>
      <c r="F1285" s="74">
        <f t="shared" si="247"/>
        <v>-585.08206378587715</v>
      </c>
      <c r="G1285" s="74">
        <f t="shared" si="248"/>
        <v>4678.0830791221915</v>
      </c>
      <c r="H1285" s="74">
        <f t="shared" si="254"/>
        <v>22331.254469399137</v>
      </c>
      <c r="I1285" s="74">
        <f t="shared" si="255"/>
        <v>73221.803880665044</v>
      </c>
      <c r="J1285" s="74">
        <f t="shared" si="256"/>
        <v>76551.404230854139</v>
      </c>
      <c r="K1285" s="74">
        <f t="shared" si="257"/>
        <v>-17668.745530600863</v>
      </c>
      <c r="L1285" s="74">
        <f t="shared" si="258"/>
        <v>73221.803880665044</v>
      </c>
      <c r="M1285" s="74">
        <f t="shared" si="259"/>
        <v>75323.416891187982</v>
      </c>
      <c r="N1285" s="74">
        <f t="shared" si="260"/>
        <v>-2668.7455306008646</v>
      </c>
      <c r="O1285" s="74">
        <f t="shared" si="261"/>
        <v>18221.803880665044</v>
      </c>
      <c r="P1285" s="74">
        <f t="shared" si="262"/>
        <v>18416.197744717061</v>
      </c>
    </row>
    <row r="1286" spans="1:16" x14ac:dyDescent="0.3">
      <c r="A1286" s="72">
        <f t="shared" si="249"/>
        <v>488.5</v>
      </c>
      <c r="B1286" s="74">
        <f t="shared" si="250"/>
        <v>-4287.5315924784736</v>
      </c>
      <c r="C1286" s="74">
        <f t="shared" si="251"/>
        <v>-57535.79364889182</v>
      </c>
      <c r="D1286" s="74">
        <f t="shared" si="252"/>
        <v>-3912.554246158677</v>
      </c>
      <c r="E1286" s="74">
        <f t="shared" si="253"/>
        <v>-8627.9795364535476</v>
      </c>
      <c r="F1286" s="74">
        <f t="shared" si="247"/>
        <v>-70.170337978648845</v>
      </c>
      <c r="G1286" s="74">
        <f t="shared" si="248"/>
        <v>3493.5731133862209</v>
      </c>
      <c r="H1286" s="74">
        <f t="shared" si="254"/>
        <v>24287.531592478474</v>
      </c>
      <c r="I1286" s="74">
        <f t="shared" si="255"/>
        <v>77535.79364889182</v>
      </c>
      <c r="J1286" s="74">
        <f t="shared" si="256"/>
        <v>81250.744535783626</v>
      </c>
      <c r="K1286" s="74">
        <f t="shared" si="257"/>
        <v>-15712.468407521526</v>
      </c>
      <c r="L1286" s="74">
        <f t="shared" si="258"/>
        <v>77535.79364889182</v>
      </c>
      <c r="M1286" s="74">
        <f t="shared" si="259"/>
        <v>79111.825666084187</v>
      </c>
      <c r="N1286" s="74">
        <f t="shared" si="260"/>
        <v>-712.46840752152639</v>
      </c>
      <c r="O1286" s="74">
        <f t="shared" si="261"/>
        <v>22535.79364889182</v>
      </c>
      <c r="P1286" s="74">
        <f t="shared" si="262"/>
        <v>22547.05316925361</v>
      </c>
    </row>
    <row r="1287" spans="1:16" x14ac:dyDescent="0.3">
      <c r="A1287" s="72">
        <f t="shared" si="249"/>
        <v>489</v>
      </c>
      <c r="B1287" s="74">
        <f t="shared" si="250"/>
        <v>-6261.3513000524745</v>
      </c>
      <c r="C1287" s="74">
        <f t="shared" si="251"/>
        <v>-60976.39013877204</v>
      </c>
      <c r="D1287" s="74">
        <f t="shared" si="252"/>
        <v>-3947.6394151480013</v>
      </c>
      <c r="E1287" s="74">
        <f t="shared" si="253"/>
        <v>-6881.1929797604371</v>
      </c>
      <c r="F1287" s="74">
        <f t="shared" si="247"/>
        <v>143.4902678817856</v>
      </c>
      <c r="G1287" s="74">
        <f t="shared" si="248"/>
        <v>2799.285942049979</v>
      </c>
      <c r="H1287" s="74">
        <f t="shared" si="254"/>
        <v>26261.351300052476</v>
      </c>
      <c r="I1287" s="74">
        <f t="shared" si="255"/>
        <v>80976.39013877204</v>
      </c>
      <c r="J1287" s="74">
        <f t="shared" si="256"/>
        <v>85128.340357435518</v>
      </c>
      <c r="K1287" s="74">
        <f t="shared" si="257"/>
        <v>-13738.648699947526</v>
      </c>
      <c r="L1287" s="74">
        <f t="shared" si="258"/>
        <v>80976.39013877204</v>
      </c>
      <c r="M1287" s="74">
        <f t="shared" si="259"/>
        <v>82133.587697160707</v>
      </c>
      <c r="N1287" s="74">
        <f t="shared" si="260"/>
        <v>1261.3513000524745</v>
      </c>
      <c r="O1287" s="74">
        <f t="shared" si="261"/>
        <v>25976.39013877204</v>
      </c>
      <c r="P1287" s="74">
        <f t="shared" si="262"/>
        <v>26006.996207633001</v>
      </c>
    </row>
    <row r="1288" spans="1:16" x14ac:dyDescent="0.3">
      <c r="A1288" s="72">
        <f t="shared" si="249"/>
        <v>489.5</v>
      </c>
      <c r="B1288" s="74">
        <f t="shared" si="250"/>
        <v>-8199.2984406560281</v>
      </c>
      <c r="C1288" s="74">
        <f t="shared" si="251"/>
        <v>-63717.165143139762</v>
      </c>
      <c r="D1288" s="74">
        <f t="shared" si="252"/>
        <v>-3875.8942812071086</v>
      </c>
      <c r="E1288" s="74">
        <f t="shared" si="253"/>
        <v>-5481.5500087354476</v>
      </c>
      <c r="F1288" s="74">
        <f t="shared" si="247"/>
        <v>249.92343057416298</v>
      </c>
      <c r="G1288" s="74">
        <f t="shared" si="248"/>
        <v>2361.8141237613827</v>
      </c>
      <c r="H1288" s="74">
        <f t="shared" si="254"/>
        <v>28199.298440656028</v>
      </c>
      <c r="I1288" s="74">
        <f t="shared" si="255"/>
        <v>83717.165143139762</v>
      </c>
      <c r="J1288" s="74">
        <f t="shared" si="256"/>
        <v>88338.916521253079</v>
      </c>
      <c r="K1288" s="74">
        <f t="shared" si="257"/>
        <v>-11800.701559343972</v>
      </c>
      <c r="L1288" s="74">
        <f t="shared" si="258"/>
        <v>83717.165143139762</v>
      </c>
      <c r="M1288" s="74">
        <f t="shared" si="259"/>
        <v>84544.782789338569</v>
      </c>
      <c r="N1288" s="74">
        <f t="shared" si="260"/>
        <v>3199.2984406560281</v>
      </c>
      <c r="O1288" s="74">
        <f t="shared" si="261"/>
        <v>28717.165143139762</v>
      </c>
      <c r="P1288" s="74">
        <f t="shared" si="262"/>
        <v>28894.827986522872</v>
      </c>
    </row>
    <row r="1289" spans="1:16" x14ac:dyDescent="0.3">
      <c r="A1289" s="72">
        <f t="shared" si="249"/>
        <v>490</v>
      </c>
      <c r="B1289" s="74">
        <f t="shared" si="250"/>
        <v>-10074.764723616041</v>
      </c>
      <c r="C1289" s="74">
        <f t="shared" si="251"/>
        <v>-65867.486616567141</v>
      </c>
      <c r="D1289" s="74">
        <f t="shared" si="252"/>
        <v>-3750.9325659200272</v>
      </c>
      <c r="E1289" s="74">
        <f t="shared" si="253"/>
        <v>-4300.6429468547558</v>
      </c>
      <c r="F1289" s="74">
        <f t="shared" si="247"/>
        <v>312.4036193571979</v>
      </c>
      <c r="G1289" s="74">
        <f t="shared" si="248"/>
        <v>2070.4121301254081</v>
      </c>
      <c r="H1289" s="74">
        <f t="shared" si="254"/>
        <v>30074.764723616041</v>
      </c>
      <c r="I1289" s="74">
        <f t="shared" si="255"/>
        <v>85867.486616567141</v>
      </c>
      <c r="J1289" s="74">
        <f t="shared" si="256"/>
        <v>90981.958272105781</v>
      </c>
      <c r="K1289" s="74">
        <f t="shared" si="257"/>
        <v>-9925.235276383959</v>
      </c>
      <c r="L1289" s="74">
        <f t="shared" si="258"/>
        <v>85867.486616567141</v>
      </c>
      <c r="M1289" s="74">
        <f t="shared" si="259"/>
        <v>86439.201483689758</v>
      </c>
      <c r="N1289" s="74">
        <f t="shared" si="260"/>
        <v>5074.764723616041</v>
      </c>
      <c r="O1289" s="74">
        <f t="shared" si="261"/>
        <v>30867.486616567141</v>
      </c>
      <c r="P1289" s="74">
        <f t="shared" si="262"/>
        <v>31281.863228139231</v>
      </c>
    </row>
    <row r="1290" spans="1:16" x14ac:dyDescent="0.3">
      <c r="A1290" s="72">
        <f t="shared" si="249"/>
        <v>490.5</v>
      </c>
      <c r="B1290" s="74">
        <f t="shared" si="250"/>
        <v>-11872.130101736755</v>
      </c>
      <c r="C1290" s="74">
        <f t="shared" si="251"/>
        <v>-67500.205057463172</v>
      </c>
      <c r="D1290" s="74">
        <f t="shared" si="252"/>
        <v>-3594.730756241428</v>
      </c>
      <c r="E1290" s="74">
        <f t="shared" si="253"/>
        <v>-3265.4368817920517</v>
      </c>
      <c r="F1290" s="74">
        <f t="shared" si="247"/>
        <v>355.61735478489697</v>
      </c>
      <c r="G1290" s="74">
        <f t="shared" si="248"/>
        <v>1869.1851727343346</v>
      </c>
      <c r="H1290" s="74">
        <f t="shared" si="254"/>
        <v>31872.130101736755</v>
      </c>
      <c r="I1290" s="74">
        <f t="shared" si="255"/>
        <v>87500.205057463172</v>
      </c>
      <c r="J1290" s="74">
        <f t="shared" si="256"/>
        <v>93124.21039837136</v>
      </c>
      <c r="K1290" s="74">
        <f t="shared" si="257"/>
        <v>-8127.869898263245</v>
      </c>
      <c r="L1290" s="74">
        <f t="shared" si="258"/>
        <v>87500.205057463172</v>
      </c>
      <c r="M1290" s="74">
        <f t="shared" si="259"/>
        <v>87876.892037561251</v>
      </c>
      <c r="N1290" s="74">
        <f t="shared" si="260"/>
        <v>6872.130101736755</v>
      </c>
      <c r="O1290" s="74">
        <f t="shared" si="261"/>
        <v>32500.205057463172</v>
      </c>
      <c r="P1290" s="74">
        <f t="shared" si="262"/>
        <v>33218.812454877901</v>
      </c>
    </row>
    <row r="1291" spans="1:16" x14ac:dyDescent="0.3">
      <c r="A1291" s="72">
        <f t="shared" si="249"/>
        <v>491</v>
      </c>
      <c r="B1291" s="74">
        <f t="shared" si="250"/>
        <v>-13580.591141161245</v>
      </c>
      <c r="C1291" s="74">
        <f t="shared" si="251"/>
        <v>-68665.627205175624</v>
      </c>
      <c r="D1291" s="74">
        <f t="shared" si="252"/>
        <v>-3416.9220788489797</v>
      </c>
      <c r="E1291" s="74">
        <f t="shared" si="253"/>
        <v>-2330.8442954248844</v>
      </c>
      <c r="F1291" s="74">
        <f t="shared" si="247"/>
        <v>390.72065501021592</v>
      </c>
      <c r="G1291" s="74">
        <f t="shared" si="248"/>
        <v>1727.8217269792362</v>
      </c>
      <c r="H1291" s="74">
        <f t="shared" si="254"/>
        <v>33580.591141161247</v>
      </c>
      <c r="I1291" s="74">
        <f t="shared" si="255"/>
        <v>88665.627205175624</v>
      </c>
      <c r="J1291" s="74">
        <f t="shared" si="256"/>
        <v>94811.653023650084</v>
      </c>
      <c r="K1291" s="74">
        <f t="shared" si="257"/>
        <v>-6419.4088588387549</v>
      </c>
      <c r="L1291" s="74">
        <f t="shared" si="258"/>
        <v>88665.627205175624</v>
      </c>
      <c r="M1291" s="74">
        <f t="shared" si="259"/>
        <v>88897.70670711431</v>
      </c>
      <c r="N1291" s="74">
        <f t="shared" si="260"/>
        <v>8580.5911411612451</v>
      </c>
      <c r="O1291" s="74">
        <f t="shared" si="261"/>
        <v>33665.627205175624</v>
      </c>
      <c r="P1291" s="74">
        <f t="shared" si="262"/>
        <v>34741.919915998253</v>
      </c>
    </row>
    <row r="1292" spans="1:16" x14ac:dyDescent="0.3">
      <c r="A1292" s="72">
        <f t="shared" si="249"/>
        <v>491.5</v>
      </c>
      <c r="B1292" s="74">
        <f t="shared" si="250"/>
        <v>-15191.372016833182</v>
      </c>
      <c r="C1292" s="74">
        <f t="shared" si="251"/>
        <v>-69399.093921143256</v>
      </c>
      <c r="D1292" s="74">
        <f t="shared" si="252"/>
        <v>-3221.5617513438719</v>
      </c>
      <c r="E1292" s="74">
        <f t="shared" si="253"/>
        <v>-1466.9334319352663</v>
      </c>
      <c r="F1292" s="74">
        <f t="shared" si="247"/>
        <v>423.52486771211602</v>
      </c>
      <c r="G1292" s="74">
        <f t="shared" si="248"/>
        <v>1628.9197285882738</v>
      </c>
      <c r="H1292" s="74">
        <f t="shared" si="254"/>
        <v>35191.372016833178</v>
      </c>
      <c r="I1292" s="74">
        <f t="shared" si="255"/>
        <v>89399.093921143256</v>
      </c>
      <c r="J1292" s="74">
        <f t="shared" si="256"/>
        <v>96076.17112660424</v>
      </c>
      <c r="K1292" s="74">
        <f t="shared" si="257"/>
        <v>-4808.627983166818</v>
      </c>
      <c r="L1292" s="74">
        <f t="shared" si="258"/>
        <v>89399.093921143256</v>
      </c>
      <c r="M1292" s="74">
        <f t="shared" si="259"/>
        <v>89528.324551517711</v>
      </c>
      <c r="N1292" s="74">
        <f t="shared" si="260"/>
        <v>10191.372016833182</v>
      </c>
      <c r="O1292" s="74">
        <f t="shared" si="261"/>
        <v>34399.093921143256</v>
      </c>
      <c r="P1292" s="74">
        <f t="shared" si="262"/>
        <v>35877.036195610213</v>
      </c>
    </row>
    <row r="1293" spans="1:16" x14ac:dyDescent="0.3">
      <c r="A1293" s="72">
        <f t="shared" si="249"/>
        <v>492</v>
      </c>
      <c r="B1293" s="74">
        <f t="shared" si="250"/>
        <v>-16696.271675577089</v>
      </c>
      <c r="C1293" s="74">
        <f t="shared" si="251"/>
        <v>-69725.330704963824</v>
      </c>
      <c r="D1293" s="74">
        <f t="shared" si="252"/>
        <v>-3009.7993174878138</v>
      </c>
      <c r="E1293" s="74">
        <f t="shared" si="253"/>
        <v>-652.47356764112942</v>
      </c>
      <c r="F1293" s="74">
        <f t="shared" si="247"/>
        <v>457.60751111388879</v>
      </c>
      <c r="G1293" s="74">
        <f t="shared" si="248"/>
        <v>1562.1274083541887</v>
      </c>
      <c r="H1293" s="74">
        <f t="shared" si="254"/>
        <v>36696.271675577089</v>
      </c>
      <c r="I1293" s="74">
        <f t="shared" si="255"/>
        <v>89725.330704963824</v>
      </c>
      <c r="J1293" s="74">
        <f t="shared" si="256"/>
        <v>96939.420902968501</v>
      </c>
      <c r="K1293" s="74">
        <f t="shared" si="257"/>
        <v>-3303.7283244229111</v>
      </c>
      <c r="L1293" s="74">
        <f t="shared" si="258"/>
        <v>89725.330704963824</v>
      </c>
      <c r="M1293" s="74">
        <f t="shared" si="259"/>
        <v>89786.132509183837</v>
      </c>
      <c r="N1293" s="74">
        <f t="shared" si="260"/>
        <v>11696.271675577089</v>
      </c>
      <c r="O1293" s="74">
        <f t="shared" si="261"/>
        <v>34725.330704963824</v>
      </c>
      <c r="P1293" s="74">
        <f t="shared" si="262"/>
        <v>36642.207407278431</v>
      </c>
    </row>
    <row r="1294" spans="1:16" x14ac:dyDescent="0.3">
      <c r="A1294" s="72">
        <f t="shared" si="249"/>
        <v>492.5</v>
      </c>
      <c r="B1294" s="74">
        <f t="shared" si="250"/>
        <v>-18086.769456542523</v>
      </c>
      <c r="C1294" s="74">
        <f t="shared" si="251"/>
        <v>-69661.035636695844</v>
      </c>
      <c r="D1294" s="74">
        <f t="shared" si="252"/>
        <v>-2780.9955619308694</v>
      </c>
      <c r="E1294" s="74">
        <f t="shared" si="253"/>
        <v>128.59013653596492</v>
      </c>
      <c r="F1294" s="74">
        <f t="shared" si="247"/>
        <v>495.68049272733742</v>
      </c>
      <c r="G1294" s="74">
        <f t="shared" si="248"/>
        <v>1521.2601998011396</v>
      </c>
      <c r="H1294" s="74">
        <f t="shared" si="254"/>
        <v>38086.769456542519</v>
      </c>
      <c r="I1294" s="74">
        <f t="shared" si="255"/>
        <v>89661.035636695844</v>
      </c>
      <c r="J1294" s="74">
        <f t="shared" si="256"/>
        <v>97415.108269100951</v>
      </c>
      <c r="K1294" s="74">
        <f t="shared" si="257"/>
        <v>-1913.2305434574773</v>
      </c>
      <c r="L1294" s="74">
        <f t="shared" si="258"/>
        <v>89661.035636695844</v>
      </c>
      <c r="M1294" s="74">
        <f t="shared" si="259"/>
        <v>89681.446032929583</v>
      </c>
      <c r="N1294" s="74">
        <f t="shared" si="260"/>
        <v>13086.769456542523</v>
      </c>
      <c r="O1294" s="74">
        <f t="shared" si="261"/>
        <v>34661.035636695844</v>
      </c>
      <c r="P1294" s="74">
        <f t="shared" si="262"/>
        <v>37049.303990992783</v>
      </c>
    </row>
    <row r="1295" spans="1:16" x14ac:dyDescent="0.3">
      <c r="A1295" s="72">
        <f t="shared" si="249"/>
        <v>493</v>
      </c>
      <c r="B1295" s="74">
        <f t="shared" si="250"/>
        <v>-19353.347114326123</v>
      </c>
      <c r="C1295" s="74">
        <f t="shared" si="251"/>
        <v>-69216.425518477583</v>
      </c>
      <c r="D1295" s="74">
        <f t="shared" si="252"/>
        <v>-2533.1553155672009</v>
      </c>
      <c r="E1295" s="74">
        <f t="shared" si="253"/>
        <v>889.22023643653472</v>
      </c>
      <c r="F1295" s="74">
        <f t="shared" si="247"/>
        <v>540.31885604001968</v>
      </c>
      <c r="G1295" s="74">
        <f t="shared" si="248"/>
        <v>1502.8233914718257</v>
      </c>
      <c r="H1295" s="74">
        <f t="shared" si="254"/>
        <v>39353.347114326127</v>
      </c>
      <c r="I1295" s="74">
        <f t="shared" si="255"/>
        <v>89216.425518477583</v>
      </c>
      <c r="J1295" s="74">
        <f t="shared" si="256"/>
        <v>97510.28925910691</v>
      </c>
      <c r="K1295" s="74">
        <f t="shared" si="257"/>
        <v>-646.65288567387688</v>
      </c>
      <c r="L1295" s="74">
        <f t="shared" si="258"/>
        <v>89216.425518477583</v>
      </c>
      <c r="M1295" s="74">
        <f t="shared" si="259"/>
        <v>89218.769002091751</v>
      </c>
      <c r="N1295" s="74">
        <f t="shared" si="260"/>
        <v>14353.347114326123</v>
      </c>
      <c r="O1295" s="74">
        <f t="shared" si="261"/>
        <v>34216.425518477583</v>
      </c>
      <c r="P1295" s="74">
        <f t="shared" si="262"/>
        <v>37105.01783648484</v>
      </c>
    </row>
    <row r="1296" spans="1:16" x14ac:dyDescent="0.3">
      <c r="A1296" s="72">
        <f t="shared" si="249"/>
        <v>493.5</v>
      </c>
      <c r="B1296" s="74">
        <f t="shared" si="250"/>
        <v>-20484.84505809972</v>
      </c>
      <c r="C1296" s="74">
        <f t="shared" si="251"/>
        <v>-68396.109552391368</v>
      </c>
      <c r="D1296" s="74">
        <f t="shared" si="252"/>
        <v>-2262.9958875471912</v>
      </c>
      <c r="E1296" s="74">
        <f t="shared" si="253"/>
        <v>1640.6319321724477</v>
      </c>
      <c r="F1296" s="74">
        <f t="shared" si="247"/>
        <v>594.48280415820409</v>
      </c>
      <c r="G1296" s="74">
        <f t="shared" si="248"/>
        <v>1505.2602083637603</v>
      </c>
      <c r="H1296" s="74">
        <f t="shared" si="254"/>
        <v>40484.845058099716</v>
      </c>
      <c r="I1296" s="74">
        <f t="shared" si="255"/>
        <v>88396.109552391368</v>
      </c>
      <c r="J1296" s="74">
        <f t="shared" si="256"/>
        <v>97225.998906551322</v>
      </c>
      <c r="K1296" s="74">
        <f t="shared" si="257"/>
        <v>484.84505809971961</v>
      </c>
      <c r="L1296" s="74">
        <f t="shared" si="258"/>
        <v>88396.109552391368</v>
      </c>
      <c r="M1296" s="74">
        <f t="shared" si="259"/>
        <v>88397.439209112505</v>
      </c>
      <c r="N1296" s="74">
        <f t="shared" si="260"/>
        <v>15484.84505809972</v>
      </c>
      <c r="O1296" s="74">
        <f t="shared" si="261"/>
        <v>33396.109552391368</v>
      </c>
      <c r="P1296" s="74">
        <f t="shared" si="262"/>
        <v>36811.418876602424</v>
      </c>
    </row>
    <row r="1297" spans="1:16" x14ac:dyDescent="0.3">
      <c r="A1297" s="72">
        <f t="shared" si="249"/>
        <v>494</v>
      </c>
      <c r="B1297" s="74">
        <f t="shared" si="250"/>
        <v>-21467.722300833764</v>
      </c>
      <c r="C1297" s="74">
        <f t="shared" si="251"/>
        <v>-67199.478534214199</v>
      </c>
      <c r="D1297" s="74">
        <f t="shared" si="252"/>
        <v>-1965.7544854680891</v>
      </c>
      <c r="E1297" s="74">
        <f t="shared" si="253"/>
        <v>2393.2620363543278</v>
      </c>
      <c r="F1297" s="74">
        <f t="shared" si="247"/>
        <v>662.05859078530398</v>
      </c>
      <c r="G1297" s="74">
        <f t="shared" si="248"/>
        <v>1528.6200369026062</v>
      </c>
      <c r="H1297" s="74">
        <f t="shared" si="254"/>
        <v>41467.722300833761</v>
      </c>
      <c r="I1297" s="74">
        <f t="shared" si="255"/>
        <v>87199.478534214199</v>
      </c>
      <c r="J1297" s="74">
        <f t="shared" si="256"/>
        <v>96557.345911421726</v>
      </c>
      <c r="K1297" s="74">
        <f t="shared" si="257"/>
        <v>1467.7223008337642</v>
      </c>
      <c r="L1297" s="74">
        <f t="shared" si="258"/>
        <v>87199.478534214199</v>
      </c>
      <c r="M1297" s="74">
        <f t="shared" si="259"/>
        <v>87211.829847740533</v>
      </c>
      <c r="N1297" s="74">
        <f t="shared" si="260"/>
        <v>16467.722300833764</v>
      </c>
      <c r="O1297" s="74">
        <f t="shared" si="261"/>
        <v>32199.478534214199</v>
      </c>
      <c r="P1297" s="74">
        <f t="shared" si="262"/>
        <v>36166.17612704858</v>
      </c>
    </row>
    <row r="1298" spans="1:16" x14ac:dyDescent="0.3">
      <c r="A1298" s="72">
        <f t="shared" si="249"/>
        <v>494.5</v>
      </c>
      <c r="B1298" s="74">
        <f t="shared" si="250"/>
        <v>-22285.084895871481</v>
      </c>
      <c r="C1298" s="74">
        <f t="shared" si="251"/>
        <v>-65620.692506811378</v>
      </c>
      <c r="D1298" s="74">
        <f t="shared" si="252"/>
        <v>-1634.7251900754372</v>
      </c>
      <c r="E1298" s="74">
        <f t="shared" si="253"/>
        <v>3157.5720548056311</v>
      </c>
      <c r="F1298" s="74">
        <f t="shared" si="247"/>
        <v>748.613521352519</v>
      </c>
      <c r="G1298" s="74">
        <f t="shared" si="248"/>
        <v>1574.5142036260363</v>
      </c>
      <c r="H1298" s="74">
        <f t="shared" si="254"/>
        <v>42285.084895871478</v>
      </c>
      <c r="I1298" s="74">
        <f t="shared" si="255"/>
        <v>85620.692506811378</v>
      </c>
      <c r="J1298" s="74">
        <f t="shared" si="256"/>
        <v>95493.096033153124</v>
      </c>
      <c r="K1298" s="74">
        <f t="shared" si="257"/>
        <v>2285.0848958714814</v>
      </c>
      <c r="L1298" s="74">
        <f t="shared" si="258"/>
        <v>85620.692506811378</v>
      </c>
      <c r="M1298" s="74">
        <f t="shared" si="259"/>
        <v>85651.179783627536</v>
      </c>
      <c r="N1298" s="74">
        <f t="shared" si="260"/>
        <v>17285.084895871481</v>
      </c>
      <c r="O1298" s="74">
        <f t="shared" si="261"/>
        <v>30620.692506811378</v>
      </c>
      <c r="P1298" s="74">
        <f t="shared" si="262"/>
        <v>35162.493788896412</v>
      </c>
    </row>
    <row r="1299" spans="1:16" x14ac:dyDescent="0.3">
      <c r="A1299" s="72">
        <f t="shared" si="249"/>
        <v>495</v>
      </c>
      <c r="B1299" s="74">
        <f t="shared" si="250"/>
        <v>-22915.294110571071</v>
      </c>
      <c r="C1299" s="74">
        <f t="shared" si="251"/>
        <v>-63648.277928502059</v>
      </c>
      <c r="D1299" s="74">
        <f t="shared" si="252"/>
        <v>-1260.4184293991777</v>
      </c>
      <c r="E1299" s="74">
        <f t="shared" si="253"/>
        <v>3944.829156618649</v>
      </c>
      <c r="F1299" s="74">
        <f t="shared" si="247"/>
        <v>862.6496135307782</v>
      </c>
      <c r="G1299" s="74">
        <f t="shared" si="248"/>
        <v>1646.3128529838018</v>
      </c>
      <c r="H1299" s="74">
        <f t="shared" si="254"/>
        <v>42915.294110571071</v>
      </c>
      <c r="I1299" s="74">
        <f t="shared" si="255"/>
        <v>83648.277928502066</v>
      </c>
      <c r="J1299" s="74">
        <f t="shared" si="256"/>
        <v>94014.663053168159</v>
      </c>
      <c r="K1299" s="74">
        <f t="shared" si="257"/>
        <v>2915.2941105710706</v>
      </c>
      <c r="L1299" s="74">
        <f t="shared" si="258"/>
        <v>83648.277928502066</v>
      </c>
      <c r="M1299" s="74">
        <f t="shared" si="259"/>
        <v>83699.064153400526</v>
      </c>
      <c r="N1299" s="74">
        <f t="shared" si="260"/>
        <v>17915.294110571071</v>
      </c>
      <c r="O1299" s="74">
        <f t="shared" si="261"/>
        <v>28648.277928502059</v>
      </c>
      <c r="P1299" s="74">
        <f t="shared" si="262"/>
        <v>33788.779074375576</v>
      </c>
    </row>
    <row r="1300" spans="1:16" x14ac:dyDescent="0.3">
      <c r="A1300" s="72">
        <f t="shared" si="249"/>
        <v>495.5</v>
      </c>
      <c r="B1300" s="74">
        <f t="shared" si="250"/>
        <v>-23329.840921887964</v>
      </c>
      <c r="C1300" s="74">
        <f t="shared" si="251"/>
        <v>-61264.285136946783</v>
      </c>
      <c r="D1300" s="74">
        <f t="shared" si="252"/>
        <v>-829.09362263378864</v>
      </c>
      <c r="E1300" s="74">
        <f t="shared" si="253"/>
        <v>4767.9855831105497</v>
      </c>
      <c r="F1300" s="74">
        <f t="shared" si="247"/>
        <v>1017.9069890536214</v>
      </c>
      <c r="G1300" s="74">
        <f t="shared" si="248"/>
        <v>1749.5668577344213</v>
      </c>
      <c r="H1300" s="74">
        <f t="shared" si="254"/>
        <v>43329.840921887968</v>
      </c>
      <c r="I1300" s="74">
        <f t="shared" si="255"/>
        <v>81264.285136946783</v>
      </c>
      <c r="J1300" s="74">
        <f t="shared" si="256"/>
        <v>92094.294900037683</v>
      </c>
      <c r="K1300" s="74">
        <f t="shared" si="257"/>
        <v>3329.8409218879642</v>
      </c>
      <c r="L1300" s="74">
        <f t="shared" si="258"/>
        <v>81264.285136946783</v>
      </c>
      <c r="M1300" s="74">
        <f t="shared" si="259"/>
        <v>81332.47739608126</v>
      </c>
      <c r="N1300" s="74">
        <f t="shared" si="260"/>
        <v>18329.840921887964</v>
      </c>
      <c r="O1300" s="74">
        <f t="shared" si="261"/>
        <v>26264.285136946783</v>
      </c>
      <c r="P1300" s="74">
        <f t="shared" si="262"/>
        <v>32028.046177944765</v>
      </c>
    </row>
    <row r="1301" spans="1:16" x14ac:dyDescent="0.3">
      <c r="A1301" s="72">
        <f t="shared" si="249"/>
        <v>496</v>
      </c>
      <c r="B1301" s="74">
        <f t="shared" si="250"/>
        <v>-23489.910985941453</v>
      </c>
      <c r="C1301" s="74">
        <f t="shared" si="251"/>
        <v>-58442.900630957898</v>
      </c>
      <c r="D1301" s="74">
        <f t="shared" si="252"/>
        <v>-320.14012810697795</v>
      </c>
      <c r="E1301" s="74">
        <f t="shared" si="253"/>
        <v>5642.7690119777599</v>
      </c>
      <c r="F1301" s="74">
        <f t="shared" si="247"/>
        <v>1237.93366143103</v>
      </c>
      <c r="G1301" s="74">
        <f t="shared" si="248"/>
        <v>1892.5536103604222</v>
      </c>
      <c r="H1301" s="74">
        <f t="shared" si="254"/>
        <v>43489.910985941453</v>
      </c>
      <c r="I1301" s="74">
        <f t="shared" si="255"/>
        <v>78442.900630957898</v>
      </c>
      <c r="J1301" s="74">
        <f t="shared" si="256"/>
        <v>89692.034300507687</v>
      </c>
      <c r="K1301" s="74">
        <f t="shared" si="257"/>
        <v>3489.910985941453</v>
      </c>
      <c r="L1301" s="74">
        <f t="shared" si="258"/>
        <v>78442.900630957898</v>
      </c>
      <c r="M1301" s="74">
        <f t="shared" si="259"/>
        <v>78520.495019377777</v>
      </c>
      <c r="N1301" s="74">
        <f t="shared" si="260"/>
        <v>18489.910985941453</v>
      </c>
      <c r="O1301" s="74">
        <f t="shared" si="261"/>
        <v>23442.900630957898</v>
      </c>
      <c r="P1301" s="74">
        <f t="shared" si="262"/>
        <v>29857.099629083277</v>
      </c>
    </row>
    <row r="1302" spans="1:16" x14ac:dyDescent="0.3">
      <c r="A1302" s="72">
        <f t="shared" si="249"/>
        <v>496.5</v>
      </c>
      <c r="B1302" s="74">
        <f t="shared" si="250"/>
        <v>-23340.497634637184</v>
      </c>
      <c r="C1302" s="74">
        <f t="shared" si="251"/>
        <v>-55148.377722378915</v>
      </c>
      <c r="D1302" s="74">
        <f t="shared" si="252"/>
        <v>298.82670260853706</v>
      </c>
      <c r="E1302" s="74">
        <f t="shared" si="253"/>
        <v>6589.0458171579712</v>
      </c>
      <c r="F1302" s="74">
        <f t="shared" si="247"/>
        <v>1565.8423444550845</v>
      </c>
      <c r="G1302" s="74">
        <f t="shared" si="248"/>
        <v>2086.2856875586685</v>
      </c>
      <c r="H1302" s="74">
        <f t="shared" si="254"/>
        <v>43340.497634637184</v>
      </c>
      <c r="I1302" s="74">
        <f t="shared" si="255"/>
        <v>75148.377722378907</v>
      </c>
      <c r="J1302" s="74">
        <f t="shared" si="256"/>
        <v>86750.662300199911</v>
      </c>
      <c r="K1302" s="74">
        <f t="shared" si="257"/>
        <v>3340.4976346371841</v>
      </c>
      <c r="L1302" s="74">
        <f t="shared" si="258"/>
        <v>75148.377722378907</v>
      </c>
      <c r="M1302" s="74">
        <f t="shared" si="259"/>
        <v>75222.587025123983</v>
      </c>
      <c r="N1302" s="74">
        <f t="shared" si="260"/>
        <v>18340.497634637184</v>
      </c>
      <c r="O1302" s="74">
        <f t="shared" si="261"/>
        <v>20148.377722378915</v>
      </c>
      <c r="P1302" s="74">
        <f t="shared" si="262"/>
        <v>27245.751564781382</v>
      </c>
    </row>
    <row r="1303" spans="1:16" x14ac:dyDescent="0.3">
      <c r="A1303" s="72">
        <f t="shared" si="249"/>
        <v>497</v>
      </c>
      <c r="B1303" s="74">
        <f t="shared" si="250"/>
        <v>-22799.623697219144</v>
      </c>
      <c r="C1303" s="74">
        <f t="shared" si="251"/>
        <v>-51332.283391910263</v>
      </c>
      <c r="D1303" s="74">
        <f t="shared" si="252"/>
        <v>1081.7478748360793</v>
      </c>
      <c r="E1303" s="74">
        <f t="shared" si="253"/>
        <v>7632.188660937305</v>
      </c>
      <c r="F1303" s="74">
        <f t="shared" si="247"/>
        <v>2086.7286830432977</v>
      </c>
      <c r="G1303" s="74">
        <f t="shared" si="248"/>
        <v>2340.4995323704102</v>
      </c>
      <c r="H1303" s="74">
        <f t="shared" si="254"/>
        <v>42799.62369721914</v>
      </c>
      <c r="I1303" s="74">
        <f t="shared" si="255"/>
        <v>71332.283391910256</v>
      </c>
      <c r="J1303" s="74">
        <f t="shared" si="256"/>
        <v>83187.153109884443</v>
      </c>
      <c r="K1303" s="74">
        <f t="shared" si="257"/>
        <v>2799.6236972191437</v>
      </c>
      <c r="L1303" s="74">
        <f t="shared" si="258"/>
        <v>71332.283391910256</v>
      </c>
      <c r="M1303" s="74">
        <f t="shared" si="259"/>
        <v>71387.201561273061</v>
      </c>
      <c r="N1303" s="74">
        <f t="shared" si="260"/>
        <v>17799.623697219144</v>
      </c>
      <c r="O1303" s="74">
        <f t="shared" si="261"/>
        <v>16332.283391910263</v>
      </c>
      <c r="P1303" s="74">
        <f t="shared" si="262"/>
        <v>24157.195295734833</v>
      </c>
    </row>
    <row r="1304" spans="1:16" x14ac:dyDescent="0.3">
      <c r="A1304" s="72">
        <f t="shared" si="249"/>
        <v>497.5</v>
      </c>
      <c r="B1304" s="74">
        <f t="shared" si="250"/>
        <v>-21737.067589040278</v>
      </c>
      <c r="C1304" s="74">
        <f t="shared" si="251"/>
        <v>-46931.064178349006</v>
      </c>
      <c r="D1304" s="74">
        <f t="shared" si="252"/>
        <v>2125.1122163577284</v>
      </c>
      <c r="E1304" s="74">
        <f t="shared" si="253"/>
        <v>8802.4384271225099</v>
      </c>
      <c r="F1304" s="74">
        <f t="shared" si="247"/>
        <v>2981.9955787864083</v>
      </c>
      <c r="G1304" s="74">
        <f t="shared" si="248"/>
        <v>2637.4191537571041</v>
      </c>
      <c r="H1304" s="74">
        <f t="shared" si="254"/>
        <v>41737.067589040278</v>
      </c>
      <c r="I1304" s="74">
        <f t="shared" si="255"/>
        <v>66931.064178349014</v>
      </c>
      <c r="J1304" s="74">
        <f t="shared" si="256"/>
        <v>78878.071496318866</v>
      </c>
      <c r="K1304" s="74">
        <f t="shared" si="257"/>
        <v>1737.0675890402781</v>
      </c>
      <c r="L1304" s="74">
        <f t="shared" si="258"/>
        <v>66931.064178349014</v>
      </c>
      <c r="M1304" s="74">
        <f t="shared" si="259"/>
        <v>66953.601515192364</v>
      </c>
      <c r="N1304" s="74">
        <f t="shared" si="260"/>
        <v>16737.067589040278</v>
      </c>
      <c r="O1304" s="74">
        <f t="shared" si="261"/>
        <v>11931.064178349006</v>
      </c>
      <c r="P1304" s="74">
        <f t="shared" si="262"/>
        <v>20554.31156492441</v>
      </c>
    </row>
    <row r="1305" spans="1:16" x14ac:dyDescent="0.3">
      <c r="A1305" s="72">
        <f t="shared" si="249"/>
        <v>498</v>
      </c>
      <c r="B1305" s="74">
        <f t="shared" si="250"/>
        <v>-19929.012586164812</v>
      </c>
      <c r="C1305" s="74">
        <f t="shared" si="251"/>
        <v>-41870.490176348474</v>
      </c>
      <c r="D1305" s="74">
        <f t="shared" si="252"/>
        <v>3616.1100057509325</v>
      </c>
      <c r="E1305" s="74">
        <f t="shared" si="253"/>
        <v>10121.148004001061</v>
      </c>
      <c r="F1305" s="74">
        <f t="shared" si="247"/>
        <v>4648.7644159985048</v>
      </c>
      <c r="G1305" s="74">
        <f t="shared" si="248"/>
        <v>2780.8437916411185</v>
      </c>
      <c r="H1305" s="74">
        <f t="shared" si="254"/>
        <v>39929.012586164812</v>
      </c>
      <c r="I1305" s="74">
        <f t="shared" si="255"/>
        <v>61870.490176348474</v>
      </c>
      <c r="J1305" s="74">
        <f t="shared" si="256"/>
        <v>73636.156884833021</v>
      </c>
      <c r="K1305" s="74">
        <f t="shared" si="257"/>
        <v>-70.987413835187908</v>
      </c>
      <c r="L1305" s="74">
        <f t="shared" si="258"/>
        <v>61870.490176348474</v>
      </c>
      <c r="M1305" s="74">
        <f t="shared" si="259"/>
        <v>61870.530900215781</v>
      </c>
      <c r="N1305" s="74">
        <f t="shared" si="260"/>
        <v>14929.012586164812</v>
      </c>
      <c r="O1305" s="74">
        <f t="shared" si="261"/>
        <v>6870.4901763484741</v>
      </c>
      <c r="P1305" s="74">
        <f t="shared" si="262"/>
        <v>16434.082026726293</v>
      </c>
    </row>
    <row r="1306" spans="1:16" x14ac:dyDescent="0.3">
      <c r="A1306" s="72">
        <f t="shared" si="249"/>
        <v>498.5</v>
      </c>
      <c r="B1306" s="74">
        <f t="shared" si="250"/>
        <v>-16958.766479289719</v>
      </c>
      <c r="C1306" s="74">
        <f t="shared" si="251"/>
        <v>-36114.705226437662</v>
      </c>
      <c r="D1306" s="74">
        <f t="shared" si="252"/>
        <v>5940.4922137501853</v>
      </c>
      <c r="E1306" s="74">
        <f t="shared" si="253"/>
        <v>11511.569899821621</v>
      </c>
      <c r="F1306" s="74">
        <f t="shared" si="247"/>
        <v>7625.2533516380518</v>
      </c>
      <c r="G1306" s="74">
        <f t="shared" si="248"/>
        <v>1558.8202010598588</v>
      </c>
      <c r="H1306" s="74">
        <f t="shared" si="254"/>
        <v>36958.766479289719</v>
      </c>
      <c r="I1306" s="74">
        <f t="shared" si="255"/>
        <v>56114.705226437662</v>
      </c>
      <c r="J1306" s="74">
        <f t="shared" si="256"/>
        <v>67192.34005688937</v>
      </c>
      <c r="K1306" s="74">
        <f t="shared" si="257"/>
        <v>-3041.2335207102806</v>
      </c>
      <c r="L1306" s="74">
        <f t="shared" si="258"/>
        <v>56114.705226437662</v>
      </c>
      <c r="M1306" s="74">
        <f t="shared" si="259"/>
        <v>56197.057253716426</v>
      </c>
      <c r="N1306" s="74">
        <f t="shared" si="260"/>
        <v>11958.766479289719</v>
      </c>
      <c r="O1306" s="74">
        <f t="shared" si="261"/>
        <v>1114.7052264376616</v>
      </c>
      <c r="P1306" s="74">
        <f t="shared" si="262"/>
        <v>12010.606289777001</v>
      </c>
    </row>
    <row r="1307" spans="1:16" x14ac:dyDescent="0.3">
      <c r="A1307" s="72">
        <f t="shared" si="249"/>
        <v>499</v>
      </c>
      <c r="B1307" s="74">
        <f t="shared" si="250"/>
        <v>-12082.207034505114</v>
      </c>
      <c r="C1307" s="74">
        <f t="shared" si="251"/>
        <v>-29969.215226261884</v>
      </c>
      <c r="D1307" s="74">
        <f t="shared" si="252"/>
        <v>9753.1188895692103</v>
      </c>
      <c r="E1307" s="74">
        <f t="shared" si="253"/>
        <v>12290.98000035155</v>
      </c>
      <c r="F1307" s="74">
        <f t="shared" si="247"/>
        <v>8438.8819333207994</v>
      </c>
      <c r="G1307" s="74">
        <f t="shared" si="248"/>
        <v>-4809.1266870141735</v>
      </c>
      <c r="H1307" s="74">
        <f t="shared" si="254"/>
        <v>32082.207034505114</v>
      </c>
      <c r="I1307" s="74">
        <f t="shared" si="255"/>
        <v>49969.215226261884</v>
      </c>
      <c r="J1307" s="74">
        <f t="shared" si="256"/>
        <v>59381.735226695186</v>
      </c>
      <c r="K1307" s="74">
        <f t="shared" si="257"/>
        <v>-7917.7929654948857</v>
      </c>
      <c r="L1307" s="74">
        <f t="shared" si="258"/>
        <v>49969.215226261884</v>
      </c>
      <c r="M1307" s="74">
        <f t="shared" si="259"/>
        <v>50592.627089062327</v>
      </c>
      <c r="N1307" s="74">
        <f t="shared" si="260"/>
        <v>7082.2070345051143</v>
      </c>
      <c r="O1307" s="74">
        <f t="shared" si="261"/>
        <v>-5030.7847737381162</v>
      </c>
      <c r="P1307" s="74">
        <f t="shared" si="262"/>
        <v>8687.1429088779805</v>
      </c>
    </row>
    <row r="1308" spans="1:16" x14ac:dyDescent="0.3">
      <c r="A1308" s="72">
        <f t="shared" si="249"/>
        <v>499.5</v>
      </c>
      <c r="B1308" s="74">
        <f t="shared" si="250"/>
        <v>-5095.9271063903088</v>
      </c>
      <c r="C1308" s="74">
        <f t="shared" si="251"/>
        <v>-25026.006897839652</v>
      </c>
      <c r="D1308" s="74">
        <f t="shared" si="252"/>
        <v>13972.559856229611</v>
      </c>
      <c r="E1308" s="74">
        <f t="shared" si="253"/>
        <v>9886.4166568444634</v>
      </c>
      <c r="F1308" s="74">
        <f t="shared" si="247"/>
        <v>163.10070820825342</v>
      </c>
      <c r="G1308" s="74">
        <f t="shared" si="248"/>
        <v>-7787.0349863846559</v>
      </c>
      <c r="H1308" s="74">
        <f t="shared" si="254"/>
        <v>25095.927106390307</v>
      </c>
      <c r="I1308" s="74">
        <f t="shared" si="255"/>
        <v>45026.006897839652</v>
      </c>
      <c r="J1308" s="74">
        <f t="shared" si="256"/>
        <v>51547.520352520936</v>
      </c>
      <c r="K1308" s="74">
        <f t="shared" si="257"/>
        <v>-14904.072893609691</v>
      </c>
      <c r="L1308" s="74">
        <f t="shared" si="258"/>
        <v>45026.006897839652</v>
      </c>
      <c r="M1308" s="74">
        <f t="shared" si="259"/>
        <v>47428.606199026501</v>
      </c>
      <c r="N1308" s="74">
        <f t="shared" si="260"/>
        <v>95.927106390308836</v>
      </c>
      <c r="O1308" s="74">
        <f t="shared" si="261"/>
        <v>-9973.9931021603479</v>
      </c>
      <c r="P1308" s="74">
        <f t="shared" si="262"/>
        <v>9974.4543916789062</v>
      </c>
    </row>
    <row r="1309" spans="1:16" x14ac:dyDescent="0.3">
      <c r="A1309" s="72">
        <f t="shared" si="249"/>
        <v>500</v>
      </c>
      <c r="B1309" s="74">
        <f t="shared" si="250"/>
        <v>1931.1279987765599</v>
      </c>
      <c r="C1309" s="74">
        <f t="shared" si="251"/>
        <v>-22029.557316013583</v>
      </c>
      <c r="D1309" s="74">
        <f t="shared" si="252"/>
        <v>14054.110210333738</v>
      </c>
      <c r="E1309" s="74">
        <f t="shared" si="253"/>
        <v>5992.899163652135</v>
      </c>
      <c r="F1309" s="74">
        <f t="shared" si="247"/>
        <v>-2752.5611030086088</v>
      </c>
      <c r="G1309" s="74">
        <f t="shared" si="248"/>
        <v>-3677.6013005127543</v>
      </c>
      <c r="H1309" s="74">
        <f t="shared" si="254"/>
        <v>18068.872001223441</v>
      </c>
      <c r="I1309" s="74">
        <f t="shared" si="255"/>
        <v>42029.557316013583</v>
      </c>
      <c r="J1309" s="74">
        <f t="shared" si="256"/>
        <v>45748.965273289701</v>
      </c>
      <c r="K1309" s="74">
        <f t="shared" si="257"/>
        <v>-21931.127998776559</v>
      </c>
      <c r="L1309" s="74">
        <f t="shared" si="258"/>
        <v>42029.557316013583</v>
      </c>
      <c r="M1309" s="74">
        <f t="shared" si="259"/>
        <v>47407.362966935762</v>
      </c>
      <c r="N1309" s="74">
        <f t="shared" si="260"/>
        <v>-6931.1279987765602</v>
      </c>
      <c r="O1309" s="74">
        <f t="shared" si="261"/>
        <v>-12970.442683986417</v>
      </c>
      <c r="P1309" s="74">
        <f t="shared" si="262"/>
        <v>14706.220410221014</v>
      </c>
    </row>
  </sheetData>
  <mergeCells count="40">
    <mergeCell ref="A35:E35"/>
    <mergeCell ref="A281:K281"/>
    <mergeCell ref="A306:P306"/>
    <mergeCell ref="A17:E17"/>
    <mergeCell ref="A27:E27"/>
    <mergeCell ref="C34:D34"/>
    <mergeCell ref="C33:D33"/>
    <mergeCell ref="C32:D32"/>
    <mergeCell ref="C31:D31"/>
    <mergeCell ref="C30:D30"/>
    <mergeCell ref="C29:D29"/>
    <mergeCell ref="A26:E26"/>
    <mergeCell ref="A18:E18"/>
    <mergeCell ref="C14:D14"/>
    <mergeCell ref="C10:D10"/>
    <mergeCell ref="C25:D25"/>
    <mergeCell ref="A4:E4"/>
    <mergeCell ref="A9:E9"/>
    <mergeCell ref="A16:E16"/>
    <mergeCell ref="C24:D24"/>
    <mergeCell ref="C23:D23"/>
    <mergeCell ref="C22:D22"/>
    <mergeCell ref="C21:D21"/>
    <mergeCell ref="C20:D20"/>
    <mergeCell ref="C5:E5"/>
    <mergeCell ref="C6:E6"/>
    <mergeCell ref="C7:E7"/>
    <mergeCell ref="A8:E8"/>
    <mergeCell ref="N307:P307"/>
    <mergeCell ref="D307:E307"/>
    <mergeCell ref="C38:D38"/>
    <mergeCell ref="C39:D39"/>
    <mergeCell ref="C40:D40"/>
    <mergeCell ref="C41:D41"/>
    <mergeCell ref="C42:D42"/>
    <mergeCell ref="C43:D43"/>
    <mergeCell ref="B307:C307"/>
    <mergeCell ref="F307:G307"/>
    <mergeCell ref="H307:J307"/>
    <mergeCell ref="K307:M307"/>
  </mergeCells>
  <phoneticPr fontId="5" type="noConversion"/>
  <dataValidations count="1">
    <dataValidation type="list" allowBlank="1" showInputMessage="1" showErrorMessage="1" sqref="C34:D34 C43:D43 C25:D25" xr:uid="{00000000-0002-0000-0000-000000000000}">
      <formula1>$B$277:$B$278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BB1300"/>
  <sheetViews>
    <sheetView zoomScale="70" zoomScaleNormal="70" workbookViewId="0">
      <selection activeCell="N22" sqref="N22"/>
    </sheetView>
  </sheetViews>
  <sheetFormatPr baseColWidth="10" defaultRowHeight="14.4" x14ac:dyDescent="0.3"/>
  <cols>
    <col min="14" max="14" width="35.6640625" bestFit="1" customWidth="1"/>
    <col min="18" max="18" width="20" bestFit="1" customWidth="1"/>
  </cols>
  <sheetData>
    <row r="2" spans="14:54" x14ac:dyDescent="0.3">
      <c r="N2" s="116">
        <v>0</v>
      </c>
      <c r="O2" s="116"/>
    </row>
    <row r="9" spans="14:54" x14ac:dyDescent="0.3">
      <c r="N9" t="s">
        <v>83</v>
      </c>
      <c r="O9">
        <v>214</v>
      </c>
    </row>
    <row r="12" spans="14:54" x14ac:dyDescent="0.3">
      <c r="AZ12" t="s">
        <v>81</v>
      </c>
      <c r="BA12">
        <f>INDEX(B300:D1300,MATCH(O9,B300:B1300),2)</f>
        <v>-8917.9834425486224</v>
      </c>
      <c r="BB12">
        <f>INDEX(B300:D1300,MATCH(O9,B300:B1300),3)</f>
        <v>-52387.363204151487</v>
      </c>
    </row>
    <row r="16" spans="14:54" x14ac:dyDescent="0.3">
      <c r="BA16">
        <f>INDEX(B300:D1300,MATCH(O9-0.5,B300:B1300),2)</f>
        <v>-10116.586902456012</v>
      </c>
      <c r="BB16">
        <f>INDEX(B300:D1300,MATCH(O9-0.5,B300:B1300),3)</f>
        <v>-54725.059949403789</v>
      </c>
    </row>
    <row r="17" spans="53:54" x14ac:dyDescent="0.3">
      <c r="BA17">
        <f>INDEX(B300:D1300,MATCH(O9-1,B300:B1300),2)</f>
        <v>-11079.34083509328</v>
      </c>
      <c r="BB17">
        <f>INDEX(B300:D1300,MATCH(O9-1,B300:B1300),3)</f>
        <v>-56073.349467221298</v>
      </c>
    </row>
    <row r="18" spans="53:54" x14ac:dyDescent="0.3">
      <c r="BA18">
        <f>INDEX(B300:D1300,MATCH(O9-1.5,B300:B1300),2)</f>
        <v>-11810.654122686874</v>
      </c>
      <c r="BB18">
        <f>INDEX(B300:D1300,MATCH(O9-1.5,B300:B1300),3)</f>
        <v>-56540.57068891199</v>
      </c>
    </row>
    <row r="19" spans="53:54" x14ac:dyDescent="0.3">
      <c r="BA19">
        <f>INDEX(B300:D1300,MATCH(O9-2,B300:B1300),2)</f>
        <v>-12302.334547676746</v>
      </c>
      <c r="BB19">
        <f>INDEX(B300:D1300,MATCH(O9-2,B300:B1300),3)</f>
        <v>-56170.5089751466</v>
      </c>
    </row>
    <row r="20" spans="53:54" x14ac:dyDescent="0.3">
      <c r="BA20">
        <f>INDEX(B300:D1300,MATCH(O9-2.5,B300:B1300),2)</f>
        <v>-12531.691127677701</v>
      </c>
      <c r="BB20">
        <f>INDEX(B300:D1300,MATCH(O9-2.5,B300:B1300),3)</f>
        <v>-54957.815575406712</v>
      </c>
    </row>
    <row r="21" spans="53:54" x14ac:dyDescent="0.3">
      <c r="BA21">
        <f>INDEX(B300:D1300,MATCH(O9-3,B300:B1300),2)</f>
        <v>-12454.832474565097</v>
      </c>
      <c r="BB21">
        <f>INDEX(B300:D1300,MATCH(O9-3,B300:B1300),3)</f>
        <v>-52846.204542931235</v>
      </c>
    </row>
    <row r="22" spans="53:54" x14ac:dyDescent="0.3">
      <c r="BA22">
        <f>INDEX(B300:D1300,MATCH(O9-3.5,B300:B1300),2)</f>
        <v>-11989.472589216119</v>
      </c>
      <c r="BB22">
        <f>INDEX(B300:D1300,MATCH(O9-3.5,B300:B1300),3)</f>
        <v>-49708.065242330129</v>
      </c>
    </row>
    <row r="23" spans="53:54" x14ac:dyDescent="0.3">
      <c r="BA23">
        <f>INDEX(B300:D1300,MATCH(O9-4,B300:B1300),2)</f>
        <v>-10967.47371971736</v>
      </c>
      <c r="BB23">
        <f>INDEX(B300:D1300,MATCH(O9-4,B300:B1300),3)</f>
        <v>-45287.439809312018</v>
      </c>
    </row>
    <row r="24" spans="53:54" x14ac:dyDescent="0.3">
      <c r="BA24">
        <f>INDEX(B300:D1300,MATCH(O9-4.5,B300:B1300),2)</f>
        <v>-8975.0041137864391</v>
      </c>
      <c r="BB24">
        <f>INDEX(B300:D1300,MATCH(O9-4.5,B300:B1300),3)</f>
        <v>-39057.70536515463</v>
      </c>
    </row>
    <row r="25" spans="53:54" x14ac:dyDescent="0.3">
      <c r="BA25">
        <f>INDEX(B300:D1300,MATCH(O9-5,B300:B1300),2)</f>
        <v>-4851.6508716733579</v>
      </c>
      <c r="BB25">
        <f>INDEX(B300:D1300,MATCH(O9-5,B300:B1300),3)</f>
        <v>-30467.914142325404</v>
      </c>
    </row>
    <row r="26" spans="53:54" x14ac:dyDescent="0.3">
      <c r="BA26">
        <f>INDEX(B300:D1300,MATCH(O9-5.5,B300:B1300),2)</f>
        <v>-809.97711177494614</v>
      </c>
      <c r="BB26">
        <f>INDEX(B300:D1300,MATCH(O9-5.5,B300:B1300),3)</f>
        <v>-24582.45391255854</v>
      </c>
    </row>
    <row r="27" spans="53:54" x14ac:dyDescent="0.3">
      <c r="BA27">
        <f>INDEX(B300:D1300,MATCH(O9-6,B300:B1300),2)</f>
        <v>2482.854121213325</v>
      </c>
      <c r="BB27">
        <f>INDEX(B300:D1300,MATCH(O9-6,B300:B1300),3)</f>
        <v>-20240.284944123989</v>
      </c>
    </row>
    <row r="54" spans="2:2" ht="0.75" customHeight="1" x14ac:dyDescent="0.3">
      <c r="B54" t="s">
        <v>74</v>
      </c>
    </row>
    <row r="298" spans="2:4" x14ac:dyDescent="0.3">
      <c r="C298" t="s">
        <v>38</v>
      </c>
    </row>
    <row r="299" spans="2:4" x14ac:dyDescent="0.3">
      <c r="B299" t="s">
        <v>34</v>
      </c>
      <c r="C299" t="s">
        <v>2</v>
      </c>
      <c r="D299" t="s">
        <v>3</v>
      </c>
    </row>
    <row r="300" spans="2:4" x14ac:dyDescent="0.3">
      <c r="B300">
        <f>Feuille1!A309</f>
        <v>0</v>
      </c>
      <c r="C300">
        <f>Feuille1!B309</f>
        <v>0</v>
      </c>
      <c r="D300">
        <f>Feuille1!C309</f>
        <v>0</v>
      </c>
    </row>
    <row r="301" spans="2:4" x14ac:dyDescent="0.3">
      <c r="B301">
        <f>Feuille1!A310</f>
        <v>0.5</v>
      </c>
      <c r="C301">
        <f>Feuille1!B310</f>
        <v>0</v>
      </c>
      <c r="D301">
        <f>Feuille1!C310</f>
        <v>0</v>
      </c>
    </row>
    <row r="302" spans="2:4" x14ac:dyDescent="0.3">
      <c r="B302">
        <f>Feuille1!A311</f>
        <v>1</v>
      </c>
      <c r="C302">
        <f>Feuille1!B311</f>
        <v>-46.78891316404583</v>
      </c>
      <c r="D302">
        <f>Feuille1!C311</f>
        <v>377.77377337548796</v>
      </c>
    </row>
    <row r="303" spans="2:4" x14ac:dyDescent="0.3">
      <c r="B303">
        <f>Feuille1!A312</f>
        <v>1.5</v>
      </c>
      <c r="C303">
        <f>Feuille1!B312</f>
        <v>-139.29493540965603</v>
      </c>
      <c r="D303">
        <f>Feuille1!C312</f>
        <v>1144.7051052779093</v>
      </c>
    </row>
    <row r="304" spans="2:4" x14ac:dyDescent="0.3">
      <c r="B304">
        <f>Feuille1!A313</f>
        <v>2</v>
      </c>
      <c r="C304">
        <f>Feuille1!B313</f>
        <v>-275.94808457685957</v>
      </c>
      <c r="D304">
        <f>Feuille1!C313</f>
        <v>2322.6330014658838</v>
      </c>
    </row>
    <row r="305" spans="2:4" x14ac:dyDescent="0.3">
      <c r="B305">
        <f>Feuille1!A314</f>
        <v>2.5</v>
      </c>
      <c r="C305">
        <f>Feuille1!B314</f>
        <v>-455.98835000101002</v>
      </c>
      <c r="D305">
        <f>Feuille1!C314</f>
        <v>3941.4502433491657</v>
      </c>
    </row>
    <row r="306" spans="2:4" x14ac:dyDescent="0.3">
      <c r="B306">
        <f>Feuille1!A315</f>
        <v>3</v>
      </c>
      <c r="C306">
        <f>Feuille1!B315</f>
        <v>-681.94804794663492</v>
      </c>
      <c r="D306">
        <f>Feuille1!C315</f>
        <v>6033.8619526834664</v>
      </c>
    </row>
    <row r="307" spans="2:4" x14ac:dyDescent="0.3">
      <c r="B307">
        <f>Feuille1!A316</f>
        <v>3.5</v>
      </c>
      <c r="C307">
        <f>Feuille1!B316</f>
        <v>-964.28449484806242</v>
      </c>
      <c r="D307">
        <f>Feuille1!C316</f>
        <v>8624.5337366605272</v>
      </c>
    </row>
    <row r="308" spans="2:4" x14ac:dyDescent="0.3">
      <c r="B308">
        <f>Feuille1!A317</f>
        <v>4</v>
      </c>
      <c r="C308">
        <f>Feuille1!B317</f>
        <v>-1329.9302217769473</v>
      </c>
      <c r="D308">
        <f>Feuille1!C317</f>
        <v>11708.989096193765</v>
      </c>
    </row>
    <row r="309" spans="2:4" x14ac:dyDescent="0.3">
      <c r="B309">
        <f>Feuille1!A318</f>
        <v>4.5</v>
      </c>
      <c r="C309">
        <f>Feuille1!B318</f>
        <v>-1836.4300830733741</v>
      </c>
      <c r="D309">
        <f>Feuille1!C318</f>
        <v>15217.969991393231</v>
      </c>
    </row>
    <row r="310" spans="2:4" x14ac:dyDescent="0.3">
      <c r="B310">
        <f>Feuille1!A319</f>
        <v>5</v>
      </c>
      <c r="C310">
        <f>Feuille1!B319</f>
        <v>-2587.6126754469583</v>
      </c>
      <c r="D310">
        <f>Feuille1!C319</f>
        <v>18974.997447613077</v>
      </c>
    </row>
    <row r="311" spans="2:4" x14ac:dyDescent="0.3">
      <c r="B311">
        <f>Feuille1!A320</f>
        <v>5.5</v>
      </c>
      <c r="C311">
        <f>Feuille1!B320</f>
        <v>-3731.1314779742588</v>
      </c>
      <c r="D311">
        <f>Feuille1!C320</f>
        <v>22684.756001278631</v>
      </c>
    </row>
    <row r="312" spans="2:4" x14ac:dyDescent="0.3">
      <c r="B312">
        <f>Feuille1!A321</f>
        <v>6</v>
      </c>
      <c r="C312">
        <f>Feuille1!B321</f>
        <v>-5418.3072471880932</v>
      </c>
      <c r="D312">
        <f>Feuille1!C321</f>
        <v>25989.977152673782</v>
      </c>
    </row>
    <row r="313" spans="2:4" x14ac:dyDescent="0.3">
      <c r="B313">
        <f>Feuille1!A322</f>
        <v>6.5</v>
      </c>
      <c r="C313">
        <f>Feuille1!B322</f>
        <v>-7755.6826108510741</v>
      </c>
      <c r="D313">
        <f>Feuille1!C322</f>
        <v>28549.743894570136</v>
      </c>
    </row>
    <row r="314" spans="2:4" x14ac:dyDescent="0.3">
      <c r="B314">
        <f>Feuille1!A323</f>
        <v>7</v>
      </c>
      <c r="C314">
        <f>Feuille1!B323</f>
        <v>-10793.129508855021</v>
      </c>
      <c r="D314">
        <f>Feuille1!C323</f>
        <v>30053.3735110548</v>
      </c>
    </row>
    <row r="315" spans="2:4" x14ac:dyDescent="0.3">
      <c r="B315">
        <f>Feuille1!A324</f>
        <v>7.5</v>
      </c>
      <c r="C315">
        <f>Feuille1!B324</f>
        <v>-14531.340122390315</v>
      </c>
      <c r="D315">
        <f>Feuille1!C324</f>
        <v>30155.873797799348</v>
      </c>
    </row>
    <row r="316" spans="2:4" x14ac:dyDescent="0.3">
      <c r="B316">
        <f>Feuille1!A325</f>
        <v>8</v>
      </c>
      <c r="C316">
        <f>Feuille1!B325</f>
        <v>-18875.773821104078</v>
      </c>
      <c r="D316">
        <f>Feuille1!C325</f>
        <v>28346.515521759851</v>
      </c>
    </row>
    <row r="317" spans="2:4" x14ac:dyDescent="0.3">
      <c r="B317">
        <f>Feuille1!A326</f>
        <v>8.5</v>
      </c>
      <c r="C317">
        <f>Feuille1!B326</f>
        <v>-23285.215604678637</v>
      </c>
      <c r="D317">
        <f>Feuille1!C326</f>
        <v>23809.921176851189</v>
      </c>
    </row>
    <row r="318" spans="2:4" x14ac:dyDescent="0.3">
      <c r="B318">
        <f>Feuille1!A327</f>
        <v>9</v>
      </c>
      <c r="C318">
        <f>Feuille1!B327</f>
        <v>-25467.296599943893</v>
      </c>
      <c r="D318">
        <f>Feuille1!C327</f>
        <v>16859.683908376035</v>
      </c>
    </row>
    <row r="319" spans="2:4" x14ac:dyDescent="0.3">
      <c r="B319">
        <f>Feuille1!A328</f>
        <v>9.5</v>
      </c>
      <c r="C319">
        <f>Feuille1!B328</f>
        <v>-24826.953555193173</v>
      </c>
      <c r="D319">
        <f>Feuille1!C328</f>
        <v>11269.717750088299</v>
      </c>
    </row>
    <row r="320" spans="2:4" x14ac:dyDescent="0.3">
      <c r="B320">
        <f>Feuille1!A329</f>
        <v>10</v>
      </c>
      <c r="C320">
        <f>Feuille1!B329</f>
        <v>-22823.479066875145</v>
      </c>
      <c r="D320">
        <f>Feuille1!C329</f>
        <v>7547.5292649333533</v>
      </c>
    </row>
    <row r="321" spans="2:4" x14ac:dyDescent="0.3">
      <c r="B321">
        <f>Feuille1!A330</f>
        <v>10.5</v>
      </c>
      <c r="C321">
        <f>Feuille1!B330</f>
        <v>-20154.184784415571</v>
      </c>
      <c r="D321">
        <f>Feuille1!C330</f>
        <v>5394.8319631117083</v>
      </c>
    </row>
    <row r="322" spans="2:4" x14ac:dyDescent="0.3">
      <c r="B322">
        <f>Feuille1!A331</f>
        <v>11</v>
      </c>
      <c r="C322">
        <f>Feuille1!B331</f>
        <v>-17172.485657145662</v>
      </c>
      <c r="D322">
        <f>Feuille1!C331</f>
        <v>4566.3821957242562</v>
      </c>
    </row>
    <row r="323" spans="2:4" x14ac:dyDescent="0.3">
      <c r="B323">
        <f>Feuille1!A332</f>
        <v>11.5</v>
      </c>
      <c r="C323">
        <f>Feuille1!B332</f>
        <v>-14116.768489337132</v>
      </c>
      <c r="D323">
        <f>Feuille1!C332</f>
        <v>4898.8705184296723</v>
      </c>
    </row>
    <row r="324" spans="2:4" x14ac:dyDescent="0.3">
      <c r="B324">
        <f>Feuille1!A333</f>
        <v>12</v>
      </c>
      <c r="C324">
        <f>Feuille1!B333</f>
        <v>-11188.052992838895</v>
      </c>
      <c r="D324">
        <f>Feuille1!C333</f>
        <v>6279.172667486233</v>
      </c>
    </row>
    <row r="325" spans="2:4" x14ac:dyDescent="0.3">
      <c r="B325">
        <f>Feuille1!A334</f>
        <v>12.5</v>
      </c>
      <c r="C325">
        <f>Feuille1!B334</f>
        <v>-8572.2860293945323</v>
      </c>
      <c r="D325">
        <f>Feuille1!C334</f>
        <v>8611.4104647104177</v>
      </c>
    </row>
    <row r="326" spans="2:4" x14ac:dyDescent="0.3">
      <c r="B326">
        <f>Feuille1!A335</f>
        <v>13</v>
      </c>
      <c r="C326">
        <f>Feuille1!B335</f>
        <v>-6437.1465664743246</v>
      </c>
      <c r="D326">
        <f>Feuille1!C335</f>
        <v>11775.386844197785</v>
      </c>
    </row>
    <row r="327" spans="2:4" x14ac:dyDescent="0.3">
      <c r="B327">
        <f>Feuille1!A336</f>
        <v>13.5</v>
      </c>
      <c r="C327">
        <f>Feuille1!B336</f>
        <v>-4910.5352032405071</v>
      </c>
      <c r="D327">
        <f>Feuille1!C336</f>
        <v>15571.915517577456</v>
      </c>
    </row>
    <row r="328" spans="2:4" x14ac:dyDescent="0.3">
      <c r="B328">
        <f>Feuille1!A337</f>
        <v>14</v>
      </c>
      <c r="C328">
        <f>Feuille1!B337</f>
        <v>-4045.8700454638715</v>
      </c>
      <c r="D328">
        <f>Feuille1!C337</f>
        <v>19677.60017016661</v>
      </c>
    </row>
    <row r="329" spans="2:4" x14ac:dyDescent="0.3">
      <c r="B329">
        <f>Feuille1!A338</f>
        <v>14.5</v>
      </c>
      <c r="C329">
        <f>Feuille1!B338</f>
        <v>-3804.9500817108519</v>
      </c>
      <c r="D329">
        <f>Feuille1!C338</f>
        <v>23674.545440354694</v>
      </c>
    </row>
    <row r="330" spans="2:4" x14ac:dyDescent="0.3">
      <c r="B330">
        <f>Feuille1!A339</f>
        <v>15</v>
      </c>
      <c r="C330">
        <f>Feuille1!B339</f>
        <v>-4094.1222812934266</v>
      </c>
      <c r="D330">
        <f>Feuille1!C339</f>
        <v>27176.898514158027</v>
      </c>
    </row>
    <row r="331" spans="2:4" x14ac:dyDescent="0.3">
      <c r="B331">
        <f>Feuille1!A340</f>
        <v>15.5</v>
      </c>
      <c r="C331">
        <f>Feuille1!B340</f>
        <v>-4820.978187995991</v>
      </c>
      <c r="D331">
        <f>Feuille1!C340</f>
        <v>29929.1378447766</v>
      </c>
    </row>
    <row r="332" spans="2:4" x14ac:dyDescent="0.3">
      <c r="B332">
        <f>Feuille1!A341</f>
        <v>16</v>
      </c>
      <c r="C332">
        <f>Feuille1!B341</f>
        <v>-5922.691001665049</v>
      </c>
      <c r="D332">
        <f>Feuille1!C341</f>
        <v>31793.584416224578</v>
      </c>
    </row>
    <row r="333" spans="2:4" x14ac:dyDescent="0.3">
      <c r="B333">
        <f>Feuille1!A342</f>
        <v>16.5</v>
      </c>
      <c r="C333">
        <f>Feuille1!B342</f>
        <v>-7371.417574045804</v>
      </c>
      <c r="D333">
        <f>Feuille1!C342</f>
        <v>32689.437602115057</v>
      </c>
    </row>
    <row r="334" spans="2:4" x14ac:dyDescent="0.3">
      <c r="B334">
        <f>Feuille1!A343</f>
        <v>17</v>
      </c>
      <c r="C334">
        <f>Feuille1!B343</f>
        <v>-9177.2924608102348</v>
      </c>
      <c r="D334">
        <f>Feuille1!C343</f>
        <v>32537.604728944847</v>
      </c>
    </row>
    <row r="335" spans="2:4" x14ac:dyDescent="0.3">
      <c r="B335">
        <f>Feuille1!A344</f>
        <v>17.5</v>
      </c>
      <c r="C335">
        <f>Feuille1!B344</f>
        <v>-11401.826553280598</v>
      </c>
      <c r="D335">
        <f>Feuille1!C344</f>
        <v>31210.227765905402</v>
      </c>
    </row>
    <row r="336" spans="2:4" x14ac:dyDescent="0.3">
      <c r="B336">
        <f>Feuille1!A345</f>
        <v>18</v>
      </c>
      <c r="C336">
        <f>Feuille1!B345</f>
        <v>-14197.600355117003</v>
      </c>
      <c r="D336">
        <f>Feuille1!C345</f>
        <v>28451.07396651306</v>
      </c>
    </row>
    <row r="337" spans="2:4" x14ac:dyDescent="0.3">
      <c r="B337">
        <f>Feuille1!A346</f>
        <v>18.5</v>
      </c>
      <c r="C337">
        <f>Feuille1!B346</f>
        <v>-17905.7515378057</v>
      </c>
      <c r="D337">
        <f>Feuille1!C346</f>
        <v>23685.917211592176</v>
      </c>
    </row>
    <row r="338" spans="2:4" x14ac:dyDescent="0.3">
      <c r="B338">
        <f>Feuille1!A347</f>
        <v>19</v>
      </c>
      <c r="C338">
        <f>Feuille1!B347</f>
        <v>-22748.797344037252</v>
      </c>
      <c r="D338">
        <f>Feuille1!C347</f>
        <v>16229.556312001183</v>
      </c>
    </row>
    <row r="339" spans="2:4" x14ac:dyDescent="0.3">
      <c r="B339">
        <f>Feuille1!A348</f>
        <v>19.5</v>
      </c>
      <c r="C339">
        <f>Feuille1!B348</f>
        <v>-25553.518853641552</v>
      </c>
      <c r="D339">
        <f>Feuille1!C348</f>
        <v>11072.318337032619</v>
      </c>
    </row>
    <row r="340" spans="2:4" x14ac:dyDescent="0.3">
      <c r="B340">
        <f>Feuille1!A349</f>
        <v>20</v>
      </c>
      <c r="C340">
        <f>Feuille1!B349</f>
        <v>-26957.283190311231</v>
      </c>
      <c r="D340">
        <f>Feuille1!C349</f>
        <v>7630.5552602559246</v>
      </c>
    </row>
    <row r="341" spans="2:4" x14ac:dyDescent="0.3">
      <c r="B341">
        <f>Feuille1!A350</f>
        <v>20.5</v>
      </c>
      <c r="C341">
        <f>Feuille1!B350</f>
        <v>-27358.153674587993</v>
      </c>
      <c r="D341">
        <f>Feuille1!C350</f>
        <v>5391.4356192138321</v>
      </c>
    </row>
    <row r="342" spans="2:4" x14ac:dyDescent="0.3">
      <c r="B342">
        <f>Feuille1!A351</f>
        <v>21</v>
      </c>
      <c r="C342">
        <f>Feuille1!B351</f>
        <v>-26938.446715383368</v>
      </c>
      <c r="D342">
        <f>Feuille1!C351</f>
        <v>4136.804925642853</v>
      </c>
    </row>
    <row r="343" spans="2:4" x14ac:dyDescent="0.3">
      <c r="B343">
        <f>Feuille1!A352</f>
        <v>21.5</v>
      </c>
      <c r="C343">
        <f>Feuille1!B352</f>
        <v>-25794.688650388227</v>
      </c>
      <c r="D343">
        <f>Feuille1!C352</f>
        <v>3797.3790726726556</v>
      </c>
    </row>
    <row r="344" spans="2:4" x14ac:dyDescent="0.3">
      <c r="B344">
        <f>Feuille1!A353</f>
        <v>22</v>
      </c>
      <c r="C344">
        <f>Feuille1!B353</f>
        <v>-23990.317390814311</v>
      </c>
      <c r="D344">
        <f>Feuille1!C353</f>
        <v>4407.9771725931096</v>
      </c>
    </row>
    <row r="345" spans="2:4" x14ac:dyDescent="0.3">
      <c r="B345">
        <f>Feuille1!A354</f>
        <v>22.5</v>
      </c>
      <c r="C345">
        <f>Feuille1!B354</f>
        <v>-21591.099602405222</v>
      </c>
      <c r="D345">
        <f>Feuille1!C354</f>
        <v>6115.1033683692085</v>
      </c>
    </row>
    <row r="346" spans="2:4" x14ac:dyDescent="0.3">
      <c r="B346">
        <f>Feuille1!A355</f>
        <v>23</v>
      </c>
      <c r="C346">
        <f>Feuille1!B355</f>
        <v>-18726.368516067898</v>
      </c>
      <c r="D346">
        <f>Feuille1!C355</f>
        <v>9229.4440277991816</v>
      </c>
    </row>
    <row r="347" spans="2:4" x14ac:dyDescent="0.3">
      <c r="B347">
        <f>Feuille1!A356</f>
        <v>23.5</v>
      </c>
      <c r="C347">
        <f>Feuille1!B356</f>
        <v>-15798.069399318099</v>
      </c>
      <c r="D347">
        <f>Feuille1!C356</f>
        <v>14299.47027367088</v>
      </c>
    </row>
    <row r="348" spans="2:4" x14ac:dyDescent="0.3">
      <c r="B348">
        <f>Feuille1!A357</f>
        <v>24</v>
      </c>
      <c r="C348">
        <f>Feuille1!B357</f>
        <v>-14213.413198195991</v>
      </c>
      <c r="D348">
        <f>Feuille1!C357</f>
        <v>21549.745001491705</v>
      </c>
    </row>
    <row r="349" spans="2:4" x14ac:dyDescent="0.3">
      <c r="B349">
        <f>Feuille1!A358</f>
        <v>24.5</v>
      </c>
      <c r="C349">
        <f>Feuille1!B358</f>
        <v>-15147.538061212928</v>
      </c>
      <c r="D349">
        <f>Feuille1!C358</f>
        <v>27880.496439500155</v>
      </c>
    </row>
    <row r="350" spans="2:4" x14ac:dyDescent="0.3">
      <c r="B350">
        <f>Feuille1!A359</f>
        <v>25</v>
      </c>
      <c r="C350">
        <f>Feuille1!B359</f>
        <v>-17021.163888333493</v>
      </c>
      <c r="D350">
        <f>Feuille1!C359</f>
        <v>31976.36370726024</v>
      </c>
    </row>
    <row r="351" spans="2:4" x14ac:dyDescent="0.3">
      <c r="B351">
        <f>Feuille1!A360</f>
        <v>25.5</v>
      </c>
      <c r="C351">
        <f>Feuille1!B360</f>
        <v>-19052.326867520533</v>
      </c>
      <c r="D351">
        <f>Feuille1!C360</f>
        <v>34138.259935966133</v>
      </c>
    </row>
    <row r="352" spans="2:4" x14ac:dyDescent="0.3">
      <c r="B352">
        <f>Feuille1!A361</f>
        <v>26</v>
      </c>
      <c r="C352">
        <f>Feuille1!B361</f>
        <v>-20938.203330506924</v>
      </c>
      <c r="D352">
        <f>Feuille1!C361</f>
        <v>34615.853637946318</v>
      </c>
    </row>
    <row r="353" spans="2:4" x14ac:dyDescent="0.3">
      <c r="B353">
        <f>Feuille1!A362</f>
        <v>26.5</v>
      </c>
      <c r="C353">
        <f>Feuille1!B362</f>
        <v>-22501.316456879536</v>
      </c>
      <c r="D353">
        <f>Feuille1!C362</f>
        <v>33485.804298224961</v>
      </c>
    </row>
    <row r="354" spans="2:4" x14ac:dyDescent="0.3">
      <c r="B354">
        <f>Feuille1!A363</f>
        <v>27</v>
      </c>
      <c r="C354">
        <f>Feuille1!B363</f>
        <v>-23550.520709560165</v>
      </c>
      <c r="D354">
        <f>Feuille1!C363</f>
        <v>30647.486493175304</v>
      </c>
    </row>
    <row r="355" spans="2:4" x14ac:dyDescent="0.3">
      <c r="B355">
        <f>Feuille1!A364</f>
        <v>27.5</v>
      </c>
      <c r="C355">
        <f>Feuille1!B364</f>
        <v>-23731.861806341654</v>
      </c>
      <c r="D355">
        <f>Feuille1!C364</f>
        <v>25757.103680566594</v>
      </c>
    </row>
    <row r="356" spans="2:4" x14ac:dyDescent="0.3">
      <c r="B356">
        <f>Feuille1!A365</f>
        <v>28</v>
      </c>
      <c r="C356">
        <f>Feuille1!B365</f>
        <v>-22096.122801000889</v>
      </c>
      <c r="D356">
        <f>Feuille1!C365</f>
        <v>18314.255079976454</v>
      </c>
    </row>
    <row r="357" spans="2:4" x14ac:dyDescent="0.3">
      <c r="B357">
        <f>Feuille1!A366</f>
        <v>28.5</v>
      </c>
      <c r="C357">
        <f>Feuille1!B366</f>
        <v>-18350.446183940359</v>
      </c>
      <c r="D357">
        <f>Feuille1!C366</f>
        <v>12222.527868087229</v>
      </c>
    </row>
    <row r="358" spans="2:4" x14ac:dyDescent="0.3">
      <c r="B358">
        <f>Feuille1!A367</f>
        <v>29</v>
      </c>
      <c r="C358">
        <f>Feuille1!B367</f>
        <v>-14846.838695493698</v>
      </c>
      <c r="D358">
        <f>Feuille1!C367</f>
        <v>8646.1810084091994</v>
      </c>
    </row>
    <row r="359" spans="2:4" x14ac:dyDescent="0.3">
      <c r="B359">
        <f>Feuille1!A368</f>
        <v>29.5</v>
      </c>
      <c r="C359">
        <f>Feuille1!B368</f>
        <v>-11741.61187132232</v>
      </c>
      <c r="D359">
        <f>Feuille1!C368</f>
        <v>6587.4213350085993</v>
      </c>
    </row>
    <row r="360" spans="2:4" x14ac:dyDescent="0.3">
      <c r="B360">
        <f>Feuille1!A369</f>
        <v>30</v>
      </c>
      <c r="C360">
        <f>Feuille1!B369</f>
        <v>-8965.8001797003926</v>
      </c>
      <c r="D360">
        <f>Feuille1!C369</f>
        <v>5545.3165759722051</v>
      </c>
    </row>
    <row r="361" spans="2:4" x14ac:dyDescent="0.3">
      <c r="B361">
        <f>Feuille1!A370</f>
        <v>30.5</v>
      </c>
      <c r="C361">
        <f>Feuille1!B370</f>
        <v>-6457.0322506808197</v>
      </c>
      <c r="D361">
        <f>Feuille1!C370</f>
        <v>5264.2251752615639</v>
      </c>
    </row>
    <row r="362" spans="2:4" x14ac:dyDescent="0.3">
      <c r="B362">
        <f>Feuille1!A371</f>
        <v>31</v>
      </c>
      <c r="C362">
        <f>Feuille1!B371</f>
        <v>-4166.8372191814851</v>
      </c>
      <c r="D362">
        <f>Feuille1!C371</f>
        <v>5605.8741757151893</v>
      </c>
    </row>
    <row r="363" spans="2:4" x14ac:dyDescent="0.3">
      <c r="B363">
        <f>Feuille1!A372</f>
        <v>31.5</v>
      </c>
      <c r="C363">
        <f>Feuille1!B372</f>
        <v>-2049.1404860891712</v>
      </c>
      <c r="D363">
        <f>Feuille1!C372</f>
        <v>6496.135558040316</v>
      </c>
    </row>
    <row r="364" spans="2:4" x14ac:dyDescent="0.3">
      <c r="B364">
        <f>Feuille1!A373</f>
        <v>32</v>
      </c>
      <c r="C364">
        <f>Feuille1!B373</f>
        <v>-46.560924523298524</v>
      </c>
      <c r="D364">
        <f>Feuille1!C373</f>
        <v>7898.621632561877</v>
      </c>
    </row>
    <row r="365" spans="2:4" x14ac:dyDescent="0.3">
      <c r="B365">
        <f>Feuille1!A374</f>
        <v>32.5</v>
      </c>
      <c r="C365">
        <f>Feuille1!B374</f>
        <v>1927.2732960766211</v>
      </c>
      <c r="D365">
        <f>Feuille1!C374</f>
        <v>9798.6938051349516</v>
      </c>
    </row>
    <row r="366" spans="2:4" x14ac:dyDescent="0.3">
      <c r="B366">
        <f>Feuille1!A375</f>
        <v>33</v>
      </c>
      <c r="C366">
        <f>Feuille1!B375</f>
        <v>4015.8748480916947</v>
      </c>
      <c r="D366">
        <f>Feuille1!C375</f>
        <v>12191.784725935198</v>
      </c>
    </row>
    <row r="367" spans="2:4" x14ac:dyDescent="0.3">
      <c r="B367">
        <f>Feuille1!A376</f>
        <v>33.5</v>
      </c>
      <c r="C367">
        <f>Feuille1!B376</f>
        <v>6470.8810614878894</v>
      </c>
      <c r="D367">
        <f>Feuille1!C376</f>
        <v>15071.65437379154</v>
      </c>
    </row>
    <row r="368" spans="2:4" x14ac:dyDescent="0.3">
      <c r="B368">
        <f>Feuille1!A377</f>
        <v>34</v>
      </c>
      <c r="C368">
        <f>Feuille1!B377</f>
        <v>9750.8837999134284</v>
      </c>
      <c r="D368">
        <f>Feuille1!C377</f>
        <v>18401.930070964383</v>
      </c>
    </row>
    <row r="369" spans="2:4" x14ac:dyDescent="0.3">
      <c r="B369">
        <f>Feuille1!A378</f>
        <v>34.5</v>
      </c>
      <c r="C369">
        <f>Feuille1!B378</f>
        <v>14699.290749678192</v>
      </c>
      <c r="D369">
        <f>Feuille1!C378</f>
        <v>21958.164268190052</v>
      </c>
    </row>
    <row r="370" spans="2:4" x14ac:dyDescent="0.3">
      <c r="B370">
        <f>Feuille1!A379</f>
        <v>35</v>
      </c>
      <c r="C370">
        <f>Feuille1!B379</f>
        <v>22095.759706341971</v>
      </c>
      <c r="D370">
        <f>Feuille1!C379</f>
        <v>24338.122076565662</v>
      </c>
    </row>
    <row r="371" spans="2:4" x14ac:dyDescent="0.3">
      <c r="B371">
        <f>Feuille1!A380</f>
        <v>35.5</v>
      </c>
      <c r="C371">
        <f>Feuille1!B380</f>
        <v>27908.549740062372</v>
      </c>
      <c r="D371">
        <f>Feuille1!C380</f>
        <v>23895.642122120818</v>
      </c>
    </row>
    <row r="372" spans="2:4" x14ac:dyDescent="0.3">
      <c r="B372">
        <f>Feuille1!A381</f>
        <v>36</v>
      </c>
      <c r="C372">
        <f>Feuille1!B381</f>
        <v>31237.866611446236</v>
      </c>
      <c r="D372">
        <f>Feuille1!C381</f>
        <v>22245.154525233695</v>
      </c>
    </row>
    <row r="373" spans="2:4" x14ac:dyDescent="0.3">
      <c r="B373">
        <f>Feuille1!A382</f>
        <v>36.5</v>
      </c>
      <c r="C373">
        <f>Feuille1!B382</f>
        <v>32421.602068457585</v>
      </c>
      <c r="D373">
        <f>Feuille1!C382</f>
        <v>20121.61467054093</v>
      </c>
    </row>
    <row r="374" spans="2:4" x14ac:dyDescent="0.3">
      <c r="B374">
        <f>Feuille1!A383</f>
        <v>37</v>
      </c>
      <c r="C374">
        <f>Feuille1!B383</f>
        <v>31598.459136710138</v>
      </c>
      <c r="D374">
        <f>Feuille1!C383</f>
        <v>17899.323673371357</v>
      </c>
    </row>
    <row r="375" spans="2:4" x14ac:dyDescent="0.3">
      <c r="B375">
        <f>Feuille1!A384</f>
        <v>37.5</v>
      </c>
      <c r="C375">
        <f>Feuille1!B384</f>
        <v>28676.32585850031</v>
      </c>
      <c r="D375">
        <f>Feuille1!C384</f>
        <v>15937.846808301394</v>
      </c>
    </row>
    <row r="376" spans="2:4" x14ac:dyDescent="0.3">
      <c r="B376">
        <f>Feuille1!A385</f>
        <v>38</v>
      </c>
      <c r="C376">
        <f>Feuille1!B385</f>
        <v>23383.854215846561</v>
      </c>
      <c r="D376">
        <f>Feuille1!C385</f>
        <v>14891.027659156736</v>
      </c>
    </row>
    <row r="377" spans="2:4" x14ac:dyDescent="0.3">
      <c r="B377">
        <f>Feuille1!A386</f>
        <v>38.5</v>
      </c>
      <c r="C377">
        <f>Feuille1!B386</f>
        <v>16161.09134170632</v>
      </c>
      <c r="D377">
        <f>Feuille1!C386</f>
        <v>16240.939145020991</v>
      </c>
    </row>
    <row r="378" spans="2:4" x14ac:dyDescent="0.3">
      <c r="B378">
        <f>Feuille1!A387</f>
        <v>39</v>
      </c>
      <c r="C378">
        <f>Feuille1!B387</f>
        <v>10732.311799085499</v>
      </c>
      <c r="D378">
        <f>Feuille1!C387</f>
        <v>19608.783015522473</v>
      </c>
    </row>
    <row r="379" spans="2:4" x14ac:dyDescent="0.3">
      <c r="B379">
        <f>Feuille1!A388</f>
        <v>39.5</v>
      </c>
      <c r="C379">
        <f>Feuille1!B388</f>
        <v>7250.0216656936418</v>
      </c>
      <c r="D379">
        <f>Feuille1!C388</f>
        <v>22955.825153310536</v>
      </c>
    </row>
    <row r="380" spans="2:4" x14ac:dyDescent="0.3">
      <c r="B380">
        <f>Feuille1!A389</f>
        <v>40</v>
      </c>
      <c r="C380">
        <f>Feuille1!B389</f>
        <v>4858.7179517861441</v>
      </c>
      <c r="D380">
        <f>Feuille1!C389</f>
        <v>25745.252468004917</v>
      </c>
    </row>
    <row r="381" spans="2:4" x14ac:dyDescent="0.3">
      <c r="B381">
        <f>Feuille1!A390</f>
        <v>40.5</v>
      </c>
      <c r="C381">
        <f>Feuille1!B390</f>
        <v>3041.9311479544795</v>
      </c>
      <c r="D381">
        <f>Feuille1!C390</f>
        <v>27840.592253850285</v>
      </c>
    </row>
    <row r="382" spans="2:4" x14ac:dyDescent="0.3">
      <c r="B382">
        <f>Feuille1!A391</f>
        <v>41</v>
      </c>
      <c r="C382">
        <f>Feuille1!B391</f>
        <v>1513.4453762996513</v>
      </c>
      <c r="D382">
        <f>Feuille1!C391</f>
        <v>29194.817544025438</v>
      </c>
    </row>
    <row r="383" spans="2:4" x14ac:dyDescent="0.3">
      <c r="B383">
        <f>Feuille1!A392</f>
        <v>41.5</v>
      </c>
      <c r="C383">
        <f>Feuille1!B392</f>
        <v>104.06083095437862</v>
      </c>
      <c r="D383">
        <f>Feuille1!C392</f>
        <v>29788.449725121147</v>
      </c>
    </row>
    <row r="384" spans="2:4" x14ac:dyDescent="0.3">
      <c r="B384">
        <f>Feuille1!A393</f>
        <v>42</v>
      </c>
      <c r="C384">
        <f>Feuille1!B393</f>
        <v>-1305.0579283749703</v>
      </c>
      <c r="D384">
        <f>Feuille1!C393</f>
        <v>29613.038386462355</v>
      </c>
    </row>
    <row r="385" spans="2:4" x14ac:dyDescent="0.3">
      <c r="B385">
        <f>Feuille1!A394</f>
        <v>42.5</v>
      </c>
      <c r="C385">
        <f>Feuille1!B394</f>
        <v>-2826.5571539336352</v>
      </c>
      <c r="D385">
        <f>Feuille1!C394</f>
        <v>28665.327291726095</v>
      </c>
    </row>
    <row r="386" spans="2:4" x14ac:dyDescent="0.3">
      <c r="B386">
        <f>Feuille1!A395</f>
        <v>43</v>
      </c>
      <c r="C386">
        <f>Feuille1!B395</f>
        <v>-4608.5894084523406</v>
      </c>
      <c r="D386">
        <f>Feuille1!C395</f>
        <v>26946.306566625775</v>
      </c>
    </row>
    <row r="387" spans="2:4" x14ac:dyDescent="0.3">
      <c r="B387">
        <f>Feuille1!A396</f>
        <v>43.5</v>
      </c>
      <c r="C387">
        <f>Feuille1!B396</f>
        <v>-6894.7323546438483</v>
      </c>
      <c r="D387">
        <f>Feuille1!C396</f>
        <v>24465.974539318089</v>
      </c>
    </row>
    <row r="388" spans="2:4" x14ac:dyDescent="0.3">
      <c r="B388">
        <f>Feuille1!A397</f>
        <v>44</v>
      </c>
      <c r="C388">
        <f>Feuille1!B397</f>
        <v>-10134.382989384421</v>
      </c>
      <c r="D388">
        <f>Feuille1!C397</f>
        <v>21271.181638347534</v>
      </c>
    </row>
    <row r="389" spans="2:4" x14ac:dyDescent="0.3">
      <c r="B389">
        <f>Feuille1!A398</f>
        <v>44.5</v>
      </c>
      <c r="C389">
        <f>Feuille1!B398</f>
        <v>-15172.650531436539</v>
      </c>
      <c r="D389">
        <f>Feuille1!C398</f>
        <v>17632.980634682313</v>
      </c>
    </row>
    <row r="390" spans="2:4" x14ac:dyDescent="0.3">
      <c r="B390">
        <f>Feuille1!A399</f>
        <v>45</v>
      </c>
      <c r="C390">
        <f>Feuille1!B399</f>
        <v>-22564.595225092104</v>
      </c>
      <c r="D390">
        <f>Feuille1!C399</f>
        <v>15201.233957948738</v>
      </c>
    </row>
    <row r="391" spans="2:4" x14ac:dyDescent="0.3">
      <c r="B391">
        <f>Feuille1!A400</f>
        <v>45.5</v>
      </c>
      <c r="C391">
        <f>Feuille1!B400</f>
        <v>-28253.557025683836</v>
      </c>
      <c r="D391">
        <f>Feuille1!C400</f>
        <v>15317.103901856261</v>
      </c>
    </row>
    <row r="392" spans="2:4" x14ac:dyDescent="0.3">
      <c r="B392">
        <f>Feuille1!A401</f>
        <v>46</v>
      </c>
      <c r="C392">
        <f>Feuille1!B401</f>
        <v>-31642.697916029814</v>
      </c>
      <c r="D392">
        <f>Feuille1!C401</f>
        <v>16492.594998790992</v>
      </c>
    </row>
    <row r="393" spans="2:4" x14ac:dyDescent="0.3">
      <c r="B393">
        <f>Feuille1!A402</f>
        <v>46.5</v>
      </c>
      <c r="C393">
        <f>Feuille1!B402</f>
        <v>-33049.5056348418</v>
      </c>
      <c r="D393">
        <f>Feuille1!C402</f>
        <v>18096.451989108125</v>
      </c>
    </row>
    <row r="394" spans="2:4" x14ac:dyDescent="0.3">
      <c r="B394">
        <f>Feuille1!A403</f>
        <v>47</v>
      </c>
      <c r="C394">
        <f>Feuille1!B403</f>
        <v>-32597.275624446633</v>
      </c>
      <c r="D394">
        <f>Feuille1!C403</f>
        <v>19840.762372957732</v>
      </c>
    </row>
    <row r="395" spans="2:4" x14ac:dyDescent="0.3">
      <c r="B395">
        <f>Feuille1!A404</f>
        <v>47.5</v>
      </c>
      <c r="C395">
        <f>Feuille1!B404</f>
        <v>-30172.811018894161</v>
      </c>
      <c r="D395">
        <f>Feuille1!C404</f>
        <v>21505.460799266788</v>
      </c>
    </row>
    <row r="396" spans="2:4" x14ac:dyDescent="0.3">
      <c r="B396">
        <f>Feuille1!A405</f>
        <v>48</v>
      </c>
      <c r="C396">
        <f>Feuille1!B405</f>
        <v>-25353.258155013496</v>
      </c>
      <c r="D396">
        <f>Feuille1!C405</f>
        <v>22739.341956639277</v>
      </c>
    </row>
    <row r="397" spans="2:4" x14ac:dyDescent="0.3">
      <c r="B397">
        <f>Feuille1!A406</f>
        <v>48.5</v>
      </c>
      <c r="C397">
        <f>Feuille1!B406</f>
        <v>-17628.005423871637</v>
      </c>
      <c r="D397">
        <f>Feuille1!C406</f>
        <v>22489.828714224881</v>
      </c>
    </row>
    <row r="398" spans="2:4" x14ac:dyDescent="0.3">
      <c r="B398">
        <f>Feuille1!A407</f>
        <v>49</v>
      </c>
      <c r="C398">
        <f>Feuille1!B407</f>
        <v>-11449.271144443377</v>
      </c>
      <c r="D398">
        <f>Feuille1!C407</f>
        <v>20141.01950606289</v>
      </c>
    </row>
    <row r="399" spans="2:4" x14ac:dyDescent="0.3">
      <c r="B399">
        <f>Feuille1!A408</f>
        <v>49.5</v>
      </c>
      <c r="C399">
        <f>Feuille1!B408</f>
        <v>-7410.0239285723874</v>
      </c>
      <c r="D399">
        <f>Feuille1!C408</f>
        <v>17609.477688647003</v>
      </c>
    </row>
    <row r="400" spans="2:4" x14ac:dyDescent="0.3">
      <c r="B400">
        <f>Feuille1!A409</f>
        <v>50</v>
      </c>
      <c r="C400">
        <f>Feuille1!B409</f>
        <v>-4540.6412352249863</v>
      </c>
      <c r="D400">
        <f>Feuille1!C409</f>
        <v>15291.681935823452</v>
      </c>
    </row>
    <row r="401" spans="2:4" x14ac:dyDescent="0.3">
      <c r="B401">
        <f>Feuille1!A410</f>
        <v>50.5</v>
      </c>
      <c r="C401">
        <f>Feuille1!B410</f>
        <v>-2270.0179614925041</v>
      </c>
      <c r="D401">
        <f>Feuille1!C410</f>
        <v>13289.868918173246</v>
      </c>
    </row>
    <row r="402" spans="2:4" x14ac:dyDescent="0.3">
      <c r="B402">
        <f>Feuille1!A411</f>
        <v>51</v>
      </c>
      <c r="C402">
        <f>Feuille1!B411</f>
        <v>-259.99300081202239</v>
      </c>
      <c r="D402">
        <f>Feuille1!C411</f>
        <v>11659.073069227317</v>
      </c>
    </row>
    <row r="403" spans="2:4" x14ac:dyDescent="0.3">
      <c r="B403">
        <f>Feuille1!A412</f>
        <v>51.5</v>
      </c>
      <c r="C403">
        <f>Feuille1!B412</f>
        <v>1706.0582448464729</v>
      </c>
      <c r="D403">
        <f>Feuille1!C412</f>
        <v>10447.432399912726</v>
      </c>
    </row>
    <row r="404" spans="2:4" x14ac:dyDescent="0.3">
      <c r="B404">
        <f>Feuille1!A413</f>
        <v>52</v>
      </c>
      <c r="C404">
        <f>Feuille1!B413</f>
        <v>3782.8859692764313</v>
      </c>
      <c r="D404">
        <f>Feuille1!C413</f>
        <v>9709.566402365168</v>
      </c>
    </row>
    <row r="405" spans="2:4" x14ac:dyDescent="0.3">
      <c r="B405">
        <f>Feuille1!A414</f>
        <v>52.5</v>
      </c>
      <c r="C405">
        <f>Feuille1!B414</f>
        <v>6102.4618719834243</v>
      </c>
      <c r="D405">
        <f>Feuille1!C414</f>
        <v>9521.2795357680334</v>
      </c>
    </row>
    <row r="406" spans="2:4" x14ac:dyDescent="0.3">
      <c r="B406">
        <f>Feuille1!A415</f>
        <v>53</v>
      </c>
      <c r="C406">
        <f>Feuille1!B415</f>
        <v>8807.641841639128</v>
      </c>
      <c r="D406">
        <f>Feuille1!C415</f>
        <v>10004.98365759007</v>
      </c>
    </row>
    <row r="407" spans="2:4" x14ac:dyDescent="0.3">
      <c r="B407">
        <f>Feuille1!A416</f>
        <v>53.5</v>
      </c>
      <c r="C407">
        <f>Feuille1!B416</f>
        <v>12092.844766506523</v>
      </c>
      <c r="D407">
        <f>Feuille1!C416</f>
        <v>11383.079517491471</v>
      </c>
    </row>
    <row r="408" spans="2:4" x14ac:dyDescent="0.3">
      <c r="B408">
        <f>Feuille1!A417</f>
        <v>54</v>
      </c>
      <c r="C408">
        <f>Feuille1!B417</f>
        <v>16261.581710994251</v>
      </c>
      <c r="D408">
        <f>Feuille1!C417</f>
        <v>14113.059318066666</v>
      </c>
    </row>
    <row r="409" spans="2:4" x14ac:dyDescent="0.3">
      <c r="B409">
        <f>Feuille1!A418</f>
        <v>54.5</v>
      </c>
      <c r="C409">
        <f>Feuille1!B418</f>
        <v>21604.496546456703</v>
      </c>
      <c r="D409">
        <f>Feuille1!C418</f>
        <v>19176.215251714264</v>
      </c>
    </row>
    <row r="410" spans="2:4" x14ac:dyDescent="0.3">
      <c r="B410">
        <f>Feuille1!A419</f>
        <v>55</v>
      </c>
      <c r="C410">
        <f>Feuille1!B419</f>
        <v>25107.693252002173</v>
      </c>
      <c r="D410">
        <f>Feuille1!C419</f>
        <v>24930.700108411787</v>
      </c>
    </row>
    <row r="411" spans="2:4" x14ac:dyDescent="0.3">
      <c r="B411">
        <f>Feuille1!A420</f>
        <v>55.5</v>
      </c>
      <c r="C411">
        <f>Feuille1!B420</f>
        <v>26314.000920958024</v>
      </c>
      <c r="D411">
        <f>Feuille1!C420</f>
        <v>28598.873716394304</v>
      </c>
    </row>
    <row r="412" spans="2:4" x14ac:dyDescent="0.3">
      <c r="B412">
        <f>Feuille1!A421</f>
        <v>56</v>
      </c>
      <c r="C412">
        <f>Feuille1!B421</f>
        <v>26035.742619529432</v>
      </c>
      <c r="D412">
        <f>Feuille1!C421</f>
        <v>30441.463305572022</v>
      </c>
    </row>
    <row r="413" spans="2:4" x14ac:dyDescent="0.3">
      <c r="B413">
        <f>Feuille1!A422</f>
        <v>56.5</v>
      </c>
      <c r="C413">
        <f>Feuille1!B422</f>
        <v>24604.887144408756</v>
      </c>
      <c r="D413">
        <f>Feuille1!C422</f>
        <v>30556.644609654904</v>
      </c>
    </row>
    <row r="414" spans="2:4" x14ac:dyDescent="0.3">
      <c r="B414">
        <f>Feuille1!A423</f>
        <v>57</v>
      </c>
      <c r="C414">
        <f>Feuille1!B423</f>
        <v>22159.193736631722</v>
      </c>
      <c r="D414">
        <f>Feuille1!C423</f>
        <v>28752.335690341071</v>
      </c>
    </row>
    <row r="415" spans="2:4" x14ac:dyDescent="0.3">
      <c r="B415">
        <f>Feuille1!A424</f>
        <v>57.5</v>
      </c>
      <c r="C415">
        <f>Feuille1!B424</f>
        <v>18863.452984774973</v>
      </c>
      <c r="D415">
        <f>Feuille1!C424</f>
        <v>24420.7616804914</v>
      </c>
    </row>
    <row r="416" spans="2:4" x14ac:dyDescent="0.3">
      <c r="B416">
        <f>Feuille1!A425</f>
        <v>58</v>
      </c>
      <c r="C416">
        <f>Feuille1!B425</f>
        <v>15998.482629473827</v>
      </c>
      <c r="D416">
        <f>Feuille1!C425</f>
        <v>17074.579961364565</v>
      </c>
    </row>
    <row r="417" spans="2:4" x14ac:dyDescent="0.3">
      <c r="B417">
        <f>Feuille1!A426</f>
        <v>58.5</v>
      </c>
      <c r="C417">
        <f>Feuille1!B426</f>
        <v>15198.712421932831</v>
      </c>
      <c r="D417">
        <f>Feuille1!C426</f>
        <v>11406.360920361623</v>
      </c>
    </row>
    <row r="418" spans="2:4" x14ac:dyDescent="0.3">
      <c r="B418">
        <f>Feuille1!A427</f>
        <v>59</v>
      </c>
      <c r="C418">
        <f>Feuille1!B427</f>
        <v>15144.47103382949</v>
      </c>
      <c r="D418">
        <f>Feuille1!C427</f>
        <v>7663.1144085422566</v>
      </c>
    </row>
    <row r="419" spans="2:4" x14ac:dyDescent="0.3">
      <c r="B419">
        <f>Feuille1!A428</f>
        <v>59.5</v>
      </c>
      <c r="C419">
        <f>Feuille1!B428</f>
        <v>15332.464677241753</v>
      </c>
      <c r="D419">
        <f>Feuille1!C428</f>
        <v>5388.4734539280989</v>
      </c>
    </row>
    <row r="420" spans="2:4" x14ac:dyDescent="0.3">
      <c r="B420">
        <f>Feuille1!A429</f>
        <v>60</v>
      </c>
      <c r="C420">
        <f>Feuille1!B429</f>
        <v>15577.542738863154</v>
      </c>
      <c r="D420">
        <f>Feuille1!C429</f>
        <v>4334.4797532983712</v>
      </c>
    </row>
    <row r="421" spans="2:4" x14ac:dyDescent="0.3">
      <c r="B421">
        <f>Feuille1!A430</f>
        <v>60.5</v>
      </c>
      <c r="C421">
        <f>Feuille1!B430</f>
        <v>15809.086172567077</v>
      </c>
      <c r="D421">
        <f>Feuille1!C430</f>
        <v>4403.7341939798744</v>
      </c>
    </row>
    <row r="422" spans="2:4" x14ac:dyDescent="0.3">
      <c r="B422">
        <f>Feuille1!A431</f>
        <v>61</v>
      </c>
      <c r="C422">
        <f>Feuille1!B431</f>
        <v>16017.481863114748</v>
      </c>
      <c r="D422">
        <f>Feuille1!C431</f>
        <v>5614.3167418394287</v>
      </c>
    </row>
    <row r="423" spans="2:4" x14ac:dyDescent="0.3">
      <c r="B423">
        <f>Feuille1!A432</f>
        <v>61.5</v>
      </c>
      <c r="C423">
        <f>Feuille1!B432</f>
        <v>16251.86220611009</v>
      </c>
      <c r="D423">
        <f>Feuille1!C432</f>
        <v>8111.0315629369961</v>
      </c>
    </row>
    <row r="424" spans="2:4" x14ac:dyDescent="0.3">
      <c r="B424">
        <f>Feuille1!A433</f>
        <v>62</v>
      </c>
      <c r="C424">
        <f>Feuille1!B433</f>
        <v>16670.014677073716</v>
      </c>
      <c r="D424">
        <f>Feuille1!C433</f>
        <v>12237.507108844493</v>
      </c>
    </row>
    <row r="425" spans="2:4" x14ac:dyDescent="0.3">
      <c r="B425">
        <f>Feuille1!A434</f>
        <v>62.5</v>
      </c>
      <c r="C425">
        <f>Feuille1!B434</f>
        <v>17752.713770071547</v>
      </c>
      <c r="D425">
        <f>Feuille1!C434</f>
        <v>18660.611327745333</v>
      </c>
    </row>
    <row r="426" spans="2:4" x14ac:dyDescent="0.3">
      <c r="B426">
        <f>Feuille1!A435</f>
        <v>63</v>
      </c>
      <c r="C426">
        <f>Feuille1!B435</f>
        <v>20474.93675233626</v>
      </c>
      <c r="D426">
        <f>Feuille1!C435</f>
        <v>26157.944158937964</v>
      </c>
    </row>
    <row r="427" spans="2:4" x14ac:dyDescent="0.3">
      <c r="B427">
        <f>Feuille1!A436</f>
        <v>63.5</v>
      </c>
      <c r="C427">
        <f>Feuille1!B436</f>
        <v>22682.421654055528</v>
      </c>
      <c r="D427">
        <f>Feuille1!C436</f>
        <v>30560.066437976566</v>
      </c>
    </row>
    <row r="428" spans="2:4" x14ac:dyDescent="0.3">
      <c r="B428">
        <f>Feuille1!A437</f>
        <v>64</v>
      </c>
      <c r="C428">
        <f>Feuille1!B437</f>
        <v>24131.975964622197</v>
      </c>
      <c r="D428">
        <f>Feuille1!C437</f>
        <v>32814.673397460378</v>
      </c>
    </row>
    <row r="429" spans="2:4" x14ac:dyDescent="0.3">
      <c r="B429">
        <f>Feuille1!A438</f>
        <v>64.5</v>
      </c>
      <c r="C429">
        <f>Feuille1!B438</f>
        <v>24858.26304007975</v>
      </c>
      <c r="D429">
        <f>Feuille1!C438</f>
        <v>33393.442211119014</v>
      </c>
    </row>
    <row r="430" spans="2:4" x14ac:dyDescent="0.3">
      <c r="B430">
        <f>Feuille1!A439</f>
        <v>65</v>
      </c>
      <c r="C430">
        <f>Feuille1!B439</f>
        <v>24853.12010124743</v>
      </c>
      <c r="D430">
        <f>Feuille1!C439</f>
        <v>32427.461402589397</v>
      </c>
    </row>
    <row r="431" spans="2:4" x14ac:dyDescent="0.3">
      <c r="B431">
        <f>Feuille1!A440</f>
        <v>65.5</v>
      </c>
      <c r="C431">
        <f>Feuille1!B440</f>
        <v>24028.428182791064</v>
      </c>
      <c r="D431">
        <f>Feuille1!C440</f>
        <v>29804.521740952034</v>
      </c>
    </row>
    <row r="432" spans="2:4" x14ac:dyDescent="0.3">
      <c r="B432">
        <f>Feuille1!A441</f>
        <v>66</v>
      </c>
      <c r="C432">
        <f>Feuille1!B441</f>
        <v>22152.166467914292</v>
      </c>
      <c r="D432">
        <f>Feuille1!C441</f>
        <v>25079.182233479518</v>
      </c>
    </row>
    <row r="433" spans="2:4" x14ac:dyDescent="0.3">
      <c r="B433">
        <f>Feuille1!A442</f>
        <v>66.5</v>
      </c>
      <c r="C433">
        <f>Feuille1!B442</f>
        <v>18824.30825600434</v>
      </c>
      <c r="D433">
        <f>Feuille1!C442</f>
        <v>17454.460450317954</v>
      </c>
    </row>
    <row r="434" spans="2:4" x14ac:dyDescent="0.3">
      <c r="B434">
        <f>Feuille1!A443</f>
        <v>67</v>
      </c>
      <c r="C434">
        <f>Feuille1!B443</f>
        <v>16178.877030396787</v>
      </c>
      <c r="D434">
        <f>Feuille1!C443</f>
        <v>11920.341804045654</v>
      </c>
    </row>
    <row r="435" spans="2:4" x14ac:dyDescent="0.3">
      <c r="B435">
        <f>Feuille1!A444</f>
        <v>67.5</v>
      </c>
      <c r="C435">
        <f>Feuille1!B444</f>
        <v>14234.382460424375</v>
      </c>
      <c r="D435">
        <f>Feuille1!C444</f>
        <v>8552.2921166441047</v>
      </c>
    </row>
    <row r="436" spans="2:4" x14ac:dyDescent="0.3">
      <c r="B436">
        <f>Feuille1!A445</f>
        <v>68</v>
      </c>
      <c r="C436">
        <f>Feuille1!B445</f>
        <v>12689.917116203145</v>
      </c>
      <c r="D436">
        <f>Feuille1!C445</f>
        <v>6657.47241539278</v>
      </c>
    </row>
    <row r="437" spans="2:4" x14ac:dyDescent="0.3">
      <c r="B437">
        <f>Feuille1!A446</f>
        <v>68.5</v>
      </c>
      <c r="C437">
        <f>Feuille1!B446</f>
        <v>11419.180850379602</v>
      </c>
      <c r="D437">
        <f>Feuille1!C446</f>
        <v>5905.2303158897157</v>
      </c>
    </row>
    <row r="438" spans="2:4" x14ac:dyDescent="0.3">
      <c r="B438">
        <f>Feuille1!A447</f>
        <v>69</v>
      </c>
      <c r="C438">
        <f>Feuille1!B447</f>
        <v>10386.777350965072</v>
      </c>
      <c r="D438">
        <f>Feuille1!C447</f>
        <v>6138.6923309569056</v>
      </c>
    </row>
    <row r="439" spans="2:4" x14ac:dyDescent="0.3">
      <c r="B439">
        <f>Feuille1!A448</f>
        <v>69.5</v>
      </c>
      <c r="C439">
        <f>Feuille1!B448</f>
        <v>9617.8828183913865</v>
      </c>
      <c r="D439">
        <f>Feuille1!C448</f>
        <v>7292.7324036164719</v>
      </c>
    </row>
    <row r="440" spans="2:4" x14ac:dyDescent="0.3">
      <c r="B440">
        <f>Feuille1!A449</f>
        <v>70</v>
      </c>
      <c r="C440">
        <f>Feuille1!B449</f>
        <v>9199.6951207325255</v>
      </c>
      <c r="D440">
        <f>Feuille1!C449</f>
        <v>9357.575955671</v>
      </c>
    </row>
    <row r="441" spans="2:4" x14ac:dyDescent="0.3">
      <c r="B441">
        <f>Feuille1!A450</f>
        <v>70.5</v>
      </c>
      <c r="C441">
        <f>Feuille1!B450</f>
        <v>9312.6876423559188</v>
      </c>
      <c r="D441">
        <f>Feuille1!C450</f>
        <v>12350.919338659134</v>
      </c>
    </row>
    <row r="442" spans="2:4" x14ac:dyDescent="0.3">
      <c r="B442">
        <f>Feuille1!A451</f>
        <v>71</v>
      </c>
      <c r="C442">
        <f>Feuille1!B451</f>
        <v>10311.844368613252</v>
      </c>
      <c r="D442">
        <f>Feuille1!C451</f>
        <v>16263.69273043608</v>
      </c>
    </row>
    <row r="443" spans="2:4" x14ac:dyDescent="0.3">
      <c r="B443">
        <f>Feuille1!A452</f>
        <v>71.5</v>
      </c>
      <c r="C443">
        <f>Feuille1!B452</f>
        <v>12874.16781988291</v>
      </c>
      <c r="D443">
        <f>Feuille1!C452</f>
        <v>20871.340350299368</v>
      </c>
    </row>
    <row r="444" spans="2:4" x14ac:dyDescent="0.3">
      <c r="B444">
        <f>Feuille1!A453</f>
        <v>72</v>
      </c>
      <c r="C444">
        <f>Feuille1!B453</f>
        <v>17833.053778508813</v>
      </c>
      <c r="D444">
        <f>Feuille1!C453</f>
        <v>25005.61946718637</v>
      </c>
    </row>
    <row r="445" spans="2:4" x14ac:dyDescent="0.3">
      <c r="B445">
        <f>Feuille1!A454</f>
        <v>72.5</v>
      </c>
      <c r="C445">
        <f>Feuille1!B454</f>
        <v>23670.810591593032</v>
      </c>
      <c r="D445">
        <f>Feuille1!C454</f>
        <v>26231.420405257715</v>
      </c>
    </row>
    <row r="446" spans="2:4" x14ac:dyDescent="0.3">
      <c r="B446">
        <f>Feuille1!A455</f>
        <v>73</v>
      </c>
      <c r="C446">
        <f>Feuille1!B455</f>
        <v>27819.157300799601</v>
      </c>
      <c r="D446">
        <f>Feuille1!C455</f>
        <v>24906.55253447955</v>
      </c>
    </row>
    <row r="447" spans="2:4" x14ac:dyDescent="0.3">
      <c r="B447">
        <f>Feuille1!A456</f>
        <v>73.5</v>
      </c>
      <c r="C447">
        <f>Feuille1!B456</f>
        <v>29686.292086743881</v>
      </c>
      <c r="D447">
        <f>Feuille1!C456</f>
        <v>22192.985442964819</v>
      </c>
    </row>
    <row r="448" spans="2:4" x14ac:dyDescent="0.3">
      <c r="B448">
        <f>Feuille1!A457</f>
        <v>74</v>
      </c>
      <c r="C448">
        <f>Feuille1!B457</f>
        <v>29110.611748641179</v>
      </c>
      <c r="D448">
        <f>Feuille1!C457</f>
        <v>18886.322819227564</v>
      </c>
    </row>
    <row r="449" spans="2:4" x14ac:dyDescent="0.3">
      <c r="B449">
        <f>Feuille1!A458</f>
        <v>74.5</v>
      </c>
      <c r="C449">
        <f>Feuille1!B458</f>
        <v>25884.212746660367</v>
      </c>
      <c r="D449">
        <f>Feuille1!C458</f>
        <v>15789.215976375919</v>
      </c>
    </row>
    <row r="450" spans="2:4" x14ac:dyDescent="0.3">
      <c r="B450">
        <f>Feuille1!A459</f>
        <v>75</v>
      </c>
      <c r="C450">
        <f>Feuille1!B459</f>
        <v>20098.301068752688</v>
      </c>
      <c r="D450">
        <f>Feuille1!C459</f>
        <v>14249.688485230194</v>
      </c>
    </row>
    <row r="451" spans="2:4" x14ac:dyDescent="0.3">
      <c r="B451">
        <f>Feuille1!A460</f>
        <v>75.5</v>
      </c>
      <c r="C451">
        <f>Feuille1!B460</f>
        <v>13943.706992002939</v>
      </c>
      <c r="D451">
        <f>Feuille1!C460</f>
        <v>15630.261554302102</v>
      </c>
    </row>
    <row r="452" spans="2:4" x14ac:dyDescent="0.3">
      <c r="B452">
        <f>Feuille1!A461</f>
        <v>76</v>
      </c>
      <c r="C452">
        <f>Feuille1!B461</f>
        <v>9645.5586197952816</v>
      </c>
      <c r="D452">
        <f>Feuille1!C461</f>
        <v>18546.313090112413</v>
      </c>
    </row>
    <row r="453" spans="2:4" x14ac:dyDescent="0.3">
      <c r="B453">
        <f>Feuille1!A462</f>
        <v>76.5</v>
      </c>
      <c r="C453">
        <f>Feuille1!B462</f>
        <v>7001.1578534580631</v>
      </c>
      <c r="D453">
        <f>Feuille1!C462</f>
        <v>21651.595999242421</v>
      </c>
    </row>
    <row r="454" spans="2:4" x14ac:dyDescent="0.3">
      <c r="B454">
        <f>Feuille1!A463</f>
        <v>77</v>
      </c>
      <c r="C454">
        <f>Feuille1!B463</f>
        <v>5459.5463531100722</v>
      </c>
      <c r="D454">
        <f>Feuille1!C463</f>
        <v>24386.176759647107</v>
      </c>
    </row>
    <row r="455" spans="2:4" x14ac:dyDescent="0.3">
      <c r="B455">
        <f>Feuille1!A464</f>
        <v>77.5</v>
      </c>
      <c r="C455">
        <f>Feuille1!B464</f>
        <v>4641.3771721980665</v>
      </c>
      <c r="D455">
        <f>Feuille1!C464</f>
        <v>26505.563442380513</v>
      </c>
    </row>
    <row r="456" spans="2:4" x14ac:dyDescent="0.3">
      <c r="B456">
        <f>Feuille1!A465</f>
        <v>78</v>
      </c>
      <c r="C456">
        <f>Feuille1!B465</f>
        <v>4334.6259260893275</v>
      </c>
      <c r="D456">
        <f>Feuille1!C465</f>
        <v>27891.589290180422</v>
      </c>
    </row>
    <row r="457" spans="2:4" x14ac:dyDescent="0.3">
      <c r="B457">
        <f>Feuille1!A466</f>
        <v>78.5</v>
      </c>
      <c r="C457">
        <f>Feuille1!B466</f>
        <v>4441.5740385763638</v>
      </c>
      <c r="D457">
        <f>Feuille1!C466</f>
        <v>28485.552288399642</v>
      </c>
    </row>
    <row r="458" spans="2:4" x14ac:dyDescent="0.3">
      <c r="B458">
        <f>Feuille1!A467</f>
        <v>79</v>
      </c>
      <c r="C458">
        <f>Feuille1!B467</f>
        <v>4945.1879929097777</v>
      </c>
      <c r="D458">
        <f>Feuille1!C467</f>
        <v>28257.744205550338</v>
      </c>
    </row>
    <row r="459" spans="2:4" x14ac:dyDescent="0.3">
      <c r="B459">
        <f>Feuille1!A468</f>
        <v>79.5</v>
      </c>
      <c r="C459">
        <f>Feuille1!B468</f>
        <v>5903.3337000855199</v>
      </c>
      <c r="D459">
        <f>Feuille1!C468</f>
        <v>27192.299507569674</v>
      </c>
    </row>
    <row r="460" spans="2:4" x14ac:dyDescent="0.3">
      <c r="B460">
        <f>Feuille1!A469</f>
        <v>80</v>
      </c>
      <c r="C460">
        <f>Feuille1!B469</f>
        <v>7475.8623781902443</v>
      </c>
      <c r="D460">
        <f>Feuille1!C469</f>
        <v>25282.235217215592</v>
      </c>
    </row>
    <row r="461" spans="2:4" x14ac:dyDescent="0.3">
      <c r="B461">
        <f>Feuille1!A470</f>
        <v>80.5</v>
      </c>
      <c r="C461">
        <f>Feuille1!B470</f>
        <v>10004.695592062661</v>
      </c>
      <c r="D461">
        <f>Feuille1!C470</f>
        <v>22540.7759367328</v>
      </c>
    </row>
    <row r="462" spans="2:4" x14ac:dyDescent="0.3">
      <c r="B462">
        <f>Feuille1!A471</f>
        <v>81</v>
      </c>
      <c r="C462">
        <f>Feuille1!B471</f>
        <v>14188.67860775848</v>
      </c>
      <c r="D462">
        <f>Feuille1!C471</f>
        <v>19102.372581323874</v>
      </c>
    </row>
    <row r="463" spans="2:4" x14ac:dyDescent="0.3">
      <c r="B463">
        <f>Feuille1!A472</f>
        <v>81.5</v>
      </c>
      <c r="C463">
        <f>Feuille1!B472</f>
        <v>20943.03300946132</v>
      </c>
      <c r="D463">
        <f>Feuille1!C472</f>
        <v>16008.146540989768</v>
      </c>
    </row>
    <row r="464" spans="2:4" x14ac:dyDescent="0.3">
      <c r="B464">
        <f>Feuille1!A473</f>
        <v>82</v>
      </c>
      <c r="C464">
        <f>Feuille1!B473</f>
        <v>26723.430568363401</v>
      </c>
      <c r="D464">
        <f>Feuille1!C473</f>
        <v>15644.02518425858</v>
      </c>
    </row>
    <row r="465" spans="2:4" x14ac:dyDescent="0.3">
      <c r="B465">
        <f>Feuille1!A474</f>
        <v>82.5</v>
      </c>
      <c r="C465">
        <f>Feuille1!B474</f>
        <v>29999.801773779735</v>
      </c>
      <c r="D465">
        <f>Feuille1!C474</f>
        <v>16651.558990831061</v>
      </c>
    </row>
    <row r="466" spans="2:4" x14ac:dyDescent="0.3">
      <c r="B466">
        <f>Feuille1!A475</f>
        <v>83</v>
      </c>
      <c r="C466">
        <f>Feuille1!B475</f>
        <v>31005.411447434439</v>
      </c>
      <c r="D466">
        <f>Feuille1!C475</f>
        <v>18261.161750426094</v>
      </c>
    </row>
    <row r="467" spans="2:4" x14ac:dyDescent="0.3">
      <c r="B467">
        <f>Feuille1!A476</f>
        <v>83.5</v>
      </c>
      <c r="C467">
        <f>Feuille1!B476</f>
        <v>29781.448588206491</v>
      </c>
      <c r="D467">
        <f>Feuille1!C476</f>
        <v>20106.647387771565</v>
      </c>
    </row>
    <row r="468" spans="2:4" x14ac:dyDescent="0.3">
      <c r="B468">
        <f>Feuille1!A477</f>
        <v>84</v>
      </c>
      <c r="C468">
        <f>Feuille1!B477</f>
        <v>26023.315265080037</v>
      </c>
      <c r="D468">
        <f>Feuille1!C477</f>
        <v>21840.348727798755</v>
      </c>
    </row>
    <row r="469" spans="2:4" x14ac:dyDescent="0.3">
      <c r="B469">
        <f>Feuille1!A478</f>
        <v>84.5</v>
      </c>
      <c r="C469">
        <f>Feuille1!B478</f>
        <v>19182.925527881725</v>
      </c>
      <c r="D469">
        <f>Feuille1!C478</f>
        <v>22609.900564436597</v>
      </c>
    </row>
    <row r="470" spans="2:4" x14ac:dyDescent="0.3">
      <c r="B470">
        <f>Feuille1!A479</f>
        <v>85</v>
      </c>
      <c r="C470">
        <f>Feuille1!B479</f>
        <v>12738.293762376283</v>
      </c>
      <c r="D470">
        <f>Feuille1!C479</f>
        <v>20992.915014250415</v>
      </c>
    </row>
    <row r="471" spans="2:4" x14ac:dyDescent="0.3">
      <c r="B471">
        <f>Feuille1!A480</f>
        <v>85.5</v>
      </c>
      <c r="C471">
        <f>Feuille1!B480</f>
        <v>8656.6199405103198</v>
      </c>
      <c r="D471">
        <f>Feuille1!C480</f>
        <v>18864.82759904577</v>
      </c>
    </row>
    <row r="472" spans="2:4" x14ac:dyDescent="0.3">
      <c r="B472">
        <f>Feuille1!A481</f>
        <v>86</v>
      </c>
      <c r="C472">
        <f>Feuille1!B481</f>
        <v>6026.8968411048972</v>
      </c>
      <c r="D472">
        <f>Feuille1!C481</f>
        <v>16818.379452584089</v>
      </c>
    </row>
    <row r="473" spans="2:4" x14ac:dyDescent="0.3">
      <c r="B473">
        <f>Feuille1!A482</f>
        <v>86.5</v>
      </c>
      <c r="C473">
        <f>Feuille1!B482</f>
        <v>4257.3218497050821</v>
      </c>
      <c r="D473">
        <f>Feuille1!C482</f>
        <v>15023.950824746735</v>
      </c>
    </row>
    <row r="474" spans="2:4" x14ac:dyDescent="0.3">
      <c r="B474">
        <f>Feuille1!A483</f>
        <v>87</v>
      </c>
      <c r="C474">
        <f>Feuille1!B483</f>
        <v>3005.2385880822949</v>
      </c>
      <c r="D474">
        <f>Feuille1!C483</f>
        <v>13562.572714347634</v>
      </c>
    </row>
    <row r="475" spans="2:4" x14ac:dyDescent="0.3">
      <c r="B475">
        <f>Feuille1!A484</f>
        <v>87.5</v>
      </c>
      <c r="C475">
        <f>Feuille1!B484</f>
        <v>2065.0998967771329</v>
      </c>
      <c r="D475">
        <f>Feuille1!C484</f>
        <v>12482.777566610852</v>
      </c>
    </row>
    <row r="476" spans="2:4" x14ac:dyDescent="0.3">
      <c r="B476">
        <f>Feuille1!A485</f>
        <v>88</v>
      </c>
      <c r="C476">
        <f>Feuille1!B485</f>
        <v>1308.9398003137969</v>
      </c>
      <c r="D476">
        <f>Feuille1!C485</f>
        <v>11813.059893823392</v>
      </c>
    </row>
    <row r="477" spans="2:4" x14ac:dyDescent="0.3">
      <c r="B477">
        <f>Feuille1!A486</f>
        <v>88.5</v>
      </c>
      <c r="C477">
        <f>Feuille1!B486</f>
        <v>652.33710706577915</v>
      </c>
      <c r="D477">
        <f>Feuille1!C486</f>
        <v>11567.039420485933</v>
      </c>
    </row>
    <row r="478" spans="2:4" x14ac:dyDescent="0.3">
      <c r="B478">
        <f>Feuille1!A487</f>
        <v>89</v>
      </c>
      <c r="C478">
        <f>Feuille1!B487</f>
        <v>33.152088063462763</v>
      </c>
      <c r="D478">
        <f>Feuille1!C487</f>
        <v>11746.452278451388</v>
      </c>
    </row>
    <row r="479" spans="2:4" x14ac:dyDescent="0.3">
      <c r="B479">
        <f>Feuille1!A488</f>
        <v>89.5</v>
      </c>
      <c r="C479">
        <f>Feuille1!B488</f>
        <v>-603.49270320228027</v>
      </c>
      <c r="D479">
        <f>Feuille1!C488</f>
        <v>12341.846958884209</v>
      </c>
    </row>
    <row r="480" spans="2:4" x14ac:dyDescent="0.3">
      <c r="B480">
        <f>Feuille1!A489</f>
        <v>90</v>
      </c>
      <c r="C480">
        <f>Feuille1!B489</f>
        <v>-1318.2930067207108</v>
      </c>
      <c r="D480">
        <f>Feuille1!C489</f>
        <v>13330.608335192657</v>
      </c>
    </row>
    <row r="481" spans="2:4" x14ac:dyDescent="0.3">
      <c r="B481">
        <f>Feuille1!A490</f>
        <v>90.5</v>
      </c>
      <c r="C481">
        <f>Feuille1!B490</f>
        <v>-2192.2972338791997</v>
      </c>
      <c r="D481">
        <f>Feuille1!C490</f>
        <v>14672.567893227535</v>
      </c>
    </row>
    <row r="482" spans="2:4" x14ac:dyDescent="0.3">
      <c r="B482">
        <f>Feuille1!A491</f>
        <v>91</v>
      </c>
      <c r="C482">
        <f>Feuille1!B491</f>
        <v>-3345.8983886602828</v>
      </c>
      <c r="D482">
        <f>Feuille1!C491</f>
        <v>16304.273295159743</v>
      </c>
    </row>
    <row r="483" spans="2:4" x14ac:dyDescent="0.3">
      <c r="B483">
        <f>Feuille1!A492</f>
        <v>91.5</v>
      </c>
      <c r="C483">
        <f>Feuille1!B492</f>
        <v>-4965.3189467448365</v>
      </c>
      <c r="D483">
        <f>Feuille1!C492</f>
        <v>18132.991264155313</v>
      </c>
    </row>
    <row r="484" spans="2:4" x14ac:dyDescent="0.3">
      <c r="B484">
        <f>Feuille1!A493</f>
        <v>92</v>
      </c>
      <c r="C484">
        <f>Feuille1!B493</f>
        <v>-7341.8225297154459</v>
      </c>
      <c r="D484">
        <f>Feuille1!C493</f>
        <v>20026.725146607489</v>
      </c>
    </row>
    <row r="485" spans="2:4" x14ac:dyDescent="0.3">
      <c r="B485">
        <f>Feuille1!A494</f>
        <v>92.5</v>
      </c>
      <c r="C485">
        <f>Feuille1!B494</f>
        <v>-10938.001021840864</v>
      </c>
      <c r="D485">
        <f>Feuille1!C494</f>
        <v>21774.681796034387</v>
      </c>
    </row>
    <row r="486" spans="2:4" x14ac:dyDescent="0.3">
      <c r="B486">
        <f>Feuille1!A495</f>
        <v>93</v>
      </c>
      <c r="C486">
        <f>Feuille1!B495</f>
        <v>-16476.737694658994</v>
      </c>
      <c r="D486">
        <f>Feuille1!C495</f>
        <v>22901.32375349852</v>
      </c>
    </row>
    <row r="487" spans="2:4" x14ac:dyDescent="0.3">
      <c r="B487">
        <f>Feuille1!A496</f>
        <v>93.5</v>
      </c>
      <c r="C487">
        <f>Feuille1!B496</f>
        <v>-23982.23199152077</v>
      </c>
      <c r="D487">
        <f>Feuille1!C496</f>
        <v>21987.917347493247</v>
      </c>
    </row>
    <row r="488" spans="2:4" x14ac:dyDescent="0.3">
      <c r="B488">
        <f>Feuille1!A497</f>
        <v>94</v>
      </c>
      <c r="C488">
        <f>Feuille1!B497</f>
        <v>-28579.60892967469</v>
      </c>
      <c r="D488">
        <f>Feuille1!C497</f>
        <v>19627.179705230956</v>
      </c>
    </row>
    <row r="489" spans="2:4" x14ac:dyDescent="0.3">
      <c r="B489">
        <f>Feuille1!A498</f>
        <v>94.5</v>
      </c>
      <c r="C489">
        <f>Feuille1!B498</f>
        <v>-30390.76060530814</v>
      </c>
      <c r="D489">
        <f>Feuille1!C498</f>
        <v>17267.053320007635</v>
      </c>
    </row>
    <row r="490" spans="2:4" x14ac:dyDescent="0.3">
      <c r="B490">
        <f>Feuille1!A499</f>
        <v>95</v>
      </c>
      <c r="C490">
        <f>Feuille1!B499</f>
        <v>-29937.9231296418</v>
      </c>
      <c r="D490">
        <f>Feuille1!C499</f>
        <v>15337.918788255436</v>
      </c>
    </row>
    <row r="491" spans="2:4" x14ac:dyDescent="0.3">
      <c r="B491">
        <f>Feuille1!A500</f>
        <v>95.5</v>
      </c>
      <c r="C491">
        <f>Feuille1!B500</f>
        <v>-27386.969597264095</v>
      </c>
      <c r="D491">
        <f>Feuille1!C500</f>
        <v>14178.9376447705</v>
      </c>
    </row>
    <row r="492" spans="2:4" x14ac:dyDescent="0.3">
      <c r="B492">
        <f>Feuille1!A501</f>
        <v>96</v>
      </c>
      <c r="C492">
        <f>Feuille1!B501</f>
        <v>-22714.783221683363</v>
      </c>
      <c r="D492">
        <f>Feuille1!C501</f>
        <v>14386.326928246188</v>
      </c>
    </row>
    <row r="493" spans="2:4" x14ac:dyDescent="0.3">
      <c r="B493">
        <f>Feuille1!A502</f>
        <v>96.5</v>
      </c>
      <c r="C493">
        <f>Feuille1!B502</f>
        <v>-16471.820207808592</v>
      </c>
      <c r="D493">
        <f>Feuille1!C502</f>
        <v>17149.587830691791</v>
      </c>
    </row>
    <row r="494" spans="2:4" x14ac:dyDescent="0.3">
      <c r="B494">
        <f>Feuille1!A503</f>
        <v>97</v>
      </c>
      <c r="C494">
        <f>Feuille1!B503</f>
        <v>-12202.00875497571</v>
      </c>
      <c r="D494">
        <f>Feuille1!C503</f>
        <v>21660.251615675326</v>
      </c>
    </row>
    <row r="495" spans="2:4" x14ac:dyDescent="0.3">
      <c r="B495">
        <f>Feuille1!A504</f>
        <v>97.5</v>
      </c>
      <c r="C495">
        <f>Feuille1!B504</f>
        <v>-10150.260945104166</v>
      </c>
      <c r="D495">
        <f>Feuille1!C504</f>
        <v>25460.491588856876</v>
      </c>
    </row>
    <row r="496" spans="2:4" x14ac:dyDescent="0.3">
      <c r="B496">
        <f>Feuille1!A505</f>
        <v>98</v>
      </c>
      <c r="C496">
        <f>Feuille1!B505</f>
        <v>-9420.7812739992078</v>
      </c>
      <c r="D496">
        <f>Feuille1!C505</f>
        <v>28093.223057639087</v>
      </c>
    </row>
    <row r="497" spans="2:4" x14ac:dyDescent="0.3">
      <c r="B497">
        <f>Feuille1!A506</f>
        <v>98.5</v>
      </c>
      <c r="C497">
        <f>Feuille1!B506</f>
        <v>-9573.2458206836473</v>
      </c>
      <c r="D497">
        <f>Feuille1!C506</f>
        <v>29501.83176479856</v>
      </c>
    </row>
    <row r="498" spans="2:4" x14ac:dyDescent="0.3">
      <c r="B498">
        <f>Feuille1!A507</f>
        <v>99</v>
      </c>
      <c r="C498">
        <f>Feuille1!B507</f>
        <v>-10447.535521001257</v>
      </c>
      <c r="D498">
        <f>Feuille1!C507</f>
        <v>29649.134384040062</v>
      </c>
    </row>
    <row r="499" spans="2:4" x14ac:dyDescent="0.3">
      <c r="B499">
        <f>Feuille1!A508</f>
        <v>99.5</v>
      </c>
      <c r="C499">
        <f>Feuille1!B508</f>
        <v>-12063.055100212376</v>
      </c>
      <c r="D499">
        <f>Feuille1!C508</f>
        <v>28431.002534078954</v>
      </c>
    </row>
    <row r="500" spans="2:4" x14ac:dyDescent="0.3">
      <c r="B500">
        <f>Feuille1!A509</f>
        <v>100</v>
      </c>
      <c r="C500">
        <f>Feuille1!B509</f>
        <v>-14641.538597051735</v>
      </c>
      <c r="D500">
        <f>Feuille1!C509</f>
        <v>25593.891513638304</v>
      </c>
    </row>
    <row r="501" spans="2:4" x14ac:dyDescent="0.3">
      <c r="B501">
        <f>Feuille1!A510</f>
        <v>100.5</v>
      </c>
      <c r="C501">
        <f>Feuille1!B510</f>
        <v>-18759.326935185538</v>
      </c>
      <c r="D501">
        <f>Feuille1!C510</f>
        <v>20618.383374095501</v>
      </c>
    </row>
    <row r="502" spans="2:4" x14ac:dyDescent="0.3">
      <c r="B502">
        <f>Feuille1!A511</f>
        <v>101</v>
      </c>
      <c r="C502">
        <f>Feuille1!B511</f>
        <v>-23802.797105838792</v>
      </c>
      <c r="D502">
        <f>Feuille1!C511</f>
        <v>14895.33522373391</v>
      </c>
    </row>
    <row r="503" spans="2:4" x14ac:dyDescent="0.3">
      <c r="B503">
        <f>Feuille1!A512</f>
        <v>101.5</v>
      </c>
      <c r="C503">
        <f>Feuille1!B512</f>
        <v>-26811.995599810762</v>
      </c>
      <c r="D503">
        <f>Feuille1!C512</f>
        <v>11425.345922099228</v>
      </c>
    </row>
    <row r="504" spans="2:4" x14ac:dyDescent="0.3">
      <c r="B504">
        <f>Feuille1!A513</f>
        <v>102</v>
      </c>
      <c r="C504">
        <f>Feuille1!B513</f>
        <v>-28280.144869610751</v>
      </c>
      <c r="D504">
        <f>Feuille1!C513</f>
        <v>9461.9545580570611</v>
      </c>
    </row>
    <row r="505" spans="2:4" x14ac:dyDescent="0.3">
      <c r="B505">
        <f>Feuille1!A514</f>
        <v>102.5</v>
      </c>
      <c r="C505">
        <f>Feuille1!B514</f>
        <v>-28488.904040194735</v>
      </c>
      <c r="D505">
        <f>Feuille1!C514</f>
        <v>8670.7773663387761</v>
      </c>
    </row>
    <row r="506" spans="2:4" x14ac:dyDescent="0.3">
      <c r="B506">
        <f>Feuille1!A515</f>
        <v>103</v>
      </c>
      <c r="C506">
        <f>Feuille1!B515</f>
        <v>-27535.581512558383</v>
      </c>
      <c r="D506">
        <f>Feuille1!C515</f>
        <v>8983.0581125634435</v>
      </c>
    </row>
    <row r="507" spans="2:4" x14ac:dyDescent="0.3">
      <c r="B507">
        <f>Feuille1!A516</f>
        <v>103.5</v>
      </c>
      <c r="C507">
        <f>Feuille1!B516</f>
        <v>-25400.390401647612</v>
      </c>
      <c r="D507">
        <f>Feuille1!C516</f>
        <v>10536.382850274931</v>
      </c>
    </row>
    <row r="508" spans="2:4" x14ac:dyDescent="0.3">
      <c r="B508">
        <f>Feuille1!A517</f>
        <v>104</v>
      </c>
      <c r="C508">
        <f>Feuille1!B517</f>
        <v>-21970.789402680115</v>
      </c>
      <c r="D508">
        <f>Feuille1!C517</f>
        <v>13779.810208611592</v>
      </c>
    </row>
    <row r="509" spans="2:4" x14ac:dyDescent="0.3">
      <c r="B509">
        <f>Feuille1!A518</f>
        <v>104.5</v>
      </c>
      <c r="C509">
        <f>Feuille1!B518</f>
        <v>-17370.395476289981</v>
      </c>
      <c r="D509">
        <f>Feuille1!C518</f>
        <v>19703.148910105952</v>
      </c>
    </row>
    <row r="510" spans="2:4" x14ac:dyDescent="0.3">
      <c r="B510">
        <f>Feuille1!A519</f>
        <v>105</v>
      </c>
      <c r="C510">
        <f>Feuille1!B519</f>
        <v>-14751.021110945601</v>
      </c>
      <c r="D510">
        <f>Feuille1!C519</f>
        <v>25756.150427533808</v>
      </c>
    </row>
    <row r="511" spans="2:4" x14ac:dyDescent="0.3">
      <c r="B511">
        <f>Feuille1!A520</f>
        <v>105.5</v>
      </c>
      <c r="C511">
        <f>Feuille1!B520</f>
        <v>-13618.767565649607</v>
      </c>
      <c r="D511">
        <f>Feuille1!C520</f>
        <v>29630.956658949875</v>
      </c>
    </row>
    <row r="512" spans="2:4" x14ac:dyDescent="0.3">
      <c r="B512">
        <f>Feuille1!A521</f>
        <v>106</v>
      </c>
      <c r="C512">
        <f>Feuille1!B521</f>
        <v>-13227.197517621586</v>
      </c>
      <c r="D512">
        <f>Feuille1!C521</f>
        <v>31683.62964215469</v>
      </c>
    </row>
    <row r="513" spans="2:4" x14ac:dyDescent="0.3">
      <c r="B513">
        <f>Feuille1!A522</f>
        <v>106.5</v>
      </c>
      <c r="C513">
        <f>Feuille1!B522</f>
        <v>-13321.234244725223</v>
      </c>
      <c r="D513">
        <f>Feuille1!C522</f>
        <v>32130.177473830467</v>
      </c>
    </row>
    <row r="514" spans="2:4" x14ac:dyDescent="0.3">
      <c r="B514">
        <f>Feuille1!A523</f>
        <v>107</v>
      </c>
      <c r="C514">
        <f>Feuille1!B523</f>
        <v>-13849.95114125802</v>
      </c>
      <c r="D514">
        <f>Feuille1!C523</f>
        <v>30997.924981368094</v>
      </c>
    </row>
    <row r="515" spans="2:4" x14ac:dyDescent="0.3">
      <c r="B515">
        <f>Feuille1!A524</f>
        <v>107.5</v>
      </c>
      <c r="C515">
        <f>Feuille1!B524</f>
        <v>-14916.606527031117</v>
      </c>
      <c r="D515">
        <f>Feuille1!C524</f>
        <v>28126.878086949357</v>
      </c>
    </row>
    <row r="516" spans="2:4" x14ac:dyDescent="0.3">
      <c r="B516">
        <f>Feuille1!A525</f>
        <v>108</v>
      </c>
      <c r="C516">
        <f>Feuille1!B525</f>
        <v>-16898.42954399973</v>
      </c>
      <c r="D516">
        <f>Feuille1!C525</f>
        <v>23086.727722919946</v>
      </c>
    </row>
    <row r="517" spans="2:4" x14ac:dyDescent="0.3">
      <c r="B517">
        <f>Feuille1!A526</f>
        <v>108.5</v>
      </c>
      <c r="C517">
        <f>Feuille1!B526</f>
        <v>-20646.25711298193</v>
      </c>
      <c r="D517">
        <f>Feuille1!C526</f>
        <v>15818.149060902906</v>
      </c>
    </row>
    <row r="518" spans="2:4" x14ac:dyDescent="0.3">
      <c r="B518">
        <f>Feuille1!A527</f>
        <v>109</v>
      </c>
      <c r="C518">
        <f>Feuille1!B527</f>
        <v>-23651.893022181146</v>
      </c>
      <c r="D518">
        <f>Feuille1!C527</f>
        <v>11323.461459431192</v>
      </c>
    </row>
    <row r="519" spans="2:4" x14ac:dyDescent="0.3">
      <c r="B519">
        <f>Feuille1!A528</f>
        <v>109.5</v>
      </c>
      <c r="C519">
        <f>Feuille1!B528</f>
        <v>-25458.506515216486</v>
      </c>
      <c r="D519">
        <f>Feuille1!C528</f>
        <v>8909.891135709433</v>
      </c>
    </row>
    <row r="520" spans="2:4" x14ac:dyDescent="0.3">
      <c r="B520">
        <f>Feuille1!A529</f>
        <v>110</v>
      </c>
      <c r="C520">
        <f>Feuille1!B529</f>
        <v>-26201.763368364562</v>
      </c>
      <c r="D520">
        <f>Feuille1!C529</f>
        <v>7998.7926302873129</v>
      </c>
    </row>
    <row r="521" spans="2:4" x14ac:dyDescent="0.3">
      <c r="B521">
        <f>Feuille1!A530</f>
        <v>110.5</v>
      </c>
      <c r="C521">
        <f>Feuille1!B530</f>
        <v>-25939.387494786381</v>
      </c>
      <c r="D521">
        <f>Feuille1!C530</f>
        <v>8405.7317557699662</v>
      </c>
    </row>
    <row r="522" spans="2:4" x14ac:dyDescent="0.3">
      <c r="B522">
        <f>Feuille1!A531</f>
        <v>111</v>
      </c>
      <c r="C522">
        <f>Feuille1!B531</f>
        <v>-24640.8655540238</v>
      </c>
      <c r="D522">
        <f>Feuille1!C531</f>
        <v>10201.880764716672</v>
      </c>
    </row>
    <row r="523" spans="2:4" x14ac:dyDescent="0.3">
      <c r="B523">
        <f>Feuille1!A532</f>
        <v>111.5</v>
      </c>
      <c r="C523">
        <f>Feuille1!B532</f>
        <v>-22178.902040796169</v>
      </c>
      <c r="D523">
        <f>Feuille1!C532</f>
        <v>13769.778536863609</v>
      </c>
    </row>
    <row r="524" spans="2:4" x14ac:dyDescent="0.3">
      <c r="B524">
        <f>Feuille1!A533</f>
        <v>112</v>
      </c>
      <c r="C524">
        <f>Feuille1!B533</f>
        <v>-18468.743141551487</v>
      </c>
      <c r="D524">
        <f>Feuille1!C533</f>
        <v>19980.69455307024</v>
      </c>
    </row>
    <row r="525" spans="2:4" x14ac:dyDescent="0.3">
      <c r="B525">
        <f>Feuille1!A534</f>
        <v>112.5</v>
      </c>
      <c r="C525">
        <f>Feuille1!B534</f>
        <v>-15952.568029899092</v>
      </c>
      <c r="D525">
        <f>Feuille1!C534</f>
        <v>26080.303737260914</v>
      </c>
    </row>
    <row r="526" spans="2:4" x14ac:dyDescent="0.3">
      <c r="B526">
        <f>Feuille1!A535</f>
        <v>113</v>
      </c>
      <c r="C526">
        <f>Feuille1!B535</f>
        <v>-14667.046298277588</v>
      </c>
      <c r="D526">
        <f>Feuille1!C535</f>
        <v>29676.294920524022</v>
      </c>
    </row>
    <row r="527" spans="2:4" x14ac:dyDescent="0.3">
      <c r="B527">
        <f>Feuille1!A536</f>
        <v>113.5</v>
      </c>
      <c r="C527">
        <f>Feuille1!B536</f>
        <v>-14047.771148938786</v>
      </c>
      <c r="D527">
        <f>Feuille1!C536</f>
        <v>31290.857111030571</v>
      </c>
    </row>
    <row r="528" spans="2:4" x14ac:dyDescent="0.3">
      <c r="B528">
        <f>Feuille1!A537</f>
        <v>114</v>
      </c>
      <c r="C528">
        <f>Feuille1!B537</f>
        <v>-13920.248741902064</v>
      </c>
      <c r="D528">
        <f>Feuille1!C537</f>
        <v>31170.683673420386</v>
      </c>
    </row>
    <row r="529" spans="2:4" x14ac:dyDescent="0.3">
      <c r="B529">
        <f>Feuille1!A538</f>
        <v>114.5</v>
      </c>
      <c r="C529">
        <f>Feuille1!B538</f>
        <v>-14305.831837025695</v>
      </c>
      <c r="D529">
        <f>Feuille1!C538</f>
        <v>29319.315271871848</v>
      </c>
    </row>
    <row r="530" spans="2:4" x14ac:dyDescent="0.3">
      <c r="B530">
        <f>Feuille1!A539</f>
        <v>115</v>
      </c>
      <c r="C530">
        <f>Feuille1!B539</f>
        <v>-15442.489188631693</v>
      </c>
      <c r="D530">
        <f>Feuille1!C539</f>
        <v>25510.113877001626</v>
      </c>
    </row>
    <row r="531" spans="2:4" x14ac:dyDescent="0.3">
      <c r="B531">
        <f>Feuille1!A540</f>
        <v>115.5</v>
      </c>
      <c r="C531">
        <f>Feuille1!B540</f>
        <v>-18050.865646794202</v>
      </c>
      <c r="D531">
        <f>Feuille1!C540</f>
        <v>19350.882844835975</v>
      </c>
    </row>
    <row r="532" spans="2:4" x14ac:dyDescent="0.3">
      <c r="B532">
        <f>Feuille1!A541</f>
        <v>116</v>
      </c>
      <c r="C532">
        <f>Feuille1!B541</f>
        <v>-22170.260436604374</v>
      </c>
      <c r="D532">
        <f>Feuille1!C541</f>
        <v>13672.550229686642</v>
      </c>
    </row>
    <row r="533" spans="2:4" x14ac:dyDescent="0.3">
      <c r="B533">
        <f>Feuille1!A542</f>
        <v>116.5</v>
      </c>
      <c r="C533">
        <f>Feuille1!B542</f>
        <v>-25062.014651825608</v>
      </c>
      <c r="D533">
        <f>Feuille1!C542</f>
        <v>10631.191017634281</v>
      </c>
    </row>
    <row r="534" spans="2:4" x14ac:dyDescent="0.3">
      <c r="B534">
        <f>Feuille1!A543</f>
        <v>117</v>
      </c>
      <c r="C534">
        <f>Feuille1!B543</f>
        <v>-26676.186851490129</v>
      </c>
      <c r="D534">
        <f>Feuille1!C543</f>
        <v>9346.4006196608534</v>
      </c>
    </row>
    <row r="535" spans="2:4" x14ac:dyDescent="0.3">
      <c r="B535">
        <f>Feuille1!A544</f>
        <v>117.5</v>
      </c>
      <c r="C535">
        <f>Feuille1!B544</f>
        <v>-27092.181326140937</v>
      </c>
      <c r="D535">
        <f>Feuille1!C544</f>
        <v>9445.6200188841249</v>
      </c>
    </row>
    <row r="536" spans="2:4" x14ac:dyDescent="0.3">
      <c r="B536">
        <f>Feuille1!A545</f>
        <v>118</v>
      </c>
      <c r="C536">
        <f>Feuille1!B545</f>
        <v>-26278.615519991348</v>
      </c>
      <c r="D536">
        <f>Feuille1!C545</f>
        <v>10878.819637302957</v>
      </c>
    </row>
    <row r="537" spans="2:4" x14ac:dyDescent="0.3">
      <c r="B537">
        <f>Feuille1!A546</f>
        <v>118.5</v>
      </c>
      <c r="C537">
        <f>Feuille1!B546</f>
        <v>-24047.523458642248</v>
      </c>
      <c r="D537">
        <f>Feuille1!C546</f>
        <v>13881.826837879349</v>
      </c>
    </row>
    <row r="538" spans="2:4" x14ac:dyDescent="0.3">
      <c r="B538">
        <f>Feuille1!A547</f>
        <v>119</v>
      </c>
      <c r="C538">
        <f>Feuille1!B547</f>
        <v>-19999.169353281661</v>
      </c>
      <c r="D538">
        <f>Feuille1!C547</f>
        <v>19110.002546174805</v>
      </c>
    </row>
    <row r="539" spans="2:4" x14ac:dyDescent="0.3">
      <c r="B539">
        <f>Feuille1!A548</f>
        <v>119.5</v>
      </c>
      <c r="C539">
        <f>Feuille1!B548</f>
        <v>-15653.224034500483</v>
      </c>
      <c r="D539">
        <f>Feuille1!C548</f>
        <v>25125.169773544119</v>
      </c>
    </row>
    <row r="540" spans="2:4" x14ac:dyDescent="0.3">
      <c r="B540">
        <f>Feuille1!A549</f>
        <v>120</v>
      </c>
      <c r="C540">
        <f>Feuille1!B549</f>
        <v>-12851.192081497467</v>
      </c>
      <c r="D540">
        <f>Feuille1!C549</f>
        <v>28763.682380144186</v>
      </c>
    </row>
    <row r="541" spans="2:4" x14ac:dyDescent="0.3">
      <c r="B541">
        <f>Feuille1!A550</f>
        <v>120.5</v>
      </c>
      <c r="C541">
        <f>Feuille1!B550</f>
        <v>-10956.240161897278</v>
      </c>
      <c r="D541">
        <f>Feuille1!C550</f>
        <v>30657.14131170035</v>
      </c>
    </row>
    <row r="542" spans="2:4" x14ac:dyDescent="0.3">
      <c r="B542">
        <f>Feuille1!A551</f>
        <v>121</v>
      </c>
      <c r="C542">
        <f>Feuille1!B551</f>
        <v>-9692.3997871922911</v>
      </c>
      <c r="D542">
        <f>Feuille1!C551</f>
        <v>31147.404066749976</v>
      </c>
    </row>
    <row r="543" spans="2:4" x14ac:dyDescent="0.3">
      <c r="B543">
        <f>Feuille1!A552</f>
        <v>121.5</v>
      </c>
      <c r="C543">
        <f>Feuille1!B552</f>
        <v>-8980.3939556251989</v>
      </c>
      <c r="D543">
        <f>Feuille1!C552</f>
        <v>30382.922902781789</v>
      </c>
    </row>
    <row r="544" spans="2:4" x14ac:dyDescent="0.3">
      <c r="B544">
        <f>Feuille1!A553</f>
        <v>122</v>
      </c>
      <c r="C544">
        <f>Feuille1!B553</f>
        <v>-8869.0011364083675</v>
      </c>
      <c r="D544">
        <f>Feuille1!C553</f>
        <v>28422.512208080134</v>
      </c>
    </row>
    <row r="545" spans="2:4" x14ac:dyDescent="0.3">
      <c r="B545">
        <f>Feuille1!A554</f>
        <v>122.5</v>
      </c>
      <c r="C545">
        <f>Feuille1!B554</f>
        <v>-9558.6767443414301</v>
      </c>
      <c r="D545">
        <f>Feuille1!C554</f>
        <v>25294.921968731753</v>
      </c>
    </row>
    <row r="546" spans="2:4" x14ac:dyDescent="0.3">
      <c r="B546">
        <f>Feuille1!A555</f>
        <v>123</v>
      </c>
      <c r="C546">
        <f>Feuille1!B555</f>
        <v>-11515.355923273517</v>
      </c>
      <c r="D546">
        <f>Feuille1!C555</f>
        <v>21100.322760291849</v>
      </c>
    </row>
    <row r="547" spans="2:4" x14ac:dyDescent="0.3">
      <c r="B547">
        <f>Feuille1!A556</f>
        <v>123.5</v>
      </c>
      <c r="C547">
        <f>Feuille1!B556</f>
        <v>-15592.685920605309</v>
      </c>
      <c r="D547">
        <f>Feuille1!C556</f>
        <v>16427.381149612695</v>
      </c>
    </row>
    <row r="548" spans="2:4" x14ac:dyDescent="0.3">
      <c r="B548">
        <f>Feuille1!A557</f>
        <v>124</v>
      </c>
      <c r="C548">
        <f>Feuille1!B557</f>
        <v>-21657.737218467326</v>
      </c>
      <c r="D548">
        <f>Feuille1!C557</f>
        <v>13532.258460961033</v>
      </c>
    </row>
    <row r="549" spans="2:4" x14ac:dyDescent="0.3">
      <c r="B549">
        <f>Feuille1!A558</f>
        <v>124.5</v>
      </c>
      <c r="C549">
        <f>Feuille1!B558</f>
        <v>-26712.245483747836</v>
      </c>
      <c r="D549">
        <f>Feuille1!C558</f>
        <v>13341.938805282796</v>
      </c>
    </row>
    <row r="550" spans="2:4" x14ac:dyDescent="0.3">
      <c r="B550">
        <f>Feuille1!A559</f>
        <v>125</v>
      </c>
      <c r="C550">
        <f>Feuille1!B559</f>
        <v>-29827.683267616485</v>
      </c>
      <c r="D550">
        <f>Feuille1!C559</f>
        <v>14712.950537408824</v>
      </c>
    </row>
    <row r="551" spans="2:4" x14ac:dyDescent="0.3">
      <c r="B551">
        <f>Feuille1!A560</f>
        <v>125.5</v>
      </c>
      <c r="C551">
        <f>Feuille1!B560</f>
        <v>-30925.507161689889</v>
      </c>
      <c r="D551">
        <f>Feuille1!C560</f>
        <v>16938.23997530447</v>
      </c>
    </row>
    <row r="552" spans="2:4" x14ac:dyDescent="0.3">
      <c r="B552">
        <f>Feuille1!A561</f>
        <v>126</v>
      </c>
      <c r="C552">
        <f>Feuille1!B561</f>
        <v>-29883.781499212706</v>
      </c>
      <c r="D552">
        <f>Feuille1!C561</f>
        <v>19596.565844578447</v>
      </c>
    </row>
    <row r="553" spans="2:4" x14ac:dyDescent="0.3">
      <c r="B553">
        <f>Feuille1!A562</f>
        <v>126.5</v>
      </c>
      <c r="C553">
        <f>Feuille1!B562</f>
        <v>-26338.095045812617</v>
      </c>
      <c r="D553">
        <f>Feuille1!C562</f>
        <v>22240.349091039938</v>
      </c>
    </row>
    <row r="554" spans="2:4" x14ac:dyDescent="0.3">
      <c r="B554">
        <f>Feuille1!A563</f>
        <v>127</v>
      </c>
      <c r="C554">
        <f>Feuille1!B563</f>
        <v>-19814.079833611133</v>
      </c>
      <c r="D554">
        <f>Feuille1!C563</f>
        <v>23797.382472349513</v>
      </c>
    </row>
    <row r="555" spans="2:4" x14ac:dyDescent="0.3">
      <c r="B555">
        <f>Feuille1!A564</f>
        <v>127.5</v>
      </c>
      <c r="C555">
        <f>Feuille1!B564</f>
        <v>-13138.472376483578</v>
      </c>
      <c r="D555">
        <f>Feuille1!C564</f>
        <v>22393.831769727767</v>
      </c>
    </row>
    <row r="556" spans="2:4" x14ac:dyDescent="0.3">
      <c r="B556">
        <f>Feuille1!A565</f>
        <v>128</v>
      </c>
      <c r="C556">
        <f>Feuille1!B565</f>
        <v>-8735.8835158860493</v>
      </c>
      <c r="D556">
        <f>Feuille1!C565</f>
        <v>19908.005764593916</v>
      </c>
    </row>
    <row r="557" spans="2:4" x14ac:dyDescent="0.3">
      <c r="B557">
        <f>Feuille1!A566</f>
        <v>128.5</v>
      </c>
      <c r="C557">
        <f>Feuille1!B566</f>
        <v>-5846.9002278872504</v>
      </c>
      <c r="D557">
        <f>Feuille1!C566</f>
        <v>17298.568267756931</v>
      </c>
    </row>
    <row r="558" spans="2:4" x14ac:dyDescent="0.3">
      <c r="B558">
        <f>Feuille1!A567</f>
        <v>129</v>
      </c>
      <c r="C558">
        <f>Feuille1!B567</f>
        <v>-3837.1902579181587</v>
      </c>
      <c r="D558">
        <f>Feuille1!C567</f>
        <v>14871.288504360053</v>
      </c>
    </row>
    <row r="559" spans="2:4" x14ac:dyDescent="0.3">
      <c r="B559">
        <f>Feuille1!A568</f>
        <v>129.5</v>
      </c>
      <c r="C559">
        <f>Feuille1!B568</f>
        <v>-2317.3128865653084</v>
      </c>
      <c r="D559">
        <f>Feuille1!C568</f>
        <v>12764.314117845055</v>
      </c>
    </row>
    <row r="560" spans="2:4" x14ac:dyDescent="0.3">
      <c r="B560">
        <f>Feuille1!A569</f>
        <v>130</v>
      </c>
      <c r="C560">
        <f>Feuille1!B569</f>
        <v>-1051.4914815027294</v>
      </c>
      <c r="D560">
        <f>Feuille1!C569</f>
        <v>11055.113289268733</v>
      </c>
    </row>
    <row r="561" spans="2:4" x14ac:dyDescent="0.3">
      <c r="B561">
        <f>Feuille1!A570</f>
        <v>130.5</v>
      </c>
      <c r="C561">
        <f>Feuille1!B570</f>
        <v>104.7376745406567</v>
      </c>
      <c r="D561">
        <f>Feuille1!C570</f>
        <v>9789.5961050128444</v>
      </c>
    </row>
    <row r="562" spans="2:4" x14ac:dyDescent="0.3">
      <c r="B562">
        <f>Feuille1!A571</f>
        <v>131</v>
      </c>
      <c r="C562">
        <f>Feuille1!B571</f>
        <v>1245.2938216113507</v>
      </c>
      <c r="D562">
        <f>Feuille1!C571</f>
        <v>8996.6588205494554</v>
      </c>
    </row>
    <row r="563" spans="2:4" x14ac:dyDescent="0.3">
      <c r="B563">
        <f>Feuille1!A572</f>
        <v>131.5</v>
      </c>
      <c r="C563">
        <f>Feuille1!B572</f>
        <v>2441.1505367057339</v>
      </c>
      <c r="D563">
        <f>Feuille1!C572</f>
        <v>8699.2008895148228</v>
      </c>
    </row>
    <row r="564" spans="2:4" x14ac:dyDescent="0.3">
      <c r="B564">
        <f>Feuille1!A573</f>
        <v>132</v>
      </c>
      <c r="C564">
        <f>Feuille1!B573</f>
        <v>3761.1592712554684</v>
      </c>
      <c r="D564">
        <f>Feuille1!C573</f>
        <v>8923.314627509244</v>
      </c>
    </row>
    <row r="565" spans="2:4" x14ac:dyDescent="0.3">
      <c r="B565">
        <f>Feuille1!A574</f>
        <v>132.5</v>
      </c>
      <c r="C565">
        <f>Feuille1!B574</f>
        <v>5292.4285381354466</v>
      </c>
      <c r="D565">
        <f>Feuille1!C574</f>
        <v>9707.0530745668948</v>
      </c>
    </row>
    <row r="566" spans="2:4" x14ac:dyDescent="0.3">
      <c r="B566">
        <f>Feuille1!A575</f>
        <v>133</v>
      </c>
      <c r="C566">
        <f>Feuille1!B575</f>
        <v>7168.7195355733329</v>
      </c>
      <c r="D566">
        <f>Feuille1!C575</f>
        <v>11111.922343818214</v>
      </c>
    </row>
    <row r="567" spans="2:4" x14ac:dyDescent="0.3">
      <c r="B567">
        <f>Feuille1!A576</f>
        <v>133.5</v>
      </c>
      <c r="C567">
        <f>Feuille1!B576</f>
        <v>9623.7521348269784</v>
      </c>
      <c r="D567">
        <f>Feuille1!C576</f>
        <v>13243.961376367393</v>
      </c>
    </row>
    <row r="568" spans="2:4" x14ac:dyDescent="0.3">
      <c r="B568">
        <f>Feuille1!A577</f>
        <v>134</v>
      </c>
      <c r="C568">
        <f>Feuille1!B577</f>
        <v>13114.123240751695</v>
      </c>
      <c r="D568">
        <f>Feuille1!C577</f>
        <v>16296.254881210578</v>
      </c>
    </row>
    <row r="569" spans="2:4" x14ac:dyDescent="0.3">
      <c r="B569">
        <f>Feuille1!A578</f>
        <v>134.5</v>
      </c>
      <c r="C569">
        <f>Feuille1!B578</f>
        <v>18580.994972585639</v>
      </c>
      <c r="D569">
        <f>Feuille1!C578</f>
        <v>20539.381352869394</v>
      </c>
    </row>
    <row r="570" spans="2:4" x14ac:dyDescent="0.3">
      <c r="B570">
        <f>Feuille1!A579</f>
        <v>135</v>
      </c>
      <c r="C570">
        <f>Feuille1!B579</f>
        <v>25119.984765349778</v>
      </c>
      <c r="D570">
        <f>Feuille1!C579</f>
        <v>24137.603462703471</v>
      </c>
    </row>
    <row r="571" spans="2:4" x14ac:dyDescent="0.3">
      <c r="B571">
        <f>Feuille1!A580</f>
        <v>135.5</v>
      </c>
      <c r="C571">
        <f>Feuille1!B580</f>
        <v>29132.399066516286</v>
      </c>
      <c r="D571">
        <f>Feuille1!C580</f>
        <v>25789.858050908682</v>
      </c>
    </row>
    <row r="572" spans="2:4" x14ac:dyDescent="0.3">
      <c r="B572">
        <f>Feuille1!A581</f>
        <v>136</v>
      </c>
      <c r="C572">
        <f>Feuille1!B581</f>
        <v>31157.397090850569</v>
      </c>
      <c r="D572">
        <f>Feuille1!C581</f>
        <v>26221.365608852673</v>
      </c>
    </row>
    <row r="573" spans="2:4" x14ac:dyDescent="0.3">
      <c r="B573">
        <f>Feuille1!A582</f>
        <v>136.5</v>
      </c>
      <c r="C573">
        <f>Feuille1!B582</f>
        <v>31462.337755981949</v>
      </c>
      <c r="D573">
        <f>Feuille1!C582</f>
        <v>25713.901406448895</v>
      </c>
    </row>
    <row r="574" spans="2:4" x14ac:dyDescent="0.3">
      <c r="B574">
        <f>Feuille1!A583</f>
        <v>137</v>
      </c>
      <c r="C574">
        <f>Feuille1!B583</f>
        <v>30015.070088971384</v>
      </c>
      <c r="D574">
        <f>Feuille1!C583</f>
        <v>24342.457324694009</v>
      </c>
    </row>
    <row r="575" spans="2:4" x14ac:dyDescent="0.3">
      <c r="B575">
        <f>Feuille1!A584</f>
        <v>137.5</v>
      </c>
      <c r="C575">
        <f>Feuille1!B584</f>
        <v>26447.858634491295</v>
      </c>
      <c r="D575">
        <f>Feuille1!C584</f>
        <v>22051.810905152437</v>
      </c>
    </row>
    <row r="576" spans="2:4" x14ac:dyDescent="0.3">
      <c r="B576">
        <f>Feuille1!A585</f>
        <v>138</v>
      </c>
      <c r="C576">
        <f>Feuille1!B585</f>
        <v>19871.124334633008</v>
      </c>
      <c r="D576">
        <f>Feuille1!C585</f>
        <v>18783.61938703146</v>
      </c>
    </row>
    <row r="577" spans="2:4" x14ac:dyDescent="0.3">
      <c r="B577">
        <f>Feuille1!A586</f>
        <v>138.5</v>
      </c>
      <c r="C577">
        <f>Feuille1!B586</f>
        <v>13109.145913272645</v>
      </c>
      <c r="D577">
        <f>Feuille1!C586</f>
        <v>16636.561172800324</v>
      </c>
    </row>
    <row r="578" spans="2:4" x14ac:dyDescent="0.3">
      <c r="B578">
        <f>Feuille1!A587</f>
        <v>139</v>
      </c>
      <c r="C578">
        <f>Feuille1!B587</f>
        <v>8398.2856207778132</v>
      </c>
      <c r="D578">
        <f>Feuille1!C587</f>
        <v>15595.696944302308</v>
      </c>
    </row>
    <row r="579" spans="2:4" x14ac:dyDescent="0.3">
      <c r="B579">
        <f>Feuille1!A588</f>
        <v>139.5</v>
      </c>
      <c r="C579">
        <f>Feuille1!B588</f>
        <v>4849.7808683914845</v>
      </c>
      <c r="D579">
        <f>Feuille1!C588</f>
        <v>15116.139981201337</v>
      </c>
    </row>
    <row r="580" spans="2:4" x14ac:dyDescent="0.3">
      <c r="B580">
        <f>Feuille1!A589</f>
        <v>140</v>
      </c>
      <c r="C580">
        <f>Feuille1!B589</f>
        <v>1902.2972359205123</v>
      </c>
      <c r="D580">
        <f>Feuille1!C589</f>
        <v>14988.75200802636</v>
      </c>
    </row>
    <row r="581" spans="2:4" x14ac:dyDescent="0.3">
      <c r="B581">
        <f>Feuille1!A590</f>
        <v>140.5</v>
      </c>
      <c r="C581">
        <f>Feuille1!B590</f>
        <v>-829.21888227357658</v>
      </c>
      <c r="D581">
        <f>Feuille1!C590</f>
        <v>15129.393562525462</v>
      </c>
    </row>
    <row r="582" spans="2:4" x14ac:dyDescent="0.3">
      <c r="B582">
        <f>Feuille1!A591</f>
        <v>141</v>
      </c>
      <c r="C582">
        <f>Feuille1!B591</f>
        <v>-3679.3813802377149</v>
      </c>
      <c r="D582">
        <f>Feuille1!C591</f>
        <v>15513.738554343265</v>
      </c>
    </row>
    <row r="583" spans="2:4" x14ac:dyDescent="0.3">
      <c r="B583">
        <f>Feuille1!A592</f>
        <v>141.5</v>
      </c>
      <c r="C583">
        <f>Feuille1!B592</f>
        <v>-7019.6958382845514</v>
      </c>
      <c r="D583">
        <f>Feuille1!C592</f>
        <v>16166.294235725385</v>
      </c>
    </row>
    <row r="584" spans="2:4" x14ac:dyDescent="0.3">
      <c r="B584">
        <f>Feuille1!A593</f>
        <v>142</v>
      </c>
      <c r="C584">
        <f>Feuille1!B593</f>
        <v>-11374.826384844966</v>
      </c>
      <c r="D584">
        <f>Feuille1!C593</f>
        <v>17187.616956417369</v>
      </c>
    </row>
    <row r="585" spans="2:4" x14ac:dyDescent="0.3">
      <c r="B585">
        <f>Feuille1!A594</f>
        <v>142.5</v>
      </c>
      <c r="C585">
        <f>Feuille1!B594</f>
        <v>-17639.360002255133</v>
      </c>
      <c r="D585">
        <f>Feuille1!C594</f>
        <v>18853.447587621788</v>
      </c>
    </row>
    <row r="586" spans="2:4" x14ac:dyDescent="0.3">
      <c r="B586">
        <f>Feuille1!A595</f>
        <v>143</v>
      </c>
      <c r="C586">
        <f>Feuille1!B595</f>
        <v>-25656.848104806875</v>
      </c>
      <c r="D586">
        <f>Feuille1!C595</f>
        <v>21401.124448698814</v>
      </c>
    </row>
    <row r="587" spans="2:4" x14ac:dyDescent="0.3">
      <c r="B587">
        <f>Feuille1!A596</f>
        <v>143.5</v>
      </c>
      <c r="C587">
        <f>Feuille1!B596</f>
        <v>-30513.194213893177</v>
      </c>
      <c r="D587">
        <f>Feuille1!C596</f>
        <v>23107.802363725914</v>
      </c>
    </row>
    <row r="588" spans="2:4" x14ac:dyDescent="0.3">
      <c r="B588">
        <f>Feuille1!A597</f>
        <v>144</v>
      </c>
      <c r="C588">
        <f>Feuille1!B597</f>
        <v>-33177.870187464912</v>
      </c>
      <c r="D588">
        <f>Feuille1!C597</f>
        <v>24120.006823540563</v>
      </c>
    </row>
    <row r="589" spans="2:4" x14ac:dyDescent="0.3">
      <c r="B589">
        <f>Feuille1!A598</f>
        <v>144.5</v>
      </c>
      <c r="C589">
        <f>Feuille1!B598</f>
        <v>-34147.926035695898</v>
      </c>
      <c r="D589">
        <f>Feuille1!C598</f>
        <v>24560.159625676188</v>
      </c>
    </row>
    <row r="590" spans="2:4" x14ac:dyDescent="0.3">
      <c r="B590">
        <f>Feuille1!A599</f>
        <v>145</v>
      </c>
      <c r="C590">
        <f>Feuille1!B599</f>
        <v>-33575.486241619321</v>
      </c>
      <c r="D590">
        <f>Feuille1!C599</f>
        <v>24463.067318991281</v>
      </c>
    </row>
    <row r="591" spans="2:4" x14ac:dyDescent="0.3">
      <c r="B591">
        <f>Feuille1!A600</f>
        <v>145.5</v>
      </c>
      <c r="C591">
        <f>Feuille1!B600</f>
        <v>-31385.180051612955</v>
      </c>
      <c r="D591">
        <f>Feuille1!C600</f>
        <v>23794.845703533763</v>
      </c>
    </row>
    <row r="592" spans="2:4" x14ac:dyDescent="0.3">
      <c r="B592">
        <f>Feuille1!A601</f>
        <v>146</v>
      </c>
      <c r="C592">
        <f>Feuille1!B601</f>
        <v>-27216.699782287185</v>
      </c>
      <c r="D592">
        <f>Feuille1!C601</f>
        <v>22428.109912207125</v>
      </c>
    </row>
    <row r="593" spans="2:4" x14ac:dyDescent="0.3">
      <c r="B593">
        <f>Feuille1!A602</f>
        <v>146.5</v>
      </c>
      <c r="C593">
        <f>Feuille1!B602</f>
        <v>-20205.37639875137</v>
      </c>
      <c r="D593">
        <f>Feuille1!C602</f>
        <v>20066.620165942692</v>
      </c>
    </row>
    <row r="594" spans="2:4" x14ac:dyDescent="0.3">
      <c r="B594">
        <f>Feuille1!A603</f>
        <v>147</v>
      </c>
      <c r="C594">
        <f>Feuille1!B603</f>
        <v>-12684.498759460001</v>
      </c>
      <c r="D594">
        <f>Feuille1!C603</f>
        <v>17507.837437533955</v>
      </c>
    </row>
    <row r="595" spans="2:4" x14ac:dyDescent="0.3">
      <c r="B595">
        <f>Feuille1!A604</f>
        <v>147.5</v>
      </c>
      <c r="C595">
        <f>Feuille1!B604</f>
        <v>-7349.4008147601926</v>
      </c>
      <c r="D595">
        <f>Feuille1!C604</f>
        <v>15708.83714079086</v>
      </c>
    </row>
    <row r="596" spans="2:4" x14ac:dyDescent="0.3">
      <c r="B596">
        <f>Feuille1!A605</f>
        <v>148</v>
      </c>
      <c r="C596">
        <f>Feuille1!B605</f>
        <v>-3048.8958677247629</v>
      </c>
      <c r="D596">
        <f>Feuille1!C605</f>
        <v>14351.629220504959</v>
      </c>
    </row>
    <row r="597" spans="2:4" x14ac:dyDescent="0.3">
      <c r="B597">
        <f>Feuille1!A606</f>
        <v>148.5</v>
      </c>
      <c r="C597">
        <f>Feuille1!B606</f>
        <v>876.02177196235448</v>
      </c>
      <c r="D597">
        <f>Feuille1!C606</f>
        <v>13324.363574559125</v>
      </c>
    </row>
    <row r="598" spans="2:4" x14ac:dyDescent="0.3">
      <c r="B598">
        <f>Feuille1!A607</f>
        <v>149</v>
      </c>
      <c r="C598">
        <f>Feuille1!B607</f>
        <v>4875.7048304480004</v>
      </c>
      <c r="D598">
        <f>Feuille1!C607</f>
        <v>12648.346804361649</v>
      </c>
    </row>
    <row r="599" spans="2:4" x14ac:dyDescent="0.3">
      <c r="B599">
        <f>Feuille1!A608</f>
        <v>149.5</v>
      </c>
      <c r="C599">
        <f>Feuille1!B608</f>
        <v>9350.9166799179584</v>
      </c>
      <c r="D599">
        <f>Feuille1!C608</f>
        <v>12481.194404470543</v>
      </c>
    </row>
    <row r="600" spans="2:4" x14ac:dyDescent="0.3">
      <c r="B600">
        <f>Feuille1!A609</f>
        <v>150</v>
      </c>
      <c r="C600">
        <f>Feuille1!B609</f>
        <v>14732.523493667992</v>
      </c>
      <c r="D600">
        <f>Feuille1!C609</f>
        <v>13233.607732445225</v>
      </c>
    </row>
    <row r="601" spans="2:4" x14ac:dyDescent="0.3">
      <c r="B601">
        <f>Feuille1!A610</f>
        <v>150.5</v>
      </c>
      <c r="C601">
        <f>Feuille1!B610</f>
        <v>21304.164953090738</v>
      </c>
      <c r="D601">
        <f>Feuille1!C610</f>
        <v>15925.069541327159</v>
      </c>
    </row>
    <row r="602" spans="2:4" x14ac:dyDescent="0.3">
      <c r="B602">
        <f>Feuille1!A611</f>
        <v>151</v>
      </c>
      <c r="C602">
        <f>Feuille1!B611</f>
        <v>26677.436215645892</v>
      </c>
      <c r="D602">
        <f>Feuille1!C611</f>
        <v>21320.518102742244</v>
      </c>
    </row>
    <row r="603" spans="2:4" x14ac:dyDescent="0.3">
      <c r="B603">
        <f>Feuille1!A612</f>
        <v>151.5</v>
      </c>
      <c r="C603">
        <f>Feuille1!B612</f>
        <v>28965.606225963176</v>
      </c>
      <c r="D603">
        <f>Feuille1!C612</f>
        <v>26058.564158661276</v>
      </c>
    </row>
    <row r="604" spans="2:4" x14ac:dyDescent="0.3">
      <c r="B604">
        <f>Feuille1!A613</f>
        <v>152</v>
      </c>
      <c r="C604">
        <f>Feuille1!B613</f>
        <v>29300.889733986634</v>
      </c>
      <c r="D604">
        <f>Feuille1!C613</f>
        <v>29524.495340775411</v>
      </c>
    </row>
    <row r="605" spans="2:4" x14ac:dyDescent="0.3">
      <c r="B605">
        <f>Feuille1!A614</f>
        <v>152.5</v>
      </c>
      <c r="C605">
        <f>Feuille1!B614</f>
        <v>28279.688781741959</v>
      </c>
      <c r="D605">
        <f>Feuille1!C614</f>
        <v>31706.852156418285</v>
      </c>
    </row>
    <row r="606" spans="2:4" x14ac:dyDescent="0.3">
      <c r="B606">
        <f>Feuille1!A615</f>
        <v>153</v>
      </c>
      <c r="C606">
        <f>Feuille1!B615</f>
        <v>26192.093636691756</v>
      </c>
      <c r="D606">
        <f>Feuille1!C615</f>
        <v>32557.784054970507</v>
      </c>
    </row>
    <row r="607" spans="2:4" x14ac:dyDescent="0.3">
      <c r="B607">
        <f>Feuille1!A616</f>
        <v>153.5</v>
      </c>
      <c r="C607">
        <f>Feuille1!B616</f>
        <v>23209.500478591533</v>
      </c>
      <c r="D607">
        <f>Feuille1!C616</f>
        <v>31904.149873396633</v>
      </c>
    </row>
    <row r="608" spans="2:4" x14ac:dyDescent="0.3">
      <c r="B608">
        <f>Feuille1!A617</f>
        <v>154</v>
      </c>
      <c r="C608">
        <f>Feuille1!B617</f>
        <v>19519.655717374306</v>
      </c>
      <c r="D608">
        <f>Feuille1!C617</f>
        <v>29368.616606013806</v>
      </c>
    </row>
    <row r="609" spans="2:4" x14ac:dyDescent="0.3">
      <c r="B609">
        <f>Feuille1!A618</f>
        <v>154.5</v>
      </c>
      <c r="C609">
        <f>Feuille1!B618</f>
        <v>15671.917526722924</v>
      </c>
      <c r="D609">
        <f>Feuille1!C618</f>
        <v>24299.899061105356</v>
      </c>
    </row>
    <row r="610" spans="2:4" x14ac:dyDescent="0.3">
      <c r="B610">
        <f>Feuille1!A619</f>
        <v>155</v>
      </c>
      <c r="C610">
        <f>Feuille1!B619</f>
        <v>13585.25591525858</v>
      </c>
      <c r="D610">
        <f>Feuille1!C619</f>
        <v>16987.116572887084</v>
      </c>
    </row>
    <row r="611" spans="2:4" x14ac:dyDescent="0.3">
      <c r="B611">
        <f>Feuille1!A620</f>
        <v>155.5</v>
      </c>
      <c r="C611">
        <f>Feuille1!B620</f>
        <v>13670.534423258001</v>
      </c>
      <c r="D611">
        <f>Feuille1!C620</f>
        <v>10785.312167864626</v>
      </c>
    </row>
    <row r="612" spans="2:4" x14ac:dyDescent="0.3">
      <c r="B612">
        <f>Feuille1!A621</f>
        <v>156</v>
      </c>
      <c r="C612">
        <f>Feuille1!B621</f>
        <v>14509.284086429943</v>
      </c>
      <c r="D612">
        <f>Feuille1!C621</f>
        <v>6179.9173047520662</v>
      </c>
    </row>
    <row r="613" spans="2:4" x14ac:dyDescent="0.3">
      <c r="B613">
        <f>Feuille1!A622</f>
        <v>156.5</v>
      </c>
      <c r="C613">
        <f>Feuille1!B622</f>
        <v>15506.02514519025</v>
      </c>
      <c r="D613">
        <f>Feuille1!C622</f>
        <v>2823.2909958966393</v>
      </c>
    </row>
    <row r="614" spans="2:4" x14ac:dyDescent="0.3">
      <c r="B614">
        <f>Feuille1!A623</f>
        <v>157</v>
      </c>
      <c r="C614">
        <f>Feuille1!B623</f>
        <v>16428.928435429134</v>
      </c>
      <c r="D614">
        <f>Feuille1!C623</f>
        <v>443.15778897035921</v>
      </c>
    </row>
    <row r="615" spans="2:4" x14ac:dyDescent="0.3">
      <c r="B615">
        <f>Feuille1!A624</f>
        <v>157.5</v>
      </c>
      <c r="C615">
        <f>Feuille1!B624</f>
        <v>17172.445038668924</v>
      </c>
      <c r="D615">
        <f>Feuille1!C624</f>
        <v>-1129.8456121639833</v>
      </c>
    </row>
    <row r="616" spans="2:4" x14ac:dyDescent="0.3">
      <c r="B616">
        <f>Feuille1!A625</f>
        <v>158</v>
      </c>
      <c r="C616">
        <f>Feuille1!B625</f>
        <v>17683.090449074178</v>
      </c>
      <c r="D616">
        <f>Feuille1!C625</f>
        <v>-1994.3585312788264</v>
      </c>
    </row>
    <row r="617" spans="2:4" x14ac:dyDescent="0.3">
      <c r="B617">
        <f>Feuille1!A626</f>
        <v>158.5</v>
      </c>
      <c r="C617">
        <f>Feuille1!B626</f>
        <v>17934.102982743021</v>
      </c>
      <c r="D617">
        <f>Feuille1!C626</f>
        <v>-2199.5257535481342</v>
      </c>
    </row>
    <row r="618" spans="2:4" x14ac:dyDescent="0.3">
      <c r="B618">
        <f>Feuille1!A627</f>
        <v>159</v>
      </c>
      <c r="C618">
        <f>Feuille1!B627</f>
        <v>17916.110788936574</v>
      </c>
      <c r="D618">
        <f>Feuille1!C627</f>
        <v>-1755.1977740007364</v>
      </c>
    </row>
    <row r="619" spans="2:4" x14ac:dyDescent="0.3">
      <c r="B619">
        <f>Feuille1!A628</f>
        <v>159.5</v>
      </c>
      <c r="C619">
        <f>Feuille1!B628</f>
        <v>17634.601784457653</v>
      </c>
      <c r="D619">
        <f>Feuille1!C628</f>
        <v>-633.62256179649603</v>
      </c>
    </row>
    <row r="620" spans="2:4" x14ac:dyDescent="0.3">
      <c r="B620">
        <f>Feuille1!A629</f>
        <v>160</v>
      </c>
      <c r="C620">
        <f>Feuille1!B629</f>
        <v>17112.497343715979</v>
      </c>
      <c r="D620">
        <f>Feuille1!C629</f>
        <v>1237.3544233745959</v>
      </c>
    </row>
    <row r="621" spans="2:4" x14ac:dyDescent="0.3">
      <c r="B621">
        <f>Feuille1!A630</f>
        <v>160.5</v>
      </c>
      <c r="C621">
        <f>Feuille1!B630</f>
        <v>16401.165368998667</v>
      </c>
      <c r="D621">
        <f>Feuille1!C630</f>
        <v>3993.0913019866393</v>
      </c>
    </row>
    <row r="622" spans="2:4" x14ac:dyDescent="0.3">
      <c r="B622">
        <f>Feuille1!A631</f>
        <v>161</v>
      </c>
      <c r="C622">
        <f>Feuille1!B631</f>
        <v>15614.965226167869</v>
      </c>
      <c r="D622">
        <f>Feuille1!C631</f>
        <v>7872.4707937141457</v>
      </c>
    </row>
    <row r="623" spans="2:4" x14ac:dyDescent="0.3">
      <c r="B623">
        <f>Feuille1!A632</f>
        <v>161.5</v>
      </c>
      <c r="C623">
        <f>Feuille1!B632</f>
        <v>15052.036983292403</v>
      </c>
      <c r="D623">
        <f>Feuille1!C632</f>
        <v>13290.884249364168</v>
      </c>
    </row>
    <row r="624" spans="2:4" x14ac:dyDescent="0.3">
      <c r="B624">
        <f>Feuille1!A633</f>
        <v>162</v>
      </c>
      <c r="C624">
        <f>Feuille1!B633</f>
        <v>15659.972926448876</v>
      </c>
      <c r="D624">
        <f>Feuille1!C633</f>
        <v>20727.725338771255</v>
      </c>
    </row>
    <row r="625" spans="2:4" x14ac:dyDescent="0.3">
      <c r="B625">
        <f>Feuille1!A634</f>
        <v>162.5</v>
      </c>
      <c r="C625">
        <f>Feuille1!B634</f>
        <v>18816.082377196384</v>
      </c>
      <c r="D625">
        <f>Feuille1!C634</f>
        <v>27554.455499334854</v>
      </c>
    </row>
    <row r="626" spans="2:4" x14ac:dyDescent="0.3">
      <c r="B626">
        <f>Feuille1!A635</f>
        <v>163</v>
      </c>
      <c r="C626">
        <f>Feuille1!B635</f>
        <v>22100.425366126896</v>
      </c>
      <c r="D626">
        <f>Feuille1!C635</f>
        <v>31523.437797334234</v>
      </c>
    </row>
    <row r="627" spans="2:4" x14ac:dyDescent="0.3">
      <c r="B627">
        <f>Feuille1!A636</f>
        <v>163.5</v>
      </c>
      <c r="C627">
        <f>Feuille1!B636</f>
        <v>24794.009396326477</v>
      </c>
      <c r="D627">
        <f>Feuille1!C636</f>
        <v>33463.735628498594</v>
      </c>
    </row>
    <row r="628" spans="2:4" x14ac:dyDescent="0.3">
      <c r="B628">
        <f>Feuille1!A637</f>
        <v>164</v>
      </c>
      <c r="C628">
        <f>Feuille1!B637</f>
        <v>26766.564473392475</v>
      </c>
      <c r="D628">
        <f>Feuille1!C637</f>
        <v>33861.834087249721</v>
      </c>
    </row>
    <row r="629" spans="2:4" x14ac:dyDescent="0.3">
      <c r="B629">
        <f>Feuille1!A638</f>
        <v>164.5</v>
      </c>
      <c r="C629">
        <f>Feuille1!B638</f>
        <v>27943.071260510627</v>
      </c>
      <c r="D629">
        <f>Feuille1!C638</f>
        <v>32926.575885301078</v>
      </c>
    </row>
    <row r="630" spans="2:4" x14ac:dyDescent="0.3">
      <c r="B630">
        <f>Feuille1!A639</f>
        <v>165</v>
      </c>
      <c r="C630">
        <f>Feuille1!B639</f>
        <v>28195.145192529391</v>
      </c>
      <c r="D630">
        <f>Feuille1!C639</f>
        <v>30699.489975564265</v>
      </c>
    </row>
    <row r="631" spans="2:4" x14ac:dyDescent="0.3">
      <c r="B631">
        <f>Feuille1!A640</f>
        <v>165.5</v>
      </c>
      <c r="C631">
        <f>Feuille1!B640</f>
        <v>27253.264992758057</v>
      </c>
      <c r="D631">
        <f>Feuille1!C640</f>
        <v>27074.499013331853</v>
      </c>
    </row>
    <row r="632" spans="2:4" x14ac:dyDescent="0.3">
      <c r="B632">
        <f>Feuille1!A641</f>
        <v>166</v>
      </c>
      <c r="C632">
        <f>Feuille1!B641</f>
        <v>24486.291068367318</v>
      </c>
      <c r="D632">
        <f>Feuille1!C641</f>
        <v>21782.905317768626</v>
      </c>
    </row>
    <row r="633" spans="2:4" x14ac:dyDescent="0.3">
      <c r="B633">
        <f>Feuille1!A642</f>
        <v>166.5</v>
      </c>
      <c r="C633">
        <f>Feuille1!B642</f>
        <v>18663.899123733736</v>
      </c>
      <c r="D633">
        <f>Feuille1!C642</f>
        <v>15278.889028947156</v>
      </c>
    </row>
    <row r="634" spans="2:4" x14ac:dyDescent="0.3">
      <c r="B634">
        <f>Feuille1!A643</f>
        <v>167</v>
      </c>
      <c r="C634">
        <f>Feuille1!B643</f>
        <v>13328.471291690666</v>
      </c>
      <c r="D634">
        <f>Feuille1!C643</f>
        <v>11579.566449483995</v>
      </c>
    </row>
    <row r="635" spans="2:4" x14ac:dyDescent="0.3">
      <c r="B635">
        <f>Feuille1!A644</f>
        <v>167.5</v>
      </c>
      <c r="C635">
        <f>Feuille1!B644</f>
        <v>8903.0056849905031</v>
      </c>
      <c r="D635">
        <f>Feuille1!C644</f>
        <v>9460.9364056493814</v>
      </c>
    </row>
    <row r="636" spans="2:4" x14ac:dyDescent="0.3">
      <c r="B636">
        <f>Feuille1!A645</f>
        <v>168</v>
      </c>
      <c r="C636">
        <f>Feuille1!B645</f>
        <v>5007.2351734732983</v>
      </c>
      <c r="D636">
        <f>Feuille1!C645</f>
        <v>8242.4921569160233</v>
      </c>
    </row>
    <row r="637" spans="2:4" x14ac:dyDescent="0.3">
      <c r="B637">
        <f>Feuille1!A646</f>
        <v>168.5</v>
      </c>
      <c r="C637">
        <f>Feuille1!B646</f>
        <v>1363.8948996663134</v>
      </c>
      <c r="D637">
        <f>Feuille1!C646</f>
        <v>7640.9165729779206</v>
      </c>
    </row>
    <row r="638" spans="2:4" x14ac:dyDescent="0.3">
      <c r="B638">
        <f>Feuille1!A647</f>
        <v>169</v>
      </c>
      <c r="C638">
        <f>Feuille1!B647</f>
        <v>-2235.375922541687</v>
      </c>
      <c r="D638">
        <f>Feuille1!C647</f>
        <v>7548.7788122034299</v>
      </c>
    </row>
    <row r="639" spans="2:4" x14ac:dyDescent="0.3">
      <c r="B639">
        <f>Feuille1!A648</f>
        <v>169.5</v>
      </c>
      <c r="C639">
        <f>Feuille1!B648</f>
        <v>-5974.661101219177</v>
      </c>
      <c r="D639">
        <f>Feuille1!C648</f>
        <v>7973.2689475693796</v>
      </c>
    </row>
    <row r="640" spans="2:4" x14ac:dyDescent="0.3">
      <c r="B640">
        <f>Feuille1!A649</f>
        <v>170</v>
      </c>
      <c r="C640">
        <f>Feuille1!B649</f>
        <v>-10047.388303605849</v>
      </c>
      <c r="D640">
        <f>Feuille1!C649</f>
        <v>9044.4793935385605</v>
      </c>
    </row>
    <row r="641" spans="2:4" x14ac:dyDescent="0.3">
      <c r="B641">
        <f>Feuille1!A650</f>
        <v>170.5</v>
      </c>
      <c r="C641">
        <f>Feuille1!B650</f>
        <v>-14683.556698575352</v>
      </c>
      <c r="D641">
        <f>Feuille1!C650</f>
        <v>11097.582807177514</v>
      </c>
    </row>
    <row r="642" spans="2:4" x14ac:dyDescent="0.3">
      <c r="B642">
        <f>Feuille1!A651</f>
        <v>171</v>
      </c>
      <c r="C642">
        <f>Feuille1!B651</f>
        <v>-20088.08689745437</v>
      </c>
      <c r="D642">
        <f>Feuille1!C651</f>
        <v>14919.954417700337</v>
      </c>
    </row>
    <row r="643" spans="2:4" x14ac:dyDescent="0.3">
      <c r="B643">
        <f>Feuille1!A652</f>
        <v>171.5</v>
      </c>
      <c r="C643">
        <f>Feuille1!B652</f>
        <v>-25139.576418846584</v>
      </c>
      <c r="D643">
        <f>Feuille1!C652</f>
        <v>21642.743752421113</v>
      </c>
    </row>
    <row r="644" spans="2:4" x14ac:dyDescent="0.3">
      <c r="B644">
        <f>Feuille1!A653</f>
        <v>172</v>
      </c>
      <c r="C644">
        <f>Feuille1!B653</f>
        <v>-27064.397989560315</v>
      </c>
      <c r="D644">
        <f>Feuille1!C653</f>
        <v>27325.254760738459</v>
      </c>
    </row>
    <row r="645" spans="2:4" x14ac:dyDescent="0.3">
      <c r="B645">
        <f>Feuille1!A654</f>
        <v>172.5</v>
      </c>
      <c r="C645">
        <f>Feuille1!B654</f>
        <v>-27225.899784326404</v>
      </c>
      <c r="D645">
        <f>Feuille1!C654</f>
        <v>31283.635387695198</v>
      </c>
    </row>
    <row r="646" spans="2:4" x14ac:dyDescent="0.3">
      <c r="B646">
        <f>Feuille1!A655</f>
        <v>173</v>
      </c>
      <c r="C646">
        <f>Feuille1!B655</f>
        <v>-26301.505449021839</v>
      </c>
      <c r="D646">
        <f>Feuille1!C655</f>
        <v>33738.879813007035</v>
      </c>
    </row>
    <row r="647" spans="2:4" x14ac:dyDescent="0.3">
      <c r="B647">
        <f>Feuille1!A656</f>
        <v>173.5</v>
      </c>
      <c r="C647">
        <f>Feuille1!B656</f>
        <v>-24597.587105575847</v>
      </c>
      <c r="D647">
        <f>Feuille1!C656</f>
        <v>34798.548122421373</v>
      </c>
    </row>
    <row r="648" spans="2:4" x14ac:dyDescent="0.3">
      <c r="B648">
        <f>Feuille1!A657</f>
        <v>174</v>
      </c>
      <c r="C648">
        <f>Feuille1!B657</f>
        <v>-22290.362954049124</v>
      </c>
      <c r="D648">
        <f>Feuille1!C657</f>
        <v>34436.599855558292</v>
      </c>
    </row>
    <row r="649" spans="2:4" x14ac:dyDescent="0.3">
      <c r="B649">
        <f>Feuille1!A658</f>
        <v>174.5</v>
      </c>
      <c r="C649">
        <f>Feuille1!B658</f>
        <v>-19533.616968640439</v>
      </c>
      <c r="D649">
        <f>Feuille1!C658</f>
        <v>32485.444229110537</v>
      </c>
    </row>
    <row r="650" spans="2:4" x14ac:dyDescent="0.3">
      <c r="B650">
        <f>Feuille1!A659</f>
        <v>175</v>
      </c>
      <c r="C650">
        <f>Feuille1!B659</f>
        <v>-16590.735061269355</v>
      </c>
      <c r="D650">
        <f>Feuille1!C659</f>
        <v>28588.999197964251</v>
      </c>
    </row>
    <row r="651" spans="2:4" x14ac:dyDescent="0.3">
      <c r="B651">
        <f>Feuille1!A660</f>
        <v>175.5</v>
      </c>
      <c r="C651">
        <f>Feuille1!B660</f>
        <v>-14235.589171377125</v>
      </c>
      <c r="D651">
        <f>Feuille1!C660</f>
        <v>22272.282082161408</v>
      </c>
    </row>
    <row r="652" spans="2:4" x14ac:dyDescent="0.3">
      <c r="B652">
        <f>Feuille1!A661</f>
        <v>176</v>
      </c>
      <c r="C652">
        <f>Feuille1!B661</f>
        <v>-14276.872645611329</v>
      </c>
      <c r="D652">
        <f>Feuille1!C661</f>
        <v>14715.664483393854</v>
      </c>
    </row>
    <row r="653" spans="2:4" x14ac:dyDescent="0.3">
      <c r="B653">
        <f>Feuille1!A662</f>
        <v>176.5</v>
      </c>
      <c r="C653">
        <f>Feuille1!B662</f>
        <v>-15948.245055592015</v>
      </c>
      <c r="D653">
        <f>Feuille1!C662</f>
        <v>8893.3433591467037</v>
      </c>
    </row>
    <row r="654" spans="2:4" x14ac:dyDescent="0.3">
      <c r="B654">
        <f>Feuille1!A663</f>
        <v>177</v>
      </c>
      <c r="C654">
        <f>Feuille1!B663</f>
        <v>-17940.427055129821</v>
      </c>
      <c r="D654">
        <f>Feuille1!C663</f>
        <v>4744.6516624329106</v>
      </c>
    </row>
    <row r="655" spans="2:4" x14ac:dyDescent="0.3">
      <c r="B655">
        <f>Feuille1!A664</f>
        <v>177.5</v>
      </c>
      <c r="C655">
        <f>Feuille1!B664</f>
        <v>-19805.922250757223</v>
      </c>
      <c r="D655">
        <f>Feuille1!C664</f>
        <v>1802.7645623807357</v>
      </c>
    </row>
    <row r="656" spans="2:4" x14ac:dyDescent="0.3">
      <c r="B656">
        <f>Feuille1!A665</f>
        <v>178</v>
      </c>
      <c r="C656">
        <f>Feuille1!B665</f>
        <v>-21382.425401682303</v>
      </c>
      <c r="D656">
        <f>Feuille1!C665</f>
        <v>-240.17428794368413</v>
      </c>
    </row>
    <row r="657" spans="2:4" x14ac:dyDescent="0.3">
      <c r="B657">
        <f>Feuille1!A666</f>
        <v>178.5</v>
      </c>
      <c r="C657">
        <f>Feuille1!B666</f>
        <v>-22598.16580612375</v>
      </c>
      <c r="D657">
        <f>Feuille1!C666</f>
        <v>-1567.3515428168532</v>
      </c>
    </row>
    <row r="658" spans="2:4" x14ac:dyDescent="0.3">
      <c r="B658">
        <f>Feuille1!A667</f>
        <v>179</v>
      </c>
      <c r="C658">
        <f>Feuille1!B667</f>
        <v>-23416.615250342718</v>
      </c>
      <c r="D658">
        <f>Feuille1!C667</f>
        <v>-2283.5790515228846</v>
      </c>
    </row>
    <row r="659" spans="2:4" x14ac:dyDescent="0.3">
      <c r="B659">
        <f>Feuille1!A668</f>
        <v>179.5</v>
      </c>
      <c r="C659">
        <f>Feuille1!B668</f>
        <v>-23818.178794002681</v>
      </c>
      <c r="D659">
        <f>Feuille1!C668</f>
        <v>-2441.5276538748094</v>
      </c>
    </row>
    <row r="660" spans="2:4" x14ac:dyDescent="0.3">
      <c r="B660">
        <f>Feuille1!A669</f>
        <v>180</v>
      </c>
      <c r="C660">
        <f>Feuille1!B669</f>
        <v>-23793.031787544453</v>
      </c>
      <c r="D660">
        <f>Feuille1!C669</f>
        <v>-2054.2072789487497</v>
      </c>
    </row>
    <row r="661" spans="2:4" x14ac:dyDescent="0.3">
      <c r="B661">
        <f>Feuille1!A670</f>
        <v>180.5</v>
      </c>
      <c r="C661">
        <f>Feuille1!B670</f>
        <v>-23338.246623602507</v>
      </c>
      <c r="D661">
        <f>Feuille1!C670</f>
        <v>-1097.7635956393642</v>
      </c>
    </row>
    <row r="662" spans="2:4" x14ac:dyDescent="0.3">
      <c r="B662">
        <f>Feuille1!A671</f>
        <v>181</v>
      </c>
      <c r="C662">
        <f>Feuille1!B671</f>
        <v>-22457.599301082439</v>
      </c>
      <c r="D662">
        <f>Feuille1!C671</f>
        <v>494.93638383180178</v>
      </c>
    </row>
    <row r="663" spans="2:4" x14ac:dyDescent="0.3">
      <c r="B663">
        <f>Feuille1!A672</f>
        <v>181.5</v>
      </c>
      <c r="C663">
        <f>Feuille1!B672</f>
        <v>-21165.214661877813</v>
      </c>
      <c r="D663">
        <f>Feuille1!C672</f>
        <v>2853.6573649185002</v>
      </c>
    </row>
    <row r="664" spans="2:4" x14ac:dyDescent="0.3">
      <c r="B664">
        <f>Feuille1!A673</f>
        <v>182</v>
      </c>
      <c r="C664">
        <f>Feuille1!B673</f>
        <v>-19500.557578491873</v>
      </c>
      <c r="D664">
        <f>Feuille1!C673</f>
        <v>6214.9074048655038</v>
      </c>
    </row>
    <row r="665" spans="2:4" x14ac:dyDescent="0.3">
      <c r="B665">
        <f>Feuille1!A674</f>
        <v>182.5</v>
      </c>
      <c r="C665">
        <f>Feuille1!B674</f>
        <v>-17592.103936398198</v>
      </c>
      <c r="D665">
        <f>Feuille1!C674</f>
        <v>11019.800415895435</v>
      </c>
    </row>
    <row r="666" spans="2:4" x14ac:dyDescent="0.3">
      <c r="B666">
        <f>Feuille1!A675</f>
        <v>183</v>
      </c>
      <c r="C666">
        <f>Feuille1!B675</f>
        <v>-15986.230675384599</v>
      </c>
      <c r="D666">
        <f>Feuille1!C675</f>
        <v>18036.790968755453</v>
      </c>
    </row>
    <row r="667" spans="2:4" x14ac:dyDescent="0.3">
      <c r="B667">
        <f>Feuille1!A676</f>
        <v>183.5</v>
      </c>
      <c r="C667">
        <f>Feuille1!B676</f>
        <v>-16697.033382456935</v>
      </c>
      <c r="D667">
        <f>Feuille1!C676</f>
        <v>26231.378838800731</v>
      </c>
    </row>
    <row r="668" spans="2:4" x14ac:dyDescent="0.3">
      <c r="B668">
        <f>Feuille1!A677</f>
        <v>184</v>
      </c>
      <c r="C668">
        <f>Feuille1!B677</f>
        <v>-18428.089400902118</v>
      </c>
      <c r="D668">
        <f>Feuille1!C677</f>
        <v>31743.488934573543</v>
      </c>
    </row>
    <row r="669" spans="2:4" x14ac:dyDescent="0.3">
      <c r="B669">
        <f>Feuille1!A678</f>
        <v>184.5</v>
      </c>
      <c r="C669">
        <f>Feuille1!B678</f>
        <v>-20143.978240648201</v>
      </c>
      <c r="D669">
        <f>Feuille1!C678</f>
        <v>35206.243908088763</v>
      </c>
    </row>
    <row r="670" spans="2:4" x14ac:dyDescent="0.3">
      <c r="B670">
        <f>Feuille1!A679</f>
        <v>185</v>
      </c>
      <c r="C670">
        <f>Feuille1!B679</f>
        <v>-21614.742851473307</v>
      </c>
      <c r="D670">
        <f>Feuille1!C679</f>
        <v>37127.364812828077</v>
      </c>
    </row>
    <row r="671" spans="2:4" x14ac:dyDescent="0.3">
      <c r="B671">
        <f>Feuille1!A680</f>
        <v>185.5</v>
      </c>
      <c r="C671">
        <f>Feuille1!B680</f>
        <v>-22766.143592283155</v>
      </c>
      <c r="D671">
        <f>Feuille1!C680</f>
        <v>37746.660315605455</v>
      </c>
    </row>
    <row r="672" spans="2:4" x14ac:dyDescent="0.3">
      <c r="B672">
        <f>Feuille1!A681</f>
        <v>186</v>
      </c>
      <c r="C672">
        <f>Feuille1!B681</f>
        <v>-23550.325323003239</v>
      </c>
      <c r="D672">
        <f>Feuille1!C681</f>
        <v>37151.337148508661</v>
      </c>
    </row>
    <row r="673" spans="2:4" x14ac:dyDescent="0.3">
      <c r="B673">
        <f>Feuille1!A682</f>
        <v>186.5</v>
      </c>
      <c r="C673">
        <f>Feuille1!B682</f>
        <v>-23907.588783589144</v>
      </c>
      <c r="D673">
        <f>Feuille1!C682</f>
        <v>35313.449024573827</v>
      </c>
    </row>
    <row r="674" spans="2:4" x14ac:dyDescent="0.3">
      <c r="B674">
        <f>Feuille1!A683</f>
        <v>187</v>
      </c>
      <c r="C674">
        <f>Feuille1!B683</f>
        <v>-23735.458310300521</v>
      </c>
      <c r="D674">
        <f>Feuille1!C683</f>
        <v>32067.870380421049</v>
      </c>
    </row>
    <row r="675" spans="2:4" x14ac:dyDescent="0.3">
      <c r="B675">
        <f>Feuille1!A684</f>
        <v>187.5</v>
      </c>
      <c r="C675">
        <f>Feuille1!B684</f>
        <v>-22820.108103006231</v>
      </c>
      <c r="D675">
        <f>Feuille1!C684</f>
        <v>26999.891533576018</v>
      </c>
    </row>
    <row r="676" spans="2:4" x14ac:dyDescent="0.3">
      <c r="B676">
        <f>Feuille1!A685</f>
        <v>188</v>
      </c>
      <c r="C676">
        <f>Feuille1!B685</f>
        <v>-20619.996516193467</v>
      </c>
      <c r="D676">
        <f>Feuille1!C685</f>
        <v>19228.105023599703</v>
      </c>
    </row>
    <row r="677" spans="2:4" x14ac:dyDescent="0.3">
      <c r="B677">
        <f>Feuille1!A686</f>
        <v>188.5</v>
      </c>
      <c r="C677">
        <f>Feuille1!B686</f>
        <v>-17495.345458275973</v>
      </c>
      <c r="D677">
        <f>Feuille1!C686</f>
        <v>12118.955509751797</v>
      </c>
    </row>
    <row r="678" spans="2:4" x14ac:dyDescent="0.3">
      <c r="B678">
        <f>Feuille1!A687</f>
        <v>189</v>
      </c>
      <c r="C678">
        <f>Feuille1!B687</f>
        <v>-14841.57940582829</v>
      </c>
      <c r="D678">
        <f>Feuille1!C687</f>
        <v>7397.1165433483939</v>
      </c>
    </row>
    <row r="679" spans="2:4" x14ac:dyDescent="0.3">
      <c r="B679">
        <f>Feuille1!A688</f>
        <v>189.5</v>
      </c>
      <c r="C679">
        <f>Feuille1!B688</f>
        <v>-12458.912105815281</v>
      </c>
      <c r="D679">
        <f>Feuille1!C688</f>
        <v>4042.7291861713475</v>
      </c>
    </row>
    <row r="680" spans="2:4" x14ac:dyDescent="0.3">
      <c r="B680">
        <f>Feuille1!A689</f>
        <v>190</v>
      </c>
      <c r="C680">
        <f>Feuille1!B689</f>
        <v>-10214.346794068841</v>
      </c>
      <c r="D680">
        <f>Feuille1!C689</f>
        <v>1567.2293935010653</v>
      </c>
    </row>
    <row r="681" spans="2:4" x14ac:dyDescent="0.3">
      <c r="B681">
        <f>Feuille1!A690</f>
        <v>190.5</v>
      </c>
      <c r="C681">
        <f>Feuille1!B690</f>
        <v>-8041.3007847658673</v>
      </c>
      <c r="D681">
        <f>Feuille1!C690</f>
        <v>-291.31313759766385</v>
      </c>
    </row>
    <row r="682" spans="2:4" x14ac:dyDescent="0.3">
      <c r="B682">
        <f>Feuille1!A691</f>
        <v>191</v>
      </c>
      <c r="C682">
        <f>Feuille1!B691</f>
        <v>-5909.5146054943989</v>
      </c>
      <c r="D682">
        <f>Feuille1!C691</f>
        <v>-1693.2229426587062</v>
      </c>
    </row>
    <row r="683" spans="2:4" x14ac:dyDescent="0.3">
      <c r="B683">
        <f>Feuille1!A692</f>
        <v>191.5</v>
      </c>
      <c r="C683">
        <f>Feuille1!B692</f>
        <v>-3810.2715683850683</v>
      </c>
      <c r="D683">
        <f>Feuille1!C692</f>
        <v>-2742.8723330125608</v>
      </c>
    </row>
    <row r="684" spans="2:4" x14ac:dyDescent="0.3">
      <c r="B684">
        <f>Feuille1!A693</f>
        <v>192</v>
      </c>
      <c r="C684">
        <f>Feuille1!B693</f>
        <v>-1748.4470090761406</v>
      </c>
      <c r="D684">
        <f>Feuille1!C693</f>
        <v>-3507.2399313819233</v>
      </c>
    </row>
    <row r="685" spans="2:4" x14ac:dyDescent="0.3">
      <c r="B685">
        <f>Feuille1!A694</f>
        <v>192.5</v>
      </c>
      <c r="C685">
        <f>Feuille1!B694</f>
        <v>262.78387891825497</v>
      </c>
      <c r="D685">
        <f>Feuille1!C694</f>
        <v>-4024.4631308284652</v>
      </c>
    </row>
    <row r="686" spans="2:4" x14ac:dyDescent="0.3">
      <c r="B686">
        <f>Feuille1!A695</f>
        <v>193</v>
      </c>
      <c r="C686">
        <f>Feuille1!B695</f>
        <v>2206.1590645473734</v>
      </c>
      <c r="D686">
        <f>Feuille1!C695</f>
        <v>-4308.6695393801638</v>
      </c>
    </row>
    <row r="687" spans="2:4" x14ac:dyDescent="0.3">
      <c r="B687">
        <f>Feuille1!A696</f>
        <v>193.5</v>
      </c>
      <c r="C687">
        <f>Feuille1!B696</f>
        <v>4063.9322884170392</v>
      </c>
      <c r="D687">
        <f>Feuille1!C696</f>
        <v>-4353.4796313894358</v>
      </c>
    </row>
    <row r="688" spans="2:4" x14ac:dyDescent="0.3">
      <c r="B688">
        <f>Feuille1!A697</f>
        <v>194</v>
      </c>
      <c r="C688">
        <f>Feuille1!B697</f>
        <v>5820.9113683629321</v>
      </c>
      <c r="D688">
        <f>Feuille1!C697</f>
        <v>-4134.8300785556266</v>
      </c>
    </row>
    <row r="689" spans="2:4" x14ac:dyDescent="0.3">
      <c r="B689">
        <f>Feuille1!A698</f>
        <v>194.5</v>
      </c>
      <c r="C689">
        <f>Feuille1!B698</f>
        <v>7466.9211281208418</v>
      </c>
      <c r="D689">
        <f>Feuille1!C698</f>
        <v>-3612.8850606132055</v>
      </c>
    </row>
    <row r="690" spans="2:4" x14ac:dyDescent="0.3">
      <c r="B690">
        <f>Feuille1!A699</f>
        <v>195</v>
      </c>
      <c r="C690">
        <f>Feuille1!B699</f>
        <v>8998.837581822163</v>
      </c>
      <c r="D690">
        <f>Feuille1!C699</f>
        <v>-2732.345649125647</v>
      </c>
    </row>
    <row r="691" spans="2:4" x14ac:dyDescent="0.3">
      <c r="B691">
        <f>Feuille1!A700</f>
        <v>195.5</v>
      </c>
      <c r="C691">
        <f>Feuille1!B700</f>
        <v>10422.656093690966</v>
      </c>
      <c r="D691">
        <f>Feuille1!C700</f>
        <v>-1420.1058840924072</v>
      </c>
    </row>
    <row r="692" spans="2:4" x14ac:dyDescent="0.3">
      <c r="B692">
        <f>Feuille1!A701</f>
        <v>196</v>
      </c>
      <c r="C692">
        <f>Feuille1!B701</f>
        <v>11756.637444748943</v>
      </c>
      <c r="D692">
        <f>Feuille1!C701</f>
        <v>421.55711702002964</v>
      </c>
    </row>
    <row r="693" spans="2:4" x14ac:dyDescent="0.3">
      <c r="B693">
        <f>Feuille1!A702</f>
        <v>196.5</v>
      </c>
      <c r="C693">
        <f>Feuille1!B702</f>
        <v>13037.959471416298</v>
      </c>
      <c r="D693">
        <f>Feuille1!C702</f>
        <v>2930.2744784205406</v>
      </c>
    </row>
    <row r="694" spans="2:4" x14ac:dyDescent="0.3">
      <c r="B694">
        <f>Feuille1!A703</f>
        <v>197</v>
      </c>
      <c r="C694">
        <f>Feuille1!B703</f>
        <v>14339.493647352569</v>
      </c>
      <c r="D694">
        <f>Feuille1!C703</f>
        <v>6317.9785879341325</v>
      </c>
    </row>
    <row r="695" spans="2:4" x14ac:dyDescent="0.3">
      <c r="B695">
        <f>Feuille1!A704</f>
        <v>197.5</v>
      </c>
      <c r="C695">
        <f>Feuille1!B704</f>
        <v>15818.749585340322</v>
      </c>
      <c r="D695">
        <f>Feuille1!C704</f>
        <v>10955.533484519332</v>
      </c>
    </row>
    <row r="696" spans="2:4" x14ac:dyDescent="0.3">
      <c r="B696">
        <f>Feuille1!A705</f>
        <v>198</v>
      </c>
      <c r="C696">
        <f>Feuille1!B705</f>
        <v>17885.593262608214</v>
      </c>
      <c r="D696">
        <f>Feuille1!C705</f>
        <v>17574.607493802218</v>
      </c>
    </row>
    <row r="697" spans="2:4" x14ac:dyDescent="0.3">
      <c r="B697">
        <f>Feuille1!A706</f>
        <v>198.5</v>
      </c>
      <c r="C697">
        <f>Feuille1!B706</f>
        <v>21329.846979732494</v>
      </c>
      <c r="D697">
        <f>Feuille1!C706</f>
        <v>26063.358643503725</v>
      </c>
    </row>
    <row r="698" spans="2:4" x14ac:dyDescent="0.3">
      <c r="B698">
        <f>Feuille1!A707</f>
        <v>199</v>
      </c>
      <c r="C698">
        <f>Feuille1!B707</f>
        <v>23859.747671087491</v>
      </c>
      <c r="D698">
        <f>Feuille1!C707</f>
        <v>31524.154271015163</v>
      </c>
    </row>
    <row r="699" spans="2:4" x14ac:dyDescent="0.3">
      <c r="B699">
        <f>Feuille1!A708</f>
        <v>199.5</v>
      </c>
      <c r="C699">
        <f>Feuille1!B708</f>
        <v>25571.780801660858</v>
      </c>
      <c r="D699">
        <f>Feuille1!C708</f>
        <v>35108.73850705495</v>
      </c>
    </row>
    <row r="700" spans="2:4" x14ac:dyDescent="0.3">
      <c r="B700">
        <f>Feuille1!A709</f>
        <v>200</v>
      </c>
      <c r="C700">
        <f>Feuille1!B709</f>
        <v>26639.495295312256</v>
      </c>
      <c r="D700">
        <f>Feuille1!C709</f>
        <v>37376.219696109518</v>
      </c>
    </row>
    <row r="701" spans="2:4" x14ac:dyDescent="0.3">
      <c r="B701">
        <f>Feuille1!A710</f>
        <v>200.5</v>
      </c>
      <c r="C701">
        <f>Feuille1!B710</f>
        <v>27154.080069259584</v>
      </c>
      <c r="D701">
        <f>Feuille1!C710</f>
        <v>38568.013253299338</v>
      </c>
    </row>
    <row r="702" spans="2:4" x14ac:dyDescent="0.3">
      <c r="B702">
        <f>Feuille1!A711</f>
        <v>201</v>
      </c>
      <c r="C702">
        <f>Feuille1!B711</f>
        <v>27157.960448292964</v>
      </c>
      <c r="D702">
        <f>Feuille1!C711</f>
        <v>38783.751851824469</v>
      </c>
    </row>
    <row r="703" spans="2:4" x14ac:dyDescent="0.3">
      <c r="B703">
        <f>Feuille1!A712</f>
        <v>201.5</v>
      </c>
      <c r="C703">
        <f>Feuille1!B712</f>
        <v>26660.540607244704</v>
      </c>
      <c r="D703">
        <f>Feuille1!C712</f>
        <v>38036.101816713606</v>
      </c>
    </row>
    <row r="704" spans="2:4" x14ac:dyDescent="0.3">
      <c r="B704">
        <f>Feuille1!A713</f>
        <v>202</v>
      </c>
      <c r="C704">
        <f>Feuille1!B713</f>
        <v>25641.727735395016</v>
      </c>
      <c r="D704">
        <f>Feuille1!C713</f>
        <v>36257.254950021495</v>
      </c>
    </row>
    <row r="705" spans="2:4" x14ac:dyDescent="0.3">
      <c r="B705">
        <f>Feuille1!A714</f>
        <v>202.5</v>
      </c>
      <c r="C705">
        <f>Feuille1!B714</f>
        <v>24046.408330869726</v>
      </c>
      <c r="D705">
        <f>Feuille1!C714</f>
        <v>33265.147852061957</v>
      </c>
    </row>
    <row r="706" spans="2:4" x14ac:dyDescent="0.3">
      <c r="B706">
        <f>Feuille1!A715</f>
        <v>203</v>
      </c>
      <c r="C706">
        <f>Feuille1!B715</f>
        <v>21771.838719445925</v>
      </c>
      <c r="D706">
        <f>Feuille1!C715</f>
        <v>28647.194678957545</v>
      </c>
    </row>
    <row r="707" spans="2:4" x14ac:dyDescent="0.3">
      <c r="B707">
        <f>Feuille1!A716</f>
        <v>203.5</v>
      </c>
      <c r="C707">
        <f>Feuille1!B716</f>
        <v>18731.120582133921</v>
      </c>
      <c r="D707">
        <f>Feuille1!C716</f>
        <v>21439.988760183922</v>
      </c>
    </row>
    <row r="708" spans="2:4" x14ac:dyDescent="0.3">
      <c r="B708">
        <f>Feuille1!A717</f>
        <v>204</v>
      </c>
      <c r="C708">
        <f>Feuille1!B717</f>
        <v>16575.771496689649</v>
      </c>
      <c r="D708">
        <f>Feuille1!C717</f>
        <v>12745.113471935631</v>
      </c>
    </row>
    <row r="709" spans="2:4" x14ac:dyDescent="0.3">
      <c r="B709">
        <f>Feuille1!A718</f>
        <v>204.5</v>
      </c>
      <c r="C709">
        <f>Feuille1!B718</f>
        <v>15204.578321052393</v>
      </c>
      <c r="D709">
        <f>Feuille1!C718</f>
        <v>6386.0004305301063</v>
      </c>
    </row>
    <row r="710" spans="2:4" x14ac:dyDescent="0.3">
      <c r="B710">
        <f>Feuille1!A719</f>
        <v>205</v>
      </c>
      <c r="C710">
        <f>Feuille1!B719</f>
        <v>13964.878206953575</v>
      </c>
      <c r="D710">
        <f>Feuille1!C719</f>
        <v>1349.9306028321839</v>
      </c>
    </row>
    <row r="711" spans="2:4" x14ac:dyDescent="0.3">
      <c r="B711">
        <f>Feuille1!A720</f>
        <v>205.5</v>
      </c>
      <c r="C711">
        <f>Feuille1!B720</f>
        <v>12653.784648843517</v>
      </c>
      <c r="D711">
        <f>Feuille1!C720</f>
        <v>-2882.6972775116551</v>
      </c>
    </row>
    <row r="712" spans="2:4" x14ac:dyDescent="0.3">
      <c r="B712">
        <f>Feuille1!A721</f>
        <v>206</v>
      </c>
      <c r="C712">
        <f>Feuille1!B721</f>
        <v>11181.097440796391</v>
      </c>
      <c r="D712">
        <f>Feuille1!C721</f>
        <v>-6601.4841926844792</v>
      </c>
    </row>
    <row r="713" spans="2:4" x14ac:dyDescent="0.3">
      <c r="B713">
        <f>Feuille1!A722</f>
        <v>206.5</v>
      </c>
      <c r="C713">
        <f>Feuille1!B722</f>
        <v>9487.9828076716785</v>
      </c>
      <c r="D713">
        <f>Feuille1!C722</f>
        <v>-10009.207590423248</v>
      </c>
    </row>
    <row r="714" spans="2:4" x14ac:dyDescent="0.3">
      <c r="B714">
        <f>Feuille1!A723</f>
        <v>207</v>
      </c>
      <c r="C714">
        <f>Feuille1!B723</f>
        <v>7520.3607871672202</v>
      </c>
      <c r="D714">
        <f>Feuille1!C723</f>
        <v>-13282.188858653979</v>
      </c>
    </row>
    <row r="715" spans="2:4" x14ac:dyDescent="0.3">
      <c r="B715">
        <f>Feuille1!A724</f>
        <v>207.5</v>
      </c>
      <c r="C715">
        <f>Feuille1!B724</f>
        <v>5214.6257873812447</v>
      </c>
      <c r="D715">
        <f>Feuille1!C724</f>
        <v>-16609.433391386523</v>
      </c>
    </row>
    <row r="716" spans="2:4" x14ac:dyDescent="0.3">
      <c r="B716">
        <f>Feuille1!A725</f>
        <v>208</v>
      </c>
      <c r="C716">
        <f>Feuille1!B725</f>
        <v>2482.854121213325</v>
      </c>
      <c r="D716">
        <f>Feuille1!C725</f>
        <v>-20240.284944123989</v>
      </c>
    </row>
    <row r="717" spans="2:4" x14ac:dyDescent="0.3">
      <c r="B717">
        <f>Feuille1!A726</f>
        <v>208.5</v>
      </c>
      <c r="C717">
        <f>Feuille1!B726</f>
        <v>-809.97711177494614</v>
      </c>
      <c r="D717">
        <f>Feuille1!C726</f>
        <v>-24582.45391255854</v>
      </c>
    </row>
    <row r="718" spans="2:4" x14ac:dyDescent="0.3">
      <c r="B718">
        <f>Feuille1!A727</f>
        <v>209</v>
      </c>
      <c r="C718">
        <f>Feuille1!B727</f>
        <v>-4851.6508716733579</v>
      </c>
      <c r="D718">
        <f>Feuille1!C727</f>
        <v>-30467.914142325404</v>
      </c>
    </row>
    <row r="719" spans="2:4" x14ac:dyDescent="0.3">
      <c r="B719">
        <f>Feuille1!A728</f>
        <v>209.5</v>
      </c>
      <c r="C719">
        <f>Feuille1!B728</f>
        <v>-8975.0041137864391</v>
      </c>
      <c r="D719">
        <f>Feuille1!C728</f>
        <v>-39057.70536515463</v>
      </c>
    </row>
    <row r="720" spans="2:4" x14ac:dyDescent="0.3">
      <c r="B720">
        <f>Feuille1!A729</f>
        <v>210</v>
      </c>
      <c r="C720">
        <f>Feuille1!B729</f>
        <v>-10967.47371971736</v>
      </c>
      <c r="D720">
        <f>Feuille1!C729</f>
        <v>-45287.439809312018</v>
      </c>
    </row>
    <row r="721" spans="2:4" x14ac:dyDescent="0.3">
      <c r="B721">
        <f>Feuille1!A730</f>
        <v>210.5</v>
      </c>
      <c r="C721">
        <f>Feuille1!B730</f>
        <v>-11989.472589216119</v>
      </c>
      <c r="D721">
        <f>Feuille1!C730</f>
        <v>-49708.065242330129</v>
      </c>
    </row>
    <row r="722" spans="2:4" x14ac:dyDescent="0.3">
      <c r="B722">
        <f>Feuille1!A731</f>
        <v>211</v>
      </c>
      <c r="C722">
        <f>Feuille1!B731</f>
        <v>-12454.832474565097</v>
      </c>
      <c r="D722">
        <f>Feuille1!C731</f>
        <v>-52846.204542931235</v>
      </c>
    </row>
    <row r="723" spans="2:4" x14ac:dyDescent="0.3">
      <c r="B723">
        <f>Feuille1!A732</f>
        <v>211.5</v>
      </c>
      <c r="C723">
        <f>Feuille1!B732</f>
        <v>-12531.691127677701</v>
      </c>
      <c r="D723">
        <f>Feuille1!C732</f>
        <v>-54957.815575406712</v>
      </c>
    </row>
    <row r="724" spans="2:4" x14ac:dyDescent="0.3">
      <c r="B724">
        <f>Feuille1!A733</f>
        <v>212</v>
      </c>
      <c r="C724">
        <f>Feuille1!B733</f>
        <v>-12302.334547676746</v>
      </c>
      <c r="D724">
        <f>Feuille1!C733</f>
        <v>-56170.5089751466</v>
      </c>
    </row>
    <row r="725" spans="2:4" x14ac:dyDescent="0.3">
      <c r="B725">
        <f>Feuille1!A734</f>
        <v>212.5</v>
      </c>
      <c r="C725">
        <f>Feuille1!B734</f>
        <v>-11810.654122686874</v>
      </c>
      <c r="D725">
        <f>Feuille1!C734</f>
        <v>-56540.57068891199</v>
      </c>
    </row>
    <row r="726" spans="2:4" x14ac:dyDescent="0.3">
      <c r="B726">
        <f>Feuille1!A735</f>
        <v>213</v>
      </c>
      <c r="C726">
        <f>Feuille1!B735</f>
        <v>-11079.34083509328</v>
      </c>
      <c r="D726">
        <f>Feuille1!C735</f>
        <v>-56073.349467221298</v>
      </c>
    </row>
    <row r="727" spans="2:4" x14ac:dyDescent="0.3">
      <c r="B727">
        <f>Feuille1!A736</f>
        <v>213.5</v>
      </c>
      <c r="C727">
        <f>Feuille1!B736</f>
        <v>-10116.586902456012</v>
      </c>
      <c r="D727">
        <f>Feuille1!C736</f>
        <v>-54725.059949403789</v>
      </c>
    </row>
    <row r="728" spans="2:4" x14ac:dyDescent="0.3">
      <c r="B728">
        <f>Feuille1!A737</f>
        <v>214</v>
      </c>
      <c r="C728">
        <f>Feuille1!B737</f>
        <v>-8917.9834425486224</v>
      </c>
      <c r="D728">
        <f>Feuille1!C737</f>
        <v>-52387.363204151487</v>
      </c>
    </row>
    <row r="729" spans="2:4" x14ac:dyDescent="0.3">
      <c r="B729">
        <f>Feuille1!A738</f>
        <v>214.5</v>
      </c>
      <c r="C729">
        <f>Feuille1!B738</f>
        <v>-7465.6604330635173</v>
      </c>
      <c r="D729">
        <f>Feuille1!C738</f>
        <v>-48840.535100280198</v>
      </c>
    </row>
    <row r="730" spans="2:4" x14ac:dyDescent="0.3">
      <c r="B730">
        <f>Feuille1!A739</f>
        <v>215</v>
      </c>
      <c r="C730">
        <f>Feuille1!B739</f>
        <v>-5730.6128818221614</v>
      </c>
      <c r="D730">
        <f>Feuille1!C739</f>
        <v>-43621.417907420153</v>
      </c>
    </row>
    <row r="731" spans="2:4" x14ac:dyDescent="0.3">
      <c r="B731">
        <f>Feuille1!A740</f>
        <v>215.5</v>
      </c>
      <c r="C731">
        <f>Feuille1!B740</f>
        <v>-3768.3177257733059</v>
      </c>
      <c r="D731">
        <f>Feuille1!C740</f>
        <v>-35680.434447445856</v>
      </c>
    </row>
    <row r="732" spans="2:4" x14ac:dyDescent="0.3">
      <c r="B732">
        <f>Feuille1!A741</f>
        <v>216</v>
      </c>
      <c r="C732">
        <f>Feuille1!B741</f>
        <v>-3020.2131494867272</v>
      </c>
      <c r="D732">
        <f>Feuille1!C741</f>
        <v>-26831.59213106551</v>
      </c>
    </row>
    <row r="733" spans="2:4" x14ac:dyDescent="0.3">
      <c r="B733">
        <f>Feuille1!A742</f>
        <v>216.5</v>
      </c>
      <c r="C733">
        <f>Feuille1!B742</f>
        <v>-2873.274559753957</v>
      </c>
      <c r="D733">
        <f>Feuille1!C742</f>
        <v>-20204.336330202212</v>
      </c>
    </row>
    <row r="734" spans="2:4" x14ac:dyDescent="0.3">
      <c r="B734">
        <f>Feuille1!A743</f>
        <v>217</v>
      </c>
      <c r="C734">
        <f>Feuille1!B743</f>
        <v>-2915.8020940387541</v>
      </c>
      <c r="D734">
        <f>Feuille1!C743</f>
        <v>-14598.17475717546</v>
      </c>
    </row>
    <row r="735" spans="2:4" x14ac:dyDescent="0.3">
      <c r="B735">
        <f>Feuille1!A744</f>
        <v>217.5</v>
      </c>
      <c r="C735">
        <f>Feuille1!B744</f>
        <v>-3036.0380784850954</v>
      </c>
      <c r="D735">
        <f>Feuille1!C744</f>
        <v>-9402.1936425315726</v>
      </c>
    </row>
    <row r="736" spans="2:4" x14ac:dyDescent="0.3">
      <c r="B736">
        <f>Feuille1!A745</f>
        <v>218</v>
      </c>
      <c r="C736">
        <f>Feuille1!B745</f>
        <v>-3195.95700717213</v>
      </c>
      <c r="D736">
        <f>Feuille1!C745</f>
        <v>-4253.1765396403853</v>
      </c>
    </row>
    <row r="737" spans="2:4" x14ac:dyDescent="0.3">
      <c r="B737">
        <f>Feuille1!A746</f>
        <v>218.5</v>
      </c>
      <c r="C737">
        <f>Feuille1!B746</f>
        <v>-3391.9872039763864</v>
      </c>
      <c r="D737">
        <f>Feuille1!C746</f>
        <v>1112.6320372371711</v>
      </c>
    </row>
    <row r="738" spans="2:4" x14ac:dyDescent="0.3">
      <c r="B738">
        <f>Feuille1!A747</f>
        <v>219</v>
      </c>
      <c r="C738">
        <f>Feuille1!B747</f>
        <v>-3660.6577703386956</v>
      </c>
      <c r="D738">
        <f>Feuille1!C747</f>
        <v>6903.3990946616332</v>
      </c>
    </row>
    <row r="739" spans="2:4" x14ac:dyDescent="0.3">
      <c r="B739">
        <f>Feuille1!A748</f>
        <v>219.5</v>
      </c>
      <c r="C739">
        <f>Feuille1!B748</f>
        <v>-4120.0289616243717</v>
      </c>
      <c r="D739">
        <f>Feuille1!C748</f>
        <v>13242.083872228894</v>
      </c>
    </row>
    <row r="740" spans="2:4" x14ac:dyDescent="0.3">
      <c r="B740">
        <f>Feuille1!A749</f>
        <v>220</v>
      </c>
      <c r="C740">
        <f>Feuille1!B749</f>
        <v>-5039.568370993622</v>
      </c>
      <c r="D740">
        <f>Feuille1!C749</f>
        <v>20012.789091776245</v>
      </c>
    </row>
    <row r="741" spans="2:4" x14ac:dyDescent="0.3">
      <c r="B741">
        <f>Feuille1!A750</f>
        <v>220.5</v>
      </c>
      <c r="C741">
        <f>Feuille1!B750</f>
        <v>-6749.7427202286517</v>
      </c>
      <c r="D741">
        <f>Feuille1!C750</f>
        <v>26639.9725755492</v>
      </c>
    </row>
    <row r="742" spans="2:4" x14ac:dyDescent="0.3">
      <c r="B742">
        <f>Feuille1!A751</f>
        <v>221</v>
      </c>
      <c r="C742">
        <f>Feuille1!B751</f>
        <v>-9226.8892653965577</v>
      </c>
      <c r="D742">
        <f>Feuille1!C751</f>
        <v>32387.603014332206</v>
      </c>
    </row>
    <row r="743" spans="2:4" x14ac:dyDescent="0.3">
      <c r="B743">
        <f>Feuille1!A752</f>
        <v>221.5</v>
      </c>
      <c r="C743">
        <f>Feuille1!B752</f>
        <v>-12135.472413280435</v>
      </c>
      <c r="D743">
        <f>Feuille1!C752</f>
        <v>36951.796407968301</v>
      </c>
    </row>
    <row r="744" spans="2:4" x14ac:dyDescent="0.3">
      <c r="B744">
        <f>Feuille1!A753</f>
        <v>222</v>
      </c>
      <c r="C744">
        <f>Feuille1!B753</f>
        <v>-15183.352239550732</v>
      </c>
      <c r="D744">
        <f>Feuille1!C753</f>
        <v>40369.287048009013</v>
      </c>
    </row>
    <row r="745" spans="2:4" x14ac:dyDescent="0.3">
      <c r="B745">
        <f>Feuille1!A754</f>
        <v>222.5</v>
      </c>
      <c r="C745">
        <f>Feuille1!B754</f>
        <v>-18194.746185903292</v>
      </c>
      <c r="D745">
        <f>Feuille1!C754</f>
        <v>42766.106905508554</v>
      </c>
    </row>
    <row r="746" spans="2:4" x14ac:dyDescent="0.3">
      <c r="B746">
        <f>Feuille1!A755</f>
        <v>223</v>
      </c>
      <c r="C746">
        <f>Feuille1!B755</f>
        <v>-21067.814022429859</v>
      </c>
      <c r="D746">
        <f>Feuille1!C755</f>
        <v>44260.015150896594</v>
      </c>
    </row>
    <row r="747" spans="2:4" x14ac:dyDescent="0.3">
      <c r="B747">
        <f>Feuille1!A756</f>
        <v>223.5</v>
      </c>
      <c r="C747">
        <f>Feuille1!B756</f>
        <v>-23737.721467766416</v>
      </c>
      <c r="D747">
        <f>Feuille1!C756</f>
        <v>44940.500717668001</v>
      </c>
    </row>
    <row r="748" spans="2:4" x14ac:dyDescent="0.3">
      <c r="B748">
        <f>Feuille1!A757</f>
        <v>224</v>
      </c>
      <c r="C748">
        <f>Feuille1!B757</f>
        <v>-26155.709648299377</v>
      </c>
      <c r="D748">
        <f>Feuille1!C757</f>
        <v>44869.48674783043</v>
      </c>
    </row>
    <row r="749" spans="2:4" x14ac:dyDescent="0.3">
      <c r="B749">
        <f>Feuille1!A758</f>
        <v>224.5</v>
      </c>
      <c r="C749">
        <f>Feuille1!B758</f>
        <v>-28277.126759384395</v>
      </c>
      <c r="D749">
        <f>Feuille1!C758</f>
        <v>44085.191053060407</v>
      </c>
    </row>
    <row r="750" spans="2:4" x14ac:dyDescent="0.3">
      <c r="B750">
        <f>Feuille1!A759</f>
        <v>225</v>
      </c>
      <c r="C750">
        <f>Feuille1!B759</f>
        <v>-30053.039344689867</v>
      </c>
      <c r="D750">
        <f>Feuille1!C759</f>
        <v>42604.858924153908</v>
      </c>
    </row>
    <row r="751" spans="2:4" x14ac:dyDescent="0.3">
      <c r="B751">
        <f>Feuille1!A760</f>
        <v>225.5</v>
      </c>
      <c r="C751">
        <f>Feuille1!B760</f>
        <v>-31421.887804673403</v>
      </c>
      <c r="D751">
        <f>Feuille1!C760</f>
        <v>40425.416644290417</v>
      </c>
    </row>
    <row r="752" spans="2:4" x14ac:dyDescent="0.3">
      <c r="B752">
        <f>Feuille1!A761</f>
        <v>226</v>
      </c>
      <c r="C752">
        <f>Feuille1!B761</f>
        <v>-32297.652742424372</v>
      </c>
      <c r="D752">
        <f>Feuille1!C761</f>
        <v>37521.676948530912</v>
      </c>
    </row>
    <row r="753" spans="2:4" x14ac:dyDescent="0.3">
      <c r="B753">
        <f>Feuille1!A762</f>
        <v>226.5</v>
      </c>
      <c r="C753">
        <f>Feuille1!B762</f>
        <v>-32548.337276163151</v>
      </c>
      <c r="D753">
        <f>Feuille1!C762</f>
        <v>33841.833226011651</v>
      </c>
    </row>
    <row r="754" spans="2:4" x14ac:dyDescent="0.3">
      <c r="B754">
        <f>Feuille1!A763</f>
        <v>227</v>
      </c>
      <c r="C754">
        <f>Feuille1!B763</f>
        <v>-31949.589048797923</v>
      </c>
      <c r="D754">
        <f>Feuille1!C763</f>
        <v>29302.045789590127</v>
      </c>
    </row>
    <row r="755" spans="2:4" x14ac:dyDescent="0.3">
      <c r="B755">
        <f>Feuille1!A764</f>
        <v>227.5</v>
      </c>
      <c r="C755">
        <f>Feuille1!B764</f>
        <v>-30070.851013479169</v>
      </c>
      <c r="D755">
        <f>Feuille1!C764</f>
        <v>23801.172483944298</v>
      </c>
    </row>
    <row r="756" spans="2:4" x14ac:dyDescent="0.3">
      <c r="B756">
        <f>Feuille1!A765</f>
        <v>228</v>
      </c>
      <c r="C756">
        <f>Feuille1!B765</f>
        <v>-26011.273568290053</v>
      </c>
      <c r="D756">
        <f>Feuille1!C765</f>
        <v>17446.362678011661</v>
      </c>
    </row>
    <row r="757" spans="2:4" x14ac:dyDescent="0.3">
      <c r="B757">
        <f>Feuille1!A766</f>
        <v>228.5</v>
      </c>
      <c r="C757">
        <f>Feuille1!B766</f>
        <v>-19001.961270556654</v>
      </c>
      <c r="D757">
        <f>Feuille1!C766</f>
        <v>12124.41075394114</v>
      </c>
    </row>
    <row r="758" spans="2:4" x14ac:dyDescent="0.3">
      <c r="B758">
        <f>Feuille1!A767</f>
        <v>229</v>
      </c>
      <c r="C758">
        <f>Feuille1!B767</f>
        <v>-12021.275399304363</v>
      </c>
      <c r="D758">
        <f>Feuille1!C767</f>
        <v>9356.7081486093248</v>
      </c>
    </row>
    <row r="759" spans="2:4" x14ac:dyDescent="0.3">
      <c r="B759">
        <f>Feuille1!A768</f>
        <v>229.5</v>
      </c>
      <c r="C759">
        <f>Feuille1!B768</f>
        <v>-5655.1066151118266</v>
      </c>
      <c r="D759">
        <f>Feuille1!C768</f>
        <v>7815.6910489643269</v>
      </c>
    </row>
    <row r="760" spans="2:4" x14ac:dyDescent="0.3">
      <c r="B760">
        <f>Feuille1!A769</f>
        <v>230</v>
      </c>
      <c r="C760">
        <f>Feuille1!B769</f>
        <v>399.71319869039229</v>
      </c>
      <c r="D760">
        <f>Feuille1!C769</f>
        <v>6904.0495062606478</v>
      </c>
    </row>
    <row r="761" spans="2:4" x14ac:dyDescent="0.3">
      <c r="B761">
        <f>Feuille1!A770</f>
        <v>230.5</v>
      </c>
      <c r="C761">
        <f>Feuille1!B770</f>
        <v>6444.805809086205</v>
      </c>
      <c r="D761">
        <f>Feuille1!C770</f>
        <v>6494.4184258547784</v>
      </c>
    </row>
    <row r="762" spans="2:4" x14ac:dyDescent="0.3">
      <c r="B762">
        <f>Feuille1!A771</f>
        <v>231</v>
      </c>
      <c r="C762">
        <f>Feuille1!B771</f>
        <v>12712.419055385673</v>
      </c>
      <c r="D762">
        <f>Feuille1!C771</f>
        <v>6760.0125439399135</v>
      </c>
    </row>
    <row r="763" spans="2:4" x14ac:dyDescent="0.3">
      <c r="B763">
        <f>Feuille1!A772</f>
        <v>231.5</v>
      </c>
      <c r="C763">
        <f>Feuille1!B772</f>
        <v>19262.149268625788</v>
      </c>
      <c r="D763">
        <f>Feuille1!C772</f>
        <v>8178.2574781797339</v>
      </c>
    </row>
    <row r="764" spans="2:4" x14ac:dyDescent="0.3">
      <c r="B764">
        <f>Feuille1!A773</f>
        <v>232</v>
      </c>
      <c r="C764">
        <f>Feuille1!B773</f>
        <v>25605.410107801425</v>
      </c>
      <c r="D764">
        <f>Feuille1!C773</f>
        <v>11412.20921427527</v>
      </c>
    </row>
    <row r="765" spans="2:4" x14ac:dyDescent="0.3">
      <c r="B765">
        <f>Feuille1!A774</f>
        <v>232.5</v>
      </c>
      <c r="C765">
        <f>Feuille1!B774</f>
        <v>30470.654151180275</v>
      </c>
      <c r="D765">
        <f>Feuille1!C774</f>
        <v>16416.467202448155</v>
      </c>
    </row>
    <row r="766" spans="2:4" x14ac:dyDescent="0.3">
      <c r="B766">
        <f>Feuille1!A775</f>
        <v>233</v>
      </c>
      <c r="C766">
        <f>Feuille1!B775</f>
        <v>33170.366868792866</v>
      </c>
      <c r="D766">
        <f>Feuille1!C775</f>
        <v>22003.919212760826</v>
      </c>
    </row>
    <row r="767" spans="2:4" x14ac:dyDescent="0.3">
      <c r="B767">
        <f>Feuille1!A776</f>
        <v>233.5</v>
      </c>
      <c r="C767">
        <f>Feuille1!B776</f>
        <v>34038.996421143762</v>
      </c>
      <c r="D767">
        <f>Feuille1!C776</f>
        <v>27261.282025088145</v>
      </c>
    </row>
    <row r="768" spans="2:4" x14ac:dyDescent="0.3">
      <c r="B768">
        <f>Feuille1!A777</f>
        <v>234</v>
      </c>
      <c r="C768">
        <f>Feuille1!B777</f>
        <v>33563.351445446366</v>
      </c>
      <c r="D768">
        <f>Feuille1!C777</f>
        <v>31832.070663911323</v>
      </c>
    </row>
    <row r="769" spans="2:4" x14ac:dyDescent="0.3">
      <c r="B769">
        <f>Feuille1!A778</f>
        <v>234.5</v>
      </c>
      <c r="C769">
        <f>Feuille1!B778</f>
        <v>32103.464440118387</v>
      </c>
      <c r="D769">
        <f>Feuille1!C778</f>
        <v>35603.613893323884</v>
      </c>
    </row>
    <row r="770" spans="2:4" x14ac:dyDescent="0.3">
      <c r="B770">
        <f>Feuille1!A779</f>
        <v>235</v>
      </c>
      <c r="C770">
        <f>Feuille1!B779</f>
        <v>29905.329646605551</v>
      </c>
      <c r="D770">
        <f>Feuille1!C779</f>
        <v>38541.499354782987</v>
      </c>
    </row>
    <row r="771" spans="2:4" x14ac:dyDescent="0.3">
      <c r="B771">
        <f>Feuille1!A780</f>
        <v>235.5</v>
      </c>
      <c r="C771">
        <f>Feuille1!B780</f>
        <v>27143.517598533708</v>
      </c>
      <c r="D771">
        <f>Feuille1!C780</f>
        <v>40630.468938784295</v>
      </c>
    </row>
    <row r="772" spans="2:4" x14ac:dyDescent="0.3">
      <c r="B772">
        <f>Feuille1!A781</f>
        <v>236</v>
      </c>
      <c r="C772">
        <f>Feuille1!B781</f>
        <v>23951.79756201238</v>
      </c>
      <c r="D772">
        <f>Feuille1!C781</f>
        <v>41854.272383277021</v>
      </c>
    </row>
    <row r="773" spans="2:4" x14ac:dyDescent="0.3">
      <c r="B773">
        <f>Feuille1!A782</f>
        <v>236.5</v>
      </c>
      <c r="C773">
        <f>Feuille1!B782</f>
        <v>20443.128785996887</v>
      </c>
      <c r="D773">
        <f>Feuille1!C782</f>
        <v>42189.085334514049</v>
      </c>
    </row>
    <row r="774" spans="2:4" x14ac:dyDescent="0.3">
      <c r="B774">
        <f>Feuille1!A783</f>
        <v>237</v>
      </c>
      <c r="C774">
        <f>Feuille1!B783</f>
        <v>16723.533859219981</v>
      </c>
      <c r="D774">
        <f>Feuille1!C783</f>
        <v>41602.673411504889</v>
      </c>
    </row>
    <row r="775" spans="2:4" x14ac:dyDescent="0.3">
      <c r="B775">
        <f>Feuille1!A784</f>
        <v>237.5</v>
      </c>
      <c r="C775">
        <f>Feuille1!B784</f>
        <v>12902.210341313703</v>
      </c>
      <c r="D775">
        <f>Feuille1!C784</f>
        <v>40058.084747286593</v>
      </c>
    </row>
    <row r="776" spans="2:4" x14ac:dyDescent="0.3">
      <c r="B776">
        <f>Feuille1!A785</f>
        <v>238</v>
      </c>
      <c r="C776">
        <f>Feuille1!B785</f>
        <v>9096.7523633364126</v>
      </c>
      <c r="D776">
        <f>Feuille1!C785</f>
        <v>37524.106147260041</v>
      </c>
    </row>
    <row r="777" spans="2:4" x14ac:dyDescent="0.3">
      <c r="B777">
        <f>Feuille1!A786</f>
        <v>238.5</v>
      </c>
      <c r="C777">
        <f>Feuille1!B786</f>
        <v>5425.543769524963</v>
      </c>
      <c r="D777">
        <f>Feuille1!C786</f>
        <v>33996.850933568669</v>
      </c>
    </row>
    <row r="778" spans="2:4" x14ac:dyDescent="0.3">
      <c r="B778">
        <f>Feuille1!A787</f>
        <v>239</v>
      </c>
      <c r="C778">
        <f>Feuille1!B787</f>
        <v>1967.0395966264557</v>
      </c>
      <c r="D778">
        <f>Feuille1!C787</f>
        <v>29534.337938367673</v>
      </c>
    </row>
    <row r="779" spans="2:4" x14ac:dyDescent="0.3">
      <c r="B779">
        <f>Feuille1!A788</f>
        <v>239.5</v>
      </c>
      <c r="C779">
        <f>Feuille1!B788</f>
        <v>-1340.5933449039801</v>
      </c>
      <c r="D779">
        <f>Feuille1!C788</f>
        <v>24292.74859532464</v>
      </c>
    </row>
    <row r="780" spans="2:4" x14ac:dyDescent="0.3">
      <c r="B780">
        <f>Feuille1!A789</f>
        <v>240</v>
      </c>
      <c r="C780">
        <f>Feuille1!B789</f>
        <v>-4831.3280608927453</v>
      </c>
      <c r="D780">
        <f>Feuille1!C789</f>
        <v>18555.647435045437</v>
      </c>
    </row>
    <row r="781" spans="2:4" x14ac:dyDescent="0.3">
      <c r="B781">
        <f>Feuille1!A790</f>
        <v>240.5</v>
      </c>
      <c r="C781">
        <f>Feuille1!B790</f>
        <v>-9064.9746311940962</v>
      </c>
      <c r="D781">
        <f>Feuille1!C790</f>
        <v>12835.601141199726</v>
      </c>
    </row>
    <row r="782" spans="2:4" x14ac:dyDescent="0.3">
      <c r="B782">
        <f>Feuille1!A791</f>
        <v>241</v>
      </c>
      <c r="C782">
        <f>Feuille1!B791</f>
        <v>-14257.148448493483</v>
      </c>
      <c r="D782">
        <f>Feuille1!C791</f>
        <v>7963.5531541787768</v>
      </c>
    </row>
    <row r="783" spans="2:4" x14ac:dyDescent="0.3">
      <c r="B783">
        <f>Feuille1!A792</f>
        <v>241.5</v>
      </c>
      <c r="C783">
        <f>Feuille1!B792</f>
        <v>-19814.546239180621</v>
      </c>
      <c r="D783">
        <f>Feuille1!C792</f>
        <v>4466.2057245771093</v>
      </c>
    </row>
    <row r="784" spans="2:4" x14ac:dyDescent="0.3">
      <c r="B784">
        <f>Feuille1!A793</f>
        <v>242</v>
      </c>
      <c r="C784">
        <f>Feuille1!B793</f>
        <v>-25089.215439421601</v>
      </c>
      <c r="D784">
        <f>Feuille1!C793</f>
        <v>2167.5770475198251</v>
      </c>
    </row>
    <row r="785" spans="2:4" x14ac:dyDescent="0.3">
      <c r="B785">
        <f>Feuille1!A794</f>
        <v>242.5</v>
      </c>
      <c r="C785">
        <f>Feuille1!B794</f>
        <v>-29802.009147493463</v>
      </c>
      <c r="D785">
        <f>Feuille1!C794</f>
        <v>712.04920004130065</v>
      </c>
    </row>
    <row r="786" spans="2:4" x14ac:dyDescent="0.3">
      <c r="B786">
        <f>Feuille1!A795</f>
        <v>243</v>
      </c>
      <c r="C786">
        <f>Feuille1!B795</f>
        <v>-33886.316747646473</v>
      </c>
      <c r="D786">
        <f>Feuille1!C795</f>
        <v>-163.15850912869053</v>
      </c>
    </row>
    <row r="787" spans="2:4" x14ac:dyDescent="0.3">
      <c r="B787">
        <f>Feuille1!A796</f>
        <v>243.5</v>
      </c>
      <c r="C787">
        <f>Feuille1!B796</f>
        <v>-37351.109526221364</v>
      </c>
      <c r="D787">
        <f>Feuille1!C796</f>
        <v>-621.58746237377773</v>
      </c>
    </row>
    <row r="788" spans="2:4" x14ac:dyDescent="0.3">
      <c r="B788">
        <f>Feuille1!A797</f>
        <v>244</v>
      </c>
      <c r="C788">
        <f>Feuille1!B797</f>
        <v>-40225.443547165676</v>
      </c>
      <c r="D788">
        <f>Feuille1!C797</f>
        <v>-763.58738201822734</v>
      </c>
    </row>
    <row r="789" spans="2:4" x14ac:dyDescent="0.3">
      <c r="B789">
        <f>Feuille1!A798</f>
        <v>244.5</v>
      </c>
      <c r="C789">
        <f>Feuille1!B798</f>
        <v>-42539.22270128395</v>
      </c>
      <c r="D789">
        <f>Feuille1!C798</f>
        <v>-652.33548733772363</v>
      </c>
    </row>
    <row r="790" spans="2:4" x14ac:dyDescent="0.3">
      <c r="B790">
        <f>Feuille1!A799</f>
        <v>245</v>
      </c>
      <c r="C790">
        <f>Feuille1!B799</f>
        <v>-44316.952349514162</v>
      </c>
      <c r="D790">
        <f>Feuille1!C799</f>
        <v>-328.73706607658045</v>
      </c>
    </row>
    <row r="791" spans="2:4" x14ac:dyDescent="0.3">
      <c r="B791">
        <f>Feuille1!A800</f>
        <v>245.5</v>
      </c>
      <c r="C791">
        <f>Feuille1!B800</f>
        <v>-45575.890029080168</v>
      </c>
      <c r="D791">
        <f>Feuille1!C800</f>
        <v>180.36990098256166</v>
      </c>
    </row>
    <row r="792" spans="2:4" x14ac:dyDescent="0.3">
      <c r="B792">
        <f>Feuille1!A801</f>
        <v>246</v>
      </c>
      <c r="C792">
        <f>Feuille1!B801</f>
        <v>-46325.515317143378</v>
      </c>
      <c r="D792">
        <f>Feuille1!C801</f>
        <v>857.71070428357814</v>
      </c>
    </row>
    <row r="793" spans="2:4" x14ac:dyDescent="0.3">
      <c r="B793">
        <f>Feuille1!A802</f>
        <v>246.5</v>
      </c>
      <c r="C793">
        <f>Feuille1!B802</f>
        <v>-46567.150209418229</v>
      </c>
      <c r="D793">
        <f>Feuille1!C802</f>
        <v>1693.1777082368076</v>
      </c>
    </row>
    <row r="794" spans="2:4" x14ac:dyDescent="0.3">
      <c r="B794">
        <f>Feuille1!A803</f>
        <v>247</v>
      </c>
      <c r="C794">
        <f>Feuille1!B803</f>
        <v>-46293.184150373425</v>
      </c>
      <c r="D794">
        <f>Feuille1!C803</f>
        <v>2682.7757067924781</v>
      </c>
    </row>
    <row r="795" spans="2:4" x14ac:dyDescent="0.3">
      <c r="B795">
        <f>Feuille1!A804</f>
        <v>247.5</v>
      </c>
      <c r="C795">
        <f>Feuille1!B804</f>
        <v>-45485.471933196575</v>
      </c>
      <c r="D795">
        <f>Feuille1!C804</f>
        <v>3828.6337697008812</v>
      </c>
    </row>
    <row r="796" spans="2:4" x14ac:dyDescent="0.3">
      <c r="B796">
        <f>Feuille1!A805</f>
        <v>248</v>
      </c>
      <c r="C796">
        <f>Feuille1!B805</f>
        <v>-44112.278152649262</v>
      </c>
      <c r="D796">
        <f>Feuille1!C805</f>
        <v>5140.1997953030032</v>
      </c>
    </row>
    <row r="797" spans="2:4" x14ac:dyDescent="0.3">
      <c r="B797">
        <f>Feuille1!A806</f>
        <v>248.5</v>
      </c>
      <c r="C797">
        <f>Feuille1!B806</f>
        <v>-42122.53141181259</v>
      </c>
      <c r="D797">
        <f>Feuille1!C806</f>
        <v>6637.2654214263875</v>
      </c>
    </row>
    <row r="798" spans="2:4" x14ac:dyDescent="0.3">
      <c r="B798">
        <f>Feuille1!A807</f>
        <v>249</v>
      </c>
      <c r="C798">
        <f>Feuille1!B807</f>
        <v>-39434.572120026955</v>
      </c>
      <c r="D798">
        <f>Feuille1!C807</f>
        <v>8356.608221699069</v>
      </c>
    </row>
    <row r="799" spans="2:4" x14ac:dyDescent="0.3">
      <c r="B799">
        <f>Feuille1!A808</f>
        <v>249.5</v>
      </c>
      <c r="C799">
        <f>Feuille1!B808</f>
        <v>-35912.150615671089</v>
      </c>
      <c r="D799">
        <f>Feuille1!C808</f>
        <v>10367.234077747991</v>
      </c>
    </row>
    <row r="800" spans="2:4" x14ac:dyDescent="0.3">
      <c r="B800">
        <f>Feuille1!A809</f>
        <v>250</v>
      </c>
      <c r="C800">
        <f>Feuille1!B809</f>
        <v>-31306.258492255733</v>
      </c>
      <c r="D800">
        <f>Feuille1!C809</f>
        <v>12810.258593406623</v>
      </c>
    </row>
    <row r="801" spans="2:4" x14ac:dyDescent="0.3">
      <c r="B801">
        <f>Feuille1!A810</f>
        <v>250.5</v>
      </c>
      <c r="C801">
        <f>Feuille1!B810</f>
        <v>-25093.104682189267</v>
      </c>
      <c r="D801">
        <f>Feuille1!C810</f>
        <v>16026.411199082093</v>
      </c>
    </row>
    <row r="802" spans="2:4" x14ac:dyDescent="0.3">
      <c r="B802">
        <f>Feuille1!A811</f>
        <v>251</v>
      </c>
      <c r="C802">
        <f>Feuille1!B811</f>
        <v>-16301.356561695336</v>
      </c>
      <c r="D802">
        <f>Feuille1!C811</f>
        <v>20937.867468089549</v>
      </c>
    </row>
    <row r="803" spans="2:4" x14ac:dyDescent="0.3">
      <c r="B803">
        <f>Feuille1!A812</f>
        <v>251.5</v>
      </c>
      <c r="C803">
        <f>Feuille1!B812</f>
        <v>-9911.1672979784962</v>
      </c>
      <c r="D803">
        <f>Feuille1!C812</f>
        <v>25016.232965240302</v>
      </c>
    </row>
    <row r="804" spans="2:4" x14ac:dyDescent="0.3">
      <c r="B804">
        <f>Feuille1!A813</f>
        <v>252</v>
      </c>
      <c r="C804">
        <f>Feuille1!B813</f>
        <v>-4875.4727291185809</v>
      </c>
      <c r="D804">
        <f>Feuille1!C813</f>
        <v>28009.528074216036</v>
      </c>
    </row>
    <row r="805" spans="2:4" x14ac:dyDescent="0.3">
      <c r="B805">
        <f>Feuille1!A814</f>
        <v>252.5</v>
      </c>
      <c r="C805">
        <f>Feuille1!B814</f>
        <v>-317.33141558362138</v>
      </c>
      <c r="D805">
        <f>Feuille1!C814</f>
        <v>30175.434514553079</v>
      </c>
    </row>
    <row r="806" spans="2:4" x14ac:dyDescent="0.3">
      <c r="B806">
        <f>Feuille1!A815</f>
        <v>253</v>
      </c>
      <c r="C806">
        <f>Feuille1!B815</f>
        <v>4209.329108004943</v>
      </c>
      <c r="D806">
        <f>Feuille1!C815</f>
        <v>31560.8476850769</v>
      </c>
    </row>
    <row r="807" spans="2:4" x14ac:dyDescent="0.3">
      <c r="B807">
        <f>Feuille1!A816</f>
        <v>253.5</v>
      </c>
      <c r="C807">
        <f>Feuille1!B816</f>
        <v>8985.8399891616427</v>
      </c>
      <c r="D807">
        <f>Feuille1!C816</f>
        <v>32060.049208715653</v>
      </c>
    </row>
    <row r="808" spans="2:4" x14ac:dyDescent="0.3">
      <c r="B808">
        <f>Feuille1!A817</f>
        <v>254</v>
      </c>
      <c r="C808">
        <f>Feuille1!B817</f>
        <v>14200.887626705045</v>
      </c>
      <c r="D808">
        <f>Feuille1!C817</f>
        <v>31392.498862012471</v>
      </c>
    </row>
    <row r="809" spans="2:4" x14ac:dyDescent="0.3">
      <c r="B809">
        <f>Feuille1!A818</f>
        <v>254.5</v>
      </c>
      <c r="C809">
        <f>Feuille1!B818</f>
        <v>19874.910017100898</v>
      </c>
      <c r="D809">
        <f>Feuille1!C818</f>
        <v>28990.93082577594</v>
      </c>
    </row>
    <row r="810" spans="2:4" x14ac:dyDescent="0.3">
      <c r="B810">
        <f>Feuille1!A819</f>
        <v>255</v>
      </c>
      <c r="C810">
        <f>Feuille1!B819</f>
        <v>25304.561896004998</v>
      </c>
      <c r="D810">
        <f>Feuille1!C819</f>
        <v>23973.923953803638</v>
      </c>
    </row>
    <row r="811" spans="2:4" x14ac:dyDescent="0.3">
      <c r="B811">
        <f>Feuille1!A820</f>
        <v>255.5</v>
      </c>
      <c r="C811">
        <f>Feuille1!B820</f>
        <v>28147.60923403877</v>
      </c>
      <c r="D811">
        <f>Feuille1!C820</f>
        <v>17100.412379083478</v>
      </c>
    </row>
    <row r="812" spans="2:4" x14ac:dyDescent="0.3">
      <c r="B812">
        <f>Feuille1!A821</f>
        <v>256</v>
      </c>
      <c r="C812">
        <f>Feuille1!B821</f>
        <v>28347.389835812683</v>
      </c>
      <c r="D812">
        <f>Feuille1!C821</f>
        <v>10996.246776041637</v>
      </c>
    </row>
    <row r="813" spans="2:4" x14ac:dyDescent="0.3">
      <c r="B813">
        <f>Feuille1!A822</f>
        <v>256.5</v>
      </c>
      <c r="C813">
        <f>Feuille1!B822</f>
        <v>27057.114396899247</v>
      </c>
      <c r="D813">
        <f>Feuille1!C822</f>
        <v>6152.0580414262558</v>
      </c>
    </row>
    <row r="814" spans="2:4" x14ac:dyDescent="0.3">
      <c r="B814">
        <f>Feuille1!A823</f>
        <v>257</v>
      </c>
      <c r="C814">
        <f>Feuille1!B823</f>
        <v>24893.330091652439</v>
      </c>
      <c r="D814">
        <f>Feuille1!C823</f>
        <v>2424.0689809253208</v>
      </c>
    </row>
    <row r="815" spans="2:4" x14ac:dyDescent="0.3">
      <c r="B815">
        <f>Feuille1!A824</f>
        <v>257.5</v>
      </c>
      <c r="C815">
        <f>Feuille1!B824</f>
        <v>22161.244441680436</v>
      </c>
      <c r="D815">
        <f>Feuille1!C824</f>
        <v>-370.52268279640589</v>
      </c>
    </row>
    <row r="816" spans="2:4" x14ac:dyDescent="0.3">
      <c r="B816">
        <f>Feuille1!A825</f>
        <v>258</v>
      </c>
      <c r="C816">
        <f>Feuille1!B825</f>
        <v>19027.671626494943</v>
      </c>
      <c r="D816">
        <f>Feuille1!C825</f>
        <v>-2385.7469127041923</v>
      </c>
    </row>
    <row r="817" spans="2:4" x14ac:dyDescent="0.3">
      <c r="B817">
        <f>Feuille1!A826</f>
        <v>258.5</v>
      </c>
      <c r="C817">
        <f>Feuille1!B826</f>
        <v>15593.16403296815</v>
      </c>
      <c r="D817">
        <f>Feuille1!C826</f>
        <v>-3753.1610554429012</v>
      </c>
    </row>
    <row r="818" spans="2:4" x14ac:dyDescent="0.3">
      <c r="B818">
        <f>Feuille1!A827</f>
        <v>259</v>
      </c>
      <c r="C818">
        <f>Feuille1!B827</f>
        <v>11923.516608943322</v>
      </c>
      <c r="D818">
        <f>Feuille1!C827</f>
        <v>-4592.5733956469476</v>
      </c>
    </row>
    <row r="819" spans="2:4" x14ac:dyDescent="0.3">
      <c r="B819">
        <f>Feuille1!A828</f>
        <v>259.5</v>
      </c>
      <c r="C819">
        <f>Feuille1!B828</f>
        <v>8065.6527212133633</v>
      </c>
      <c r="D819">
        <f>Feuille1!C828</f>
        <v>-5016.9110261255619</v>
      </c>
    </row>
    <row r="820" spans="2:4" x14ac:dyDescent="0.3">
      <c r="B820">
        <f>Feuille1!A829</f>
        <v>260</v>
      </c>
      <c r="C820">
        <f>Feuille1!B829</f>
        <v>4057.6568620007561</v>
      </c>
      <c r="D820">
        <f>Feuille1!C829</f>
        <v>-5128.896702762273</v>
      </c>
    </row>
    <row r="821" spans="2:4" x14ac:dyDescent="0.3">
      <c r="B821">
        <f>Feuille1!A830</f>
        <v>260.5</v>
      </c>
      <c r="C821">
        <f>Feuille1!B830</f>
        <v>-63.445976884381921</v>
      </c>
      <c r="D821">
        <f>Feuille1!C830</f>
        <v>-5009.3915148742935</v>
      </c>
    </row>
    <row r="822" spans="2:4" x14ac:dyDescent="0.3">
      <c r="B822">
        <f>Feuille1!A831</f>
        <v>261</v>
      </c>
      <c r="C822">
        <f>Feuille1!B831</f>
        <v>-4255.8031364729368</v>
      </c>
      <c r="D822">
        <f>Feuille1!C831</f>
        <v>-4700.604727711654</v>
      </c>
    </row>
    <row r="823" spans="2:4" x14ac:dyDescent="0.3">
      <c r="B823">
        <f>Feuille1!A832</f>
        <v>261.5</v>
      </c>
      <c r="C823">
        <f>Feuille1!B832</f>
        <v>-8469.4687897377717</v>
      </c>
      <c r="D823">
        <f>Feuille1!C832</f>
        <v>-4191.3176260910104</v>
      </c>
    </row>
    <row r="824" spans="2:4" x14ac:dyDescent="0.3">
      <c r="B824">
        <f>Feuille1!A833</f>
        <v>262</v>
      </c>
      <c r="C824">
        <f>Feuille1!B833</f>
        <v>-12644.950924423316</v>
      </c>
      <c r="D824">
        <f>Feuille1!C833</f>
        <v>-3412.3329755322616</v>
      </c>
    </row>
    <row r="825" spans="2:4" x14ac:dyDescent="0.3">
      <c r="B825">
        <f>Feuille1!A834</f>
        <v>262.5</v>
      </c>
      <c r="C825">
        <f>Feuille1!B834</f>
        <v>-16710.399233440661</v>
      </c>
      <c r="D825">
        <f>Feuille1!C834</f>
        <v>-2245.7682395296802</v>
      </c>
    </row>
    <row r="826" spans="2:4" x14ac:dyDescent="0.3">
      <c r="B826">
        <f>Feuille1!A835</f>
        <v>263</v>
      </c>
      <c r="C826">
        <f>Feuille1!B835</f>
        <v>-20574.109075646906</v>
      </c>
      <c r="D826">
        <f>Feuille1!C835</f>
        <v>-543.81141784542024</v>
      </c>
    </row>
    <row r="827" spans="2:4" x14ac:dyDescent="0.3">
      <c r="B827">
        <f>Feuille1!A836</f>
        <v>263.5</v>
      </c>
      <c r="C827">
        <f>Feuille1!B836</f>
        <v>-24110.443034963271</v>
      </c>
      <c r="D827">
        <f>Feuille1!C836</f>
        <v>1851.8537759359708</v>
      </c>
    </row>
    <row r="828" spans="2:4" x14ac:dyDescent="0.3">
      <c r="B828">
        <f>Feuille1!A837</f>
        <v>264</v>
      </c>
      <c r="C828">
        <f>Feuille1!B837</f>
        <v>-27136.309265073985</v>
      </c>
      <c r="D828">
        <f>Feuille1!C837</f>
        <v>5094.739841870557</v>
      </c>
    </row>
    <row r="829" spans="2:4" x14ac:dyDescent="0.3">
      <c r="B829">
        <f>Feuille1!A838</f>
        <v>264.5</v>
      </c>
      <c r="C829">
        <f>Feuille1!B838</f>
        <v>-29370.284758786551</v>
      </c>
      <c r="D829">
        <f>Feuille1!C838</f>
        <v>9314.8298967504434</v>
      </c>
    </row>
    <row r="830" spans="2:4" x14ac:dyDescent="0.3">
      <c r="B830">
        <f>Feuille1!A839</f>
        <v>265</v>
      </c>
      <c r="C830">
        <f>Feuille1!B839</f>
        <v>-30362.296405611989</v>
      </c>
      <c r="D830">
        <f>Feuille1!C839</f>
        <v>14561.492174426754</v>
      </c>
    </row>
    <row r="831" spans="2:4" x14ac:dyDescent="0.3">
      <c r="B831">
        <f>Feuille1!A840</f>
        <v>265.5</v>
      </c>
      <c r="C831">
        <f>Feuille1!B840</f>
        <v>-29420.728367284031</v>
      </c>
      <c r="D831">
        <f>Feuille1!C840</f>
        <v>20597.219617314604</v>
      </c>
    </row>
    <row r="832" spans="2:4" x14ac:dyDescent="0.3">
      <c r="B832">
        <f>Feuille1!A841</f>
        <v>266</v>
      </c>
      <c r="C832">
        <f>Feuille1!B841</f>
        <v>-25882.397313768626</v>
      </c>
      <c r="D832">
        <f>Feuille1!C841</f>
        <v>26373.050078303811</v>
      </c>
    </row>
    <row r="833" spans="2:4" x14ac:dyDescent="0.3">
      <c r="B833">
        <f>Feuille1!A842</f>
        <v>266.5</v>
      </c>
      <c r="C833">
        <f>Feuille1!B842</f>
        <v>-20390.721704096934</v>
      </c>
      <c r="D833">
        <f>Feuille1!C842</f>
        <v>30156.293435551714</v>
      </c>
    </row>
    <row r="834" spans="2:4" x14ac:dyDescent="0.3">
      <c r="B834">
        <f>Feuille1!A843</f>
        <v>267</v>
      </c>
      <c r="C834">
        <f>Feuille1!B843</f>
        <v>-14555.697134732312</v>
      </c>
      <c r="D834">
        <f>Feuille1!C843</f>
        <v>31559.848937025952</v>
      </c>
    </row>
    <row r="835" spans="2:4" x14ac:dyDescent="0.3">
      <c r="B835">
        <f>Feuille1!A844</f>
        <v>267.5</v>
      </c>
      <c r="C835">
        <f>Feuille1!B844</f>
        <v>-9150.0392321361942</v>
      </c>
      <c r="D835">
        <f>Feuille1!C844</f>
        <v>31199.086335716711</v>
      </c>
    </row>
    <row r="836" spans="2:4" x14ac:dyDescent="0.3">
      <c r="B836">
        <f>Feuille1!A845</f>
        <v>268</v>
      </c>
      <c r="C836">
        <f>Feuille1!B845</f>
        <v>-4274.7266354170542</v>
      </c>
      <c r="D836">
        <f>Feuille1!C845</f>
        <v>29635.554823450322</v>
      </c>
    </row>
    <row r="837" spans="2:4" x14ac:dyDescent="0.3">
      <c r="B837">
        <f>Feuille1!A846</f>
        <v>268.5</v>
      </c>
      <c r="C837">
        <f>Feuille1!B846</f>
        <v>253.61673942250616</v>
      </c>
      <c r="D837">
        <f>Feuille1!C846</f>
        <v>27216.80560901104</v>
      </c>
    </row>
    <row r="838" spans="2:4" x14ac:dyDescent="0.3">
      <c r="B838">
        <f>Feuille1!A847</f>
        <v>269</v>
      </c>
      <c r="C838">
        <f>Feuille1!B847</f>
        <v>4799.2332674229528</v>
      </c>
      <c r="D838">
        <f>Feuille1!C847</f>
        <v>24130.854829009542</v>
      </c>
    </row>
    <row r="839" spans="2:4" x14ac:dyDescent="0.3">
      <c r="B839">
        <f>Feuille1!A848</f>
        <v>269.5</v>
      </c>
      <c r="C839">
        <f>Feuille1!B848</f>
        <v>9983.1332436517423</v>
      </c>
      <c r="D839">
        <f>Feuille1!C848</f>
        <v>20481.656142262284</v>
      </c>
    </row>
    <row r="840" spans="2:4" x14ac:dyDescent="0.3">
      <c r="B840">
        <f>Feuille1!A849</f>
        <v>270</v>
      </c>
      <c r="C840">
        <f>Feuille1!B849</f>
        <v>16937.957974514236</v>
      </c>
      <c r="D840">
        <f>Feuille1!C849</f>
        <v>16590.989177833839</v>
      </c>
    </row>
    <row r="841" spans="2:4" x14ac:dyDescent="0.3">
      <c r="B841">
        <f>Feuille1!A850</f>
        <v>270.5</v>
      </c>
      <c r="C841">
        <f>Feuille1!B850</f>
        <v>25530.663966666885</v>
      </c>
      <c r="D841">
        <f>Feuille1!C850</f>
        <v>14820.416632990209</v>
      </c>
    </row>
    <row r="842" spans="2:4" x14ac:dyDescent="0.3">
      <c r="B842">
        <f>Feuille1!A851</f>
        <v>271</v>
      </c>
      <c r="C842">
        <f>Feuille1!B851</f>
        <v>31840.245008570091</v>
      </c>
      <c r="D842">
        <f>Feuille1!C851</f>
        <v>14853.293044621938</v>
      </c>
    </row>
    <row r="843" spans="2:4" x14ac:dyDescent="0.3">
      <c r="B843">
        <f>Feuille1!A852</f>
        <v>271.5</v>
      </c>
      <c r="C843">
        <f>Feuille1!B852</f>
        <v>36354.367564526648</v>
      </c>
      <c r="D843">
        <f>Feuille1!C852</f>
        <v>15494.401140708249</v>
      </c>
    </row>
    <row r="844" spans="2:4" x14ac:dyDescent="0.3">
      <c r="B844">
        <f>Feuille1!A853</f>
        <v>272</v>
      </c>
      <c r="C844">
        <f>Feuille1!B853</f>
        <v>39537.487216014633</v>
      </c>
      <c r="D844">
        <f>Feuille1!C853</f>
        <v>16379.528631492998</v>
      </c>
    </row>
    <row r="845" spans="2:4" x14ac:dyDescent="0.3">
      <c r="B845">
        <f>Feuille1!A854</f>
        <v>272.5</v>
      </c>
      <c r="C845">
        <f>Feuille1!B854</f>
        <v>41637.105619937931</v>
      </c>
      <c r="D845">
        <f>Feuille1!C854</f>
        <v>17368.071983356727</v>
      </c>
    </row>
    <row r="846" spans="2:4" x14ac:dyDescent="0.3">
      <c r="B846">
        <f>Feuille1!A855</f>
        <v>273</v>
      </c>
      <c r="C846">
        <f>Feuille1!B855</f>
        <v>42784.07954765921</v>
      </c>
      <c r="D846">
        <f>Feuille1!C855</f>
        <v>18390.437264186414</v>
      </c>
    </row>
    <row r="847" spans="2:4" x14ac:dyDescent="0.3">
      <c r="B847">
        <f>Feuille1!A856</f>
        <v>273.5</v>
      </c>
      <c r="C847">
        <f>Feuille1!B856</f>
        <v>43040.541227974951</v>
      </c>
      <c r="D847">
        <f>Feuille1!C856</f>
        <v>19403.707292596588</v>
      </c>
    </row>
    <row r="848" spans="2:4" x14ac:dyDescent="0.3">
      <c r="B848">
        <f>Feuille1!A857</f>
        <v>274</v>
      </c>
      <c r="C848">
        <f>Feuille1!B857</f>
        <v>42418.669524582176</v>
      </c>
      <c r="D848">
        <f>Feuille1!C857</f>
        <v>20374.63542647002</v>
      </c>
    </row>
    <row r="849" spans="2:4" x14ac:dyDescent="0.3">
      <c r="B849">
        <f>Feuille1!A858</f>
        <v>274.5</v>
      </c>
      <c r="C849">
        <f>Feuille1!B858</f>
        <v>40883.194832035217</v>
      </c>
      <c r="D849">
        <f>Feuille1!C858</f>
        <v>21270.226547804141</v>
      </c>
    </row>
    <row r="850" spans="2:4" x14ac:dyDescent="0.3">
      <c r="B850">
        <f>Feuille1!A859</f>
        <v>275</v>
      </c>
      <c r="C850">
        <f>Feuille1!B859</f>
        <v>38338.806198606013</v>
      </c>
      <c r="D850">
        <f>Feuille1!C859</f>
        <v>22048.350302100043</v>
      </c>
    </row>
    <row r="851" spans="2:4" x14ac:dyDescent="0.3">
      <c r="B851">
        <f>Feuille1!A860</f>
        <v>275.5</v>
      </c>
      <c r="C851">
        <f>Feuille1!B860</f>
        <v>34591.601604306372</v>
      </c>
      <c r="D851">
        <f>Feuille1!C860</f>
        <v>22640.102912771694</v>
      </c>
    </row>
    <row r="852" spans="2:4" x14ac:dyDescent="0.3">
      <c r="B852">
        <f>Feuille1!A861</f>
        <v>276</v>
      </c>
      <c r="C852">
        <f>Feuille1!B861</f>
        <v>29245.61025248142</v>
      </c>
      <c r="D852">
        <f>Feuille1!C861</f>
        <v>22897.518311390213</v>
      </c>
    </row>
    <row r="853" spans="2:4" x14ac:dyDescent="0.3">
      <c r="B853">
        <f>Feuille1!A862</f>
        <v>276.5</v>
      </c>
      <c r="C853">
        <f>Feuille1!B862</f>
        <v>21455.156547485596</v>
      </c>
      <c r="D853">
        <f>Feuille1!C862</f>
        <v>22366.231468285721</v>
      </c>
    </row>
    <row r="854" spans="2:4" x14ac:dyDescent="0.3">
      <c r="B854">
        <f>Feuille1!A863</f>
        <v>277</v>
      </c>
      <c r="C854">
        <f>Feuille1!B863</f>
        <v>12118.924846574742</v>
      </c>
      <c r="D854">
        <f>Feuille1!C863</f>
        <v>19679.251016139759</v>
      </c>
    </row>
    <row r="855" spans="2:4" x14ac:dyDescent="0.3">
      <c r="B855">
        <f>Feuille1!A864</f>
        <v>277.5</v>
      </c>
      <c r="C855">
        <f>Feuille1!B864</f>
        <v>5048.4227865261682</v>
      </c>
      <c r="D855">
        <f>Feuille1!C864</f>
        <v>16980.924465717195</v>
      </c>
    </row>
    <row r="856" spans="2:4" x14ac:dyDescent="0.3">
      <c r="B856">
        <f>Feuille1!A865</f>
        <v>278</v>
      </c>
      <c r="C856">
        <f>Feuille1!B865</f>
        <v>-1312.9082250985696</v>
      </c>
      <c r="D856">
        <f>Feuille1!C865</f>
        <v>14477.140872347769</v>
      </c>
    </row>
    <row r="857" spans="2:4" x14ac:dyDescent="0.3">
      <c r="B857">
        <f>Feuille1!A866</f>
        <v>278.5</v>
      </c>
      <c r="C857">
        <f>Feuille1!B866</f>
        <v>-7845.7978937471953</v>
      </c>
      <c r="D857">
        <f>Feuille1!C866</f>
        <v>12262.295281557168</v>
      </c>
    </row>
    <row r="858" spans="2:4" x14ac:dyDescent="0.3">
      <c r="B858">
        <f>Feuille1!A867</f>
        <v>279</v>
      </c>
      <c r="C858">
        <f>Feuille1!B867</f>
        <v>-15158.011384242121</v>
      </c>
      <c r="D858">
        <f>Feuille1!C867</f>
        <v>10783.960679827573</v>
      </c>
    </row>
    <row r="859" spans="2:4" x14ac:dyDescent="0.3">
      <c r="B859">
        <f>Feuille1!A868</f>
        <v>279.5</v>
      </c>
      <c r="C859">
        <f>Feuille1!B868</f>
        <v>-23137.128494418172</v>
      </c>
      <c r="D859">
        <f>Feuille1!C868</f>
        <v>11123.962080487425</v>
      </c>
    </row>
    <row r="860" spans="2:4" x14ac:dyDescent="0.3">
      <c r="B860">
        <f>Feuille1!A869</f>
        <v>280</v>
      </c>
      <c r="C860">
        <f>Feuille1!B869</f>
        <v>-30044.103682679106</v>
      </c>
      <c r="D860">
        <f>Feuille1!C869</f>
        <v>13594.890167303607</v>
      </c>
    </row>
    <row r="861" spans="2:4" x14ac:dyDescent="0.3">
      <c r="B861">
        <f>Feuille1!A870</f>
        <v>280.5</v>
      </c>
      <c r="C861">
        <f>Feuille1!B870</f>
        <v>-35127.878151399389</v>
      </c>
      <c r="D861">
        <f>Feuille1!C870</f>
        <v>16973.786314679102</v>
      </c>
    </row>
    <row r="862" spans="2:4" x14ac:dyDescent="0.3">
      <c r="B862">
        <f>Feuille1!A871</f>
        <v>281</v>
      </c>
      <c r="C862">
        <f>Feuille1!B871</f>
        <v>-38686.858008691757</v>
      </c>
      <c r="D862">
        <f>Feuille1!C871</f>
        <v>20521.791914811478</v>
      </c>
    </row>
    <row r="863" spans="2:4" x14ac:dyDescent="0.3">
      <c r="B863">
        <f>Feuille1!A872</f>
        <v>281.5</v>
      </c>
      <c r="C863">
        <f>Feuille1!B872</f>
        <v>-41057.192167197296</v>
      </c>
      <c r="D863">
        <f>Feuille1!C872</f>
        <v>23952.682506221328</v>
      </c>
    </row>
    <row r="864" spans="2:4" x14ac:dyDescent="0.3">
      <c r="B864">
        <f>Feuille1!A873</f>
        <v>282</v>
      </c>
      <c r="C864">
        <f>Feuille1!B873</f>
        <v>-42469.604996908631</v>
      </c>
      <c r="D864">
        <f>Feuille1!C873</f>
        <v>27149.279564043652</v>
      </c>
    </row>
    <row r="865" spans="2:4" x14ac:dyDescent="0.3">
      <c r="B865">
        <f>Feuille1!A874</f>
        <v>282.5</v>
      </c>
      <c r="C865">
        <f>Feuille1!B874</f>
        <v>-43075.430321006112</v>
      </c>
      <c r="D865">
        <f>Feuille1!C874</f>
        <v>30054.242969403109</v>
      </c>
    </row>
    <row r="866" spans="2:4" x14ac:dyDescent="0.3">
      <c r="B866">
        <f>Feuille1!A875</f>
        <v>283</v>
      </c>
      <c r="C866">
        <f>Feuille1!B875</f>
        <v>-42975.103864419514</v>
      </c>
      <c r="D866">
        <f>Feuille1!C875</f>
        <v>32631.216608688006</v>
      </c>
    </row>
    <row r="867" spans="2:4" x14ac:dyDescent="0.3">
      <c r="B867">
        <f>Feuille1!A876</f>
        <v>283.5</v>
      </c>
      <c r="C867">
        <f>Feuille1!B876</f>
        <v>-42235.924167451958</v>
      </c>
      <c r="D867">
        <f>Feuille1!C876</f>
        <v>34849.240169834207</v>
      </c>
    </row>
    <row r="868" spans="2:4" x14ac:dyDescent="0.3">
      <c r="B868">
        <f>Feuille1!A877</f>
        <v>284</v>
      </c>
      <c r="C868">
        <f>Feuille1!B877</f>
        <v>-40902.473729891739</v>
      </c>
      <c r="D868">
        <f>Feuille1!C877</f>
        <v>36675.010386641523</v>
      </c>
    </row>
    <row r="869" spans="2:4" x14ac:dyDescent="0.3">
      <c r="B869">
        <f>Feuille1!A878</f>
        <v>284.5</v>
      </c>
      <c r="C869">
        <f>Feuille1!B878</f>
        <v>-39002.823000897792</v>
      </c>
      <c r="D869">
        <f>Feuille1!C878</f>
        <v>38067.497331675746</v>
      </c>
    </row>
    <row r="870" spans="2:4" x14ac:dyDescent="0.3">
      <c r="B870">
        <f>Feuille1!A879</f>
        <v>285</v>
      </c>
      <c r="C870">
        <f>Feuille1!B879</f>
        <v>-36552.458720484166</v>
      </c>
      <c r="D870">
        <f>Feuille1!C879</f>
        <v>38972.387041692775</v>
      </c>
    </row>
    <row r="871" spans="2:4" x14ac:dyDescent="0.3">
      <c r="B871">
        <f>Feuille1!A880</f>
        <v>285.5</v>
      </c>
      <c r="C871">
        <f>Feuille1!B880</f>
        <v>-33557.364052925419</v>
      </c>
      <c r="D871">
        <f>Feuille1!C880</f>
        <v>39314.423322827643</v>
      </c>
    </row>
    <row r="872" spans="2:4" x14ac:dyDescent="0.3">
      <c r="B872">
        <f>Feuille1!A881</f>
        <v>286</v>
      </c>
      <c r="C872">
        <f>Feuille1!B881</f>
        <v>-30018.110814885844</v>
      </c>
      <c r="D872">
        <f>Feuille1!C881</f>
        <v>38985.113330275162</v>
      </c>
    </row>
    <row r="873" spans="2:4" x14ac:dyDescent="0.3">
      <c r="B873">
        <f>Feuille1!A882</f>
        <v>286.5</v>
      </c>
      <c r="C873">
        <f>Feuille1!B882</f>
        <v>-25939.375059356888</v>
      </c>
      <c r="D873">
        <f>Feuille1!C882</f>
        <v>37821.537927055506</v>
      </c>
    </row>
    <row r="874" spans="2:4" x14ac:dyDescent="0.3">
      <c r="B874">
        <f>Feuille1!A883</f>
        <v>287</v>
      </c>
      <c r="C874">
        <f>Feuille1!B883</f>
        <v>-21358.70717699092</v>
      </c>
      <c r="D874">
        <f>Feuille1!C883</f>
        <v>35570.106805838128</v>
      </c>
    </row>
    <row r="875" spans="2:4" x14ac:dyDescent="0.3">
      <c r="B875">
        <f>Feuille1!A884</f>
        <v>287.5</v>
      </c>
      <c r="C875">
        <f>Feuille1!B884</f>
        <v>-16441.233085235617</v>
      </c>
      <c r="D875">
        <f>Feuille1!C884</f>
        <v>31841.252175950809</v>
      </c>
    </row>
    <row r="876" spans="2:4" x14ac:dyDescent="0.3">
      <c r="B876">
        <f>Feuille1!A885</f>
        <v>288</v>
      </c>
      <c r="C876">
        <f>Feuille1!B885</f>
        <v>-11757.218511184421</v>
      </c>
      <c r="D876">
        <f>Feuille1!C885</f>
        <v>26201.767477060319</v>
      </c>
    </row>
    <row r="877" spans="2:4" x14ac:dyDescent="0.3">
      <c r="B877">
        <f>Feuille1!A886</f>
        <v>288.5</v>
      </c>
      <c r="C877">
        <f>Feuille1!B886</f>
        <v>-8433.2534685514383</v>
      </c>
      <c r="D877">
        <f>Feuille1!C886</f>
        <v>19053.457146833989</v>
      </c>
    </row>
    <row r="878" spans="2:4" x14ac:dyDescent="0.3">
      <c r="B878">
        <f>Feuille1!A887</f>
        <v>289</v>
      </c>
      <c r="C878">
        <f>Feuille1!B887</f>
        <v>-6543.5997840356649</v>
      </c>
      <c r="D878">
        <f>Feuille1!C887</f>
        <v>11933.991646911947</v>
      </c>
    </row>
    <row r="879" spans="2:4" x14ac:dyDescent="0.3">
      <c r="B879">
        <f>Feuille1!A888</f>
        <v>289.5</v>
      </c>
      <c r="C879">
        <f>Feuille1!B888</f>
        <v>-5284.097261904154</v>
      </c>
      <c r="D879">
        <f>Feuille1!C888</f>
        <v>5449.5487410577298</v>
      </c>
    </row>
    <row r="880" spans="2:4" x14ac:dyDescent="0.3">
      <c r="B880">
        <f>Feuille1!A889</f>
        <v>290</v>
      </c>
      <c r="C880">
        <f>Feuille1!B889</f>
        <v>-4223.6070598979341</v>
      </c>
      <c r="D880">
        <f>Feuille1!C889</f>
        <v>-453.5859285205845</v>
      </c>
    </row>
    <row r="881" spans="2:4" x14ac:dyDescent="0.3">
      <c r="B881">
        <f>Feuille1!A890</f>
        <v>290.5</v>
      </c>
      <c r="C881">
        <f>Feuille1!B890</f>
        <v>-3219.539922281429</v>
      </c>
      <c r="D881">
        <f>Feuille1!C890</f>
        <v>-5976.2819456630668</v>
      </c>
    </row>
    <row r="882" spans="2:4" x14ac:dyDescent="0.3">
      <c r="B882">
        <f>Feuille1!A891</f>
        <v>291</v>
      </c>
      <c r="C882">
        <f>Feuille1!B891</f>
        <v>-2247.9793172762534</v>
      </c>
      <c r="D882">
        <f>Feuille1!C891</f>
        <v>-11362.797557948241</v>
      </c>
    </row>
    <row r="883" spans="2:4" x14ac:dyDescent="0.3">
      <c r="B883">
        <f>Feuille1!A892</f>
        <v>291.5</v>
      </c>
      <c r="C883">
        <f>Feuille1!B892</f>
        <v>-1348.4682889205085</v>
      </c>
      <c r="D883">
        <f>Feuille1!C892</f>
        <v>-16913.390042037696</v>
      </c>
    </row>
    <row r="884" spans="2:4" x14ac:dyDescent="0.3">
      <c r="B884">
        <f>Feuille1!A893</f>
        <v>292</v>
      </c>
      <c r="C884">
        <f>Feuille1!B893</f>
        <v>-647.88058631015997</v>
      </c>
      <c r="D884">
        <f>Feuille1!C893</f>
        <v>-23054.710233828508</v>
      </c>
    </row>
    <row r="885" spans="2:4" x14ac:dyDescent="0.3">
      <c r="B885">
        <f>Feuille1!A894</f>
        <v>292.5</v>
      </c>
      <c r="C885">
        <f>Feuille1!B894</f>
        <v>-542.65408346890081</v>
      </c>
      <c r="D885">
        <f>Feuille1!C894</f>
        <v>-30494.281547006609</v>
      </c>
    </row>
    <row r="886" spans="2:4" x14ac:dyDescent="0.3">
      <c r="B886">
        <f>Feuille1!A895</f>
        <v>293</v>
      </c>
      <c r="C886">
        <f>Feuille1!B895</f>
        <v>-2515.5769476119676</v>
      </c>
      <c r="D886">
        <f>Feuille1!C895</f>
        <v>-39765.616714911805</v>
      </c>
    </row>
    <row r="887" spans="2:4" x14ac:dyDescent="0.3">
      <c r="B887">
        <f>Feuille1!A896</f>
        <v>293.5</v>
      </c>
      <c r="C887">
        <f>Feuille1!B896</f>
        <v>-5879.6914674032087</v>
      </c>
      <c r="D887">
        <f>Feuille1!C896</f>
        <v>-46150.358829907527</v>
      </c>
    </row>
    <row r="888" spans="2:4" x14ac:dyDescent="0.3">
      <c r="B888">
        <f>Feuille1!A897</f>
        <v>294</v>
      </c>
      <c r="C888">
        <f>Feuille1!B897</f>
        <v>-9073.0932572240326</v>
      </c>
      <c r="D888">
        <f>Feuille1!C897</f>
        <v>-50345.172470411169</v>
      </c>
    </row>
    <row r="889" spans="2:4" x14ac:dyDescent="0.3">
      <c r="B889">
        <f>Feuille1!A898</f>
        <v>294.5</v>
      </c>
      <c r="C889">
        <f>Feuille1!B898</f>
        <v>-11918.561109686867</v>
      </c>
      <c r="D889">
        <f>Feuille1!C898</f>
        <v>-53133.544608366101</v>
      </c>
    </row>
    <row r="890" spans="2:4" x14ac:dyDescent="0.3">
      <c r="B890">
        <f>Feuille1!A899</f>
        <v>295</v>
      </c>
      <c r="C890">
        <f>Feuille1!B899</f>
        <v>-14406.163999024398</v>
      </c>
      <c r="D890">
        <f>Feuille1!C899</f>
        <v>-54889.992668939543</v>
      </c>
    </row>
    <row r="891" spans="2:4" x14ac:dyDescent="0.3">
      <c r="B891">
        <f>Feuille1!A900</f>
        <v>295.5</v>
      </c>
      <c r="C891">
        <f>Feuille1!B900</f>
        <v>-16541.849087923762</v>
      </c>
      <c r="D891">
        <f>Feuille1!C900</f>
        <v>-55811.503473522644</v>
      </c>
    </row>
    <row r="892" spans="2:4" x14ac:dyDescent="0.3">
      <c r="B892">
        <f>Feuille1!A901</f>
        <v>296</v>
      </c>
      <c r="C892">
        <f>Feuille1!B901</f>
        <v>-18325.974568358837</v>
      </c>
      <c r="D892">
        <f>Feuille1!C901</f>
        <v>-56010.107761566287</v>
      </c>
    </row>
    <row r="893" spans="2:4" x14ac:dyDescent="0.3">
      <c r="B893">
        <f>Feuille1!A902</f>
        <v>296.5</v>
      </c>
      <c r="C893">
        <f>Feuille1!B902</f>
        <v>-19749.114192332192</v>
      </c>
      <c r="D893">
        <f>Feuille1!C902</f>
        <v>-55550.61531758411</v>
      </c>
    </row>
    <row r="894" spans="2:4" x14ac:dyDescent="0.3">
      <c r="B894">
        <f>Feuille1!A903</f>
        <v>297</v>
      </c>
      <c r="C894">
        <f>Feuille1!B903</f>
        <v>-20789.826725207691</v>
      </c>
      <c r="D894">
        <f>Feuille1!C903</f>
        <v>-54467.493473355164</v>
      </c>
    </row>
    <row r="895" spans="2:4" x14ac:dyDescent="0.3">
      <c r="B895">
        <f>Feuille1!A904</f>
        <v>297.5</v>
      </c>
      <c r="C895">
        <f>Feuille1!B904</f>
        <v>-21411.133203348807</v>
      </c>
      <c r="D895">
        <f>Feuille1!C904</f>
        <v>-52772.601763002538</v>
      </c>
    </row>
    <row r="896" spans="2:4" x14ac:dyDescent="0.3">
      <c r="B896">
        <f>Feuille1!A905</f>
        <v>298</v>
      </c>
      <c r="C896">
        <f>Feuille1!B905</f>
        <v>-21553.764448620965</v>
      </c>
      <c r="D896">
        <f>Feuille1!C905</f>
        <v>-50458.216617710685</v>
      </c>
    </row>
    <row r="897" spans="2:4" x14ac:dyDescent="0.3">
      <c r="B897">
        <f>Feuille1!A906</f>
        <v>298.5</v>
      </c>
      <c r="C897">
        <f>Feuille1!B906</f>
        <v>-21122.860083449319</v>
      </c>
      <c r="D897">
        <f>Feuille1!C906</f>
        <v>-47497.384589055022</v>
      </c>
    </row>
    <row r="898" spans="2:4" x14ac:dyDescent="0.3">
      <c r="B898">
        <f>Feuille1!A907</f>
        <v>299</v>
      </c>
      <c r="C898">
        <f>Feuille1!B907</f>
        <v>-19960.298952241334</v>
      </c>
      <c r="D898">
        <f>Feuille1!C907</f>
        <v>-43844.037503126303</v>
      </c>
    </row>
    <row r="899" spans="2:4" x14ac:dyDescent="0.3">
      <c r="B899">
        <f>Feuille1!A908</f>
        <v>299.5</v>
      </c>
      <c r="C899">
        <f>Feuille1!B908</f>
        <v>-17782.50023933909</v>
      </c>
      <c r="D899">
        <f>Feuille1!C908</f>
        <v>-39443.320196594912</v>
      </c>
    </row>
    <row r="900" spans="2:4" x14ac:dyDescent="0.3">
      <c r="B900">
        <f>Feuille1!A909</f>
        <v>300</v>
      </c>
      <c r="C900">
        <f>Feuille1!B909</f>
        <v>-14037.58861887678</v>
      </c>
      <c r="D900">
        <f>Feuille1!C909</f>
        <v>-34316.860923098313</v>
      </c>
    </row>
    <row r="901" spans="2:4" x14ac:dyDescent="0.3">
      <c r="B901">
        <f>Feuille1!A910</f>
        <v>300.5</v>
      </c>
      <c r="C901">
        <f>Feuille1!B910</f>
        <v>-7800.0659413570556</v>
      </c>
      <c r="D901">
        <f>Feuille1!C910</f>
        <v>-29143.487946111058</v>
      </c>
    </row>
    <row r="902" spans="2:4" x14ac:dyDescent="0.3">
      <c r="B902">
        <f>Feuille1!A911</f>
        <v>301</v>
      </c>
      <c r="C902">
        <f>Feuille1!B911</f>
        <v>-268.7274086892487</v>
      </c>
      <c r="D902">
        <f>Feuille1!C911</f>
        <v>-26341.872306742549</v>
      </c>
    </row>
    <row r="903" spans="2:4" x14ac:dyDescent="0.3">
      <c r="B903">
        <f>Feuille1!A912</f>
        <v>301.5</v>
      </c>
      <c r="C903">
        <f>Feuille1!B912</f>
        <v>6165.5513347220176</v>
      </c>
      <c r="D903">
        <f>Feuille1!C912</f>
        <v>-25241.442095930604</v>
      </c>
    </row>
    <row r="904" spans="2:4" x14ac:dyDescent="0.3">
      <c r="B904">
        <f>Feuille1!A913</f>
        <v>302</v>
      </c>
      <c r="C904">
        <f>Feuille1!B913</f>
        <v>11501.980251668512</v>
      </c>
      <c r="D904">
        <f>Feuille1!C913</f>
        <v>-24762.826371873376</v>
      </c>
    </row>
    <row r="905" spans="2:4" x14ac:dyDescent="0.3">
      <c r="B905">
        <f>Feuille1!A914</f>
        <v>302.5</v>
      </c>
      <c r="C905">
        <f>Feuille1!B914</f>
        <v>15985.908908834221</v>
      </c>
      <c r="D905">
        <f>Feuille1!C914</f>
        <v>-24467.397427975244</v>
      </c>
    </row>
    <row r="906" spans="2:4" x14ac:dyDescent="0.3">
      <c r="B906">
        <f>Feuille1!A915</f>
        <v>303</v>
      </c>
      <c r="C906">
        <f>Feuille1!B915</f>
        <v>19787.120168844354</v>
      </c>
      <c r="D906">
        <f>Feuille1!C915</f>
        <v>-24168.664430365268</v>
      </c>
    </row>
    <row r="907" spans="2:4" x14ac:dyDescent="0.3">
      <c r="B907">
        <f>Feuille1!A916</f>
        <v>303.5</v>
      </c>
      <c r="C907">
        <f>Feuille1!B916</f>
        <v>23012.5855987912</v>
      </c>
      <c r="D907">
        <f>Feuille1!C916</f>
        <v>-23778.561278084613</v>
      </c>
    </row>
    <row r="908" spans="2:4" x14ac:dyDescent="0.3">
      <c r="B908">
        <f>Feuille1!A917</f>
        <v>304</v>
      </c>
      <c r="C908">
        <f>Feuille1!B917</f>
        <v>25730.940714883844</v>
      </c>
      <c r="D908">
        <f>Feuille1!C917</f>
        <v>-23252.319922382088</v>
      </c>
    </row>
    <row r="909" spans="2:4" x14ac:dyDescent="0.3">
      <c r="B909">
        <f>Feuille1!A918</f>
        <v>304.5</v>
      </c>
      <c r="C909">
        <f>Feuille1!B918</f>
        <v>27987.451194732323</v>
      </c>
      <c r="D909">
        <f>Feuille1!C918</f>
        <v>-22565.904771370984</v>
      </c>
    </row>
    <row r="910" spans="2:4" x14ac:dyDescent="0.3">
      <c r="B910">
        <f>Feuille1!A919</f>
        <v>305</v>
      </c>
      <c r="C910">
        <f>Feuille1!B919</f>
        <v>29812.434212877921</v>
      </c>
      <c r="D910">
        <f>Feuille1!C919</f>
        <v>-21705.544820914398</v>
      </c>
    </row>
    <row r="911" spans="2:4" x14ac:dyDescent="0.3">
      <c r="B911">
        <f>Feuille1!A920</f>
        <v>305.5</v>
      </c>
      <c r="C911">
        <f>Feuille1!B920</f>
        <v>31226.036790918493</v>
      </c>
      <c r="D911">
        <f>Feuille1!C920</f>
        <v>-20662.342514366734</v>
      </c>
    </row>
    <row r="912" spans="2:4" x14ac:dyDescent="0.3">
      <c r="B912">
        <f>Feuille1!A921</f>
        <v>306</v>
      </c>
      <c r="C912">
        <f>Feuille1!B921</f>
        <v>32241.006794597615</v>
      </c>
      <c r="D912">
        <f>Feuille1!C921</f>
        <v>-19429.191331520597</v>
      </c>
    </row>
    <row r="913" spans="2:4" x14ac:dyDescent="0.3">
      <c r="B913">
        <f>Feuille1!A922</f>
        <v>306.5</v>
      </c>
      <c r="C913">
        <f>Feuille1!B922</f>
        <v>32864.319733868768</v>
      </c>
      <c r="D913">
        <f>Feuille1!C922</f>
        <v>-17998.751018512565</v>
      </c>
    </row>
    <row r="914" spans="2:4" x14ac:dyDescent="0.3">
      <c r="B914">
        <f>Feuille1!A923</f>
        <v>307</v>
      </c>
      <c r="C914">
        <f>Feuille1!B923</f>
        <v>33098.115860369027</v>
      </c>
      <c r="D914">
        <f>Feuille1!C923</f>
        <v>-16361.816150585706</v>
      </c>
    </row>
    <row r="915" spans="2:4" x14ac:dyDescent="0.3">
      <c r="B915">
        <f>Feuille1!A924</f>
        <v>307.5</v>
      </c>
      <c r="C915">
        <f>Feuille1!B924</f>
        <v>32940.185459539345</v>
      </c>
      <c r="D915">
        <f>Feuille1!C924</f>
        <v>-14505.624858287341</v>
      </c>
    </row>
    <row r="916" spans="2:4" x14ac:dyDescent="0.3">
      <c r="B916">
        <f>Feuille1!A925</f>
        <v>308</v>
      </c>
      <c r="C916">
        <f>Feuille1!B925</f>
        <v>32384.118126054367</v>
      </c>
      <c r="D916">
        <f>Feuille1!C925</f>
        <v>-12411.661321259013</v>
      </c>
    </row>
    <row r="917" spans="2:4" x14ac:dyDescent="0.3">
      <c r="B917">
        <f>Feuille1!A926</f>
        <v>308.5</v>
      </c>
      <c r="C917">
        <f>Feuille1!B926</f>
        <v>31419.154271284944</v>
      </c>
      <c r="D917">
        <f>Feuille1!C926</f>
        <v>-10052.322137321435</v>
      </c>
    </row>
    <row r="918" spans="2:4" x14ac:dyDescent="0.3">
      <c r="B918">
        <f>Feuille1!A927</f>
        <v>309</v>
      </c>
      <c r="C918">
        <f>Feuille1!B927</f>
        <v>30029.725845314522</v>
      </c>
      <c r="D918">
        <f>Feuille1!C927</f>
        <v>-7385.3236565197294</v>
      </c>
    </row>
    <row r="919" spans="2:4" x14ac:dyDescent="0.3">
      <c r="B919">
        <f>Feuille1!A928</f>
        <v>309.5</v>
      </c>
      <c r="C919">
        <f>Feuille1!B928</f>
        <v>28194.688880593341</v>
      </c>
      <c r="D919">
        <f>Feuille1!C928</f>
        <v>-4343.5439645356037</v>
      </c>
    </row>
    <row r="920" spans="2:4" x14ac:dyDescent="0.3">
      <c r="B920">
        <f>Feuille1!A929</f>
        <v>310</v>
      </c>
      <c r="C920">
        <f>Feuille1!B929</f>
        <v>25886.642197634625</v>
      </c>
      <c r="D920">
        <f>Feuille1!C929</f>
        <v>-814.98652529569722</v>
      </c>
    </row>
    <row r="921" spans="2:4" x14ac:dyDescent="0.3">
      <c r="B921">
        <f>Feuille1!A930</f>
        <v>310.5</v>
      </c>
      <c r="C921">
        <f>Feuille1!B930</f>
        <v>23074.376353679861</v>
      </c>
      <c r="D921">
        <f>Feuille1!C930</f>
        <v>3400.9128397992404</v>
      </c>
    </row>
    <row r="922" spans="2:4" x14ac:dyDescent="0.3">
      <c r="B922">
        <f>Feuille1!A931</f>
        <v>311</v>
      </c>
      <c r="C922">
        <f>Feuille1!B931</f>
        <v>19749.537120497869</v>
      </c>
      <c r="D922">
        <f>Feuille1!C931</f>
        <v>8699.9768931072467</v>
      </c>
    </row>
    <row r="923" spans="2:4" x14ac:dyDescent="0.3">
      <c r="B923">
        <f>Feuille1!A932</f>
        <v>311.5</v>
      </c>
      <c r="C923">
        <f>Feuille1!B932</f>
        <v>16148.487533550511</v>
      </c>
      <c r="D923">
        <f>Feuille1!C932</f>
        <v>15919.081762337815</v>
      </c>
    </row>
    <row r="924" spans="2:4" x14ac:dyDescent="0.3">
      <c r="B924">
        <f>Feuille1!A933</f>
        <v>312</v>
      </c>
      <c r="C924">
        <f>Feuille1!B933</f>
        <v>14251.996214729563</v>
      </c>
      <c r="D924">
        <f>Feuille1!C933</f>
        <v>25236.558032838082</v>
      </c>
    </row>
    <row r="925" spans="2:4" x14ac:dyDescent="0.3">
      <c r="B925">
        <f>Feuille1!A934</f>
        <v>312.5</v>
      </c>
      <c r="C925">
        <f>Feuille1!B934</f>
        <v>13996.983170558151</v>
      </c>
      <c r="D925">
        <f>Feuille1!C934</f>
        <v>32564.263344157578</v>
      </c>
    </row>
    <row r="926" spans="2:4" x14ac:dyDescent="0.3">
      <c r="B926">
        <f>Feuille1!A935</f>
        <v>313</v>
      </c>
      <c r="C926">
        <f>Feuille1!B935</f>
        <v>14092.21313279029</v>
      </c>
      <c r="D926">
        <f>Feuille1!C935</f>
        <v>38294.615250036906</v>
      </c>
    </row>
    <row r="927" spans="2:4" x14ac:dyDescent="0.3">
      <c r="B927">
        <f>Feuille1!A936</f>
        <v>313.5</v>
      </c>
      <c r="C927">
        <f>Feuille1!B936</f>
        <v>14219.268381573247</v>
      </c>
      <c r="D927">
        <f>Feuille1!C936</f>
        <v>42899.765128856903</v>
      </c>
    </row>
    <row r="928" spans="2:4" x14ac:dyDescent="0.3">
      <c r="B928">
        <f>Feuille1!A937</f>
        <v>314</v>
      </c>
      <c r="C928">
        <f>Feuille1!B937</f>
        <v>14291.71128853285</v>
      </c>
      <c r="D928">
        <f>Feuille1!C937</f>
        <v>46636.303860658401</v>
      </c>
    </row>
    <row r="929" spans="2:4" x14ac:dyDescent="0.3">
      <c r="B929">
        <f>Feuille1!A938</f>
        <v>314.5</v>
      </c>
      <c r="C929">
        <f>Feuille1!B938</f>
        <v>14284.619915748923</v>
      </c>
      <c r="D929">
        <f>Feuille1!C938</f>
        <v>49653.235565175703</v>
      </c>
    </row>
    <row r="930" spans="2:4" x14ac:dyDescent="0.3">
      <c r="B930">
        <f>Feuille1!A939</f>
        <v>315</v>
      </c>
      <c r="C930">
        <f>Feuille1!B939</f>
        <v>14192.300551594326</v>
      </c>
      <c r="D930">
        <f>Feuille1!C939</f>
        <v>52043.762414592187</v>
      </c>
    </row>
    <row r="931" spans="2:4" x14ac:dyDescent="0.3">
      <c r="B931">
        <f>Feuille1!A940</f>
        <v>315.5</v>
      </c>
      <c r="C931">
        <f>Feuille1!B940</f>
        <v>14015.550993235272</v>
      </c>
      <c r="D931">
        <f>Feuille1!C940</f>
        <v>53868.790469825493</v>
      </c>
    </row>
    <row r="932" spans="2:4" x14ac:dyDescent="0.3">
      <c r="B932">
        <f>Feuille1!A941</f>
        <v>316</v>
      </c>
      <c r="C932">
        <f>Feuille1!B941</f>
        <v>13757.290936697413</v>
      </c>
      <c r="D932">
        <f>Feuille1!C941</f>
        <v>55168.543958501585</v>
      </c>
    </row>
    <row r="933" spans="2:4" x14ac:dyDescent="0.3">
      <c r="B933">
        <f>Feuille1!A942</f>
        <v>316.5</v>
      </c>
      <c r="C933">
        <f>Feuille1!B942</f>
        <v>13420.958534319041</v>
      </c>
      <c r="D933">
        <f>Feuille1!C942</f>
        <v>55968.727924702973</v>
      </c>
    </row>
    <row r="934" spans="2:4" x14ac:dyDescent="0.3">
      <c r="B934">
        <f>Feuille1!A943</f>
        <v>317</v>
      </c>
      <c r="C934">
        <f>Feuille1!B943</f>
        <v>13009.934209260195</v>
      </c>
      <c r="D934">
        <f>Feuille1!C943</f>
        <v>56283.903517797284</v>
      </c>
    </row>
    <row r="935" spans="2:4" x14ac:dyDescent="0.3">
      <c r="B935">
        <f>Feuille1!A944</f>
        <v>317.5</v>
      </c>
      <c r="C935">
        <f>Feuille1!B944</f>
        <v>12527.392306893029</v>
      </c>
      <c r="D935">
        <f>Feuille1!C944</f>
        <v>56119.261477458989</v>
      </c>
    </row>
    <row r="936" spans="2:4" x14ac:dyDescent="0.3">
      <c r="B936">
        <f>Feuille1!A945</f>
        <v>318</v>
      </c>
      <c r="C936">
        <f>Feuille1!B945</f>
        <v>11976.371441740306</v>
      </c>
      <c r="D936">
        <f>Feuille1!C945</f>
        <v>55471.337606681991</v>
      </c>
    </row>
    <row r="937" spans="2:4" x14ac:dyDescent="0.3">
      <c r="B937">
        <f>Feuille1!A946</f>
        <v>318.5</v>
      </c>
      <c r="C937">
        <f>Feuille1!B946</f>
        <v>11360.017383939015</v>
      </c>
      <c r="D937">
        <f>Feuille1!C946</f>
        <v>54327.895659433365</v>
      </c>
    </row>
    <row r="938" spans="2:4" x14ac:dyDescent="0.3">
      <c r="B938">
        <f>Feuille1!A947</f>
        <v>319</v>
      </c>
      <c r="C938">
        <f>Feuille1!B947</f>
        <v>10682.057290058901</v>
      </c>
      <c r="D938">
        <f>Feuille1!C947</f>
        <v>52667.013104628692</v>
      </c>
    </row>
    <row r="939" spans="2:4" x14ac:dyDescent="0.3">
      <c r="B939">
        <f>Feuille1!A948</f>
        <v>319.5</v>
      </c>
      <c r="C939">
        <f>Feuille1!B948</f>
        <v>9947.6971181934059</v>
      </c>
      <c r="D939">
        <f>Feuille1!C948</f>
        <v>50455.265095419665</v>
      </c>
    </row>
    <row r="940" spans="2:4" x14ac:dyDescent="0.3">
      <c r="B940">
        <f>Feuille1!A949</f>
        <v>320</v>
      </c>
      <c r="C940">
        <f>Feuille1!B949</f>
        <v>9165.400996747976</v>
      </c>
      <c r="D940">
        <f>Feuille1!C949</f>
        <v>47644.799073381313</v>
      </c>
    </row>
    <row r="941" spans="2:4" x14ac:dyDescent="0.3">
      <c r="B941">
        <f>Feuille1!A950</f>
        <v>320.5</v>
      </c>
      <c r="C941">
        <f>Feuille1!B950</f>
        <v>8350.6528070244585</v>
      </c>
      <c r="D941">
        <f>Feuille1!C950</f>
        <v>44169.140051695962</v>
      </c>
    </row>
    <row r="942" spans="2:4" x14ac:dyDescent="0.3">
      <c r="B942">
        <f>Feuille1!A951</f>
        <v>321</v>
      </c>
      <c r="C942">
        <f>Feuille1!B951</f>
        <v>7534.4663767698812</v>
      </c>
      <c r="D942">
        <f>Feuille1!C951</f>
        <v>39938.366477392847</v>
      </c>
    </row>
    <row r="943" spans="2:4" x14ac:dyDescent="0.3">
      <c r="B943">
        <f>Feuille1!A952</f>
        <v>321.5</v>
      </c>
      <c r="C943">
        <f>Feuille1!B952</f>
        <v>6783.7952455126551</v>
      </c>
      <c r="D943">
        <f>Feuille1!C952</f>
        <v>34838.577279263052</v>
      </c>
    </row>
    <row r="944" spans="2:4" x14ac:dyDescent="0.3">
      <c r="B944">
        <f>Feuille1!A953</f>
        <v>322</v>
      </c>
      <c r="C944">
        <f>Feuille1!B953</f>
        <v>6250.4342178297829</v>
      </c>
      <c r="D944">
        <f>Feuille1!C953</f>
        <v>28759.925530553544</v>
      </c>
    </row>
    <row r="945" spans="2:4" x14ac:dyDescent="0.3">
      <c r="B945">
        <f>Feuille1!A954</f>
        <v>322.5</v>
      </c>
      <c r="C945">
        <f>Feuille1!B954</f>
        <v>6258.1981230098427</v>
      </c>
      <c r="D945">
        <f>Feuille1!C954</f>
        <v>21745.690343953604</v>
      </c>
    </row>
    <row r="946" spans="2:4" x14ac:dyDescent="0.3">
      <c r="B946">
        <f>Feuille1!A955</f>
        <v>323</v>
      </c>
      <c r="C946">
        <f>Feuille1!B955</f>
        <v>7227.9433757698171</v>
      </c>
      <c r="D946">
        <f>Feuille1!C955</f>
        <v>14370.224960679312</v>
      </c>
    </row>
    <row r="947" spans="2:4" x14ac:dyDescent="0.3">
      <c r="B947">
        <f>Feuille1!A956</f>
        <v>323.5</v>
      </c>
      <c r="C947">
        <f>Feuille1!B956</f>
        <v>9072.5981791577578</v>
      </c>
      <c r="D947">
        <f>Feuille1!C956</f>
        <v>7563.58908248029</v>
      </c>
    </row>
    <row r="948" spans="2:4" x14ac:dyDescent="0.3">
      <c r="B948">
        <f>Feuille1!A957</f>
        <v>324</v>
      </c>
      <c r="C948">
        <f>Feuille1!B957</f>
        <v>11280.953922006447</v>
      </c>
      <c r="D948">
        <f>Feuille1!C957</f>
        <v>1631.9484238157861</v>
      </c>
    </row>
    <row r="949" spans="2:4" x14ac:dyDescent="0.3">
      <c r="B949">
        <f>Feuille1!A958</f>
        <v>324.5</v>
      </c>
      <c r="C949">
        <f>Feuille1!B958</f>
        <v>13489.828509770528</v>
      </c>
      <c r="D949">
        <f>Feuille1!C958</f>
        <v>-3581.3578697077246</v>
      </c>
    </row>
    <row r="950" spans="2:4" x14ac:dyDescent="0.3">
      <c r="B950">
        <f>Feuille1!A959</f>
        <v>325</v>
      </c>
      <c r="C950">
        <f>Feuille1!B959</f>
        <v>15507.02926063942</v>
      </c>
      <c r="D950">
        <f>Feuille1!C959</f>
        <v>-8297.7121166747147</v>
      </c>
    </row>
    <row r="951" spans="2:4" x14ac:dyDescent="0.3">
      <c r="B951">
        <f>Feuille1!A960</f>
        <v>325.5</v>
      </c>
      <c r="C951">
        <f>Feuille1!B960</f>
        <v>17218.921836550697</v>
      </c>
      <c r="D951">
        <f>Feuille1!C960</f>
        <v>-12692.039692340872</v>
      </c>
    </row>
    <row r="952" spans="2:4" x14ac:dyDescent="0.3">
      <c r="B952">
        <f>Feuille1!A961</f>
        <v>326</v>
      </c>
      <c r="C952">
        <f>Feuille1!B961</f>
        <v>18542.799450793638</v>
      </c>
      <c r="D952">
        <f>Feuille1!C961</f>
        <v>-16883.362350255782</v>
      </c>
    </row>
    <row r="953" spans="2:4" x14ac:dyDescent="0.3">
      <c r="B953">
        <f>Feuille1!A962</f>
        <v>326.5</v>
      </c>
      <c r="C953">
        <f>Feuille1!B962</f>
        <v>19408.185286115153</v>
      </c>
      <c r="D953">
        <f>Feuille1!C962</f>
        <v>-20943.826725953815</v>
      </c>
    </row>
    <row r="954" spans="2:4" x14ac:dyDescent="0.3">
      <c r="B954">
        <f>Feuille1!A963</f>
        <v>327</v>
      </c>
      <c r="C954">
        <f>Feuille1!B963</f>
        <v>19749.304883018129</v>
      </c>
      <c r="D954">
        <f>Feuille1!C963</f>
        <v>-24908.284907497073</v>
      </c>
    </row>
    <row r="955" spans="2:4" x14ac:dyDescent="0.3">
      <c r="B955">
        <f>Feuille1!A964</f>
        <v>327.5</v>
      </c>
      <c r="C955">
        <f>Feuille1!B964</f>
        <v>19500.951621564825</v>
      </c>
      <c r="D955">
        <f>Feuille1!C964</f>
        <v>-28781.099528932158</v>
      </c>
    </row>
    <row r="956" spans="2:4" x14ac:dyDescent="0.3">
      <c r="B956">
        <f>Feuille1!A965</f>
        <v>328</v>
      </c>
      <c r="C956">
        <f>Feuille1!B965</f>
        <v>18594.864252256648</v>
      </c>
      <c r="D956">
        <f>Feuille1!C965</f>
        <v>-32539.24877923376</v>
      </c>
    </row>
    <row r="957" spans="2:4" x14ac:dyDescent="0.3">
      <c r="B957">
        <f>Feuille1!A966</f>
        <v>328.5</v>
      </c>
      <c r="C957">
        <f>Feuille1!B966</f>
        <v>16955.770918858499</v>
      </c>
      <c r="D957">
        <f>Feuille1!C966</f>
        <v>-36130.731328574475</v>
      </c>
    </row>
    <row r="958" spans="2:4" x14ac:dyDescent="0.3">
      <c r="B958">
        <f>Feuille1!A967</f>
        <v>329</v>
      </c>
      <c r="C958">
        <f>Feuille1!B967</f>
        <v>14497.372831972079</v>
      </c>
      <c r="D958">
        <f>Feuille1!C967</f>
        <v>-39466.203458071475</v>
      </c>
    </row>
    <row r="959" spans="2:4" x14ac:dyDescent="0.3">
      <c r="B959">
        <f>Feuille1!A968</f>
        <v>329.5</v>
      </c>
      <c r="C959">
        <f>Feuille1!B968</f>
        <v>11120.456899424606</v>
      </c>
      <c r="D959">
        <f>Feuille1!C968</f>
        <v>-42399.361007712912</v>
      </c>
    </row>
    <row r="960" spans="2:4" x14ac:dyDescent="0.3">
      <c r="B960">
        <f>Feuille1!A969</f>
        <v>330</v>
      </c>
      <c r="C960">
        <f>Feuille1!B969</f>
        <v>6721.8793572277837</v>
      </c>
      <c r="D960">
        <f>Feuille1!C969</f>
        <v>-44687.101765130938</v>
      </c>
    </row>
    <row r="961" spans="2:4" x14ac:dyDescent="0.3">
      <c r="B961">
        <f>Feuille1!A970</f>
        <v>330.5</v>
      </c>
      <c r="C961">
        <f>Feuille1!B970</f>
        <v>1247.0794584578139</v>
      </c>
      <c r="D961">
        <f>Feuille1!C970</f>
        <v>-45917.606561740315</v>
      </c>
    </row>
    <row r="962" spans="2:4" x14ac:dyDescent="0.3">
      <c r="B962">
        <f>Feuille1!A971</f>
        <v>331</v>
      </c>
      <c r="C962">
        <f>Feuille1!B971</f>
        <v>-5108.901377873759</v>
      </c>
      <c r="D962">
        <f>Feuille1!C971</f>
        <v>-45437.457203750782</v>
      </c>
    </row>
    <row r="963" spans="2:4" x14ac:dyDescent="0.3">
      <c r="B963">
        <f>Feuille1!A972</f>
        <v>331.5</v>
      </c>
      <c r="C963">
        <f>Feuille1!B972</f>
        <v>-11431.916906023584</v>
      </c>
      <c r="D963">
        <f>Feuille1!C972</f>
        <v>-42609.271001537214</v>
      </c>
    </row>
    <row r="964" spans="2:4" x14ac:dyDescent="0.3">
      <c r="B964">
        <f>Feuille1!A973</f>
        <v>332</v>
      </c>
      <c r="C964">
        <f>Feuille1!B973</f>
        <v>-16264.805575551145</v>
      </c>
      <c r="D964">
        <f>Feuille1!C973</f>
        <v>-37861.367765644536</v>
      </c>
    </row>
    <row r="965" spans="2:4" x14ac:dyDescent="0.3">
      <c r="B965">
        <f>Feuille1!A974</f>
        <v>332.5</v>
      </c>
      <c r="C965">
        <f>Feuille1!B974</f>
        <v>-19176.133867172466</v>
      </c>
      <c r="D965">
        <f>Feuille1!C974</f>
        <v>-32429.065078903051</v>
      </c>
    </row>
    <row r="966" spans="2:4" x14ac:dyDescent="0.3">
      <c r="B966">
        <f>Feuille1!A975</f>
        <v>333</v>
      </c>
      <c r="C966">
        <f>Feuille1!B975</f>
        <v>-20567.861122528033</v>
      </c>
      <c r="D966">
        <f>Feuille1!C975</f>
        <v>-27024.947573045509</v>
      </c>
    </row>
    <row r="967" spans="2:4" x14ac:dyDescent="0.3">
      <c r="B967">
        <f>Feuille1!A976</f>
        <v>333.5</v>
      </c>
      <c r="C967">
        <f>Feuille1!B976</f>
        <v>-20886.352640711761</v>
      </c>
      <c r="D967">
        <f>Feuille1!C976</f>
        <v>-21854.713620191109</v>
      </c>
    </row>
    <row r="968" spans="2:4" x14ac:dyDescent="0.3">
      <c r="B968">
        <f>Feuille1!A977</f>
        <v>334</v>
      </c>
      <c r="C968">
        <f>Feuille1!B977</f>
        <v>-20447.335478517572</v>
      </c>
      <c r="D968">
        <f>Feuille1!C977</f>
        <v>-16903.825559344452</v>
      </c>
    </row>
    <row r="969" spans="2:4" x14ac:dyDescent="0.3">
      <c r="B969">
        <f>Feuille1!A978</f>
        <v>334.5</v>
      </c>
      <c r="C969">
        <f>Feuille1!B978</f>
        <v>-19459.184449203745</v>
      </c>
      <c r="D969">
        <f>Feuille1!C978</f>
        <v>-12066.062579409467</v>
      </c>
    </row>
    <row r="970" spans="2:4" x14ac:dyDescent="0.3">
      <c r="B970">
        <f>Feuille1!A979</f>
        <v>335</v>
      </c>
      <c r="C970">
        <f>Feuille1!B979</f>
        <v>-18062.331420791848</v>
      </c>
      <c r="D970">
        <f>Feuille1!C979</f>
        <v>-7182.637845314398</v>
      </c>
    </row>
    <row r="971" spans="2:4" x14ac:dyDescent="0.3">
      <c r="B971">
        <f>Feuille1!A980</f>
        <v>335.5</v>
      </c>
      <c r="C971">
        <f>Feuille1!B980</f>
        <v>-16362.886889893927</v>
      </c>
      <c r="D971">
        <f>Feuille1!C980</f>
        <v>-2042.6390696603503</v>
      </c>
    </row>
    <row r="972" spans="2:4" x14ac:dyDescent="0.3">
      <c r="B972">
        <f>Feuille1!A981</f>
        <v>336</v>
      </c>
      <c r="C972">
        <f>Feuille1!B981</f>
        <v>-14475.947766766398</v>
      </c>
      <c r="D972">
        <f>Feuille1!C981</f>
        <v>3641.2886113373047</v>
      </c>
    </row>
    <row r="973" spans="2:4" x14ac:dyDescent="0.3">
      <c r="B973">
        <f>Feuille1!A982</f>
        <v>336.5</v>
      </c>
      <c r="C973">
        <f>Feuille1!B982</f>
        <v>-12632.814317626608</v>
      </c>
      <c r="D973">
        <f>Feuille1!C982</f>
        <v>10274.212685591481</v>
      </c>
    </row>
    <row r="974" spans="2:4" x14ac:dyDescent="0.3">
      <c r="B974">
        <f>Feuille1!A983</f>
        <v>337</v>
      </c>
      <c r="C974">
        <f>Feuille1!B983</f>
        <v>-11524.023975189239</v>
      </c>
      <c r="D974">
        <f>Feuille1!C983</f>
        <v>18272.482052065825</v>
      </c>
    </row>
    <row r="975" spans="2:4" x14ac:dyDescent="0.3">
      <c r="B975">
        <f>Feuille1!A984</f>
        <v>337.5</v>
      </c>
      <c r="C975">
        <f>Feuille1!B984</f>
        <v>-12484.798793215481</v>
      </c>
      <c r="D975">
        <f>Feuille1!C984</f>
        <v>26653.773018978085</v>
      </c>
    </row>
    <row r="976" spans="2:4" x14ac:dyDescent="0.3">
      <c r="B976">
        <f>Feuille1!A985</f>
        <v>338</v>
      </c>
      <c r="C976">
        <f>Feuille1!B985</f>
        <v>-14754.544885139716</v>
      </c>
      <c r="D976">
        <f>Feuille1!C985</f>
        <v>33354.732391899204</v>
      </c>
    </row>
    <row r="977" spans="2:4" x14ac:dyDescent="0.3">
      <c r="B977">
        <f>Feuille1!A986</f>
        <v>338.5</v>
      </c>
      <c r="C977">
        <f>Feuille1!B986</f>
        <v>-17277.254450211189</v>
      </c>
      <c r="D977">
        <f>Feuille1!C986</f>
        <v>38467.548451973511</v>
      </c>
    </row>
    <row r="978" spans="2:4" x14ac:dyDescent="0.3">
      <c r="B978">
        <f>Feuille1!A987</f>
        <v>339</v>
      </c>
      <c r="C978">
        <f>Feuille1!B987</f>
        <v>-19716.750488522364</v>
      </c>
      <c r="D978">
        <f>Feuille1!C987</f>
        <v>42392.919773873764</v>
      </c>
    </row>
    <row r="979" spans="2:4" x14ac:dyDescent="0.3">
      <c r="B979">
        <f>Feuille1!A988</f>
        <v>339.5</v>
      </c>
      <c r="C979">
        <f>Feuille1!B988</f>
        <v>-21974.776462769682</v>
      </c>
      <c r="D979">
        <f>Feuille1!C988</f>
        <v>45398.030733636959</v>
      </c>
    </row>
    <row r="980" spans="2:4" x14ac:dyDescent="0.3">
      <c r="B980">
        <f>Feuille1!A989</f>
        <v>340</v>
      </c>
      <c r="C980">
        <f>Feuille1!B989</f>
        <v>-24021.178442402863</v>
      </c>
      <c r="D980">
        <f>Feuille1!C989</f>
        <v>47648.981345872904</v>
      </c>
    </row>
    <row r="981" spans="2:4" x14ac:dyDescent="0.3">
      <c r="B981">
        <f>Feuille1!A990</f>
        <v>340.5</v>
      </c>
      <c r="C981">
        <f>Feuille1!B990</f>
        <v>-25846.357855290575</v>
      </c>
      <c r="D981">
        <f>Feuille1!C990</f>
        <v>49251.927449997413</v>
      </c>
    </row>
    <row r="982" spans="2:4" x14ac:dyDescent="0.3">
      <c r="B982">
        <f>Feuille1!A991</f>
        <v>341</v>
      </c>
      <c r="C982">
        <f>Feuille1!B991</f>
        <v>-27446.435965476456</v>
      </c>
      <c r="D982">
        <f>Feuille1!C991</f>
        <v>50276.391052507075</v>
      </c>
    </row>
    <row r="983" spans="2:4" x14ac:dyDescent="0.3">
      <c r="B983">
        <f>Feuille1!A992</f>
        <v>341.5</v>
      </c>
      <c r="C983">
        <f>Feuille1!B992</f>
        <v>-28817.949597684226</v>
      </c>
      <c r="D983">
        <f>Feuille1!C992</f>
        <v>50767.836066883421</v>
      </c>
    </row>
    <row r="984" spans="2:4" x14ac:dyDescent="0.3">
      <c r="B984">
        <f>Feuille1!A993</f>
        <v>342</v>
      </c>
      <c r="C984">
        <f>Feuille1!B993</f>
        <v>-29955.586203794908</v>
      </c>
      <c r="D984">
        <f>Feuille1!C993</f>
        <v>50754.51448298082</v>
      </c>
    </row>
    <row r="985" spans="2:4" x14ac:dyDescent="0.3">
      <c r="B985">
        <f>Feuille1!A994</f>
        <v>342.5</v>
      </c>
      <c r="C985">
        <f>Feuille1!B994</f>
        <v>-30850.858583364869</v>
      </c>
      <c r="D985">
        <f>Feuille1!C994</f>
        <v>50251.078992980823</v>
      </c>
    </row>
    <row r="986" spans="2:4" x14ac:dyDescent="0.3">
      <c r="B986">
        <f>Feuille1!A995</f>
        <v>343</v>
      </c>
      <c r="C986">
        <f>Feuille1!B995</f>
        <v>-31490.88647702325</v>
      </c>
      <c r="D986">
        <f>Feuille1!C995</f>
        <v>49260.112119340367</v>
      </c>
    </row>
    <row r="987" spans="2:4" x14ac:dyDescent="0.3">
      <c r="B987">
        <f>Feuille1!A996</f>
        <v>343.5</v>
      </c>
      <c r="C987">
        <f>Feuille1!B996</f>
        <v>-31856.788719151118</v>
      </c>
      <c r="D987">
        <f>Feuille1!C996</f>
        <v>47771.974757026073</v>
      </c>
    </row>
    <row r="988" spans="2:4" x14ac:dyDescent="0.3">
      <c r="B988">
        <f>Feuille1!A997</f>
        <v>344</v>
      </c>
      <c r="C988">
        <f>Feuille1!B997</f>
        <v>-31921.132873740371</v>
      </c>
      <c r="D988">
        <f>Feuille1!C997</f>
        <v>45762.810881870639</v>
      </c>
    </row>
    <row r="989" spans="2:4" x14ac:dyDescent="0.3">
      <c r="B989">
        <f>Feuille1!A998</f>
        <v>344.5</v>
      </c>
      <c r="C989">
        <f>Feuille1!B998</f>
        <v>-31643.454429938422</v>
      </c>
      <c r="D989">
        <f>Feuille1!C998</f>
        <v>43189.815741419014</v>
      </c>
    </row>
    <row r="990" spans="2:4" x14ac:dyDescent="0.3">
      <c r="B990">
        <f>Feuille1!A999</f>
        <v>345</v>
      </c>
      <c r="C990">
        <f>Feuille1!B999</f>
        <v>-30961.611263942745</v>
      </c>
      <c r="D990">
        <f>Feuille1!C999</f>
        <v>39981.404042180882</v>
      </c>
    </row>
    <row r="991" spans="2:4" x14ac:dyDescent="0.3">
      <c r="B991">
        <f>Feuille1!A1000</f>
        <v>345.5</v>
      </c>
      <c r="C991">
        <f>Feuille1!B1000</f>
        <v>-29773.006031939763</v>
      </c>
      <c r="D991">
        <f>Feuille1!C1000</f>
        <v>36016.10137848102</v>
      </c>
    </row>
    <row r="992" spans="2:4" x14ac:dyDescent="0.3">
      <c r="B992">
        <f>Feuille1!A1001</f>
        <v>346</v>
      </c>
      <c r="C992">
        <f>Feuille1!B1001</f>
        <v>-27886.487014763665</v>
      </c>
      <c r="D992">
        <f>Feuille1!C1001</f>
        <v>31072.434253711468</v>
      </c>
    </row>
    <row r="993" spans="2:4" x14ac:dyDescent="0.3">
      <c r="B993">
        <f>Feuille1!A1002</f>
        <v>346.5</v>
      </c>
      <c r="C993">
        <f>Feuille1!B1002</f>
        <v>-24867.769319794479</v>
      </c>
      <c r="D993">
        <f>Feuille1!C1002</f>
        <v>24697.944356033571</v>
      </c>
    </row>
    <row r="994" spans="2:4" x14ac:dyDescent="0.3">
      <c r="B994">
        <f>Feuille1!A1003</f>
        <v>347</v>
      </c>
      <c r="C994">
        <f>Feuille1!B1003</f>
        <v>-19520.216888684638</v>
      </c>
      <c r="D994">
        <f>Feuille1!C1003</f>
        <v>16183.80534609946</v>
      </c>
    </row>
    <row r="995" spans="2:4" x14ac:dyDescent="0.3">
      <c r="B995">
        <f>Feuille1!A1004</f>
        <v>347.5</v>
      </c>
      <c r="C995">
        <f>Feuille1!B1004</f>
        <v>-14220.62150989439</v>
      </c>
      <c r="D995">
        <f>Feuille1!C1004</f>
        <v>10364.944171862664</v>
      </c>
    </row>
    <row r="996" spans="2:4" x14ac:dyDescent="0.3">
      <c r="B996">
        <f>Feuille1!A1005</f>
        <v>348</v>
      </c>
      <c r="C996">
        <f>Feuille1!B1005</f>
        <v>-9602.0796809963867</v>
      </c>
      <c r="D996">
        <f>Feuille1!C1005</f>
        <v>6167.2336605980263</v>
      </c>
    </row>
    <row r="997" spans="2:4" x14ac:dyDescent="0.3">
      <c r="B997">
        <f>Feuille1!A1006</f>
        <v>348.5</v>
      </c>
      <c r="C997">
        <f>Feuille1!B1006</f>
        <v>-5293.9009858565096</v>
      </c>
      <c r="D997">
        <f>Feuille1!C1006</f>
        <v>2798.8411530468593</v>
      </c>
    </row>
    <row r="998" spans="2:4" x14ac:dyDescent="0.3">
      <c r="B998">
        <f>Feuille1!A1007</f>
        <v>349</v>
      </c>
      <c r="C998">
        <f>Feuille1!B1007</f>
        <v>-1105.1884761466333</v>
      </c>
      <c r="D998">
        <f>Feuille1!C1007</f>
        <v>-57.304765775429132</v>
      </c>
    </row>
    <row r="999" spans="2:4" x14ac:dyDescent="0.3">
      <c r="B999">
        <f>Feuille1!A1008</f>
        <v>349.5</v>
      </c>
      <c r="C999">
        <f>Feuille1!B1008</f>
        <v>3031.1452084319035</v>
      </c>
      <c r="D999">
        <f>Feuille1!C1008</f>
        <v>-2539.22427178011</v>
      </c>
    </row>
    <row r="1000" spans="2:4" x14ac:dyDescent="0.3">
      <c r="B1000">
        <f>Feuille1!A1009</f>
        <v>350</v>
      </c>
      <c r="C1000">
        <f>Feuille1!B1009</f>
        <v>7099.7367901580237</v>
      </c>
      <c r="D1000">
        <f>Feuille1!C1009</f>
        <v>-4702.2738110696537</v>
      </c>
    </row>
    <row r="1001" spans="2:4" x14ac:dyDescent="0.3">
      <c r="B1001">
        <f>Feuille1!A1010</f>
        <v>350.5</v>
      </c>
      <c r="C1001">
        <f>Feuille1!B1010</f>
        <v>11034.593395445625</v>
      </c>
      <c r="D1001">
        <f>Feuille1!C1010</f>
        <v>-6559.9652647848106</v>
      </c>
    </row>
    <row r="1002" spans="2:4" x14ac:dyDescent="0.3">
      <c r="B1002">
        <f>Feuille1!A1011</f>
        <v>351</v>
      </c>
      <c r="C1002">
        <f>Feuille1!B1011</f>
        <v>14751.707124015224</v>
      </c>
      <c r="D1002">
        <f>Feuille1!C1011</f>
        <v>-8107.877018106281</v>
      </c>
    </row>
    <row r="1003" spans="2:4" x14ac:dyDescent="0.3">
      <c r="B1003">
        <f>Feuille1!A1012</f>
        <v>351.5</v>
      </c>
      <c r="C1003">
        <f>Feuille1!B1012</f>
        <v>18175.489838856225</v>
      </c>
      <c r="D1003">
        <f>Feuille1!C1012</f>
        <v>-9338.7077276333275</v>
      </c>
    </row>
    <row r="1004" spans="2:4" x14ac:dyDescent="0.3">
      <c r="B1004">
        <f>Feuille1!A1013</f>
        <v>352</v>
      </c>
      <c r="C1004">
        <f>Feuille1!B1013</f>
        <v>21251.2118750718</v>
      </c>
      <c r="D1004">
        <f>Feuille1!C1013</f>
        <v>-10249.23399137842</v>
      </c>
    </row>
    <row r="1005" spans="2:4" x14ac:dyDescent="0.3">
      <c r="B1005">
        <f>Feuille1!A1014</f>
        <v>352.5</v>
      </c>
      <c r="C1005">
        <f>Feuille1!B1014</f>
        <v>23945.08786569197</v>
      </c>
      <c r="D1005">
        <f>Feuille1!C1014</f>
        <v>-10841.138364746455</v>
      </c>
    </row>
    <row r="1006" spans="2:4" x14ac:dyDescent="0.3">
      <c r="B1006">
        <f>Feuille1!A1015</f>
        <v>353</v>
      </c>
      <c r="C1006">
        <f>Feuille1!B1015</f>
        <v>26238.70936569418</v>
      </c>
      <c r="D1006">
        <f>Feuille1!C1015</f>
        <v>-11118.974585947417</v>
      </c>
    </row>
    <row r="1007" spans="2:4" x14ac:dyDescent="0.3">
      <c r="B1007">
        <f>Feuille1!A1016</f>
        <v>353.5</v>
      </c>
      <c r="C1007">
        <f>Feuille1!B1016</f>
        <v>28122.864218722149</v>
      </c>
      <c r="D1007">
        <f>Feuille1!C1016</f>
        <v>-11087.627983113811</v>
      </c>
    </row>
    <row r="1008" spans="2:4" x14ac:dyDescent="0.3">
      <c r="B1008">
        <f>Feuille1!A1017</f>
        <v>354</v>
      </c>
      <c r="C1008">
        <f>Feuille1!B1017</f>
        <v>29592.686353898214</v>
      </c>
      <c r="D1008">
        <f>Feuille1!C1017</f>
        <v>-10750.167931238013</v>
      </c>
    </row>
    <row r="1009" spans="2:4" x14ac:dyDescent="0.3">
      <c r="B1009">
        <f>Feuille1!A1018</f>
        <v>354.5</v>
      </c>
      <c r="C1009">
        <f>Feuille1!B1018</f>
        <v>30644.294929373231</v>
      </c>
      <c r="D1009">
        <f>Feuille1!C1018</f>
        <v>-10106.109540913725</v>
      </c>
    </row>
    <row r="1010" spans="2:4" x14ac:dyDescent="0.3">
      <c r="B1010">
        <f>Feuille1!A1019</f>
        <v>355</v>
      </c>
      <c r="C1010">
        <f>Feuille1!B1019</f>
        <v>31272.492537664493</v>
      </c>
      <c r="D1010">
        <f>Feuille1!C1019</f>
        <v>-9149.7617283277268</v>
      </c>
    </row>
    <row r="1011" spans="2:4" x14ac:dyDescent="0.3">
      <c r="B1011">
        <f>Feuille1!A1020</f>
        <v>355.5</v>
      </c>
      <c r="C1011">
        <f>Feuille1!B1020</f>
        <v>31469.022648382252</v>
      </c>
      <c r="D1011">
        <f>Feuille1!C1020</f>
        <v>-7868.2027491286399</v>
      </c>
    </row>
    <row r="1012" spans="2:4" x14ac:dyDescent="0.3">
      <c r="B1012">
        <f>Feuille1!A1021</f>
        <v>356</v>
      </c>
      <c r="C1012">
        <f>Feuille1!B1021</f>
        <v>31220.92938576511</v>
      </c>
      <c r="D1012">
        <f>Feuille1!C1021</f>
        <v>-6238.2397642948517</v>
      </c>
    </row>
    <row r="1013" spans="2:4" x14ac:dyDescent="0.3">
      <c r="B1013">
        <f>Feuille1!A1022</f>
        <v>356.5</v>
      </c>
      <c r="C1013">
        <f>Feuille1!B1022</f>
        <v>30508.543507753366</v>
      </c>
      <c r="D1013">
        <f>Feuille1!C1022</f>
        <v>-4221.2529308675794</v>
      </c>
    </row>
    <row r="1014" spans="2:4" x14ac:dyDescent="0.3">
      <c r="B1014">
        <f>Feuille1!A1023</f>
        <v>357</v>
      </c>
      <c r="C1014">
        <f>Feuille1!B1023</f>
        <v>29302.439384681718</v>
      </c>
      <c r="D1014">
        <f>Feuille1!C1023</f>
        <v>-1753.6709565291462</v>
      </c>
    </row>
    <row r="1015" spans="2:4" x14ac:dyDescent="0.3">
      <c r="B1015">
        <f>Feuille1!A1024</f>
        <v>357.5</v>
      </c>
      <c r="C1015">
        <f>Feuille1!B1024</f>
        <v>27558.264960003871</v>
      </c>
      <c r="D1015">
        <f>Feuille1!C1024</f>
        <v>1272.2644724984088</v>
      </c>
    </row>
    <row r="1016" spans="2:4" x14ac:dyDescent="0.3">
      <c r="B1016">
        <f>Feuille1!A1025</f>
        <v>358</v>
      </c>
      <c r="C1016">
        <f>Feuille1!B1025</f>
        <v>25207.790805693461</v>
      </c>
      <c r="D1016">
        <f>Feuille1!C1025</f>
        <v>5052.1064315416133</v>
      </c>
    </row>
    <row r="1017" spans="2:4" x14ac:dyDescent="0.3">
      <c r="B1017">
        <f>Feuille1!A1026</f>
        <v>358.5</v>
      </c>
      <c r="C1017">
        <f>Feuille1!B1026</f>
        <v>22148.613291891572</v>
      </c>
      <c r="D1017">
        <f>Feuille1!C1026</f>
        <v>9984.1498147355233</v>
      </c>
    </row>
    <row r="1018" spans="2:4" x14ac:dyDescent="0.3">
      <c r="B1018">
        <f>Feuille1!A1027</f>
        <v>359</v>
      </c>
      <c r="C1018">
        <f>Feuille1!B1027</f>
        <v>18326.258590706311</v>
      </c>
      <c r="D1018">
        <f>Feuille1!C1027</f>
        <v>16997.637548099239</v>
      </c>
    </row>
    <row r="1019" spans="2:4" x14ac:dyDescent="0.3">
      <c r="B1019">
        <f>Feuille1!A1028</f>
        <v>359.5</v>
      </c>
      <c r="C1019">
        <f>Feuille1!B1028</f>
        <v>15484.639323583622</v>
      </c>
      <c r="D1019">
        <f>Feuille1!C1028</f>
        <v>26274.2695893501</v>
      </c>
    </row>
    <row r="1020" spans="2:4" x14ac:dyDescent="0.3">
      <c r="B1020">
        <f>Feuille1!A1029</f>
        <v>360</v>
      </c>
      <c r="C1020">
        <f>Feuille1!B1029</f>
        <v>13892.33016830278</v>
      </c>
      <c r="D1020">
        <f>Feuille1!C1029</f>
        <v>33178.42484800503</v>
      </c>
    </row>
    <row r="1021" spans="2:4" x14ac:dyDescent="0.3">
      <c r="B1021">
        <f>Feuille1!A1030</f>
        <v>360.5</v>
      </c>
      <c r="C1021">
        <f>Feuille1!B1030</f>
        <v>12602.01971883363</v>
      </c>
      <c r="D1021">
        <f>Feuille1!C1030</f>
        <v>38552.404951784309</v>
      </c>
    </row>
    <row r="1022" spans="2:4" x14ac:dyDescent="0.3">
      <c r="B1022">
        <f>Feuille1!A1031</f>
        <v>361</v>
      </c>
      <c r="C1022">
        <f>Feuille1!B1031</f>
        <v>11373.253427464595</v>
      </c>
      <c r="D1022">
        <f>Feuille1!C1031</f>
        <v>42861.929588693449</v>
      </c>
    </row>
    <row r="1023" spans="2:4" x14ac:dyDescent="0.3">
      <c r="B1023">
        <f>Feuille1!A1032</f>
        <v>361.5</v>
      </c>
      <c r="C1023">
        <f>Feuille1!B1032</f>
        <v>10134.275183876063</v>
      </c>
      <c r="D1023">
        <f>Feuille1!C1032</f>
        <v>46335.833826139031</v>
      </c>
    </row>
    <row r="1024" spans="2:4" x14ac:dyDescent="0.3">
      <c r="B1024">
        <f>Feuille1!A1033</f>
        <v>362</v>
      </c>
      <c r="C1024">
        <f>Feuille1!B1033</f>
        <v>8863.1848326029267</v>
      </c>
      <c r="D1024">
        <f>Feuille1!C1033</f>
        <v>49102.842674997366</v>
      </c>
    </row>
    <row r="1025" spans="2:4" x14ac:dyDescent="0.3">
      <c r="B1025">
        <f>Feuille1!A1034</f>
        <v>362.5</v>
      </c>
      <c r="C1025">
        <f>Feuille1!B1034</f>
        <v>7555.5103390995973</v>
      </c>
      <c r="D1025">
        <f>Feuille1!C1034</f>
        <v>51242.327848527522</v>
      </c>
    </row>
    <row r="1026" spans="2:4" x14ac:dyDescent="0.3">
      <c r="B1026">
        <f>Feuille1!A1035</f>
        <v>363</v>
      </c>
      <c r="C1026">
        <f>Feuille1!B1035</f>
        <v>6213.424259940537</v>
      </c>
      <c r="D1026">
        <f>Feuille1!C1035</f>
        <v>52805.464547574018</v>
      </c>
    </row>
    <row r="1027" spans="2:4" x14ac:dyDescent="0.3">
      <c r="B1027">
        <f>Feuille1!A1036</f>
        <v>363.5</v>
      </c>
      <c r="C1027">
        <f>Feuille1!B1036</f>
        <v>4841.7084743980904</v>
      </c>
      <c r="D1027">
        <f>Feuille1!C1036</f>
        <v>53825.207556342262</v>
      </c>
    </row>
    <row r="1028" spans="2:4" x14ac:dyDescent="0.3">
      <c r="B1028">
        <f>Feuille1!A1037</f>
        <v>364</v>
      </c>
      <c r="C1028">
        <f>Feuille1!B1037</f>
        <v>3446.1442149933146</v>
      </c>
      <c r="D1028">
        <f>Feuille1!C1037</f>
        <v>54321.394826900803</v>
      </c>
    </row>
    <row r="1029" spans="2:4" x14ac:dyDescent="0.3">
      <c r="B1029">
        <f>Feuille1!A1038</f>
        <v>364.5</v>
      </c>
      <c r="C1029">
        <f>Feuille1!B1038</f>
        <v>2032.8493032470535</v>
      </c>
      <c r="D1029">
        <f>Feuille1!C1038</f>
        <v>54303.408119072898</v>
      </c>
    </row>
    <row r="1030" spans="2:4" x14ac:dyDescent="0.3">
      <c r="B1030">
        <f>Feuille1!A1039</f>
        <v>365</v>
      </c>
      <c r="C1030">
        <f>Feuille1!B1039</f>
        <v>607.98299819268539</v>
      </c>
      <c r="D1030">
        <f>Feuille1!C1039</f>
        <v>53771.408446251029</v>
      </c>
    </row>
    <row r="1031" spans="2:4" x14ac:dyDescent="0.3">
      <c r="B1031">
        <f>Feuille1!A1040</f>
        <v>365.5</v>
      </c>
      <c r="C1031">
        <f>Feuille1!B1040</f>
        <v>-822.46085924033741</v>
      </c>
      <c r="D1031">
        <f>Feuille1!C1040</f>
        <v>52716.566235261089</v>
      </c>
    </row>
    <row r="1032" spans="2:4" x14ac:dyDescent="0.3">
      <c r="B1032">
        <f>Feuille1!A1041</f>
        <v>366</v>
      </c>
      <c r="C1032">
        <f>Feuille1!B1041</f>
        <v>-2252.9872199106776</v>
      </c>
      <c r="D1032">
        <f>Feuille1!C1041</f>
        <v>51120.389418362589</v>
      </c>
    </row>
    <row r="1033" spans="2:4" x14ac:dyDescent="0.3">
      <c r="B1033">
        <f>Feuille1!A1042</f>
        <v>366.5</v>
      </c>
      <c r="C1033">
        <f>Feuille1!B1042</f>
        <v>-3679.3756408338136</v>
      </c>
      <c r="D1033">
        <f>Feuille1!C1042</f>
        <v>48953.0030709657</v>
      </c>
    </row>
    <row r="1034" spans="2:4" x14ac:dyDescent="0.3">
      <c r="B1034">
        <f>Feuille1!A1043</f>
        <v>367</v>
      </c>
      <c r="C1034">
        <f>Feuille1!B1043</f>
        <v>-5100.5846513425286</v>
      </c>
      <c r="D1034">
        <f>Feuille1!C1043</f>
        <v>46169.904243097699</v>
      </c>
    </row>
    <row r="1035" spans="2:4" x14ac:dyDescent="0.3">
      <c r="B1035">
        <f>Feuille1!A1044</f>
        <v>367.5</v>
      </c>
      <c r="C1035">
        <f>Feuille1!B1044</f>
        <v>-6523.5310797877601</v>
      </c>
      <c r="D1035">
        <f>Feuille1!C1044</f>
        <v>42706.074946380853</v>
      </c>
    </row>
    <row r="1036" spans="2:4" x14ac:dyDescent="0.3">
      <c r="B1036">
        <f>Feuille1!A1045</f>
        <v>368</v>
      </c>
      <c r="C1036">
        <f>Feuille1!B1045</f>
        <v>-7975.6641601539341</v>
      </c>
      <c r="D1036">
        <f>Feuille1!C1045</f>
        <v>38464.822943142499</v>
      </c>
    </row>
    <row r="1037" spans="2:4" x14ac:dyDescent="0.3">
      <c r="B1037">
        <f>Feuille1!A1046</f>
        <v>368.5</v>
      </c>
      <c r="C1037">
        <f>Feuille1!B1046</f>
        <v>-9540.8131805773264</v>
      </c>
      <c r="D1037">
        <f>Feuille1!C1046</f>
        <v>33295.011225252332</v>
      </c>
    </row>
    <row r="1038" spans="2:4" x14ac:dyDescent="0.3">
      <c r="B1038">
        <f>Feuille1!A1047</f>
        <v>369</v>
      </c>
      <c r="C1038">
        <f>Feuille1!B1047</f>
        <v>-11474.14133754051</v>
      </c>
      <c r="D1038">
        <f>Feuille1!C1047</f>
        <v>26945.98002867118</v>
      </c>
    </row>
    <row r="1039" spans="2:4" x14ac:dyDescent="0.3">
      <c r="B1039">
        <f>Feuille1!A1048</f>
        <v>369.5</v>
      </c>
      <c r="C1039">
        <f>Feuille1!B1048</f>
        <v>-14609.192756105596</v>
      </c>
      <c r="D1039">
        <f>Feuille1!C1048</f>
        <v>19100.361690774072</v>
      </c>
    </row>
    <row r="1040" spans="2:4" x14ac:dyDescent="0.3">
      <c r="B1040">
        <f>Feuille1!A1049</f>
        <v>370</v>
      </c>
      <c r="C1040">
        <f>Feuille1!B1049</f>
        <v>-20355.339502820843</v>
      </c>
      <c r="D1040">
        <f>Feuille1!C1049</f>
        <v>11620.852891648783</v>
      </c>
    </row>
    <row r="1041" spans="2:4" x14ac:dyDescent="0.3">
      <c r="B1041">
        <f>Feuille1!A1050</f>
        <v>370.5</v>
      </c>
      <c r="C1041">
        <f>Feuille1!B1050</f>
        <v>-25693.361077245394</v>
      </c>
      <c r="D1041">
        <f>Feuille1!C1050</f>
        <v>6622.6077149779903</v>
      </c>
    </row>
    <row r="1042" spans="2:4" x14ac:dyDescent="0.3">
      <c r="B1042">
        <f>Feuille1!A1051</f>
        <v>371</v>
      </c>
      <c r="C1042">
        <f>Feuille1!B1051</f>
        <v>-30188.990244976729</v>
      </c>
      <c r="D1042">
        <f>Feuille1!C1051</f>
        <v>2850.9005330825771</v>
      </c>
    </row>
    <row r="1043" spans="2:4" x14ac:dyDescent="0.3">
      <c r="B1043">
        <f>Feuille1!A1052</f>
        <v>371.5</v>
      </c>
      <c r="C1043">
        <f>Feuille1!B1052</f>
        <v>-33961.538796847075</v>
      </c>
      <c r="D1043">
        <f>Feuille1!C1052</f>
        <v>-259.62029987943288</v>
      </c>
    </row>
    <row r="1044" spans="2:4" x14ac:dyDescent="0.3">
      <c r="B1044">
        <f>Feuille1!A1053</f>
        <v>372</v>
      </c>
      <c r="C1044">
        <f>Feuille1!B1053</f>
        <v>-37117.487105643391</v>
      </c>
      <c r="D1044">
        <f>Feuille1!C1053</f>
        <v>-2957.9049960410534</v>
      </c>
    </row>
    <row r="1045" spans="2:4" x14ac:dyDescent="0.3">
      <c r="B1045">
        <f>Feuille1!A1054</f>
        <v>372.5</v>
      </c>
      <c r="C1045">
        <f>Feuille1!B1054</f>
        <v>-39730.185517442842</v>
      </c>
      <c r="D1045">
        <f>Feuille1!C1054</f>
        <v>-5368.2764251886601</v>
      </c>
    </row>
    <row r="1046" spans="2:4" x14ac:dyDescent="0.3">
      <c r="B1046">
        <f>Feuille1!A1055</f>
        <v>373</v>
      </c>
      <c r="C1046">
        <f>Feuille1!B1055</f>
        <v>-41850.767859038846</v>
      </c>
      <c r="D1046">
        <f>Feuille1!C1055</f>
        <v>-7558.8107580172846</v>
      </c>
    </row>
    <row r="1047" spans="2:4" x14ac:dyDescent="0.3">
      <c r="B1047">
        <f>Feuille1!A1056</f>
        <v>373.5</v>
      </c>
      <c r="C1047">
        <f>Feuille1!B1056</f>
        <v>-43515.993068753611</v>
      </c>
      <c r="D1047">
        <f>Feuille1!C1056</f>
        <v>-9569.1931752258879</v>
      </c>
    </row>
    <row r="1048" spans="2:4" x14ac:dyDescent="0.3">
      <c r="B1048">
        <f>Feuille1!A1057</f>
        <v>374</v>
      </c>
      <c r="C1048">
        <f>Feuille1!B1057</f>
        <v>-44752.768577356961</v>
      </c>
      <c r="D1048">
        <f>Feuille1!C1057</f>
        <v>-11423.522185606553</v>
      </c>
    </row>
    <row r="1049" spans="2:4" x14ac:dyDescent="0.3">
      <c r="B1049">
        <f>Feuille1!A1058</f>
        <v>374.5</v>
      </c>
      <c r="C1049">
        <f>Feuille1!B1058</f>
        <v>-45580.754808687969</v>
      </c>
      <c r="D1049">
        <f>Feuille1!C1058</f>
        <v>-13136.74936838151</v>
      </c>
    </row>
    <row r="1050" spans="2:4" x14ac:dyDescent="0.3">
      <c r="B1050">
        <f>Feuille1!A1059</f>
        <v>375</v>
      </c>
      <c r="C1050">
        <f>Feuille1!B1059</f>
        <v>-46013.901542335429</v>
      </c>
      <c r="D1050">
        <f>Feuille1!C1059</f>
        <v>-14718.149105769451</v>
      </c>
    </row>
    <row r="1051" spans="2:4" x14ac:dyDescent="0.3">
      <c r="B1051">
        <f>Feuille1!A1060</f>
        <v>375.5</v>
      </c>
      <c r="C1051">
        <f>Feuille1!B1060</f>
        <v>-46061.356254696679</v>
      </c>
      <c r="D1051">
        <f>Feuille1!C1060</f>
        <v>-16173.300182812956</v>
      </c>
    </row>
    <row r="1052" spans="2:4" x14ac:dyDescent="0.3">
      <c r="B1052">
        <f>Feuille1!A1061</f>
        <v>376</v>
      </c>
      <c r="C1052">
        <f>Feuille1!B1061</f>
        <v>-45727.965041886564</v>
      </c>
      <c r="D1052">
        <f>Feuille1!C1061</f>
        <v>-17505.287409586657</v>
      </c>
    </row>
    <row r="1053" spans="2:4" x14ac:dyDescent="0.3">
      <c r="B1053">
        <f>Feuille1!A1062</f>
        <v>376.5</v>
      </c>
      <c r="C1053">
        <f>Feuille1!B1062</f>
        <v>-45014.470204835256</v>
      </c>
      <c r="D1053">
        <f>Feuille1!C1062</f>
        <v>-18715.493069867181</v>
      </c>
    </row>
    <row r="1054" spans="2:4" x14ac:dyDescent="0.3">
      <c r="B1054">
        <f>Feuille1!A1063</f>
        <v>377</v>
      </c>
      <c r="C1054">
        <f>Feuille1!B1063</f>
        <v>-43917.438981021754</v>
      </c>
      <c r="D1054">
        <f>Feuille1!C1063</f>
        <v>-19804.196698157793</v>
      </c>
    </row>
    <row r="1055" spans="2:4" x14ac:dyDescent="0.3">
      <c r="B1055">
        <f>Feuille1!A1064</f>
        <v>377.5</v>
      </c>
      <c r="C1055">
        <f>Feuille1!B1064</f>
        <v>-42428.904076304178</v>
      </c>
      <c r="D1055">
        <f>Feuille1!C1064</f>
        <v>-20771.143967351949</v>
      </c>
    </row>
    <row r="1056" spans="2:4" x14ac:dyDescent="0.3">
      <c r="B1056">
        <f>Feuille1!A1065</f>
        <v>378</v>
      </c>
      <c r="C1056">
        <f>Feuille1!B1065</f>
        <v>-40535.636967031867</v>
      </c>
      <c r="D1056">
        <f>Feuille1!C1065</f>
        <v>-21616.250592381311</v>
      </c>
    </row>
    <row r="1057" spans="2:4" x14ac:dyDescent="0.3">
      <c r="B1057">
        <f>Feuille1!A1066</f>
        <v>378.5</v>
      </c>
      <c r="C1057">
        <f>Feuille1!B1066</f>
        <v>-38217.885297135137</v>
      </c>
      <c r="D1057">
        <f>Feuille1!C1066</f>
        <v>-22340.681149706419</v>
      </c>
    </row>
    <row r="1058" spans="2:4" x14ac:dyDescent="0.3">
      <c r="B1058">
        <f>Feuille1!A1067</f>
        <v>379</v>
      </c>
      <c r="C1058">
        <f>Feuille1!B1067</f>
        <v>-35447.245543243604</v>
      </c>
      <c r="D1058">
        <f>Feuille1!C1067</f>
        <v>-22948.734800886621</v>
      </c>
    </row>
    <row r="1059" spans="2:4" x14ac:dyDescent="0.3">
      <c r="B1059">
        <f>Feuille1!A1068</f>
        <v>379.5</v>
      </c>
      <c r="C1059">
        <f>Feuille1!B1068</f>
        <v>-32183.030118146839</v>
      </c>
      <c r="D1059">
        <f>Feuille1!C1068</f>
        <v>-23451.420483762013</v>
      </c>
    </row>
    <row r="1060" spans="2:4" x14ac:dyDescent="0.3">
      <c r="B1060">
        <f>Feuille1!A1069</f>
        <v>380</v>
      </c>
      <c r="C1060">
        <f>Feuille1!B1069</f>
        <v>-28365.857501653802</v>
      </c>
      <c r="D1060">
        <f>Feuille1!C1069</f>
        <v>-23873.704532624604</v>
      </c>
    </row>
    <row r="1061" spans="2:4" x14ac:dyDescent="0.3">
      <c r="B1061">
        <f>Feuille1!A1070</f>
        <v>380.5</v>
      </c>
      <c r="C1061">
        <f>Feuille1!B1070</f>
        <v>-23905.962131935663</v>
      </c>
      <c r="D1061">
        <f>Feuille1!C1070</f>
        <v>-24270.357761806055</v>
      </c>
    </row>
    <row r="1062" spans="2:4" x14ac:dyDescent="0.3">
      <c r="B1062">
        <f>Feuille1!A1071</f>
        <v>381</v>
      </c>
      <c r="C1062">
        <f>Feuille1!B1071</f>
        <v>-18662.053751195319</v>
      </c>
      <c r="D1062">
        <f>Feuille1!C1071</f>
        <v>-24764.229247879783</v>
      </c>
    </row>
    <row r="1063" spans="2:4" x14ac:dyDescent="0.3">
      <c r="B1063">
        <f>Feuille1!A1072</f>
        <v>381.5</v>
      </c>
      <c r="C1063">
        <f>Feuille1!B1072</f>
        <v>-12412.8224017791</v>
      </c>
      <c r="D1063">
        <f>Feuille1!C1072</f>
        <v>-25651.119577499834</v>
      </c>
    </row>
    <row r="1064" spans="2:4" x14ac:dyDescent="0.3">
      <c r="B1064">
        <f>Feuille1!A1073</f>
        <v>382</v>
      </c>
      <c r="C1064">
        <f>Feuille1!B1073</f>
        <v>-4946.579222677562</v>
      </c>
      <c r="D1064">
        <f>Feuille1!C1073</f>
        <v>-27706.082324946019</v>
      </c>
    </row>
    <row r="1065" spans="2:4" x14ac:dyDescent="0.3">
      <c r="B1065">
        <f>Feuille1!A1074</f>
        <v>382.5</v>
      </c>
      <c r="C1065">
        <f>Feuille1!B1074</f>
        <v>2516.3010476225345</v>
      </c>
      <c r="D1065">
        <f>Feuille1!C1074</f>
        <v>-32280.975357507767</v>
      </c>
    </row>
    <row r="1066" spans="2:4" x14ac:dyDescent="0.3">
      <c r="B1066">
        <f>Feuille1!A1075</f>
        <v>383</v>
      </c>
      <c r="C1066">
        <f>Feuille1!B1075</f>
        <v>7449.7610030963333</v>
      </c>
      <c r="D1066">
        <f>Feuille1!C1075</f>
        <v>-37511.943052453062</v>
      </c>
    </row>
    <row r="1067" spans="2:4" x14ac:dyDescent="0.3">
      <c r="B1067">
        <f>Feuille1!A1076</f>
        <v>383.5</v>
      </c>
      <c r="C1067">
        <f>Feuille1!B1076</f>
        <v>10649.834557802222</v>
      </c>
      <c r="D1067">
        <f>Feuille1!C1076</f>
        <v>-42179.318113722933</v>
      </c>
    </row>
    <row r="1068" spans="2:4" x14ac:dyDescent="0.3">
      <c r="B1068">
        <f>Feuille1!A1077</f>
        <v>384</v>
      </c>
      <c r="C1068">
        <f>Feuille1!B1077</f>
        <v>12782.486025607963</v>
      </c>
      <c r="D1068">
        <f>Feuille1!C1077</f>
        <v>-46178.665798694979</v>
      </c>
    </row>
    <row r="1069" spans="2:4" x14ac:dyDescent="0.3">
      <c r="B1069">
        <f>Feuille1!A1078</f>
        <v>384.5</v>
      </c>
      <c r="C1069">
        <f>Feuille1!B1078</f>
        <v>14182.216749884097</v>
      </c>
      <c r="D1069">
        <f>Feuille1!C1078</f>
        <v>-49564.149715816435</v>
      </c>
    </row>
    <row r="1070" spans="2:4" x14ac:dyDescent="0.3">
      <c r="B1070">
        <f>Feuille1!A1079</f>
        <v>385</v>
      </c>
      <c r="C1070">
        <f>Feuille1!B1079</f>
        <v>15029.439519234202</v>
      </c>
      <c r="D1070">
        <f>Feuille1!C1079</f>
        <v>-52394.896759268689</v>
      </c>
    </row>
    <row r="1071" spans="2:4" x14ac:dyDescent="0.3">
      <c r="B1071">
        <f>Feuille1!A1080</f>
        <v>385.5</v>
      </c>
      <c r="C1071">
        <f>Feuille1!B1080</f>
        <v>15430.622929757708</v>
      </c>
      <c r="D1071">
        <f>Feuille1!C1080</f>
        <v>-54715.796942318935</v>
      </c>
    </row>
    <row r="1072" spans="2:4" x14ac:dyDescent="0.3">
      <c r="B1072">
        <f>Feuille1!A1081</f>
        <v>386</v>
      </c>
      <c r="C1072">
        <f>Feuille1!B1081</f>
        <v>15452.791212962373</v>
      </c>
      <c r="D1072">
        <f>Feuille1!C1081</f>
        <v>-56557.564476503307</v>
      </c>
    </row>
    <row r="1073" spans="2:4" x14ac:dyDescent="0.3">
      <c r="B1073">
        <f>Feuille1!A1082</f>
        <v>386.5</v>
      </c>
      <c r="C1073">
        <f>Feuille1!B1082</f>
        <v>15139.69599571125</v>
      </c>
      <c r="D1073">
        <f>Feuille1!C1082</f>
        <v>-57938.922916770643</v>
      </c>
    </row>
    <row r="1074" spans="2:4" x14ac:dyDescent="0.3">
      <c r="B1074">
        <f>Feuille1!A1083</f>
        <v>387</v>
      </c>
      <c r="C1074">
        <f>Feuille1!B1083</f>
        <v>14520.008404214042</v>
      </c>
      <c r="D1074">
        <f>Feuille1!C1083</f>
        <v>-58868.194537937918</v>
      </c>
    </row>
    <row r="1075" spans="2:4" x14ac:dyDescent="0.3">
      <c r="B1075">
        <f>Feuille1!A1084</f>
        <v>387.5</v>
      </c>
      <c r="C1075">
        <f>Feuille1!B1084</f>
        <v>13611.647010964594</v>
      </c>
      <c r="D1075">
        <f>Feuille1!C1084</f>
        <v>-59343.911467046411</v>
      </c>
    </row>
    <row r="1076" spans="2:4" x14ac:dyDescent="0.3">
      <c r="B1076">
        <f>Feuille1!A1085</f>
        <v>388</v>
      </c>
      <c r="C1076">
        <f>Feuille1!B1085</f>
        <v>12423.990418377198</v>
      </c>
      <c r="D1076">
        <f>Feuille1!C1085</f>
        <v>-59354.351954068123</v>
      </c>
    </row>
    <row r="1077" spans="2:4" x14ac:dyDescent="0.3">
      <c r="B1077">
        <f>Feuille1!A1086</f>
        <v>388.5</v>
      </c>
      <c r="C1077">
        <f>Feuille1!B1086</f>
        <v>10958.714996615241</v>
      </c>
      <c r="D1077">
        <f>Feuille1!C1086</f>
        <v>-58875.739950411713</v>
      </c>
    </row>
    <row r="1078" spans="2:4" x14ac:dyDescent="0.3">
      <c r="B1078">
        <f>Feuille1!A1087</f>
        <v>389</v>
      </c>
      <c r="C1078">
        <f>Feuille1!B1087</f>
        <v>9209.4710413514968</v>
      </c>
      <c r="D1078">
        <f>Feuille1!C1087</f>
        <v>-57868.420323188569</v>
      </c>
    </row>
    <row r="1079" spans="2:4" x14ac:dyDescent="0.3">
      <c r="B1079">
        <f>Feuille1!A1088</f>
        <v>389.5</v>
      </c>
      <c r="C1079">
        <f>Feuille1!B1088</f>
        <v>7160.1967863632026</v>
      </c>
      <c r="D1079">
        <f>Feuille1!C1088</f>
        <v>-56269.390673176495</v>
      </c>
    </row>
    <row r="1080" spans="2:4" x14ac:dyDescent="0.3">
      <c r="B1080">
        <f>Feuille1!A1089</f>
        <v>390</v>
      </c>
      <c r="C1080">
        <f>Feuille1!B1089</f>
        <v>4781.3197870581062</v>
      </c>
      <c r="D1080">
        <f>Feuille1!C1089</f>
        <v>-53977.252371100141</v>
      </c>
    </row>
    <row r="1081" spans="2:4" x14ac:dyDescent="0.3">
      <c r="B1081">
        <f>Feuille1!A1090</f>
        <v>390.5</v>
      </c>
      <c r="C1081">
        <f>Feuille1!B1090</f>
        <v>2022.1513242946664</v>
      </c>
      <c r="D1081">
        <f>Feuille1!C1090</f>
        <v>-50818.940109056748</v>
      </c>
    </row>
    <row r="1082" spans="2:4" x14ac:dyDescent="0.3">
      <c r="B1082">
        <f>Feuille1!A1091</f>
        <v>391</v>
      </c>
      <c r="C1082">
        <f>Feuille1!B1091</f>
        <v>-1202.7094507208681</v>
      </c>
      <c r="D1082">
        <f>Feuille1!C1091</f>
        <v>-46464.818460488168</v>
      </c>
    </row>
    <row r="1083" spans="2:4" x14ac:dyDescent="0.3">
      <c r="B1083">
        <f>Feuille1!A1092</f>
        <v>391.5</v>
      </c>
      <c r="C1083">
        <f>Feuille1!B1092</f>
        <v>-5009.0643283102672</v>
      </c>
      <c r="D1083">
        <f>Feuille1!C1092</f>
        <v>-40175.38677580822</v>
      </c>
    </row>
    <row r="1084" spans="2:4" x14ac:dyDescent="0.3">
      <c r="B1084">
        <f>Feuille1!A1093</f>
        <v>392</v>
      </c>
      <c r="C1084">
        <f>Feuille1!B1093</f>
        <v>-8798.1515654670184</v>
      </c>
      <c r="D1084">
        <f>Feuille1!C1093</f>
        <v>-30660.898126135806</v>
      </c>
    </row>
    <row r="1085" spans="2:4" x14ac:dyDescent="0.3">
      <c r="B1085">
        <f>Feuille1!A1094</f>
        <v>392.5</v>
      </c>
      <c r="C1085">
        <f>Feuille1!B1094</f>
        <v>-10577.230636205561</v>
      </c>
      <c r="D1085">
        <f>Feuille1!C1094</f>
        <v>-23144.5813977166</v>
      </c>
    </row>
    <row r="1086" spans="2:4" x14ac:dyDescent="0.3">
      <c r="B1086">
        <f>Feuille1!A1095</f>
        <v>393</v>
      </c>
      <c r="C1086">
        <f>Feuille1!B1095</f>
        <v>-11597.828069115676</v>
      </c>
      <c r="D1086">
        <f>Feuille1!C1095</f>
        <v>-16813.371665054587</v>
      </c>
    </row>
    <row r="1087" spans="2:4" x14ac:dyDescent="0.3">
      <c r="B1087">
        <f>Feuille1!A1096</f>
        <v>393.5</v>
      </c>
      <c r="C1087">
        <f>Feuille1!B1096</f>
        <v>-12239.19827444367</v>
      </c>
      <c r="D1087">
        <f>Feuille1!C1096</f>
        <v>-10959.040929805369</v>
      </c>
    </row>
    <row r="1088" spans="2:4" x14ac:dyDescent="0.3">
      <c r="B1088">
        <f>Feuille1!A1097</f>
        <v>394</v>
      </c>
      <c r="C1088">
        <f>Feuille1!B1097</f>
        <v>-12647.103403369441</v>
      </c>
      <c r="D1088">
        <f>Feuille1!C1097</f>
        <v>-5160.0295115310728</v>
      </c>
    </row>
    <row r="1089" spans="2:4" x14ac:dyDescent="0.3">
      <c r="B1089">
        <f>Feuille1!A1098</f>
        <v>394.5</v>
      </c>
      <c r="C1089">
        <f>Feuille1!B1098</f>
        <v>-12913.122530709807</v>
      </c>
      <c r="D1089">
        <f>Feuille1!C1098</f>
        <v>924.92787591127285</v>
      </c>
    </row>
    <row r="1090" spans="2:4" x14ac:dyDescent="0.3">
      <c r="B1090">
        <f>Feuille1!A1099</f>
        <v>395</v>
      </c>
      <c r="C1090">
        <f>Feuille1!B1099</f>
        <v>-13170.573984668777</v>
      </c>
      <c r="D1090">
        <f>Feuille1!C1099</f>
        <v>7680.6941819140829</v>
      </c>
    </row>
    <row r="1091" spans="2:4" x14ac:dyDescent="0.3">
      <c r="B1091">
        <f>Feuille1!A1100</f>
        <v>395.5</v>
      </c>
      <c r="C1091">
        <f>Feuille1!B1100</f>
        <v>-13818.706121963321</v>
      </c>
      <c r="D1091">
        <f>Feuille1!C1100</f>
        <v>15670.858815760101</v>
      </c>
    </row>
    <row r="1092" spans="2:4" x14ac:dyDescent="0.3">
      <c r="B1092">
        <f>Feuille1!A1101</f>
        <v>396</v>
      </c>
      <c r="C1092">
        <f>Feuille1!B1101</f>
        <v>-16355.288506945477</v>
      </c>
      <c r="D1092">
        <f>Feuille1!C1101</f>
        <v>25134.536267252206</v>
      </c>
    </row>
    <row r="1093" spans="2:4" x14ac:dyDescent="0.3">
      <c r="B1093">
        <f>Feuille1!A1102</f>
        <v>396.5</v>
      </c>
      <c r="C1093">
        <f>Feuille1!B1102</f>
        <v>-20279.879481992968</v>
      </c>
      <c r="D1093">
        <f>Feuille1!C1102</f>
        <v>32026.277919274049</v>
      </c>
    </row>
    <row r="1094" spans="2:4" x14ac:dyDescent="0.3">
      <c r="B1094">
        <f>Feuille1!A1103</f>
        <v>397</v>
      </c>
      <c r="C1094">
        <f>Feuille1!B1103</f>
        <v>-23912.097977388694</v>
      </c>
      <c r="D1094">
        <f>Feuille1!C1103</f>
        <v>36895.235314917787</v>
      </c>
    </row>
    <row r="1095" spans="2:4" x14ac:dyDescent="0.3">
      <c r="B1095">
        <f>Feuille1!A1104</f>
        <v>397.5</v>
      </c>
      <c r="C1095">
        <f>Feuille1!B1104</f>
        <v>-27088.690070774013</v>
      </c>
      <c r="D1095">
        <f>Feuille1!C1104</f>
        <v>40512.492224161615</v>
      </c>
    </row>
    <row r="1096" spans="2:4" x14ac:dyDescent="0.3">
      <c r="B1096">
        <f>Feuille1!A1105</f>
        <v>398</v>
      </c>
      <c r="C1096">
        <f>Feuille1!B1105</f>
        <v>-29838.102765505781</v>
      </c>
      <c r="D1096">
        <f>Feuille1!C1105</f>
        <v>43248.877272668295</v>
      </c>
    </row>
    <row r="1097" spans="2:4" x14ac:dyDescent="0.3">
      <c r="B1097">
        <f>Feuille1!A1106</f>
        <v>398.5</v>
      </c>
      <c r="C1097">
        <f>Feuille1!B1106</f>
        <v>-32201.195013671415</v>
      </c>
      <c r="D1097">
        <f>Feuille1!C1106</f>
        <v>45301.14889986669</v>
      </c>
    </row>
    <row r="1098" spans="2:4" x14ac:dyDescent="0.3">
      <c r="B1098">
        <f>Feuille1!A1107</f>
        <v>399</v>
      </c>
      <c r="C1098">
        <f>Feuille1!B1107</f>
        <v>-34210.217525627828</v>
      </c>
      <c r="D1098">
        <f>Feuille1!C1107</f>
        <v>46785.189094220288</v>
      </c>
    </row>
    <row r="1099" spans="2:4" x14ac:dyDescent="0.3">
      <c r="B1099">
        <f>Feuille1!A1108</f>
        <v>399.5</v>
      </c>
      <c r="C1099">
        <f>Feuille1!B1108</f>
        <v>-35887.869105824953</v>
      </c>
      <c r="D1099">
        <f>Feuille1!C1108</f>
        <v>47774.050443909095</v>
      </c>
    </row>
    <row r="1100" spans="2:4" x14ac:dyDescent="0.3">
      <c r="B1100">
        <f>Feuille1!A1109</f>
        <v>400</v>
      </c>
      <c r="C1100">
        <f>Feuille1!B1109</f>
        <v>-37248.788057353668</v>
      </c>
      <c r="D1100">
        <f>Feuille1!C1109</f>
        <v>48315.368977635044</v>
      </c>
    </row>
    <row r="1101" spans="2:4" x14ac:dyDescent="0.3">
      <c r="B1101">
        <f>Feuille1!A1110</f>
        <v>400.5</v>
      </c>
      <c r="C1101">
        <f>Feuille1!B1110</f>
        <v>-38300.83370230945</v>
      </c>
      <c r="D1101">
        <f>Feuille1!C1110</f>
        <v>48440.104754851447</v>
      </c>
    </row>
    <row r="1102" spans="2:4" x14ac:dyDescent="0.3">
      <c r="B1102">
        <f>Feuille1!A1111</f>
        <v>401</v>
      </c>
      <c r="C1102">
        <f>Feuille1!B1111</f>
        <v>-39045.80504432381</v>
      </c>
      <c r="D1102">
        <f>Feuille1!C1111</f>
        <v>48167.156519870783</v>
      </c>
    </row>
    <row r="1103" spans="2:4" x14ac:dyDescent="0.3">
      <c r="B1103">
        <f>Feuille1!A1112</f>
        <v>401.5</v>
      </c>
      <c r="C1103">
        <f>Feuille1!B1112</f>
        <v>-39479.584385212358</v>
      </c>
      <c r="D1103">
        <f>Feuille1!C1112</f>
        <v>47505.744353031761</v>
      </c>
    </row>
    <row r="1104" spans="2:4" x14ac:dyDescent="0.3">
      <c r="B1104">
        <f>Feuille1!A1113</f>
        <v>402</v>
      </c>
      <c r="C1104">
        <f>Feuille1!B1113</f>
        <v>-39591.672652085617</v>
      </c>
      <c r="D1104">
        <f>Feuille1!C1113</f>
        <v>46456.370758523364</v>
      </c>
    </row>
    <row r="1105" spans="2:4" x14ac:dyDescent="0.3">
      <c r="B1105">
        <f>Feuille1!A1114</f>
        <v>402.5</v>
      </c>
      <c r="C1105">
        <f>Feuille1!B1114</f>
        <v>-39363.957980136554</v>
      </c>
      <c r="D1105">
        <f>Feuille1!C1114</f>
        <v>45010.635041804744</v>
      </c>
    </row>
    <row r="1106" spans="2:4" x14ac:dyDescent="0.3">
      <c r="B1106">
        <f>Feuille1!A1115</f>
        <v>403</v>
      </c>
      <c r="C1106">
        <f>Feuille1!B1115</f>
        <v>-38768.323485844667</v>
      </c>
      <c r="D1106">
        <f>Feuille1!C1115</f>
        <v>43149.796845281147</v>
      </c>
    </row>
    <row r="1107" spans="2:4" x14ac:dyDescent="0.3">
      <c r="B1107">
        <f>Feuille1!A1116</f>
        <v>403.5</v>
      </c>
      <c r="C1107">
        <f>Feuille1!B1116</f>
        <v>-37762.212452813597</v>
      </c>
      <c r="D1107">
        <f>Feuille1!C1116</f>
        <v>40841.523062896675</v>
      </c>
    </row>
    <row r="1108" spans="2:4" x14ac:dyDescent="0.3">
      <c r="B1108">
        <f>Feuille1!A1117</f>
        <v>404</v>
      </c>
      <c r="C1108">
        <f>Feuille1!B1117</f>
        <v>-36280.105641252623</v>
      </c>
      <c r="D1108">
        <f>Feuille1!C1117</f>
        <v>38033.369327869943</v>
      </c>
    </row>
    <row r="1109" spans="2:4" x14ac:dyDescent="0.3">
      <c r="B1109">
        <f>Feuille1!A1118</f>
        <v>404.5</v>
      </c>
      <c r="C1109">
        <f>Feuille1!B1118</f>
        <v>-34215.658276915179</v>
      </c>
      <c r="D1109">
        <f>Feuille1!C1118</f>
        <v>34639.381669652656</v>
      </c>
    </row>
    <row r="1110" spans="2:4" x14ac:dyDescent="0.3">
      <c r="B1110">
        <f>Feuille1!A1119</f>
        <v>405</v>
      </c>
      <c r="C1110">
        <f>Feuille1!B1119</f>
        <v>-31378.789053864995</v>
      </c>
      <c r="D1110">
        <f>Feuille1!C1119</f>
        <v>30510.037923291675</v>
      </c>
    </row>
    <row r="1111" spans="2:4" x14ac:dyDescent="0.3">
      <c r="B1111">
        <f>Feuille1!A1120</f>
        <v>405.5</v>
      </c>
      <c r="C1111">
        <f>Feuille1!B1120</f>
        <v>-27370.532217631076</v>
      </c>
      <c r="D1111">
        <f>Feuille1!C1120</f>
        <v>25357.775643064706</v>
      </c>
    </row>
    <row r="1112" spans="2:4" x14ac:dyDescent="0.3">
      <c r="B1112">
        <f>Feuille1!A1121</f>
        <v>406</v>
      </c>
      <c r="C1112">
        <f>Feuille1!B1121</f>
        <v>-21158.799336310472</v>
      </c>
      <c r="D1112">
        <f>Feuille1!C1121</f>
        <v>18646.482737215978</v>
      </c>
    </row>
    <row r="1113" spans="2:4" x14ac:dyDescent="0.3">
      <c r="B1113">
        <f>Feuille1!A1122</f>
        <v>406.5</v>
      </c>
      <c r="C1113">
        <f>Feuille1!B1122</f>
        <v>-13542.06015460565</v>
      </c>
      <c r="D1113">
        <f>Feuille1!C1122</f>
        <v>13117.46939920948</v>
      </c>
    </row>
    <row r="1114" spans="2:4" x14ac:dyDescent="0.3">
      <c r="B1114">
        <f>Feuille1!A1123</f>
        <v>407</v>
      </c>
      <c r="C1114">
        <f>Feuille1!B1123</f>
        <v>-7178.5768040834919</v>
      </c>
      <c r="D1114">
        <f>Feuille1!C1123</f>
        <v>9218.7859469681844</v>
      </c>
    </row>
    <row r="1115" spans="2:4" x14ac:dyDescent="0.3">
      <c r="B1115">
        <f>Feuille1!A1124</f>
        <v>407.5</v>
      </c>
      <c r="C1115">
        <f>Feuille1!B1124</f>
        <v>-1284.0111550364684</v>
      </c>
      <c r="D1115">
        <f>Feuille1!C1124</f>
        <v>6047.8460014865395</v>
      </c>
    </row>
    <row r="1116" spans="2:4" x14ac:dyDescent="0.3">
      <c r="B1116">
        <f>Feuille1!A1125</f>
        <v>408</v>
      </c>
      <c r="C1116">
        <f>Feuille1!B1125</f>
        <v>4530.7883350036655</v>
      </c>
      <c r="D1116">
        <f>Feuille1!C1125</f>
        <v>3378.4322304289908</v>
      </c>
    </row>
    <row r="1117" spans="2:4" x14ac:dyDescent="0.3">
      <c r="B1117">
        <f>Feuille1!A1126</f>
        <v>408.5</v>
      </c>
      <c r="C1117">
        <f>Feuille1!B1126</f>
        <v>10401.308965463659</v>
      </c>
      <c r="D1117">
        <f>Feuille1!C1126</f>
        <v>1243.1426776829201</v>
      </c>
    </row>
    <row r="1118" spans="2:4" x14ac:dyDescent="0.3">
      <c r="B1118">
        <f>Feuille1!A1127</f>
        <v>409</v>
      </c>
      <c r="C1118">
        <f>Feuille1!B1127</f>
        <v>16269.083645351069</v>
      </c>
      <c r="D1118">
        <f>Feuille1!C1127</f>
        <v>-229.58068522373094</v>
      </c>
    </row>
    <row r="1119" spans="2:4" x14ac:dyDescent="0.3">
      <c r="B1119">
        <f>Feuille1!A1128</f>
        <v>409.5</v>
      </c>
      <c r="C1119">
        <f>Feuille1!B1128</f>
        <v>21948.688903185935</v>
      </c>
      <c r="D1119">
        <f>Feuille1!C1128</f>
        <v>-947.76285550176965</v>
      </c>
    </row>
    <row r="1120" spans="2:4" x14ac:dyDescent="0.3">
      <c r="B1120">
        <f>Feuille1!A1129</f>
        <v>410</v>
      </c>
      <c r="C1120">
        <f>Feuille1!B1129</f>
        <v>27238.821433152549</v>
      </c>
      <c r="D1120">
        <f>Feuille1!C1129</f>
        <v>-924.69786208643541</v>
      </c>
    </row>
    <row r="1121" spans="2:4" x14ac:dyDescent="0.3">
      <c r="B1121">
        <f>Feuille1!A1130</f>
        <v>410.5</v>
      </c>
      <c r="C1121">
        <f>Feuille1!B1130</f>
        <v>31999.113202882691</v>
      </c>
      <c r="D1121">
        <f>Feuille1!C1130</f>
        <v>-253.49779908068638</v>
      </c>
    </row>
    <row r="1122" spans="2:4" x14ac:dyDescent="0.3">
      <c r="B1122">
        <f>Feuille1!A1131</f>
        <v>411</v>
      </c>
      <c r="C1122">
        <f>Feuille1!B1131</f>
        <v>36158.213543833503</v>
      </c>
      <c r="D1122">
        <f>Feuille1!C1131</f>
        <v>947.45084675418434</v>
      </c>
    </row>
    <row r="1123" spans="2:4" x14ac:dyDescent="0.3">
      <c r="B1123">
        <f>Feuille1!A1132</f>
        <v>411.5</v>
      </c>
      <c r="C1123">
        <f>Feuille1!B1132</f>
        <v>39690.526743761075</v>
      </c>
      <c r="D1123">
        <f>Feuille1!C1132</f>
        <v>2567.5058225635444</v>
      </c>
    </row>
    <row r="1124" spans="2:4" x14ac:dyDescent="0.3">
      <c r="B1124">
        <f>Feuille1!A1133</f>
        <v>412</v>
      </c>
      <c r="C1124">
        <f>Feuille1!B1133</f>
        <v>42593.370165546301</v>
      </c>
      <c r="D1124">
        <f>Feuille1!C1133</f>
        <v>4514.0924628922539</v>
      </c>
    </row>
    <row r="1125" spans="2:4" x14ac:dyDescent="0.3">
      <c r="B1125">
        <f>Feuille1!A1134</f>
        <v>412.5</v>
      </c>
      <c r="C1125">
        <f>Feuille1!B1134</f>
        <v>44872.438825850702</v>
      </c>
      <c r="D1125">
        <f>Feuille1!C1134</f>
        <v>6712.2272772569468</v>
      </c>
    </row>
    <row r="1126" spans="2:4" x14ac:dyDescent="0.3">
      <c r="B1126">
        <f>Feuille1!A1135</f>
        <v>413</v>
      </c>
      <c r="C1126">
        <f>Feuille1!B1135</f>
        <v>46533.810543491963</v>
      </c>
      <c r="D1126">
        <f>Feuille1!C1135</f>
        <v>9100.7400937428029</v>
      </c>
    </row>
    <row r="1127" spans="2:4" x14ac:dyDescent="0.3">
      <c r="B1127">
        <f>Feuille1!A1136</f>
        <v>413.5</v>
      </c>
      <c r="C1127">
        <f>Feuille1!B1136</f>
        <v>47579.63830239384</v>
      </c>
      <c r="D1127">
        <f>Feuille1!C1136</f>
        <v>11628.109779579732</v>
      </c>
    </row>
    <row r="1128" spans="2:4" x14ac:dyDescent="0.3">
      <c r="B1128">
        <f>Feuille1!A1137</f>
        <v>414</v>
      </c>
      <c r="C1128">
        <f>Feuille1!B1137</f>
        <v>48005.564710489336</v>
      </c>
      <c r="D1128">
        <f>Feuille1!C1137</f>
        <v>14248.644346578387</v>
      </c>
    </row>
    <row r="1129" spans="2:4" x14ac:dyDescent="0.3">
      <c r="B1129">
        <f>Feuille1!A1138</f>
        <v>414.5</v>
      </c>
      <c r="C1129">
        <f>Feuille1!B1138</f>
        <v>47798.691029272399</v>
      </c>
      <c r="D1129">
        <f>Feuille1!C1138</f>
        <v>16918.898284045477</v>
      </c>
    </row>
    <row r="1130" spans="2:4" x14ac:dyDescent="0.3">
      <c r="B1130">
        <f>Feuille1!A1139</f>
        <v>415</v>
      </c>
      <c r="C1130">
        <f>Feuille1!B1139</f>
        <v>46935.362965441869</v>
      </c>
      <c r="D1130">
        <f>Feuille1!C1139</f>
        <v>19593.855643237654</v>
      </c>
    </row>
    <row r="1131" spans="2:4" x14ac:dyDescent="0.3">
      <c r="B1131">
        <f>Feuille1!A1140</f>
        <v>415.5</v>
      </c>
      <c r="C1131">
        <f>Feuille1!B1140</f>
        <v>45378.187502672452</v>
      </c>
      <c r="D1131">
        <f>Feuille1!C1140</f>
        <v>22222.058536010136</v>
      </c>
    </row>
    <row r="1132" spans="2:4" x14ac:dyDescent="0.3">
      <c r="B1132">
        <f>Feuille1!A1141</f>
        <v>416</v>
      </c>
      <c r="C1132">
        <f>Feuille1!B1141</f>
        <v>43071.685340577918</v>
      </c>
      <c r="D1132">
        <f>Feuille1!C1141</f>
        <v>24738.175635282667</v>
      </c>
    </row>
    <row r="1133" spans="2:4" x14ac:dyDescent="0.3">
      <c r="B1133">
        <f>Feuille1!A1142</f>
        <v>416.5</v>
      </c>
      <c r="C1133">
        <f>Feuille1!B1142</f>
        <v>39936.023345569243</v>
      </c>
      <c r="D1133">
        <f>Feuille1!C1142</f>
        <v>27049.883403091564</v>
      </c>
    </row>
    <row r="1134" spans="2:4" x14ac:dyDescent="0.3">
      <c r="B1134">
        <f>Feuille1!A1143</f>
        <v>417</v>
      </c>
      <c r="C1134">
        <f>Feuille1!B1143</f>
        <v>35859.300754304495</v>
      </c>
      <c r="D1134">
        <f>Feuille1!C1143</f>
        <v>29011.887807784697</v>
      </c>
    </row>
    <row r="1135" spans="2:4" x14ac:dyDescent="0.3">
      <c r="B1135">
        <f>Feuille1!A1144</f>
        <v>417.5</v>
      </c>
      <c r="C1135">
        <f>Feuille1!B1144</f>
        <v>30695.958939011456</v>
      </c>
      <c r="D1135">
        <f>Feuille1!C1144</f>
        <v>30369.880128867706</v>
      </c>
    </row>
    <row r="1136" spans="2:4" x14ac:dyDescent="0.3">
      <c r="B1136">
        <f>Feuille1!A1145</f>
        <v>418</v>
      </c>
      <c r="C1136">
        <f>Feuille1!B1145</f>
        <v>24319.925687769286</v>
      </c>
      <c r="D1136">
        <f>Feuille1!C1145</f>
        <v>30639.609501464744</v>
      </c>
    </row>
    <row r="1137" spans="2:4" x14ac:dyDescent="0.3">
      <c r="B1137">
        <f>Feuille1!A1146</f>
        <v>418.5</v>
      </c>
      <c r="C1137">
        <f>Feuille1!B1146</f>
        <v>16971.223568395559</v>
      </c>
      <c r="D1137">
        <f>Feuille1!C1146</f>
        <v>28963.018192224798</v>
      </c>
    </row>
    <row r="1138" spans="2:4" x14ac:dyDescent="0.3">
      <c r="B1138">
        <f>Feuille1!A1147</f>
        <v>419</v>
      </c>
      <c r="C1138">
        <f>Feuille1!B1147</f>
        <v>10071.903420226361</v>
      </c>
      <c r="D1138">
        <f>Feuille1!C1147</f>
        <v>24878.656892706291</v>
      </c>
    </row>
    <row r="1139" spans="2:4" x14ac:dyDescent="0.3">
      <c r="B1139">
        <f>Feuille1!A1148</f>
        <v>419.5</v>
      </c>
      <c r="C1139">
        <f>Feuille1!B1148</f>
        <v>4552.0865816742134</v>
      </c>
      <c r="D1139">
        <f>Feuille1!C1148</f>
        <v>19711.714174914552</v>
      </c>
    </row>
    <row r="1140" spans="2:4" x14ac:dyDescent="0.3">
      <c r="B1140">
        <f>Feuille1!A1149</f>
        <v>420</v>
      </c>
      <c r="C1140">
        <f>Feuille1!B1149</f>
        <v>-285.5312049030241</v>
      </c>
      <c r="D1140">
        <f>Feuille1!C1149</f>
        <v>14440.122311876756</v>
      </c>
    </row>
    <row r="1141" spans="2:4" x14ac:dyDescent="0.3">
      <c r="B1141">
        <f>Feuille1!A1150</f>
        <v>420.5</v>
      </c>
      <c r="C1141">
        <f>Feuille1!B1150</f>
        <v>-5173.9220451108695</v>
      </c>
      <c r="D1141">
        <f>Feuille1!C1150</f>
        <v>9453.3893055664448</v>
      </c>
    </row>
    <row r="1142" spans="2:4" x14ac:dyDescent="0.3">
      <c r="B1142">
        <f>Feuille1!A1151</f>
        <v>421</v>
      </c>
      <c r="C1142">
        <f>Feuille1!B1151</f>
        <v>-10430.445552640405</v>
      </c>
      <c r="D1142">
        <f>Feuille1!C1151</f>
        <v>5069.0792296001964</v>
      </c>
    </row>
    <row r="1143" spans="2:4" x14ac:dyDescent="0.3">
      <c r="B1143">
        <f>Feuille1!A1152</f>
        <v>421.5</v>
      </c>
      <c r="C1143">
        <f>Feuille1!B1152</f>
        <v>-15923.356347072702</v>
      </c>
      <c r="D1143">
        <f>Feuille1!C1152</f>
        <v>1511.8963135920699</v>
      </c>
    </row>
    <row r="1144" spans="2:4" x14ac:dyDescent="0.3">
      <c r="B1144">
        <f>Feuille1!A1153</f>
        <v>422</v>
      </c>
      <c r="C1144">
        <f>Feuille1!B1153</f>
        <v>-21318.466552510221</v>
      </c>
      <c r="D1144">
        <f>Feuille1!C1153</f>
        <v>-1235.5880926792483</v>
      </c>
    </row>
    <row r="1145" spans="2:4" x14ac:dyDescent="0.3">
      <c r="B1145">
        <f>Feuille1!A1154</f>
        <v>422.5</v>
      </c>
      <c r="C1145">
        <f>Feuille1!B1154</f>
        <v>-26358.783086958025</v>
      </c>
      <c r="D1145">
        <f>Feuille1!C1154</f>
        <v>-3342.617480833921</v>
      </c>
    </row>
    <row r="1146" spans="2:4" x14ac:dyDescent="0.3">
      <c r="B1146">
        <f>Feuille1!A1155</f>
        <v>423</v>
      </c>
      <c r="C1146">
        <f>Feuille1!B1155</f>
        <v>-30924.152038137923</v>
      </c>
      <c r="D1146">
        <f>Feuille1!C1155</f>
        <v>-4980.8018393875245</v>
      </c>
    </row>
    <row r="1147" spans="2:4" x14ac:dyDescent="0.3">
      <c r="B1147">
        <f>Feuille1!A1156</f>
        <v>423.5</v>
      </c>
      <c r="C1147">
        <f>Feuille1!B1156</f>
        <v>-34981.846730667574</v>
      </c>
      <c r="D1147">
        <f>Feuille1!C1156</f>
        <v>-6273.6120533125049</v>
      </c>
    </row>
    <row r="1148" spans="2:4" x14ac:dyDescent="0.3">
      <c r="B1148">
        <f>Feuille1!A1157</f>
        <v>424</v>
      </c>
      <c r="C1148">
        <f>Feuille1!B1157</f>
        <v>-38539.518399645669</v>
      </c>
      <c r="D1148">
        <f>Feuille1!C1157</f>
        <v>-7301.5911673130931</v>
      </c>
    </row>
    <row r="1149" spans="2:4" x14ac:dyDescent="0.3">
      <c r="B1149">
        <f>Feuille1!A1158</f>
        <v>424.5</v>
      </c>
      <c r="C1149">
        <f>Feuille1!B1158</f>
        <v>-41619.537250221903</v>
      </c>
      <c r="D1149">
        <f>Feuille1!C1158</f>
        <v>-8116.8219518857322</v>
      </c>
    </row>
    <row r="1150" spans="2:4" x14ac:dyDescent="0.3">
      <c r="B1150">
        <f>Feuille1!A1159</f>
        <v>425</v>
      </c>
      <c r="C1150">
        <f>Feuille1!B1159</f>
        <v>-44247.311399193342</v>
      </c>
      <c r="D1150">
        <f>Feuille1!C1159</f>
        <v>-8753.7518032496937</v>
      </c>
    </row>
    <row r="1151" spans="2:4" x14ac:dyDescent="0.3">
      <c r="B1151">
        <f>Feuille1!A1160</f>
        <v>425.5</v>
      </c>
      <c r="C1151">
        <f>Feuille1!B1160</f>
        <v>-46446.490993605141</v>
      </c>
      <c r="D1151">
        <f>Feuille1!C1160</f>
        <v>-9235.825101953089</v>
      </c>
    </row>
    <row r="1152" spans="2:4" x14ac:dyDescent="0.3">
      <c r="B1152">
        <f>Feuille1!A1161</f>
        <v>426</v>
      </c>
      <c r="C1152">
        <f>Feuille1!B1161</f>
        <v>-48237.236549401001</v>
      </c>
      <c r="D1152">
        <f>Feuille1!C1161</f>
        <v>-9579.3714286181348</v>
      </c>
    </row>
    <row r="1153" spans="2:4" x14ac:dyDescent="0.3">
      <c r="B1153">
        <f>Feuille1!A1162</f>
        <v>426.5</v>
      </c>
      <c r="C1153">
        <f>Feuille1!B1162</f>
        <v>-49635.767652825205</v>
      </c>
      <c r="D1153">
        <f>Feuille1!C1162</f>
        <v>-9795.8936061697568</v>
      </c>
    </row>
    <row r="1154" spans="2:4" x14ac:dyDescent="0.3">
      <c r="B1154">
        <f>Feuille1!A1163</f>
        <v>427</v>
      </c>
      <c r="C1154">
        <f>Feuille1!B1163</f>
        <v>-50654.399594373033</v>
      </c>
      <c r="D1154">
        <f>Feuille1!C1163</f>
        <v>-9893.4349109699615</v>
      </c>
    </row>
    <row r="1155" spans="2:4" x14ac:dyDescent="0.3">
      <c r="B1155">
        <f>Feuille1!A1164</f>
        <v>427.5</v>
      </c>
      <c r="C1155">
        <f>Feuille1!B1164</f>
        <v>-51301.723117712572</v>
      </c>
      <c r="D1155">
        <f>Feuille1!C1164</f>
        <v>-9877.4009901855225</v>
      </c>
    </row>
    <row r="1156" spans="2:4" x14ac:dyDescent="0.3">
      <c r="B1156">
        <f>Feuille1!A1165</f>
        <v>428</v>
      </c>
      <c r="C1156">
        <f>Feuille1!B1165</f>
        <v>-51582.778927552667</v>
      </c>
      <c r="D1156">
        <f>Feuille1!C1165</f>
        <v>-9751.039748938194</v>
      </c>
    </row>
    <row r="1157" spans="2:4" x14ac:dyDescent="0.3">
      <c r="B1157">
        <f>Feuille1!A1166</f>
        <v>428.5</v>
      </c>
      <c r="C1157">
        <f>Feuille1!B1166</f>
        <v>-51499.162981722366</v>
      </c>
      <c r="D1157">
        <f>Feuille1!C1166</f>
        <v>-9515.6858189824397</v>
      </c>
    </row>
    <row r="1158" spans="2:4" x14ac:dyDescent="0.3">
      <c r="B1158">
        <f>Feuille1!A1167</f>
        <v>429</v>
      </c>
      <c r="C1158">
        <f>Feuille1!B1167</f>
        <v>-51049.033168339782</v>
      </c>
      <c r="D1158">
        <f>Feuille1!C1167</f>
        <v>-9170.8181352919182</v>
      </c>
    </row>
    <row r="1159" spans="2:4" x14ac:dyDescent="0.3">
      <c r="B1159">
        <f>Feuille1!A1168</f>
        <v>429.5</v>
      </c>
      <c r="C1159">
        <f>Feuille1!B1168</f>
        <v>-50227.000316765407</v>
      </c>
      <c r="D1159">
        <f>Feuille1!C1168</f>
        <v>-8713.9376229751051</v>
      </c>
    </row>
    <row r="1160" spans="2:4" x14ac:dyDescent="0.3">
      <c r="B1160">
        <f>Feuille1!A1169</f>
        <v>430</v>
      </c>
      <c r="C1160">
        <f>Feuille1!B1169</f>
        <v>-49023.889199840232</v>
      </c>
      <c r="D1160">
        <f>Feuille1!C1169</f>
        <v>-8140.2320467096133</v>
      </c>
    </row>
    <row r="1161" spans="2:4" x14ac:dyDescent="0.3">
      <c r="B1161">
        <f>Feuille1!A1170</f>
        <v>430.5</v>
      </c>
      <c r="C1161">
        <f>Feuille1!B1170</f>
        <v>-47426.35509872916</v>
      </c>
      <c r="D1161">
        <f>Feuille1!C1170</f>
        <v>-7441.9418953056183</v>
      </c>
    </row>
    <row r="1162" spans="2:4" x14ac:dyDescent="0.3">
      <c r="B1162">
        <f>Feuille1!A1171</f>
        <v>431</v>
      </c>
      <c r="C1162">
        <f>Feuille1!B1171</f>
        <v>-45416.34525245877</v>
      </c>
      <c r="D1162">
        <f>Feuille1!C1171</f>
        <v>-6607.2524630773169</v>
      </c>
    </row>
    <row r="1163" spans="2:4" x14ac:dyDescent="0.3">
      <c r="B1163">
        <f>Feuille1!A1172</f>
        <v>431.5</v>
      </c>
      <c r="C1163">
        <f>Feuille1!B1172</f>
        <v>-42970.415207582759</v>
      </c>
      <c r="D1163">
        <f>Feuille1!C1172</f>
        <v>-5618.3699788755566</v>
      </c>
    </row>
    <row r="1164" spans="2:4" x14ac:dyDescent="0.3">
      <c r="B1164">
        <f>Feuille1!A1173</f>
        <v>432</v>
      </c>
      <c r="C1164">
        <f>Feuille1!B1173</f>
        <v>-40058.983247441363</v>
      </c>
      <c r="D1164">
        <f>Feuille1!C1173</f>
        <v>-4448.1013731560097</v>
      </c>
    </row>
    <row r="1165" spans="2:4" x14ac:dyDescent="0.3">
      <c r="B1165">
        <f>Feuille1!A1174</f>
        <v>432.5</v>
      </c>
      <c r="C1165">
        <f>Feuille1!B1174</f>
        <v>-36645.840079253954</v>
      </c>
      <c r="D1165">
        <f>Feuille1!C1174</f>
        <v>-3053.542025976104</v>
      </c>
    </row>
    <row r="1166" spans="2:4" x14ac:dyDescent="0.3">
      <c r="B1166">
        <f>Feuille1!A1175</f>
        <v>433</v>
      </c>
      <c r="C1166">
        <f>Feuille1!B1175</f>
        <v>-32688.989595497311</v>
      </c>
      <c r="D1166">
        <f>Feuille1!C1175</f>
        <v>-1363.9299031812297</v>
      </c>
    </row>
    <row r="1167" spans="2:4" x14ac:dyDescent="0.3">
      <c r="B1167">
        <f>Feuille1!A1176</f>
        <v>433.5</v>
      </c>
      <c r="C1167">
        <f>Feuille1!B1176</f>
        <v>-28146.535179921924</v>
      </c>
      <c r="D1167">
        <f>Feuille1!C1176</f>
        <v>743.50352123268578</v>
      </c>
    </row>
    <row r="1168" spans="2:4" x14ac:dyDescent="0.3">
      <c r="B1168">
        <f>Feuille1!A1177</f>
        <v>434</v>
      </c>
      <c r="C1168">
        <f>Feuille1!B1177</f>
        <v>-23001.341038956791</v>
      </c>
      <c r="D1168">
        <f>Feuille1!C1177</f>
        <v>3490.9119334699253</v>
      </c>
    </row>
    <row r="1169" spans="2:4" x14ac:dyDescent="0.3">
      <c r="B1169">
        <f>Feuille1!A1178</f>
        <v>434.5</v>
      </c>
      <c r="C1169">
        <f>Feuille1!B1178</f>
        <v>-17356.683173671874</v>
      </c>
      <c r="D1169">
        <f>Feuille1!C1178</f>
        <v>7273.1211284913334</v>
      </c>
    </row>
    <row r="1170" spans="2:4" x14ac:dyDescent="0.3">
      <c r="B1170">
        <f>Feuille1!A1179</f>
        <v>435</v>
      </c>
      <c r="C1170">
        <f>Feuille1!B1179</f>
        <v>-11741.747873207369</v>
      </c>
      <c r="D1170">
        <f>Feuille1!C1179</f>
        <v>12596.235712027245</v>
      </c>
    </row>
    <row r="1171" spans="2:4" x14ac:dyDescent="0.3">
      <c r="B1171">
        <f>Feuille1!A1180</f>
        <v>435.5</v>
      </c>
      <c r="C1171">
        <f>Feuille1!B1180</f>
        <v>-7246.1806584517208</v>
      </c>
      <c r="D1171">
        <f>Feuille1!C1180</f>
        <v>19186.969286434611</v>
      </c>
    </row>
    <row r="1172" spans="2:4" x14ac:dyDescent="0.3">
      <c r="B1172">
        <f>Feuille1!A1181</f>
        <v>436</v>
      </c>
      <c r="C1172">
        <f>Feuille1!B1181</f>
        <v>-3943.6390531783468</v>
      </c>
      <c r="D1172">
        <f>Feuille1!C1181</f>
        <v>25758.126473562836</v>
      </c>
    </row>
    <row r="1173" spans="2:4" x14ac:dyDescent="0.3">
      <c r="B1173">
        <f>Feuille1!A1182</f>
        <v>436.5</v>
      </c>
      <c r="C1173">
        <f>Feuille1!B1182</f>
        <v>-1119.4779058061692</v>
      </c>
      <c r="D1173">
        <f>Feuille1!C1182</f>
        <v>31670.044489198444</v>
      </c>
    </row>
    <row r="1174" spans="2:4" x14ac:dyDescent="0.3">
      <c r="B1174">
        <f>Feuille1!A1183</f>
        <v>437</v>
      </c>
      <c r="C1174">
        <f>Feuille1!B1183</f>
        <v>1628.7842078000972</v>
      </c>
      <c r="D1174">
        <f>Feuille1!C1183</f>
        <v>36764.448095547254</v>
      </c>
    </row>
    <row r="1175" spans="2:4" x14ac:dyDescent="0.3">
      <c r="B1175">
        <f>Feuille1!A1184</f>
        <v>437.5</v>
      </c>
      <c r="C1175">
        <f>Feuille1!B1184</f>
        <v>4414.0756487997496</v>
      </c>
      <c r="D1175">
        <f>Feuille1!C1184</f>
        <v>41028.790473192697</v>
      </c>
    </row>
    <row r="1176" spans="2:4" x14ac:dyDescent="0.3">
      <c r="B1176">
        <f>Feuille1!A1185</f>
        <v>438</v>
      </c>
      <c r="C1176">
        <f>Feuille1!B1185</f>
        <v>7233.4805945534108</v>
      </c>
      <c r="D1176">
        <f>Feuille1!C1185</f>
        <v>44502.705307230288</v>
      </c>
    </row>
    <row r="1177" spans="2:4" x14ac:dyDescent="0.3">
      <c r="B1177">
        <f>Feuille1!A1186</f>
        <v>438.5</v>
      </c>
      <c r="C1177">
        <f>Feuille1!B1186</f>
        <v>10052.898603089096</v>
      </c>
      <c r="D1177">
        <f>Feuille1!C1186</f>
        <v>47241.650075879341</v>
      </c>
    </row>
    <row r="1178" spans="2:4" x14ac:dyDescent="0.3">
      <c r="B1178">
        <f>Feuille1!A1187</f>
        <v>439</v>
      </c>
      <c r="C1178">
        <f>Feuille1!B1187</f>
        <v>12835.403861949699</v>
      </c>
      <c r="D1178">
        <f>Feuille1!C1187</f>
        <v>49299.949608916453</v>
      </c>
    </row>
    <row r="1179" spans="2:4" x14ac:dyDescent="0.3">
      <c r="B1179">
        <f>Feuille1!A1188</f>
        <v>439.5</v>
      </c>
      <c r="C1179">
        <f>Feuille1!B1188</f>
        <v>15548.091765137486</v>
      </c>
      <c r="D1179">
        <f>Feuille1!C1188</f>
        <v>50724.104572176191</v>
      </c>
    </row>
    <row r="1180" spans="2:4" x14ac:dyDescent="0.3">
      <c r="B1180">
        <f>Feuille1!A1189</f>
        <v>440</v>
      </c>
      <c r="C1180">
        <f>Feuille1!B1189</f>
        <v>18162.245589688417</v>
      </c>
      <c r="D1180">
        <f>Feuille1!C1189</f>
        <v>51550.912827635242</v>
      </c>
    </row>
    <row r="1181" spans="2:4" x14ac:dyDescent="0.3">
      <c r="B1181">
        <f>Feuille1!A1190</f>
        <v>440.5</v>
      </c>
      <c r="C1181">
        <f>Feuille1!B1190</f>
        <v>20651.784302639306</v>
      </c>
      <c r="D1181">
        <f>Feuille1!C1190</f>
        <v>51807.423067433665</v>
      </c>
    </row>
    <row r="1182" spans="2:4" x14ac:dyDescent="0.3">
      <c r="B1182">
        <f>Feuille1!A1191</f>
        <v>441</v>
      </c>
      <c r="C1182">
        <f>Feuille1!B1191</f>
        <v>22991.388966195671</v>
      </c>
      <c r="D1182">
        <f>Feuille1!C1191</f>
        <v>51511.333405577636</v>
      </c>
    </row>
    <row r="1183" spans="2:4" x14ac:dyDescent="0.3">
      <c r="B1183">
        <f>Feuille1!A1192</f>
        <v>441.5</v>
      </c>
      <c r="C1183">
        <f>Feuille1!B1192</f>
        <v>25154.540168792726</v>
      </c>
      <c r="D1183">
        <f>Feuille1!C1192</f>
        <v>50671.222816050613</v>
      </c>
    </row>
    <row r="1184" spans="2:4" x14ac:dyDescent="0.3">
      <c r="B1184">
        <f>Feuille1!A1193</f>
        <v>442</v>
      </c>
      <c r="C1184">
        <f>Feuille1!B1193</f>
        <v>27111.292336964012</v>
      </c>
      <c r="D1184">
        <f>Feuille1!C1193</f>
        <v>49286.306473778946</v>
      </c>
    </row>
    <row r="1185" spans="2:4" x14ac:dyDescent="0.3">
      <c r="B1185">
        <f>Feuille1!A1194</f>
        <v>442.5</v>
      </c>
      <c r="C1185">
        <f>Feuille1!B1194</f>
        <v>28825.365741641228</v>
      </c>
      <c r="D1185">
        <f>Feuille1!C1194</f>
        <v>47345.465446891525</v>
      </c>
    </row>
    <row r="1186" spans="2:4" x14ac:dyDescent="0.3">
      <c r="B1186">
        <f>Feuille1!A1195</f>
        <v>443</v>
      </c>
      <c r="C1186">
        <f>Feuille1!B1195</f>
        <v>30249.77336366949</v>
      </c>
      <c r="D1186">
        <f>Feuille1!C1195</f>
        <v>44825.210895332246</v>
      </c>
    </row>
    <row r="1187" spans="2:4" x14ac:dyDescent="0.3">
      <c r="B1187">
        <f>Feuille1!A1196</f>
        <v>443.5</v>
      </c>
      <c r="C1187">
        <f>Feuille1!B1196</f>
        <v>31319.395218856211</v>
      </c>
      <c r="D1187">
        <f>Feuille1!C1196</f>
        <v>41686.017379227749</v>
      </c>
    </row>
    <row r="1188" spans="2:4" x14ac:dyDescent="0.3">
      <c r="B1188">
        <f>Feuille1!A1197</f>
        <v>444</v>
      </c>
      <c r="C1188">
        <f>Feuille1!B1197</f>
        <v>31936.892347709829</v>
      </c>
      <c r="D1188">
        <f>Feuille1!C1197</f>
        <v>37866.122590278399</v>
      </c>
    </row>
    <row r="1189" spans="2:4" x14ac:dyDescent="0.3">
      <c r="B1189">
        <f>Feuille1!A1198</f>
        <v>444.5</v>
      </c>
      <c r="C1189">
        <f>Feuille1!B1198</f>
        <v>31942.742286892688</v>
      </c>
      <c r="D1189">
        <f>Feuille1!C1198</f>
        <v>33271.968946979941</v>
      </c>
    </row>
    <row r="1190" spans="2:4" x14ac:dyDescent="0.3">
      <c r="B1190">
        <f>Feuille1!A1199</f>
        <v>445</v>
      </c>
      <c r="C1190">
        <f>Feuille1!B1199</f>
        <v>31043.041328112085</v>
      </c>
      <c r="D1190">
        <f>Feuille1!C1199</f>
        <v>27769.921509163731</v>
      </c>
    </row>
    <row r="1191" spans="2:4" x14ac:dyDescent="0.3">
      <c r="B1191">
        <f>Feuille1!A1200</f>
        <v>445.5</v>
      </c>
      <c r="C1191">
        <f>Feuille1!B1200</f>
        <v>28619.267724961966</v>
      </c>
      <c r="D1191">
        <f>Feuille1!C1200</f>
        <v>21240.193791285001</v>
      </c>
    </row>
    <row r="1192" spans="2:4" x14ac:dyDescent="0.3">
      <c r="B1192">
        <f>Feuille1!A1201</f>
        <v>446</v>
      </c>
      <c r="C1192">
        <f>Feuille1!B1201</f>
        <v>23454.891991918721</v>
      </c>
      <c r="D1192">
        <f>Feuille1!C1201</f>
        <v>14258.300851048174</v>
      </c>
    </row>
    <row r="1193" spans="2:4" x14ac:dyDescent="0.3">
      <c r="B1193">
        <f>Feuille1!A1202</f>
        <v>446.5</v>
      </c>
      <c r="C1193">
        <f>Feuille1!B1202</f>
        <v>16505.373379464108</v>
      </c>
      <c r="D1193">
        <f>Feuille1!C1202</f>
        <v>9683.3995490314119</v>
      </c>
    </row>
    <row r="1194" spans="2:4" x14ac:dyDescent="0.3">
      <c r="B1194">
        <f>Feuille1!A1203</f>
        <v>447</v>
      </c>
      <c r="C1194">
        <f>Feuille1!B1203</f>
        <v>9869.1269099749734</v>
      </c>
      <c r="D1194">
        <f>Feuille1!C1203</f>
        <v>7001.3731836851694</v>
      </c>
    </row>
    <row r="1195" spans="2:4" x14ac:dyDescent="0.3">
      <c r="B1195">
        <f>Feuille1!A1204</f>
        <v>447.5</v>
      </c>
      <c r="C1195">
        <f>Feuille1!B1204</f>
        <v>3562.3311871181813</v>
      </c>
      <c r="D1195">
        <f>Feuille1!C1204</f>
        <v>5239.3084156460927</v>
      </c>
    </row>
    <row r="1196" spans="2:4" x14ac:dyDescent="0.3">
      <c r="B1196">
        <f>Feuille1!A1205</f>
        <v>448</v>
      </c>
      <c r="C1196">
        <f>Feuille1!B1205</f>
        <v>-2660.2297150312147</v>
      </c>
      <c r="D1196">
        <f>Feuille1!C1205</f>
        <v>4020.6944582041697</v>
      </c>
    </row>
    <row r="1197" spans="2:4" x14ac:dyDescent="0.3">
      <c r="B1197">
        <f>Feuille1!A1206</f>
        <v>448.5</v>
      </c>
      <c r="C1197">
        <f>Feuille1!B1206</f>
        <v>-8982.4263710254891</v>
      </c>
      <c r="D1197">
        <f>Feuille1!C1206</f>
        <v>3292.5770145779811</v>
      </c>
    </row>
    <row r="1198" spans="2:4" x14ac:dyDescent="0.3">
      <c r="B1198">
        <f>Feuille1!A1207</f>
        <v>449</v>
      </c>
      <c r="C1198">
        <f>Feuille1!B1207</f>
        <v>-15456.307500176141</v>
      </c>
      <c r="D1198">
        <f>Feuille1!C1207</f>
        <v>3223.3574754695928</v>
      </c>
    </row>
    <row r="1199" spans="2:4" x14ac:dyDescent="0.3">
      <c r="B1199">
        <f>Feuille1!A1208</f>
        <v>449.5</v>
      </c>
      <c r="C1199">
        <f>Feuille1!B1208</f>
        <v>-21909.745815047867</v>
      </c>
      <c r="D1199">
        <f>Feuille1!C1208</f>
        <v>4105.6856270519474</v>
      </c>
    </row>
    <row r="1200" spans="2:4" x14ac:dyDescent="0.3">
      <c r="B1200">
        <f>Feuille1!A1209</f>
        <v>450</v>
      </c>
      <c r="C1200">
        <f>Feuille1!B1209</f>
        <v>-27920.937081627708</v>
      </c>
      <c r="D1200">
        <f>Feuille1!C1209</f>
        <v>6120.3681120416286</v>
      </c>
    </row>
    <row r="1201" spans="2:4" x14ac:dyDescent="0.3">
      <c r="B1201">
        <f>Feuille1!A1210</f>
        <v>450.5</v>
      </c>
      <c r="C1201">
        <f>Feuille1!B1210</f>
        <v>-33037.70046556033</v>
      </c>
      <c r="D1201">
        <f>Feuille1!C1210</f>
        <v>9129.7120035122098</v>
      </c>
    </row>
    <row r="1202" spans="2:4" x14ac:dyDescent="0.3">
      <c r="B1202">
        <f>Feuille1!A1211</f>
        <v>451</v>
      </c>
      <c r="C1202">
        <f>Feuille1!B1211</f>
        <v>-37025.686280399059</v>
      </c>
      <c r="D1202">
        <f>Feuille1!C1211</f>
        <v>12787.554735557038</v>
      </c>
    </row>
    <row r="1203" spans="2:4" x14ac:dyDescent="0.3">
      <c r="B1203">
        <f>Feuille1!A1212</f>
        <v>451.5</v>
      </c>
      <c r="C1203">
        <f>Feuille1!B1212</f>
        <v>-39865.067313935811</v>
      </c>
      <c r="D1203">
        <f>Feuille1!C1212</f>
        <v>16754.710996563783</v>
      </c>
    </row>
    <row r="1204" spans="2:4" x14ac:dyDescent="0.3">
      <c r="B1204">
        <f>Feuille1!A1213</f>
        <v>452</v>
      </c>
      <c r="C1204">
        <f>Feuille1!B1213</f>
        <v>-41637.020019246134</v>
      </c>
      <c r="D1204">
        <f>Feuille1!C1213</f>
        <v>20780.937878732704</v>
      </c>
    </row>
    <row r="1205" spans="2:4" x14ac:dyDescent="0.3">
      <c r="B1205">
        <f>Feuille1!A1214</f>
        <v>452.5</v>
      </c>
      <c r="C1205">
        <f>Feuille1!B1214</f>
        <v>-42447.21499765975</v>
      </c>
      <c r="D1205">
        <f>Feuille1!C1214</f>
        <v>24695.681570682187</v>
      </c>
    </row>
    <row r="1206" spans="2:4" x14ac:dyDescent="0.3">
      <c r="B1206">
        <f>Feuille1!A1215</f>
        <v>453</v>
      </c>
      <c r="C1206">
        <f>Feuille1!B1215</f>
        <v>-42394.985846553514</v>
      </c>
      <c r="D1206">
        <f>Feuille1!C1215</f>
        <v>28380.373365470452</v>
      </c>
    </row>
    <row r="1207" spans="2:4" x14ac:dyDescent="0.3">
      <c r="B1207">
        <f>Feuille1!A1216</f>
        <v>453.5</v>
      </c>
      <c r="C1207">
        <f>Feuille1!B1216</f>
        <v>-41565.127633830125</v>
      </c>
      <c r="D1207">
        <f>Feuille1!C1216</f>
        <v>31746.112398476784</v>
      </c>
    </row>
    <row r="1208" spans="2:4" x14ac:dyDescent="0.3">
      <c r="B1208">
        <f>Feuille1!A1217</f>
        <v>454</v>
      </c>
      <c r="C1208">
        <f>Feuille1!B1217</f>
        <v>-40028.197515105894</v>
      </c>
      <c r="D1208">
        <f>Feuille1!C1217</f>
        <v>34718.73435612148</v>
      </c>
    </row>
    <row r="1209" spans="2:4" x14ac:dyDescent="0.3">
      <c r="B1209">
        <f>Feuille1!A1218</f>
        <v>454.5</v>
      </c>
      <c r="C1209">
        <f>Feuille1!B1218</f>
        <v>-37843.602347680244</v>
      </c>
      <c r="D1209">
        <f>Feuille1!C1218</f>
        <v>37228.856260721885</v>
      </c>
    </row>
    <row r="1210" spans="2:4" x14ac:dyDescent="0.3">
      <c r="B1210">
        <f>Feuille1!A1219</f>
        <v>455</v>
      </c>
      <c r="C1210">
        <f>Feuille1!B1219</f>
        <v>-35063.702083749267</v>
      </c>
      <c r="D1210">
        <f>Feuille1!C1219</f>
        <v>39204.669429779547</v>
      </c>
    </row>
    <row r="1211" spans="2:4" x14ac:dyDescent="0.3">
      <c r="B1211">
        <f>Feuille1!A1220</f>
        <v>455.5</v>
      </c>
      <c r="C1211">
        <f>Feuille1!B1220</f>
        <v>-31738.831911241949</v>
      </c>
      <c r="D1211">
        <f>Feuille1!C1220</f>
        <v>40566.057751094442</v>
      </c>
    </row>
    <row r="1212" spans="2:4" x14ac:dyDescent="0.3">
      <c r="B1212">
        <f>Feuille1!A1221</f>
        <v>456</v>
      </c>
      <c r="C1212">
        <f>Feuille1!B1221</f>
        <v>-27924.03645236585</v>
      </c>
      <c r="D1212">
        <f>Feuille1!C1221</f>
        <v>41219.406133501412</v>
      </c>
    </row>
    <row r="1213" spans="2:4" x14ac:dyDescent="0.3">
      <c r="B1213">
        <f>Feuille1!A1222</f>
        <v>456.5</v>
      </c>
      <c r="C1213">
        <f>Feuille1!B1222</f>
        <v>-23689.050410851505</v>
      </c>
      <c r="D1213">
        <f>Feuille1!C1222</f>
        <v>41053.560417781868</v>
      </c>
    </row>
    <row r="1214" spans="2:4" x14ac:dyDescent="0.3">
      <c r="B1214">
        <f>Feuille1!A1223</f>
        <v>457</v>
      </c>
      <c r="C1214">
        <f>Feuille1!B1223</f>
        <v>-19133.570606085446</v>
      </c>
      <c r="D1214">
        <f>Feuille1!C1223</f>
        <v>39939.774868819375</v>
      </c>
    </row>
    <row r="1215" spans="2:4" x14ac:dyDescent="0.3">
      <c r="B1215">
        <f>Feuille1!A1224</f>
        <v>457.5</v>
      </c>
      <c r="C1215">
        <f>Feuille1!B1224</f>
        <v>-14408.259006093054</v>
      </c>
      <c r="D1215">
        <f>Feuille1!C1224</f>
        <v>37743.96867473676</v>
      </c>
    </row>
    <row r="1216" spans="2:4" x14ac:dyDescent="0.3">
      <c r="B1216">
        <f>Feuille1!A1225</f>
        <v>458</v>
      </c>
      <c r="C1216">
        <f>Feuille1!B1225</f>
        <v>-9730.7575949424099</v>
      </c>
      <c r="D1216">
        <f>Feuille1!C1225</f>
        <v>34368.900499780902</v>
      </c>
    </row>
    <row r="1217" spans="2:4" x14ac:dyDescent="0.3">
      <c r="B1217">
        <f>Feuille1!A1226</f>
        <v>458.5</v>
      </c>
      <c r="C1217">
        <f>Feuille1!B1226</f>
        <v>-5351.0661912091564</v>
      </c>
      <c r="D1217">
        <f>Feuille1!C1226</f>
        <v>29842.152023177772</v>
      </c>
    </row>
    <row r="1218" spans="2:4" x14ac:dyDescent="0.3">
      <c r="B1218">
        <f>Feuille1!A1227</f>
        <v>459</v>
      </c>
      <c r="C1218">
        <f>Feuille1!B1227</f>
        <v>-1389.7530918196092</v>
      </c>
      <c r="D1218">
        <f>Feuille1!C1227</f>
        <v>24402.060194806436</v>
      </c>
    </row>
    <row r="1219" spans="2:4" x14ac:dyDescent="0.3">
      <c r="B1219">
        <f>Feuille1!A1228</f>
        <v>459.5</v>
      </c>
      <c r="C1219">
        <f>Feuille1!B1228</f>
        <v>2383.273700668175</v>
      </c>
      <c r="D1219">
        <f>Feuille1!C1228</f>
        <v>18458.027855458869</v>
      </c>
    </row>
    <row r="1220" spans="2:4" x14ac:dyDescent="0.3">
      <c r="B1220">
        <f>Feuille1!A1229</f>
        <v>460</v>
      </c>
      <c r="C1220">
        <f>Feuille1!B1229</f>
        <v>6487.3054476514881</v>
      </c>
      <c r="D1220">
        <f>Feuille1!C1229</f>
        <v>12515.544582644785</v>
      </c>
    </row>
    <row r="1221" spans="2:4" x14ac:dyDescent="0.3">
      <c r="B1221">
        <f>Feuille1!A1230</f>
        <v>460.5</v>
      </c>
      <c r="C1221">
        <f>Feuille1!B1230</f>
        <v>11224.421010995611</v>
      </c>
      <c r="D1221">
        <f>Feuille1!C1230</f>
        <v>7194.9990620087683</v>
      </c>
    </row>
    <row r="1222" spans="2:4" x14ac:dyDescent="0.3">
      <c r="B1222">
        <f>Feuille1!A1231</f>
        <v>461</v>
      </c>
      <c r="C1222">
        <f>Feuille1!B1231</f>
        <v>16309.770515849194</v>
      </c>
      <c r="D1222">
        <f>Feuille1!C1231</f>
        <v>2921.6105790336765</v>
      </c>
    </row>
    <row r="1223" spans="2:4" x14ac:dyDescent="0.3">
      <c r="B1223">
        <f>Feuille1!A1232</f>
        <v>461.5</v>
      </c>
      <c r="C1223">
        <f>Feuille1!B1232</f>
        <v>21286.981578639621</v>
      </c>
      <c r="D1223">
        <f>Feuille1!C1232</f>
        <v>-338.09617014933531</v>
      </c>
    </row>
    <row r="1224" spans="2:4" x14ac:dyDescent="0.3">
      <c r="B1224">
        <f>Feuille1!A1233</f>
        <v>462</v>
      </c>
      <c r="C1224">
        <f>Feuille1!B1233</f>
        <v>25893.784713227305</v>
      </c>
      <c r="D1224">
        <f>Feuille1!C1233</f>
        <v>-2809.7207297823225</v>
      </c>
    </row>
    <row r="1225" spans="2:4" x14ac:dyDescent="0.3">
      <c r="B1225">
        <f>Feuille1!A1234</f>
        <v>462.5</v>
      </c>
      <c r="C1225">
        <f>Feuille1!B1234</f>
        <v>30035.006174145543</v>
      </c>
      <c r="D1225">
        <f>Feuille1!C1234</f>
        <v>-4695.6114199307976</v>
      </c>
    </row>
    <row r="1226" spans="2:4" x14ac:dyDescent="0.3">
      <c r="B1226">
        <f>Feuille1!A1235</f>
        <v>463</v>
      </c>
      <c r="C1226">
        <f>Feuille1!B1235</f>
        <v>33693.790497784394</v>
      </c>
      <c r="D1226">
        <f>Feuille1!C1235</f>
        <v>-6136.131039368036</v>
      </c>
    </row>
    <row r="1227" spans="2:4" x14ac:dyDescent="0.3">
      <c r="B1227">
        <f>Feuille1!A1236</f>
        <v>463.5</v>
      </c>
      <c r="C1227">
        <f>Feuille1!B1236</f>
        <v>36882.759052452275</v>
      </c>
      <c r="D1227">
        <f>Feuille1!C1236</f>
        <v>-7223.8674324500917</v>
      </c>
    </row>
    <row r="1228" spans="2:4" x14ac:dyDescent="0.3">
      <c r="B1228">
        <f>Feuille1!A1237</f>
        <v>464</v>
      </c>
      <c r="C1228">
        <f>Feuille1!B1237</f>
        <v>39623.131884460796</v>
      </c>
      <c r="D1228">
        <f>Feuille1!C1237</f>
        <v>-8020.4482190614926</v>
      </c>
    </row>
    <row r="1229" spans="2:4" x14ac:dyDescent="0.3">
      <c r="B1229">
        <f>Feuille1!A1238</f>
        <v>464.5</v>
      </c>
      <c r="C1229">
        <f>Feuille1!B1238</f>
        <v>41936.473313134433</v>
      </c>
      <c r="D1229">
        <f>Feuille1!C1238</f>
        <v>-8567.874104596709</v>
      </c>
    </row>
    <row r="1230" spans="2:4" x14ac:dyDescent="0.3">
      <c r="B1230">
        <f>Feuille1!A1239</f>
        <v>465</v>
      </c>
      <c r="C1230">
        <f>Feuille1!B1239</f>
        <v>43841.624149149939</v>
      </c>
      <c r="D1230">
        <f>Feuille1!C1239</f>
        <v>-8895.3910907401241</v>
      </c>
    </row>
    <row r="1231" spans="2:4" x14ac:dyDescent="0.3">
      <c r="B1231">
        <f>Feuille1!A1240</f>
        <v>465.5</v>
      </c>
      <c r="C1231">
        <f>Feuille1!B1240</f>
        <v>45353.697885853595</v>
      </c>
      <c r="D1231">
        <f>Feuille1!C1240</f>
        <v>-9023.594766837803</v>
      </c>
    </row>
    <row r="1232" spans="2:4" x14ac:dyDescent="0.3">
      <c r="B1232">
        <f>Feuille1!A1241</f>
        <v>466</v>
      </c>
      <c r="C1232">
        <f>Feuille1!B1241</f>
        <v>46483.856743974051</v>
      </c>
      <c r="D1232">
        <f>Feuille1!C1241</f>
        <v>-8966.8987107804223</v>
      </c>
    </row>
    <row r="1233" spans="2:4" x14ac:dyDescent="0.3">
      <c r="B1233">
        <f>Feuille1!A1242</f>
        <v>466.5</v>
      </c>
      <c r="C1233">
        <f>Feuille1!B1242</f>
        <v>47239.332928601994</v>
      </c>
      <c r="D1233">
        <f>Feuille1!C1242</f>
        <v>-8735.0188085323953</v>
      </c>
    </row>
    <row r="1234" spans="2:4" x14ac:dyDescent="0.3">
      <c r="B1234">
        <f>Feuille1!A1243</f>
        <v>467</v>
      </c>
      <c r="C1234">
        <f>Feuille1!B1243</f>
        <v>47623.464616838624</v>
      </c>
      <c r="D1234">
        <f>Feuille1!C1243</f>
        <v>-8333.8314581366612</v>
      </c>
    </row>
    <row r="1235" spans="2:4" x14ac:dyDescent="0.3">
      <c r="B1235">
        <f>Feuille1!A1244</f>
        <v>467.5</v>
      </c>
      <c r="C1235">
        <f>Feuille1!B1244</f>
        <v>47635.636687157341</v>
      </c>
      <c r="D1235">
        <f>Feuille1!C1244</f>
        <v>-7765.7916892562407</v>
      </c>
    </row>
    <row r="1236" spans="2:4" x14ac:dyDescent="0.3">
      <c r="B1236">
        <f>Feuille1!A1245</f>
        <v>468</v>
      </c>
      <c r="C1236">
        <f>Feuille1!B1245</f>
        <v>47271.056581660574</v>
      </c>
      <c r="D1236">
        <f>Feuille1!C1245</f>
        <v>-7029.9886710409719</v>
      </c>
    </row>
    <row r="1237" spans="2:4" x14ac:dyDescent="0.3">
      <c r="B1237">
        <f>Feuille1!A1246</f>
        <v>468.5</v>
      </c>
      <c r="C1237">
        <f>Feuille1!B1246</f>
        <v>46520.295149187725</v>
      </c>
      <c r="D1237">
        <f>Feuille1!C1246</f>
        <v>-6121.8311369565554</v>
      </c>
    </row>
    <row r="1238" spans="2:4" x14ac:dyDescent="0.3">
      <c r="B1238">
        <f>Feuille1!A1247</f>
        <v>469</v>
      </c>
      <c r="C1238">
        <f>Feuille1!B1247</f>
        <v>45368.49109998389</v>
      </c>
      <c r="D1238">
        <f>Feuille1!C1247</f>
        <v>-5032.2611748091304</v>
      </c>
    </row>
    <row r="1239" spans="2:4" x14ac:dyDescent="0.3">
      <c r="B1239">
        <f>Feuille1!A1248</f>
        <v>469.5</v>
      </c>
      <c r="C1239">
        <f>Feuille1!B1248</f>
        <v>43794.047583271444</v>
      </c>
      <c r="D1239">
        <f>Feuille1!C1248</f>
        <v>-3746.2487671266058</v>
      </c>
    </row>
    <row r="1240" spans="2:4" x14ac:dyDescent="0.3">
      <c r="B1240">
        <f>Feuille1!A1249</f>
        <v>470</v>
      </c>
      <c r="C1240">
        <f>Feuille1!B1249</f>
        <v>41766.509675950241</v>
      </c>
      <c r="D1240">
        <f>Feuille1!C1249</f>
        <v>-2240.0369452044424</v>
      </c>
    </row>
    <row r="1241" spans="2:4" x14ac:dyDescent="0.3">
      <c r="B1241">
        <f>Feuille1!A1250</f>
        <v>470.5</v>
      </c>
      <c r="C1241">
        <f>Feuille1!B1250</f>
        <v>39243.028066470462</v>
      </c>
      <c r="D1241">
        <f>Feuille1!C1250</f>
        <v>-475.98034957497958</v>
      </c>
    </row>
    <row r="1242" spans="2:4" x14ac:dyDescent="0.3">
      <c r="B1242">
        <f>Feuille1!A1251</f>
        <v>471</v>
      </c>
      <c r="C1242">
        <f>Feuille1!B1251</f>
        <v>36162.218096435397</v>
      </c>
      <c r="D1242">
        <f>Feuille1!C1251</f>
        <v>1607.7417068103857</v>
      </c>
    </row>
    <row r="1243" spans="2:4" x14ac:dyDescent="0.3">
      <c r="B1243">
        <f>Feuille1!A1252</f>
        <v>471.5</v>
      </c>
      <c r="C1243">
        <f>Feuille1!B1252</f>
        <v>32432.986646439127</v>
      </c>
      <c r="D1243">
        <f>Feuille1!C1252</f>
        <v>4119.6671654036109</v>
      </c>
    </row>
    <row r="1244" spans="2:4" x14ac:dyDescent="0.3">
      <c r="B1244">
        <f>Feuille1!A1253</f>
        <v>472</v>
      </c>
      <c r="C1244">
        <f>Feuille1!B1253</f>
        <v>27914.180898879778</v>
      </c>
      <c r="D1244">
        <f>Feuille1!C1253</f>
        <v>7271.4404885457607</v>
      </c>
    </row>
    <row r="1245" spans="2:4" x14ac:dyDescent="0.3">
      <c r="B1245">
        <f>Feuille1!A1254</f>
        <v>472.5</v>
      </c>
      <c r="C1245">
        <f>Feuille1!B1254</f>
        <v>22392.939078149808</v>
      </c>
      <c r="D1245">
        <f>Feuille1!C1254</f>
        <v>11544.297735220991</v>
      </c>
    </row>
    <row r="1246" spans="2:4" x14ac:dyDescent="0.3">
      <c r="B1246">
        <f>Feuille1!A1255</f>
        <v>473</v>
      </c>
      <c r="C1246">
        <f>Feuille1!B1255</f>
        <v>15889.721038819873</v>
      </c>
      <c r="D1246">
        <f>Feuille1!C1255</f>
        <v>18157.028347738349</v>
      </c>
    </row>
    <row r="1247" spans="2:4" x14ac:dyDescent="0.3">
      <c r="B1247">
        <f>Feuille1!A1256</f>
        <v>473.5</v>
      </c>
      <c r="C1247">
        <f>Feuille1!B1256</f>
        <v>11729.464004638859</v>
      </c>
      <c r="D1247">
        <f>Feuille1!C1256</f>
        <v>25879.237452323676</v>
      </c>
    </row>
    <row r="1248" spans="2:4" x14ac:dyDescent="0.3">
      <c r="B1248">
        <f>Feuille1!A1257</f>
        <v>474</v>
      </c>
      <c r="C1248">
        <f>Feuille1!B1257</f>
        <v>8973.6508265503799</v>
      </c>
      <c r="D1248">
        <f>Feuille1!C1257</f>
        <v>32132.519594904981</v>
      </c>
    </row>
    <row r="1249" spans="2:4" x14ac:dyDescent="0.3">
      <c r="B1249">
        <f>Feuille1!A1258</f>
        <v>474.5</v>
      </c>
      <c r="C1249">
        <f>Feuille1!B1258</f>
        <v>6650.2895531539671</v>
      </c>
      <c r="D1249">
        <f>Feuille1!C1258</f>
        <v>37221.59473312465</v>
      </c>
    </row>
    <row r="1250" spans="2:4" x14ac:dyDescent="0.3">
      <c r="B1250">
        <f>Feuille1!A1259</f>
        <v>475</v>
      </c>
      <c r="C1250">
        <f>Feuille1!B1259</f>
        <v>4456.2351067571262</v>
      </c>
      <c r="D1250">
        <f>Feuille1!C1259</f>
        <v>41389.230983123169</v>
      </c>
    </row>
    <row r="1251" spans="2:4" x14ac:dyDescent="0.3">
      <c r="B1251">
        <f>Feuille1!A1260</f>
        <v>475.5</v>
      </c>
      <c r="C1251">
        <f>Feuille1!B1260</f>
        <v>2292.5027797038761</v>
      </c>
      <c r="D1251">
        <f>Feuille1!C1260</f>
        <v>44773.852848397983</v>
      </c>
    </row>
    <row r="1252" spans="2:4" x14ac:dyDescent="0.3">
      <c r="B1252">
        <f>Feuille1!A1261</f>
        <v>476</v>
      </c>
      <c r="C1252">
        <f>Feuille1!B1261</f>
        <v>129.1451479608904</v>
      </c>
      <c r="D1252">
        <f>Feuille1!C1261</f>
        <v>47461.429424004658</v>
      </c>
    </row>
    <row r="1253" spans="2:4" x14ac:dyDescent="0.3">
      <c r="B1253">
        <f>Feuille1!A1262</f>
        <v>476.5</v>
      </c>
      <c r="C1253">
        <f>Feuille1!B1262</f>
        <v>-2038.2044344442029</v>
      </c>
      <c r="D1253">
        <f>Feuille1!C1262</f>
        <v>49508.981286507696</v>
      </c>
    </row>
    <row r="1254" spans="2:4" x14ac:dyDescent="0.3">
      <c r="B1254">
        <f>Feuille1!A1263</f>
        <v>477</v>
      </c>
      <c r="C1254">
        <f>Feuille1!B1263</f>
        <v>-4203.9602978689554</v>
      </c>
      <c r="D1254">
        <f>Feuille1!C1263</f>
        <v>50954.88148531715</v>
      </c>
    </row>
    <row r="1255" spans="2:4" x14ac:dyDescent="0.3">
      <c r="B1255">
        <f>Feuille1!A1264</f>
        <v>477.5</v>
      </c>
      <c r="C1255">
        <f>Feuille1!B1264</f>
        <v>-6358.5249738460416</v>
      </c>
      <c r="D1255">
        <f>Feuille1!C1264</f>
        <v>51823.72396726103</v>
      </c>
    </row>
    <row r="1256" spans="2:4" x14ac:dyDescent="0.3">
      <c r="B1256">
        <f>Feuille1!A1265</f>
        <v>478</v>
      </c>
      <c r="C1256">
        <f>Feuille1!B1265</f>
        <v>-8490.5150294143859</v>
      </c>
      <c r="D1256">
        <f>Feuille1!C1265</f>
        <v>52128.638217847874</v>
      </c>
    </row>
    <row r="1257" spans="2:4" x14ac:dyDescent="0.3">
      <c r="B1257">
        <f>Feuille1!A1266</f>
        <v>478.5</v>
      </c>
      <c r="C1257">
        <f>Feuille1!B1266</f>
        <v>-10587.433730484492</v>
      </c>
      <c r="D1257">
        <f>Feuille1!C1266</f>
        <v>51872.080910059325</v>
      </c>
    </row>
    <row r="1258" spans="2:4" x14ac:dyDescent="0.3">
      <c r="B1258">
        <f>Feuille1!A1267</f>
        <v>479</v>
      </c>
      <c r="C1258">
        <f>Feuille1!B1267</f>
        <v>-12635.59642155827</v>
      </c>
      <c r="D1258">
        <f>Feuille1!C1267</f>
        <v>51045.374562194964</v>
      </c>
    </row>
    <row r="1259" spans="2:4" x14ac:dyDescent="0.3">
      <c r="B1259">
        <f>Feuille1!A1268</f>
        <v>479.5</v>
      </c>
      <c r="C1259">
        <f>Feuille1!B1268</f>
        <v>-14619.556990638313</v>
      </c>
      <c r="D1259">
        <f>Feuille1!C1268</f>
        <v>49626.797332063827</v>
      </c>
    </row>
    <row r="1260" spans="2:4" x14ac:dyDescent="0.3">
      <c r="B1260">
        <f>Feuille1!A1269</f>
        <v>480</v>
      </c>
      <c r="C1260">
        <f>Feuille1!B1269</f>
        <v>-16520.957004062195</v>
      </c>
      <c r="D1260">
        <f>Feuille1!C1269</f>
        <v>47577.475428800783</v>
      </c>
    </row>
    <row r="1261" spans="2:4" x14ac:dyDescent="0.3">
      <c r="B1261">
        <f>Feuille1!A1270</f>
        <v>480.5</v>
      </c>
      <c r="C1261">
        <f>Feuille1!B1270</f>
        <v>-18316.307254706258</v>
      </c>
      <c r="D1261">
        <f>Feuille1!C1270</f>
        <v>44833.25717447338</v>
      </c>
    </row>
    <row r="1262" spans="2:4" x14ac:dyDescent="0.3">
      <c r="B1262">
        <f>Feuille1!A1271</f>
        <v>481</v>
      </c>
      <c r="C1262">
        <f>Feuille1!B1271</f>
        <v>-19972.182431945621</v>
      </c>
      <c r="D1262">
        <f>Feuille1!C1271</f>
        <v>41288.111927001803</v>
      </c>
    </row>
    <row r="1263" spans="2:4" x14ac:dyDescent="0.3">
      <c r="B1263">
        <f>Feuille1!A1272</f>
        <v>481.5</v>
      </c>
      <c r="C1263">
        <f>Feuille1!B1272</f>
        <v>-21432.682447064792</v>
      </c>
      <c r="D1263">
        <f>Feuille1!C1272</f>
        <v>36757.071237929573</v>
      </c>
    </row>
    <row r="1264" spans="2:4" x14ac:dyDescent="0.3">
      <c r="B1264">
        <f>Feuille1!A1273</f>
        <v>482</v>
      </c>
      <c r="C1264">
        <f>Feuille1!B1273</f>
        <v>-22577.230936834359</v>
      </c>
      <c r="D1264">
        <f>Feuille1!C1273</f>
        <v>30882.706087638289</v>
      </c>
    </row>
    <row r="1265" spans="2:4" x14ac:dyDescent="0.3">
      <c r="B1265">
        <f>Feuille1!A1274</f>
        <v>482.5</v>
      </c>
      <c r="C1265">
        <f>Feuille1!B1274</f>
        <v>-23019.121159797513</v>
      </c>
      <c r="D1265">
        <f>Feuille1!C1274</f>
        <v>22894.843508439099</v>
      </c>
    </row>
    <row r="1266" spans="2:4" x14ac:dyDescent="0.3">
      <c r="B1266">
        <f>Feuille1!A1275</f>
        <v>483</v>
      </c>
      <c r="C1266">
        <f>Feuille1!B1275</f>
        <v>-21093.20152858891</v>
      </c>
      <c r="D1266">
        <f>Feuille1!C1275</f>
        <v>12760.103745954566</v>
      </c>
    </row>
    <row r="1267" spans="2:4" x14ac:dyDescent="0.3">
      <c r="B1267">
        <f>Feuille1!A1276</f>
        <v>483.5</v>
      </c>
      <c r="C1267">
        <f>Feuille1!B1276</f>
        <v>-18455.863903618661</v>
      </c>
      <c r="D1267">
        <f>Feuille1!C1276</f>
        <v>5285.4984562560358</v>
      </c>
    </row>
    <row r="1268" spans="2:4" x14ac:dyDescent="0.3">
      <c r="B1268">
        <f>Feuille1!A1277</f>
        <v>484</v>
      </c>
      <c r="C1268">
        <f>Feuille1!B1277</f>
        <v>-15662.152080671452</v>
      </c>
      <c r="D1268">
        <f>Feuille1!C1277</f>
        <v>-897.95734435662644</v>
      </c>
    </row>
    <row r="1269" spans="2:4" x14ac:dyDescent="0.3">
      <c r="B1269">
        <f>Feuille1!A1278</f>
        <v>484.5</v>
      </c>
      <c r="C1269">
        <f>Feuille1!B1278</f>
        <v>-12724.644829007848</v>
      </c>
      <c r="D1269">
        <f>Feuille1!C1278</f>
        <v>-6469.082416116099</v>
      </c>
    </row>
    <row r="1270" spans="2:4" x14ac:dyDescent="0.3">
      <c r="B1270">
        <f>Feuille1!A1279</f>
        <v>485</v>
      </c>
      <c r="C1270">
        <f>Feuille1!B1279</f>
        <v>-9621.2596393194726</v>
      </c>
      <c r="D1270">
        <f>Feuille1!C1279</f>
        <v>-11827.591222644856</v>
      </c>
    </row>
    <row r="1271" spans="2:4" x14ac:dyDescent="0.3">
      <c r="B1271">
        <f>Feuille1!A1280</f>
        <v>485.5</v>
      </c>
      <c r="C1271">
        <f>Feuille1!B1280</f>
        <v>-6345.0636498675149</v>
      </c>
      <c r="D1271">
        <f>Feuille1!C1280</f>
        <v>-17346.093671664603</v>
      </c>
    </row>
    <row r="1272" spans="2:4" x14ac:dyDescent="0.3">
      <c r="B1272">
        <f>Feuille1!A1281</f>
        <v>486</v>
      </c>
      <c r="C1272">
        <f>Feuille1!B1281</f>
        <v>-2959.1697506592363</v>
      </c>
      <c r="D1272">
        <f>Feuille1!C1281</f>
        <v>-23546.610795110075</v>
      </c>
    </row>
    <row r="1273" spans="2:4" x14ac:dyDescent="0.3">
      <c r="B1273">
        <f>Feuille1!A1282</f>
        <v>486.5</v>
      </c>
      <c r="C1273">
        <f>Feuille1!B1282</f>
        <v>98.02438104861028</v>
      </c>
      <c r="D1273">
        <f>Feuille1!C1282</f>
        <v>-31318.179956221746</v>
      </c>
    </row>
    <row r="1274" spans="2:4" x14ac:dyDescent="0.3">
      <c r="B1274">
        <f>Feuille1!A1283</f>
        <v>487</v>
      </c>
      <c r="C1274">
        <f>Feuille1!B1283</f>
        <v>752.78496222865306</v>
      </c>
      <c r="D1274">
        <f>Feuille1!C1283</f>
        <v>-40560.569057309091</v>
      </c>
    </row>
    <row r="1275" spans="2:4" x14ac:dyDescent="0.3">
      <c r="B1275">
        <f>Feuille1!A1284</f>
        <v>487.5</v>
      </c>
      <c r="C1275">
        <f>Feuille1!B1284</f>
        <v>-521.24786226626588</v>
      </c>
      <c r="D1275">
        <f>Feuille1!C1284</f>
        <v>-47738.293342657722</v>
      </c>
    </row>
    <row r="1276" spans="2:4" x14ac:dyDescent="0.3">
      <c r="B1276">
        <f>Feuille1!A1285</f>
        <v>488</v>
      </c>
      <c r="C1276">
        <f>Feuille1!B1285</f>
        <v>-2331.2544693991354</v>
      </c>
      <c r="D1276">
        <f>Feuille1!C1285</f>
        <v>-53221.803880665044</v>
      </c>
    </row>
    <row r="1277" spans="2:4" x14ac:dyDescent="0.3">
      <c r="B1277">
        <f>Feuille1!A1286</f>
        <v>488.5</v>
      </c>
      <c r="C1277">
        <f>Feuille1!B1286</f>
        <v>-4287.5315924784736</v>
      </c>
      <c r="D1277">
        <f>Feuille1!C1286</f>
        <v>-57535.79364889182</v>
      </c>
    </row>
    <row r="1278" spans="2:4" x14ac:dyDescent="0.3">
      <c r="B1278">
        <f>Feuille1!A1287</f>
        <v>489</v>
      </c>
      <c r="C1278">
        <f>Feuille1!B1287</f>
        <v>-6261.3513000524745</v>
      </c>
      <c r="D1278">
        <f>Feuille1!C1287</f>
        <v>-60976.39013877204</v>
      </c>
    </row>
    <row r="1279" spans="2:4" x14ac:dyDescent="0.3">
      <c r="B1279">
        <f>Feuille1!A1288</f>
        <v>489.5</v>
      </c>
      <c r="C1279">
        <f>Feuille1!B1288</f>
        <v>-8199.2984406560281</v>
      </c>
      <c r="D1279">
        <f>Feuille1!C1288</f>
        <v>-63717.165143139762</v>
      </c>
    </row>
    <row r="1280" spans="2:4" x14ac:dyDescent="0.3">
      <c r="B1280">
        <f>Feuille1!A1289</f>
        <v>490</v>
      </c>
      <c r="C1280">
        <f>Feuille1!B1289</f>
        <v>-10074.764723616041</v>
      </c>
      <c r="D1280">
        <f>Feuille1!C1289</f>
        <v>-65867.486616567141</v>
      </c>
    </row>
    <row r="1281" spans="2:4" x14ac:dyDescent="0.3">
      <c r="B1281">
        <f>Feuille1!A1290</f>
        <v>490.5</v>
      </c>
      <c r="C1281">
        <f>Feuille1!B1290</f>
        <v>-11872.130101736755</v>
      </c>
      <c r="D1281">
        <f>Feuille1!C1290</f>
        <v>-67500.205057463172</v>
      </c>
    </row>
    <row r="1282" spans="2:4" x14ac:dyDescent="0.3">
      <c r="B1282">
        <f>Feuille1!A1291</f>
        <v>491</v>
      </c>
      <c r="C1282">
        <f>Feuille1!B1291</f>
        <v>-13580.591141161245</v>
      </c>
      <c r="D1282">
        <f>Feuille1!C1291</f>
        <v>-68665.627205175624</v>
      </c>
    </row>
    <row r="1283" spans="2:4" x14ac:dyDescent="0.3">
      <c r="B1283">
        <f>Feuille1!A1292</f>
        <v>491.5</v>
      </c>
      <c r="C1283">
        <f>Feuille1!B1292</f>
        <v>-15191.372016833182</v>
      </c>
      <c r="D1283">
        <f>Feuille1!C1292</f>
        <v>-69399.093921143256</v>
      </c>
    </row>
    <row r="1284" spans="2:4" x14ac:dyDescent="0.3">
      <c r="B1284">
        <f>Feuille1!A1293</f>
        <v>492</v>
      </c>
      <c r="C1284">
        <f>Feuille1!B1293</f>
        <v>-16696.271675577089</v>
      </c>
      <c r="D1284">
        <f>Feuille1!C1293</f>
        <v>-69725.330704963824</v>
      </c>
    </row>
    <row r="1285" spans="2:4" x14ac:dyDescent="0.3">
      <c r="B1285">
        <f>Feuille1!A1294</f>
        <v>492.5</v>
      </c>
      <c r="C1285">
        <f>Feuille1!B1294</f>
        <v>-18086.769456542523</v>
      </c>
      <c r="D1285">
        <f>Feuille1!C1294</f>
        <v>-69661.035636695844</v>
      </c>
    </row>
    <row r="1286" spans="2:4" x14ac:dyDescent="0.3">
      <c r="B1286">
        <f>Feuille1!A1295</f>
        <v>493</v>
      </c>
      <c r="C1286">
        <f>Feuille1!B1295</f>
        <v>-19353.347114326123</v>
      </c>
      <c r="D1286">
        <f>Feuille1!C1295</f>
        <v>-69216.425518477583</v>
      </c>
    </row>
    <row r="1287" spans="2:4" x14ac:dyDescent="0.3">
      <c r="B1287">
        <f>Feuille1!A1296</f>
        <v>493.5</v>
      </c>
      <c r="C1287">
        <f>Feuille1!B1296</f>
        <v>-20484.84505809972</v>
      </c>
      <c r="D1287">
        <f>Feuille1!C1296</f>
        <v>-68396.109552391368</v>
      </c>
    </row>
    <row r="1288" spans="2:4" x14ac:dyDescent="0.3">
      <c r="B1288">
        <f>Feuille1!A1297</f>
        <v>494</v>
      </c>
      <c r="C1288">
        <f>Feuille1!B1297</f>
        <v>-21467.722300833764</v>
      </c>
      <c r="D1288">
        <f>Feuille1!C1297</f>
        <v>-67199.478534214199</v>
      </c>
    </row>
    <row r="1289" spans="2:4" x14ac:dyDescent="0.3">
      <c r="B1289">
        <f>Feuille1!A1298</f>
        <v>494.5</v>
      </c>
      <c r="C1289">
        <f>Feuille1!B1298</f>
        <v>-22285.084895871481</v>
      </c>
      <c r="D1289">
        <f>Feuille1!C1298</f>
        <v>-65620.692506811378</v>
      </c>
    </row>
    <row r="1290" spans="2:4" x14ac:dyDescent="0.3">
      <c r="B1290">
        <f>Feuille1!A1299</f>
        <v>495</v>
      </c>
      <c r="C1290">
        <f>Feuille1!B1299</f>
        <v>-22915.294110571071</v>
      </c>
      <c r="D1290">
        <f>Feuille1!C1299</f>
        <v>-63648.277928502059</v>
      </c>
    </row>
    <row r="1291" spans="2:4" x14ac:dyDescent="0.3">
      <c r="B1291">
        <f>Feuille1!A1300</f>
        <v>495.5</v>
      </c>
      <c r="C1291">
        <f>Feuille1!B1300</f>
        <v>-23329.840921887964</v>
      </c>
      <c r="D1291">
        <f>Feuille1!C1300</f>
        <v>-61264.285136946783</v>
      </c>
    </row>
    <row r="1292" spans="2:4" x14ac:dyDescent="0.3">
      <c r="B1292">
        <f>Feuille1!A1301</f>
        <v>496</v>
      </c>
      <c r="C1292">
        <f>Feuille1!B1301</f>
        <v>-23489.910985941453</v>
      </c>
      <c r="D1292">
        <f>Feuille1!C1301</f>
        <v>-58442.900630957898</v>
      </c>
    </row>
    <row r="1293" spans="2:4" x14ac:dyDescent="0.3">
      <c r="B1293">
        <f>Feuille1!A1302</f>
        <v>496.5</v>
      </c>
      <c r="C1293">
        <f>Feuille1!B1302</f>
        <v>-23340.497634637184</v>
      </c>
      <c r="D1293">
        <f>Feuille1!C1302</f>
        <v>-55148.377722378915</v>
      </c>
    </row>
    <row r="1294" spans="2:4" x14ac:dyDescent="0.3">
      <c r="B1294">
        <f>Feuille1!A1303</f>
        <v>497</v>
      </c>
      <c r="C1294">
        <f>Feuille1!B1303</f>
        <v>-22799.623697219144</v>
      </c>
      <c r="D1294">
        <f>Feuille1!C1303</f>
        <v>-51332.283391910263</v>
      </c>
    </row>
    <row r="1295" spans="2:4" x14ac:dyDescent="0.3">
      <c r="B1295">
        <f>Feuille1!A1304</f>
        <v>497.5</v>
      </c>
      <c r="C1295">
        <f>Feuille1!B1304</f>
        <v>-21737.067589040278</v>
      </c>
      <c r="D1295">
        <f>Feuille1!C1304</f>
        <v>-46931.064178349006</v>
      </c>
    </row>
    <row r="1296" spans="2:4" x14ac:dyDescent="0.3">
      <c r="B1296">
        <f>Feuille1!A1305</f>
        <v>498</v>
      </c>
      <c r="C1296">
        <f>Feuille1!B1305</f>
        <v>-19929.012586164812</v>
      </c>
      <c r="D1296">
        <f>Feuille1!C1305</f>
        <v>-41870.490176348474</v>
      </c>
    </row>
    <row r="1297" spans="2:4" x14ac:dyDescent="0.3">
      <c r="B1297">
        <f>Feuille1!A1306</f>
        <v>498.5</v>
      </c>
      <c r="C1297">
        <f>Feuille1!B1306</f>
        <v>-16958.766479289719</v>
      </c>
      <c r="D1297">
        <f>Feuille1!C1306</f>
        <v>-36114.705226437662</v>
      </c>
    </row>
    <row r="1298" spans="2:4" x14ac:dyDescent="0.3">
      <c r="B1298">
        <f>Feuille1!A1307</f>
        <v>499</v>
      </c>
      <c r="C1298">
        <f>Feuille1!B1307</f>
        <v>-12082.207034505114</v>
      </c>
      <c r="D1298">
        <f>Feuille1!C1307</f>
        <v>-29969.215226261884</v>
      </c>
    </row>
    <row r="1299" spans="2:4" x14ac:dyDescent="0.3">
      <c r="B1299">
        <f>Feuille1!A1308</f>
        <v>499.5</v>
      </c>
      <c r="C1299">
        <f>Feuille1!B1308</f>
        <v>-5095.9271063903088</v>
      </c>
      <c r="D1299">
        <f>Feuille1!C1308</f>
        <v>-25026.006897839652</v>
      </c>
    </row>
    <row r="1300" spans="2:4" x14ac:dyDescent="0.3">
      <c r="B1300">
        <f>Feuille1!A1309</f>
        <v>500</v>
      </c>
      <c r="C1300">
        <f>Feuille1!B1309</f>
        <v>1931.1279987765599</v>
      </c>
      <c r="D1300">
        <f>Feuille1!C1309</f>
        <v>-22029.557316013583</v>
      </c>
    </row>
  </sheetData>
  <mergeCells count="1">
    <mergeCell ref="N2:O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Manon, pèse su'l piton">
          <controlPr defaultSize="0" autoLine="0" r:id="rId5">
            <anchor moveWithCells="1">
              <from>
                <xdr:col>13</xdr:col>
                <xdr:colOff>121920</xdr:colOff>
                <xdr:row>1</xdr:row>
                <xdr:rowOff>38100</xdr:rowOff>
              </from>
              <to>
                <xdr:col>13</xdr:col>
                <xdr:colOff>2308860</xdr:colOff>
                <xdr:row>3</xdr:row>
                <xdr:rowOff>106680</xdr:rowOff>
              </to>
            </anchor>
          </controlPr>
        </control>
      </mc:Choice>
      <mc:Fallback>
        <control shapeId="3073" r:id="rId4" name="Manon, pèse su'l pi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Feuille1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Jonathan Robinson</cp:lastModifiedBy>
  <dcterms:created xsi:type="dcterms:W3CDTF">2022-03-03T15:55:20Z</dcterms:created>
  <dcterms:modified xsi:type="dcterms:W3CDTF">2022-03-23T16:29:29Z</dcterms:modified>
</cp:coreProperties>
</file>