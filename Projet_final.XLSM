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Outils_Gestion\Excel\TP_FINAL\TP_Final\"/>
    </mc:Choice>
  </mc:AlternateContent>
  <bookViews>
    <workbookView xWindow="-105" yWindow="-105" windowWidth="23250" windowHeight="12450" activeTab="1"/>
  </bookViews>
  <sheets>
    <sheet name="Feuille1" sheetId="1" r:id="rId1"/>
    <sheet name="Feuil2" sheetId="3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32" i="3" l="1"/>
  <c r="P31" i="3"/>
  <c r="P30" i="3"/>
  <c r="P29" i="3"/>
  <c r="P28" i="3"/>
  <c r="O32" i="3"/>
  <c r="O31" i="3"/>
  <c r="O30" i="3"/>
  <c r="O29" i="3"/>
  <c r="O21" i="3"/>
  <c r="O22" i="3"/>
  <c r="O23" i="3"/>
  <c r="O24" i="3"/>
  <c r="O25" i="3"/>
  <c r="O26" i="3"/>
  <c r="O27" i="3"/>
  <c r="O28" i="3"/>
  <c r="C41" i="1"/>
  <c r="C32" i="1"/>
  <c r="C23" i="1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57" i="3"/>
  <c r="C57" i="3"/>
  <c r="D57" i="3"/>
  <c r="D56" i="3"/>
  <c r="C56" i="3"/>
  <c r="B56" i="3"/>
  <c r="C24" i="1" l="1"/>
  <c r="B49" i="1"/>
  <c r="D49" i="1" s="1"/>
  <c r="B50" i="1"/>
  <c r="A77" i="1"/>
  <c r="E76" i="1"/>
  <c r="G76" i="1"/>
  <c r="F76" i="1"/>
  <c r="B76" i="1"/>
  <c r="C76" i="1"/>
  <c r="D76" i="1"/>
  <c r="C42" i="1"/>
  <c r="C31" i="1"/>
  <c r="C22" i="1"/>
  <c r="B51" i="1"/>
  <c r="G51" i="1" s="1"/>
  <c r="B52" i="1"/>
  <c r="H52" i="1" s="1"/>
  <c r="B53" i="1"/>
  <c r="H53" i="1" s="1"/>
  <c r="B54" i="1"/>
  <c r="B55" i="1"/>
  <c r="B56" i="1"/>
  <c r="H56" i="1" s="1"/>
  <c r="B57" i="1"/>
  <c r="G57" i="1" s="1"/>
  <c r="B58" i="1"/>
  <c r="B59" i="1"/>
  <c r="B60" i="1"/>
  <c r="H60" i="1" s="1"/>
  <c r="B61" i="1"/>
  <c r="G61" i="1" s="1"/>
  <c r="B62" i="1"/>
  <c r="B63" i="1"/>
  <c r="B64" i="1"/>
  <c r="B65" i="1"/>
  <c r="H65" i="1" s="1"/>
  <c r="B66" i="1"/>
  <c r="B67" i="1"/>
  <c r="B68" i="1"/>
  <c r="B69" i="1"/>
  <c r="H69" i="1" s="1"/>
  <c r="D52" i="1" l="1"/>
  <c r="C77" i="1"/>
  <c r="I77" i="1" s="1"/>
  <c r="G65" i="1"/>
  <c r="H61" i="1"/>
  <c r="H57" i="1"/>
  <c r="A78" i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J49" i="1"/>
  <c r="J50" i="1"/>
  <c r="K49" i="1"/>
  <c r="K58" i="1"/>
  <c r="G69" i="1"/>
  <c r="K69" i="1"/>
  <c r="J58" i="1"/>
  <c r="D68" i="1"/>
  <c r="H68" i="1"/>
  <c r="K66" i="1"/>
  <c r="K57" i="1"/>
  <c r="J62" i="1"/>
  <c r="K50" i="1"/>
  <c r="K61" i="1"/>
  <c r="D64" i="1"/>
  <c r="J66" i="1"/>
  <c r="K54" i="1"/>
  <c r="J56" i="1"/>
  <c r="D60" i="1"/>
  <c r="K65" i="1"/>
  <c r="J54" i="1"/>
  <c r="G50" i="1"/>
  <c r="D56" i="1"/>
  <c r="H64" i="1"/>
  <c r="G53" i="1"/>
  <c r="K62" i="1"/>
  <c r="K53" i="1"/>
  <c r="E67" i="1"/>
  <c r="E59" i="1"/>
  <c r="D63" i="1"/>
  <c r="D51" i="1"/>
  <c r="E66" i="1"/>
  <c r="E62" i="1"/>
  <c r="E58" i="1"/>
  <c r="E54" i="1"/>
  <c r="E50" i="1"/>
  <c r="G68" i="1"/>
  <c r="G64" i="1"/>
  <c r="G60" i="1"/>
  <c r="G56" i="1"/>
  <c r="G52" i="1"/>
  <c r="J69" i="1"/>
  <c r="J65" i="1"/>
  <c r="J61" i="1"/>
  <c r="J57" i="1"/>
  <c r="J53" i="1"/>
  <c r="E63" i="1"/>
  <c r="E49" i="1"/>
  <c r="D66" i="1"/>
  <c r="D62" i="1"/>
  <c r="D58" i="1"/>
  <c r="D54" i="1"/>
  <c r="D50" i="1"/>
  <c r="H67" i="1"/>
  <c r="H63" i="1"/>
  <c r="H59" i="1"/>
  <c r="H55" i="1"/>
  <c r="H51" i="1"/>
  <c r="K68" i="1"/>
  <c r="K64" i="1"/>
  <c r="K60" i="1"/>
  <c r="K56" i="1"/>
  <c r="K52" i="1"/>
  <c r="E55" i="1"/>
  <c r="D67" i="1"/>
  <c r="D59" i="1"/>
  <c r="E69" i="1"/>
  <c r="E61" i="1"/>
  <c r="E53" i="1"/>
  <c r="G63" i="1"/>
  <c r="G55" i="1"/>
  <c r="J68" i="1"/>
  <c r="J60" i="1"/>
  <c r="J52" i="1"/>
  <c r="D69" i="1"/>
  <c r="D65" i="1"/>
  <c r="D61" i="1"/>
  <c r="D57" i="1"/>
  <c r="D53" i="1"/>
  <c r="G49" i="1"/>
  <c r="H66" i="1"/>
  <c r="H62" i="1"/>
  <c r="H58" i="1"/>
  <c r="H54" i="1"/>
  <c r="H50" i="1"/>
  <c r="K67" i="1"/>
  <c r="K63" i="1"/>
  <c r="K59" i="1"/>
  <c r="K55" i="1"/>
  <c r="K51" i="1"/>
  <c r="E51" i="1"/>
  <c r="D55" i="1"/>
  <c r="E65" i="1"/>
  <c r="E57" i="1"/>
  <c r="G67" i="1"/>
  <c r="G59" i="1"/>
  <c r="J64" i="1"/>
  <c r="E68" i="1"/>
  <c r="E64" i="1"/>
  <c r="E60" i="1"/>
  <c r="E56" i="1"/>
  <c r="E52" i="1"/>
  <c r="H49" i="1"/>
  <c r="G66" i="1"/>
  <c r="G62" i="1"/>
  <c r="G58" i="1"/>
  <c r="G54" i="1"/>
  <c r="J67" i="1"/>
  <c r="J63" i="1"/>
  <c r="J59" i="1"/>
  <c r="J55" i="1"/>
  <c r="J51" i="1"/>
  <c r="E77" i="1"/>
  <c r="D77" i="1"/>
  <c r="B77" i="1"/>
  <c r="C40" i="1"/>
  <c r="C33" i="1"/>
  <c r="O77" i="1" l="1"/>
  <c r="N77" i="1"/>
  <c r="H77" i="1"/>
  <c r="J77" i="1" s="1"/>
  <c r="K77" i="1"/>
  <c r="L77" i="1"/>
  <c r="P77" i="1" l="1"/>
  <c r="M77" i="1"/>
  <c r="G77" i="1" l="1"/>
  <c r="C78" i="1" s="1"/>
  <c r="F77" i="1"/>
  <c r="B78" i="1" s="1"/>
  <c r="K78" i="1" l="1"/>
  <c r="C58" i="3"/>
  <c r="O78" i="1"/>
  <c r="D58" i="3"/>
  <c r="I78" i="1"/>
  <c r="L78" i="1"/>
  <c r="E78" i="1"/>
  <c r="D78" i="1"/>
  <c r="N78" i="1"/>
  <c r="H78" i="1"/>
  <c r="P78" i="1" l="1"/>
  <c r="M78" i="1"/>
  <c r="J78" i="1"/>
  <c r="G78" i="1" l="1"/>
  <c r="C79" i="1" s="1"/>
  <c r="D59" i="3" s="1"/>
  <c r="F78" i="1"/>
  <c r="B79" i="1" s="1"/>
  <c r="E79" i="1" l="1"/>
  <c r="K79" i="1"/>
  <c r="C59" i="3"/>
  <c r="H79" i="1"/>
  <c r="N79" i="1"/>
  <c r="D79" i="1"/>
  <c r="L79" i="1"/>
  <c r="O79" i="1"/>
  <c r="I79" i="1"/>
  <c r="M79" i="1" l="1"/>
  <c r="J79" i="1"/>
  <c r="P79" i="1"/>
  <c r="F79" i="1" l="1"/>
  <c r="B80" i="1" s="1"/>
  <c r="G79" i="1"/>
  <c r="E80" i="1" s="1"/>
  <c r="N80" i="1" l="1"/>
  <c r="C60" i="3"/>
  <c r="K80" i="1"/>
  <c r="H80" i="1"/>
  <c r="D80" i="1"/>
  <c r="C80" i="1"/>
  <c r="L80" i="1" l="1"/>
  <c r="M80" i="1" s="1"/>
  <c r="D60" i="3"/>
  <c r="I80" i="1"/>
  <c r="J80" i="1" s="1"/>
  <c r="O80" i="1"/>
  <c r="P80" i="1" s="1"/>
  <c r="F80" i="1" l="1"/>
  <c r="D81" i="1" s="1"/>
  <c r="G80" i="1"/>
  <c r="E81" i="1" s="1"/>
  <c r="B81" i="1" l="1"/>
  <c r="C81" i="1"/>
  <c r="L81" i="1" l="1"/>
  <c r="D61" i="3"/>
  <c r="N81" i="1"/>
  <c r="C61" i="3"/>
  <c r="K81" i="1"/>
  <c r="H81" i="1"/>
  <c r="O81" i="1"/>
  <c r="I81" i="1"/>
  <c r="M81" i="1" l="1"/>
  <c r="P81" i="1"/>
  <c r="J81" i="1"/>
  <c r="F81" i="1" l="1"/>
  <c r="D82" i="1" s="1"/>
  <c r="G81" i="1"/>
  <c r="E82" i="1" s="1"/>
  <c r="B82" i="1" l="1"/>
  <c r="H82" i="1" s="1"/>
  <c r="C82" i="1"/>
  <c r="C62" i="3" l="1"/>
  <c r="K82" i="1"/>
  <c r="N82" i="1"/>
  <c r="O82" i="1"/>
  <c r="D62" i="3"/>
  <c r="I82" i="1"/>
  <c r="J82" i="1" s="1"/>
  <c r="L82" i="1"/>
  <c r="P82" i="1" l="1"/>
  <c r="M82" i="1"/>
  <c r="F82" i="1" l="1"/>
  <c r="D83" i="1" s="1"/>
  <c r="G82" i="1"/>
  <c r="C83" i="1" s="1"/>
  <c r="D63" i="3" s="1"/>
  <c r="B83" i="1" l="1"/>
  <c r="N83" i="1" s="1"/>
  <c r="L83" i="1"/>
  <c r="I83" i="1"/>
  <c r="O83" i="1"/>
  <c r="E83" i="1"/>
  <c r="P83" i="1" l="1"/>
  <c r="H83" i="1"/>
  <c r="J83" i="1" s="1"/>
  <c r="K83" i="1"/>
  <c r="M83" i="1" s="1"/>
  <c r="C63" i="3"/>
  <c r="G83" i="1" l="1"/>
  <c r="E84" i="1" s="1"/>
  <c r="F83" i="1"/>
  <c r="B84" i="1" s="1"/>
  <c r="H84" i="1" s="1"/>
  <c r="C84" i="1" l="1"/>
  <c r="I84" i="1" s="1"/>
  <c r="J84" i="1" s="1"/>
  <c r="K84" i="1"/>
  <c r="D84" i="1"/>
  <c r="N84" i="1"/>
  <c r="C64" i="3"/>
  <c r="O84" i="1" l="1"/>
  <c r="P84" i="1" s="1"/>
  <c r="L84" i="1"/>
  <c r="M84" i="1" s="1"/>
  <c r="D64" i="3"/>
  <c r="F84" i="1" l="1"/>
  <c r="B85" i="1" s="1"/>
  <c r="C65" i="3" s="1"/>
  <c r="G84" i="1"/>
  <c r="E85" i="1" s="1"/>
  <c r="H85" i="1" l="1"/>
  <c r="N85" i="1"/>
  <c r="D85" i="1"/>
  <c r="K85" i="1"/>
  <c r="C85" i="1"/>
  <c r="D65" i="3" s="1"/>
  <c r="I85" i="1" l="1"/>
  <c r="J85" i="1" s="1"/>
  <c r="O85" i="1"/>
  <c r="P85" i="1" s="1"/>
  <c r="L85" i="1"/>
  <c r="M85" i="1" s="1"/>
  <c r="F85" i="1" l="1"/>
  <c r="D86" i="1" s="1"/>
  <c r="G85" i="1"/>
  <c r="B86" i="1" l="1"/>
  <c r="C66" i="3" s="1"/>
  <c r="E86" i="1"/>
  <c r="C86" i="1"/>
  <c r="D66" i="3" s="1"/>
  <c r="H86" i="1" l="1"/>
  <c r="N86" i="1"/>
  <c r="K86" i="1"/>
  <c r="L86" i="1"/>
  <c r="O86" i="1"/>
  <c r="I86" i="1"/>
  <c r="M86" i="1" l="1"/>
  <c r="P86" i="1"/>
  <c r="J86" i="1"/>
  <c r="F86" i="1" l="1"/>
  <c r="B87" i="1" s="1"/>
  <c r="C67" i="3" s="1"/>
  <c r="G86" i="1"/>
  <c r="D87" i="1" l="1"/>
  <c r="E87" i="1"/>
  <c r="C87" i="1"/>
  <c r="D67" i="3" s="1"/>
  <c r="K87" i="1"/>
  <c r="N87" i="1"/>
  <c r="H87" i="1"/>
  <c r="L87" i="1" l="1"/>
  <c r="M87" i="1" s="1"/>
  <c r="O87" i="1"/>
  <c r="P87" i="1" s="1"/>
  <c r="I87" i="1"/>
  <c r="J87" i="1" l="1"/>
  <c r="F87" i="1" s="1"/>
  <c r="D88" i="1" l="1"/>
  <c r="B88" i="1"/>
  <c r="C68" i="3" s="1"/>
  <c r="G87" i="1"/>
  <c r="E88" i="1" l="1"/>
  <c r="C88" i="1"/>
  <c r="D68" i="3" s="1"/>
  <c r="N88" i="1"/>
  <c r="H88" i="1"/>
  <c r="K88" i="1"/>
  <c r="L88" i="1" l="1"/>
  <c r="M88" i="1" s="1"/>
  <c r="O88" i="1"/>
  <c r="P88" i="1" s="1"/>
  <c r="I88" i="1"/>
  <c r="J88" i="1" l="1"/>
  <c r="F88" i="1" s="1"/>
  <c r="B89" i="1" l="1"/>
  <c r="C69" i="3" s="1"/>
  <c r="D89" i="1"/>
  <c r="G88" i="1"/>
  <c r="E89" i="1" l="1"/>
  <c r="C89" i="1"/>
  <c r="D69" i="3" s="1"/>
  <c r="N89" i="1"/>
  <c r="H89" i="1"/>
  <c r="K89" i="1"/>
  <c r="O89" i="1" l="1"/>
  <c r="P89" i="1" s="1"/>
  <c r="L89" i="1"/>
  <c r="M89" i="1" s="1"/>
  <c r="I89" i="1"/>
  <c r="J89" i="1" l="1"/>
  <c r="F89" i="1" s="1"/>
  <c r="D90" i="1" l="1"/>
  <c r="B90" i="1"/>
  <c r="C70" i="3" s="1"/>
  <c r="G89" i="1"/>
  <c r="E90" i="1" l="1"/>
  <c r="C90" i="1"/>
  <c r="D70" i="3" s="1"/>
  <c r="N90" i="1"/>
  <c r="H90" i="1"/>
  <c r="K90" i="1"/>
  <c r="O90" i="1" l="1"/>
  <c r="P90" i="1" s="1"/>
  <c r="I90" i="1"/>
  <c r="L90" i="1"/>
  <c r="M90" i="1" s="1"/>
  <c r="J90" i="1" l="1"/>
  <c r="F90" i="1" s="1"/>
  <c r="B91" i="1" l="1"/>
  <c r="C71" i="3" s="1"/>
  <c r="D91" i="1"/>
  <c r="G90" i="1"/>
  <c r="E91" i="1" l="1"/>
  <c r="C91" i="1"/>
  <c r="D71" i="3" s="1"/>
  <c r="H91" i="1"/>
  <c r="K91" i="1"/>
  <c r="N91" i="1"/>
  <c r="O91" i="1" l="1"/>
  <c r="P91" i="1" s="1"/>
  <c r="I91" i="1"/>
  <c r="L91" i="1"/>
  <c r="M91" i="1" s="1"/>
  <c r="J91" i="1" l="1"/>
  <c r="F91" i="1" s="1"/>
  <c r="D92" i="1" l="1"/>
  <c r="B92" i="1"/>
  <c r="C72" i="3" s="1"/>
  <c r="G91" i="1"/>
  <c r="E92" i="1" l="1"/>
  <c r="C92" i="1"/>
  <c r="D72" i="3" s="1"/>
  <c r="H92" i="1"/>
  <c r="K92" i="1"/>
  <c r="N92" i="1"/>
  <c r="I92" i="1" l="1"/>
  <c r="L92" i="1"/>
  <c r="M92" i="1" s="1"/>
  <c r="O92" i="1"/>
  <c r="P92" i="1" s="1"/>
  <c r="J92" i="1" l="1"/>
  <c r="F92" i="1" s="1"/>
  <c r="B93" i="1" l="1"/>
  <c r="C73" i="3" s="1"/>
  <c r="D93" i="1"/>
  <c r="G92" i="1"/>
  <c r="E93" i="1" l="1"/>
  <c r="C93" i="1"/>
  <c r="D73" i="3" s="1"/>
  <c r="K93" i="1"/>
  <c r="N93" i="1"/>
  <c r="H93" i="1"/>
  <c r="I93" i="1" l="1"/>
  <c r="L93" i="1"/>
  <c r="M93" i="1" s="1"/>
  <c r="O93" i="1"/>
  <c r="P93" i="1" s="1"/>
  <c r="J93" i="1" l="1"/>
  <c r="F93" i="1" s="1"/>
  <c r="D94" i="1" l="1"/>
  <c r="B94" i="1"/>
  <c r="C74" i="3" s="1"/>
  <c r="G93" i="1"/>
  <c r="E94" i="1" l="1"/>
  <c r="C94" i="1"/>
  <c r="D74" i="3" s="1"/>
  <c r="K94" i="1"/>
  <c r="H94" i="1"/>
  <c r="N94" i="1"/>
  <c r="L94" i="1" l="1"/>
  <c r="M94" i="1" s="1"/>
  <c r="O94" i="1"/>
  <c r="P94" i="1" s="1"/>
  <c r="I94" i="1"/>
  <c r="J94" i="1" l="1"/>
  <c r="F94" i="1" s="1"/>
  <c r="B95" i="1" l="1"/>
  <c r="C75" i="3" s="1"/>
  <c r="D95" i="1"/>
  <c r="G94" i="1"/>
  <c r="E95" i="1" l="1"/>
  <c r="C95" i="1"/>
  <c r="D75" i="3" s="1"/>
  <c r="K95" i="1"/>
  <c r="N95" i="1"/>
  <c r="H95" i="1"/>
  <c r="L95" i="1" l="1"/>
  <c r="M95" i="1" s="1"/>
  <c r="I95" i="1"/>
  <c r="O95" i="1"/>
  <c r="P95" i="1" s="1"/>
  <c r="J95" i="1" l="1"/>
  <c r="F95" i="1" s="1"/>
  <c r="D96" i="1" l="1"/>
  <c r="B96" i="1"/>
  <c r="C76" i="3" s="1"/>
  <c r="G95" i="1"/>
  <c r="E96" i="1" l="1"/>
  <c r="C96" i="1"/>
  <c r="D76" i="3" s="1"/>
  <c r="N96" i="1"/>
  <c r="K96" i="1"/>
  <c r="H96" i="1"/>
  <c r="L96" i="1" l="1"/>
  <c r="M96" i="1" s="1"/>
  <c r="O96" i="1"/>
  <c r="P96" i="1" s="1"/>
  <c r="I96" i="1"/>
  <c r="J96" i="1" l="1"/>
  <c r="F96" i="1" s="1"/>
  <c r="B97" i="1" l="1"/>
  <c r="C77" i="3" s="1"/>
  <c r="D97" i="1"/>
  <c r="G96" i="1"/>
  <c r="E97" i="1" l="1"/>
  <c r="C97" i="1"/>
  <c r="D77" i="3" s="1"/>
  <c r="N97" i="1"/>
  <c r="H97" i="1"/>
  <c r="K97" i="1"/>
  <c r="O97" i="1" l="1"/>
  <c r="P97" i="1" s="1"/>
  <c r="I97" i="1"/>
  <c r="L97" i="1"/>
  <c r="M97" i="1" s="1"/>
  <c r="J97" i="1" l="1"/>
  <c r="F97" i="1" s="1"/>
  <c r="D98" i="1" l="1"/>
  <c r="B98" i="1"/>
  <c r="C78" i="3" s="1"/>
  <c r="G97" i="1"/>
  <c r="E98" i="1" l="1"/>
  <c r="C98" i="1"/>
  <c r="D78" i="3" s="1"/>
  <c r="N98" i="1"/>
  <c r="H98" i="1"/>
  <c r="K98" i="1"/>
  <c r="O98" i="1" l="1"/>
  <c r="P98" i="1" s="1"/>
  <c r="I98" i="1"/>
  <c r="L98" i="1"/>
  <c r="M98" i="1" s="1"/>
  <c r="J98" i="1" l="1"/>
  <c r="F98" i="1" s="1"/>
  <c r="B99" i="1" l="1"/>
  <c r="C79" i="3" s="1"/>
  <c r="D99" i="1"/>
  <c r="G98" i="1"/>
  <c r="E99" i="1" l="1"/>
  <c r="C99" i="1"/>
  <c r="D79" i="3" s="1"/>
  <c r="H99" i="1"/>
  <c r="K99" i="1"/>
  <c r="N99" i="1"/>
  <c r="O99" i="1" l="1"/>
  <c r="P99" i="1" s="1"/>
  <c r="I99" i="1"/>
  <c r="L99" i="1"/>
  <c r="M99" i="1" s="1"/>
  <c r="J99" i="1" l="1"/>
  <c r="F99" i="1" s="1"/>
  <c r="D100" i="1" l="1"/>
  <c r="B100" i="1"/>
  <c r="C80" i="3" s="1"/>
  <c r="G99" i="1"/>
  <c r="E100" i="1" l="1"/>
  <c r="C100" i="1"/>
  <c r="D80" i="3" s="1"/>
  <c r="H100" i="1"/>
  <c r="K100" i="1"/>
  <c r="N100" i="1"/>
  <c r="I100" i="1" l="1"/>
  <c r="O100" i="1"/>
  <c r="P100" i="1" s="1"/>
  <c r="L100" i="1"/>
  <c r="M100" i="1" s="1"/>
  <c r="J100" i="1" l="1"/>
  <c r="F100" i="1" s="1"/>
  <c r="B101" i="1" l="1"/>
  <c r="C81" i="3" s="1"/>
  <c r="D101" i="1"/>
  <c r="G100" i="1"/>
  <c r="E101" i="1" l="1"/>
  <c r="C101" i="1"/>
  <c r="D81" i="3" s="1"/>
  <c r="K101" i="1"/>
  <c r="N101" i="1"/>
  <c r="H101" i="1"/>
  <c r="I101" i="1" l="1"/>
  <c r="L101" i="1"/>
  <c r="M101" i="1" s="1"/>
  <c r="O101" i="1"/>
  <c r="P101" i="1" s="1"/>
  <c r="J101" i="1" l="1"/>
  <c r="F101" i="1" s="1"/>
  <c r="D102" i="1" l="1"/>
  <c r="B102" i="1"/>
  <c r="C82" i="3" s="1"/>
  <c r="G101" i="1"/>
  <c r="E102" i="1" l="1"/>
  <c r="C102" i="1"/>
  <c r="D82" i="3" s="1"/>
  <c r="K102" i="1"/>
  <c r="H102" i="1"/>
  <c r="N102" i="1"/>
  <c r="L102" i="1" l="1"/>
  <c r="M102" i="1" s="1"/>
  <c r="O102" i="1"/>
  <c r="P102" i="1" s="1"/>
  <c r="I102" i="1"/>
  <c r="J102" i="1" l="1"/>
  <c r="F102" i="1" s="1"/>
  <c r="B103" i="1" l="1"/>
  <c r="C83" i="3" s="1"/>
  <c r="D103" i="1"/>
  <c r="G102" i="1"/>
  <c r="E103" i="1" l="1"/>
  <c r="C103" i="1"/>
  <c r="D83" i="3" s="1"/>
  <c r="K103" i="1"/>
  <c r="N103" i="1"/>
  <c r="H103" i="1"/>
  <c r="L103" i="1" l="1"/>
  <c r="M103" i="1" s="1"/>
  <c r="O103" i="1"/>
  <c r="P103" i="1" s="1"/>
  <c r="I103" i="1"/>
  <c r="J103" i="1" l="1"/>
  <c r="F103" i="1" s="1"/>
  <c r="D104" i="1" l="1"/>
  <c r="B104" i="1"/>
  <c r="C84" i="3" s="1"/>
  <c r="G103" i="1"/>
  <c r="E104" i="1" l="1"/>
  <c r="C104" i="1"/>
  <c r="D84" i="3" s="1"/>
  <c r="N104" i="1"/>
  <c r="H104" i="1"/>
  <c r="K104" i="1"/>
  <c r="L104" i="1" l="1"/>
  <c r="M104" i="1" s="1"/>
  <c r="O104" i="1"/>
  <c r="P104" i="1" s="1"/>
  <c r="I104" i="1"/>
  <c r="J104" i="1" l="1"/>
  <c r="F104" i="1" s="1"/>
  <c r="B105" i="1" l="1"/>
  <c r="C85" i="3" s="1"/>
  <c r="D105" i="1"/>
  <c r="G104" i="1"/>
  <c r="E105" i="1" l="1"/>
  <c r="C105" i="1"/>
  <c r="D85" i="3" s="1"/>
  <c r="N105" i="1"/>
  <c r="H105" i="1"/>
  <c r="K105" i="1"/>
  <c r="O105" i="1" l="1"/>
  <c r="P105" i="1" s="1"/>
  <c r="I105" i="1"/>
  <c r="L105" i="1"/>
  <c r="M105" i="1" s="1"/>
  <c r="J105" i="1" l="1"/>
  <c r="F105" i="1" s="1"/>
  <c r="B106" i="1" s="1"/>
  <c r="C86" i="3" s="1"/>
  <c r="D106" i="1" l="1"/>
  <c r="G105" i="1"/>
  <c r="E106" i="1" l="1"/>
  <c r="C106" i="1"/>
  <c r="D86" i="3" s="1"/>
  <c r="N106" i="1"/>
  <c r="H106" i="1"/>
  <c r="K106" i="1"/>
  <c r="O106" i="1" l="1"/>
  <c r="P106" i="1" s="1"/>
  <c r="I106" i="1"/>
  <c r="L106" i="1"/>
  <c r="M106" i="1" s="1"/>
  <c r="J106" i="1" l="1"/>
  <c r="F106" i="1" s="1"/>
  <c r="B107" i="1" l="1"/>
  <c r="C87" i="3" s="1"/>
  <c r="D107" i="1"/>
  <c r="G106" i="1"/>
  <c r="E107" i="1" l="1"/>
  <c r="C107" i="1"/>
  <c r="D87" i="3" s="1"/>
  <c r="H107" i="1"/>
  <c r="K107" i="1"/>
  <c r="N107" i="1"/>
  <c r="O107" i="1" l="1"/>
  <c r="P107" i="1" s="1"/>
  <c r="I107" i="1"/>
  <c r="L107" i="1"/>
  <c r="M107" i="1" s="1"/>
  <c r="J107" i="1" l="1"/>
  <c r="F107" i="1" s="1"/>
  <c r="D108" i="1" l="1"/>
  <c r="B108" i="1"/>
  <c r="C88" i="3" s="1"/>
  <c r="G107" i="1"/>
  <c r="E108" i="1" l="1"/>
  <c r="C108" i="1"/>
  <c r="D88" i="3" s="1"/>
  <c r="H108" i="1"/>
  <c r="K108" i="1"/>
  <c r="N108" i="1"/>
  <c r="I108" i="1" l="1"/>
  <c r="L108" i="1"/>
  <c r="M108" i="1" s="1"/>
  <c r="O108" i="1"/>
  <c r="P108" i="1" s="1"/>
  <c r="J108" i="1" l="1"/>
  <c r="F108" i="1" s="1"/>
  <c r="B109" i="1" l="1"/>
  <c r="C89" i="3" s="1"/>
  <c r="D109" i="1"/>
  <c r="G108" i="1"/>
  <c r="E109" i="1" l="1"/>
  <c r="C109" i="1"/>
  <c r="D89" i="3" s="1"/>
  <c r="K109" i="1"/>
  <c r="N109" i="1"/>
  <c r="H109" i="1"/>
  <c r="I109" i="1" l="1"/>
  <c r="L109" i="1"/>
  <c r="M109" i="1" s="1"/>
  <c r="O109" i="1"/>
  <c r="P109" i="1" s="1"/>
  <c r="J109" i="1" l="1"/>
  <c r="F109" i="1" s="1"/>
  <c r="D110" i="1" l="1"/>
  <c r="B110" i="1"/>
  <c r="C90" i="3" s="1"/>
  <c r="G109" i="1"/>
  <c r="E110" i="1" l="1"/>
  <c r="C110" i="1"/>
  <c r="D90" i="3" s="1"/>
  <c r="K110" i="1"/>
  <c r="H110" i="1"/>
  <c r="N110" i="1"/>
  <c r="L110" i="1" l="1"/>
  <c r="M110" i="1" s="1"/>
  <c r="O110" i="1"/>
  <c r="P110" i="1" s="1"/>
  <c r="I110" i="1"/>
  <c r="J110" i="1" l="1"/>
  <c r="F110" i="1" s="1"/>
  <c r="B111" i="1" l="1"/>
  <c r="C91" i="3" s="1"/>
  <c r="D111" i="1"/>
  <c r="G110" i="1"/>
  <c r="E111" i="1" l="1"/>
  <c r="C111" i="1"/>
  <c r="D91" i="3" s="1"/>
  <c r="K111" i="1"/>
  <c r="N111" i="1"/>
  <c r="H111" i="1"/>
  <c r="L111" i="1" l="1"/>
  <c r="M111" i="1" s="1"/>
  <c r="I111" i="1"/>
  <c r="O111" i="1"/>
  <c r="P111" i="1" s="1"/>
  <c r="J111" i="1" l="1"/>
  <c r="F111" i="1" s="1"/>
  <c r="D112" i="1" l="1"/>
  <c r="B112" i="1"/>
  <c r="C92" i="3" s="1"/>
  <c r="G111" i="1"/>
  <c r="E112" i="1" l="1"/>
  <c r="C112" i="1"/>
  <c r="D92" i="3" s="1"/>
  <c r="N112" i="1"/>
  <c r="H112" i="1"/>
  <c r="K112" i="1"/>
  <c r="L112" i="1" l="1"/>
  <c r="M112" i="1" s="1"/>
  <c r="O112" i="1"/>
  <c r="P112" i="1" s="1"/>
  <c r="I112" i="1"/>
  <c r="J112" i="1" l="1"/>
  <c r="F112" i="1" s="1"/>
  <c r="B113" i="1" l="1"/>
  <c r="C93" i="3" s="1"/>
  <c r="D113" i="1"/>
  <c r="G112" i="1"/>
  <c r="E113" i="1" l="1"/>
  <c r="C113" i="1"/>
  <c r="D93" i="3" s="1"/>
  <c r="N113" i="1"/>
  <c r="H113" i="1"/>
  <c r="K113" i="1"/>
  <c r="O113" i="1" l="1"/>
  <c r="P113" i="1" s="1"/>
  <c r="L113" i="1"/>
  <c r="M113" i="1" s="1"/>
  <c r="I113" i="1"/>
  <c r="J113" i="1" l="1"/>
  <c r="F113" i="1" s="1"/>
  <c r="D114" i="1" l="1"/>
  <c r="B114" i="1"/>
  <c r="C94" i="3" s="1"/>
  <c r="G113" i="1"/>
  <c r="E114" i="1" l="1"/>
  <c r="C114" i="1"/>
  <c r="D94" i="3" s="1"/>
  <c r="N114" i="1"/>
  <c r="H114" i="1"/>
  <c r="K114" i="1"/>
  <c r="O114" i="1" l="1"/>
  <c r="P114" i="1" s="1"/>
  <c r="I114" i="1"/>
  <c r="L114" i="1"/>
  <c r="M114" i="1" s="1"/>
  <c r="J114" i="1" l="1"/>
  <c r="F114" i="1" s="1"/>
  <c r="B115" i="1" l="1"/>
  <c r="C95" i="3" s="1"/>
  <c r="D115" i="1"/>
  <c r="G114" i="1"/>
  <c r="E115" i="1" l="1"/>
  <c r="C115" i="1"/>
  <c r="D95" i="3" s="1"/>
  <c r="H115" i="1"/>
  <c r="K115" i="1"/>
  <c r="N115" i="1"/>
  <c r="O115" i="1" l="1"/>
  <c r="P115" i="1" s="1"/>
  <c r="I115" i="1"/>
  <c r="L115" i="1"/>
  <c r="M115" i="1" s="1"/>
  <c r="J115" i="1" l="1"/>
  <c r="F115" i="1" s="1"/>
  <c r="D116" i="1" l="1"/>
  <c r="B116" i="1"/>
  <c r="C96" i="3" s="1"/>
  <c r="G115" i="1"/>
  <c r="E116" i="1" l="1"/>
  <c r="C116" i="1"/>
  <c r="D96" i="3" s="1"/>
  <c r="H116" i="1"/>
  <c r="K116" i="1"/>
  <c r="N116" i="1"/>
  <c r="I116" i="1" l="1"/>
  <c r="L116" i="1"/>
  <c r="M116" i="1" s="1"/>
  <c r="O116" i="1"/>
  <c r="P116" i="1" s="1"/>
  <c r="J116" i="1" l="1"/>
  <c r="F116" i="1" s="1"/>
  <c r="B117" i="1" l="1"/>
  <c r="C97" i="3" s="1"/>
  <c r="D117" i="1"/>
  <c r="G116" i="1"/>
  <c r="E117" i="1" l="1"/>
  <c r="C117" i="1"/>
  <c r="D97" i="3" s="1"/>
  <c r="K117" i="1"/>
  <c r="N117" i="1"/>
  <c r="H117" i="1"/>
  <c r="I117" i="1" l="1"/>
  <c r="L117" i="1"/>
  <c r="M117" i="1" s="1"/>
  <c r="O117" i="1"/>
  <c r="P117" i="1" s="1"/>
  <c r="J117" i="1" l="1"/>
  <c r="F117" i="1" s="1"/>
  <c r="D118" i="1" l="1"/>
  <c r="B118" i="1"/>
  <c r="C98" i="3" s="1"/>
  <c r="G117" i="1"/>
  <c r="E118" i="1" l="1"/>
  <c r="C118" i="1"/>
  <c r="D98" i="3" s="1"/>
  <c r="K118" i="1"/>
  <c r="H118" i="1"/>
  <c r="N118" i="1"/>
  <c r="L118" i="1" l="1"/>
  <c r="M118" i="1" s="1"/>
  <c r="O118" i="1"/>
  <c r="P118" i="1" s="1"/>
  <c r="I118" i="1"/>
  <c r="J118" i="1" l="1"/>
  <c r="F118" i="1" s="1"/>
  <c r="D119" i="1" l="1"/>
  <c r="B119" i="1"/>
  <c r="C99" i="3" s="1"/>
  <c r="G118" i="1"/>
  <c r="E119" i="1" l="1"/>
  <c r="C119" i="1"/>
  <c r="D99" i="3" s="1"/>
  <c r="K119" i="1"/>
  <c r="N119" i="1"/>
  <c r="H119" i="1"/>
  <c r="L119" i="1" l="1"/>
  <c r="M119" i="1" s="1"/>
  <c r="I119" i="1"/>
  <c r="O119" i="1"/>
  <c r="P119" i="1" s="1"/>
  <c r="J119" i="1" l="1"/>
  <c r="F119" i="1" s="1"/>
  <c r="G119" i="1" l="1"/>
  <c r="E120" i="1" s="1"/>
  <c r="D120" i="1"/>
  <c r="B120" i="1"/>
  <c r="C100" i="3" s="1"/>
  <c r="C120" i="1" l="1"/>
  <c r="N120" i="1"/>
  <c r="H120" i="1"/>
  <c r="K120" i="1"/>
  <c r="L120" i="1" l="1"/>
  <c r="M120" i="1" s="1"/>
  <c r="D100" i="3"/>
  <c r="O120" i="1"/>
  <c r="P120" i="1" s="1"/>
  <c r="I120" i="1"/>
  <c r="J120" i="1" s="1"/>
  <c r="F120" i="1" l="1"/>
  <c r="D121" i="1" s="1"/>
  <c r="G120" i="1"/>
  <c r="E121" i="1" s="1"/>
  <c r="B121" i="1" l="1"/>
  <c r="C121" i="1"/>
  <c r="O121" i="1" l="1"/>
  <c r="D101" i="3"/>
  <c r="H121" i="1"/>
  <c r="C101" i="3"/>
  <c r="K121" i="1"/>
  <c r="N121" i="1"/>
  <c r="L121" i="1"/>
  <c r="I121" i="1"/>
  <c r="J121" i="1" s="1"/>
  <c r="P121" i="1" l="1"/>
  <c r="M121" i="1"/>
  <c r="F121" i="1" l="1"/>
  <c r="D122" i="1" s="1"/>
  <c r="G121" i="1"/>
  <c r="E122" i="1" s="1"/>
  <c r="B122" i="1" l="1"/>
  <c r="H122" i="1" s="1"/>
  <c r="C122" i="1"/>
  <c r="K122" i="1" l="1"/>
  <c r="N122" i="1"/>
  <c r="C102" i="3"/>
  <c r="O122" i="1"/>
  <c r="D102" i="3"/>
  <c r="I122" i="1"/>
  <c r="J122" i="1" s="1"/>
  <c r="L122" i="1"/>
  <c r="P122" i="1"/>
  <c r="M122" i="1" l="1"/>
  <c r="F122" i="1" s="1"/>
  <c r="B123" i="1" s="1"/>
  <c r="C103" i="3" s="1"/>
  <c r="G122" i="1" l="1"/>
  <c r="E123" i="1" s="1"/>
  <c r="D123" i="1"/>
  <c r="H123" i="1"/>
  <c r="N123" i="1"/>
  <c r="K123" i="1"/>
  <c r="C123" i="1" l="1"/>
  <c r="D103" i="3" s="1"/>
  <c r="O123" i="1" l="1"/>
  <c r="P123" i="1" s="1"/>
  <c r="L123" i="1"/>
  <c r="M123" i="1" s="1"/>
  <c r="I123" i="1"/>
  <c r="J123" i="1"/>
  <c r="F123" i="1" s="1"/>
  <c r="D124" i="1" l="1"/>
  <c r="B124" i="1"/>
  <c r="C104" i="3" s="1"/>
  <c r="G123" i="1"/>
  <c r="E124" i="1" l="1"/>
  <c r="C124" i="1"/>
  <c r="D104" i="3" s="1"/>
  <c r="H124" i="1"/>
  <c r="N124" i="1"/>
  <c r="K124" i="1"/>
  <c r="O124" i="1" l="1"/>
  <c r="P124" i="1" s="1"/>
  <c r="I124" i="1"/>
  <c r="L124" i="1"/>
  <c r="M124" i="1" s="1"/>
  <c r="J124" i="1" l="1"/>
  <c r="F124" i="1" s="1"/>
  <c r="B125" i="1" l="1"/>
  <c r="C105" i="3" s="1"/>
  <c r="D125" i="1"/>
  <c r="G124" i="1"/>
  <c r="E125" i="1" l="1"/>
  <c r="C125" i="1"/>
  <c r="D105" i="3" s="1"/>
  <c r="H125" i="1"/>
  <c r="K125" i="1"/>
  <c r="N125" i="1"/>
  <c r="I125" i="1" l="1"/>
  <c r="J125" i="1" s="1"/>
  <c r="L125" i="1"/>
  <c r="M125" i="1" s="1"/>
  <c r="O125" i="1"/>
  <c r="P125" i="1" s="1"/>
  <c r="F125" i="1" l="1"/>
  <c r="D126" i="1" s="1"/>
  <c r="G125" i="1"/>
  <c r="B126" i="1" l="1"/>
  <c r="E126" i="1"/>
  <c r="C126" i="1"/>
  <c r="D106" i="3" s="1"/>
  <c r="K126" i="1" l="1"/>
  <c r="C106" i="3"/>
  <c r="N126" i="1"/>
  <c r="H126" i="1"/>
  <c r="I126" i="1"/>
  <c r="L126" i="1"/>
  <c r="O126" i="1"/>
  <c r="M126" i="1" l="1"/>
  <c r="J126" i="1"/>
  <c r="P126" i="1"/>
  <c r="F126" i="1" l="1"/>
  <c r="B127" i="1" s="1"/>
  <c r="G126" i="1"/>
  <c r="C127" i="1" s="1"/>
  <c r="D107" i="3" s="1"/>
  <c r="K127" i="1" l="1"/>
  <c r="C107" i="3"/>
  <c r="H127" i="1"/>
  <c r="N127" i="1"/>
  <c r="D127" i="1"/>
  <c r="E127" i="1"/>
  <c r="L127" i="1"/>
  <c r="O127" i="1"/>
  <c r="P127" i="1" s="1"/>
  <c r="I127" i="1"/>
  <c r="M127" i="1" l="1"/>
  <c r="J127" i="1"/>
  <c r="F127" i="1" l="1"/>
  <c r="D128" i="1" s="1"/>
  <c r="G127" i="1"/>
  <c r="B128" i="1" l="1"/>
  <c r="C108" i="3" s="1"/>
  <c r="E128" i="1"/>
  <c r="C128" i="1"/>
  <c r="D108" i="3" s="1"/>
  <c r="N128" i="1" l="1"/>
  <c r="K128" i="1"/>
  <c r="H128" i="1"/>
  <c r="L128" i="1"/>
  <c r="M128" i="1" s="1"/>
  <c r="I128" i="1"/>
  <c r="O128" i="1"/>
  <c r="P128" i="1" l="1"/>
  <c r="J128" i="1"/>
  <c r="F128" i="1" s="1"/>
  <c r="B129" i="1" l="1"/>
  <c r="C109" i="3" s="1"/>
  <c r="D129" i="1"/>
  <c r="G128" i="1"/>
  <c r="E129" i="1" l="1"/>
  <c r="C129" i="1"/>
  <c r="D109" i="3" s="1"/>
  <c r="N129" i="1"/>
  <c r="H129" i="1"/>
  <c r="K129" i="1"/>
  <c r="L129" i="1" l="1"/>
  <c r="M129" i="1" s="1"/>
  <c r="O129" i="1"/>
  <c r="P129" i="1" s="1"/>
  <c r="I129" i="1"/>
  <c r="J129" i="1" l="1"/>
  <c r="F129" i="1" s="1"/>
  <c r="D130" i="1" l="1"/>
  <c r="B130" i="1"/>
  <c r="C110" i="3" s="1"/>
  <c r="G129" i="1"/>
  <c r="E130" i="1" l="1"/>
  <c r="C130" i="1"/>
  <c r="D110" i="3" s="1"/>
  <c r="N130" i="1"/>
  <c r="H130" i="1"/>
  <c r="K130" i="1"/>
  <c r="O130" i="1" l="1"/>
  <c r="P130" i="1" s="1"/>
  <c r="I130" i="1"/>
  <c r="L130" i="1"/>
  <c r="M130" i="1" s="1"/>
  <c r="J130" i="1" l="1"/>
  <c r="F130" i="1" s="1"/>
  <c r="D131" i="1" l="1"/>
  <c r="B131" i="1"/>
  <c r="C111" i="3" s="1"/>
  <c r="G130" i="1"/>
  <c r="E131" i="1" l="1"/>
  <c r="C131" i="1"/>
  <c r="D111" i="3" s="1"/>
  <c r="N131" i="1"/>
  <c r="H131" i="1"/>
  <c r="K131" i="1"/>
  <c r="O131" i="1" l="1"/>
  <c r="P131" i="1" s="1"/>
  <c r="I131" i="1"/>
  <c r="L131" i="1"/>
  <c r="M131" i="1" s="1"/>
  <c r="J131" i="1" l="1"/>
  <c r="F131" i="1" s="1"/>
  <c r="B132" i="1" l="1"/>
  <c r="C112" i="3" s="1"/>
  <c r="D132" i="1"/>
  <c r="G131" i="1"/>
  <c r="E132" i="1" l="1"/>
  <c r="C132" i="1"/>
  <c r="D112" i="3" s="1"/>
  <c r="H132" i="1"/>
  <c r="K132" i="1"/>
  <c r="N132" i="1"/>
  <c r="O132" i="1" l="1"/>
  <c r="P132" i="1" s="1"/>
  <c r="I132" i="1"/>
  <c r="L132" i="1"/>
  <c r="M132" i="1" s="1"/>
  <c r="J132" i="1" l="1"/>
  <c r="F132" i="1" s="1"/>
  <c r="D133" i="1" l="1"/>
  <c r="B133" i="1"/>
  <c r="C113" i="3" s="1"/>
  <c r="G132" i="1"/>
  <c r="E133" i="1" l="1"/>
  <c r="C133" i="1"/>
  <c r="D113" i="3" s="1"/>
  <c r="H133" i="1"/>
  <c r="K133" i="1"/>
  <c r="N133" i="1"/>
  <c r="I133" i="1" l="1"/>
  <c r="L133" i="1"/>
  <c r="M133" i="1" s="1"/>
  <c r="O133" i="1"/>
  <c r="P133" i="1" s="1"/>
  <c r="J133" i="1" l="1"/>
  <c r="F133" i="1" s="1"/>
  <c r="B134" i="1" l="1"/>
  <c r="C114" i="3" s="1"/>
  <c r="D134" i="1"/>
  <c r="G133" i="1"/>
  <c r="E134" i="1" l="1"/>
  <c r="C134" i="1"/>
  <c r="D114" i="3" s="1"/>
  <c r="K134" i="1"/>
  <c r="N134" i="1"/>
  <c r="H134" i="1"/>
  <c r="I134" i="1" l="1"/>
  <c r="L134" i="1"/>
  <c r="M134" i="1" s="1"/>
  <c r="O134" i="1"/>
  <c r="P134" i="1" s="1"/>
  <c r="J134" i="1" l="1"/>
  <c r="F134" i="1" s="1"/>
  <c r="D135" i="1" l="1"/>
  <c r="B135" i="1"/>
  <c r="C115" i="3" s="1"/>
  <c r="G134" i="1"/>
  <c r="E135" i="1" l="1"/>
  <c r="C135" i="1"/>
  <c r="D115" i="3" s="1"/>
  <c r="K135" i="1"/>
  <c r="H135" i="1"/>
  <c r="N135" i="1"/>
  <c r="L135" i="1" l="1"/>
  <c r="M135" i="1" s="1"/>
  <c r="O135" i="1"/>
  <c r="P135" i="1" s="1"/>
  <c r="I135" i="1"/>
  <c r="J135" i="1" l="1"/>
  <c r="F135" i="1" s="1"/>
  <c r="B136" i="1" l="1"/>
  <c r="C116" i="3" s="1"/>
  <c r="D136" i="1"/>
  <c r="G135" i="1"/>
  <c r="E136" i="1" l="1"/>
  <c r="C136" i="1"/>
  <c r="D116" i="3" s="1"/>
  <c r="K136" i="1"/>
  <c r="N136" i="1"/>
  <c r="H136" i="1"/>
  <c r="L136" i="1" l="1"/>
  <c r="M136" i="1" s="1"/>
  <c r="I136" i="1"/>
  <c r="O136" i="1"/>
  <c r="P136" i="1" s="1"/>
  <c r="J136" i="1" l="1"/>
  <c r="F136" i="1" s="1"/>
  <c r="D137" i="1" l="1"/>
  <c r="B137" i="1"/>
  <c r="C117" i="3" s="1"/>
  <c r="G136" i="1"/>
  <c r="E137" i="1" l="1"/>
  <c r="C137" i="1"/>
  <c r="D117" i="3" s="1"/>
  <c r="N137" i="1"/>
  <c r="K137" i="1"/>
  <c r="H137" i="1"/>
  <c r="L137" i="1" l="1"/>
  <c r="M137" i="1" s="1"/>
  <c r="O137" i="1"/>
  <c r="P137" i="1" s="1"/>
  <c r="I137" i="1"/>
  <c r="J137" i="1" l="1"/>
  <c r="F137" i="1" s="1"/>
  <c r="B138" i="1" l="1"/>
  <c r="C118" i="3" s="1"/>
  <c r="D138" i="1"/>
  <c r="G137" i="1"/>
  <c r="E138" i="1" l="1"/>
  <c r="C138" i="1"/>
  <c r="D118" i="3" s="1"/>
  <c r="N138" i="1"/>
  <c r="H138" i="1"/>
  <c r="K138" i="1"/>
  <c r="O138" i="1" l="1"/>
  <c r="P138" i="1" s="1"/>
  <c r="I138" i="1"/>
  <c r="L138" i="1"/>
  <c r="M138" i="1" s="1"/>
  <c r="J138" i="1" l="1"/>
  <c r="F138" i="1" s="1"/>
  <c r="D139" i="1" l="1"/>
  <c r="B139" i="1"/>
  <c r="C119" i="3" s="1"/>
  <c r="G138" i="1"/>
  <c r="E139" i="1" l="1"/>
  <c r="C139" i="1"/>
  <c r="D119" i="3" s="1"/>
  <c r="N139" i="1"/>
  <c r="H139" i="1"/>
  <c r="K139" i="1"/>
  <c r="O139" i="1" l="1"/>
  <c r="P139" i="1" s="1"/>
  <c r="I139" i="1"/>
  <c r="L139" i="1"/>
  <c r="M139" i="1" s="1"/>
  <c r="J139" i="1" l="1"/>
  <c r="F139" i="1" s="1"/>
  <c r="B140" i="1" l="1"/>
  <c r="C120" i="3" s="1"/>
  <c r="D140" i="1"/>
  <c r="G139" i="1"/>
  <c r="E140" i="1" l="1"/>
  <c r="C140" i="1"/>
  <c r="D120" i="3" s="1"/>
  <c r="H140" i="1"/>
  <c r="K140" i="1"/>
  <c r="N140" i="1"/>
  <c r="O140" i="1" l="1"/>
  <c r="P140" i="1" s="1"/>
  <c r="I140" i="1"/>
  <c r="L140" i="1"/>
  <c r="M140" i="1" s="1"/>
  <c r="J140" i="1" l="1"/>
  <c r="F140" i="1" s="1"/>
  <c r="D141" i="1" l="1"/>
  <c r="B141" i="1"/>
  <c r="C121" i="3" s="1"/>
  <c r="G140" i="1"/>
  <c r="E141" i="1" l="1"/>
  <c r="C141" i="1"/>
  <c r="D121" i="3" s="1"/>
  <c r="H141" i="1"/>
  <c r="K141" i="1"/>
  <c r="N141" i="1"/>
  <c r="I141" i="1" l="1"/>
  <c r="O141" i="1"/>
  <c r="P141" i="1" s="1"/>
  <c r="L141" i="1"/>
  <c r="M141" i="1" s="1"/>
  <c r="J141" i="1" l="1"/>
  <c r="F141" i="1" s="1"/>
  <c r="B142" i="1" l="1"/>
  <c r="C122" i="3" s="1"/>
  <c r="D142" i="1"/>
  <c r="G141" i="1"/>
  <c r="E142" i="1" l="1"/>
  <c r="C142" i="1"/>
  <c r="D122" i="3" s="1"/>
  <c r="K142" i="1"/>
  <c r="N142" i="1"/>
  <c r="H142" i="1"/>
  <c r="I142" i="1" l="1"/>
  <c r="L142" i="1"/>
  <c r="M142" i="1" s="1"/>
  <c r="O142" i="1"/>
  <c r="P142" i="1" s="1"/>
  <c r="J142" i="1" l="1"/>
  <c r="F142" i="1" s="1"/>
  <c r="D143" i="1" l="1"/>
  <c r="B143" i="1"/>
  <c r="C123" i="3" s="1"/>
  <c r="G142" i="1"/>
  <c r="E143" i="1" l="1"/>
  <c r="C143" i="1"/>
  <c r="D123" i="3" s="1"/>
  <c r="K143" i="1"/>
  <c r="H143" i="1"/>
  <c r="N143" i="1"/>
  <c r="L143" i="1" l="1"/>
  <c r="M143" i="1" s="1"/>
  <c r="O143" i="1"/>
  <c r="P143" i="1" s="1"/>
  <c r="I143" i="1"/>
  <c r="J143" i="1" l="1"/>
  <c r="F143" i="1" s="1"/>
  <c r="D144" i="1" l="1"/>
  <c r="B144" i="1"/>
  <c r="C124" i="3" s="1"/>
  <c r="G143" i="1"/>
  <c r="E144" i="1" l="1"/>
  <c r="C144" i="1"/>
  <c r="D124" i="3" s="1"/>
  <c r="K144" i="1"/>
  <c r="N144" i="1"/>
  <c r="H144" i="1"/>
  <c r="L144" i="1" l="1"/>
  <c r="M144" i="1" s="1"/>
  <c r="O144" i="1"/>
  <c r="P144" i="1" s="1"/>
  <c r="I144" i="1"/>
  <c r="J144" i="1" l="1"/>
  <c r="F144" i="1" s="1"/>
  <c r="B145" i="1" l="1"/>
  <c r="C125" i="3" s="1"/>
  <c r="D145" i="1"/>
  <c r="G144" i="1"/>
  <c r="E145" i="1" l="1"/>
  <c r="C145" i="1"/>
  <c r="D125" i="3" s="1"/>
  <c r="N145" i="1"/>
  <c r="H145" i="1"/>
  <c r="K145" i="1"/>
  <c r="L145" i="1" l="1"/>
  <c r="M145" i="1" s="1"/>
  <c r="O145" i="1"/>
  <c r="P145" i="1" s="1"/>
  <c r="I145" i="1"/>
  <c r="J145" i="1" l="1"/>
  <c r="F145" i="1" s="1"/>
  <c r="D146" i="1" l="1"/>
  <c r="B146" i="1"/>
  <c r="C126" i="3" s="1"/>
  <c r="G145" i="1"/>
  <c r="E146" i="1" l="1"/>
  <c r="C146" i="1"/>
  <c r="D126" i="3" s="1"/>
  <c r="N146" i="1"/>
  <c r="H146" i="1"/>
  <c r="K146" i="1"/>
  <c r="O146" i="1" l="1"/>
  <c r="P146" i="1" s="1"/>
  <c r="I146" i="1"/>
  <c r="L146" i="1"/>
  <c r="M146" i="1" s="1"/>
  <c r="J146" i="1" l="1"/>
  <c r="F146" i="1" s="1"/>
  <c r="B147" i="1" l="1"/>
  <c r="C127" i="3" s="1"/>
  <c r="D147" i="1"/>
  <c r="G146" i="1"/>
  <c r="E147" i="1" l="1"/>
  <c r="C147" i="1"/>
  <c r="D127" i="3" s="1"/>
  <c r="N147" i="1"/>
  <c r="H147" i="1"/>
  <c r="K147" i="1"/>
  <c r="O147" i="1" l="1"/>
  <c r="P147" i="1" s="1"/>
  <c r="I147" i="1"/>
  <c r="L147" i="1"/>
  <c r="M147" i="1" s="1"/>
  <c r="J147" i="1" l="1"/>
  <c r="F147" i="1" s="1"/>
  <c r="D148" i="1" l="1"/>
  <c r="B148" i="1"/>
  <c r="C128" i="3" s="1"/>
  <c r="G147" i="1"/>
  <c r="E148" i="1" l="1"/>
  <c r="C148" i="1"/>
  <c r="D128" i="3" s="1"/>
  <c r="H148" i="1"/>
  <c r="K148" i="1"/>
  <c r="N148" i="1"/>
  <c r="O148" i="1" l="1"/>
  <c r="P148" i="1" s="1"/>
  <c r="I148" i="1"/>
  <c r="L148" i="1"/>
  <c r="M148" i="1" s="1"/>
  <c r="J148" i="1" l="1"/>
  <c r="F148" i="1" s="1"/>
  <c r="B149" i="1" l="1"/>
  <c r="C129" i="3" s="1"/>
  <c r="D149" i="1"/>
  <c r="G148" i="1"/>
  <c r="E149" i="1" l="1"/>
  <c r="C149" i="1"/>
  <c r="D129" i="3" s="1"/>
  <c r="H149" i="1"/>
  <c r="K149" i="1"/>
  <c r="N149" i="1"/>
  <c r="I149" i="1" l="1"/>
  <c r="L149" i="1"/>
  <c r="M149" i="1" s="1"/>
  <c r="O149" i="1"/>
  <c r="P149" i="1" s="1"/>
  <c r="J149" i="1" l="1"/>
  <c r="F149" i="1" s="1"/>
  <c r="D150" i="1" l="1"/>
  <c r="B150" i="1"/>
  <c r="C130" i="3" s="1"/>
  <c r="G149" i="1"/>
  <c r="E150" i="1" l="1"/>
  <c r="C150" i="1"/>
  <c r="D130" i="3" s="1"/>
  <c r="K150" i="1"/>
  <c r="N150" i="1"/>
  <c r="H150" i="1"/>
  <c r="I150" i="1" l="1"/>
  <c r="L150" i="1"/>
  <c r="M150" i="1" s="1"/>
  <c r="O150" i="1"/>
  <c r="P150" i="1" s="1"/>
  <c r="J150" i="1" l="1"/>
  <c r="F150" i="1" s="1"/>
  <c r="B151" i="1" l="1"/>
  <c r="C131" i="3" s="1"/>
  <c r="D151" i="1"/>
  <c r="G150" i="1"/>
  <c r="E151" i="1" l="1"/>
  <c r="C151" i="1"/>
  <c r="D131" i="3" s="1"/>
  <c r="K151" i="1"/>
  <c r="H151" i="1"/>
  <c r="N151" i="1"/>
  <c r="L151" i="1" l="1"/>
  <c r="M151" i="1" s="1"/>
  <c r="O151" i="1"/>
  <c r="P151" i="1" s="1"/>
  <c r="I151" i="1"/>
  <c r="J151" i="1" l="1"/>
  <c r="F151" i="1" s="1"/>
  <c r="D152" i="1" l="1"/>
  <c r="B152" i="1"/>
  <c r="C132" i="3" s="1"/>
  <c r="G151" i="1"/>
  <c r="E152" i="1" l="1"/>
  <c r="C152" i="1"/>
  <c r="D132" i="3" s="1"/>
  <c r="K152" i="1"/>
  <c r="N152" i="1"/>
  <c r="H152" i="1"/>
  <c r="L152" i="1" l="1"/>
  <c r="M152" i="1" s="1"/>
  <c r="O152" i="1"/>
  <c r="P152" i="1" s="1"/>
  <c r="I152" i="1"/>
  <c r="J152" i="1" l="1"/>
  <c r="F152" i="1" s="1"/>
  <c r="D153" i="1" l="1"/>
  <c r="B153" i="1"/>
  <c r="C133" i="3" s="1"/>
  <c r="G152" i="1"/>
  <c r="E153" i="1" l="1"/>
  <c r="C153" i="1"/>
  <c r="D133" i="3" s="1"/>
  <c r="N153" i="1"/>
  <c r="H153" i="1"/>
  <c r="K153" i="1"/>
  <c r="L153" i="1" l="1"/>
  <c r="M153" i="1" s="1"/>
  <c r="O153" i="1"/>
  <c r="P153" i="1" s="1"/>
  <c r="I153" i="1"/>
  <c r="J153" i="1" l="1"/>
  <c r="F153" i="1" s="1"/>
  <c r="B154" i="1" l="1"/>
  <c r="C134" i="3" s="1"/>
  <c r="D154" i="1"/>
  <c r="G153" i="1"/>
  <c r="E154" i="1" l="1"/>
  <c r="C154" i="1"/>
  <c r="D134" i="3" s="1"/>
  <c r="N154" i="1"/>
  <c r="H154" i="1"/>
  <c r="K154" i="1"/>
  <c r="O154" i="1" l="1"/>
  <c r="P154" i="1" s="1"/>
  <c r="I154" i="1"/>
  <c r="L154" i="1"/>
  <c r="M154" i="1" s="1"/>
  <c r="J154" i="1" l="1"/>
  <c r="F154" i="1" s="1"/>
  <c r="D155" i="1" l="1"/>
  <c r="B155" i="1"/>
  <c r="C135" i="3" s="1"/>
  <c r="G154" i="1"/>
  <c r="E155" i="1" l="1"/>
  <c r="C155" i="1"/>
  <c r="D135" i="3" s="1"/>
  <c r="N155" i="1"/>
  <c r="H155" i="1"/>
  <c r="K155" i="1"/>
  <c r="O155" i="1" l="1"/>
  <c r="P155" i="1" s="1"/>
  <c r="I155" i="1"/>
  <c r="L155" i="1"/>
  <c r="M155" i="1" s="1"/>
  <c r="J155" i="1" l="1"/>
  <c r="F155" i="1" s="1"/>
  <c r="B156" i="1" l="1"/>
  <c r="C136" i="3" s="1"/>
  <c r="D156" i="1"/>
  <c r="G155" i="1"/>
  <c r="E156" i="1" l="1"/>
  <c r="C156" i="1"/>
  <c r="D136" i="3" s="1"/>
  <c r="H156" i="1"/>
  <c r="K156" i="1"/>
  <c r="N156" i="1"/>
  <c r="O156" i="1" l="1"/>
  <c r="P156" i="1" s="1"/>
  <c r="I156" i="1"/>
  <c r="L156" i="1"/>
  <c r="M156" i="1" s="1"/>
  <c r="J156" i="1" l="1"/>
  <c r="F156" i="1" s="1"/>
  <c r="D157" i="1" l="1"/>
  <c r="B157" i="1"/>
  <c r="C137" i="3" s="1"/>
  <c r="G156" i="1"/>
  <c r="E157" i="1" l="1"/>
  <c r="C157" i="1"/>
  <c r="D137" i="3" s="1"/>
  <c r="H157" i="1"/>
  <c r="K157" i="1"/>
  <c r="N157" i="1"/>
  <c r="I157" i="1" l="1"/>
  <c r="L157" i="1"/>
  <c r="M157" i="1" s="1"/>
  <c r="O157" i="1"/>
  <c r="P157" i="1" s="1"/>
  <c r="J157" i="1" l="1"/>
  <c r="F157" i="1" s="1"/>
  <c r="B158" i="1" l="1"/>
  <c r="C138" i="3" s="1"/>
  <c r="D158" i="1"/>
  <c r="G157" i="1"/>
  <c r="E158" i="1" l="1"/>
  <c r="C158" i="1"/>
  <c r="D138" i="3" s="1"/>
  <c r="K158" i="1"/>
  <c r="N158" i="1"/>
  <c r="H158" i="1"/>
  <c r="I158" i="1" l="1"/>
  <c r="L158" i="1"/>
  <c r="M158" i="1" s="1"/>
  <c r="O158" i="1"/>
  <c r="P158" i="1" s="1"/>
  <c r="J158" i="1" l="1"/>
  <c r="F158" i="1" s="1"/>
  <c r="D159" i="1" l="1"/>
  <c r="B159" i="1"/>
  <c r="C139" i="3" s="1"/>
  <c r="G158" i="1"/>
  <c r="E159" i="1" l="1"/>
  <c r="C159" i="1"/>
  <c r="D139" i="3" s="1"/>
  <c r="K159" i="1"/>
  <c r="N159" i="1"/>
  <c r="H159" i="1"/>
  <c r="L159" i="1" l="1"/>
  <c r="M159" i="1" s="1"/>
  <c r="O159" i="1"/>
  <c r="P159" i="1" s="1"/>
  <c r="I159" i="1"/>
  <c r="J159" i="1" l="1"/>
  <c r="F159" i="1" s="1"/>
  <c r="B160" i="1" l="1"/>
  <c r="C140" i="3" s="1"/>
  <c r="D160" i="1"/>
  <c r="G159" i="1"/>
  <c r="E160" i="1" l="1"/>
  <c r="C160" i="1"/>
  <c r="D140" i="3" s="1"/>
  <c r="K160" i="1"/>
  <c r="N160" i="1"/>
  <c r="H160" i="1"/>
  <c r="L160" i="1" l="1"/>
  <c r="M160" i="1" s="1"/>
  <c r="O160" i="1"/>
  <c r="P160" i="1" s="1"/>
  <c r="I160" i="1"/>
  <c r="J160" i="1" l="1"/>
  <c r="F160" i="1" s="1"/>
  <c r="D161" i="1" l="1"/>
  <c r="B161" i="1"/>
  <c r="C141" i="3" s="1"/>
  <c r="G160" i="1"/>
  <c r="E161" i="1" l="1"/>
  <c r="C161" i="1"/>
  <c r="D141" i="3" s="1"/>
  <c r="N161" i="1"/>
  <c r="H161" i="1"/>
  <c r="K161" i="1"/>
  <c r="L161" i="1" l="1"/>
  <c r="M161" i="1" s="1"/>
  <c r="O161" i="1"/>
  <c r="P161" i="1" s="1"/>
  <c r="I161" i="1"/>
  <c r="J161" i="1" l="1"/>
  <c r="F161" i="1" s="1"/>
  <c r="B162" i="1" l="1"/>
  <c r="C142" i="3" s="1"/>
  <c r="D162" i="1"/>
  <c r="G161" i="1"/>
  <c r="E162" i="1" l="1"/>
  <c r="C162" i="1"/>
  <c r="D142" i="3" s="1"/>
  <c r="N162" i="1"/>
  <c r="H162" i="1"/>
  <c r="K162" i="1"/>
  <c r="O162" i="1" l="1"/>
  <c r="P162" i="1" s="1"/>
  <c r="I162" i="1"/>
  <c r="L162" i="1"/>
  <c r="M162" i="1" s="1"/>
  <c r="J162" i="1" l="1"/>
  <c r="F162" i="1" s="1"/>
  <c r="D163" i="1" l="1"/>
  <c r="B163" i="1"/>
  <c r="C143" i="3" s="1"/>
  <c r="G162" i="1"/>
  <c r="E163" i="1" l="1"/>
  <c r="C163" i="1"/>
  <c r="D143" i="3" s="1"/>
  <c r="N163" i="1"/>
  <c r="H163" i="1"/>
  <c r="K163" i="1"/>
  <c r="O163" i="1" l="1"/>
  <c r="P163" i="1" s="1"/>
  <c r="I163" i="1"/>
  <c r="L163" i="1"/>
  <c r="M163" i="1" s="1"/>
  <c r="J163" i="1" l="1"/>
  <c r="F163" i="1" s="1"/>
  <c r="B164" i="1" l="1"/>
  <c r="C144" i="3" s="1"/>
  <c r="D164" i="1"/>
  <c r="G163" i="1"/>
  <c r="E164" i="1" l="1"/>
  <c r="C164" i="1"/>
  <c r="D144" i="3" s="1"/>
  <c r="H164" i="1"/>
  <c r="K164" i="1"/>
  <c r="N164" i="1"/>
  <c r="O164" i="1" l="1"/>
  <c r="P164" i="1" s="1"/>
  <c r="I164" i="1"/>
  <c r="L164" i="1"/>
  <c r="M164" i="1" s="1"/>
  <c r="J164" i="1" l="1"/>
  <c r="F164" i="1" s="1"/>
  <c r="D165" i="1" l="1"/>
  <c r="B165" i="1"/>
  <c r="C145" i="3" s="1"/>
  <c r="G164" i="1"/>
  <c r="E165" i="1" l="1"/>
  <c r="C165" i="1"/>
  <c r="D145" i="3" s="1"/>
  <c r="H165" i="1"/>
  <c r="K165" i="1"/>
  <c r="N165" i="1"/>
  <c r="I165" i="1" l="1"/>
  <c r="L165" i="1"/>
  <c r="M165" i="1" s="1"/>
  <c r="O165" i="1"/>
  <c r="P165" i="1" s="1"/>
  <c r="J165" i="1" l="1"/>
  <c r="F165" i="1" s="1"/>
  <c r="B166" i="1" l="1"/>
  <c r="C146" i="3" s="1"/>
  <c r="D166" i="1"/>
  <c r="G165" i="1"/>
  <c r="E166" i="1" l="1"/>
  <c r="C166" i="1"/>
  <c r="D146" i="3" s="1"/>
  <c r="K166" i="1"/>
  <c r="N166" i="1"/>
  <c r="H166" i="1"/>
  <c r="I166" i="1" l="1"/>
  <c r="L166" i="1"/>
  <c r="M166" i="1" s="1"/>
  <c r="O166" i="1"/>
  <c r="P166" i="1" s="1"/>
  <c r="J166" i="1" l="1"/>
  <c r="F166" i="1" s="1"/>
  <c r="D167" i="1" l="1"/>
  <c r="B167" i="1"/>
  <c r="C147" i="3" s="1"/>
  <c r="G166" i="1"/>
  <c r="E167" i="1" l="1"/>
  <c r="C167" i="1"/>
  <c r="D147" i="3" s="1"/>
  <c r="K167" i="1"/>
  <c r="N167" i="1"/>
  <c r="H167" i="1"/>
  <c r="L167" i="1" l="1"/>
  <c r="M167" i="1" s="1"/>
  <c r="I167" i="1"/>
  <c r="O167" i="1"/>
  <c r="P167" i="1" s="1"/>
  <c r="J167" i="1" l="1"/>
  <c r="F167" i="1" s="1"/>
  <c r="B168" i="1" l="1"/>
  <c r="C148" i="3" s="1"/>
  <c r="D168" i="1"/>
  <c r="G167" i="1"/>
  <c r="E168" i="1" l="1"/>
  <c r="C168" i="1"/>
  <c r="D148" i="3" s="1"/>
  <c r="K168" i="1"/>
  <c r="N168" i="1"/>
  <c r="H168" i="1"/>
  <c r="L168" i="1" l="1"/>
  <c r="M168" i="1" s="1"/>
  <c r="O168" i="1"/>
  <c r="P168" i="1" s="1"/>
  <c r="I168" i="1"/>
  <c r="J168" i="1" l="1"/>
  <c r="F168" i="1" s="1"/>
  <c r="D169" i="1" l="1"/>
  <c r="B169" i="1"/>
  <c r="C149" i="3" s="1"/>
  <c r="G168" i="1"/>
  <c r="E169" i="1" l="1"/>
  <c r="C169" i="1"/>
  <c r="D149" i="3" s="1"/>
  <c r="N169" i="1"/>
  <c r="H169" i="1"/>
  <c r="K169" i="1"/>
  <c r="L169" i="1" l="1"/>
  <c r="M169" i="1" s="1"/>
  <c r="O169" i="1"/>
  <c r="P169" i="1" s="1"/>
  <c r="I169" i="1"/>
  <c r="J169" i="1" l="1"/>
  <c r="F169" i="1" s="1"/>
  <c r="D170" i="1" l="1"/>
  <c r="B170" i="1"/>
  <c r="C150" i="3" s="1"/>
  <c r="G169" i="1"/>
  <c r="E170" i="1" l="1"/>
  <c r="C170" i="1"/>
  <c r="D150" i="3" s="1"/>
  <c r="N170" i="1"/>
  <c r="H170" i="1"/>
  <c r="K170" i="1"/>
  <c r="O170" i="1" l="1"/>
  <c r="P170" i="1" s="1"/>
  <c r="I170" i="1"/>
  <c r="L170" i="1"/>
  <c r="M170" i="1" s="1"/>
  <c r="J170" i="1" l="1"/>
  <c r="F170" i="1" s="1"/>
  <c r="B171" i="1" l="1"/>
  <c r="C151" i="3" s="1"/>
  <c r="D171" i="1"/>
  <c r="G170" i="1"/>
  <c r="E171" i="1" l="1"/>
  <c r="C171" i="1"/>
  <c r="D151" i="3" s="1"/>
  <c r="N171" i="1"/>
  <c r="H171" i="1"/>
  <c r="K171" i="1"/>
  <c r="O171" i="1" l="1"/>
  <c r="P171" i="1" s="1"/>
  <c r="I171" i="1"/>
  <c r="L171" i="1"/>
  <c r="M171" i="1" s="1"/>
  <c r="J171" i="1" l="1"/>
  <c r="F171" i="1" s="1"/>
  <c r="D172" i="1" l="1"/>
  <c r="B172" i="1"/>
  <c r="C152" i="3" s="1"/>
  <c r="G171" i="1"/>
  <c r="E172" i="1" l="1"/>
  <c r="C172" i="1"/>
  <c r="D152" i="3" s="1"/>
  <c r="H172" i="1"/>
  <c r="K172" i="1"/>
  <c r="N172" i="1"/>
  <c r="O172" i="1" l="1"/>
  <c r="P172" i="1" s="1"/>
  <c r="I172" i="1"/>
  <c r="L172" i="1"/>
  <c r="M172" i="1" s="1"/>
  <c r="J172" i="1" l="1"/>
  <c r="F172" i="1" s="1"/>
  <c r="B173" i="1" l="1"/>
  <c r="C153" i="3" s="1"/>
  <c r="D173" i="1"/>
  <c r="G172" i="1"/>
  <c r="E173" i="1" l="1"/>
  <c r="C173" i="1"/>
  <c r="D153" i="3" s="1"/>
  <c r="H173" i="1"/>
  <c r="K173" i="1"/>
  <c r="N173" i="1"/>
  <c r="I173" i="1" l="1"/>
  <c r="L173" i="1"/>
  <c r="M173" i="1" s="1"/>
  <c r="O173" i="1"/>
  <c r="P173" i="1" s="1"/>
  <c r="J173" i="1" l="1"/>
  <c r="F173" i="1" s="1"/>
  <c r="D174" i="1" l="1"/>
  <c r="B174" i="1"/>
  <c r="C154" i="3" s="1"/>
  <c r="G173" i="1"/>
  <c r="E174" i="1" l="1"/>
  <c r="C174" i="1"/>
  <c r="D154" i="3" s="1"/>
  <c r="K174" i="1"/>
  <c r="N174" i="1"/>
  <c r="H174" i="1"/>
  <c r="I174" i="1" l="1"/>
  <c r="L174" i="1"/>
  <c r="M174" i="1" s="1"/>
  <c r="O174" i="1"/>
  <c r="P174" i="1" s="1"/>
  <c r="J174" i="1" l="1"/>
  <c r="F174" i="1" s="1"/>
  <c r="B175" i="1" l="1"/>
  <c r="C155" i="3" s="1"/>
  <c r="D175" i="1"/>
  <c r="G174" i="1"/>
  <c r="E175" i="1" l="1"/>
  <c r="C175" i="1"/>
  <c r="D155" i="3" s="1"/>
  <c r="K175" i="1"/>
  <c r="N175" i="1"/>
  <c r="H175" i="1"/>
  <c r="L175" i="1" l="1"/>
  <c r="M175" i="1" s="1"/>
  <c r="O175" i="1"/>
  <c r="P175" i="1" s="1"/>
  <c r="I175" i="1"/>
  <c r="J175" i="1" l="1"/>
  <c r="F175" i="1" s="1"/>
  <c r="D176" i="1" l="1"/>
  <c r="B176" i="1"/>
  <c r="C156" i="3" s="1"/>
  <c r="G175" i="1"/>
  <c r="E176" i="1" l="1"/>
  <c r="C176" i="1"/>
  <c r="D156" i="3" s="1"/>
  <c r="K176" i="1"/>
  <c r="N176" i="1"/>
  <c r="H176" i="1"/>
  <c r="L176" i="1" l="1"/>
  <c r="M176" i="1" s="1"/>
  <c r="O176" i="1"/>
  <c r="P176" i="1" s="1"/>
  <c r="I176" i="1"/>
  <c r="J176" i="1" l="1"/>
  <c r="F176" i="1" s="1"/>
  <c r="D177" i="1" l="1"/>
  <c r="B177" i="1"/>
  <c r="C157" i="3" s="1"/>
  <c r="G176" i="1"/>
  <c r="E177" i="1" l="1"/>
  <c r="C177" i="1"/>
  <c r="D157" i="3" s="1"/>
  <c r="N177" i="1"/>
  <c r="H177" i="1"/>
  <c r="K177" i="1"/>
  <c r="L177" i="1" l="1"/>
  <c r="M177" i="1" s="1"/>
  <c r="O177" i="1"/>
  <c r="P177" i="1" s="1"/>
  <c r="I177" i="1"/>
  <c r="J177" i="1" l="1"/>
  <c r="F177" i="1" s="1"/>
  <c r="B178" i="1" l="1"/>
  <c r="C158" i="3" s="1"/>
  <c r="D178" i="1"/>
  <c r="G177" i="1"/>
  <c r="E178" i="1" l="1"/>
  <c r="C178" i="1"/>
  <c r="D158" i="3" s="1"/>
  <c r="N178" i="1"/>
  <c r="H178" i="1"/>
  <c r="K178" i="1"/>
  <c r="O178" i="1" l="1"/>
  <c r="P178" i="1" s="1"/>
  <c r="I178" i="1"/>
  <c r="L178" i="1"/>
  <c r="M178" i="1" s="1"/>
  <c r="J178" i="1" l="1"/>
  <c r="F178" i="1" s="1"/>
  <c r="D179" i="1" l="1"/>
  <c r="B179" i="1"/>
  <c r="C159" i="3" s="1"/>
  <c r="G178" i="1"/>
  <c r="E179" i="1" l="1"/>
  <c r="C179" i="1"/>
  <c r="D159" i="3" s="1"/>
  <c r="N179" i="1"/>
  <c r="H179" i="1"/>
  <c r="K179" i="1"/>
  <c r="O179" i="1" l="1"/>
  <c r="P179" i="1" s="1"/>
  <c r="I179" i="1"/>
  <c r="L179" i="1"/>
  <c r="M179" i="1" s="1"/>
  <c r="J179" i="1" l="1"/>
  <c r="F179" i="1" s="1"/>
  <c r="B180" i="1" l="1"/>
  <c r="C160" i="3" s="1"/>
  <c r="D180" i="1"/>
  <c r="G179" i="1"/>
  <c r="E180" i="1" l="1"/>
  <c r="C180" i="1"/>
  <c r="D160" i="3" s="1"/>
  <c r="H180" i="1"/>
  <c r="K180" i="1"/>
  <c r="N180" i="1"/>
  <c r="O180" i="1" l="1"/>
  <c r="P180" i="1" s="1"/>
  <c r="I180" i="1"/>
  <c r="L180" i="1"/>
  <c r="M180" i="1" s="1"/>
  <c r="J180" i="1" l="1"/>
  <c r="F180" i="1" s="1"/>
  <c r="D181" i="1" l="1"/>
  <c r="B181" i="1"/>
  <c r="C161" i="3" s="1"/>
  <c r="G180" i="1"/>
  <c r="E181" i="1" l="1"/>
  <c r="C181" i="1"/>
  <c r="D161" i="3" s="1"/>
  <c r="P27" i="3" s="1"/>
  <c r="H181" i="1"/>
  <c r="K181" i="1"/>
  <c r="N181" i="1"/>
  <c r="L181" i="1" l="1"/>
  <c r="M181" i="1" s="1"/>
  <c r="O181" i="1"/>
  <c r="P181" i="1" s="1"/>
  <c r="I181" i="1"/>
  <c r="J181" i="1" l="1"/>
  <c r="F181" i="1" s="1"/>
  <c r="B182" i="1" l="1"/>
  <c r="C162" i="3" s="1"/>
  <c r="D182" i="1"/>
  <c r="G181" i="1"/>
  <c r="E182" i="1" l="1"/>
  <c r="C182" i="1"/>
  <c r="D162" i="3" s="1"/>
  <c r="P26" i="3" s="1"/>
  <c r="H182" i="1"/>
  <c r="K182" i="1"/>
  <c r="N182" i="1"/>
  <c r="I182" i="1" l="1"/>
  <c r="L182" i="1"/>
  <c r="M182" i="1" s="1"/>
  <c r="O182" i="1"/>
  <c r="P182" i="1" s="1"/>
  <c r="J182" i="1" l="1"/>
  <c r="F182" i="1" s="1"/>
  <c r="D183" i="1" l="1"/>
  <c r="B183" i="1"/>
  <c r="C163" i="3" s="1"/>
  <c r="G182" i="1"/>
  <c r="E183" i="1" l="1"/>
  <c r="C183" i="1"/>
  <c r="D163" i="3" s="1"/>
  <c r="P25" i="3" s="1"/>
  <c r="H183" i="1"/>
  <c r="N183" i="1"/>
  <c r="K183" i="1"/>
  <c r="L183" i="1" l="1"/>
  <c r="M183" i="1" s="1"/>
  <c r="O183" i="1"/>
  <c r="P183" i="1" s="1"/>
  <c r="I183" i="1"/>
  <c r="J183" i="1" l="1"/>
  <c r="F183" i="1" s="1"/>
  <c r="B184" i="1" l="1"/>
  <c r="C164" i="3" s="1"/>
  <c r="D184" i="1"/>
  <c r="G183" i="1"/>
  <c r="E184" i="1" l="1"/>
  <c r="C184" i="1"/>
  <c r="D164" i="3" s="1"/>
  <c r="P24" i="3" s="1"/>
  <c r="N184" i="1"/>
  <c r="H184" i="1"/>
  <c r="K184" i="1"/>
  <c r="I184" i="1" l="1"/>
  <c r="L184" i="1"/>
  <c r="M184" i="1" s="1"/>
  <c r="O184" i="1"/>
  <c r="P184" i="1" s="1"/>
  <c r="J184" i="1" l="1"/>
  <c r="F184" i="1" s="1"/>
  <c r="D185" i="1" l="1"/>
  <c r="B185" i="1"/>
  <c r="C165" i="3" s="1"/>
  <c r="G184" i="1"/>
  <c r="E185" i="1" l="1"/>
  <c r="C185" i="1"/>
  <c r="D165" i="3" s="1"/>
  <c r="P23" i="3" s="1"/>
  <c r="N185" i="1"/>
  <c r="K185" i="1"/>
  <c r="H185" i="1"/>
  <c r="O185" i="1" l="1"/>
  <c r="P185" i="1" s="1"/>
  <c r="L185" i="1"/>
  <c r="M185" i="1" s="1"/>
  <c r="I185" i="1"/>
  <c r="J185" i="1" l="1"/>
  <c r="F185" i="1" s="1"/>
  <c r="B186" i="1" l="1"/>
  <c r="C166" i="3" s="1"/>
  <c r="D186" i="1"/>
  <c r="G185" i="1"/>
  <c r="E186" i="1" l="1"/>
  <c r="C186" i="1"/>
  <c r="D166" i="3" s="1"/>
  <c r="P22" i="3" s="1"/>
  <c r="K186" i="1"/>
  <c r="H186" i="1"/>
  <c r="N186" i="1"/>
  <c r="O186" i="1" l="1"/>
  <c r="P186" i="1" s="1"/>
  <c r="I186" i="1"/>
  <c r="L186" i="1"/>
  <c r="M186" i="1" s="1"/>
  <c r="J186" i="1" l="1"/>
  <c r="F186" i="1" s="1"/>
  <c r="D187" i="1" l="1"/>
  <c r="B187" i="1"/>
  <c r="C167" i="3" s="1"/>
  <c r="G186" i="1"/>
  <c r="E187" i="1" l="1"/>
  <c r="C187" i="1"/>
  <c r="D167" i="3" s="1"/>
  <c r="P21" i="3" s="1"/>
  <c r="H187" i="1"/>
  <c r="K187" i="1"/>
  <c r="N187" i="1"/>
  <c r="L187" i="1" l="1"/>
  <c r="M187" i="1" s="1"/>
  <c r="I187" i="1"/>
  <c r="O187" i="1"/>
  <c r="P187" i="1" s="1"/>
  <c r="J187" i="1" l="1"/>
  <c r="F187" i="1" s="1"/>
  <c r="B188" i="1" l="1"/>
  <c r="C168" i="3" s="1"/>
  <c r="O17" i="3" s="1"/>
  <c r="D188" i="1"/>
  <c r="G187" i="1"/>
  <c r="E188" i="1" l="1"/>
  <c r="C188" i="1"/>
  <c r="D168" i="3" s="1"/>
  <c r="H188" i="1"/>
  <c r="K188" i="1"/>
  <c r="N188" i="1"/>
  <c r="I188" i="1" l="1"/>
  <c r="L188" i="1"/>
  <c r="M188" i="1" s="1"/>
  <c r="O188" i="1"/>
  <c r="P188" i="1" s="1"/>
  <c r="J188" i="1" l="1"/>
  <c r="F188" i="1" s="1"/>
  <c r="D189" i="1" l="1"/>
  <c r="B189" i="1"/>
  <c r="C169" i="3" s="1"/>
  <c r="G188" i="1"/>
  <c r="E189" i="1" l="1"/>
  <c r="C189" i="1"/>
  <c r="D169" i="3" s="1"/>
  <c r="N189" i="1"/>
  <c r="K189" i="1"/>
  <c r="H189" i="1"/>
  <c r="O189" i="1" l="1"/>
  <c r="P189" i="1" s="1"/>
  <c r="I189" i="1"/>
  <c r="L189" i="1"/>
  <c r="M189" i="1" s="1"/>
  <c r="J189" i="1" l="1"/>
  <c r="F189" i="1" s="1"/>
  <c r="B190" i="1" l="1"/>
  <c r="C170" i="3" s="1"/>
  <c r="D190" i="1"/>
  <c r="G189" i="1"/>
  <c r="E190" i="1" l="1"/>
  <c r="C190" i="1"/>
  <c r="D170" i="3" s="1"/>
  <c r="K190" i="1"/>
  <c r="N190" i="1"/>
  <c r="H190" i="1"/>
  <c r="O190" i="1" l="1"/>
  <c r="P190" i="1" s="1"/>
  <c r="L190" i="1"/>
  <c r="M190" i="1" s="1"/>
  <c r="I190" i="1"/>
  <c r="J190" i="1" l="1"/>
  <c r="F190" i="1" s="1"/>
  <c r="D191" i="1" l="1"/>
  <c r="B191" i="1"/>
  <c r="C171" i="3" s="1"/>
  <c r="G190" i="1"/>
  <c r="E191" i="1" l="1"/>
  <c r="C191" i="1"/>
  <c r="D171" i="3" s="1"/>
  <c r="H191" i="1"/>
  <c r="K191" i="1"/>
  <c r="N191" i="1"/>
  <c r="L191" i="1" l="1"/>
  <c r="M191" i="1" s="1"/>
  <c r="O191" i="1"/>
  <c r="P191" i="1" s="1"/>
  <c r="I191" i="1"/>
  <c r="J191" i="1" l="1"/>
  <c r="F191" i="1" s="1"/>
  <c r="B192" i="1" l="1"/>
  <c r="C172" i="3" s="1"/>
  <c r="D192" i="1"/>
  <c r="G191" i="1"/>
  <c r="E192" i="1" l="1"/>
  <c r="C192" i="1"/>
  <c r="D172" i="3" s="1"/>
  <c r="N192" i="1"/>
  <c r="H192" i="1"/>
  <c r="K192" i="1"/>
  <c r="I192" i="1" l="1"/>
  <c r="L192" i="1"/>
  <c r="M192" i="1" s="1"/>
  <c r="O192" i="1"/>
  <c r="P192" i="1" s="1"/>
  <c r="J192" i="1" l="1"/>
  <c r="F192" i="1" s="1"/>
  <c r="D193" i="1" l="1"/>
  <c r="B193" i="1"/>
  <c r="C173" i="3" s="1"/>
  <c r="G192" i="1"/>
  <c r="E193" i="1" l="1"/>
  <c r="C193" i="1"/>
  <c r="D173" i="3" s="1"/>
  <c r="N193" i="1"/>
  <c r="H193" i="1"/>
  <c r="K193" i="1"/>
  <c r="O193" i="1" l="1"/>
  <c r="P193" i="1" s="1"/>
  <c r="I193" i="1"/>
  <c r="L193" i="1"/>
  <c r="M193" i="1" s="1"/>
  <c r="J193" i="1" l="1"/>
  <c r="F193" i="1" s="1"/>
  <c r="B194" i="1" l="1"/>
  <c r="C174" i="3" s="1"/>
  <c r="D194" i="1"/>
  <c r="G193" i="1"/>
  <c r="E194" i="1" l="1"/>
  <c r="C194" i="1"/>
  <c r="D174" i="3" s="1"/>
  <c r="K194" i="1"/>
  <c r="H194" i="1"/>
  <c r="N194" i="1"/>
  <c r="O194" i="1" l="1"/>
  <c r="P194" i="1" s="1"/>
  <c r="I194" i="1"/>
  <c r="L194" i="1"/>
  <c r="M194" i="1" s="1"/>
  <c r="J194" i="1" l="1"/>
  <c r="F194" i="1" s="1"/>
  <c r="D195" i="1" l="1"/>
  <c r="B195" i="1"/>
  <c r="C175" i="3" s="1"/>
  <c r="G194" i="1"/>
  <c r="E195" i="1" l="1"/>
  <c r="C195" i="1"/>
  <c r="D175" i="3" s="1"/>
  <c r="H195" i="1"/>
  <c r="N195" i="1"/>
  <c r="K195" i="1"/>
  <c r="L195" i="1" l="1"/>
  <c r="M195" i="1" s="1"/>
  <c r="I195" i="1"/>
  <c r="O195" i="1"/>
  <c r="P195" i="1" s="1"/>
  <c r="J195" i="1" l="1"/>
  <c r="F195" i="1" s="1"/>
  <c r="B196" i="1" l="1"/>
  <c r="C176" i="3" s="1"/>
  <c r="D196" i="1"/>
  <c r="G195" i="1"/>
  <c r="E196" i="1" l="1"/>
  <c r="C196" i="1"/>
  <c r="D176" i="3" s="1"/>
  <c r="N196" i="1"/>
  <c r="H196" i="1"/>
  <c r="K196" i="1"/>
  <c r="I196" i="1" l="1"/>
  <c r="L196" i="1"/>
  <c r="M196" i="1" s="1"/>
  <c r="O196" i="1"/>
  <c r="P196" i="1" s="1"/>
  <c r="J196" i="1" l="1"/>
  <c r="F196" i="1" s="1"/>
  <c r="D197" i="1" l="1"/>
  <c r="B197" i="1"/>
  <c r="C177" i="3" s="1"/>
  <c r="G196" i="1"/>
  <c r="E197" i="1" l="1"/>
  <c r="C197" i="1"/>
  <c r="D177" i="3" s="1"/>
  <c r="N197" i="1"/>
  <c r="K197" i="1"/>
  <c r="H197" i="1"/>
  <c r="I197" i="1" l="1"/>
  <c r="L197" i="1"/>
  <c r="M197" i="1" s="1"/>
  <c r="O197" i="1"/>
  <c r="P197" i="1" s="1"/>
  <c r="J197" i="1" l="1"/>
  <c r="F197" i="1" s="1"/>
  <c r="B198" i="1" l="1"/>
  <c r="C178" i="3" s="1"/>
  <c r="D198" i="1"/>
  <c r="G197" i="1"/>
  <c r="E198" i="1" l="1"/>
  <c r="C198" i="1"/>
  <c r="D178" i="3" s="1"/>
  <c r="K198" i="1"/>
  <c r="H198" i="1"/>
  <c r="N198" i="1"/>
  <c r="O198" i="1" l="1"/>
  <c r="P198" i="1" s="1"/>
  <c r="L198" i="1"/>
  <c r="M198" i="1" s="1"/>
  <c r="I198" i="1"/>
  <c r="J198" i="1" l="1"/>
  <c r="F198" i="1" s="1"/>
  <c r="D199" i="1" l="1"/>
  <c r="B199" i="1"/>
  <c r="C179" i="3" s="1"/>
  <c r="G198" i="1"/>
  <c r="E199" i="1" l="1"/>
  <c r="C199" i="1"/>
  <c r="D179" i="3" s="1"/>
  <c r="H199" i="1"/>
  <c r="K199" i="1"/>
  <c r="N199" i="1"/>
  <c r="L199" i="1" l="1"/>
  <c r="M199" i="1" s="1"/>
  <c r="I199" i="1"/>
  <c r="O199" i="1"/>
  <c r="P199" i="1" s="1"/>
  <c r="J199" i="1" l="1"/>
  <c r="F199" i="1" s="1"/>
  <c r="B200" i="1" l="1"/>
  <c r="C180" i="3" s="1"/>
  <c r="D200" i="1"/>
  <c r="G199" i="1"/>
  <c r="E200" i="1" l="1"/>
  <c r="C200" i="1"/>
  <c r="D180" i="3" s="1"/>
  <c r="N200" i="1"/>
  <c r="H200" i="1"/>
  <c r="K200" i="1"/>
  <c r="I200" i="1" l="1"/>
  <c r="O200" i="1"/>
  <c r="P200" i="1" s="1"/>
  <c r="L200" i="1"/>
  <c r="M200" i="1" s="1"/>
  <c r="J200" i="1" l="1"/>
  <c r="F200" i="1" s="1"/>
  <c r="D201" i="1" l="1"/>
  <c r="B201" i="1"/>
  <c r="C181" i="3" s="1"/>
  <c r="G200" i="1"/>
  <c r="E201" i="1" l="1"/>
  <c r="C201" i="1"/>
  <c r="D181" i="3" s="1"/>
  <c r="N201" i="1"/>
  <c r="H201" i="1"/>
  <c r="K201" i="1"/>
  <c r="O201" i="1" l="1"/>
  <c r="P201" i="1" s="1"/>
  <c r="I201" i="1"/>
  <c r="L201" i="1"/>
  <c r="M201" i="1" s="1"/>
  <c r="J201" i="1" l="1"/>
  <c r="F201" i="1" s="1"/>
  <c r="B202" i="1" l="1"/>
  <c r="C182" i="3" s="1"/>
  <c r="D202" i="1"/>
  <c r="G201" i="1"/>
  <c r="E202" i="1" l="1"/>
  <c r="C202" i="1"/>
  <c r="D182" i="3" s="1"/>
  <c r="K202" i="1"/>
  <c r="H202" i="1"/>
  <c r="N202" i="1"/>
  <c r="O202" i="1" l="1"/>
  <c r="P202" i="1" s="1"/>
  <c r="L202" i="1"/>
  <c r="M202" i="1" s="1"/>
  <c r="I202" i="1"/>
  <c r="J202" i="1" l="1"/>
  <c r="F202" i="1" s="1"/>
  <c r="D203" i="1" l="1"/>
  <c r="B203" i="1"/>
  <c r="C183" i="3" s="1"/>
  <c r="G202" i="1"/>
  <c r="E203" i="1" l="1"/>
  <c r="C203" i="1"/>
  <c r="D183" i="3" s="1"/>
  <c r="H203" i="1"/>
  <c r="K203" i="1"/>
  <c r="N203" i="1"/>
  <c r="L203" i="1" l="1"/>
  <c r="M203" i="1" s="1"/>
  <c r="I203" i="1"/>
  <c r="O203" i="1"/>
  <c r="P203" i="1" s="1"/>
  <c r="J203" i="1" l="1"/>
  <c r="F203" i="1" s="1"/>
  <c r="B204" i="1" l="1"/>
  <c r="C184" i="3" s="1"/>
  <c r="D204" i="1"/>
  <c r="G203" i="1"/>
  <c r="E204" i="1" l="1"/>
  <c r="C204" i="1"/>
  <c r="D184" i="3" s="1"/>
  <c r="H204" i="1"/>
  <c r="K204" i="1"/>
  <c r="N204" i="1"/>
  <c r="I204" i="1" l="1"/>
  <c r="L204" i="1"/>
  <c r="M204" i="1" s="1"/>
  <c r="O204" i="1"/>
  <c r="P204" i="1" s="1"/>
  <c r="J204" i="1" l="1"/>
  <c r="F204" i="1" s="1"/>
  <c r="D205" i="1" l="1"/>
  <c r="B205" i="1"/>
  <c r="C185" i="3" s="1"/>
  <c r="G204" i="1"/>
  <c r="E205" i="1" l="1"/>
  <c r="C205" i="1"/>
  <c r="D185" i="3" s="1"/>
  <c r="N205" i="1"/>
  <c r="K205" i="1"/>
  <c r="H205" i="1"/>
  <c r="I205" i="1" l="1"/>
  <c r="L205" i="1"/>
  <c r="M205" i="1" s="1"/>
  <c r="O205" i="1"/>
  <c r="P205" i="1" s="1"/>
  <c r="J205" i="1" l="1"/>
  <c r="F205" i="1" s="1"/>
  <c r="B206" i="1" l="1"/>
  <c r="C186" i="3" s="1"/>
  <c r="D206" i="1"/>
  <c r="G205" i="1"/>
  <c r="E206" i="1" l="1"/>
  <c r="C206" i="1"/>
  <c r="D186" i="3" s="1"/>
  <c r="K206" i="1"/>
  <c r="N206" i="1"/>
  <c r="H206" i="1"/>
  <c r="O206" i="1" l="1"/>
  <c r="P206" i="1" s="1"/>
  <c r="I206" i="1"/>
  <c r="L206" i="1"/>
  <c r="M206" i="1" s="1"/>
  <c r="J206" i="1" l="1"/>
  <c r="F206" i="1" s="1"/>
  <c r="D207" i="1" l="1"/>
  <c r="B207" i="1"/>
  <c r="C187" i="3" s="1"/>
  <c r="G206" i="1"/>
  <c r="E207" i="1" l="1"/>
  <c r="C207" i="1"/>
  <c r="D187" i="3" s="1"/>
  <c r="H207" i="1"/>
  <c r="K207" i="1"/>
  <c r="N207" i="1"/>
  <c r="I207" i="1" l="1"/>
  <c r="L207" i="1"/>
  <c r="M207" i="1" s="1"/>
  <c r="O207" i="1"/>
  <c r="P207" i="1" s="1"/>
  <c r="J207" i="1" l="1"/>
  <c r="F207" i="1" s="1"/>
  <c r="B208" i="1" l="1"/>
  <c r="C188" i="3" s="1"/>
  <c r="D208" i="1"/>
  <c r="G207" i="1"/>
  <c r="E208" i="1" l="1"/>
  <c r="C208" i="1"/>
  <c r="D188" i="3" s="1"/>
  <c r="N208" i="1"/>
  <c r="H208" i="1"/>
  <c r="K208" i="1"/>
  <c r="I208" i="1" l="1"/>
  <c r="L208" i="1"/>
  <c r="M208" i="1" s="1"/>
  <c r="O208" i="1"/>
  <c r="P208" i="1" s="1"/>
  <c r="J208" i="1" l="1"/>
  <c r="F208" i="1" s="1"/>
  <c r="D209" i="1" l="1"/>
  <c r="B209" i="1"/>
  <c r="C189" i="3" s="1"/>
  <c r="G208" i="1"/>
  <c r="H209" i="1" l="1"/>
  <c r="K209" i="1"/>
  <c r="N209" i="1"/>
  <c r="E209" i="1"/>
  <c r="C209" i="1"/>
  <c r="D189" i="3" s="1"/>
  <c r="O209" i="1" l="1"/>
  <c r="P209" i="1" s="1"/>
  <c r="I209" i="1"/>
  <c r="J209" i="1" s="1"/>
  <c r="L209" i="1"/>
  <c r="M209" i="1" s="1"/>
  <c r="F209" i="1" l="1"/>
  <c r="B210" i="1" s="1"/>
  <c r="C190" i="3" s="1"/>
  <c r="G209" i="1"/>
  <c r="D210" i="1" l="1"/>
  <c r="C210" i="1"/>
  <c r="D190" i="3" s="1"/>
  <c r="E210" i="1"/>
  <c r="K210" i="1"/>
  <c r="N210" i="1"/>
  <c r="H210" i="1"/>
  <c r="I210" i="1" l="1"/>
  <c r="L210" i="1"/>
  <c r="M210" i="1" s="1"/>
  <c r="O210" i="1"/>
  <c r="P210" i="1" s="1"/>
  <c r="J210" i="1" l="1"/>
  <c r="F210" i="1" s="1"/>
  <c r="D211" i="1" l="1"/>
  <c r="B211" i="1"/>
  <c r="C191" i="3" s="1"/>
  <c r="G210" i="1"/>
  <c r="E211" i="1" l="1"/>
  <c r="C211" i="1"/>
  <c r="D191" i="3" s="1"/>
  <c r="N211" i="1"/>
  <c r="H211" i="1"/>
  <c r="K211" i="1"/>
  <c r="L211" i="1" l="1"/>
  <c r="M211" i="1" s="1"/>
  <c r="O211" i="1"/>
  <c r="P211" i="1" s="1"/>
  <c r="I211" i="1"/>
  <c r="J211" i="1" l="1"/>
  <c r="F211" i="1" s="1"/>
  <c r="B212" i="1" l="1"/>
  <c r="C192" i="3" s="1"/>
  <c r="D212" i="1"/>
  <c r="G211" i="1"/>
  <c r="E212" i="1" l="1"/>
  <c r="C212" i="1"/>
  <c r="D192" i="3" s="1"/>
  <c r="N212" i="1"/>
  <c r="H212" i="1"/>
  <c r="K212" i="1"/>
  <c r="O212" i="1" l="1"/>
  <c r="P212" i="1" s="1"/>
  <c r="I212" i="1"/>
  <c r="L212" i="1"/>
  <c r="M212" i="1" s="1"/>
  <c r="J212" i="1" l="1"/>
  <c r="F212" i="1" s="1"/>
  <c r="D213" i="1" l="1"/>
  <c r="B213" i="1"/>
  <c r="C193" i="3" s="1"/>
  <c r="G212" i="1"/>
  <c r="E213" i="1" l="1"/>
  <c r="C213" i="1"/>
  <c r="D193" i="3" s="1"/>
  <c r="H213" i="1"/>
  <c r="K213" i="1"/>
  <c r="N213" i="1"/>
  <c r="O213" i="1" l="1"/>
  <c r="P213" i="1" s="1"/>
  <c r="I213" i="1"/>
  <c r="L213" i="1"/>
  <c r="M213" i="1" s="1"/>
  <c r="J213" i="1" l="1"/>
  <c r="F213" i="1" s="1"/>
  <c r="B214" i="1" l="1"/>
  <c r="C194" i="3" s="1"/>
  <c r="D214" i="1"/>
  <c r="G213" i="1"/>
  <c r="E214" i="1" l="1"/>
  <c r="C214" i="1"/>
  <c r="D194" i="3" s="1"/>
  <c r="H214" i="1"/>
  <c r="K214" i="1"/>
  <c r="N214" i="1"/>
  <c r="I214" i="1" l="1"/>
  <c r="L214" i="1"/>
  <c r="M214" i="1" s="1"/>
  <c r="O214" i="1"/>
  <c r="P214" i="1" s="1"/>
  <c r="J214" i="1" l="1"/>
  <c r="F214" i="1" s="1"/>
  <c r="D215" i="1" l="1"/>
  <c r="B215" i="1"/>
  <c r="C195" i="3" s="1"/>
  <c r="G214" i="1"/>
  <c r="K215" i="1" l="1"/>
  <c r="H215" i="1"/>
  <c r="N215" i="1"/>
  <c r="E215" i="1"/>
  <c r="C215" i="1"/>
  <c r="D195" i="3" s="1"/>
  <c r="I215" i="1" l="1"/>
  <c r="J215" i="1" s="1"/>
  <c r="L215" i="1"/>
  <c r="M215" i="1" s="1"/>
  <c r="O215" i="1"/>
  <c r="P215" i="1" s="1"/>
  <c r="F215" i="1" l="1"/>
  <c r="B216" i="1" s="1"/>
  <c r="C196" i="3" s="1"/>
  <c r="G215" i="1"/>
  <c r="D216" i="1" l="1"/>
  <c r="C216" i="1"/>
  <c r="D196" i="3" s="1"/>
  <c r="E216" i="1"/>
  <c r="K216" i="1"/>
  <c r="N216" i="1"/>
  <c r="H216" i="1"/>
  <c r="L216" i="1" l="1"/>
  <c r="M216" i="1" s="1"/>
  <c r="I216" i="1"/>
  <c r="O216" i="1"/>
  <c r="P216" i="1" s="1"/>
  <c r="J216" i="1" l="1"/>
  <c r="F216" i="1" s="1"/>
  <c r="D217" i="1" l="1"/>
  <c r="B217" i="1"/>
  <c r="C197" i="3" s="1"/>
  <c r="G216" i="1"/>
  <c r="E217" i="1" l="1"/>
  <c r="C217" i="1"/>
  <c r="D197" i="3" s="1"/>
  <c r="K217" i="1"/>
  <c r="N217" i="1"/>
  <c r="H217" i="1"/>
  <c r="L217" i="1" l="1"/>
  <c r="M217" i="1" s="1"/>
  <c r="O217" i="1"/>
  <c r="P217" i="1" s="1"/>
  <c r="I217" i="1"/>
  <c r="J217" i="1" l="1"/>
  <c r="F217" i="1" s="1"/>
  <c r="B218" i="1" l="1"/>
  <c r="C198" i="3" s="1"/>
  <c r="D218" i="1"/>
  <c r="G217" i="1"/>
  <c r="E218" i="1" l="1"/>
  <c r="C218" i="1"/>
  <c r="D198" i="3" s="1"/>
  <c r="H218" i="1"/>
  <c r="K218" i="1"/>
  <c r="N218" i="1"/>
  <c r="L218" i="1" l="1"/>
  <c r="M218" i="1" s="1"/>
  <c r="O218" i="1"/>
  <c r="P218" i="1" s="1"/>
  <c r="I218" i="1"/>
  <c r="J218" i="1" l="1"/>
  <c r="F218" i="1" s="1"/>
  <c r="D219" i="1" l="1"/>
  <c r="B219" i="1"/>
  <c r="C199" i="3" s="1"/>
  <c r="G218" i="1"/>
  <c r="E219" i="1" l="1"/>
  <c r="C219" i="1"/>
  <c r="D199" i="3" s="1"/>
  <c r="N219" i="1"/>
  <c r="H219" i="1"/>
  <c r="K219" i="1"/>
  <c r="I219" i="1" l="1"/>
  <c r="L219" i="1"/>
  <c r="M219" i="1" s="1"/>
  <c r="O219" i="1"/>
  <c r="P219" i="1" s="1"/>
  <c r="J219" i="1" l="1"/>
  <c r="F219" i="1" s="1"/>
  <c r="B220" i="1" l="1"/>
  <c r="C200" i="3" s="1"/>
  <c r="D220" i="1"/>
  <c r="G219" i="1"/>
  <c r="E220" i="1" l="1"/>
  <c r="C220" i="1"/>
  <c r="D200" i="3" s="1"/>
  <c r="N220" i="1"/>
  <c r="K220" i="1"/>
  <c r="H220" i="1"/>
  <c r="O220" i="1" l="1"/>
  <c r="P220" i="1" s="1"/>
  <c r="L220" i="1"/>
  <c r="M220" i="1" s="1"/>
  <c r="I220" i="1"/>
  <c r="J220" i="1" l="1"/>
  <c r="F220" i="1" s="1"/>
  <c r="D221" i="1" l="1"/>
  <c r="B221" i="1"/>
  <c r="C201" i="3" s="1"/>
  <c r="G220" i="1"/>
  <c r="E221" i="1" l="1"/>
  <c r="C221" i="1"/>
  <c r="D201" i="3" s="1"/>
  <c r="H221" i="1"/>
  <c r="K221" i="1"/>
  <c r="N221" i="1"/>
  <c r="O221" i="1" l="1"/>
  <c r="P221" i="1" s="1"/>
  <c r="I221" i="1"/>
  <c r="L221" i="1"/>
  <c r="M221" i="1" s="1"/>
  <c r="J221" i="1" l="1"/>
  <c r="F221" i="1" s="1"/>
  <c r="B222" i="1" l="1"/>
  <c r="C202" i="3" s="1"/>
  <c r="D222" i="1"/>
  <c r="G221" i="1"/>
  <c r="E222" i="1" l="1"/>
  <c r="C222" i="1"/>
  <c r="D202" i="3" s="1"/>
  <c r="H222" i="1"/>
  <c r="K222" i="1"/>
  <c r="N222" i="1"/>
  <c r="I222" i="1" l="1"/>
  <c r="J222" i="1" s="1"/>
  <c r="L222" i="1"/>
  <c r="M222" i="1" s="1"/>
  <c r="O222" i="1"/>
  <c r="P222" i="1" s="1"/>
  <c r="F222" i="1" l="1"/>
  <c r="D223" i="1" s="1"/>
  <c r="G222" i="1"/>
  <c r="B223" i="1" l="1"/>
  <c r="E223" i="1"/>
  <c r="C223" i="1"/>
  <c r="D203" i="3" s="1"/>
  <c r="H223" i="1" l="1"/>
  <c r="C203" i="3"/>
  <c r="K223" i="1"/>
  <c r="N223" i="1"/>
  <c r="I223" i="1"/>
  <c r="L223" i="1"/>
  <c r="O223" i="1"/>
  <c r="P223" i="1" l="1"/>
  <c r="M223" i="1"/>
  <c r="J223" i="1"/>
  <c r="F223" i="1" l="1"/>
  <c r="B224" i="1" s="1"/>
  <c r="C204" i="3" s="1"/>
  <c r="G223" i="1"/>
  <c r="D224" i="1" l="1"/>
  <c r="E224" i="1"/>
  <c r="C224" i="1"/>
  <c r="D204" i="3" s="1"/>
  <c r="K224" i="1"/>
  <c r="N224" i="1"/>
  <c r="H224" i="1"/>
  <c r="L224" i="1" l="1"/>
  <c r="M224" i="1" s="1"/>
  <c r="O224" i="1"/>
  <c r="P224" i="1" s="1"/>
  <c r="I224" i="1"/>
  <c r="J224" i="1" l="1"/>
  <c r="F224" i="1" s="1"/>
  <c r="D225" i="1" l="1"/>
  <c r="B225" i="1"/>
  <c r="C205" i="3" s="1"/>
  <c r="G224" i="1"/>
  <c r="E225" i="1" l="1"/>
  <c r="C225" i="1"/>
  <c r="D205" i="3" s="1"/>
  <c r="K225" i="1"/>
  <c r="N225" i="1"/>
  <c r="H225" i="1"/>
  <c r="O225" i="1" l="1"/>
  <c r="P225" i="1" s="1"/>
  <c r="I225" i="1"/>
  <c r="L225" i="1"/>
  <c r="M225" i="1" s="1"/>
  <c r="J225" i="1" l="1"/>
  <c r="F225" i="1" s="1"/>
  <c r="B226" i="1" l="1"/>
  <c r="C206" i="3" s="1"/>
  <c r="D226" i="1"/>
  <c r="G225" i="1"/>
  <c r="E226" i="1" l="1"/>
  <c r="C226" i="1"/>
  <c r="D206" i="3" s="1"/>
  <c r="H226" i="1"/>
  <c r="K226" i="1"/>
  <c r="N226" i="1"/>
  <c r="L226" i="1" l="1"/>
  <c r="M226" i="1" s="1"/>
  <c r="I226" i="1"/>
  <c r="O226" i="1"/>
  <c r="P226" i="1" s="1"/>
  <c r="J226" i="1" l="1"/>
  <c r="F226" i="1" s="1"/>
  <c r="D227" i="1" l="1"/>
  <c r="B227" i="1"/>
  <c r="C207" i="3" s="1"/>
  <c r="G226" i="1"/>
  <c r="E227" i="1" l="1"/>
  <c r="C227" i="1"/>
  <c r="D207" i="3" s="1"/>
  <c r="K227" i="1"/>
  <c r="N227" i="1"/>
  <c r="H227" i="1"/>
  <c r="L227" i="1" l="1"/>
  <c r="M227" i="1" s="1"/>
  <c r="O227" i="1"/>
  <c r="P227" i="1" s="1"/>
  <c r="I227" i="1"/>
  <c r="J227" i="1" l="1"/>
  <c r="F227" i="1" s="1"/>
  <c r="B228" i="1" l="1"/>
  <c r="C208" i="3" s="1"/>
  <c r="D228" i="1"/>
  <c r="G227" i="1"/>
  <c r="E228" i="1" l="1"/>
  <c r="C228" i="1"/>
  <c r="D208" i="3" s="1"/>
  <c r="N228" i="1"/>
  <c r="H228" i="1"/>
  <c r="K228" i="1"/>
  <c r="O228" i="1" l="1"/>
  <c r="P228" i="1" s="1"/>
  <c r="I228" i="1"/>
  <c r="L228" i="1"/>
  <c r="M228" i="1" s="1"/>
  <c r="J228" i="1" l="1"/>
  <c r="F228" i="1" s="1"/>
  <c r="D229" i="1" l="1"/>
  <c r="B229" i="1"/>
  <c r="C209" i="3" s="1"/>
  <c r="G228" i="1"/>
  <c r="E229" i="1" l="1"/>
  <c r="C229" i="1"/>
  <c r="D209" i="3" s="1"/>
  <c r="K229" i="1"/>
  <c r="N229" i="1"/>
  <c r="H229" i="1"/>
  <c r="O229" i="1" l="1"/>
  <c r="P229" i="1" s="1"/>
  <c r="I229" i="1"/>
  <c r="L229" i="1"/>
  <c r="M229" i="1" s="1"/>
  <c r="J229" i="1" l="1"/>
  <c r="F229" i="1" s="1"/>
  <c r="B230" i="1" l="1"/>
  <c r="C210" i="3" s="1"/>
  <c r="D230" i="1"/>
  <c r="G229" i="1"/>
  <c r="E230" i="1" l="1"/>
  <c r="C230" i="1"/>
  <c r="D210" i="3" s="1"/>
  <c r="H230" i="1"/>
  <c r="N230" i="1"/>
  <c r="K230" i="1"/>
  <c r="L230" i="1" l="1"/>
  <c r="M230" i="1" s="1"/>
  <c r="O230" i="1"/>
  <c r="P230" i="1" s="1"/>
  <c r="I230" i="1"/>
  <c r="J230" i="1" l="1"/>
  <c r="F230" i="1" s="1"/>
  <c r="D231" i="1" l="1"/>
  <c r="B231" i="1"/>
  <c r="C211" i="3" s="1"/>
  <c r="G230" i="1"/>
  <c r="E231" i="1" l="1"/>
  <c r="C231" i="1"/>
  <c r="D211" i="3" s="1"/>
  <c r="N231" i="1"/>
  <c r="H231" i="1"/>
  <c r="K231" i="1"/>
  <c r="O231" i="1" l="1"/>
  <c r="P231" i="1" s="1"/>
  <c r="I231" i="1"/>
  <c r="L231" i="1"/>
  <c r="M231" i="1" s="1"/>
  <c r="J231" i="1" l="1"/>
  <c r="F231" i="1" s="1"/>
  <c r="B232" i="1" l="1"/>
  <c r="C212" i="3" s="1"/>
  <c r="D232" i="1"/>
  <c r="G231" i="1"/>
  <c r="E232" i="1" l="1"/>
  <c r="C232" i="1"/>
  <c r="D212" i="3" s="1"/>
  <c r="N232" i="1"/>
  <c r="H232" i="1"/>
  <c r="K232" i="1"/>
  <c r="O232" i="1" l="1"/>
  <c r="P232" i="1" s="1"/>
  <c r="I232" i="1"/>
  <c r="L232" i="1"/>
  <c r="M232" i="1" s="1"/>
  <c r="J232" i="1" l="1"/>
  <c r="F232" i="1" s="1"/>
  <c r="D233" i="1" l="1"/>
  <c r="B233" i="1"/>
  <c r="C213" i="3" s="1"/>
  <c r="G232" i="1"/>
  <c r="E233" i="1" l="1"/>
  <c r="C233" i="1"/>
  <c r="D213" i="3" s="1"/>
  <c r="H233" i="1"/>
  <c r="K233" i="1"/>
  <c r="N233" i="1"/>
  <c r="O233" i="1" l="1"/>
  <c r="P233" i="1" s="1"/>
  <c r="I233" i="1"/>
  <c r="L233" i="1"/>
  <c r="M233" i="1" s="1"/>
  <c r="J233" i="1" l="1"/>
  <c r="F233" i="1" s="1"/>
  <c r="B234" i="1" l="1"/>
  <c r="C214" i="3" s="1"/>
  <c r="D234" i="1"/>
  <c r="G233" i="1"/>
  <c r="E234" i="1" l="1"/>
  <c r="C234" i="1"/>
  <c r="D214" i="3" s="1"/>
  <c r="H234" i="1"/>
  <c r="K234" i="1"/>
  <c r="N234" i="1"/>
  <c r="I234" i="1" l="1"/>
  <c r="L234" i="1"/>
  <c r="M234" i="1" s="1"/>
  <c r="O234" i="1"/>
  <c r="P234" i="1" s="1"/>
  <c r="J234" i="1" l="1"/>
  <c r="F234" i="1" s="1"/>
  <c r="D235" i="1" l="1"/>
  <c r="B235" i="1"/>
  <c r="C215" i="3" s="1"/>
  <c r="G234" i="1"/>
  <c r="E235" i="1" l="1"/>
  <c r="C235" i="1"/>
  <c r="D215" i="3" s="1"/>
  <c r="K235" i="1"/>
  <c r="H235" i="1"/>
  <c r="N235" i="1"/>
  <c r="I235" i="1" l="1"/>
  <c r="L235" i="1"/>
  <c r="M235" i="1" s="1"/>
  <c r="O235" i="1"/>
  <c r="P235" i="1" s="1"/>
  <c r="J235" i="1" l="1"/>
  <c r="F235" i="1" s="1"/>
  <c r="B236" i="1" l="1"/>
  <c r="C216" i="3" s="1"/>
  <c r="D236" i="1"/>
  <c r="G235" i="1"/>
  <c r="E236" i="1" l="1"/>
  <c r="C236" i="1"/>
  <c r="D216" i="3" s="1"/>
  <c r="K236" i="1"/>
  <c r="N236" i="1"/>
  <c r="H236" i="1"/>
  <c r="L236" i="1" l="1"/>
  <c r="M236" i="1" s="1"/>
  <c r="I236" i="1"/>
  <c r="O236" i="1"/>
  <c r="P236" i="1" s="1"/>
  <c r="J236" i="1" l="1"/>
  <c r="F236" i="1" s="1"/>
  <c r="D237" i="1" l="1"/>
  <c r="B237" i="1"/>
  <c r="C217" i="3" s="1"/>
  <c r="G236" i="1"/>
  <c r="E237" i="1" l="1"/>
  <c r="C237" i="1"/>
  <c r="D217" i="3" s="1"/>
  <c r="K237" i="1"/>
  <c r="N237" i="1"/>
  <c r="H237" i="1"/>
  <c r="L237" i="1" l="1"/>
  <c r="M237" i="1" s="1"/>
  <c r="O237" i="1"/>
  <c r="P237" i="1" s="1"/>
  <c r="I237" i="1"/>
  <c r="J237" i="1" l="1"/>
  <c r="F237" i="1" s="1"/>
  <c r="B238" i="1" l="1"/>
  <c r="C218" i="3" s="1"/>
  <c r="D238" i="1"/>
  <c r="G237" i="1"/>
  <c r="E238" i="1" l="1"/>
  <c r="C238" i="1"/>
  <c r="D218" i="3" s="1"/>
  <c r="N238" i="1"/>
  <c r="H238" i="1"/>
  <c r="K238" i="1"/>
  <c r="L238" i="1" l="1"/>
  <c r="M238" i="1" s="1"/>
  <c r="O238" i="1"/>
  <c r="P238" i="1" s="1"/>
  <c r="I238" i="1"/>
  <c r="J238" i="1" l="1"/>
  <c r="F238" i="1" s="1"/>
  <c r="D239" i="1" l="1"/>
  <c r="B239" i="1"/>
  <c r="C219" i="3" s="1"/>
  <c r="G238" i="1"/>
  <c r="E239" i="1" l="1"/>
  <c r="C239" i="1"/>
  <c r="D219" i="3" s="1"/>
  <c r="N239" i="1"/>
  <c r="H239" i="1"/>
  <c r="K239" i="1"/>
  <c r="O239" i="1" l="1"/>
  <c r="P239" i="1" s="1"/>
  <c r="I239" i="1"/>
  <c r="L239" i="1"/>
  <c r="M239" i="1" s="1"/>
  <c r="J239" i="1" l="1"/>
  <c r="F239" i="1" s="1"/>
  <c r="B240" i="1" l="1"/>
  <c r="C220" i="3" s="1"/>
  <c r="D240" i="1"/>
  <c r="G239" i="1"/>
  <c r="E240" i="1" l="1"/>
  <c r="C240" i="1"/>
  <c r="D220" i="3" s="1"/>
  <c r="N240" i="1"/>
  <c r="H240" i="1"/>
  <c r="K240" i="1"/>
  <c r="O240" i="1" l="1"/>
  <c r="P240" i="1" s="1"/>
  <c r="I240" i="1"/>
  <c r="L240" i="1"/>
  <c r="M240" i="1" s="1"/>
  <c r="J240" i="1" l="1"/>
  <c r="F240" i="1" s="1"/>
  <c r="D241" i="1" l="1"/>
  <c r="B241" i="1"/>
  <c r="C221" i="3" s="1"/>
  <c r="G240" i="1"/>
  <c r="E241" i="1" l="1"/>
  <c r="C241" i="1"/>
  <c r="D221" i="3" s="1"/>
  <c r="H241" i="1"/>
  <c r="K241" i="1"/>
  <c r="N241" i="1"/>
  <c r="O241" i="1" l="1"/>
  <c r="P241" i="1" s="1"/>
  <c r="I241" i="1"/>
  <c r="L241" i="1"/>
  <c r="M241" i="1" s="1"/>
  <c r="J241" i="1" l="1"/>
  <c r="F241" i="1" s="1"/>
  <c r="B242" i="1" l="1"/>
  <c r="C222" i="3" s="1"/>
  <c r="D242" i="1"/>
  <c r="G241" i="1"/>
  <c r="E242" i="1" l="1"/>
  <c r="C242" i="1"/>
  <c r="D222" i="3" s="1"/>
  <c r="H242" i="1"/>
  <c r="K242" i="1"/>
  <c r="N242" i="1"/>
  <c r="I242" i="1" l="1"/>
  <c r="L242" i="1"/>
  <c r="M242" i="1" s="1"/>
  <c r="O242" i="1"/>
  <c r="P242" i="1" s="1"/>
  <c r="J242" i="1" l="1"/>
  <c r="F242" i="1" s="1"/>
  <c r="D243" i="1" l="1"/>
  <c r="B243" i="1"/>
  <c r="C223" i="3" s="1"/>
  <c r="G242" i="1"/>
  <c r="E243" i="1" l="1"/>
  <c r="C243" i="1"/>
  <c r="D223" i="3" s="1"/>
  <c r="K243" i="1"/>
  <c r="H243" i="1"/>
  <c r="N243" i="1"/>
  <c r="I243" i="1" l="1"/>
  <c r="L243" i="1"/>
  <c r="M243" i="1" s="1"/>
  <c r="O243" i="1"/>
  <c r="P243" i="1" s="1"/>
  <c r="J243" i="1" l="1"/>
  <c r="F243" i="1" s="1"/>
  <c r="B244" i="1" l="1"/>
  <c r="C224" i="3" s="1"/>
  <c r="D244" i="1"/>
  <c r="G243" i="1"/>
  <c r="E244" i="1" l="1"/>
  <c r="C244" i="1"/>
  <c r="D224" i="3" s="1"/>
  <c r="K244" i="1"/>
  <c r="N244" i="1"/>
  <c r="H244" i="1"/>
  <c r="L244" i="1" l="1"/>
  <c r="M244" i="1" s="1"/>
  <c r="I244" i="1"/>
  <c r="O244" i="1"/>
  <c r="P244" i="1" s="1"/>
  <c r="J244" i="1" l="1"/>
  <c r="F244" i="1" s="1"/>
  <c r="D245" i="1" l="1"/>
  <c r="B245" i="1"/>
  <c r="C225" i="3" s="1"/>
  <c r="G244" i="1"/>
  <c r="E245" i="1" l="1"/>
  <c r="C245" i="1"/>
  <c r="D225" i="3" s="1"/>
  <c r="K245" i="1"/>
  <c r="N245" i="1"/>
  <c r="H245" i="1"/>
  <c r="L245" i="1" l="1"/>
  <c r="M245" i="1" s="1"/>
  <c r="O245" i="1"/>
  <c r="P245" i="1" s="1"/>
  <c r="I245" i="1"/>
  <c r="J245" i="1" l="1"/>
  <c r="F245" i="1" s="1"/>
  <c r="B246" i="1" l="1"/>
  <c r="C226" i="3" s="1"/>
  <c r="D246" i="1"/>
  <c r="G245" i="1"/>
  <c r="E246" i="1" l="1"/>
  <c r="C246" i="1"/>
  <c r="D226" i="3" s="1"/>
  <c r="N246" i="1"/>
  <c r="H246" i="1"/>
  <c r="K246" i="1"/>
  <c r="L246" i="1" l="1"/>
  <c r="M246" i="1" s="1"/>
  <c r="O246" i="1"/>
  <c r="P246" i="1" s="1"/>
  <c r="I246" i="1"/>
  <c r="J246" i="1" l="1"/>
  <c r="F246" i="1" s="1"/>
  <c r="D247" i="1" l="1"/>
  <c r="B247" i="1"/>
  <c r="C227" i="3" s="1"/>
  <c r="G246" i="1"/>
  <c r="N247" i="1" l="1"/>
  <c r="H247" i="1"/>
  <c r="K247" i="1"/>
  <c r="E247" i="1"/>
  <c r="C247" i="1"/>
  <c r="D227" i="3" s="1"/>
  <c r="O247" i="1" l="1"/>
  <c r="P247" i="1" s="1"/>
  <c r="I247" i="1"/>
  <c r="J247" i="1" s="1"/>
  <c r="L247" i="1"/>
  <c r="M247" i="1" s="1"/>
  <c r="F247" i="1" l="1"/>
  <c r="B248" i="1" s="1"/>
  <c r="C228" i="3" s="1"/>
  <c r="G247" i="1"/>
  <c r="D248" i="1" l="1"/>
  <c r="E248" i="1"/>
  <c r="C248" i="1"/>
  <c r="D228" i="3" s="1"/>
  <c r="N248" i="1"/>
  <c r="H248" i="1"/>
  <c r="K248" i="1"/>
  <c r="O248" i="1" l="1"/>
  <c r="P248" i="1" s="1"/>
  <c r="I248" i="1"/>
  <c r="J248" i="1" s="1"/>
  <c r="L248" i="1"/>
  <c r="M248" i="1" s="1"/>
  <c r="F248" i="1" l="1"/>
  <c r="D249" i="1" s="1"/>
  <c r="G248" i="1"/>
  <c r="B249" i="1" l="1"/>
  <c r="E249" i="1"/>
  <c r="C249" i="1"/>
  <c r="D229" i="3" s="1"/>
  <c r="H249" i="1" l="1"/>
  <c r="C229" i="3"/>
  <c r="K249" i="1"/>
  <c r="N249" i="1"/>
  <c r="O249" i="1"/>
  <c r="I249" i="1"/>
  <c r="L249" i="1"/>
  <c r="P249" i="1" l="1"/>
  <c r="M249" i="1"/>
  <c r="J249" i="1"/>
  <c r="F249" i="1" l="1"/>
  <c r="B250" i="1" s="1"/>
  <c r="C230" i="3" s="1"/>
  <c r="G249" i="1"/>
  <c r="D250" i="1" l="1"/>
  <c r="E250" i="1"/>
  <c r="C250" i="1"/>
  <c r="D230" i="3" s="1"/>
  <c r="H250" i="1"/>
  <c r="K250" i="1"/>
  <c r="N250" i="1"/>
  <c r="I250" i="1" l="1"/>
  <c r="J250" i="1" s="1"/>
  <c r="L250" i="1"/>
  <c r="M250" i="1" s="1"/>
  <c r="O250" i="1"/>
  <c r="P250" i="1" s="1"/>
  <c r="F250" i="1" l="1"/>
  <c r="D251" i="1" s="1"/>
  <c r="G250" i="1"/>
  <c r="B251" i="1" l="1"/>
  <c r="E251" i="1"/>
  <c r="C251" i="1"/>
  <c r="D231" i="3" s="1"/>
  <c r="K251" i="1" l="1"/>
  <c r="C231" i="3"/>
  <c r="H251" i="1"/>
  <c r="N251" i="1"/>
  <c r="I251" i="1"/>
  <c r="L251" i="1"/>
  <c r="O251" i="1"/>
  <c r="P251" i="1" s="1"/>
  <c r="M251" i="1" l="1"/>
  <c r="J251" i="1"/>
  <c r="F251" i="1" l="1"/>
  <c r="B252" i="1" s="1"/>
  <c r="C232" i="3" s="1"/>
  <c r="G251" i="1"/>
  <c r="D252" i="1" l="1"/>
  <c r="E252" i="1"/>
  <c r="C252" i="1"/>
  <c r="D232" i="3" s="1"/>
  <c r="K252" i="1"/>
  <c r="N252" i="1"/>
  <c r="H252" i="1"/>
  <c r="L252" i="1" l="1"/>
  <c r="M252" i="1" s="1"/>
  <c r="I252" i="1"/>
  <c r="O252" i="1"/>
  <c r="P252" i="1" s="1"/>
  <c r="J252" i="1" l="1"/>
  <c r="F252" i="1" s="1"/>
  <c r="D253" i="1" l="1"/>
  <c r="B253" i="1"/>
  <c r="C233" i="3" s="1"/>
  <c r="G252" i="1"/>
  <c r="E253" i="1" l="1"/>
  <c r="C253" i="1"/>
  <c r="D233" i="3" s="1"/>
  <c r="K253" i="1"/>
  <c r="N253" i="1"/>
  <c r="H253" i="1"/>
  <c r="L253" i="1" l="1"/>
  <c r="M253" i="1" s="1"/>
  <c r="O253" i="1"/>
  <c r="P253" i="1" s="1"/>
  <c r="I253" i="1"/>
  <c r="J253" i="1" l="1"/>
  <c r="F253" i="1" s="1"/>
  <c r="D254" i="1" l="1"/>
  <c r="B254" i="1"/>
  <c r="C234" i="3" s="1"/>
  <c r="G253" i="1"/>
  <c r="E254" i="1" l="1"/>
  <c r="C254" i="1"/>
  <c r="D234" i="3" s="1"/>
  <c r="N254" i="1"/>
  <c r="H254" i="1"/>
  <c r="K254" i="1"/>
  <c r="L254" i="1" l="1"/>
  <c r="M254" i="1" s="1"/>
  <c r="O254" i="1"/>
  <c r="P254" i="1" s="1"/>
  <c r="I254" i="1"/>
  <c r="J254" i="1" l="1"/>
  <c r="F254" i="1" s="1"/>
  <c r="B255" i="1" l="1"/>
  <c r="C235" i="3" s="1"/>
  <c r="D255" i="1"/>
  <c r="G254" i="1"/>
  <c r="E255" i="1" l="1"/>
  <c r="C255" i="1"/>
  <c r="D235" i="3" s="1"/>
  <c r="N255" i="1"/>
  <c r="H255" i="1"/>
  <c r="K255" i="1"/>
  <c r="O255" i="1" l="1"/>
  <c r="P255" i="1" s="1"/>
  <c r="I255" i="1"/>
  <c r="L255" i="1"/>
  <c r="M255" i="1" s="1"/>
  <c r="J255" i="1" l="1"/>
  <c r="F255" i="1" s="1"/>
  <c r="D256" i="1" l="1"/>
  <c r="B256" i="1"/>
  <c r="C236" i="3" s="1"/>
  <c r="G255" i="1"/>
  <c r="E256" i="1" l="1"/>
  <c r="C256" i="1"/>
  <c r="D236" i="3" s="1"/>
  <c r="N256" i="1"/>
  <c r="H256" i="1"/>
  <c r="K256" i="1"/>
  <c r="O256" i="1" l="1"/>
  <c r="P256" i="1" s="1"/>
  <c r="I256" i="1"/>
  <c r="L256" i="1"/>
  <c r="M256" i="1" s="1"/>
  <c r="J256" i="1" l="1"/>
  <c r="F256" i="1" s="1"/>
  <c r="B257" i="1" l="1"/>
  <c r="C237" i="3" s="1"/>
  <c r="D257" i="1"/>
  <c r="G256" i="1"/>
  <c r="E257" i="1" l="1"/>
  <c r="C257" i="1"/>
  <c r="D237" i="3" s="1"/>
  <c r="H257" i="1"/>
  <c r="N257" i="1"/>
  <c r="K257" i="1"/>
  <c r="O257" i="1" l="1"/>
  <c r="P257" i="1" s="1"/>
  <c r="I257" i="1"/>
  <c r="L257" i="1"/>
  <c r="M257" i="1" s="1"/>
  <c r="J257" i="1" l="1"/>
  <c r="F257" i="1" s="1"/>
  <c r="D258" i="1" l="1"/>
  <c r="B258" i="1"/>
  <c r="C238" i="3" s="1"/>
  <c r="G257" i="1"/>
  <c r="E258" i="1" l="1"/>
  <c r="C258" i="1"/>
  <c r="D238" i="3" s="1"/>
  <c r="K258" i="1"/>
  <c r="N258" i="1"/>
  <c r="H258" i="1"/>
  <c r="O258" i="1" l="1"/>
  <c r="P258" i="1" s="1"/>
  <c r="I258" i="1"/>
  <c r="L258" i="1"/>
  <c r="M258" i="1" s="1"/>
  <c r="J258" i="1" l="1"/>
  <c r="F258" i="1" s="1"/>
  <c r="B259" i="1" l="1"/>
  <c r="C239" i="3" s="1"/>
  <c r="D259" i="1"/>
  <c r="G258" i="1"/>
  <c r="E259" i="1" l="1"/>
  <c r="C259" i="1"/>
  <c r="D239" i="3" s="1"/>
  <c r="H259" i="1"/>
  <c r="K259" i="1"/>
  <c r="N259" i="1"/>
  <c r="L259" i="1" l="1"/>
  <c r="M259" i="1" s="1"/>
  <c r="O259" i="1"/>
  <c r="P259" i="1" s="1"/>
  <c r="I259" i="1"/>
  <c r="J259" i="1" l="1"/>
  <c r="F259" i="1" s="1"/>
  <c r="D260" i="1" l="1"/>
  <c r="B260" i="1"/>
  <c r="C240" i="3" s="1"/>
  <c r="G259" i="1"/>
  <c r="E260" i="1" l="1"/>
  <c r="C260" i="1"/>
  <c r="D240" i="3" s="1"/>
  <c r="H260" i="1"/>
  <c r="K260" i="1"/>
  <c r="N260" i="1"/>
  <c r="I260" i="1" l="1"/>
  <c r="L260" i="1"/>
  <c r="M260" i="1" s="1"/>
  <c r="O260" i="1"/>
  <c r="P260" i="1" s="1"/>
  <c r="J260" i="1" l="1"/>
  <c r="F260" i="1" s="1"/>
  <c r="B261" i="1" l="1"/>
  <c r="C241" i="3" s="1"/>
  <c r="D261" i="1"/>
  <c r="G260" i="1"/>
  <c r="E261" i="1" l="1"/>
  <c r="C261" i="1"/>
  <c r="D241" i="3" s="1"/>
  <c r="N261" i="1"/>
  <c r="K261" i="1"/>
  <c r="H261" i="1"/>
  <c r="I261" i="1" l="1"/>
  <c r="L261" i="1"/>
  <c r="M261" i="1" s="1"/>
  <c r="O261" i="1"/>
  <c r="P261" i="1" s="1"/>
  <c r="J261" i="1" l="1"/>
  <c r="F261" i="1" s="1"/>
  <c r="D262" i="1" l="1"/>
  <c r="B262" i="1"/>
  <c r="C242" i="3" s="1"/>
  <c r="G261" i="1"/>
  <c r="E262" i="1" l="1"/>
  <c r="C262" i="1"/>
  <c r="D242" i="3" s="1"/>
  <c r="K262" i="1"/>
  <c r="N262" i="1"/>
  <c r="H262" i="1"/>
  <c r="O262" i="1" l="1"/>
  <c r="P262" i="1" s="1"/>
  <c r="L262" i="1"/>
  <c r="M262" i="1" s="1"/>
  <c r="I262" i="1"/>
  <c r="J262" i="1" l="1"/>
  <c r="F262" i="1" s="1"/>
  <c r="B263" i="1" l="1"/>
  <c r="C243" i="3" s="1"/>
  <c r="D263" i="1"/>
  <c r="G262" i="1"/>
  <c r="E263" i="1" l="1"/>
  <c r="C263" i="1"/>
  <c r="D243" i="3" s="1"/>
  <c r="H263" i="1"/>
  <c r="K263" i="1"/>
  <c r="N263" i="1"/>
  <c r="L263" i="1" l="1"/>
  <c r="M263" i="1" s="1"/>
  <c r="O263" i="1"/>
  <c r="P263" i="1" s="1"/>
  <c r="I263" i="1"/>
  <c r="J263" i="1" l="1"/>
  <c r="F263" i="1" s="1"/>
  <c r="D264" i="1" l="1"/>
  <c r="B264" i="1"/>
  <c r="C244" i="3" s="1"/>
  <c r="G263" i="1"/>
  <c r="N264" i="1" l="1"/>
  <c r="H264" i="1"/>
  <c r="K264" i="1"/>
  <c r="E264" i="1"/>
  <c r="C264" i="1"/>
  <c r="D244" i="3" s="1"/>
  <c r="I264" i="1" l="1"/>
  <c r="J264" i="1" s="1"/>
  <c r="L264" i="1"/>
  <c r="M264" i="1" s="1"/>
  <c r="O264" i="1"/>
  <c r="P264" i="1" s="1"/>
  <c r="F264" i="1" l="1"/>
  <c r="G264" i="1"/>
  <c r="E265" i="1" l="1"/>
  <c r="C265" i="1"/>
  <c r="D245" i="3" s="1"/>
  <c r="B265" i="1"/>
  <c r="C245" i="3" s="1"/>
  <c r="D265" i="1"/>
  <c r="N265" i="1" l="1"/>
  <c r="K265" i="1"/>
  <c r="H265" i="1"/>
  <c r="O265" i="1"/>
  <c r="I265" i="1"/>
  <c r="L265" i="1"/>
  <c r="M265" i="1" l="1"/>
  <c r="J265" i="1"/>
  <c r="P265" i="1"/>
  <c r="F265" i="1" l="1"/>
  <c r="B266" i="1" s="1"/>
  <c r="C246" i="3" s="1"/>
  <c r="G265" i="1"/>
  <c r="E266" i="1" s="1"/>
  <c r="D266" i="1" l="1"/>
  <c r="C266" i="1"/>
  <c r="K266" i="1"/>
  <c r="N266" i="1"/>
  <c r="H266" i="1"/>
  <c r="O266" i="1" l="1"/>
  <c r="P266" i="1" s="1"/>
  <c r="D246" i="3"/>
  <c r="L266" i="1"/>
  <c r="M266" i="1" s="1"/>
  <c r="I266" i="1"/>
  <c r="J266" i="1" s="1"/>
  <c r="F266" i="1" l="1"/>
  <c r="D267" i="1" s="1"/>
  <c r="G266" i="1"/>
  <c r="B267" i="1" l="1"/>
  <c r="C267" i="1"/>
  <c r="D247" i="3" s="1"/>
  <c r="E267" i="1"/>
  <c r="H267" i="1" l="1"/>
  <c r="C247" i="3"/>
  <c r="K267" i="1"/>
  <c r="N267" i="1"/>
  <c r="L267" i="1"/>
  <c r="O267" i="1"/>
  <c r="P267" i="1" s="1"/>
  <c r="I267" i="1"/>
  <c r="J267" i="1" s="1"/>
  <c r="M267" i="1" l="1"/>
  <c r="F267" i="1" s="1"/>
  <c r="B268" i="1" s="1"/>
  <c r="C248" i="3" s="1"/>
  <c r="G267" i="1" l="1"/>
  <c r="C268" i="1" s="1"/>
  <c r="D248" i="3" s="1"/>
  <c r="D268" i="1"/>
  <c r="H268" i="1"/>
  <c r="K268" i="1"/>
  <c r="N268" i="1"/>
  <c r="E268" i="1" l="1"/>
  <c r="I268" i="1"/>
  <c r="L268" i="1"/>
  <c r="M268" i="1" s="1"/>
  <c r="O268" i="1"/>
  <c r="P268" i="1" s="1"/>
  <c r="J268" i="1" l="1"/>
  <c r="F268" i="1" s="1"/>
  <c r="B269" i="1" l="1"/>
  <c r="C249" i="3" s="1"/>
  <c r="D269" i="1"/>
  <c r="G268" i="1"/>
  <c r="C269" i="1" l="1"/>
  <c r="D249" i="3" s="1"/>
  <c r="E269" i="1"/>
  <c r="N269" i="1"/>
  <c r="K269" i="1"/>
  <c r="H269" i="1"/>
  <c r="I269" i="1" l="1"/>
  <c r="O269" i="1"/>
  <c r="P269" i="1" s="1"/>
  <c r="L269" i="1"/>
  <c r="M269" i="1" s="1"/>
  <c r="J269" i="1" l="1"/>
  <c r="F269" i="1" s="1"/>
  <c r="D270" i="1" l="1"/>
  <c r="B270" i="1"/>
  <c r="C250" i="3" s="1"/>
  <c r="G269" i="1"/>
  <c r="K270" i="1" l="1"/>
  <c r="N270" i="1"/>
  <c r="H270" i="1"/>
  <c r="E270" i="1"/>
  <c r="C270" i="1"/>
  <c r="D250" i="3" s="1"/>
  <c r="O270" i="1" l="1"/>
  <c r="P270" i="1" s="1"/>
  <c r="L270" i="1"/>
  <c r="M270" i="1" s="1"/>
  <c r="I270" i="1"/>
  <c r="J270" i="1" l="1"/>
  <c r="F270" i="1" s="1"/>
  <c r="D271" i="1" l="1"/>
  <c r="B271" i="1"/>
  <c r="C251" i="3" s="1"/>
  <c r="G270" i="1"/>
  <c r="E271" i="1" l="1"/>
  <c r="C271" i="1"/>
  <c r="D251" i="3" s="1"/>
  <c r="H271" i="1"/>
  <c r="K271" i="1"/>
  <c r="N271" i="1"/>
  <c r="L271" i="1" l="1"/>
  <c r="M271" i="1" s="1"/>
  <c r="O271" i="1"/>
  <c r="P271" i="1" s="1"/>
  <c r="I271" i="1"/>
  <c r="J271" i="1" s="1"/>
  <c r="F271" i="1" l="1"/>
  <c r="D272" i="1" s="1"/>
  <c r="G271" i="1"/>
  <c r="B272" i="1" l="1"/>
  <c r="E272" i="1"/>
  <c r="C272" i="1"/>
  <c r="D252" i="3" s="1"/>
  <c r="N272" i="1" l="1"/>
  <c r="C252" i="3"/>
  <c r="H272" i="1"/>
  <c r="K272" i="1"/>
  <c r="I272" i="1"/>
  <c r="L272" i="1"/>
  <c r="O272" i="1"/>
  <c r="P272" i="1" s="1"/>
  <c r="M272" i="1" l="1"/>
  <c r="J272" i="1"/>
  <c r="F272" i="1" l="1"/>
  <c r="B273" i="1" s="1"/>
  <c r="C253" i="3" s="1"/>
  <c r="G272" i="1"/>
  <c r="D273" i="1" l="1"/>
  <c r="E273" i="1"/>
  <c r="C273" i="1"/>
  <c r="D253" i="3" s="1"/>
  <c r="N273" i="1"/>
  <c r="H273" i="1"/>
  <c r="K273" i="1"/>
  <c r="O273" i="1" l="1"/>
  <c r="P273" i="1" s="1"/>
  <c r="I273" i="1"/>
  <c r="J273" i="1" s="1"/>
  <c r="L273" i="1"/>
  <c r="M273" i="1" s="1"/>
  <c r="F273" i="1" l="1"/>
  <c r="D274" i="1" s="1"/>
  <c r="G273" i="1"/>
  <c r="B274" i="1" l="1"/>
  <c r="E274" i="1"/>
  <c r="C274" i="1"/>
  <c r="D254" i="3" s="1"/>
  <c r="K274" i="1" l="1"/>
  <c r="C254" i="3"/>
  <c r="H274" i="1"/>
  <c r="N274" i="1"/>
  <c r="O274" i="1"/>
  <c r="I274" i="1"/>
  <c r="L274" i="1"/>
  <c r="M274" i="1" s="1"/>
  <c r="P274" i="1" l="1"/>
  <c r="J274" i="1"/>
  <c r="F274" i="1" l="1"/>
  <c r="B275" i="1" s="1"/>
  <c r="G274" i="1"/>
  <c r="E275" i="1" s="1"/>
  <c r="H275" i="1" l="1"/>
  <c r="C255" i="3"/>
  <c r="N275" i="1"/>
  <c r="K275" i="1"/>
  <c r="D275" i="1"/>
  <c r="C275" i="1"/>
  <c r="L275" i="1" l="1"/>
  <c r="M275" i="1" s="1"/>
  <c r="D255" i="3"/>
  <c r="I275" i="1"/>
  <c r="J275" i="1" s="1"/>
  <c r="O275" i="1"/>
  <c r="P275" i="1" s="1"/>
  <c r="F275" i="1" l="1"/>
  <c r="B276" i="1" s="1"/>
  <c r="C256" i="3" s="1"/>
  <c r="G275" i="1"/>
  <c r="D276" i="1" l="1"/>
  <c r="E276" i="1"/>
  <c r="C276" i="1"/>
  <c r="D256" i="3" s="1"/>
  <c r="H276" i="1"/>
  <c r="N276" i="1"/>
  <c r="K276" i="1"/>
  <c r="I276" i="1" l="1"/>
  <c r="L276" i="1"/>
  <c r="M276" i="1" s="1"/>
  <c r="O276" i="1"/>
  <c r="P276" i="1" s="1"/>
  <c r="J276" i="1" l="1"/>
  <c r="F276" i="1" s="1"/>
  <c r="B277" i="1" l="1"/>
  <c r="C257" i="3" s="1"/>
  <c r="D277" i="1"/>
  <c r="G276" i="1"/>
  <c r="E277" i="1" l="1"/>
  <c r="C277" i="1"/>
  <c r="D257" i="3" s="1"/>
  <c r="N277" i="1"/>
  <c r="K277" i="1"/>
  <c r="H277" i="1"/>
  <c r="I277" i="1" l="1"/>
  <c r="J277" i="1" s="1"/>
  <c r="L277" i="1"/>
  <c r="M277" i="1" s="1"/>
  <c r="O277" i="1"/>
  <c r="P277" i="1" s="1"/>
  <c r="F277" i="1" l="1"/>
  <c r="D278" i="1" s="1"/>
  <c r="G277" i="1"/>
  <c r="B278" i="1" l="1"/>
  <c r="E278" i="1"/>
  <c r="C278" i="1"/>
  <c r="D258" i="3" s="1"/>
  <c r="K278" i="1" l="1"/>
  <c r="C258" i="3"/>
  <c r="H278" i="1"/>
  <c r="N278" i="1"/>
  <c r="O278" i="1"/>
  <c r="L278" i="1"/>
  <c r="M278" i="1" s="1"/>
  <c r="I278" i="1"/>
  <c r="P278" i="1" l="1"/>
  <c r="J278" i="1"/>
  <c r="F278" i="1" l="1"/>
  <c r="B279" i="1" s="1"/>
  <c r="C259" i="3" s="1"/>
  <c r="G278" i="1"/>
  <c r="D279" i="1" l="1"/>
  <c r="E279" i="1"/>
  <c r="C279" i="1"/>
  <c r="D259" i="3" s="1"/>
  <c r="H279" i="1"/>
  <c r="K279" i="1"/>
  <c r="N279" i="1"/>
  <c r="L279" i="1" l="1"/>
  <c r="M279" i="1" s="1"/>
  <c r="O279" i="1"/>
  <c r="P279" i="1" s="1"/>
  <c r="I279" i="1"/>
  <c r="J279" i="1" s="1"/>
  <c r="F279" i="1" l="1"/>
  <c r="D280" i="1" s="1"/>
  <c r="G279" i="1"/>
  <c r="B280" i="1" l="1"/>
  <c r="E280" i="1"/>
  <c r="C280" i="1"/>
  <c r="D260" i="3" s="1"/>
  <c r="N280" i="1" l="1"/>
  <c r="C260" i="3"/>
  <c r="H280" i="1"/>
  <c r="K280" i="1"/>
  <c r="I280" i="1"/>
  <c r="L280" i="1"/>
  <c r="O280" i="1"/>
  <c r="M280" i="1" l="1"/>
  <c r="P280" i="1"/>
  <c r="J280" i="1"/>
  <c r="F280" i="1" s="1"/>
  <c r="D281" i="1" l="1"/>
  <c r="B281" i="1"/>
  <c r="C261" i="3" s="1"/>
  <c r="G280" i="1"/>
  <c r="N281" i="1" l="1"/>
  <c r="H281" i="1"/>
  <c r="K281" i="1"/>
  <c r="E281" i="1"/>
  <c r="C281" i="1"/>
  <c r="D261" i="3" s="1"/>
  <c r="O281" i="1" l="1"/>
  <c r="P281" i="1" s="1"/>
  <c r="I281" i="1"/>
  <c r="L281" i="1"/>
  <c r="M281" i="1" s="1"/>
  <c r="J281" i="1" l="1"/>
  <c r="F281" i="1" s="1"/>
  <c r="D282" i="1" l="1"/>
  <c r="B282" i="1"/>
  <c r="C262" i="3" s="1"/>
  <c r="G281" i="1"/>
  <c r="C282" i="1" l="1"/>
  <c r="D262" i="3" s="1"/>
  <c r="E282" i="1"/>
  <c r="K282" i="1"/>
  <c r="N282" i="1"/>
  <c r="H282" i="1"/>
  <c r="O282" i="1" l="1"/>
  <c r="P282" i="1" s="1"/>
  <c r="L282" i="1"/>
  <c r="M282" i="1" s="1"/>
  <c r="I282" i="1"/>
  <c r="J282" i="1" s="1"/>
  <c r="F282" i="1" l="1"/>
  <c r="G282" i="1"/>
  <c r="E283" i="1" l="1"/>
  <c r="C283" i="1"/>
  <c r="D263" i="3" s="1"/>
  <c r="B283" i="1"/>
  <c r="C263" i="3" s="1"/>
  <c r="D283" i="1"/>
  <c r="H283" i="1" l="1"/>
  <c r="K283" i="1"/>
  <c r="N283" i="1"/>
  <c r="L283" i="1"/>
  <c r="O283" i="1"/>
  <c r="I283" i="1"/>
  <c r="M283" i="1" l="1"/>
  <c r="P283" i="1"/>
  <c r="J283" i="1"/>
  <c r="G283" i="1" l="1"/>
  <c r="C284" i="1" s="1"/>
  <c r="D264" i="3" s="1"/>
  <c r="F283" i="1"/>
  <c r="E284" i="1" l="1"/>
  <c r="B284" i="1"/>
  <c r="C264" i="3" s="1"/>
  <c r="D284" i="1"/>
  <c r="I284" i="1"/>
  <c r="L284" i="1"/>
  <c r="O284" i="1"/>
  <c r="H284" i="1" l="1"/>
  <c r="K284" i="1"/>
  <c r="M284" i="1" s="1"/>
  <c r="N284" i="1"/>
  <c r="P284" i="1" s="1"/>
  <c r="J284" i="1" l="1"/>
  <c r="G284" i="1" s="1"/>
  <c r="F284" i="1" l="1"/>
  <c r="D285" i="1" s="1"/>
  <c r="C285" i="1"/>
  <c r="D265" i="3" s="1"/>
  <c r="E285" i="1"/>
  <c r="B285" i="1" l="1"/>
  <c r="I285" i="1"/>
  <c r="L285" i="1"/>
  <c r="O285" i="1"/>
  <c r="N285" i="1" l="1"/>
  <c r="C265" i="3"/>
  <c r="K285" i="1"/>
  <c r="M285" i="1" s="1"/>
  <c r="H285" i="1"/>
  <c r="J285" i="1" s="1"/>
  <c r="P285" i="1"/>
  <c r="G285" i="1" l="1"/>
  <c r="E286" i="1" s="1"/>
  <c r="F285" i="1"/>
  <c r="D286" i="1" s="1"/>
  <c r="C286" i="1" l="1"/>
  <c r="B286" i="1"/>
  <c r="K286" i="1" l="1"/>
  <c r="C266" i="3"/>
  <c r="L286" i="1"/>
  <c r="D266" i="3"/>
  <c r="I286" i="1"/>
  <c r="O286" i="1"/>
  <c r="M286" i="1"/>
  <c r="H286" i="1"/>
  <c r="N286" i="1"/>
  <c r="P286" i="1" l="1"/>
  <c r="J286" i="1"/>
  <c r="G286" i="1" l="1"/>
  <c r="C287" i="1" s="1"/>
  <c r="F286" i="1"/>
  <c r="B287" i="1" s="1"/>
  <c r="C267" i="3" s="1"/>
  <c r="O287" i="1" l="1"/>
  <c r="D267" i="3"/>
  <c r="L287" i="1"/>
  <c r="I287" i="1"/>
  <c r="E287" i="1"/>
  <c r="D287" i="1"/>
  <c r="H287" i="1"/>
  <c r="K287" i="1"/>
  <c r="N287" i="1"/>
  <c r="P287" i="1" s="1"/>
  <c r="M287" i="1" l="1"/>
  <c r="J287" i="1"/>
  <c r="G287" i="1" l="1"/>
  <c r="E288" i="1" s="1"/>
  <c r="F287" i="1"/>
  <c r="C288" i="1" l="1"/>
  <c r="B288" i="1"/>
  <c r="C268" i="3" s="1"/>
  <c r="D288" i="1"/>
  <c r="I288" i="1" l="1"/>
  <c r="D268" i="3"/>
  <c r="L288" i="1"/>
  <c r="O288" i="1"/>
  <c r="N288" i="1"/>
  <c r="H288" i="1"/>
  <c r="K288" i="1"/>
  <c r="P288" i="1" l="1"/>
  <c r="M288" i="1"/>
  <c r="J288" i="1"/>
  <c r="G288" i="1" l="1"/>
  <c r="E289" i="1" s="1"/>
  <c r="F288" i="1"/>
  <c r="C289" i="1" l="1"/>
  <c r="D289" i="1"/>
  <c r="B289" i="1"/>
  <c r="C269" i="3" s="1"/>
  <c r="I289" i="1" l="1"/>
  <c r="D269" i="3"/>
  <c r="O289" i="1"/>
  <c r="L289" i="1"/>
  <c r="N289" i="1"/>
  <c r="K289" i="1"/>
  <c r="M289" i="1" s="1"/>
  <c r="H289" i="1"/>
  <c r="P289" i="1" l="1"/>
  <c r="J289" i="1"/>
  <c r="G289" i="1" l="1"/>
  <c r="E290" i="1" s="1"/>
  <c r="F289" i="1"/>
  <c r="C290" i="1" l="1"/>
  <c r="D290" i="1"/>
  <c r="B290" i="1"/>
  <c r="C270" i="3" s="1"/>
  <c r="O290" i="1" l="1"/>
  <c r="D270" i="3"/>
  <c r="L290" i="1"/>
  <c r="I290" i="1"/>
  <c r="K290" i="1"/>
  <c r="N290" i="1"/>
  <c r="P290" i="1" s="1"/>
  <c r="H290" i="1"/>
  <c r="M290" i="1" l="1"/>
  <c r="J290" i="1"/>
  <c r="G290" i="1" l="1"/>
  <c r="E291" i="1" s="1"/>
  <c r="F290" i="1"/>
  <c r="C291" i="1" l="1"/>
  <c r="D291" i="1"/>
  <c r="B291" i="1"/>
  <c r="C271" i="3" s="1"/>
  <c r="L291" i="1" l="1"/>
  <c r="D271" i="3"/>
  <c r="O291" i="1"/>
  <c r="I291" i="1"/>
  <c r="H291" i="1"/>
  <c r="K291" i="1"/>
  <c r="N291" i="1"/>
  <c r="P291" i="1" s="1"/>
  <c r="M291" i="1" l="1"/>
  <c r="J291" i="1"/>
  <c r="G291" i="1" l="1"/>
  <c r="E292" i="1" s="1"/>
  <c r="F291" i="1"/>
  <c r="C292" i="1" l="1"/>
  <c r="D272" i="3" s="1"/>
  <c r="D292" i="1"/>
  <c r="B292" i="1"/>
  <c r="C272" i="3" s="1"/>
  <c r="I292" i="1"/>
  <c r="L292" i="1"/>
  <c r="O292" i="1"/>
  <c r="H292" i="1" l="1"/>
  <c r="K292" i="1"/>
  <c r="M292" i="1" s="1"/>
  <c r="N292" i="1"/>
  <c r="P292" i="1" s="1"/>
  <c r="J292" i="1" l="1"/>
  <c r="G292" i="1" s="1"/>
  <c r="F292" i="1" l="1"/>
  <c r="B293" i="1" s="1"/>
  <c r="C273" i="3" s="1"/>
  <c r="C293" i="1"/>
  <c r="D273" i="3" s="1"/>
  <c r="E293" i="1"/>
  <c r="D293" i="1" l="1"/>
  <c r="I293" i="1"/>
  <c r="O293" i="1"/>
  <c r="L293" i="1"/>
  <c r="N293" i="1"/>
  <c r="P293" i="1" s="1"/>
  <c r="K293" i="1"/>
  <c r="H293" i="1"/>
  <c r="J293" i="1" l="1"/>
  <c r="M293" i="1"/>
  <c r="F293" i="1" l="1"/>
  <c r="D294" i="1" s="1"/>
  <c r="G293" i="1"/>
  <c r="C294" i="1" s="1"/>
  <c r="D274" i="3" s="1"/>
  <c r="B294" i="1" l="1"/>
  <c r="E294" i="1"/>
  <c r="O294" i="1"/>
  <c r="I294" i="1"/>
  <c r="L294" i="1"/>
  <c r="H294" i="1" l="1"/>
  <c r="C274" i="3"/>
  <c r="N294" i="1"/>
  <c r="P294" i="1" s="1"/>
  <c r="K294" i="1"/>
  <c r="M294" i="1" s="1"/>
  <c r="J294" i="1"/>
  <c r="G294" i="1" l="1"/>
  <c r="C295" i="1" s="1"/>
  <c r="D275" i="3" s="1"/>
  <c r="F294" i="1"/>
  <c r="D295" i="1" s="1"/>
  <c r="E295" i="1" l="1"/>
  <c r="B295" i="1"/>
  <c r="O295" i="1"/>
  <c r="I295" i="1"/>
  <c r="L295" i="1"/>
  <c r="H295" i="1" l="1"/>
  <c r="C275" i="3"/>
  <c r="N295" i="1"/>
  <c r="P295" i="1" s="1"/>
  <c r="K295" i="1"/>
  <c r="M295" i="1" s="1"/>
  <c r="J295" i="1"/>
  <c r="G295" i="1" l="1"/>
  <c r="C296" i="1" s="1"/>
  <c r="D276" i="3" s="1"/>
  <c r="F295" i="1"/>
  <c r="E296" i="1" l="1"/>
  <c r="D296" i="1"/>
  <c r="B296" i="1"/>
  <c r="C276" i="3" s="1"/>
  <c r="I296" i="1"/>
  <c r="L296" i="1"/>
  <c r="O296" i="1"/>
  <c r="H296" i="1" l="1"/>
  <c r="K296" i="1"/>
  <c r="M296" i="1" s="1"/>
  <c r="N296" i="1"/>
  <c r="P296" i="1" s="1"/>
  <c r="J296" i="1" l="1"/>
  <c r="G296" i="1" s="1"/>
  <c r="F296" i="1" l="1"/>
  <c r="B297" i="1" s="1"/>
  <c r="C277" i="3" s="1"/>
  <c r="E297" i="1"/>
  <c r="C297" i="1"/>
  <c r="D277" i="3" s="1"/>
  <c r="D297" i="1" l="1"/>
  <c r="I297" i="1"/>
  <c r="L297" i="1"/>
  <c r="O297" i="1"/>
  <c r="K297" i="1"/>
  <c r="M297" i="1" s="1"/>
  <c r="N297" i="1"/>
  <c r="H297" i="1"/>
  <c r="J297" i="1" l="1"/>
  <c r="P297" i="1"/>
  <c r="F297" i="1" l="1"/>
  <c r="D298" i="1" s="1"/>
  <c r="G297" i="1"/>
  <c r="B298" i="1" l="1"/>
  <c r="E298" i="1"/>
  <c r="C298" i="1"/>
  <c r="D278" i="3" s="1"/>
  <c r="K298" i="1" l="1"/>
  <c r="C278" i="3"/>
  <c r="N298" i="1"/>
  <c r="H298" i="1"/>
  <c r="L298" i="1"/>
  <c r="O298" i="1"/>
  <c r="I298" i="1"/>
  <c r="M298" i="1" l="1"/>
  <c r="P298" i="1"/>
  <c r="J298" i="1"/>
  <c r="F298" i="1" l="1"/>
  <c r="B299" i="1" s="1"/>
  <c r="C279" i="3" s="1"/>
  <c r="G298" i="1"/>
  <c r="D299" i="1" l="1"/>
  <c r="E299" i="1"/>
  <c r="C299" i="1"/>
  <c r="D279" i="3" s="1"/>
  <c r="K299" i="1"/>
  <c r="N299" i="1"/>
  <c r="H299" i="1"/>
  <c r="L299" i="1" l="1"/>
  <c r="M299" i="1" s="1"/>
  <c r="O299" i="1"/>
  <c r="P299" i="1" s="1"/>
  <c r="I299" i="1"/>
  <c r="J299" i="1" l="1"/>
  <c r="F299" i="1" s="1"/>
  <c r="B300" i="1" l="1"/>
  <c r="C280" i="3" s="1"/>
  <c r="D300" i="1"/>
  <c r="G299" i="1"/>
  <c r="E300" i="1" l="1"/>
  <c r="C300" i="1"/>
  <c r="D280" i="3" s="1"/>
  <c r="N300" i="1"/>
  <c r="H300" i="1"/>
  <c r="K300" i="1"/>
  <c r="L300" i="1" l="1"/>
  <c r="M300" i="1" s="1"/>
  <c r="O300" i="1"/>
  <c r="P300" i="1" s="1"/>
  <c r="I300" i="1"/>
  <c r="J300" i="1" l="1"/>
  <c r="F300" i="1" s="1"/>
  <c r="B301" i="1" l="1"/>
  <c r="C281" i="3" s="1"/>
  <c r="D301" i="1"/>
  <c r="G300" i="1"/>
  <c r="E301" i="1" l="1"/>
  <c r="C301" i="1"/>
  <c r="D281" i="3" s="1"/>
  <c r="N301" i="1"/>
  <c r="H301" i="1"/>
  <c r="K301" i="1"/>
  <c r="O301" i="1" l="1"/>
  <c r="P301" i="1" s="1"/>
  <c r="I301" i="1"/>
  <c r="L301" i="1"/>
  <c r="M301" i="1" s="1"/>
  <c r="J301" i="1" l="1"/>
  <c r="F301" i="1" s="1"/>
  <c r="B302" i="1" l="1"/>
  <c r="C282" i="3" s="1"/>
  <c r="D302" i="1"/>
  <c r="G301" i="1"/>
  <c r="E302" i="1" l="1"/>
  <c r="C302" i="1"/>
  <c r="D282" i="3" s="1"/>
  <c r="N302" i="1"/>
  <c r="H302" i="1"/>
  <c r="K302" i="1"/>
  <c r="O302" i="1" l="1"/>
  <c r="P302" i="1" s="1"/>
  <c r="I302" i="1"/>
  <c r="L302" i="1"/>
  <c r="M302" i="1" s="1"/>
  <c r="J302" i="1" l="1"/>
  <c r="F302" i="1" s="1"/>
  <c r="B303" i="1" l="1"/>
  <c r="C283" i="3" s="1"/>
  <c r="D303" i="1"/>
  <c r="G302" i="1"/>
  <c r="E303" i="1" l="1"/>
  <c r="C303" i="1"/>
  <c r="D283" i="3" s="1"/>
  <c r="H303" i="1"/>
  <c r="K303" i="1"/>
  <c r="N303" i="1"/>
  <c r="O303" i="1" l="1"/>
  <c r="P303" i="1" s="1"/>
  <c r="I303" i="1"/>
  <c r="L303" i="1"/>
  <c r="M303" i="1" s="1"/>
  <c r="J303" i="1" l="1"/>
  <c r="F303" i="1" s="1"/>
  <c r="D304" i="1" l="1"/>
  <c r="B304" i="1"/>
  <c r="C284" i="3" s="1"/>
  <c r="G303" i="1"/>
  <c r="E304" i="1" l="1"/>
  <c r="C304" i="1"/>
  <c r="D284" i="3" s="1"/>
  <c r="H304" i="1"/>
  <c r="K304" i="1"/>
  <c r="N304" i="1"/>
  <c r="I304" i="1" l="1"/>
  <c r="L304" i="1"/>
  <c r="M304" i="1" s="1"/>
  <c r="O304" i="1"/>
  <c r="P304" i="1" s="1"/>
  <c r="J304" i="1" l="1"/>
  <c r="F304" i="1" s="1"/>
  <c r="B305" i="1" l="1"/>
  <c r="C285" i="3" s="1"/>
  <c r="D305" i="1"/>
  <c r="G304" i="1"/>
  <c r="E305" i="1" l="1"/>
  <c r="C305" i="1"/>
  <c r="D285" i="3" s="1"/>
  <c r="K305" i="1"/>
  <c r="N305" i="1"/>
  <c r="H305" i="1"/>
  <c r="I305" i="1" l="1"/>
  <c r="L305" i="1"/>
  <c r="M305" i="1" s="1"/>
  <c r="O305" i="1"/>
  <c r="P305" i="1" s="1"/>
  <c r="J305" i="1" l="1"/>
  <c r="F305" i="1" s="1"/>
  <c r="B306" i="1" l="1"/>
  <c r="C286" i="3" s="1"/>
  <c r="D306" i="1"/>
  <c r="G305" i="1"/>
  <c r="E306" i="1" l="1"/>
  <c r="C306" i="1"/>
  <c r="D286" i="3" s="1"/>
  <c r="K306" i="1"/>
  <c r="N306" i="1"/>
  <c r="H306" i="1"/>
  <c r="L306" i="1" l="1"/>
  <c r="M306" i="1" s="1"/>
  <c r="O306" i="1"/>
  <c r="P306" i="1" s="1"/>
  <c r="I306" i="1"/>
  <c r="J306" i="1" l="1"/>
  <c r="F306" i="1" s="1"/>
  <c r="B307" i="1" l="1"/>
  <c r="C287" i="3" s="1"/>
  <c r="D307" i="1"/>
  <c r="G306" i="1"/>
  <c r="E307" i="1" l="1"/>
  <c r="C307" i="1"/>
  <c r="D287" i="3" s="1"/>
  <c r="K307" i="1"/>
  <c r="N307" i="1"/>
  <c r="H307" i="1"/>
  <c r="L307" i="1" l="1"/>
  <c r="M307" i="1" s="1"/>
  <c r="O307" i="1"/>
  <c r="P307" i="1" s="1"/>
  <c r="I307" i="1"/>
  <c r="J307" i="1" s="1"/>
  <c r="F307" i="1" l="1"/>
  <c r="G307" i="1"/>
  <c r="E308" i="1" l="1"/>
  <c r="C308" i="1"/>
  <c r="D288" i="3" s="1"/>
  <c r="D308" i="1"/>
  <c r="B308" i="1"/>
  <c r="C288" i="3" s="1"/>
  <c r="N308" i="1" l="1"/>
  <c r="H308" i="1"/>
  <c r="K308" i="1"/>
  <c r="L308" i="1"/>
  <c r="O308" i="1"/>
  <c r="I308" i="1"/>
  <c r="J308" i="1" l="1"/>
  <c r="M308" i="1"/>
  <c r="P308" i="1"/>
  <c r="G308" i="1" l="1"/>
  <c r="C309" i="1" s="1"/>
  <c r="D289" i="3" s="1"/>
  <c r="F308" i="1"/>
  <c r="E309" i="1" l="1"/>
  <c r="D309" i="1"/>
  <c r="B309" i="1"/>
  <c r="C289" i="3" s="1"/>
  <c r="O309" i="1"/>
  <c r="I309" i="1"/>
  <c r="L309" i="1"/>
  <c r="N309" i="1" l="1"/>
  <c r="P309" i="1" s="1"/>
  <c r="H309" i="1"/>
  <c r="K309" i="1"/>
  <c r="M309" i="1" s="1"/>
  <c r="J309" i="1" l="1"/>
  <c r="G309" i="1" s="1"/>
  <c r="E310" i="1" l="1"/>
  <c r="C310" i="1"/>
  <c r="D290" i="3" s="1"/>
  <c r="F309" i="1"/>
  <c r="B310" i="1" l="1"/>
  <c r="C290" i="3" s="1"/>
  <c r="D310" i="1"/>
  <c r="O310" i="1"/>
  <c r="I310" i="1"/>
  <c r="L310" i="1"/>
  <c r="N310" i="1" l="1"/>
  <c r="P310" i="1" s="1"/>
  <c r="H310" i="1"/>
  <c r="K310" i="1"/>
  <c r="M310" i="1" s="1"/>
  <c r="J310" i="1" l="1"/>
  <c r="G310" i="1" s="1"/>
  <c r="C311" i="1" l="1"/>
  <c r="D291" i="3" s="1"/>
  <c r="E311" i="1"/>
  <c r="F310" i="1"/>
  <c r="D311" i="1" l="1"/>
  <c r="B311" i="1"/>
  <c r="C291" i="3" s="1"/>
  <c r="O311" i="1"/>
  <c r="I311" i="1"/>
  <c r="L311" i="1"/>
  <c r="H311" i="1" l="1"/>
  <c r="K311" i="1"/>
  <c r="M311" i="1" s="1"/>
  <c r="N311" i="1"/>
  <c r="P311" i="1" s="1"/>
  <c r="J311" i="1" l="1"/>
  <c r="G311" i="1" s="1"/>
  <c r="F311" i="1" l="1"/>
  <c r="B312" i="1" s="1"/>
  <c r="C292" i="3" s="1"/>
  <c r="E312" i="1"/>
  <c r="C312" i="1"/>
  <c r="D292" i="3" s="1"/>
  <c r="D312" i="1" l="1"/>
  <c r="H312" i="1"/>
  <c r="K312" i="1"/>
  <c r="N312" i="1"/>
  <c r="I312" i="1"/>
  <c r="L312" i="1"/>
  <c r="O312" i="1"/>
  <c r="P312" i="1" l="1"/>
  <c r="M312" i="1"/>
  <c r="J312" i="1"/>
  <c r="F312" i="1" l="1"/>
  <c r="B313" i="1" s="1"/>
  <c r="C293" i="3" s="1"/>
  <c r="G312" i="1"/>
  <c r="D313" i="1" l="1"/>
  <c r="E313" i="1"/>
  <c r="C313" i="1"/>
  <c r="D293" i="3" s="1"/>
  <c r="K313" i="1"/>
  <c r="N313" i="1"/>
  <c r="H313" i="1"/>
  <c r="I313" i="1" l="1"/>
  <c r="L313" i="1"/>
  <c r="M313" i="1" s="1"/>
  <c r="O313" i="1"/>
  <c r="P313" i="1" s="1"/>
  <c r="J313" i="1" l="1"/>
  <c r="F313" i="1" s="1"/>
  <c r="D314" i="1" l="1"/>
  <c r="B314" i="1"/>
  <c r="C294" i="3" s="1"/>
  <c r="G313" i="1"/>
  <c r="E314" i="1" l="1"/>
  <c r="C314" i="1"/>
  <c r="D294" i="3" s="1"/>
  <c r="K314" i="1"/>
  <c r="N314" i="1"/>
  <c r="H314" i="1"/>
  <c r="L314" i="1" l="1"/>
  <c r="M314" i="1" s="1"/>
  <c r="O314" i="1"/>
  <c r="P314" i="1" s="1"/>
  <c r="I314" i="1"/>
  <c r="J314" i="1" l="1"/>
  <c r="F314" i="1" s="1"/>
  <c r="B315" i="1" l="1"/>
  <c r="C295" i="3" s="1"/>
  <c r="D315" i="1"/>
  <c r="G314" i="1"/>
  <c r="E315" i="1" l="1"/>
  <c r="C315" i="1"/>
  <c r="D295" i="3" s="1"/>
  <c r="K315" i="1"/>
  <c r="N315" i="1"/>
  <c r="H315" i="1"/>
  <c r="L315" i="1" l="1"/>
  <c r="M315" i="1" s="1"/>
  <c r="O315" i="1"/>
  <c r="P315" i="1" s="1"/>
  <c r="I315" i="1"/>
  <c r="J315" i="1" l="1"/>
  <c r="F315" i="1" s="1"/>
  <c r="B316" i="1" l="1"/>
  <c r="C296" i="3" s="1"/>
  <c r="D316" i="1"/>
  <c r="G315" i="1"/>
  <c r="E316" i="1" l="1"/>
  <c r="C316" i="1"/>
  <c r="D296" i="3" s="1"/>
  <c r="N316" i="1"/>
  <c r="H316" i="1"/>
  <c r="K316" i="1"/>
  <c r="L316" i="1" l="1"/>
  <c r="M316" i="1" s="1"/>
  <c r="O316" i="1"/>
  <c r="P316" i="1" s="1"/>
  <c r="I316" i="1"/>
  <c r="J316" i="1" l="1"/>
  <c r="F316" i="1" s="1"/>
  <c r="B317" i="1" l="1"/>
  <c r="C297" i="3" s="1"/>
  <c r="D317" i="1"/>
  <c r="G316" i="1"/>
  <c r="E317" i="1" l="1"/>
  <c r="C317" i="1"/>
  <c r="D297" i="3" s="1"/>
  <c r="N317" i="1"/>
  <c r="H317" i="1"/>
  <c r="K317" i="1"/>
  <c r="O317" i="1" l="1"/>
  <c r="P317" i="1" s="1"/>
  <c r="I317" i="1"/>
  <c r="L317" i="1"/>
  <c r="M317" i="1" s="1"/>
  <c r="J317" i="1" l="1"/>
  <c r="F317" i="1" s="1"/>
  <c r="B318" i="1" l="1"/>
  <c r="C298" i="3" s="1"/>
  <c r="D318" i="1"/>
  <c r="G317" i="1"/>
  <c r="E318" i="1" l="1"/>
  <c r="C318" i="1"/>
  <c r="D298" i="3" s="1"/>
  <c r="N318" i="1"/>
  <c r="H318" i="1"/>
  <c r="K318" i="1"/>
  <c r="O318" i="1" l="1"/>
  <c r="P318" i="1" s="1"/>
  <c r="I318" i="1"/>
  <c r="L318" i="1"/>
  <c r="M318" i="1" s="1"/>
  <c r="J318" i="1" l="1"/>
  <c r="F318" i="1" s="1"/>
  <c r="B319" i="1" l="1"/>
  <c r="C299" i="3" s="1"/>
  <c r="D319" i="1"/>
  <c r="G318" i="1"/>
  <c r="E319" i="1" l="1"/>
  <c r="C319" i="1"/>
  <c r="D299" i="3" s="1"/>
  <c r="H319" i="1"/>
  <c r="K319" i="1"/>
  <c r="N319" i="1"/>
  <c r="O319" i="1" l="1"/>
  <c r="P319" i="1" s="1"/>
  <c r="I319" i="1"/>
  <c r="L319" i="1"/>
  <c r="M319" i="1" s="1"/>
  <c r="J319" i="1" l="1"/>
  <c r="F319" i="1" s="1"/>
  <c r="D320" i="1" l="1"/>
  <c r="B320" i="1"/>
  <c r="C300" i="3" s="1"/>
  <c r="G319" i="1"/>
  <c r="E320" i="1" l="1"/>
  <c r="C320" i="1"/>
  <c r="D300" i="3" s="1"/>
  <c r="H320" i="1"/>
  <c r="K320" i="1"/>
  <c r="N320" i="1"/>
  <c r="I320" i="1" l="1"/>
  <c r="L320" i="1"/>
  <c r="M320" i="1" s="1"/>
  <c r="O320" i="1"/>
  <c r="P320" i="1" s="1"/>
  <c r="J320" i="1" l="1"/>
  <c r="F320" i="1" s="1"/>
  <c r="B321" i="1" l="1"/>
  <c r="C301" i="3" s="1"/>
  <c r="D321" i="1"/>
  <c r="G320" i="1"/>
  <c r="E321" i="1" l="1"/>
  <c r="C321" i="1"/>
  <c r="D301" i="3" s="1"/>
  <c r="K321" i="1"/>
  <c r="N321" i="1"/>
  <c r="H321" i="1"/>
  <c r="I321" i="1" l="1"/>
  <c r="L321" i="1"/>
  <c r="M321" i="1" s="1"/>
  <c r="O321" i="1"/>
  <c r="P321" i="1" s="1"/>
  <c r="J321" i="1" l="1"/>
  <c r="F321" i="1" s="1"/>
  <c r="B322" i="1" l="1"/>
  <c r="C302" i="3" s="1"/>
  <c r="D322" i="1"/>
  <c r="G321" i="1"/>
  <c r="E322" i="1" l="1"/>
  <c r="C322" i="1"/>
  <c r="D302" i="3" s="1"/>
  <c r="K322" i="1"/>
  <c r="N322" i="1"/>
  <c r="H322" i="1"/>
  <c r="L322" i="1" l="1"/>
  <c r="M322" i="1" s="1"/>
  <c r="O322" i="1"/>
  <c r="P322" i="1" s="1"/>
  <c r="I322" i="1"/>
  <c r="J322" i="1" l="1"/>
  <c r="F322" i="1" s="1"/>
  <c r="B323" i="1" l="1"/>
  <c r="C303" i="3" s="1"/>
  <c r="D323" i="1"/>
  <c r="G322" i="1"/>
  <c r="E323" i="1" l="1"/>
  <c r="C323" i="1"/>
  <c r="D303" i="3" s="1"/>
  <c r="K323" i="1"/>
  <c r="N323" i="1"/>
  <c r="H323" i="1"/>
  <c r="L323" i="1" l="1"/>
  <c r="M323" i="1" s="1"/>
  <c r="O323" i="1"/>
  <c r="P323" i="1" s="1"/>
  <c r="I323" i="1"/>
  <c r="J323" i="1" l="1"/>
  <c r="F323" i="1" s="1"/>
  <c r="B324" i="1" l="1"/>
  <c r="C304" i="3" s="1"/>
  <c r="D324" i="1"/>
  <c r="G323" i="1"/>
  <c r="E324" i="1" l="1"/>
  <c r="C324" i="1"/>
  <c r="D304" i="3" s="1"/>
  <c r="N324" i="1"/>
  <c r="H324" i="1"/>
  <c r="K324" i="1"/>
  <c r="L324" i="1" l="1"/>
  <c r="M324" i="1" s="1"/>
  <c r="O324" i="1"/>
  <c r="P324" i="1" s="1"/>
  <c r="I324" i="1"/>
  <c r="J324" i="1" l="1"/>
  <c r="F324" i="1" s="1"/>
  <c r="B325" i="1" l="1"/>
  <c r="C305" i="3" s="1"/>
  <c r="D325" i="1"/>
  <c r="G324" i="1"/>
  <c r="E325" i="1" l="1"/>
  <c r="C325" i="1"/>
  <c r="D305" i="3" s="1"/>
  <c r="N325" i="1"/>
  <c r="H325" i="1"/>
  <c r="K325" i="1"/>
  <c r="O325" i="1" l="1"/>
  <c r="P325" i="1" s="1"/>
  <c r="I325" i="1"/>
  <c r="L325" i="1"/>
  <c r="M325" i="1" s="1"/>
  <c r="J325" i="1" l="1"/>
  <c r="F325" i="1" s="1"/>
  <c r="B326" i="1" l="1"/>
  <c r="C306" i="3" s="1"/>
  <c r="D326" i="1"/>
  <c r="G325" i="1"/>
  <c r="E326" i="1" l="1"/>
  <c r="C326" i="1"/>
  <c r="D306" i="3" s="1"/>
  <c r="N326" i="1"/>
  <c r="H326" i="1"/>
  <c r="K326" i="1"/>
  <c r="O326" i="1" l="1"/>
  <c r="P326" i="1" s="1"/>
  <c r="I326" i="1"/>
  <c r="L326" i="1"/>
  <c r="M326" i="1" s="1"/>
  <c r="J326" i="1" l="1"/>
  <c r="F326" i="1" s="1"/>
  <c r="B327" i="1" l="1"/>
  <c r="C307" i="3" s="1"/>
  <c r="D327" i="1"/>
  <c r="G326" i="1"/>
  <c r="E327" i="1" l="1"/>
  <c r="C327" i="1"/>
  <c r="D307" i="3" s="1"/>
  <c r="H327" i="1"/>
  <c r="K327" i="1"/>
  <c r="N327" i="1"/>
  <c r="O327" i="1" l="1"/>
  <c r="P327" i="1" s="1"/>
  <c r="I327" i="1"/>
  <c r="L327" i="1"/>
  <c r="M327" i="1" s="1"/>
  <c r="J327" i="1" l="1"/>
  <c r="F327" i="1" s="1"/>
  <c r="D328" i="1" l="1"/>
  <c r="B328" i="1"/>
  <c r="C308" i="3" s="1"/>
  <c r="G327" i="1"/>
  <c r="E328" i="1" l="1"/>
  <c r="C328" i="1"/>
  <c r="D308" i="3" s="1"/>
  <c r="H328" i="1"/>
  <c r="K328" i="1"/>
  <c r="N328" i="1"/>
  <c r="I328" i="1" l="1"/>
  <c r="L328" i="1"/>
  <c r="M328" i="1" s="1"/>
  <c r="O328" i="1"/>
  <c r="P328" i="1" s="1"/>
  <c r="J328" i="1" l="1"/>
  <c r="F328" i="1" s="1"/>
  <c r="B329" i="1" l="1"/>
  <c r="C309" i="3" s="1"/>
  <c r="D329" i="1"/>
  <c r="G328" i="1"/>
  <c r="E329" i="1" l="1"/>
  <c r="C329" i="1"/>
  <c r="D309" i="3" s="1"/>
  <c r="K329" i="1"/>
  <c r="H329" i="1"/>
  <c r="N329" i="1"/>
  <c r="I329" i="1" l="1"/>
  <c r="L329" i="1"/>
  <c r="M329" i="1" s="1"/>
  <c r="O329" i="1"/>
  <c r="P329" i="1" s="1"/>
  <c r="J329" i="1" l="1"/>
  <c r="F329" i="1" s="1"/>
  <c r="G329" i="1" l="1"/>
  <c r="B330" i="1"/>
  <c r="C310" i="3" s="1"/>
  <c r="D330" i="1"/>
  <c r="K330" i="1" l="1"/>
  <c r="N330" i="1"/>
  <c r="H330" i="1"/>
  <c r="E330" i="1"/>
  <c r="C330" i="1"/>
  <c r="D310" i="3" s="1"/>
  <c r="L330" i="1" l="1"/>
  <c r="M330" i="1" s="1"/>
  <c r="I330" i="1"/>
  <c r="J330" i="1" s="1"/>
  <c r="O330" i="1"/>
  <c r="P330" i="1" s="1"/>
  <c r="F330" i="1" l="1"/>
  <c r="D331" i="1" s="1"/>
  <c r="G330" i="1"/>
  <c r="B331" i="1" l="1"/>
  <c r="C331" i="1"/>
  <c r="D311" i="3" s="1"/>
  <c r="E331" i="1"/>
  <c r="K331" i="1" l="1"/>
  <c r="C311" i="3"/>
  <c r="H331" i="1"/>
  <c r="N331" i="1"/>
  <c r="L331" i="1"/>
  <c r="M331" i="1" s="1"/>
  <c r="O331" i="1"/>
  <c r="I331" i="1"/>
  <c r="P331" i="1" l="1"/>
  <c r="J331" i="1"/>
  <c r="F331" i="1" l="1"/>
  <c r="B332" i="1" s="1"/>
  <c r="C312" i="3" s="1"/>
  <c r="G331" i="1"/>
  <c r="E332" i="1" s="1"/>
  <c r="D332" i="1" l="1"/>
  <c r="C332" i="1"/>
  <c r="N332" i="1"/>
  <c r="H332" i="1"/>
  <c r="K332" i="1"/>
  <c r="L332" i="1" l="1"/>
  <c r="D312" i="3"/>
  <c r="I332" i="1"/>
  <c r="J332" i="1" s="1"/>
  <c r="O332" i="1"/>
  <c r="P332" i="1" s="1"/>
  <c r="M332" i="1"/>
  <c r="G332" i="1" l="1"/>
  <c r="C333" i="1" s="1"/>
  <c r="D313" i="3" s="1"/>
  <c r="F332" i="1"/>
  <c r="E333" i="1" l="1"/>
  <c r="B333" i="1"/>
  <c r="C313" i="3" s="1"/>
  <c r="D333" i="1"/>
  <c r="O333" i="1"/>
  <c r="I333" i="1"/>
  <c r="L333" i="1"/>
  <c r="N333" i="1" l="1"/>
  <c r="P333" i="1" s="1"/>
  <c r="H333" i="1"/>
  <c r="K333" i="1"/>
  <c r="M333" i="1" s="1"/>
  <c r="J333" i="1" l="1"/>
  <c r="G333" i="1" s="1"/>
  <c r="C334" i="1" l="1"/>
  <c r="D314" i="3" s="1"/>
  <c r="E334" i="1"/>
  <c r="F333" i="1"/>
  <c r="D334" i="1" l="1"/>
  <c r="B334" i="1"/>
  <c r="C314" i="3" s="1"/>
  <c r="O334" i="1"/>
  <c r="I334" i="1"/>
  <c r="L334" i="1"/>
  <c r="N334" i="1" l="1"/>
  <c r="P334" i="1" s="1"/>
  <c r="H334" i="1"/>
  <c r="K334" i="1"/>
  <c r="M334" i="1" s="1"/>
  <c r="J334" i="1" l="1"/>
  <c r="G334" i="1" s="1"/>
  <c r="C335" i="1" l="1"/>
  <c r="D315" i="3" s="1"/>
  <c r="E335" i="1"/>
  <c r="F334" i="1"/>
  <c r="B335" i="1" l="1"/>
  <c r="C315" i="3" s="1"/>
  <c r="D335" i="1"/>
  <c r="O335" i="1"/>
  <c r="I335" i="1"/>
  <c r="L335" i="1"/>
  <c r="H335" i="1" l="1"/>
  <c r="K335" i="1"/>
  <c r="M335" i="1" s="1"/>
  <c r="N335" i="1"/>
  <c r="P335" i="1" s="1"/>
  <c r="J335" i="1" l="1"/>
  <c r="G335" i="1" s="1"/>
  <c r="F335" i="1" l="1"/>
  <c r="B336" i="1" s="1"/>
  <c r="C316" i="3" s="1"/>
  <c r="C336" i="1"/>
  <c r="D316" i="3" s="1"/>
  <c r="E336" i="1"/>
  <c r="D336" i="1" l="1"/>
  <c r="I336" i="1"/>
  <c r="L336" i="1"/>
  <c r="O336" i="1"/>
  <c r="H336" i="1"/>
  <c r="K336" i="1"/>
  <c r="N336" i="1"/>
  <c r="J336" i="1" l="1"/>
  <c r="P336" i="1"/>
  <c r="M336" i="1"/>
  <c r="G336" i="1" l="1"/>
  <c r="C337" i="1" s="1"/>
  <c r="D317" i="3" s="1"/>
  <c r="F336" i="1"/>
  <c r="D337" i="1" s="1"/>
  <c r="E337" i="1" l="1"/>
  <c r="B337" i="1"/>
  <c r="I337" i="1"/>
  <c r="L337" i="1"/>
  <c r="O337" i="1"/>
  <c r="K337" i="1" l="1"/>
  <c r="C317" i="3"/>
  <c r="M337" i="1"/>
  <c r="N337" i="1"/>
  <c r="P337" i="1" s="1"/>
  <c r="H337" i="1"/>
  <c r="J337" i="1" s="1"/>
  <c r="F337" i="1" l="1"/>
  <c r="D338" i="1" s="1"/>
  <c r="G337" i="1"/>
  <c r="B338" i="1" l="1"/>
  <c r="C338" i="1"/>
  <c r="D318" i="3" s="1"/>
  <c r="E338" i="1"/>
  <c r="K338" i="1" l="1"/>
  <c r="C318" i="3"/>
  <c r="H338" i="1"/>
  <c r="N338" i="1"/>
  <c r="L338" i="1"/>
  <c r="I338" i="1"/>
  <c r="O338" i="1"/>
  <c r="M338" i="1" l="1"/>
  <c r="P338" i="1"/>
  <c r="J338" i="1"/>
  <c r="F338" i="1" l="1"/>
  <c r="B339" i="1" s="1"/>
  <c r="C319" i="3" s="1"/>
  <c r="G338" i="1"/>
  <c r="D339" i="1" l="1"/>
  <c r="C339" i="1"/>
  <c r="D319" i="3" s="1"/>
  <c r="E339" i="1"/>
  <c r="K339" i="1"/>
  <c r="N339" i="1"/>
  <c r="H339" i="1"/>
  <c r="L339" i="1" l="1"/>
  <c r="M339" i="1" s="1"/>
  <c r="O339" i="1"/>
  <c r="P339" i="1" s="1"/>
  <c r="I339" i="1"/>
  <c r="J339" i="1" s="1"/>
  <c r="F339" i="1" l="1"/>
  <c r="G339" i="1"/>
  <c r="C340" i="1" l="1"/>
  <c r="D320" i="3" s="1"/>
  <c r="E340" i="1"/>
  <c r="B340" i="1"/>
  <c r="C320" i="3" s="1"/>
  <c r="D340" i="1"/>
  <c r="N340" i="1" l="1"/>
  <c r="H340" i="1"/>
  <c r="K340" i="1"/>
  <c r="L340" i="1"/>
  <c r="O340" i="1"/>
  <c r="I340" i="1"/>
  <c r="M340" i="1" l="1"/>
  <c r="J340" i="1"/>
  <c r="P340" i="1"/>
  <c r="G340" i="1" l="1"/>
  <c r="C341" i="1" s="1"/>
  <c r="D321" i="3" s="1"/>
  <c r="F340" i="1"/>
  <c r="E341" i="1" l="1"/>
  <c r="B341" i="1"/>
  <c r="C321" i="3" s="1"/>
  <c r="D341" i="1"/>
  <c r="O341" i="1"/>
  <c r="I341" i="1"/>
  <c r="L341" i="1"/>
  <c r="N341" i="1" l="1"/>
  <c r="P341" i="1" s="1"/>
  <c r="H341" i="1"/>
  <c r="K341" i="1"/>
  <c r="M341" i="1" s="1"/>
  <c r="J341" i="1" l="1"/>
  <c r="G341" i="1" s="1"/>
  <c r="E342" i="1" l="1"/>
  <c r="C342" i="1"/>
  <c r="D322" i="3" s="1"/>
  <c r="F341" i="1"/>
  <c r="D342" i="1" l="1"/>
  <c r="B342" i="1"/>
  <c r="C322" i="3" s="1"/>
  <c r="O342" i="1"/>
  <c r="I342" i="1"/>
  <c r="L342" i="1"/>
  <c r="N342" i="1" l="1"/>
  <c r="P342" i="1" s="1"/>
  <c r="H342" i="1"/>
  <c r="K342" i="1"/>
  <c r="M342" i="1" s="1"/>
  <c r="J342" i="1" l="1"/>
  <c r="G342" i="1" s="1"/>
  <c r="E343" i="1" l="1"/>
  <c r="C343" i="1"/>
  <c r="D323" i="3" s="1"/>
  <c r="F342" i="1"/>
  <c r="B343" i="1" l="1"/>
  <c r="C323" i="3" s="1"/>
  <c r="D343" i="1"/>
  <c r="O343" i="1"/>
  <c r="I343" i="1"/>
  <c r="L343" i="1"/>
  <c r="H343" i="1" l="1"/>
  <c r="K343" i="1"/>
  <c r="M343" i="1" s="1"/>
  <c r="N343" i="1"/>
  <c r="P343" i="1" s="1"/>
  <c r="J343" i="1" l="1"/>
  <c r="G343" i="1" s="1"/>
  <c r="F343" i="1" l="1"/>
  <c r="B344" i="1" s="1"/>
  <c r="C324" i="3" s="1"/>
  <c r="C344" i="1"/>
  <c r="D324" i="3" s="1"/>
  <c r="E344" i="1"/>
  <c r="D344" i="1" l="1"/>
  <c r="I344" i="1"/>
  <c r="L344" i="1"/>
  <c r="O344" i="1"/>
  <c r="H344" i="1"/>
  <c r="K344" i="1"/>
  <c r="N344" i="1"/>
  <c r="J344" i="1" l="1"/>
  <c r="P344" i="1"/>
  <c r="M344" i="1"/>
  <c r="G344" i="1" l="1"/>
  <c r="C345" i="1" s="1"/>
  <c r="D325" i="3" s="1"/>
  <c r="F344" i="1"/>
  <c r="D345" i="1" s="1"/>
  <c r="E345" i="1" l="1"/>
  <c r="B345" i="1"/>
  <c r="I345" i="1"/>
  <c r="L345" i="1"/>
  <c r="O345" i="1"/>
  <c r="K345" i="1" l="1"/>
  <c r="M345" i="1" s="1"/>
  <c r="C325" i="3"/>
  <c r="N345" i="1"/>
  <c r="P345" i="1" s="1"/>
  <c r="H345" i="1"/>
  <c r="J345" i="1" s="1"/>
  <c r="F345" i="1" l="1"/>
  <c r="B346" i="1" s="1"/>
  <c r="C326" i="3" s="1"/>
  <c r="G345" i="1"/>
  <c r="C346" i="1" s="1"/>
  <c r="D326" i="3" s="1"/>
  <c r="E346" i="1" l="1"/>
  <c r="D346" i="1"/>
  <c r="L346" i="1"/>
  <c r="I346" i="1"/>
  <c r="O346" i="1"/>
  <c r="K346" i="1"/>
  <c r="M346" i="1" s="1"/>
  <c r="N346" i="1"/>
  <c r="P346" i="1" s="1"/>
  <c r="H346" i="1"/>
  <c r="J346" i="1" l="1"/>
  <c r="G346" i="1" s="1"/>
  <c r="F346" i="1" l="1"/>
  <c r="D347" i="1" s="1"/>
  <c r="E347" i="1"/>
  <c r="C347" i="1"/>
  <c r="D327" i="3" s="1"/>
  <c r="B347" i="1" l="1"/>
  <c r="L347" i="1"/>
  <c r="O347" i="1"/>
  <c r="I347" i="1"/>
  <c r="K347" i="1" l="1"/>
  <c r="M347" i="1" s="1"/>
  <c r="C327" i="3"/>
  <c r="H347" i="1"/>
  <c r="J347" i="1" s="1"/>
  <c r="N347" i="1"/>
  <c r="P347" i="1" s="1"/>
  <c r="F347" i="1" l="1"/>
  <c r="B348" i="1" s="1"/>
  <c r="C328" i="3" s="1"/>
  <c r="G347" i="1"/>
  <c r="E348" i="1" s="1"/>
  <c r="D348" i="1" l="1"/>
  <c r="C348" i="1"/>
  <c r="N348" i="1"/>
  <c r="H348" i="1"/>
  <c r="K348" i="1"/>
  <c r="L348" i="1" l="1"/>
  <c r="D328" i="3"/>
  <c r="I348" i="1"/>
  <c r="J348" i="1" s="1"/>
  <c r="O348" i="1"/>
  <c r="P348" i="1" s="1"/>
  <c r="M348" i="1"/>
  <c r="F348" i="1" l="1"/>
  <c r="D349" i="1" s="1"/>
  <c r="G348" i="1"/>
  <c r="B349" i="1" l="1"/>
  <c r="E349" i="1"/>
  <c r="C349" i="1"/>
  <c r="D329" i="3" s="1"/>
  <c r="N349" i="1" l="1"/>
  <c r="C329" i="3"/>
  <c r="H349" i="1"/>
  <c r="K349" i="1"/>
  <c r="O349" i="1"/>
  <c r="I349" i="1"/>
  <c r="L349" i="1"/>
  <c r="M349" i="1" s="1"/>
  <c r="P349" i="1" l="1"/>
  <c r="J349" i="1"/>
  <c r="F349" i="1" s="1"/>
  <c r="B350" i="1" l="1"/>
  <c r="C330" i="3" s="1"/>
  <c r="D350" i="1"/>
  <c r="G349" i="1"/>
  <c r="E350" i="1" l="1"/>
  <c r="C350" i="1"/>
  <c r="D330" i="3" s="1"/>
  <c r="N350" i="1"/>
  <c r="H350" i="1"/>
  <c r="K350" i="1"/>
  <c r="O350" i="1" l="1"/>
  <c r="P350" i="1" s="1"/>
  <c r="I350" i="1"/>
  <c r="L350" i="1"/>
  <c r="M350" i="1" s="1"/>
  <c r="J350" i="1" l="1"/>
  <c r="F350" i="1" s="1"/>
  <c r="B351" i="1" l="1"/>
  <c r="C331" i="3" s="1"/>
  <c r="D351" i="1"/>
  <c r="G350" i="1"/>
  <c r="E351" i="1" l="1"/>
  <c r="C351" i="1"/>
  <c r="D331" i="3" s="1"/>
  <c r="H351" i="1"/>
  <c r="K351" i="1"/>
  <c r="N351" i="1"/>
  <c r="O351" i="1" l="1"/>
  <c r="P351" i="1" s="1"/>
  <c r="I351" i="1"/>
  <c r="L351" i="1"/>
  <c r="M351" i="1" s="1"/>
  <c r="J351" i="1" l="1"/>
  <c r="F351" i="1" s="1"/>
  <c r="B352" i="1" l="1"/>
  <c r="C332" i="3" s="1"/>
  <c r="D352" i="1"/>
  <c r="G351" i="1"/>
  <c r="E352" i="1" l="1"/>
  <c r="C352" i="1"/>
  <c r="D332" i="3" s="1"/>
  <c r="H352" i="1"/>
  <c r="K352" i="1"/>
  <c r="N352" i="1"/>
  <c r="I352" i="1" l="1"/>
  <c r="L352" i="1"/>
  <c r="M352" i="1" s="1"/>
  <c r="O352" i="1"/>
  <c r="P352" i="1" s="1"/>
  <c r="J352" i="1" l="1"/>
  <c r="F352" i="1" s="1"/>
  <c r="B353" i="1" l="1"/>
  <c r="C333" i="3" s="1"/>
  <c r="D353" i="1"/>
  <c r="G352" i="1"/>
  <c r="E353" i="1" l="1"/>
  <c r="C353" i="1"/>
  <c r="D333" i="3" s="1"/>
  <c r="K353" i="1"/>
  <c r="H353" i="1"/>
  <c r="N353" i="1"/>
  <c r="I353" i="1" l="1"/>
  <c r="L353" i="1"/>
  <c r="M353" i="1" s="1"/>
  <c r="O353" i="1"/>
  <c r="P353" i="1" s="1"/>
  <c r="J353" i="1" l="1"/>
  <c r="F353" i="1" s="1"/>
  <c r="B354" i="1" l="1"/>
  <c r="C334" i="3" s="1"/>
  <c r="D354" i="1"/>
  <c r="G353" i="1"/>
  <c r="E354" i="1" l="1"/>
  <c r="C354" i="1"/>
  <c r="D334" i="3" s="1"/>
  <c r="P17" i="3" s="1"/>
  <c r="K354" i="1"/>
  <c r="N354" i="1"/>
  <c r="H354" i="1"/>
  <c r="L354" i="1" l="1"/>
  <c r="M354" i="1" s="1"/>
  <c r="I354" i="1"/>
  <c r="O354" i="1"/>
  <c r="P354" i="1" s="1"/>
  <c r="J354" i="1" l="1"/>
  <c r="F354" i="1" s="1"/>
  <c r="B355" i="1" l="1"/>
  <c r="C335" i="3" s="1"/>
  <c r="D355" i="1"/>
  <c r="G354" i="1"/>
  <c r="E355" i="1" l="1"/>
  <c r="C355" i="1"/>
  <c r="D335" i="3" s="1"/>
  <c r="K355" i="1"/>
  <c r="N355" i="1"/>
  <c r="H355" i="1"/>
  <c r="L355" i="1" l="1"/>
  <c r="M355" i="1" s="1"/>
  <c r="O355" i="1"/>
  <c r="P355" i="1" s="1"/>
  <c r="I355" i="1"/>
  <c r="J355" i="1" l="1"/>
  <c r="F355" i="1" s="1"/>
  <c r="B356" i="1" l="1"/>
  <c r="C336" i="3" s="1"/>
  <c r="D356" i="1"/>
  <c r="G355" i="1"/>
  <c r="E356" i="1" l="1"/>
  <c r="C356" i="1"/>
  <c r="D336" i="3" s="1"/>
  <c r="N356" i="1"/>
  <c r="H356" i="1"/>
  <c r="K356" i="1"/>
  <c r="L356" i="1" l="1"/>
  <c r="M356" i="1" s="1"/>
  <c r="O356" i="1"/>
  <c r="P356" i="1" s="1"/>
  <c r="I356" i="1"/>
  <c r="J356" i="1" l="1"/>
  <c r="F356" i="1" s="1"/>
  <c r="B357" i="1" l="1"/>
  <c r="C337" i="3" s="1"/>
  <c r="D357" i="1"/>
  <c r="G356" i="1"/>
  <c r="C357" i="1" l="1"/>
  <c r="D337" i="3" s="1"/>
  <c r="E357" i="1"/>
  <c r="N357" i="1"/>
  <c r="H357" i="1"/>
  <c r="K357" i="1"/>
  <c r="O357" i="1" l="1"/>
  <c r="P357" i="1" s="1"/>
  <c r="I357" i="1"/>
  <c r="L357" i="1"/>
  <c r="M357" i="1" s="1"/>
  <c r="J357" i="1" l="1"/>
  <c r="F357" i="1" s="1"/>
  <c r="B358" i="1" l="1"/>
  <c r="C338" i="3" s="1"/>
  <c r="D358" i="1"/>
  <c r="G357" i="1"/>
  <c r="N358" i="1" l="1"/>
  <c r="H358" i="1"/>
  <c r="K358" i="1"/>
  <c r="C358" i="1"/>
  <c r="D338" i="3" s="1"/>
  <c r="E358" i="1"/>
  <c r="O358" i="1" l="1"/>
  <c r="P358" i="1" s="1"/>
  <c r="I358" i="1"/>
  <c r="L358" i="1"/>
  <c r="M358" i="1" s="1"/>
  <c r="J358" i="1"/>
  <c r="F358" i="1" l="1"/>
  <c r="B359" i="1" s="1"/>
  <c r="C339" i="3" s="1"/>
  <c r="G358" i="1"/>
  <c r="D359" i="1" l="1"/>
  <c r="E359" i="1"/>
  <c r="C359" i="1"/>
  <c r="D339" i="3" s="1"/>
  <c r="H359" i="1"/>
  <c r="K359" i="1"/>
  <c r="N359" i="1"/>
  <c r="O359" i="1" l="1"/>
  <c r="P359" i="1" s="1"/>
  <c r="I359" i="1"/>
  <c r="L359" i="1"/>
  <c r="M359" i="1" s="1"/>
  <c r="J359" i="1" l="1"/>
  <c r="F359" i="1" s="1"/>
  <c r="B360" i="1" l="1"/>
  <c r="C340" i="3" s="1"/>
  <c r="D360" i="1"/>
  <c r="G359" i="1"/>
  <c r="E360" i="1" l="1"/>
  <c r="C360" i="1"/>
  <c r="D340" i="3" s="1"/>
  <c r="H360" i="1"/>
  <c r="K360" i="1"/>
  <c r="N360" i="1"/>
  <c r="I360" i="1" l="1"/>
  <c r="L360" i="1"/>
  <c r="M360" i="1" s="1"/>
  <c r="O360" i="1"/>
  <c r="P360" i="1" s="1"/>
  <c r="J360" i="1" l="1"/>
  <c r="F360" i="1" s="1"/>
  <c r="D361" i="1" l="1"/>
  <c r="B361" i="1"/>
  <c r="C341" i="3" s="1"/>
  <c r="G360" i="1"/>
  <c r="E361" i="1" l="1"/>
  <c r="C361" i="1"/>
  <c r="D341" i="3" s="1"/>
  <c r="K361" i="1"/>
  <c r="H361" i="1"/>
  <c r="N361" i="1"/>
  <c r="I361" i="1" l="1"/>
  <c r="L361" i="1"/>
  <c r="M361" i="1" s="1"/>
  <c r="O361" i="1"/>
  <c r="P361" i="1" s="1"/>
  <c r="J361" i="1" l="1"/>
  <c r="F361" i="1" s="1"/>
  <c r="B362" i="1" l="1"/>
  <c r="C342" i="3" s="1"/>
  <c r="D362" i="1"/>
  <c r="G361" i="1"/>
  <c r="E362" i="1" l="1"/>
  <c r="C362" i="1"/>
  <c r="D342" i="3" s="1"/>
  <c r="K362" i="1"/>
  <c r="N362" i="1"/>
  <c r="H362" i="1"/>
  <c r="L362" i="1" l="1"/>
  <c r="M362" i="1" s="1"/>
  <c r="I362" i="1"/>
  <c r="O362" i="1"/>
  <c r="P362" i="1" s="1"/>
  <c r="J362" i="1" l="1"/>
  <c r="F362" i="1" s="1"/>
  <c r="B363" i="1" l="1"/>
  <c r="C343" i="3" s="1"/>
  <c r="D363" i="1"/>
  <c r="G362" i="1"/>
  <c r="E363" i="1" l="1"/>
  <c r="C363" i="1"/>
  <c r="D343" i="3" s="1"/>
  <c r="K363" i="1"/>
  <c r="N363" i="1"/>
  <c r="H363" i="1"/>
  <c r="L363" i="1" l="1"/>
  <c r="M363" i="1" s="1"/>
  <c r="O363" i="1"/>
  <c r="P363" i="1" s="1"/>
  <c r="I363" i="1"/>
  <c r="J363" i="1" l="1"/>
  <c r="F363" i="1" s="1"/>
  <c r="B364" i="1" l="1"/>
  <c r="C344" i="3" s="1"/>
  <c r="D364" i="1"/>
  <c r="G363" i="1"/>
  <c r="E364" i="1" l="1"/>
  <c r="C364" i="1"/>
  <c r="D344" i="3" s="1"/>
  <c r="N364" i="1"/>
  <c r="H364" i="1"/>
  <c r="K364" i="1"/>
  <c r="L364" i="1" l="1"/>
  <c r="M364" i="1" s="1"/>
  <c r="O364" i="1"/>
  <c r="P364" i="1" s="1"/>
  <c r="I364" i="1"/>
  <c r="J364" i="1" l="1"/>
  <c r="F364" i="1" s="1"/>
  <c r="D365" i="1" l="1"/>
  <c r="B365" i="1"/>
  <c r="C345" i="3" s="1"/>
  <c r="G364" i="1"/>
  <c r="E365" i="1" l="1"/>
  <c r="C365" i="1"/>
  <c r="D345" i="3" s="1"/>
  <c r="N365" i="1"/>
  <c r="H365" i="1"/>
  <c r="K365" i="1"/>
  <c r="I365" i="1" l="1"/>
  <c r="L365" i="1"/>
  <c r="M365" i="1" s="1"/>
  <c r="O365" i="1"/>
  <c r="P365" i="1" s="1"/>
  <c r="J365" i="1" l="1"/>
  <c r="F365" i="1" s="1"/>
  <c r="B366" i="1" l="1"/>
  <c r="C346" i="3" s="1"/>
  <c r="D366" i="1"/>
  <c r="G365" i="1"/>
  <c r="E366" i="1" l="1"/>
  <c r="C366" i="1"/>
  <c r="D346" i="3" s="1"/>
  <c r="N366" i="1"/>
  <c r="H366" i="1"/>
  <c r="K366" i="1"/>
  <c r="O366" i="1" l="1"/>
  <c r="P366" i="1" s="1"/>
  <c r="I366" i="1"/>
  <c r="L366" i="1"/>
  <c r="M366" i="1" s="1"/>
  <c r="J366" i="1" l="1"/>
  <c r="F366" i="1" s="1"/>
  <c r="D367" i="1" l="1"/>
  <c r="B367" i="1"/>
  <c r="C347" i="3" s="1"/>
  <c r="G366" i="1"/>
  <c r="E367" i="1" l="1"/>
  <c r="C367" i="1"/>
  <c r="D347" i="3" s="1"/>
  <c r="H367" i="1"/>
  <c r="K367" i="1"/>
  <c r="N367" i="1"/>
  <c r="O367" i="1" l="1"/>
  <c r="P367" i="1" s="1"/>
  <c r="I367" i="1"/>
  <c r="L367" i="1"/>
  <c r="M367" i="1" s="1"/>
  <c r="J367" i="1" l="1"/>
  <c r="F367" i="1" s="1"/>
  <c r="B368" i="1" l="1"/>
  <c r="C348" i="3" s="1"/>
  <c r="D368" i="1"/>
  <c r="G367" i="1"/>
  <c r="E368" i="1" l="1"/>
  <c r="C368" i="1"/>
  <c r="D348" i="3" s="1"/>
  <c r="H368" i="1"/>
  <c r="K368" i="1"/>
  <c r="N368" i="1"/>
  <c r="O368" i="1" l="1"/>
  <c r="P368" i="1" s="1"/>
  <c r="I368" i="1"/>
  <c r="L368" i="1"/>
  <c r="M368" i="1" s="1"/>
  <c r="J368" i="1" l="1"/>
  <c r="F368" i="1" s="1"/>
  <c r="D369" i="1" l="1"/>
  <c r="B369" i="1"/>
  <c r="C349" i="3" s="1"/>
  <c r="G368" i="1"/>
  <c r="E369" i="1" l="1"/>
  <c r="C369" i="1"/>
  <c r="D349" i="3" s="1"/>
  <c r="H369" i="1"/>
  <c r="K369" i="1"/>
  <c r="N369" i="1"/>
  <c r="I369" i="1" l="1"/>
  <c r="J369" i="1" s="1"/>
  <c r="L369" i="1"/>
  <c r="M369" i="1" s="1"/>
  <c r="O369" i="1"/>
  <c r="P369" i="1" s="1"/>
  <c r="F369" i="1" l="1"/>
  <c r="B370" i="1" s="1"/>
  <c r="C350" i="3" s="1"/>
  <c r="G369" i="1"/>
  <c r="D370" i="1" l="1"/>
  <c r="E370" i="1"/>
  <c r="C370" i="1"/>
  <c r="D350" i="3" s="1"/>
  <c r="K370" i="1"/>
  <c r="N370" i="1"/>
  <c r="H370" i="1"/>
  <c r="I370" i="1" l="1"/>
  <c r="L370" i="1"/>
  <c r="M370" i="1" s="1"/>
  <c r="O370" i="1"/>
  <c r="P370" i="1" s="1"/>
  <c r="J370" i="1" l="1"/>
  <c r="F370" i="1" s="1"/>
  <c r="B371" i="1" l="1"/>
  <c r="C351" i="3" s="1"/>
  <c r="D371" i="1"/>
  <c r="G370" i="1"/>
  <c r="E371" i="1" l="1"/>
  <c r="C371" i="1"/>
  <c r="D351" i="3" s="1"/>
  <c r="K371" i="1"/>
  <c r="N371" i="1"/>
  <c r="H371" i="1"/>
  <c r="L371" i="1" l="1"/>
  <c r="M371" i="1" s="1"/>
  <c r="O371" i="1"/>
  <c r="P371" i="1" s="1"/>
  <c r="I371" i="1"/>
  <c r="J371" i="1" l="1"/>
  <c r="F371" i="1" s="1"/>
  <c r="B372" i="1" l="1"/>
  <c r="C352" i="3" s="1"/>
  <c r="D372" i="1"/>
  <c r="G371" i="1"/>
  <c r="E372" i="1" l="1"/>
  <c r="C372" i="1"/>
  <c r="D352" i="3" s="1"/>
  <c r="K372" i="1"/>
  <c r="N372" i="1"/>
  <c r="H372" i="1"/>
  <c r="L372" i="1" l="1"/>
  <c r="M372" i="1" s="1"/>
  <c r="O372" i="1"/>
  <c r="P372" i="1" s="1"/>
  <c r="I372" i="1"/>
  <c r="J372" i="1" l="1"/>
  <c r="F372" i="1" s="1"/>
  <c r="D373" i="1" l="1"/>
  <c r="B373" i="1"/>
  <c r="C353" i="3" s="1"/>
  <c r="G372" i="1"/>
  <c r="E373" i="1" l="1"/>
  <c r="C373" i="1"/>
  <c r="D353" i="3" s="1"/>
  <c r="N373" i="1"/>
  <c r="H373" i="1"/>
  <c r="K373" i="1"/>
  <c r="L373" i="1" l="1"/>
  <c r="M373" i="1" s="1"/>
  <c r="O373" i="1"/>
  <c r="P373" i="1" s="1"/>
  <c r="I373" i="1"/>
  <c r="J373" i="1" s="1"/>
  <c r="F373" i="1" l="1"/>
  <c r="B374" i="1" s="1"/>
  <c r="C354" i="3" s="1"/>
  <c r="G373" i="1"/>
  <c r="D374" i="1" l="1"/>
  <c r="C374" i="1"/>
  <c r="D354" i="3" s="1"/>
  <c r="E374" i="1"/>
  <c r="N374" i="1"/>
  <c r="H374" i="1"/>
  <c r="K374" i="1"/>
  <c r="O374" i="1" l="1"/>
  <c r="P374" i="1" s="1"/>
  <c r="I374" i="1"/>
  <c r="L374" i="1"/>
  <c r="M374" i="1" s="1"/>
  <c r="J374" i="1" l="1"/>
  <c r="F374" i="1" s="1"/>
  <c r="B375" i="1" l="1"/>
  <c r="C355" i="3" s="1"/>
  <c r="D375" i="1"/>
  <c r="G374" i="1"/>
  <c r="N375" i="1" l="1"/>
  <c r="H375" i="1"/>
  <c r="K375" i="1"/>
  <c r="E375" i="1"/>
  <c r="C375" i="1"/>
  <c r="D355" i="3" s="1"/>
  <c r="O375" i="1" l="1"/>
  <c r="P375" i="1" s="1"/>
  <c r="I375" i="1"/>
  <c r="J375" i="1" s="1"/>
  <c r="L375" i="1"/>
  <c r="M375" i="1" s="1"/>
  <c r="F375" i="1" l="1"/>
  <c r="G375" i="1"/>
  <c r="C376" i="1" l="1"/>
  <c r="D356" i="3" s="1"/>
  <c r="E376" i="1"/>
  <c r="B376" i="1"/>
  <c r="C356" i="3" s="1"/>
  <c r="D376" i="1"/>
  <c r="O376" i="1" l="1"/>
  <c r="I376" i="1"/>
  <c r="L376" i="1"/>
  <c r="H376" i="1"/>
  <c r="K376" i="1"/>
  <c r="N376" i="1"/>
  <c r="M376" i="1" l="1"/>
  <c r="P376" i="1"/>
  <c r="J376" i="1"/>
  <c r="F376" i="1" l="1"/>
  <c r="D377" i="1" s="1"/>
  <c r="G376" i="1"/>
  <c r="C377" i="1" s="1"/>
  <c r="D357" i="3" s="1"/>
  <c r="B377" i="1" l="1"/>
  <c r="E377" i="1"/>
  <c r="I377" i="1"/>
  <c r="L377" i="1"/>
  <c r="O377" i="1"/>
  <c r="H377" i="1" l="1"/>
  <c r="C357" i="3"/>
  <c r="N377" i="1"/>
  <c r="P377" i="1" s="1"/>
  <c r="K377" i="1"/>
  <c r="M377" i="1" s="1"/>
  <c r="J377" i="1"/>
  <c r="F377" i="1" l="1"/>
  <c r="D378" i="1" s="1"/>
  <c r="G377" i="1"/>
  <c r="C378" i="1" s="1"/>
  <c r="D358" i="3" s="1"/>
  <c r="B378" i="1" l="1"/>
  <c r="E378" i="1"/>
  <c r="I378" i="1"/>
  <c r="L378" i="1"/>
  <c r="O378" i="1"/>
  <c r="K378" i="1" l="1"/>
  <c r="C358" i="3"/>
  <c r="H378" i="1"/>
  <c r="J378" i="1" s="1"/>
  <c r="N378" i="1"/>
  <c r="P378" i="1" s="1"/>
  <c r="M378" i="1"/>
  <c r="F378" i="1" l="1"/>
  <c r="D379" i="1" s="1"/>
  <c r="G378" i="1"/>
  <c r="E379" i="1" s="1"/>
  <c r="B379" i="1" l="1"/>
  <c r="C379" i="1"/>
  <c r="L379" i="1" l="1"/>
  <c r="D359" i="3"/>
  <c r="K379" i="1"/>
  <c r="M379" i="1" s="1"/>
  <c r="C359" i="3"/>
  <c r="H379" i="1"/>
  <c r="N379" i="1"/>
  <c r="I379" i="1"/>
  <c r="O379" i="1"/>
  <c r="P379" i="1" l="1"/>
  <c r="J379" i="1"/>
  <c r="F379" i="1" l="1"/>
  <c r="B380" i="1" s="1"/>
  <c r="G379" i="1"/>
  <c r="E380" i="1" s="1"/>
  <c r="K380" i="1" l="1"/>
  <c r="C360" i="3"/>
  <c r="N380" i="1"/>
  <c r="H380" i="1"/>
  <c r="D380" i="1"/>
  <c r="C380" i="1"/>
  <c r="D360" i="3" s="1"/>
  <c r="L380" i="1" l="1"/>
  <c r="M380" i="1" s="1"/>
  <c r="I380" i="1"/>
  <c r="J380" i="1" s="1"/>
  <c r="O380" i="1"/>
  <c r="P380" i="1" s="1"/>
  <c r="G380" i="1" l="1"/>
  <c r="E381" i="1" s="1"/>
  <c r="F380" i="1"/>
  <c r="C381" i="1" l="1"/>
  <c r="D381" i="1"/>
  <c r="B381" i="1"/>
  <c r="C361" i="3" s="1"/>
  <c r="L381" i="1" l="1"/>
  <c r="D361" i="3"/>
  <c r="I381" i="1"/>
  <c r="O381" i="1"/>
  <c r="N381" i="1"/>
  <c r="H381" i="1"/>
  <c r="K381" i="1"/>
  <c r="M381" i="1" s="1"/>
  <c r="J381" i="1" l="1"/>
  <c r="P381" i="1"/>
  <c r="G381" i="1" l="1"/>
  <c r="E382" i="1" s="1"/>
  <c r="F381" i="1"/>
  <c r="C382" i="1" l="1"/>
  <c r="B382" i="1"/>
  <c r="C362" i="3" s="1"/>
  <c r="D382" i="1"/>
  <c r="O382" i="1" l="1"/>
  <c r="D362" i="3"/>
  <c r="I382" i="1"/>
  <c r="L382" i="1"/>
  <c r="K382" i="1"/>
  <c r="N382" i="1"/>
  <c r="P382" i="1" s="1"/>
  <c r="H382" i="1"/>
  <c r="M382" i="1" l="1"/>
  <c r="J382" i="1"/>
  <c r="G382" i="1" l="1"/>
  <c r="C383" i="1" s="1"/>
  <c r="F382" i="1"/>
  <c r="D383" i="1" s="1"/>
  <c r="O383" i="1" l="1"/>
  <c r="D363" i="3"/>
  <c r="E383" i="1"/>
  <c r="L383" i="1"/>
  <c r="I383" i="1"/>
  <c r="B383" i="1"/>
  <c r="N383" i="1" l="1"/>
  <c r="P383" i="1" s="1"/>
  <c r="C363" i="3"/>
  <c r="H383" i="1"/>
  <c r="J383" i="1" s="1"/>
  <c r="K383" i="1"/>
  <c r="M383" i="1" s="1"/>
  <c r="G383" i="1" l="1"/>
  <c r="E384" i="1" s="1"/>
  <c r="F383" i="1"/>
  <c r="B384" i="1" s="1"/>
  <c r="H384" i="1" l="1"/>
  <c r="C364" i="3"/>
  <c r="C384" i="1"/>
  <c r="N384" i="1"/>
  <c r="K384" i="1"/>
  <c r="D384" i="1"/>
  <c r="O384" i="1" l="1"/>
  <c r="D364" i="3"/>
  <c r="L384" i="1"/>
  <c r="M384" i="1" s="1"/>
  <c r="I384" i="1"/>
  <c r="J384" i="1" s="1"/>
  <c r="P384" i="1"/>
  <c r="F384" i="1" l="1"/>
  <c r="D385" i="1" s="1"/>
  <c r="G384" i="1"/>
  <c r="E385" i="1" s="1"/>
  <c r="B385" i="1" l="1"/>
  <c r="C385" i="1"/>
  <c r="I385" i="1" l="1"/>
  <c r="D365" i="3"/>
  <c r="H385" i="1"/>
  <c r="J385" i="1" s="1"/>
  <c r="C365" i="3"/>
  <c r="N385" i="1"/>
  <c r="K385" i="1"/>
  <c r="O385" i="1"/>
  <c r="L385" i="1"/>
  <c r="M385" i="1" l="1"/>
  <c r="P385" i="1"/>
  <c r="F385" i="1" l="1"/>
  <c r="B386" i="1" s="1"/>
  <c r="G385" i="1"/>
  <c r="C386" i="1" s="1"/>
  <c r="D366" i="3" s="1"/>
  <c r="H386" i="1" l="1"/>
  <c r="C366" i="3"/>
  <c r="K386" i="1"/>
  <c r="N386" i="1"/>
  <c r="D386" i="1"/>
  <c r="E386" i="1"/>
  <c r="I386" i="1"/>
  <c r="L386" i="1"/>
  <c r="O386" i="1"/>
  <c r="P386" i="1" l="1"/>
  <c r="M386" i="1"/>
  <c r="J386" i="1"/>
  <c r="F386" i="1" l="1"/>
  <c r="B387" i="1" s="1"/>
  <c r="C367" i="3" s="1"/>
  <c r="G386" i="1"/>
  <c r="D387" i="1" l="1"/>
  <c r="E387" i="1"/>
  <c r="C387" i="1"/>
  <c r="D367" i="3" s="1"/>
  <c r="K387" i="1"/>
  <c r="N387" i="1"/>
  <c r="H387" i="1"/>
  <c r="L387" i="1" l="1"/>
  <c r="M387" i="1" s="1"/>
  <c r="O387" i="1"/>
  <c r="P387" i="1" s="1"/>
  <c r="I387" i="1"/>
  <c r="J387" i="1" l="1"/>
  <c r="F387" i="1" s="1"/>
  <c r="B388" i="1" l="1"/>
  <c r="C368" i="3" s="1"/>
  <c r="D388" i="1"/>
  <c r="G387" i="1"/>
  <c r="C388" i="1" l="1"/>
  <c r="D368" i="3" s="1"/>
  <c r="E388" i="1"/>
  <c r="K388" i="1"/>
  <c r="N388" i="1"/>
  <c r="H388" i="1"/>
  <c r="L388" i="1" l="1"/>
  <c r="M388" i="1" s="1"/>
  <c r="O388" i="1"/>
  <c r="P388" i="1" s="1"/>
  <c r="I388" i="1"/>
  <c r="J388" i="1" s="1"/>
  <c r="F388" i="1" l="1"/>
  <c r="G388" i="1"/>
  <c r="E389" i="1" l="1"/>
  <c r="C389" i="1"/>
  <c r="D369" i="3" s="1"/>
  <c r="D389" i="1"/>
  <c r="B389" i="1"/>
  <c r="C369" i="3" s="1"/>
  <c r="N389" i="1" l="1"/>
  <c r="H389" i="1"/>
  <c r="K389" i="1"/>
  <c r="L389" i="1"/>
  <c r="O389" i="1"/>
  <c r="I389" i="1"/>
  <c r="M389" i="1" l="1"/>
  <c r="J389" i="1"/>
  <c r="P389" i="1"/>
  <c r="G389" i="1" l="1"/>
  <c r="C390" i="1" s="1"/>
  <c r="D370" i="3" s="1"/>
  <c r="F389" i="1"/>
  <c r="E390" i="1" l="1"/>
  <c r="B390" i="1"/>
  <c r="C370" i="3" s="1"/>
  <c r="D390" i="1"/>
  <c r="O390" i="1"/>
  <c r="I390" i="1"/>
  <c r="L390" i="1"/>
  <c r="N390" i="1" l="1"/>
  <c r="P390" i="1" s="1"/>
  <c r="H390" i="1"/>
  <c r="K390" i="1"/>
  <c r="M390" i="1" s="1"/>
  <c r="J390" i="1" l="1"/>
  <c r="G390" i="1" s="1"/>
  <c r="E391" i="1" l="1"/>
  <c r="C391" i="1"/>
  <c r="D371" i="3" s="1"/>
  <c r="F390" i="1"/>
  <c r="D391" i="1" l="1"/>
  <c r="B391" i="1"/>
  <c r="C371" i="3" s="1"/>
  <c r="O391" i="1"/>
  <c r="I391" i="1"/>
  <c r="L391" i="1"/>
  <c r="N391" i="1" l="1"/>
  <c r="P391" i="1" s="1"/>
  <c r="H391" i="1"/>
  <c r="K391" i="1"/>
  <c r="M391" i="1" s="1"/>
  <c r="J391" i="1" l="1"/>
  <c r="G391" i="1" s="1"/>
  <c r="C392" i="1" l="1"/>
  <c r="D372" i="3" s="1"/>
  <c r="E392" i="1"/>
  <c r="F391" i="1"/>
  <c r="B392" i="1" l="1"/>
  <c r="C372" i="3" s="1"/>
  <c r="D392" i="1"/>
  <c r="O392" i="1"/>
  <c r="I392" i="1"/>
  <c r="L392" i="1"/>
  <c r="H392" i="1" l="1"/>
  <c r="K392" i="1"/>
  <c r="M392" i="1" s="1"/>
  <c r="N392" i="1"/>
  <c r="P392" i="1" s="1"/>
  <c r="J392" i="1" l="1"/>
  <c r="G392" i="1" s="1"/>
  <c r="F392" i="1" l="1"/>
  <c r="D393" i="1" s="1"/>
  <c r="E393" i="1"/>
  <c r="C393" i="1"/>
  <c r="D373" i="3" s="1"/>
  <c r="B393" i="1" l="1"/>
  <c r="I393" i="1"/>
  <c r="L393" i="1"/>
  <c r="O393" i="1"/>
  <c r="H393" i="1" l="1"/>
  <c r="C373" i="3"/>
  <c r="K393" i="1"/>
  <c r="M393" i="1" s="1"/>
  <c r="N393" i="1"/>
  <c r="P393" i="1" s="1"/>
  <c r="J393" i="1"/>
  <c r="G393" i="1" l="1"/>
  <c r="E394" i="1" s="1"/>
  <c r="F393" i="1"/>
  <c r="D394" i="1" s="1"/>
  <c r="C394" i="1" l="1"/>
  <c r="B394" i="1"/>
  <c r="K394" i="1" l="1"/>
  <c r="C374" i="3"/>
  <c r="I394" i="1"/>
  <c r="D374" i="3"/>
  <c r="L394" i="1"/>
  <c r="M394" i="1" s="1"/>
  <c r="O394" i="1"/>
  <c r="H394" i="1"/>
  <c r="J394" i="1" s="1"/>
  <c r="N394" i="1"/>
  <c r="P394" i="1" l="1"/>
  <c r="G394" i="1"/>
  <c r="E395" i="1" s="1"/>
  <c r="F394" i="1"/>
  <c r="C395" i="1" l="1"/>
  <c r="B395" i="1"/>
  <c r="C375" i="3" s="1"/>
  <c r="D395" i="1"/>
  <c r="L395" i="1" l="1"/>
  <c r="D375" i="3"/>
  <c r="O395" i="1"/>
  <c r="I395" i="1"/>
  <c r="K395" i="1"/>
  <c r="M395" i="1" s="1"/>
  <c r="N395" i="1"/>
  <c r="H395" i="1"/>
  <c r="P395" i="1" l="1"/>
  <c r="J395" i="1"/>
  <c r="G395" i="1" l="1"/>
  <c r="C396" i="1" s="1"/>
  <c r="D376" i="3" s="1"/>
  <c r="F395" i="1"/>
  <c r="D396" i="1" s="1"/>
  <c r="E396" i="1" l="1"/>
  <c r="B396" i="1"/>
  <c r="L396" i="1"/>
  <c r="O396" i="1"/>
  <c r="I396" i="1"/>
  <c r="K396" i="1" l="1"/>
  <c r="C376" i="3"/>
  <c r="M396" i="1"/>
  <c r="N396" i="1"/>
  <c r="P396" i="1" s="1"/>
  <c r="H396" i="1"/>
  <c r="J396" i="1" s="1"/>
  <c r="G396" i="1" l="1"/>
  <c r="C397" i="1" s="1"/>
  <c r="D377" i="3" s="1"/>
  <c r="F396" i="1"/>
  <c r="B397" i="1" s="1"/>
  <c r="C377" i="3" s="1"/>
  <c r="E397" i="1" l="1"/>
  <c r="D397" i="1"/>
  <c r="L397" i="1"/>
  <c r="O397" i="1"/>
  <c r="I397" i="1"/>
  <c r="N397" i="1"/>
  <c r="H397" i="1"/>
  <c r="K397" i="1"/>
  <c r="M397" i="1" s="1"/>
  <c r="P397" i="1" l="1"/>
  <c r="J397" i="1"/>
  <c r="F397" i="1" l="1"/>
  <c r="B398" i="1" s="1"/>
  <c r="C378" i="3" s="1"/>
  <c r="G397" i="1"/>
  <c r="D398" i="1" l="1"/>
  <c r="E398" i="1"/>
  <c r="C398" i="1"/>
  <c r="D378" i="3" s="1"/>
  <c r="N398" i="1"/>
  <c r="H398" i="1"/>
  <c r="K398" i="1"/>
  <c r="O398" i="1" l="1"/>
  <c r="P398" i="1" s="1"/>
  <c r="I398" i="1"/>
  <c r="L398" i="1"/>
  <c r="M398" i="1" s="1"/>
  <c r="J398" i="1" l="1"/>
  <c r="F398" i="1" s="1"/>
  <c r="D399" i="1" l="1"/>
  <c r="B399" i="1"/>
  <c r="C379" i="3" s="1"/>
  <c r="G398" i="1"/>
  <c r="E399" i="1" l="1"/>
  <c r="C399" i="1"/>
  <c r="D379" i="3" s="1"/>
  <c r="N399" i="1"/>
  <c r="H399" i="1"/>
  <c r="K399" i="1"/>
  <c r="O399" i="1" l="1"/>
  <c r="P399" i="1" s="1"/>
  <c r="I399" i="1"/>
  <c r="J399" i="1" s="1"/>
  <c r="L399" i="1"/>
  <c r="M399" i="1" s="1"/>
  <c r="F399" i="1" l="1"/>
  <c r="D400" i="1" s="1"/>
  <c r="G399" i="1"/>
  <c r="B400" i="1" l="1"/>
  <c r="E400" i="1"/>
  <c r="C400" i="1"/>
  <c r="D380" i="3" s="1"/>
  <c r="H400" i="1" l="1"/>
  <c r="C380" i="3"/>
  <c r="N400" i="1"/>
  <c r="K400" i="1"/>
  <c r="O400" i="1"/>
  <c r="I400" i="1"/>
  <c r="L400" i="1"/>
  <c r="J400" i="1" l="1"/>
  <c r="M400" i="1"/>
  <c r="P400" i="1"/>
  <c r="G400" i="1" l="1"/>
  <c r="E401" i="1" s="1"/>
  <c r="F400" i="1"/>
  <c r="B401" i="1" s="1"/>
  <c r="K401" i="1" l="1"/>
  <c r="C381" i="3"/>
  <c r="C401" i="1"/>
  <c r="H401" i="1"/>
  <c r="N401" i="1"/>
  <c r="D401" i="1"/>
  <c r="L401" i="1" l="1"/>
  <c r="M401" i="1" s="1"/>
  <c r="D381" i="3"/>
  <c r="O401" i="1"/>
  <c r="P401" i="1" s="1"/>
  <c r="I401" i="1"/>
  <c r="J401" i="1" s="1"/>
  <c r="F401" i="1" l="1"/>
  <c r="B402" i="1" s="1"/>
  <c r="C382" i="3" s="1"/>
  <c r="G401" i="1"/>
  <c r="E402" i="1" s="1"/>
  <c r="D402" i="1" l="1"/>
  <c r="C402" i="1"/>
  <c r="K402" i="1"/>
  <c r="N402" i="1"/>
  <c r="H402" i="1"/>
  <c r="I402" i="1" l="1"/>
  <c r="D382" i="3"/>
  <c r="O402" i="1"/>
  <c r="P402" i="1" s="1"/>
  <c r="L402" i="1"/>
  <c r="M402" i="1" s="1"/>
  <c r="J402" i="1"/>
  <c r="F402" i="1" l="1"/>
  <c r="D403" i="1" s="1"/>
  <c r="G402" i="1"/>
  <c r="C403" i="1" s="1"/>
  <c r="D383" i="3" s="1"/>
  <c r="B403" i="1" l="1"/>
  <c r="E403" i="1"/>
  <c r="L403" i="1"/>
  <c r="O403" i="1"/>
  <c r="I403" i="1"/>
  <c r="K403" i="1" l="1"/>
  <c r="C383" i="3"/>
  <c r="M403" i="1"/>
  <c r="N403" i="1"/>
  <c r="P403" i="1" s="1"/>
  <c r="H403" i="1"/>
  <c r="J403" i="1" s="1"/>
  <c r="G403" i="1" l="1"/>
  <c r="E404" i="1" s="1"/>
  <c r="F403" i="1"/>
  <c r="D404" i="1" s="1"/>
  <c r="C404" i="1" l="1"/>
  <c r="B404" i="1"/>
  <c r="K404" i="1" l="1"/>
  <c r="C384" i="3"/>
  <c r="L404" i="1"/>
  <c r="M404" i="1" s="1"/>
  <c r="D384" i="3"/>
  <c r="I404" i="1"/>
  <c r="O404" i="1"/>
  <c r="H404" i="1"/>
  <c r="N404" i="1"/>
  <c r="P404" i="1" s="1"/>
  <c r="J404" i="1" l="1"/>
  <c r="F404" i="1" s="1"/>
  <c r="D405" i="1" l="1"/>
  <c r="B405" i="1"/>
  <c r="G404" i="1"/>
  <c r="C405" i="1" s="1"/>
  <c r="I405" i="1" l="1"/>
  <c r="D385" i="3"/>
  <c r="N405" i="1"/>
  <c r="C385" i="3"/>
  <c r="K405" i="1"/>
  <c r="H405" i="1"/>
  <c r="J405" i="1" s="1"/>
  <c r="O405" i="1"/>
  <c r="P405" i="1" s="1"/>
  <c r="L405" i="1"/>
  <c r="E405" i="1"/>
  <c r="M405" i="1" l="1"/>
  <c r="F405" i="1" s="1"/>
  <c r="B406" i="1" s="1"/>
  <c r="C386" i="3" s="1"/>
  <c r="G405" i="1" l="1"/>
  <c r="C406" i="1" s="1"/>
  <c r="D406" i="1"/>
  <c r="N406" i="1"/>
  <c r="H406" i="1"/>
  <c r="K406" i="1"/>
  <c r="O406" i="1" l="1"/>
  <c r="D386" i="3"/>
  <c r="L406" i="1"/>
  <c r="M406" i="1" s="1"/>
  <c r="I406" i="1"/>
  <c r="E406" i="1"/>
  <c r="P406" i="1"/>
  <c r="J406" i="1"/>
  <c r="G406" i="1" l="1"/>
  <c r="C407" i="1" s="1"/>
  <c r="D387" i="3" s="1"/>
  <c r="F406" i="1"/>
  <c r="E407" i="1" l="1"/>
  <c r="D407" i="1"/>
  <c r="B407" i="1"/>
  <c r="C387" i="3" s="1"/>
  <c r="O407" i="1"/>
  <c r="I407" i="1"/>
  <c r="L407" i="1"/>
  <c r="N407" i="1" l="1"/>
  <c r="P407" i="1" s="1"/>
  <c r="H407" i="1"/>
  <c r="K407" i="1"/>
  <c r="M407" i="1" s="1"/>
  <c r="J407" i="1" l="1"/>
  <c r="G407" i="1" s="1"/>
  <c r="E408" i="1" l="1"/>
  <c r="C408" i="1"/>
  <c r="D388" i="3" s="1"/>
  <c r="F407" i="1"/>
  <c r="O408" i="1" l="1"/>
  <c r="I408" i="1"/>
  <c r="L408" i="1"/>
  <c r="B408" i="1"/>
  <c r="C388" i="3" s="1"/>
  <c r="D408" i="1"/>
  <c r="H408" i="1" l="1"/>
  <c r="K408" i="1"/>
  <c r="M408" i="1" s="1"/>
  <c r="N408" i="1"/>
  <c r="P408" i="1" s="1"/>
  <c r="J408" i="1" l="1"/>
  <c r="G408" i="1" s="1"/>
  <c r="F408" i="1" l="1"/>
  <c r="D409" i="1" s="1"/>
  <c r="C409" i="1"/>
  <c r="D389" i="3" s="1"/>
  <c r="E409" i="1"/>
  <c r="B409" i="1" l="1"/>
  <c r="I409" i="1"/>
  <c r="L409" i="1"/>
  <c r="O409" i="1"/>
  <c r="H409" i="1" l="1"/>
  <c r="C389" i="3"/>
  <c r="N409" i="1"/>
  <c r="P409" i="1" s="1"/>
  <c r="K409" i="1"/>
  <c r="M409" i="1" s="1"/>
  <c r="J409" i="1"/>
  <c r="G409" i="1" l="1"/>
  <c r="E410" i="1" s="1"/>
  <c r="F409" i="1"/>
  <c r="D410" i="1" s="1"/>
  <c r="C410" i="1" l="1"/>
  <c r="B410" i="1"/>
  <c r="K410" i="1" l="1"/>
  <c r="C390" i="3"/>
  <c r="I410" i="1"/>
  <c r="D390" i="3"/>
  <c r="L410" i="1"/>
  <c r="M410" i="1" s="1"/>
  <c r="O410" i="1"/>
  <c r="H410" i="1"/>
  <c r="J410" i="1" s="1"/>
  <c r="N410" i="1"/>
  <c r="P410" i="1" s="1"/>
  <c r="G410" i="1" l="1"/>
  <c r="C411" i="1" s="1"/>
  <c r="D391" i="3" s="1"/>
  <c r="F410" i="1"/>
  <c r="B411" i="1" s="1"/>
  <c r="C391" i="3" s="1"/>
  <c r="E411" i="1" l="1"/>
  <c r="D411" i="1"/>
  <c r="L411" i="1"/>
  <c r="O411" i="1"/>
  <c r="I411" i="1"/>
  <c r="K411" i="1"/>
  <c r="M411" i="1" s="1"/>
  <c r="N411" i="1"/>
  <c r="P411" i="1" s="1"/>
  <c r="H411" i="1"/>
  <c r="J411" i="1" l="1"/>
  <c r="G411" i="1" s="1"/>
  <c r="F411" i="1" l="1"/>
  <c r="B412" i="1" s="1"/>
  <c r="C392" i="3" s="1"/>
  <c r="E412" i="1"/>
  <c r="C412" i="1"/>
  <c r="D392" i="3" s="1"/>
  <c r="D412" i="1" l="1"/>
  <c r="K412" i="1"/>
  <c r="N412" i="1"/>
  <c r="H412" i="1"/>
  <c r="L412" i="1"/>
  <c r="O412" i="1"/>
  <c r="I412" i="1"/>
  <c r="P412" i="1" l="1"/>
  <c r="J412" i="1"/>
  <c r="M412" i="1"/>
  <c r="G412" i="1" l="1"/>
  <c r="E413" i="1" s="1"/>
  <c r="F412" i="1"/>
  <c r="D413" i="1" s="1"/>
  <c r="C413" i="1" l="1"/>
  <c r="B413" i="1"/>
  <c r="N413" i="1" l="1"/>
  <c r="C393" i="3"/>
  <c r="L413" i="1"/>
  <c r="D393" i="3"/>
  <c r="O413" i="1"/>
  <c r="P413" i="1" s="1"/>
  <c r="I413" i="1"/>
  <c r="H413" i="1"/>
  <c r="K413" i="1"/>
  <c r="M413" i="1" s="1"/>
  <c r="J413" i="1" l="1"/>
  <c r="F413" i="1" s="1"/>
  <c r="D414" i="1" s="1"/>
  <c r="G413" i="1" l="1"/>
  <c r="E414" i="1" s="1"/>
  <c r="B414" i="1"/>
  <c r="N414" i="1" l="1"/>
  <c r="C394" i="3"/>
  <c r="C414" i="1"/>
  <c r="H414" i="1"/>
  <c r="K414" i="1"/>
  <c r="O414" i="1" l="1"/>
  <c r="P414" i="1" s="1"/>
  <c r="D394" i="3"/>
  <c r="I414" i="1"/>
  <c r="J414" i="1" s="1"/>
  <c r="L414" i="1"/>
  <c r="M414" i="1" s="1"/>
  <c r="F414" i="1" l="1"/>
  <c r="D415" i="1" s="1"/>
  <c r="G414" i="1"/>
  <c r="C415" i="1" s="1"/>
  <c r="I415" i="1" l="1"/>
  <c r="D395" i="3"/>
  <c r="B415" i="1"/>
  <c r="O415" i="1"/>
  <c r="L415" i="1"/>
  <c r="E415" i="1"/>
  <c r="N415" i="1" l="1"/>
  <c r="C395" i="3"/>
  <c r="K415" i="1"/>
  <c r="M415" i="1" s="1"/>
  <c r="H415" i="1"/>
  <c r="J415" i="1" s="1"/>
  <c r="P415" i="1"/>
  <c r="G415" i="1" l="1"/>
  <c r="C416" i="1" s="1"/>
  <c r="F415" i="1"/>
  <c r="B416" i="1" s="1"/>
  <c r="C396" i="3" s="1"/>
  <c r="O416" i="1" l="1"/>
  <c r="D396" i="3"/>
  <c r="L416" i="1"/>
  <c r="I416" i="1"/>
  <c r="E416" i="1"/>
  <c r="D416" i="1"/>
  <c r="H416" i="1"/>
  <c r="K416" i="1"/>
  <c r="N416" i="1"/>
  <c r="P416" i="1" s="1"/>
  <c r="M416" i="1" l="1"/>
  <c r="J416" i="1"/>
  <c r="G416" i="1" l="1"/>
  <c r="E417" i="1" s="1"/>
  <c r="F416" i="1"/>
  <c r="D417" i="1" s="1"/>
  <c r="C417" i="1" l="1"/>
  <c r="B417" i="1"/>
  <c r="H417" i="1" l="1"/>
  <c r="C397" i="3"/>
  <c r="L417" i="1"/>
  <c r="D397" i="3"/>
  <c r="I417" i="1"/>
  <c r="J417" i="1" s="1"/>
  <c r="O417" i="1"/>
  <c r="N417" i="1"/>
  <c r="K417" i="1"/>
  <c r="M417" i="1" l="1"/>
  <c r="P417" i="1"/>
  <c r="G417" i="1"/>
  <c r="E418" i="1" s="1"/>
  <c r="F417" i="1"/>
  <c r="C418" i="1" l="1"/>
  <c r="D418" i="1"/>
  <c r="B418" i="1"/>
  <c r="C398" i="3" s="1"/>
  <c r="I418" i="1" l="1"/>
  <c r="D398" i="3"/>
  <c r="O418" i="1"/>
  <c r="L418" i="1"/>
  <c r="K418" i="1"/>
  <c r="N418" i="1"/>
  <c r="H418" i="1"/>
  <c r="M418" i="1" l="1"/>
  <c r="P418" i="1"/>
  <c r="J418" i="1"/>
  <c r="G418" i="1" l="1"/>
  <c r="E419" i="1" s="1"/>
  <c r="F418" i="1"/>
  <c r="D419" i="1" s="1"/>
  <c r="C419" i="1" l="1"/>
  <c r="B419" i="1"/>
  <c r="K419" i="1" l="1"/>
  <c r="C399" i="3"/>
  <c r="L419" i="1"/>
  <c r="D399" i="3"/>
  <c r="I419" i="1"/>
  <c r="O419" i="1"/>
  <c r="M419" i="1"/>
  <c r="H419" i="1"/>
  <c r="N419" i="1"/>
  <c r="P419" i="1" l="1"/>
  <c r="J419" i="1"/>
  <c r="G419" i="1" l="1"/>
  <c r="C420" i="1" s="1"/>
  <c r="F419" i="1"/>
  <c r="D420" i="1" s="1"/>
  <c r="E420" i="1" l="1"/>
  <c r="I420" i="1"/>
  <c r="D400" i="3"/>
  <c r="B420" i="1"/>
  <c r="L420" i="1"/>
  <c r="O420" i="1"/>
  <c r="H420" i="1" l="1"/>
  <c r="J420" i="1" s="1"/>
  <c r="C400" i="3"/>
  <c r="N420" i="1"/>
  <c r="P420" i="1" s="1"/>
  <c r="K420" i="1"/>
  <c r="M420" i="1" s="1"/>
  <c r="F420" i="1" l="1"/>
  <c r="D421" i="1" s="1"/>
  <c r="G420" i="1"/>
  <c r="E421" i="1" s="1"/>
  <c r="B421" i="1" l="1"/>
  <c r="C421" i="1"/>
  <c r="L421" i="1" l="1"/>
  <c r="D401" i="3"/>
  <c r="N421" i="1"/>
  <c r="C401" i="3"/>
  <c r="I421" i="1"/>
  <c r="O421" i="1"/>
  <c r="P421" i="1" s="1"/>
  <c r="H421" i="1"/>
  <c r="K421" i="1"/>
  <c r="M421" i="1" s="1"/>
  <c r="J421" i="1" l="1"/>
  <c r="G421" i="1" s="1"/>
  <c r="C422" i="1" l="1"/>
  <c r="E422" i="1"/>
  <c r="F421" i="1"/>
  <c r="B422" i="1" s="1"/>
  <c r="N422" i="1" l="1"/>
  <c r="C402" i="3"/>
  <c r="O422" i="1"/>
  <c r="D402" i="3"/>
  <c r="D422" i="1"/>
  <c r="K422" i="1"/>
  <c r="L422" i="1"/>
  <c r="I422" i="1"/>
  <c r="H422" i="1"/>
  <c r="P422" i="1" l="1"/>
  <c r="M422" i="1"/>
  <c r="J422" i="1"/>
  <c r="F422" i="1" l="1"/>
  <c r="D423" i="1" s="1"/>
  <c r="G422" i="1"/>
  <c r="C423" i="1" s="1"/>
  <c r="D403" i="3" s="1"/>
  <c r="B423" i="1" l="1"/>
  <c r="E423" i="1"/>
  <c r="O423" i="1"/>
  <c r="I423" i="1"/>
  <c r="L423" i="1"/>
  <c r="N423" i="1" l="1"/>
  <c r="P423" i="1" s="1"/>
  <c r="C403" i="3"/>
  <c r="H423" i="1"/>
  <c r="J423" i="1" s="1"/>
  <c r="K423" i="1"/>
  <c r="M423" i="1" s="1"/>
  <c r="F423" i="1" l="1"/>
  <c r="B424" i="1" s="1"/>
  <c r="G423" i="1"/>
  <c r="E424" i="1" s="1"/>
  <c r="N424" i="1" l="1"/>
  <c r="C404" i="3"/>
  <c r="H424" i="1"/>
  <c r="K424" i="1"/>
  <c r="D424" i="1"/>
  <c r="C424" i="1"/>
  <c r="O424" i="1" l="1"/>
  <c r="P424" i="1" s="1"/>
  <c r="D404" i="3"/>
  <c r="L424" i="1"/>
  <c r="M424" i="1" s="1"/>
  <c r="I424" i="1"/>
  <c r="J424" i="1" s="1"/>
  <c r="F424" i="1" l="1"/>
  <c r="D425" i="1" s="1"/>
  <c r="G424" i="1"/>
  <c r="B425" i="1" l="1"/>
  <c r="E425" i="1"/>
  <c r="C425" i="1"/>
  <c r="D405" i="3" s="1"/>
  <c r="H425" i="1" l="1"/>
  <c r="C405" i="3"/>
  <c r="K425" i="1"/>
  <c r="N425" i="1"/>
  <c r="I425" i="1"/>
  <c r="L425" i="1"/>
  <c r="O425" i="1"/>
  <c r="P425" i="1" s="1"/>
  <c r="M425" i="1" l="1"/>
  <c r="J425" i="1"/>
  <c r="F425" i="1" l="1"/>
  <c r="B426" i="1" s="1"/>
  <c r="C406" i="3" s="1"/>
  <c r="G425" i="1"/>
  <c r="D426" i="1" l="1"/>
  <c r="E426" i="1"/>
  <c r="C426" i="1"/>
  <c r="D406" i="3" s="1"/>
  <c r="K426" i="1"/>
  <c r="N426" i="1"/>
  <c r="H426" i="1"/>
  <c r="I426" i="1" l="1"/>
  <c r="L426" i="1"/>
  <c r="M426" i="1" s="1"/>
  <c r="O426" i="1"/>
  <c r="P426" i="1" s="1"/>
  <c r="J426" i="1" l="1"/>
  <c r="F426" i="1" s="1"/>
  <c r="D427" i="1" l="1"/>
  <c r="B427" i="1"/>
  <c r="C407" i="3" s="1"/>
  <c r="G426" i="1"/>
  <c r="K427" i="1" l="1"/>
  <c r="N427" i="1"/>
  <c r="H427" i="1"/>
  <c r="E427" i="1"/>
  <c r="C427" i="1"/>
  <c r="D407" i="3" s="1"/>
  <c r="L427" i="1" l="1"/>
  <c r="M427" i="1" s="1"/>
  <c r="O427" i="1"/>
  <c r="P427" i="1" s="1"/>
  <c r="I427" i="1"/>
  <c r="J427" i="1" s="1"/>
  <c r="F427" i="1" l="1"/>
  <c r="B428" i="1" s="1"/>
  <c r="C408" i="3" s="1"/>
  <c r="G427" i="1"/>
  <c r="D428" i="1" l="1"/>
  <c r="E428" i="1"/>
  <c r="C428" i="1"/>
  <c r="D408" i="3" s="1"/>
  <c r="K428" i="1"/>
  <c r="N428" i="1"/>
  <c r="H428" i="1"/>
  <c r="L428" i="1" l="1"/>
  <c r="M428" i="1" s="1"/>
  <c r="O428" i="1"/>
  <c r="P428" i="1" s="1"/>
  <c r="I428" i="1"/>
  <c r="J428" i="1" s="1"/>
  <c r="F428" i="1" l="1"/>
  <c r="D429" i="1" s="1"/>
  <c r="G428" i="1"/>
  <c r="B429" i="1" l="1"/>
  <c r="E429" i="1"/>
  <c r="C429" i="1"/>
  <c r="D409" i="3" s="1"/>
  <c r="N429" i="1" l="1"/>
  <c r="C409" i="3"/>
  <c r="K429" i="1"/>
  <c r="H429" i="1"/>
  <c r="L429" i="1"/>
  <c r="O429" i="1"/>
  <c r="P429" i="1" s="1"/>
  <c r="I429" i="1"/>
  <c r="M429" i="1" l="1"/>
  <c r="J429" i="1"/>
  <c r="F429" i="1" l="1"/>
  <c r="B430" i="1" s="1"/>
  <c r="C410" i="3" s="1"/>
  <c r="G429" i="1"/>
  <c r="D430" i="1" l="1"/>
  <c r="E430" i="1"/>
  <c r="C430" i="1"/>
  <c r="D410" i="3" s="1"/>
  <c r="N430" i="1"/>
  <c r="H430" i="1"/>
  <c r="K430" i="1"/>
  <c r="O430" i="1" l="1"/>
  <c r="P430" i="1" s="1"/>
  <c r="I430" i="1"/>
  <c r="L430" i="1"/>
  <c r="M430" i="1" s="1"/>
  <c r="J430" i="1" l="1"/>
  <c r="F430" i="1" s="1"/>
  <c r="D431" i="1" l="1"/>
  <c r="B431" i="1"/>
  <c r="C411" i="3" s="1"/>
  <c r="G430" i="1"/>
  <c r="N431" i="1" l="1"/>
  <c r="H431" i="1"/>
  <c r="K431" i="1"/>
  <c r="E431" i="1"/>
  <c r="C431" i="1"/>
  <c r="D411" i="3" s="1"/>
  <c r="O431" i="1" l="1"/>
  <c r="P431" i="1" s="1"/>
  <c r="I431" i="1"/>
  <c r="J431" i="1" s="1"/>
  <c r="L431" i="1"/>
  <c r="M431" i="1" s="1"/>
  <c r="F431" i="1" l="1"/>
  <c r="B432" i="1" s="1"/>
  <c r="C412" i="3" s="1"/>
  <c r="G431" i="1"/>
  <c r="D432" i="1" l="1"/>
  <c r="E432" i="1"/>
  <c r="C432" i="1"/>
  <c r="D412" i="3" s="1"/>
  <c r="H432" i="1"/>
  <c r="K432" i="1"/>
  <c r="N432" i="1"/>
  <c r="O432" i="1" l="1"/>
  <c r="P432" i="1" s="1"/>
  <c r="I432" i="1"/>
  <c r="J432" i="1" s="1"/>
  <c r="L432" i="1"/>
  <c r="M432" i="1" s="1"/>
  <c r="F432" i="1" l="1"/>
  <c r="G432" i="1"/>
  <c r="E433" i="1" l="1"/>
  <c r="C433" i="1"/>
  <c r="D413" i="3" s="1"/>
  <c r="D433" i="1"/>
  <c r="B433" i="1"/>
  <c r="C413" i="3" s="1"/>
  <c r="I433" i="1" l="1"/>
  <c r="L433" i="1"/>
  <c r="O433" i="1"/>
  <c r="H433" i="1"/>
  <c r="K433" i="1"/>
  <c r="M433" i="1" s="1"/>
  <c r="N433" i="1"/>
  <c r="P433" i="1" s="1"/>
  <c r="J433" i="1" l="1"/>
  <c r="F433" i="1" s="1"/>
  <c r="G433" i="1" l="1"/>
  <c r="E434" i="1" s="1"/>
  <c r="D434" i="1"/>
  <c r="B434" i="1"/>
  <c r="C414" i="3" s="1"/>
  <c r="C434" i="1" l="1"/>
  <c r="K434" i="1"/>
  <c r="N434" i="1"/>
  <c r="H434" i="1"/>
  <c r="I434" i="1" l="1"/>
  <c r="D414" i="3"/>
  <c r="O434" i="1"/>
  <c r="P434" i="1" s="1"/>
  <c r="L434" i="1"/>
  <c r="M434" i="1" s="1"/>
  <c r="J434" i="1"/>
  <c r="G434" i="1" l="1"/>
  <c r="E435" i="1" s="1"/>
  <c r="F434" i="1"/>
  <c r="D435" i="1" s="1"/>
  <c r="B435" i="1" l="1"/>
  <c r="C435" i="1"/>
  <c r="L435" i="1" l="1"/>
  <c r="D415" i="3"/>
  <c r="H435" i="1"/>
  <c r="C415" i="3"/>
  <c r="N435" i="1"/>
  <c r="K435" i="1"/>
  <c r="M435" i="1" s="1"/>
  <c r="O435" i="1"/>
  <c r="I435" i="1"/>
  <c r="J435" i="1" s="1"/>
  <c r="P435" i="1" l="1"/>
  <c r="G435" i="1" s="1"/>
  <c r="E436" i="1" s="1"/>
  <c r="F435" i="1" l="1"/>
  <c r="D436" i="1" s="1"/>
  <c r="C436" i="1"/>
  <c r="L436" i="1" l="1"/>
  <c r="D416" i="3"/>
  <c r="B436" i="1"/>
  <c r="I436" i="1"/>
  <c r="O436" i="1"/>
  <c r="K436" i="1" l="1"/>
  <c r="M436" i="1" s="1"/>
  <c r="C416" i="3"/>
  <c r="H436" i="1"/>
  <c r="J436" i="1" s="1"/>
  <c r="N436" i="1"/>
  <c r="P436" i="1" s="1"/>
  <c r="G436" i="1" l="1"/>
  <c r="C437" i="1" s="1"/>
  <c r="D417" i="3" s="1"/>
  <c r="F436" i="1"/>
  <c r="E437" i="1" l="1"/>
  <c r="B437" i="1"/>
  <c r="C417" i="3" s="1"/>
  <c r="D437" i="1"/>
  <c r="L437" i="1"/>
  <c r="O437" i="1"/>
  <c r="I437" i="1"/>
  <c r="N437" i="1" l="1"/>
  <c r="P437" i="1" s="1"/>
  <c r="H437" i="1"/>
  <c r="K437" i="1"/>
  <c r="M437" i="1" s="1"/>
  <c r="J437" i="1" l="1"/>
  <c r="G437" i="1" s="1"/>
  <c r="E438" i="1" l="1"/>
  <c r="C438" i="1"/>
  <c r="D418" i="3" s="1"/>
  <c r="F437" i="1"/>
  <c r="O438" i="1" l="1"/>
  <c r="I438" i="1"/>
  <c r="L438" i="1"/>
  <c r="D438" i="1"/>
  <c r="B438" i="1"/>
  <c r="C418" i="3" s="1"/>
  <c r="N438" i="1" l="1"/>
  <c r="P438" i="1" s="1"/>
  <c r="H438" i="1"/>
  <c r="K438" i="1"/>
  <c r="M438" i="1" s="1"/>
  <c r="J438" i="1" l="1"/>
  <c r="G438" i="1" s="1"/>
  <c r="C439" i="1" l="1"/>
  <c r="D419" i="3" s="1"/>
  <c r="E439" i="1"/>
  <c r="F438" i="1"/>
  <c r="D439" i="1" l="1"/>
  <c r="B439" i="1"/>
  <c r="C419" i="3" s="1"/>
  <c r="O439" i="1"/>
  <c r="I439" i="1"/>
  <c r="L439" i="1"/>
  <c r="H439" i="1" l="1"/>
  <c r="K439" i="1"/>
  <c r="M439" i="1" s="1"/>
  <c r="N439" i="1"/>
  <c r="P439" i="1" s="1"/>
  <c r="J439" i="1" l="1"/>
  <c r="G439" i="1" s="1"/>
  <c r="E440" i="1" l="1"/>
  <c r="C440" i="1"/>
  <c r="D420" i="3" s="1"/>
  <c r="F439" i="1"/>
  <c r="I440" i="1" l="1"/>
  <c r="L440" i="1"/>
  <c r="O440" i="1"/>
  <c r="B440" i="1"/>
  <c r="C420" i="3" s="1"/>
  <c r="D440" i="1"/>
  <c r="H440" i="1" l="1"/>
  <c r="K440" i="1"/>
  <c r="M440" i="1" s="1"/>
  <c r="N440" i="1"/>
  <c r="P440" i="1" s="1"/>
  <c r="J440" i="1" l="1"/>
  <c r="G440" i="1" s="1"/>
  <c r="F440" i="1" l="1"/>
  <c r="D441" i="1" s="1"/>
  <c r="C441" i="1"/>
  <c r="D421" i="3" s="1"/>
  <c r="E441" i="1"/>
  <c r="B441" i="1" l="1"/>
  <c r="I441" i="1"/>
  <c r="L441" i="1"/>
  <c r="O441" i="1"/>
  <c r="K441" i="1" l="1"/>
  <c r="C421" i="3"/>
  <c r="M441" i="1"/>
  <c r="H441" i="1"/>
  <c r="J441" i="1" s="1"/>
  <c r="N441" i="1"/>
  <c r="P441" i="1" s="1"/>
  <c r="G441" i="1" l="1"/>
  <c r="E442" i="1" s="1"/>
  <c r="F441" i="1"/>
  <c r="B442" i="1" s="1"/>
  <c r="C422" i="3" s="1"/>
  <c r="C442" i="1" l="1"/>
  <c r="D442" i="1"/>
  <c r="K442" i="1"/>
  <c r="N442" i="1"/>
  <c r="H442" i="1"/>
  <c r="I442" i="1" l="1"/>
  <c r="D422" i="3"/>
  <c r="O442" i="1"/>
  <c r="P442" i="1" s="1"/>
  <c r="L442" i="1"/>
  <c r="M442" i="1" s="1"/>
  <c r="J442" i="1"/>
  <c r="G442" i="1" l="1"/>
  <c r="E443" i="1" s="1"/>
  <c r="F442" i="1"/>
  <c r="C443" i="1" l="1"/>
  <c r="D443" i="1"/>
  <c r="B443" i="1"/>
  <c r="C423" i="3" s="1"/>
  <c r="L443" i="1" l="1"/>
  <c r="D423" i="3"/>
  <c r="I443" i="1"/>
  <c r="O443" i="1"/>
  <c r="K443" i="1"/>
  <c r="M443" i="1" s="1"/>
  <c r="N443" i="1"/>
  <c r="P443" i="1" s="1"/>
  <c r="H443" i="1"/>
  <c r="J443" i="1" l="1"/>
  <c r="G443" i="1" s="1"/>
  <c r="F443" i="1" l="1"/>
  <c r="B444" i="1" s="1"/>
  <c r="C424" i="3" s="1"/>
  <c r="C444" i="1"/>
  <c r="D424" i="3" s="1"/>
  <c r="E444" i="1"/>
  <c r="D444" i="1" l="1"/>
  <c r="L444" i="1"/>
  <c r="O444" i="1"/>
  <c r="I444" i="1"/>
  <c r="K444" i="1"/>
  <c r="N444" i="1"/>
  <c r="H444" i="1"/>
  <c r="P444" i="1" l="1"/>
  <c r="M444" i="1"/>
  <c r="J444" i="1"/>
  <c r="G444" i="1" l="1"/>
  <c r="C445" i="1" s="1"/>
  <c r="D425" i="3" s="1"/>
  <c r="F444" i="1"/>
  <c r="E445" i="1" l="1"/>
  <c r="B445" i="1"/>
  <c r="C425" i="3" s="1"/>
  <c r="D445" i="1"/>
  <c r="L445" i="1"/>
  <c r="O445" i="1"/>
  <c r="I445" i="1"/>
  <c r="N445" i="1" l="1"/>
  <c r="P445" i="1" s="1"/>
  <c r="H445" i="1"/>
  <c r="K445" i="1"/>
  <c r="M445" i="1" s="1"/>
  <c r="J445" i="1" l="1"/>
  <c r="G445" i="1" s="1"/>
  <c r="E446" i="1" l="1"/>
  <c r="C446" i="1"/>
  <c r="D426" i="3" s="1"/>
  <c r="F445" i="1"/>
  <c r="D446" i="1" l="1"/>
  <c r="B446" i="1"/>
  <c r="C426" i="3" s="1"/>
  <c r="O446" i="1"/>
  <c r="I446" i="1"/>
  <c r="L446" i="1"/>
  <c r="N446" i="1" l="1"/>
  <c r="P446" i="1" s="1"/>
  <c r="H446" i="1"/>
  <c r="K446" i="1"/>
  <c r="M446" i="1" s="1"/>
  <c r="J446" i="1" l="1"/>
  <c r="G446" i="1" s="1"/>
  <c r="E447" i="1" l="1"/>
  <c r="C447" i="1"/>
  <c r="D427" i="3" s="1"/>
  <c r="F446" i="1"/>
  <c r="B447" i="1" l="1"/>
  <c r="C427" i="3" s="1"/>
  <c r="D447" i="1"/>
  <c r="O447" i="1"/>
  <c r="I447" i="1"/>
  <c r="L447" i="1"/>
  <c r="N447" i="1" l="1"/>
  <c r="P447" i="1" s="1"/>
  <c r="H447" i="1"/>
  <c r="K447" i="1"/>
  <c r="M447" i="1" s="1"/>
  <c r="J447" i="1" l="1"/>
  <c r="G447" i="1" s="1"/>
  <c r="C448" i="1" l="1"/>
  <c r="D428" i="3" s="1"/>
  <c r="E448" i="1"/>
  <c r="F447" i="1"/>
  <c r="D448" i="1" l="1"/>
  <c r="B448" i="1"/>
  <c r="C428" i="3" s="1"/>
  <c r="O448" i="1"/>
  <c r="I448" i="1"/>
  <c r="L448" i="1"/>
  <c r="H448" i="1" l="1"/>
  <c r="K448" i="1"/>
  <c r="M448" i="1" s="1"/>
  <c r="N448" i="1"/>
  <c r="P448" i="1" s="1"/>
  <c r="J448" i="1" l="1"/>
  <c r="G448" i="1" s="1"/>
  <c r="F448" i="1" l="1"/>
  <c r="B449" i="1" s="1"/>
  <c r="C429" i="3" s="1"/>
  <c r="E449" i="1"/>
  <c r="C449" i="1"/>
  <c r="D429" i="3" s="1"/>
  <c r="D449" i="1" l="1"/>
  <c r="I449" i="1"/>
  <c r="L449" i="1"/>
  <c r="O449" i="1"/>
  <c r="H449" i="1"/>
  <c r="K449" i="1"/>
  <c r="N449" i="1"/>
  <c r="J449" i="1" l="1"/>
  <c r="P449" i="1"/>
  <c r="M449" i="1"/>
  <c r="F449" i="1" l="1"/>
  <c r="D450" i="1" s="1"/>
  <c r="G449" i="1"/>
  <c r="B450" i="1" l="1"/>
  <c r="C450" i="1"/>
  <c r="D430" i="3" s="1"/>
  <c r="E450" i="1"/>
  <c r="K450" i="1" l="1"/>
  <c r="C430" i="3"/>
  <c r="H450" i="1"/>
  <c r="N450" i="1"/>
  <c r="I450" i="1"/>
  <c r="L450" i="1"/>
  <c r="M450" i="1" s="1"/>
  <c r="O450" i="1"/>
  <c r="P450" i="1" s="1"/>
  <c r="J450" i="1" l="1"/>
  <c r="F450" i="1" s="1"/>
  <c r="B451" i="1" s="1"/>
  <c r="C431" i="3" s="1"/>
  <c r="G450" i="1" l="1"/>
  <c r="C451" i="1" s="1"/>
  <c r="D431" i="3" s="1"/>
  <c r="D451" i="1"/>
  <c r="K451" i="1"/>
  <c r="N451" i="1"/>
  <c r="H451" i="1"/>
  <c r="E451" i="1" l="1"/>
  <c r="L451" i="1"/>
  <c r="M451" i="1" s="1"/>
  <c r="O451" i="1"/>
  <c r="P451" i="1" s="1"/>
  <c r="I451" i="1"/>
  <c r="J451" i="1" s="1"/>
  <c r="F451" i="1" l="1"/>
  <c r="G451" i="1"/>
  <c r="E452" i="1" l="1"/>
  <c r="C452" i="1"/>
  <c r="D432" i="3" s="1"/>
  <c r="D452" i="1"/>
  <c r="B452" i="1"/>
  <c r="C432" i="3" s="1"/>
  <c r="L452" i="1" l="1"/>
  <c r="O452" i="1"/>
  <c r="I452" i="1"/>
  <c r="K452" i="1"/>
  <c r="N452" i="1"/>
  <c r="P452" i="1" s="1"/>
  <c r="H452" i="1"/>
  <c r="M452" i="1" l="1"/>
  <c r="J452" i="1"/>
  <c r="F452" i="1" l="1"/>
  <c r="D453" i="1" s="1"/>
  <c r="G452" i="1"/>
  <c r="B453" i="1" l="1"/>
  <c r="E453" i="1"/>
  <c r="C453" i="1"/>
  <c r="D433" i="3" s="1"/>
  <c r="N453" i="1" l="1"/>
  <c r="C433" i="3"/>
  <c r="H453" i="1"/>
  <c r="K453" i="1"/>
  <c r="L453" i="1"/>
  <c r="O453" i="1"/>
  <c r="P453" i="1" s="1"/>
  <c r="I453" i="1"/>
  <c r="M453" i="1" l="1"/>
  <c r="J453" i="1"/>
  <c r="F453" i="1" l="1"/>
  <c r="D454" i="1" s="1"/>
  <c r="G453" i="1"/>
  <c r="C454" i="1" s="1"/>
  <c r="D434" i="3" s="1"/>
  <c r="B454" i="1" l="1"/>
  <c r="E454" i="1"/>
  <c r="O454" i="1"/>
  <c r="I454" i="1"/>
  <c r="L454" i="1"/>
  <c r="N454" i="1" l="1"/>
  <c r="C434" i="3"/>
  <c r="P454" i="1"/>
  <c r="H454" i="1"/>
  <c r="J454" i="1" s="1"/>
  <c r="K454" i="1"/>
  <c r="M454" i="1" s="1"/>
  <c r="F454" i="1" l="1"/>
  <c r="B455" i="1" s="1"/>
  <c r="G454" i="1"/>
  <c r="C455" i="1" s="1"/>
  <c r="D435" i="3" s="1"/>
  <c r="K455" i="1" l="1"/>
  <c r="C435" i="3"/>
  <c r="H455" i="1"/>
  <c r="N455" i="1"/>
  <c r="D455" i="1"/>
  <c r="E455" i="1"/>
  <c r="O455" i="1"/>
  <c r="P455" i="1" s="1"/>
  <c r="I455" i="1"/>
  <c r="L455" i="1"/>
  <c r="M455" i="1" s="1"/>
  <c r="J455" i="1" l="1"/>
  <c r="F455" i="1" s="1"/>
  <c r="D456" i="1" l="1"/>
  <c r="B456" i="1"/>
  <c r="C436" i="3" s="1"/>
  <c r="G455" i="1"/>
  <c r="E456" i="1" l="1"/>
  <c r="C456" i="1"/>
  <c r="D436" i="3" s="1"/>
  <c r="H456" i="1"/>
  <c r="K456" i="1"/>
  <c r="N456" i="1"/>
  <c r="O456" i="1" l="1"/>
  <c r="P456" i="1" s="1"/>
  <c r="I456" i="1"/>
  <c r="J456" i="1" s="1"/>
  <c r="L456" i="1"/>
  <c r="M456" i="1" s="1"/>
  <c r="F456" i="1" l="1"/>
  <c r="B457" i="1" s="1"/>
  <c r="C437" i="3" s="1"/>
  <c r="G456" i="1"/>
  <c r="D457" i="1" l="1"/>
  <c r="E457" i="1"/>
  <c r="C457" i="1"/>
  <c r="D437" i="3" s="1"/>
  <c r="H457" i="1"/>
  <c r="K457" i="1"/>
  <c r="N457" i="1"/>
  <c r="I457" i="1" l="1"/>
  <c r="J457" i="1" s="1"/>
  <c r="L457" i="1"/>
  <c r="M457" i="1" s="1"/>
  <c r="O457" i="1"/>
  <c r="P457" i="1" s="1"/>
  <c r="F457" i="1" l="1"/>
  <c r="D458" i="1" s="1"/>
  <c r="G457" i="1"/>
  <c r="B458" i="1" l="1"/>
  <c r="E458" i="1"/>
  <c r="C458" i="1"/>
  <c r="D438" i="3" s="1"/>
  <c r="K458" i="1" l="1"/>
  <c r="C438" i="3"/>
  <c r="N458" i="1"/>
  <c r="H458" i="1"/>
  <c r="I458" i="1"/>
  <c r="L458" i="1"/>
  <c r="M458" i="1" s="1"/>
  <c r="O458" i="1"/>
  <c r="P458" i="1" l="1"/>
  <c r="J458" i="1"/>
  <c r="F458" i="1" l="1"/>
  <c r="B459" i="1" s="1"/>
  <c r="C439" i="3" s="1"/>
  <c r="G458" i="1"/>
  <c r="D459" i="1" l="1"/>
  <c r="E459" i="1"/>
  <c r="C459" i="1"/>
  <c r="D439" i="3" s="1"/>
  <c r="K459" i="1"/>
  <c r="N459" i="1"/>
  <c r="H459" i="1"/>
  <c r="L459" i="1" l="1"/>
  <c r="M459" i="1" s="1"/>
  <c r="O459" i="1"/>
  <c r="P459" i="1" s="1"/>
  <c r="I459" i="1"/>
  <c r="J459" i="1" l="1"/>
  <c r="F459" i="1" s="1"/>
  <c r="D460" i="1" l="1"/>
  <c r="B460" i="1"/>
  <c r="C440" i="3" s="1"/>
  <c r="G459" i="1"/>
  <c r="E460" i="1" l="1"/>
  <c r="C460" i="1"/>
  <c r="D440" i="3" s="1"/>
  <c r="K460" i="1"/>
  <c r="N460" i="1"/>
  <c r="H460" i="1"/>
  <c r="L460" i="1" l="1"/>
  <c r="M460" i="1" s="1"/>
  <c r="O460" i="1"/>
  <c r="P460" i="1" s="1"/>
  <c r="I460" i="1"/>
  <c r="J460" i="1" l="1"/>
  <c r="F460" i="1" s="1"/>
  <c r="D461" i="1" l="1"/>
  <c r="B461" i="1"/>
  <c r="C441" i="3" s="1"/>
  <c r="G460" i="1"/>
  <c r="N461" i="1" l="1"/>
  <c r="H461" i="1"/>
  <c r="K461" i="1"/>
  <c r="E461" i="1"/>
  <c r="C461" i="1"/>
  <c r="D441" i="3" s="1"/>
  <c r="L461" i="1" l="1"/>
  <c r="M461" i="1" s="1"/>
  <c r="O461" i="1"/>
  <c r="P461" i="1" s="1"/>
  <c r="I461" i="1"/>
  <c r="J461" i="1" s="1"/>
  <c r="F461" i="1" l="1"/>
  <c r="B462" i="1" s="1"/>
  <c r="C442" i="3" s="1"/>
  <c r="G461" i="1"/>
  <c r="D462" i="1" l="1"/>
  <c r="E462" i="1"/>
  <c r="C462" i="1"/>
  <c r="D442" i="3" s="1"/>
  <c r="N462" i="1"/>
  <c r="H462" i="1"/>
  <c r="K462" i="1"/>
  <c r="O462" i="1" l="1"/>
  <c r="P462" i="1" s="1"/>
  <c r="I462" i="1"/>
  <c r="L462" i="1"/>
  <c r="M462" i="1" s="1"/>
  <c r="J462" i="1" l="1"/>
  <c r="F462" i="1" s="1"/>
  <c r="D463" i="1" l="1"/>
  <c r="B463" i="1"/>
  <c r="C443" i="3" s="1"/>
  <c r="G462" i="1"/>
  <c r="N463" i="1" l="1"/>
  <c r="H463" i="1"/>
  <c r="K463" i="1"/>
  <c r="E463" i="1"/>
  <c r="C463" i="1"/>
  <c r="D443" i="3" s="1"/>
  <c r="O463" i="1" l="1"/>
  <c r="P463" i="1" s="1"/>
  <c r="I463" i="1"/>
  <c r="J463" i="1" s="1"/>
  <c r="L463" i="1"/>
  <c r="M463" i="1" s="1"/>
  <c r="F463" i="1" l="1"/>
  <c r="B464" i="1" s="1"/>
  <c r="C444" i="3" s="1"/>
  <c r="G463" i="1"/>
  <c r="D464" i="1" l="1"/>
  <c r="C464" i="1"/>
  <c r="D444" i="3" s="1"/>
  <c r="E464" i="1"/>
  <c r="H464" i="1"/>
  <c r="K464" i="1"/>
  <c r="N464" i="1"/>
  <c r="O464" i="1" l="1"/>
  <c r="P464" i="1" s="1"/>
  <c r="I464" i="1"/>
  <c r="L464" i="1"/>
  <c r="M464" i="1" s="1"/>
  <c r="J464" i="1" l="1"/>
  <c r="F464" i="1" s="1"/>
  <c r="B465" i="1" l="1"/>
  <c r="C445" i="3" s="1"/>
  <c r="D465" i="1"/>
  <c r="G464" i="1"/>
  <c r="C465" i="1" l="1"/>
  <c r="D445" i="3" s="1"/>
  <c r="E465" i="1"/>
  <c r="H465" i="1"/>
  <c r="K465" i="1"/>
  <c r="N465" i="1"/>
  <c r="I465" i="1" l="1"/>
  <c r="L465" i="1"/>
  <c r="M465" i="1" s="1"/>
  <c r="O465" i="1"/>
  <c r="P465" i="1" s="1"/>
  <c r="J465" i="1" l="1"/>
  <c r="F465" i="1" s="1"/>
  <c r="B466" i="1" l="1"/>
  <c r="C446" i="3" s="1"/>
  <c r="D466" i="1"/>
  <c r="G465" i="1"/>
  <c r="E466" i="1" l="1"/>
  <c r="C466" i="1"/>
  <c r="D446" i="3" s="1"/>
  <c r="K466" i="1"/>
  <c r="N466" i="1"/>
  <c r="H466" i="1"/>
  <c r="I466" i="1" l="1"/>
  <c r="L466" i="1"/>
  <c r="M466" i="1" s="1"/>
  <c r="O466" i="1"/>
  <c r="P466" i="1" s="1"/>
  <c r="J466" i="1" l="1"/>
  <c r="F466" i="1" s="1"/>
  <c r="B467" i="1" l="1"/>
  <c r="C447" i="3" s="1"/>
  <c r="D467" i="1"/>
  <c r="G466" i="1"/>
  <c r="E467" i="1" l="1"/>
  <c r="C467" i="1"/>
  <c r="D447" i="3" s="1"/>
  <c r="K467" i="1"/>
  <c r="N467" i="1"/>
  <c r="H467" i="1"/>
  <c r="L467" i="1" l="1"/>
  <c r="M467" i="1" s="1"/>
  <c r="O467" i="1"/>
  <c r="P467" i="1" s="1"/>
  <c r="I467" i="1"/>
  <c r="J467" i="1" l="1"/>
  <c r="F467" i="1" s="1"/>
  <c r="D468" i="1" l="1"/>
  <c r="B468" i="1"/>
  <c r="C448" i="3" s="1"/>
  <c r="G467" i="1"/>
  <c r="E468" i="1" l="1"/>
  <c r="C468" i="1"/>
  <c r="D448" i="3" s="1"/>
  <c r="K468" i="1"/>
  <c r="N468" i="1"/>
  <c r="H468" i="1"/>
  <c r="L468" i="1" l="1"/>
  <c r="M468" i="1" s="1"/>
  <c r="O468" i="1"/>
  <c r="P468" i="1" s="1"/>
  <c r="I468" i="1"/>
  <c r="J468" i="1" l="1"/>
  <c r="F468" i="1" s="1"/>
  <c r="B469" i="1" l="1"/>
  <c r="C449" i="3" s="1"/>
  <c r="D469" i="1"/>
  <c r="G468" i="1"/>
  <c r="E469" i="1" l="1"/>
  <c r="C469" i="1"/>
  <c r="D449" i="3" s="1"/>
  <c r="N469" i="1"/>
  <c r="H469" i="1"/>
  <c r="K469" i="1"/>
  <c r="L469" i="1" l="1"/>
  <c r="M469" i="1" s="1"/>
  <c r="O469" i="1"/>
  <c r="P469" i="1" s="1"/>
  <c r="I469" i="1"/>
  <c r="J469" i="1" l="1"/>
  <c r="F469" i="1" s="1"/>
  <c r="D470" i="1" l="1"/>
  <c r="B470" i="1"/>
  <c r="C450" i="3" s="1"/>
  <c r="G469" i="1"/>
  <c r="E470" i="1" l="1"/>
  <c r="C470" i="1"/>
  <c r="D450" i="3" s="1"/>
  <c r="N470" i="1"/>
  <c r="H470" i="1"/>
  <c r="K470" i="1"/>
  <c r="O470" i="1" l="1"/>
  <c r="P470" i="1" s="1"/>
  <c r="I470" i="1"/>
  <c r="L470" i="1"/>
  <c r="M470" i="1" s="1"/>
  <c r="J470" i="1" l="1"/>
  <c r="F470" i="1" s="1"/>
  <c r="B471" i="1" l="1"/>
  <c r="C451" i="3" s="1"/>
  <c r="D471" i="1"/>
  <c r="G470" i="1"/>
  <c r="E471" i="1" l="1"/>
  <c r="C471" i="1"/>
  <c r="D451" i="3" s="1"/>
  <c r="N471" i="1"/>
  <c r="H471" i="1"/>
  <c r="K471" i="1"/>
  <c r="O471" i="1" l="1"/>
  <c r="P471" i="1" s="1"/>
  <c r="I471" i="1"/>
  <c r="L471" i="1"/>
  <c r="M471" i="1" s="1"/>
  <c r="J471" i="1" l="1"/>
  <c r="F471" i="1" s="1"/>
  <c r="B472" i="1" l="1"/>
  <c r="C452" i="3" s="1"/>
  <c r="D472" i="1"/>
  <c r="G471" i="1"/>
  <c r="E472" i="1" l="1"/>
  <c r="C472" i="1"/>
  <c r="D452" i="3" s="1"/>
  <c r="H472" i="1"/>
  <c r="K472" i="1"/>
  <c r="N472" i="1"/>
  <c r="O472" i="1" l="1"/>
  <c r="P472" i="1" s="1"/>
  <c r="I472" i="1"/>
  <c r="L472" i="1"/>
  <c r="M472" i="1" s="1"/>
  <c r="J472" i="1" l="1"/>
  <c r="F472" i="1" s="1"/>
  <c r="B473" i="1" l="1"/>
  <c r="C453" i="3" s="1"/>
  <c r="D473" i="1"/>
  <c r="G472" i="1"/>
  <c r="E473" i="1" l="1"/>
  <c r="C473" i="1"/>
  <c r="D453" i="3" s="1"/>
  <c r="H473" i="1"/>
  <c r="K473" i="1"/>
  <c r="N473" i="1"/>
  <c r="I473" i="1" l="1"/>
  <c r="L473" i="1"/>
  <c r="M473" i="1" s="1"/>
  <c r="O473" i="1"/>
  <c r="P473" i="1" s="1"/>
  <c r="J473" i="1" l="1"/>
  <c r="F473" i="1" s="1"/>
  <c r="B474" i="1" l="1"/>
  <c r="C454" i="3" s="1"/>
  <c r="D474" i="1"/>
  <c r="G473" i="1"/>
  <c r="E474" i="1" l="1"/>
  <c r="C474" i="1"/>
  <c r="D454" i="3" s="1"/>
  <c r="K474" i="1"/>
  <c r="N474" i="1"/>
  <c r="H474" i="1"/>
  <c r="I474" i="1" l="1"/>
  <c r="L474" i="1"/>
  <c r="M474" i="1" s="1"/>
  <c r="O474" i="1"/>
  <c r="P474" i="1" s="1"/>
  <c r="J474" i="1" l="1"/>
  <c r="F474" i="1" s="1"/>
  <c r="D475" i="1" l="1"/>
  <c r="B475" i="1"/>
  <c r="C455" i="3" s="1"/>
  <c r="G474" i="1"/>
  <c r="E475" i="1" l="1"/>
  <c r="C475" i="1"/>
  <c r="D455" i="3" s="1"/>
  <c r="K475" i="1"/>
  <c r="N475" i="1"/>
  <c r="H475" i="1"/>
  <c r="L475" i="1" l="1"/>
  <c r="M475" i="1" s="1"/>
  <c r="O475" i="1"/>
  <c r="P475" i="1" s="1"/>
  <c r="I475" i="1"/>
  <c r="J475" i="1" l="1"/>
  <c r="F475" i="1" s="1"/>
  <c r="B476" i="1" l="1"/>
  <c r="C456" i="3" s="1"/>
  <c r="D476" i="1"/>
  <c r="G475" i="1"/>
  <c r="E476" i="1" l="1"/>
  <c r="C476" i="1"/>
  <c r="D456" i="3" s="1"/>
  <c r="K476" i="1"/>
  <c r="N476" i="1"/>
  <c r="H476" i="1"/>
  <c r="L476" i="1" l="1"/>
  <c r="M476" i="1" s="1"/>
  <c r="O476" i="1"/>
  <c r="P476" i="1" s="1"/>
  <c r="I476" i="1"/>
  <c r="J476" i="1" l="1"/>
  <c r="F476" i="1" s="1"/>
  <c r="D477" i="1" l="1"/>
  <c r="B477" i="1"/>
  <c r="C457" i="3" s="1"/>
  <c r="G476" i="1"/>
  <c r="N477" i="1" l="1"/>
  <c r="H477" i="1"/>
  <c r="K477" i="1"/>
  <c r="E477" i="1"/>
  <c r="C477" i="1"/>
  <c r="D457" i="3" s="1"/>
  <c r="L477" i="1" l="1"/>
  <c r="M477" i="1" s="1"/>
  <c r="O477" i="1"/>
  <c r="I477" i="1"/>
  <c r="J477" i="1" s="1"/>
  <c r="P477" i="1"/>
  <c r="F477" i="1" l="1"/>
  <c r="B478" i="1" s="1"/>
  <c r="C458" i="3" s="1"/>
  <c r="G477" i="1"/>
  <c r="D478" i="1" l="1"/>
  <c r="C478" i="1"/>
  <c r="D458" i="3" s="1"/>
  <c r="E478" i="1"/>
  <c r="N478" i="1"/>
  <c r="H478" i="1"/>
  <c r="K478" i="1"/>
  <c r="O478" i="1" l="1"/>
  <c r="P478" i="1" s="1"/>
  <c r="I478" i="1"/>
  <c r="L478" i="1"/>
  <c r="M478" i="1" s="1"/>
  <c r="J478" i="1" l="1"/>
  <c r="F478" i="1" s="1"/>
  <c r="B479" i="1" l="1"/>
  <c r="C459" i="3" s="1"/>
  <c r="D479" i="1"/>
  <c r="G478" i="1"/>
  <c r="E479" i="1" l="1"/>
  <c r="C479" i="1"/>
  <c r="D459" i="3" s="1"/>
  <c r="N479" i="1"/>
  <c r="H479" i="1"/>
  <c r="K479" i="1"/>
  <c r="O479" i="1" l="1"/>
  <c r="P479" i="1" s="1"/>
  <c r="I479" i="1"/>
  <c r="J479" i="1" s="1"/>
  <c r="L479" i="1"/>
  <c r="M479" i="1" s="1"/>
  <c r="F479" i="1" l="1"/>
  <c r="B480" i="1" s="1"/>
  <c r="C460" i="3" s="1"/>
  <c r="G479" i="1"/>
  <c r="D480" i="1" l="1"/>
  <c r="E480" i="1"/>
  <c r="C480" i="1"/>
  <c r="D460" i="3" s="1"/>
  <c r="H480" i="1"/>
  <c r="K480" i="1"/>
  <c r="N480" i="1"/>
  <c r="O480" i="1" l="1"/>
  <c r="P480" i="1" s="1"/>
  <c r="I480" i="1"/>
  <c r="L480" i="1"/>
  <c r="M480" i="1" s="1"/>
  <c r="J480" i="1" l="1"/>
  <c r="F480" i="1" s="1"/>
  <c r="D481" i="1" l="1"/>
  <c r="B481" i="1"/>
  <c r="C461" i="3" s="1"/>
  <c r="G480" i="1"/>
  <c r="E481" i="1" l="1"/>
  <c r="C481" i="1"/>
  <c r="D461" i="3" s="1"/>
  <c r="H481" i="1"/>
  <c r="K481" i="1"/>
  <c r="N481" i="1"/>
  <c r="I481" i="1" l="1"/>
  <c r="L481" i="1"/>
  <c r="M481" i="1" s="1"/>
  <c r="O481" i="1"/>
  <c r="P481" i="1" s="1"/>
  <c r="J481" i="1" l="1"/>
  <c r="F481" i="1" s="1"/>
  <c r="D482" i="1" l="1"/>
  <c r="B482" i="1"/>
  <c r="C462" i="3" s="1"/>
  <c r="G481" i="1"/>
  <c r="K482" i="1" l="1"/>
  <c r="N482" i="1"/>
  <c r="H482" i="1"/>
  <c r="E482" i="1"/>
  <c r="C482" i="1"/>
  <c r="D462" i="3" s="1"/>
  <c r="I482" i="1" l="1"/>
  <c r="J482" i="1" s="1"/>
  <c r="L482" i="1"/>
  <c r="M482" i="1" s="1"/>
  <c r="O482" i="1"/>
  <c r="P482" i="1" s="1"/>
  <c r="F482" i="1" l="1"/>
  <c r="B483" i="1" s="1"/>
  <c r="C463" i="3" s="1"/>
  <c r="G482" i="1"/>
  <c r="D483" i="1" l="1"/>
  <c r="C483" i="1"/>
  <c r="D463" i="3" s="1"/>
  <c r="E483" i="1"/>
  <c r="K483" i="1"/>
  <c r="N483" i="1"/>
  <c r="H483" i="1"/>
  <c r="L483" i="1" l="1"/>
  <c r="M483" i="1" s="1"/>
  <c r="O483" i="1"/>
  <c r="P483" i="1" s="1"/>
  <c r="I483" i="1"/>
  <c r="J483" i="1" s="1"/>
  <c r="F483" i="1" l="1"/>
  <c r="B484" i="1" s="1"/>
  <c r="C464" i="3" s="1"/>
  <c r="G483" i="1"/>
  <c r="D484" i="1" l="1"/>
  <c r="C484" i="1"/>
  <c r="D464" i="3" s="1"/>
  <c r="E484" i="1"/>
  <c r="K484" i="1"/>
  <c r="N484" i="1"/>
  <c r="H484" i="1"/>
  <c r="L484" i="1" l="1"/>
  <c r="M484" i="1" s="1"/>
  <c r="O484" i="1"/>
  <c r="P484" i="1" s="1"/>
  <c r="I484" i="1"/>
  <c r="J484" i="1" s="1"/>
  <c r="F484" i="1" l="1"/>
  <c r="D485" i="1" s="1"/>
  <c r="G484" i="1"/>
  <c r="B485" i="1" l="1"/>
  <c r="E485" i="1"/>
  <c r="C485" i="1"/>
  <c r="D465" i="3" s="1"/>
  <c r="N485" i="1" l="1"/>
  <c r="C465" i="3"/>
  <c r="K485" i="1"/>
  <c r="H485" i="1"/>
  <c r="L485" i="1"/>
  <c r="O485" i="1"/>
  <c r="P485" i="1" s="1"/>
  <c r="I485" i="1"/>
  <c r="J485" i="1" s="1"/>
  <c r="M485" i="1" l="1"/>
  <c r="F485" i="1" s="1"/>
  <c r="B486" i="1" s="1"/>
  <c r="C466" i="3" s="1"/>
  <c r="G485" i="1" l="1"/>
  <c r="E486" i="1" s="1"/>
  <c r="D486" i="1"/>
  <c r="N486" i="1"/>
  <c r="H486" i="1"/>
  <c r="K486" i="1"/>
  <c r="C486" i="1" l="1"/>
  <c r="O486" i="1" l="1"/>
  <c r="P486" i="1" s="1"/>
  <c r="D466" i="3"/>
  <c r="L486" i="1"/>
  <c r="M486" i="1" s="1"/>
  <c r="I486" i="1"/>
  <c r="J486" i="1" s="1"/>
  <c r="F486" i="1" l="1"/>
  <c r="D487" i="1" s="1"/>
  <c r="G486" i="1"/>
  <c r="B487" i="1" l="1"/>
  <c r="E487" i="1"/>
  <c r="C487" i="1"/>
  <c r="D467" i="3" s="1"/>
  <c r="N487" i="1" l="1"/>
  <c r="C467" i="3"/>
  <c r="K487" i="1"/>
  <c r="H487" i="1"/>
  <c r="O487" i="1"/>
  <c r="P487" i="1" s="1"/>
  <c r="I487" i="1"/>
  <c r="J487" i="1" s="1"/>
  <c r="L487" i="1"/>
  <c r="M487" i="1" l="1"/>
  <c r="F487" i="1" s="1"/>
  <c r="D488" i="1" l="1"/>
  <c r="B488" i="1"/>
  <c r="G487" i="1"/>
  <c r="E488" i="1" s="1"/>
  <c r="K488" i="1" l="1"/>
  <c r="C468" i="3"/>
  <c r="N488" i="1"/>
  <c r="H488" i="1"/>
  <c r="C488" i="1"/>
  <c r="O488" i="1" l="1"/>
  <c r="P488" i="1" s="1"/>
  <c r="D468" i="3"/>
  <c r="L488" i="1"/>
  <c r="M488" i="1" s="1"/>
  <c r="I488" i="1"/>
  <c r="J488" i="1" s="1"/>
  <c r="F488" i="1" l="1"/>
  <c r="D489" i="1" s="1"/>
  <c r="G488" i="1"/>
  <c r="C489" i="1" s="1"/>
  <c r="D469" i="3" s="1"/>
  <c r="B489" i="1" l="1"/>
  <c r="E489" i="1"/>
  <c r="I489" i="1"/>
  <c r="L489" i="1"/>
  <c r="O489" i="1"/>
  <c r="H489" i="1" l="1"/>
  <c r="C469" i="3"/>
  <c r="K489" i="1"/>
  <c r="M489" i="1" s="1"/>
  <c r="N489" i="1"/>
  <c r="P489" i="1" s="1"/>
  <c r="J489" i="1"/>
  <c r="F489" i="1" l="1"/>
  <c r="B490" i="1" s="1"/>
  <c r="C470" i="3" s="1"/>
  <c r="G489" i="1"/>
  <c r="D490" i="1" l="1"/>
  <c r="E490" i="1"/>
  <c r="C490" i="1"/>
  <c r="D470" i="3" s="1"/>
  <c r="K490" i="1"/>
  <c r="N490" i="1"/>
  <c r="H490" i="1"/>
  <c r="I490" i="1" l="1"/>
  <c r="L490" i="1"/>
  <c r="M490" i="1" s="1"/>
  <c r="O490" i="1"/>
  <c r="P490" i="1" s="1"/>
  <c r="J490" i="1" l="1"/>
  <c r="F490" i="1" s="1"/>
  <c r="D491" i="1" l="1"/>
  <c r="B491" i="1"/>
  <c r="C471" i="3" s="1"/>
  <c r="G490" i="1"/>
  <c r="E491" i="1" l="1"/>
  <c r="C491" i="1"/>
  <c r="D471" i="3" s="1"/>
  <c r="K491" i="1"/>
  <c r="N491" i="1"/>
  <c r="H491" i="1"/>
  <c r="L491" i="1" l="1"/>
  <c r="M491" i="1" s="1"/>
  <c r="O491" i="1"/>
  <c r="P491" i="1" s="1"/>
  <c r="I491" i="1"/>
  <c r="J491" i="1" l="1"/>
  <c r="F491" i="1" s="1"/>
  <c r="B492" i="1" l="1"/>
  <c r="C472" i="3" s="1"/>
  <c r="D492" i="1"/>
  <c r="G491" i="1"/>
  <c r="E492" i="1" l="1"/>
  <c r="C492" i="1"/>
  <c r="D472" i="3" s="1"/>
  <c r="K492" i="1"/>
  <c r="N492" i="1"/>
  <c r="H492" i="1"/>
  <c r="L492" i="1" l="1"/>
  <c r="M492" i="1" s="1"/>
  <c r="O492" i="1"/>
  <c r="P492" i="1" s="1"/>
  <c r="I492" i="1"/>
  <c r="J492" i="1" l="1"/>
  <c r="F492" i="1" s="1"/>
  <c r="D493" i="1" l="1"/>
  <c r="B493" i="1"/>
  <c r="C473" i="3" s="1"/>
  <c r="G492" i="1"/>
  <c r="N493" i="1" l="1"/>
  <c r="H493" i="1"/>
  <c r="K493" i="1"/>
  <c r="E493" i="1"/>
  <c r="C493" i="1"/>
  <c r="D473" i="3" s="1"/>
  <c r="L493" i="1" l="1"/>
  <c r="M493" i="1" s="1"/>
  <c r="O493" i="1"/>
  <c r="P493" i="1" s="1"/>
  <c r="I493" i="1"/>
  <c r="J493" i="1" s="1"/>
  <c r="F493" i="1" l="1"/>
  <c r="B494" i="1" s="1"/>
  <c r="C474" i="3" s="1"/>
  <c r="G493" i="1"/>
  <c r="D494" i="1" l="1"/>
  <c r="E494" i="1"/>
  <c r="C494" i="1"/>
  <c r="D474" i="3" s="1"/>
  <c r="N494" i="1"/>
  <c r="H494" i="1"/>
  <c r="K494" i="1"/>
  <c r="O494" i="1" l="1"/>
  <c r="P494" i="1" s="1"/>
  <c r="I494" i="1"/>
  <c r="L494" i="1"/>
  <c r="M494" i="1" s="1"/>
  <c r="J494" i="1" l="1"/>
  <c r="F494" i="1" s="1"/>
  <c r="D495" i="1" l="1"/>
  <c r="B495" i="1"/>
  <c r="C475" i="3" s="1"/>
  <c r="G494" i="1"/>
  <c r="E495" i="1" l="1"/>
  <c r="C495" i="1"/>
  <c r="D475" i="3" s="1"/>
  <c r="N495" i="1"/>
  <c r="H495" i="1"/>
  <c r="K495" i="1"/>
  <c r="O495" i="1" l="1"/>
  <c r="P495" i="1" s="1"/>
  <c r="I495" i="1"/>
  <c r="J495" i="1" s="1"/>
  <c r="L495" i="1"/>
  <c r="M495" i="1" s="1"/>
  <c r="F495" i="1" l="1"/>
  <c r="D496" i="1" s="1"/>
  <c r="G495" i="1"/>
  <c r="B496" i="1" l="1"/>
  <c r="E496" i="1"/>
  <c r="C496" i="1"/>
  <c r="D476" i="3" s="1"/>
  <c r="H496" i="1" l="1"/>
  <c r="C476" i="3"/>
  <c r="N496" i="1"/>
  <c r="K496" i="1"/>
  <c r="O496" i="1"/>
  <c r="I496" i="1"/>
  <c r="L496" i="1"/>
  <c r="M496" i="1" s="1"/>
  <c r="P496" i="1" l="1"/>
  <c r="J496" i="1"/>
  <c r="F496" i="1" l="1"/>
  <c r="B497" i="1" s="1"/>
  <c r="C477" i="3" s="1"/>
  <c r="G496" i="1"/>
  <c r="D497" i="1" l="1"/>
  <c r="E497" i="1"/>
  <c r="C497" i="1"/>
  <c r="D477" i="3" s="1"/>
  <c r="H497" i="1"/>
  <c r="K497" i="1"/>
  <c r="N497" i="1"/>
  <c r="I497" i="1" l="1"/>
  <c r="J497" i="1" s="1"/>
  <c r="L497" i="1"/>
  <c r="M497" i="1" s="1"/>
  <c r="O497" i="1"/>
  <c r="P497" i="1" s="1"/>
  <c r="F497" i="1" l="1"/>
  <c r="D498" i="1" s="1"/>
  <c r="G497" i="1"/>
  <c r="B498" i="1" l="1"/>
  <c r="E498" i="1"/>
  <c r="C498" i="1"/>
  <c r="D478" i="3" s="1"/>
  <c r="K498" i="1" l="1"/>
  <c r="C478" i="3"/>
  <c r="N498" i="1"/>
  <c r="H498" i="1"/>
  <c r="I498" i="1"/>
  <c r="L498" i="1"/>
  <c r="O498" i="1"/>
  <c r="M498" i="1" l="1"/>
  <c r="P498" i="1"/>
  <c r="J498" i="1"/>
  <c r="F498" i="1" l="1"/>
  <c r="D499" i="1" s="1"/>
  <c r="G498" i="1"/>
  <c r="B499" i="1" l="1"/>
  <c r="E499" i="1"/>
  <c r="C499" i="1"/>
  <c r="D479" i="3" s="1"/>
  <c r="N499" i="1" l="1"/>
  <c r="C479" i="3"/>
  <c r="K499" i="1"/>
  <c r="H499" i="1"/>
  <c r="L499" i="1"/>
  <c r="O499" i="1"/>
  <c r="I499" i="1"/>
  <c r="J499" i="1" s="1"/>
  <c r="P499" i="1" l="1"/>
  <c r="M499" i="1"/>
  <c r="F499" i="1" s="1"/>
  <c r="B500" i="1" s="1"/>
  <c r="C480" i="3" s="1"/>
  <c r="G499" i="1" l="1"/>
  <c r="E500" i="1" s="1"/>
  <c r="D500" i="1"/>
  <c r="K500" i="1"/>
  <c r="N500" i="1"/>
  <c r="H500" i="1"/>
  <c r="C500" i="1" l="1"/>
  <c r="L500" i="1" l="1"/>
  <c r="M500" i="1" s="1"/>
  <c r="D480" i="3"/>
  <c r="I500" i="1"/>
  <c r="J500" i="1" s="1"/>
  <c r="O500" i="1"/>
  <c r="P500" i="1" s="1"/>
  <c r="F500" i="1" l="1"/>
  <c r="D501" i="1" s="1"/>
  <c r="G500" i="1"/>
  <c r="B501" i="1" l="1"/>
  <c r="E501" i="1"/>
  <c r="C501" i="1"/>
  <c r="D481" i="3" s="1"/>
  <c r="N501" i="1" l="1"/>
  <c r="C481" i="3"/>
  <c r="K501" i="1"/>
  <c r="H501" i="1"/>
  <c r="L501" i="1"/>
  <c r="O501" i="1"/>
  <c r="P501" i="1" s="1"/>
  <c r="I501" i="1"/>
  <c r="J501" i="1" s="1"/>
  <c r="M501" i="1" l="1"/>
  <c r="F501" i="1" s="1"/>
  <c r="B502" i="1" s="1"/>
  <c r="C482" i="3" s="1"/>
  <c r="G501" i="1" l="1"/>
  <c r="E502" i="1" s="1"/>
  <c r="D502" i="1"/>
  <c r="N502" i="1"/>
  <c r="H502" i="1"/>
  <c r="K502" i="1"/>
  <c r="C502" i="1" l="1"/>
  <c r="O502" i="1" l="1"/>
  <c r="P502" i="1" s="1"/>
  <c r="D482" i="3"/>
  <c r="L502" i="1"/>
  <c r="M502" i="1" s="1"/>
  <c r="I502" i="1"/>
  <c r="J502" i="1" s="1"/>
  <c r="F502" i="1" l="1"/>
  <c r="D503" i="1" s="1"/>
  <c r="G502" i="1"/>
  <c r="E503" i="1" s="1"/>
  <c r="B503" i="1" l="1"/>
  <c r="C503" i="1"/>
  <c r="I503" i="1" l="1"/>
  <c r="D483" i="3"/>
  <c r="N503" i="1"/>
  <c r="C483" i="3"/>
  <c r="O503" i="1"/>
  <c r="P503" i="1" s="1"/>
  <c r="H503" i="1"/>
  <c r="J503" i="1" s="1"/>
  <c r="K503" i="1"/>
  <c r="L503" i="1"/>
  <c r="M503" i="1" l="1"/>
  <c r="F503" i="1" s="1"/>
  <c r="B504" i="1" s="1"/>
  <c r="K504" i="1" l="1"/>
  <c r="C484" i="3"/>
  <c r="G503" i="1"/>
  <c r="C504" i="1" s="1"/>
  <c r="N504" i="1"/>
  <c r="H504" i="1"/>
  <c r="D504" i="1"/>
  <c r="O504" i="1" l="1"/>
  <c r="D484" i="3"/>
  <c r="L504" i="1"/>
  <c r="M504" i="1" s="1"/>
  <c r="I504" i="1"/>
  <c r="E504" i="1"/>
  <c r="P504" i="1"/>
  <c r="J504" i="1"/>
  <c r="F504" i="1" l="1"/>
  <c r="D505" i="1" s="1"/>
  <c r="G504" i="1"/>
  <c r="B505" i="1" l="1"/>
  <c r="E505" i="1"/>
  <c r="C505" i="1"/>
  <c r="D485" i="3" s="1"/>
  <c r="H505" i="1" l="1"/>
  <c r="C485" i="3"/>
  <c r="N505" i="1"/>
  <c r="K505" i="1"/>
  <c r="I505" i="1"/>
  <c r="J505" i="1" s="1"/>
  <c r="L505" i="1"/>
  <c r="M505" i="1" s="1"/>
  <c r="O505" i="1"/>
  <c r="P505" i="1" l="1"/>
  <c r="F505" i="1" s="1"/>
  <c r="B506" i="1" s="1"/>
  <c r="C486" i="3" s="1"/>
  <c r="G505" i="1"/>
  <c r="D506" i="1" l="1"/>
  <c r="E506" i="1"/>
  <c r="C506" i="1"/>
  <c r="D486" i="3" s="1"/>
  <c r="K506" i="1"/>
  <c r="N506" i="1"/>
  <c r="H506" i="1"/>
  <c r="I506" i="1" l="1"/>
  <c r="L506" i="1"/>
  <c r="O506" i="1"/>
  <c r="P506" i="1" s="1"/>
  <c r="M506" i="1"/>
  <c r="J506" i="1" l="1"/>
  <c r="F506" i="1" s="1"/>
  <c r="D507" i="1" l="1"/>
  <c r="B507" i="1"/>
  <c r="C487" i="3" s="1"/>
  <c r="G506" i="1"/>
  <c r="K507" i="1" l="1"/>
  <c r="N507" i="1"/>
  <c r="H507" i="1"/>
  <c r="E507" i="1"/>
  <c r="C507" i="1"/>
  <c r="D487" i="3" s="1"/>
  <c r="L507" i="1" l="1"/>
  <c r="M507" i="1" s="1"/>
  <c r="O507" i="1"/>
  <c r="P507" i="1" s="1"/>
  <c r="I507" i="1"/>
  <c r="J507" i="1" s="1"/>
  <c r="F507" i="1" l="1"/>
  <c r="B508" i="1" s="1"/>
  <c r="C488" i="3" s="1"/>
  <c r="G507" i="1"/>
  <c r="D508" i="1" l="1"/>
  <c r="E508" i="1"/>
  <c r="C508" i="1"/>
  <c r="D488" i="3" s="1"/>
  <c r="K508" i="1"/>
  <c r="N508" i="1"/>
  <c r="H508" i="1"/>
  <c r="L508" i="1" l="1"/>
  <c r="M508" i="1" s="1"/>
  <c r="O508" i="1"/>
  <c r="P508" i="1" s="1"/>
  <c r="I508" i="1"/>
  <c r="J508" i="1" l="1"/>
  <c r="F508" i="1" s="1"/>
  <c r="D509" i="1" l="1"/>
  <c r="B509" i="1"/>
  <c r="C489" i="3" s="1"/>
  <c r="G508" i="1"/>
  <c r="N509" i="1" l="1"/>
  <c r="H509" i="1"/>
  <c r="K509" i="1"/>
  <c r="E509" i="1"/>
  <c r="C509" i="1"/>
  <c r="D489" i="3" s="1"/>
  <c r="L509" i="1" l="1"/>
  <c r="M509" i="1" s="1"/>
  <c r="O509" i="1"/>
  <c r="P509" i="1" s="1"/>
  <c r="I509" i="1"/>
  <c r="J509" i="1" s="1"/>
  <c r="F509" i="1" l="1"/>
  <c r="B510" i="1" s="1"/>
  <c r="C490" i="3" s="1"/>
  <c r="G509" i="1"/>
  <c r="D510" i="1" l="1"/>
  <c r="E510" i="1"/>
  <c r="C510" i="1"/>
  <c r="D490" i="3" s="1"/>
  <c r="N510" i="1"/>
  <c r="H510" i="1"/>
  <c r="K510" i="1"/>
  <c r="O510" i="1" l="1"/>
  <c r="P510" i="1" s="1"/>
  <c r="I510" i="1"/>
  <c r="L510" i="1"/>
  <c r="M510" i="1" s="1"/>
  <c r="J510" i="1" l="1"/>
  <c r="F510" i="1" s="1"/>
  <c r="D511" i="1" l="1"/>
  <c r="B511" i="1"/>
  <c r="C491" i="3" s="1"/>
  <c r="G510" i="1"/>
  <c r="N511" i="1" l="1"/>
  <c r="H511" i="1"/>
  <c r="K511" i="1"/>
  <c r="E511" i="1"/>
  <c r="C511" i="1"/>
  <c r="D491" i="3" s="1"/>
  <c r="O511" i="1" l="1"/>
  <c r="P511" i="1" s="1"/>
  <c r="I511" i="1"/>
  <c r="L511" i="1"/>
  <c r="M511" i="1" s="1"/>
  <c r="J511" i="1"/>
  <c r="F511" i="1" l="1"/>
  <c r="B512" i="1" s="1"/>
  <c r="C492" i="3" s="1"/>
  <c r="G511" i="1"/>
  <c r="D512" i="1" l="1"/>
  <c r="E512" i="1"/>
  <c r="C512" i="1"/>
  <c r="D492" i="3" s="1"/>
  <c r="H512" i="1"/>
  <c r="K512" i="1"/>
  <c r="N512" i="1"/>
  <c r="O512" i="1" l="1"/>
  <c r="P512" i="1" s="1"/>
  <c r="I512" i="1"/>
  <c r="L512" i="1"/>
  <c r="M512" i="1" s="1"/>
  <c r="J512" i="1" l="1"/>
  <c r="F512" i="1" s="1"/>
  <c r="D513" i="1" l="1"/>
  <c r="B513" i="1"/>
  <c r="C493" i="3" s="1"/>
  <c r="G512" i="1"/>
  <c r="E513" i="1" l="1"/>
  <c r="C513" i="1"/>
  <c r="D493" i="3" s="1"/>
  <c r="H513" i="1"/>
  <c r="K513" i="1"/>
  <c r="N513" i="1"/>
  <c r="I513" i="1" l="1"/>
  <c r="J513" i="1" s="1"/>
  <c r="L513" i="1"/>
  <c r="M513" i="1" s="1"/>
  <c r="O513" i="1"/>
  <c r="P513" i="1" s="1"/>
  <c r="F513" i="1" l="1"/>
  <c r="G513" i="1"/>
  <c r="E514" i="1" l="1"/>
  <c r="C514" i="1"/>
  <c r="D494" i="3" s="1"/>
  <c r="D514" i="1"/>
  <c r="B514" i="1"/>
  <c r="C494" i="3" s="1"/>
  <c r="I514" i="1" l="1"/>
  <c r="L514" i="1"/>
  <c r="O514" i="1"/>
  <c r="K514" i="1"/>
  <c r="M514" i="1" s="1"/>
  <c r="N514" i="1"/>
  <c r="P514" i="1" s="1"/>
  <c r="H514" i="1"/>
  <c r="J514" i="1" l="1"/>
  <c r="F514" i="1" s="1"/>
  <c r="G514" i="1" l="1"/>
  <c r="E515" i="1" s="1"/>
  <c r="D515" i="1"/>
  <c r="B515" i="1"/>
  <c r="C495" i="3" s="1"/>
  <c r="C515" i="1" l="1"/>
  <c r="K515" i="1"/>
  <c r="N515" i="1"/>
  <c r="H515" i="1"/>
  <c r="L515" i="1" l="1"/>
  <c r="D495" i="3"/>
  <c r="M515" i="1"/>
  <c r="I515" i="1"/>
  <c r="J515" i="1" s="1"/>
  <c r="O515" i="1"/>
  <c r="P515" i="1" s="1"/>
  <c r="F515" i="1" l="1"/>
  <c r="B516" i="1" s="1"/>
  <c r="C496" i="3" s="1"/>
  <c r="G515" i="1"/>
  <c r="E516" i="1" s="1"/>
  <c r="D516" i="1" l="1"/>
  <c r="C516" i="1"/>
  <c r="K516" i="1"/>
  <c r="N516" i="1"/>
  <c r="H516" i="1"/>
  <c r="L516" i="1" l="1"/>
  <c r="M516" i="1" s="1"/>
  <c r="D496" i="3"/>
  <c r="I516" i="1"/>
  <c r="J516" i="1" s="1"/>
  <c r="O516" i="1"/>
  <c r="P516" i="1" s="1"/>
  <c r="G516" i="1" l="1"/>
  <c r="E517" i="1" s="1"/>
  <c r="F516" i="1"/>
  <c r="D517" i="1" s="1"/>
  <c r="C517" i="1" l="1"/>
  <c r="B517" i="1"/>
  <c r="N517" i="1" l="1"/>
  <c r="C497" i="3"/>
  <c r="L517" i="1"/>
  <c r="D497" i="3"/>
  <c r="O517" i="1"/>
  <c r="P517" i="1" s="1"/>
  <c r="I517" i="1"/>
  <c r="K517" i="1"/>
  <c r="M517" i="1" s="1"/>
  <c r="H517" i="1"/>
  <c r="J517" i="1" l="1"/>
  <c r="G517" i="1" s="1"/>
  <c r="E518" i="1" s="1"/>
  <c r="F517" i="1" l="1"/>
  <c r="D518" i="1" s="1"/>
  <c r="C518" i="1"/>
  <c r="O518" i="1" l="1"/>
  <c r="D498" i="3"/>
  <c r="B518" i="1"/>
  <c r="I518" i="1"/>
  <c r="L518" i="1"/>
  <c r="N518" i="1" l="1"/>
  <c r="P518" i="1" s="1"/>
  <c r="C498" i="3"/>
  <c r="H518" i="1"/>
  <c r="J518" i="1" s="1"/>
  <c r="K518" i="1"/>
  <c r="M518" i="1" s="1"/>
  <c r="G518" i="1" l="1"/>
  <c r="E519" i="1" s="1"/>
  <c r="F518" i="1"/>
  <c r="D519" i="1" s="1"/>
  <c r="C519" i="1" l="1"/>
  <c r="B519" i="1"/>
  <c r="N519" i="1" l="1"/>
  <c r="C499" i="3"/>
  <c r="O519" i="1"/>
  <c r="D499" i="3"/>
  <c r="I519" i="1"/>
  <c r="L519" i="1"/>
  <c r="P519" i="1"/>
  <c r="K519" i="1"/>
  <c r="H519" i="1"/>
  <c r="M519" i="1" l="1"/>
  <c r="J519" i="1"/>
  <c r="G519" i="1" l="1"/>
  <c r="E520" i="1" s="1"/>
  <c r="F519" i="1"/>
  <c r="B520" i="1" s="1"/>
  <c r="C500" i="3" s="1"/>
  <c r="C520" i="1" l="1"/>
  <c r="D520" i="1"/>
  <c r="H520" i="1"/>
  <c r="N520" i="1"/>
  <c r="K520" i="1"/>
  <c r="I520" i="1" l="1"/>
  <c r="D500" i="3"/>
  <c r="L520" i="1"/>
  <c r="M520" i="1" s="1"/>
  <c r="O520" i="1"/>
  <c r="P520" i="1" s="1"/>
  <c r="J520" i="1"/>
  <c r="G520" i="1" l="1"/>
  <c r="E521" i="1" s="1"/>
  <c r="F520" i="1"/>
  <c r="D521" i="1" s="1"/>
  <c r="C521" i="1" l="1"/>
  <c r="B521" i="1"/>
  <c r="H521" i="1" l="1"/>
  <c r="C501" i="3"/>
  <c r="I521" i="1"/>
  <c r="J521" i="1" s="1"/>
  <c r="D501" i="3"/>
  <c r="L521" i="1"/>
  <c r="O521" i="1"/>
  <c r="N521" i="1"/>
  <c r="K521" i="1"/>
  <c r="P521" i="1" l="1"/>
  <c r="M521" i="1"/>
  <c r="G521" i="1" l="1"/>
  <c r="C522" i="1" s="1"/>
  <c r="F521" i="1"/>
  <c r="D522" i="1" s="1"/>
  <c r="L522" i="1" l="1"/>
  <c r="D502" i="3"/>
  <c r="I522" i="1"/>
  <c r="O522" i="1"/>
  <c r="E522" i="1"/>
  <c r="B522" i="1"/>
  <c r="K522" i="1" l="1"/>
  <c r="M522" i="1" s="1"/>
  <c r="C502" i="3"/>
  <c r="H522" i="1"/>
  <c r="J522" i="1" s="1"/>
  <c r="N522" i="1"/>
  <c r="P522" i="1" s="1"/>
  <c r="G522" i="1" l="1"/>
  <c r="E523" i="1" s="1"/>
  <c r="F522" i="1"/>
  <c r="B523" i="1" s="1"/>
  <c r="C503" i="3" s="1"/>
  <c r="C523" i="1" l="1"/>
  <c r="D523" i="1"/>
  <c r="K523" i="1"/>
  <c r="N523" i="1"/>
  <c r="H523" i="1"/>
  <c r="O523" i="1" l="1"/>
  <c r="D503" i="3"/>
  <c r="P523" i="1"/>
  <c r="I523" i="1"/>
  <c r="J523" i="1" s="1"/>
  <c r="L523" i="1"/>
  <c r="M523" i="1" s="1"/>
  <c r="G523" i="1" l="1"/>
  <c r="C524" i="1" s="1"/>
  <c r="D504" i="3" s="1"/>
  <c r="F523" i="1"/>
  <c r="B524" i="1" s="1"/>
  <c r="C504" i="3" s="1"/>
  <c r="E524" i="1" l="1"/>
  <c r="D524" i="1"/>
  <c r="K524" i="1"/>
  <c r="N524" i="1"/>
  <c r="H524" i="1"/>
  <c r="L524" i="1"/>
  <c r="O524" i="1"/>
  <c r="I524" i="1"/>
  <c r="J524" i="1" l="1"/>
  <c r="M524" i="1"/>
  <c r="P524" i="1"/>
  <c r="F524" i="1" l="1"/>
  <c r="D525" i="1" s="1"/>
  <c r="G524" i="1"/>
  <c r="C525" i="1" s="1"/>
  <c r="D505" i="3" s="1"/>
  <c r="B525" i="1" l="1"/>
  <c r="E525" i="1"/>
  <c r="L525" i="1"/>
  <c r="O525" i="1"/>
  <c r="I525" i="1"/>
  <c r="N525" i="1" l="1"/>
  <c r="C505" i="3"/>
  <c r="K525" i="1"/>
  <c r="M525" i="1" s="1"/>
  <c r="H525" i="1"/>
  <c r="J525" i="1" s="1"/>
  <c r="P525" i="1"/>
  <c r="G525" i="1" l="1"/>
  <c r="E526" i="1" s="1"/>
  <c r="F525" i="1"/>
  <c r="C526" i="1" l="1"/>
  <c r="D526" i="1"/>
  <c r="B526" i="1"/>
  <c r="C506" i="3" s="1"/>
  <c r="O526" i="1" l="1"/>
  <c r="D506" i="3"/>
  <c r="L526" i="1"/>
  <c r="I526" i="1"/>
  <c r="N526" i="1"/>
  <c r="P526" i="1" s="1"/>
  <c r="H526" i="1"/>
  <c r="K526" i="1"/>
  <c r="M526" i="1" l="1"/>
  <c r="J526" i="1"/>
  <c r="G526" i="1" l="1"/>
  <c r="E527" i="1" s="1"/>
  <c r="F526" i="1"/>
  <c r="C527" i="1" l="1"/>
  <c r="D527" i="1"/>
  <c r="B527" i="1"/>
  <c r="C507" i="3" s="1"/>
  <c r="O527" i="1" l="1"/>
  <c r="D507" i="3"/>
  <c r="L527" i="1"/>
  <c r="I527" i="1"/>
  <c r="N527" i="1"/>
  <c r="P527" i="1" s="1"/>
  <c r="H527" i="1"/>
  <c r="K527" i="1"/>
  <c r="M527" i="1" l="1"/>
  <c r="J527" i="1"/>
  <c r="G527" i="1" l="1"/>
  <c r="C528" i="1" s="1"/>
  <c r="D508" i="3" s="1"/>
  <c r="F527" i="1"/>
  <c r="E528" i="1" l="1"/>
  <c r="B528" i="1"/>
  <c r="C508" i="3" s="1"/>
  <c r="D528" i="1"/>
  <c r="O528" i="1"/>
  <c r="I528" i="1"/>
  <c r="L528" i="1"/>
  <c r="H528" i="1" l="1"/>
  <c r="K528" i="1"/>
  <c r="M528" i="1" s="1"/>
  <c r="N528" i="1"/>
  <c r="P528" i="1" s="1"/>
  <c r="J528" i="1" l="1"/>
  <c r="G528" i="1" s="1"/>
  <c r="F528" i="1" l="1"/>
  <c r="D529" i="1" s="1"/>
  <c r="E529" i="1"/>
  <c r="C529" i="1"/>
  <c r="D509" i="3" s="1"/>
  <c r="B529" i="1" l="1"/>
  <c r="I529" i="1"/>
  <c r="L529" i="1"/>
  <c r="O529" i="1"/>
  <c r="H529" i="1" l="1"/>
  <c r="C509" i="3"/>
  <c r="N529" i="1"/>
  <c r="P529" i="1" s="1"/>
  <c r="K529" i="1"/>
  <c r="M529" i="1" s="1"/>
  <c r="J529" i="1"/>
  <c r="G529" i="1" l="1"/>
  <c r="E530" i="1" s="1"/>
  <c r="F529" i="1"/>
  <c r="B530" i="1" s="1"/>
  <c r="C510" i="3" s="1"/>
  <c r="C530" i="1" l="1"/>
  <c r="D530" i="1"/>
  <c r="K530" i="1"/>
  <c r="N530" i="1"/>
  <c r="H530" i="1"/>
  <c r="I530" i="1" l="1"/>
  <c r="J530" i="1" s="1"/>
  <c r="D510" i="3"/>
  <c r="O530" i="1"/>
  <c r="P530" i="1" s="1"/>
  <c r="L530" i="1"/>
  <c r="M530" i="1" s="1"/>
  <c r="G530" i="1" l="1"/>
  <c r="C531" i="1" s="1"/>
  <c r="D511" i="3" s="1"/>
  <c r="F530" i="1"/>
  <c r="D531" i="1" s="1"/>
  <c r="E531" i="1" l="1"/>
  <c r="B531" i="1"/>
  <c r="L531" i="1"/>
  <c r="O531" i="1"/>
  <c r="I531" i="1"/>
  <c r="K531" i="1" l="1"/>
  <c r="C511" i="3"/>
  <c r="H531" i="1"/>
  <c r="J531" i="1" s="1"/>
  <c r="N531" i="1"/>
  <c r="P531" i="1" s="1"/>
  <c r="M531" i="1"/>
  <c r="F531" i="1" l="1"/>
  <c r="D532" i="1" s="1"/>
  <c r="G531" i="1"/>
  <c r="B532" i="1" l="1"/>
  <c r="C532" i="1"/>
  <c r="D512" i="3" s="1"/>
  <c r="E532" i="1"/>
  <c r="K532" i="1" l="1"/>
  <c r="C512" i="3"/>
  <c r="H532" i="1"/>
  <c r="N532" i="1"/>
  <c r="L532" i="1"/>
  <c r="M532" i="1" s="1"/>
  <c r="O532" i="1"/>
  <c r="P532" i="1" s="1"/>
  <c r="I532" i="1"/>
  <c r="J532" i="1" l="1"/>
  <c r="G532" i="1" s="1"/>
  <c r="F532" i="1" l="1"/>
  <c r="D533" i="1" s="1"/>
  <c r="C533" i="1"/>
  <c r="D513" i="3" s="1"/>
  <c r="E533" i="1"/>
  <c r="B533" i="1" l="1"/>
  <c r="L533" i="1"/>
  <c r="O533" i="1"/>
  <c r="I533" i="1"/>
  <c r="N533" i="1" l="1"/>
  <c r="C513" i="3"/>
  <c r="P533" i="1"/>
  <c r="K533" i="1"/>
  <c r="M533" i="1" s="1"/>
  <c r="H533" i="1"/>
  <c r="J533" i="1" s="1"/>
  <c r="F533" i="1" l="1"/>
  <c r="D534" i="1" s="1"/>
  <c r="G533" i="1"/>
  <c r="B534" i="1" l="1"/>
  <c r="C534" i="1"/>
  <c r="D514" i="3" s="1"/>
  <c r="E534" i="1"/>
  <c r="N534" i="1" l="1"/>
  <c r="C514" i="3"/>
  <c r="K534" i="1"/>
  <c r="H534" i="1"/>
  <c r="O534" i="1"/>
  <c r="P534" i="1" s="1"/>
  <c r="I534" i="1"/>
  <c r="J534" i="1" s="1"/>
  <c r="L534" i="1"/>
  <c r="M534" i="1" l="1"/>
  <c r="F534" i="1" s="1"/>
  <c r="B535" i="1" s="1"/>
  <c r="C515" i="3" s="1"/>
  <c r="G534" i="1" l="1"/>
  <c r="C535" i="1" s="1"/>
  <c r="D515" i="3" s="1"/>
  <c r="D535" i="1"/>
  <c r="N535" i="1"/>
  <c r="H535" i="1"/>
  <c r="K535" i="1"/>
  <c r="E535" i="1" l="1"/>
  <c r="O535" i="1"/>
  <c r="P535" i="1" s="1"/>
  <c r="I535" i="1"/>
  <c r="L535" i="1"/>
  <c r="M535" i="1" s="1"/>
  <c r="J535" i="1" l="1"/>
  <c r="F535" i="1" s="1"/>
  <c r="D536" i="1" l="1"/>
  <c r="B536" i="1"/>
  <c r="C516" i="3" s="1"/>
  <c r="G535" i="1"/>
  <c r="H536" i="1" l="1"/>
  <c r="K536" i="1"/>
  <c r="N536" i="1"/>
  <c r="E536" i="1"/>
  <c r="C536" i="1"/>
  <c r="D516" i="3" s="1"/>
  <c r="O536" i="1" l="1"/>
  <c r="P536" i="1" s="1"/>
  <c r="I536" i="1"/>
  <c r="J536" i="1" s="1"/>
  <c r="L536" i="1"/>
  <c r="M536" i="1" s="1"/>
  <c r="F536" i="1" l="1"/>
  <c r="B537" i="1" s="1"/>
  <c r="C517" i="3" s="1"/>
  <c r="G536" i="1"/>
  <c r="D537" i="1" l="1"/>
  <c r="C537" i="1"/>
  <c r="D517" i="3" s="1"/>
  <c r="E537" i="1"/>
  <c r="H537" i="1"/>
  <c r="K537" i="1"/>
  <c r="N537" i="1"/>
  <c r="I537" i="1" l="1"/>
  <c r="L537" i="1"/>
  <c r="M537" i="1" s="1"/>
  <c r="O537" i="1"/>
  <c r="P537" i="1" s="1"/>
  <c r="J537" i="1" l="1"/>
  <c r="F537" i="1" s="1"/>
  <c r="D538" i="1" l="1"/>
  <c r="B538" i="1"/>
  <c r="C518" i="3" s="1"/>
  <c r="G537" i="1"/>
  <c r="K538" i="1" l="1"/>
  <c r="N538" i="1"/>
  <c r="H538" i="1"/>
  <c r="E538" i="1"/>
  <c r="C538" i="1"/>
  <c r="D518" i="3" s="1"/>
  <c r="I538" i="1" l="1"/>
  <c r="J538" i="1" s="1"/>
  <c r="L538" i="1"/>
  <c r="M538" i="1" s="1"/>
  <c r="O538" i="1"/>
  <c r="P538" i="1" s="1"/>
  <c r="F538" i="1" l="1"/>
  <c r="B539" i="1" s="1"/>
  <c r="C519" i="3" s="1"/>
  <c r="G538" i="1"/>
  <c r="D539" i="1" l="1"/>
  <c r="E539" i="1"/>
  <c r="C539" i="1"/>
  <c r="D519" i="3" s="1"/>
  <c r="K539" i="1"/>
  <c r="N539" i="1"/>
  <c r="H539" i="1"/>
  <c r="L539" i="1" l="1"/>
  <c r="M539" i="1" s="1"/>
  <c r="O539" i="1"/>
  <c r="P539" i="1" s="1"/>
  <c r="I539" i="1"/>
  <c r="J539" i="1" l="1"/>
  <c r="F539" i="1" s="1"/>
  <c r="D540" i="1" l="1"/>
  <c r="B540" i="1"/>
  <c r="C520" i="3" s="1"/>
  <c r="G539" i="1"/>
  <c r="K540" i="1" l="1"/>
  <c r="N540" i="1"/>
  <c r="H540" i="1"/>
  <c r="E540" i="1"/>
  <c r="C540" i="1"/>
  <c r="D520" i="3" s="1"/>
  <c r="L540" i="1" l="1"/>
  <c r="M540" i="1" s="1"/>
  <c r="O540" i="1"/>
  <c r="P540" i="1" s="1"/>
  <c r="I540" i="1"/>
  <c r="J540" i="1" s="1"/>
  <c r="F540" i="1" l="1"/>
  <c r="G540" i="1"/>
  <c r="E541" i="1" l="1"/>
  <c r="C541" i="1"/>
  <c r="D521" i="3" s="1"/>
  <c r="B541" i="1"/>
  <c r="C521" i="3" s="1"/>
  <c r="D541" i="1"/>
  <c r="L541" i="1" l="1"/>
  <c r="O541" i="1"/>
  <c r="I541" i="1"/>
  <c r="N541" i="1"/>
  <c r="P541" i="1" s="1"/>
  <c r="H541" i="1"/>
  <c r="K541" i="1"/>
  <c r="M541" i="1" l="1"/>
  <c r="J541" i="1"/>
  <c r="F541" i="1" l="1"/>
  <c r="B542" i="1" s="1"/>
  <c r="C522" i="3" s="1"/>
  <c r="G541" i="1"/>
  <c r="D542" i="1" l="1"/>
  <c r="E542" i="1"/>
  <c r="C542" i="1"/>
  <c r="D522" i="3" s="1"/>
  <c r="N542" i="1"/>
  <c r="H542" i="1"/>
  <c r="K542" i="1"/>
  <c r="O542" i="1" l="1"/>
  <c r="P542" i="1" s="1"/>
  <c r="I542" i="1"/>
  <c r="J542" i="1" s="1"/>
  <c r="L542" i="1"/>
  <c r="M542" i="1" s="1"/>
  <c r="F542" i="1" l="1"/>
  <c r="D543" i="1" s="1"/>
  <c r="G542" i="1"/>
  <c r="B543" i="1" l="1"/>
  <c r="E543" i="1"/>
  <c r="C543" i="1"/>
  <c r="D523" i="3" s="1"/>
  <c r="N543" i="1" l="1"/>
  <c r="C523" i="3"/>
  <c r="K543" i="1"/>
  <c r="H543" i="1"/>
  <c r="O543" i="1"/>
  <c r="P543" i="1" s="1"/>
  <c r="I543" i="1"/>
  <c r="L543" i="1"/>
  <c r="J543" i="1" l="1"/>
  <c r="M543" i="1"/>
  <c r="F543" i="1" l="1"/>
  <c r="B544" i="1" s="1"/>
  <c r="G543" i="1"/>
  <c r="E544" i="1" s="1"/>
  <c r="H544" i="1" l="1"/>
  <c r="C524" i="3"/>
  <c r="K544" i="1"/>
  <c r="N544" i="1"/>
  <c r="D544" i="1"/>
  <c r="C544" i="1"/>
  <c r="O544" i="1" l="1"/>
  <c r="P544" i="1" s="1"/>
  <c r="D524" i="3"/>
  <c r="L544" i="1"/>
  <c r="M544" i="1" s="1"/>
  <c r="I544" i="1"/>
  <c r="J544" i="1" s="1"/>
  <c r="F544" i="1" l="1"/>
  <c r="B545" i="1" s="1"/>
  <c r="G544" i="1"/>
  <c r="E545" i="1" s="1"/>
  <c r="K545" i="1" l="1"/>
  <c r="C525" i="3"/>
  <c r="N545" i="1"/>
  <c r="H545" i="1"/>
  <c r="D545" i="1"/>
  <c r="C545" i="1"/>
  <c r="I545" i="1" l="1"/>
  <c r="J545" i="1" s="1"/>
  <c r="D525" i="3"/>
  <c r="O545" i="1"/>
  <c r="P545" i="1" s="1"/>
  <c r="L545" i="1"/>
  <c r="M545" i="1" s="1"/>
  <c r="F545" i="1" l="1"/>
  <c r="B546" i="1" s="1"/>
  <c r="G545" i="1"/>
  <c r="E546" i="1" s="1"/>
  <c r="H546" i="1" l="1"/>
  <c r="C526" i="3"/>
  <c r="C546" i="1"/>
  <c r="D546" i="1"/>
  <c r="N546" i="1"/>
  <c r="K546" i="1"/>
  <c r="I546" i="1" l="1"/>
  <c r="D526" i="3"/>
  <c r="L546" i="1"/>
  <c r="M546" i="1" s="1"/>
  <c r="O546" i="1"/>
  <c r="P546" i="1" s="1"/>
  <c r="J546" i="1"/>
  <c r="F546" i="1" l="1"/>
  <c r="D547" i="1" s="1"/>
  <c r="G546" i="1"/>
  <c r="B547" i="1" l="1"/>
  <c r="E547" i="1"/>
  <c r="C547" i="1"/>
  <c r="D527" i="3" s="1"/>
  <c r="K547" i="1" l="1"/>
  <c r="C527" i="3"/>
  <c r="H547" i="1"/>
  <c r="N547" i="1"/>
  <c r="L547" i="1"/>
  <c r="M547" i="1" s="1"/>
  <c r="O547" i="1"/>
  <c r="P547" i="1" s="1"/>
  <c r="I547" i="1"/>
  <c r="J547" i="1" l="1"/>
  <c r="F547" i="1" s="1"/>
  <c r="D548" i="1" s="1"/>
  <c r="G547" i="1" l="1"/>
  <c r="C548" i="1" s="1"/>
  <c r="D528" i="3" s="1"/>
  <c r="B548" i="1"/>
  <c r="K548" i="1" l="1"/>
  <c r="C528" i="3"/>
  <c r="E548" i="1"/>
  <c r="H548" i="1"/>
  <c r="N548" i="1"/>
  <c r="L548" i="1"/>
  <c r="M548" i="1" s="1"/>
  <c r="O548" i="1"/>
  <c r="I548" i="1"/>
  <c r="P548" i="1" l="1"/>
  <c r="J548" i="1"/>
  <c r="F548" i="1" l="1"/>
  <c r="B549" i="1" s="1"/>
  <c r="G548" i="1"/>
  <c r="C549" i="1" s="1"/>
  <c r="D529" i="3" s="1"/>
  <c r="N549" i="1" l="1"/>
  <c r="C529" i="3"/>
  <c r="K549" i="1"/>
  <c r="H549" i="1"/>
  <c r="D549" i="1"/>
  <c r="E549" i="1"/>
  <c r="L549" i="1"/>
  <c r="O549" i="1"/>
  <c r="P549" i="1" s="1"/>
  <c r="I549" i="1"/>
  <c r="M549" i="1" l="1"/>
  <c r="J549" i="1"/>
  <c r="F549" i="1" l="1"/>
  <c r="D550" i="1" s="1"/>
  <c r="G549" i="1"/>
  <c r="B550" i="1" l="1"/>
  <c r="C550" i="1"/>
  <c r="D530" i="3" s="1"/>
  <c r="E550" i="1"/>
  <c r="N550" i="1" l="1"/>
  <c r="C530" i="3"/>
  <c r="K550" i="1"/>
  <c r="H550" i="1"/>
  <c r="O550" i="1"/>
  <c r="P550" i="1" s="1"/>
  <c r="I550" i="1"/>
  <c r="J550" i="1" s="1"/>
  <c r="L550" i="1"/>
  <c r="M550" i="1" l="1"/>
  <c r="F550" i="1" s="1"/>
  <c r="B551" i="1" s="1"/>
  <c r="C531" i="3" s="1"/>
  <c r="G550" i="1" l="1"/>
  <c r="C551" i="1" s="1"/>
  <c r="D531" i="3" s="1"/>
  <c r="D551" i="1"/>
  <c r="N551" i="1"/>
  <c r="H551" i="1"/>
  <c r="K551" i="1"/>
  <c r="E551" i="1" l="1"/>
  <c r="O551" i="1"/>
  <c r="P551" i="1" s="1"/>
  <c r="I551" i="1"/>
  <c r="L551" i="1"/>
  <c r="M551" i="1" s="1"/>
  <c r="J551" i="1" l="1"/>
  <c r="F551" i="1" s="1"/>
  <c r="D552" i="1" l="1"/>
  <c r="B552" i="1"/>
  <c r="C532" i="3" s="1"/>
  <c r="G551" i="1"/>
  <c r="C552" i="1" l="1"/>
  <c r="D532" i="3" s="1"/>
  <c r="E552" i="1"/>
  <c r="H552" i="1"/>
  <c r="K552" i="1"/>
  <c r="N552" i="1"/>
  <c r="O552" i="1" l="1"/>
  <c r="P552" i="1" s="1"/>
  <c r="I552" i="1"/>
  <c r="L552" i="1"/>
  <c r="M552" i="1" s="1"/>
  <c r="J552" i="1" l="1"/>
  <c r="F552" i="1" s="1"/>
  <c r="B553" i="1" l="1"/>
  <c r="C533" i="3" s="1"/>
  <c r="D553" i="1"/>
  <c r="G552" i="1"/>
  <c r="E553" i="1" l="1"/>
  <c r="C553" i="1"/>
  <c r="D533" i="3" s="1"/>
  <c r="H553" i="1"/>
  <c r="K553" i="1"/>
  <c r="N553" i="1"/>
  <c r="I553" i="1" l="1"/>
  <c r="J553" i="1" s="1"/>
  <c r="L553" i="1"/>
  <c r="M553" i="1" s="1"/>
  <c r="O553" i="1"/>
  <c r="P553" i="1" s="1"/>
  <c r="F553" i="1" l="1"/>
  <c r="D554" i="1" s="1"/>
  <c r="G553" i="1"/>
  <c r="B554" i="1" l="1"/>
  <c r="E554" i="1"/>
  <c r="C554" i="1"/>
  <c r="D534" i="3" s="1"/>
  <c r="K554" i="1" l="1"/>
  <c r="C534" i="3"/>
  <c r="H554" i="1"/>
  <c r="N554" i="1"/>
  <c r="I554" i="1"/>
  <c r="L554" i="1"/>
  <c r="M554" i="1" s="1"/>
  <c r="O554" i="1"/>
  <c r="P554" i="1" s="1"/>
  <c r="J554" i="1" l="1"/>
  <c r="F554" i="1" s="1"/>
  <c r="B555" i="1" s="1"/>
  <c r="C535" i="3" s="1"/>
  <c r="G554" i="1" l="1"/>
  <c r="C555" i="1" s="1"/>
  <c r="D535" i="3" s="1"/>
  <c r="D555" i="1"/>
  <c r="K555" i="1"/>
  <c r="N555" i="1"/>
  <c r="H555" i="1"/>
  <c r="E555" i="1" l="1"/>
  <c r="L555" i="1"/>
  <c r="M555" i="1" s="1"/>
  <c r="O555" i="1"/>
  <c r="P555" i="1" s="1"/>
  <c r="I555" i="1"/>
  <c r="J555" i="1" l="1"/>
  <c r="F555" i="1" s="1"/>
  <c r="D556" i="1" l="1"/>
  <c r="B556" i="1"/>
  <c r="C536" i="3" s="1"/>
  <c r="G555" i="1"/>
  <c r="K556" i="1" l="1"/>
  <c r="N556" i="1"/>
  <c r="H556" i="1"/>
  <c r="E556" i="1"/>
  <c r="C556" i="1"/>
  <c r="D536" i="3" s="1"/>
  <c r="L556" i="1" l="1"/>
  <c r="M556" i="1" s="1"/>
  <c r="O556" i="1"/>
  <c r="P556" i="1" s="1"/>
  <c r="I556" i="1"/>
  <c r="J556" i="1" s="1"/>
  <c r="F556" i="1" l="1"/>
  <c r="B557" i="1" s="1"/>
  <c r="C537" i="3" s="1"/>
  <c r="G556" i="1"/>
  <c r="D557" i="1" l="1"/>
  <c r="E557" i="1"/>
  <c r="C557" i="1"/>
  <c r="D537" i="3" s="1"/>
  <c r="N557" i="1"/>
  <c r="H557" i="1"/>
  <c r="K557" i="1"/>
  <c r="L557" i="1" l="1"/>
  <c r="M557" i="1" s="1"/>
  <c r="O557" i="1"/>
  <c r="P557" i="1" s="1"/>
  <c r="I557" i="1"/>
  <c r="J557" i="1" s="1"/>
  <c r="F557" i="1" l="1"/>
  <c r="D558" i="1" s="1"/>
  <c r="G557" i="1"/>
  <c r="B558" i="1" l="1"/>
  <c r="E558" i="1"/>
  <c r="C558" i="1"/>
  <c r="D538" i="3" s="1"/>
  <c r="N558" i="1" l="1"/>
  <c r="C538" i="3"/>
  <c r="K558" i="1"/>
  <c r="H558" i="1"/>
  <c r="O558" i="1"/>
  <c r="P558" i="1" s="1"/>
  <c r="I558" i="1"/>
  <c r="L558" i="1"/>
  <c r="J558" i="1" l="1"/>
  <c r="M558" i="1"/>
  <c r="F558" i="1" l="1"/>
  <c r="B559" i="1" s="1"/>
  <c r="G558" i="1"/>
  <c r="C559" i="1" s="1"/>
  <c r="D539" i="3" s="1"/>
  <c r="N559" i="1" l="1"/>
  <c r="C539" i="3"/>
  <c r="H559" i="1"/>
  <c r="K559" i="1"/>
  <c r="D559" i="1"/>
  <c r="E559" i="1"/>
  <c r="O559" i="1"/>
  <c r="P559" i="1" s="1"/>
  <c r="I559" i="1"/>
  <c r="L559" i="1"/>
  <c r="M559" i="1" l="1"/>
  <c r="J559" i="1"/>
  <c r="F559" i="1" l="1"/>
  <c r="D560" i="1" s="1"/>
  <c r="B560" i="1"/>
  <c r="C540" i="3" s="1"/>
  <c r="G559" i="1"/>
  <c r="H560" i="1" l="1"/>
  <c r="K560" i="1"/>
  <c r="N560" i="1"/>
  <c r="E560" i="1"/>
  <c r="C560" i="1"/>
  <c r="D540" i="3" s="1"/>
  <c r="O560" i="1" l="1"/>
  <c r="P560" i="1" s="1"/>
  <c r="I560" i="1"/>
  <c r="L560" i="1"/>
  <c r="M560" i="1" s="1"/>
  <c r="J560" i="1"/>
  <c r="F560" i="1" l="1"/>
  <c r="B561" i="1" s="1"/>
  <c r="C541" i="3" s="1"/>
  <c r="G560" i="1"/>
  <c r="D561" i="1" l="1"/>
  <c r="E561" i="1"/>
  <c r="C561" i="1"/>
  <c r="D541" i="3" s="1"/>
  <c r="H561" i="1"/>
  <c r="K561" i="1"/>
  <c r="N561" i="1"/>
  <c r="I561" i="1" l="1"/>
  <c r="J561" i="1" s="1"/>
  <c r="L561" i="1"/>
  <c r="M561" i="1" s="1"/>
  <c r="O561" i="1"/>
  <c r="P561" i="1" s="1"/>
  <c r="F561" i="1" l="1"/>
  <c r="D562" i="1" s="1"/>
  <c r="G561" i="1"/>
  <c r="B562" i="1" l="1"/>
  <c r="E562" i="1"/>
  <c r="C562" i="1"/>
  <c r="D542" i="3" s="1"/>
  <c r="K562" i="1" l="1"/>
  <c r="C542" i="3"/>
  <c r="H562" i="1"/>
  <c r="N562" i="1"/>
  <c r="I562" i="1"/>
  <c r="L562" i="1"/>
  <c r="M562" i="1" s="1"/>
  <c r="O562" i="1"/>
  <c r="P562" i="1" s="1"/>
  <c r="J562" i="1" l="1"/>
  <c r="F562" i="1" s="1"/>
  <c r="B563" i="1" s="1"/>
  <c r="C543" i="3" s="1"/>
  <c r="G562" i="1" l="1"/>
  <c r="C563" i="1" s="1"/>
  <c r="D543" i="3" s="1"/>
  <c r="D563" i="1"/>
  <c r="K563" i="1"/>
  <c r="N563" i="1"/>
  <c r="H563" i="1"/>
  <c r="E563" i="1" l="1"/>
  <c r="L563" i="1"/>
  <c r="M563" i="1" s="1"/>
  <c r="O563" i="1"/>
  <c r="P563" i="1" s="1"/>
  <c r="I563" i="1"/>
  <c r="J563" i="1" l="1"/>
  <c r="F563" i="1" s="1"/>
  <c r="D564" i="1" l="1"/>
  <c r="B564" i="1"/>
  <c r="C544" i="3" s="1"/>
  <c r="G563" i="1"/>
  <c r="E564" i="1" l="1"/>
  <c r="C564" i="1"/>
  <c r="D544" i="3" s="1"/>
  <c r="K564" i="1"/>
  <c r="N564" i="1"/>
  <c r="H564" i="1"/>
  <c r="L564" i="1" l="1"/>
  <c r="M564" i="1" s="1"/>
  <c r="O564" i="1"/>
  <c r="P564" i="1" s="1"/>
  <c r="I564" i="1"/>
  <c r="J564" i="1" l="1"/>
  <c r="F564" i="1" s="1"/>
  <c r="D565" i="1" l="1"/>
  <c r="B565" i="1"/>
  <c r="C545" i="3" s="1"/>
  <c r="G564" i="1"/>
  <c r="N565" i="1" l="1"/>
  <c r="H565" i="1"/>
  <c r="K565" i="1"/>
  <c r="E565" i="1"/>
  <c r="C565" i="1"/>
  <c r="D545" i="3" s="1"/>
  <c r="L565" i="1" l="1"/>
  <c r="M565" i="1" s="1"/>
  <c r="O565" i="1"/>
  <c r="P565" i="1" s="1"/>
  <c r="I565" i="1"/>
  <c r="J565" i="1" s="1"/>
  <c r="F565" i="1" l="1"/>
  <c r="B566" i="1" s="1"/>
  <c r="C546" i="3" s="1"/>
  <c r="G565" i="1"/>
  <c r="D566" i="1" l="1"/>
  <c r="C566" i="1"/>
  <c r="D546" i="3" s="1"/>
  <c r="E566" i="1"/>
  <c r="N566" i="1"/>
  <c r="H566" i="1"/>
  <c r="K566" i="1"/>
  <c r="O566" i="1" l="1"/>
  <c r="P566" i="1" s="1"/>
  <c r="I566" i="1"/>
  <c r="J566" i="1" s="1"/>
  <c r="L566" i="1"/>
  <c r="M566" i="1" s="1"/>
  <c r="F566" i="1" l="1"/>
  <c r="G566" i="1"/>
  <c r="E567" i="1" l="1"/>
  <c r="C567" i="1"/>
  <c r="D547" i="3" s="1"/>
  <c r="D567" i="1"/>
  <c r="B567" i="1"/>
  <c r="C547" i="3" s="1"/>
  <c r="O567" i="1" l="1"/>
  <c r="I567" i="1"/>
  <c r="L567" i="1"/>
  <c r="N567" i="1"/>
  <c r="H567" i="1"/>
  <c r="K567" i="1"/>
  <c r="M567" i="1" s="1"/>
  <c r="P567" i="1" l="1"/>
  <c r="J567" i="1"/>
  <c r="F567" i="1" l="1"/>
  <c r="D568" i="1" s="1"/>
  <c r="G567" i="1"/>
  <c r="B568" i="1" l="1"/>
  <c r="E568" i="1"/>
  <c r="C568" i="1"/>
  <c r="D548" i="3" s="1"/>
  <c r="H568" i="1" l="1"/>
  <c r="C548" i="3"/>
  <c r="N568" i="1"/>
  <c r="K568" i="1"/>
  <c r="O568" i="1"/>
  <c r="I568" i="1"/>
  <c r="J568" i="1" s="1"/>
  <c r="L568" i="1"/>
  <c r="M568" i="1" s="1"/>
  <c r="P568" i="1" l="1"/>
  <c r="F568" i="1" s="1"/>
  <c r="B569" i="1" s="1"/>
  <c r="C549" i="3" s="1"/>
  <c r="G568" i="1" l="1"/>
  <c r="E569" i="1" s="1"/>
  <c r="D569" i="1"/>
  <c r="H569" i="1"/>
  <c r="K569" i="1"/>
  <c r="N569" i="1"/>
  <c r="C569" i="1" l="1"/>
  <c r="I569" i="1" l="1"/>
  <c r="J569" i="1" s="1"/>
  <c r="D549" i="3"/>
  <c r="O569" i="1"/>
  <c r="P569" i="1" s="1"/>
  <c r="L569" i="1"/>
  <c r="M569" i="1" s="1"/>
  <c r="F569" i="1" l="1"/>
  <c r="D570" i="1" s="1"/>
  <c r="G569" i="1"/>
  <c r="C570" i="1" s="1"/>
  <c r="D550" i="3" s="1"/>
  <c r="B570" i="1" l="1"/>
  <c r="C550" i="3" s="1"/>
  <c r="E570" i="1"/>
  <c r="I570" i="1"/>
  <c r="L570" i="1"/>
  <c r="O570" i="1"/>
  <c r="K570" i="1" l="1"/>
  <c r="M570" i="1" s="1"/>
  <c r="N570" i="1"/>
  <c r="P570" i="1" s="1"/>
  <c r="H570" i="1"/>
  <c r="J570" i="1" s="1"/>
  <c r="F570" i="1" l="1"/>
  <c r="B571" i="1" s="1"/>
  <c r="C551" i="3" s="1"/>
  <c r="G570" i="1"/>
  <c r="E571" i="1" s="1"/>
  <c r="D571" i="1" l="1"/>
  <c r="C571" i="1"/>
  <c r="K571" i="1"/>
  <c r="N571" i="1"/>
  <c r="H571" i="1"/>
  <c r="L571" i="1" l="1"/>
  <c r="D551" i="3"/>
  <c r="O571" i="1"/>
  <c r="P571" i="1" s="1"/>
  <c r="I571" i="1"/>
  <c r="J571" i="1" s="1"/>
  <c r="M571" i="1"/>
  <c r="F571" i="1" l="1"/>
  <c r="B572" i="1" s="1"/>
  <c r="C552" i="3" s="1"/>
  <c r="G571" i="1"/>
  <c r="C572" i="1" s="1"/>
  <c r="D552" i="3" s="1"/>
  <c r="D572" i="1" l="1"/>
  <c r="E572" i="1"/>
  <c r="K572" i="1"/>
  <c r="N572" i="1"/>
  <c r="H572" i="1"/>
  <c r="L572" i="1"/>
  <c r="O572" i="1"/>
  <c r="I572" i="1"/>
  <c r="P572" i="1" l="1"/>
  <c r="J572" i="1"/>
  <c r="M572" i="1"/>
  <c r="G572" i="1" l="1"/>
  <c r="E573" i="1" s="1"/>
  <c r="F572" i="1"/>
  <c r="D573" i="1" s="1"/>
  <c r="C573" i="1" l="1"/>
  <c r="B573" i="1"/>
  <c r="N573" i="1" l="1"/>
  <c r="C553" i="3"/>
  <c r="L573" i="1"/>
  <c r="D553" i="3"/>
  <c r="I573" i="1"/>
  <c r="O573" i="1"/>
  <c r="P573" i="1" s="1"/>
  <c r="K573" i="1"/>
  <c r="M573" i="1" s="1"/>
  <c r="H573" i="1"/>
  <c r="J573" i="1" l="1"/>
  <c r="G573" i="1" s="1"/>
  <c r="E574" i="1" s="1"/>
  <c r="F573" i="1" l="1"/>
  <c r="B574" i="1" s="1"/>
  <c r="C574" i="1"/>
  <c r="O574" i="1" l="1"/>
  <c r="D554" i="3"/>
  <c r="H574" i="1"/>
  <c r="C554" i="3"/>
  <c r="N574" i="1"/>
  <c r="P574" i="1" s="1"/>
  <c r="K574" i="1"/>
  <c r="D574" i="1"/>
  <c r="L574" i="1"/>
  <c r="M574" i="1" s="1"/>
  <c r="I574" i="1"/>
  <c r="J574" i="1" l="1"/>
  <c r="F574" i="1" s="1"/>
  <c r="B575" i="1" s="1"/>
  <c r="C555" i="3" s="1"/>
  <c r="G574" i="1" l="1"/>
  <c r="C575" i="1" s="1"/>
  <c r="D555" i="3" s="1"/>
  <c r="D575" i="1"/>
  <c r="N575" i="1"/>
  <c r="H575" i="1"/>
  <c r="K575" i="1"/>
  <c r="E575" i="1" l="1"/>
  <c r="O575" i="1"/>
  <c r="P575" i="1" s="1"/>
  <c r="I575" i="1"/>
  <c r="L575" i="1"/>
  <c r="M575" i="1" s="1"/>
  <c r="J575" i="1" l="1"/>
  <c r="F575" i="1" s="1"/>
  <c r="D576" i="1" l="1"/>
  <c r="B576" i="1"/>
  <c r="C556" i="3" s="1"/>
  <c r="G575" i="1"/>
  <c r="H576" i="1" l="1"/>
  <c r="K576" i="1"/>
  <c r="N576" i="1"/>
  <c r="E576" i="1"/>
  <c r="C576" i="1"/>
  <c r="D556" i="3" s="1"/>
  <c r="O576" i="1" l="1"/>
  <c r="P576" i="1" s="1"/>
  <c r="I576" i="1"/>
  <c r="J576" i="1" s="1"/>
  <c r="L576" i="1"/>
  <c r="M576" i="1" s="1"/>
  <c r="F576" i="1" l="1"/>
  <c r="B577" i="1" s="1"/>
  <c r="C557" i="3" s="1"/>
  <c r="G576" i="1"/>
  <c r="D577" i="1" l="1"/>
  <c r="E577" i="1"/>
  <c r="C577" i="1"/>
  <c r="D557" i="3" s="1"/>
  <c r="H577" i="1"/>
  <c r="K577" i="1"/>
  <c r="N577" i="1"/>
  <c r="I577" i="1" l="1"/>
  <c r="J577" i="1" s="1"/>
  <c r="L577" i="1"/>
  <c r="M577" i="1" s="1"/>
  <c r="O577" i="1"/>
  <c r="P577" i="1" s="1"/>
  <c r="F577" i="1" l="1"/>
  <c r="G577" i="1"/>
  <c r="E578" i="1" l="1"/>
  <c r="C578" i="1"/>
  <c r="D558" i="3" s="1"/>
  <c r="D578" i="1"/>
  <c r="B578" i="1"/>
  <c r="C558" i="3" s="1"/>
  <c r="I578" i="1" l="1"/>
  <c r="L578" i="1"/>
  <c r="O578" i="1"/>
  <c r="K578" i="1"/>
  <c r="M578" i="1" s="1"/>
  <c r="N578" i="1"/>
  <c r="P578" i="1" s="1"/>
  <c r="H578" i="1"/>
  <c r="J578" i="1" l="1"/>
  <c r="F578" i="1" s="1"/>
  <c r="G578" i="1" l="1"/>
  <c r="E579" i="1" s="1"/>
  <c r="D579" i="1"/>
  <c r="B579" i="1"/>
  <c r="C559" i="3" s="1"/>
  <c r="C579" i="1" l="1"/>
  <c r="K579" i="1"/>
  <c r="N579" i="1"/>
  <c r="H579" i="1"/>
  <c r="L579" i="1" l="1"/>
  <c r="D559" i="3"/>
  <c r="M579" i="1"/>
  <c r="I579" i="1"/>
  <c r="O579" i="1"/>
  <c r="P579" i="1" s="1"/>
  <c r="J579" i="1"/>
  <c r="G579" i="1" l="1"/>
  <c r="E580" i="1" s="1"/>
  <c r="F579" i="1"/>
  <c r="D580" i="1" s="1"/>
  <c r="C580" i="1" l="1"/>
  <c r="B580" i="1"/>
  <c r="K580" i="1" l="1"/>
  <c r="C560" i="3"/>
  <c r="L580" i="1"/>
  <c r="D560" i="3"/>
  <c r="I580" i="1"/>
  <c r="O580" i="1"/>
  <c r="M580" i="1"/>
  <c r="H580" i="1"/>
  <c r="N580" i="1"/>
  <c r="P580" i="1" l="1"/>
  <c r="J580" i="1"/>
  <c r="F580" i="1" s="1"/>
  <c r="B581" i="1" s="1"/>
  <c r="C561" i="3" s="1"/>
  <c r="G580" i="1" l="1"/>
  <c r="E581" i="1" s="1"/>
  <c r="D581" i="1"/>
  <c r="N581" i="1"/>
  <c r="H581" i="1"/>
  <c r="K581" i="1"/>
  <c r="C581" i="1" l="1"/>
  <c r="D561" i="3" s="1"/>
  <c r="L581" i="1" l="1"/>
  <c r="M581" i="1" s="1"/>
  <c r="I581" i="1"/>
  <c r="J581" i="1" s="1"/>
  <c r="O581" i="1"/>
  <c r="P581" i="1" s="1"/>
  <c r="F581" i="1" l="1"/>
  <c r="D582" i="1" s="1"/>
  <c r="G581" i="1"/>
  <c r="E582" i="1" s="1"/>
  <c r="B582" i="1" l="1"/>
  <c r="C582" i="1"/>
  <c r="O582" i="1" l="1"/>
  <c r="D562" i="3"/>
  <c r="N582" i="1"/>
  <c r="C562" i="3"/>
  <c r="H582" i="1"/>
  <c r="K582" i="1"/>
  <c r="P582" i="1"/>
  <c r="I582" i="1"/>
  <c r="L582" i="1"/>
  <c r="M582" i="1" l="1"/>
  <c r="J582" i="1"/>
  <c r="G582" i="1" s="1"/>
  <c r="C583" i="1" s="1"/>
  <c r="D563" i="3" s="1"/>
  <c r="F582" i="1" l="1"/>
  <c r="D583" i="1" s="1"/>
  <c r="E583" i="1"/>
  <c r="O583" i="1"/>
  <c r="I583" i="1"/>
  <c r="L583" i="1"/>
  <c r="B583" i="1" l="1"/>
  <c r="N583" i="1" l="1"/>
  <c r="P583" i="1" s="1"/>
  <c r="C563" i="3"/>
  <c r="K583" i="1"/>
  <c r="M583" i="1" s="1"/>
  <c r="H583" i="1"/>
  <c r="J583" i="1" s="1"/>
  <c r="G583" i="1" l="1"/>
  <c r="E584" i="1" s="1"/>
  <c r="F583" i="1"/>
  <c r="C584" i="1" l="1"/>
  <c r="B584" i="1"/>
  <c r="C564" i="3" s="1"/>
  <c r="D584" i="1"/>
  <c r="O584" i="1" l="1"/>
  <c r="D564" i="3"/>
  <c r="L584" i="1"/>
  <c r="I584" i="1"/>
  <c r="H584" i="1"/>
  <c r="K584" i="1"/>
  <c r="N584" i="1"/>
  <c r="P584" i="1" s="1"/>
  <c r="M584" i="1" l="1"/>
  <c r="J584" i="1"/>
  <c r="G584" i="1" l="1"/>
  <c r="E585" i="1" s="1"/>
  <c r="F584" i="1"/>
  <c r="B585" i="1" s="1"/>
  <c r="C565" i="3" s="1"/>
  <c r="C585" i="1" l="1"/>
  <c r="D585" i="1"/>
  <c r="H585" i="1"/>
  <c r="K585" i="1"/>
  <c r="N585" i="1"/>
  <c r="I585" i="1" l="1"/>
  <c r="D565" i="3"/>
  <c r="O585" i="1"/>
  <c r="P585" i="1" s="1"/>
  <c r="L585" i="1"/>
  <c r="M585" i="1" s="1"/>
  <c r="J585" i="1"/>
  <c r="G585" i="1" l="1"/>
  <c r="E586" i="1" s="1"/>
  <c r="F585" i="1"/>
  <c r="D586" i="1" s="1"/>
  <c r="C586" i="1" l="1"/>
  <c r="B586" i="1"/>
  <c r="K586" i="1" l="1"/>
  <c r="C566" i="3"/>
  <c r="I586" i="1"/>
  <c r="D566" i="3"/>
  <c r="O586" i="1"/>
  <c r="L586" i="1"/>
  <c r="M586" i="1" s="1"/>
  <c r="H586" i="1"/>
  <c r="J586" i="1" s="1"/>
  <c r="N586" i="1"/>
  <c r="P586" i="1" l="1"/>
  <c r="G586" i="1" s="1"/>
  <c r="E587" i="1" l="1"/>
  <c r="C587" i="1"/>
  <c r="F586" i="1"/>
  <c r="B587" i="1" s="1"/>
  <c r="H587" i="1" l="1"/>
  <c r="C567" i="3"/>
  <c r="L587" i="1"/>
  <c r="D567" i="3"/>
  <c r="I587" i="1"/>
  <c r="J587" i="1" s="1"/>
  <c r="O587" i="1"/>
  <c r="N587" i="1"/>
  <c r="K587" i="1"/>
  <c r="M587" i="1" s="1"/>
  <c r="D587" i="1"/>
  <c r="P587" i="1" l="1"/>
  <c r="G587" i="1" s="1"/>
  <c r="E588" i="1" s="1"/>
  <c r="F587" i="1" l="1"/>
  <c r="B588" i="1" s="1"/>
  <c r="C588" i="1"/>
  <c r="L588" i="1" l="1"/>
  <c r="D568" i="3"/>
  <c r="K588" i="1"/>
  <c r="M588" i="1" s="1"/>
  <c r="C568" i="3"/>
  <c r="D588" i="1"/>
  <c r="H588" i="1"/>
  <c r="N588" i="1"/>
  <c r="O588" i="1"/>
  <c r="I588" i="1"/>
  <c r="J588" i="1" l="1"/>
  <c r="P588" i="1"/>
  <c r="F588" i="1" s="1"/>
  <c r="D589" i="1" s="1"/>
  <c r="G588" i="1"/>
  <c r="C589" i="1" s="1"/>
  <c r="D569" i="3" s="1"/>
  <c r="B589" i="1" l="1"/>
  <c r="E589" i="1"/>
  <c r="L589" i="1"/>
  <c r="O589" i="1"/>
  <c r="I589" i="1"/>
  <c r="N589" i="1" l="1"/>
  <c r="C569" i="3"/>
  <c r="K589" i="1"/>
  <c r="M589" i="1" s="1"/>
  <c r="H589" i="1"/>
  <c r="J589" i="1" s="1"/>
  <c r="P589" i="1"/>
  <c r="G589" i="1" l="1"/>
  <c r="E590" i="1" s="1"/>
  <c r="F589" i="1"/>
  <c r="C590" i="1" l="1"/>
  <c r="D590" i="1"/>
  <c r="B590" i="1"/>
  <c r="C570" i="3" s="1"/>
  <c r="O590" i="1" l="1"/>
  <c r="D570" i="3"/>
  <c r="L590" i="1"/>
  <c r="I590" i="1"/>
  <c r="N590" i="1"/>
  <c r="P590" i="1" s="1"/>
  <c r="H590" i="1"/>
  <c r="K590" i="1"/>
  <c r="M590" i="1" l="1"/>
  <c r="J590" i="1"/>
  <c r="G590" i="1" l="1"/>
  <c r="E591" i="1" s="1"/>
  <c r="F590" i="1"/>
  <c r="C591" i="1" l="1"/>
  <c r="B591" i="1"/>
  <c r="C571" i="3" s="1"/>
  <c r="D591" i="1"/>
  <c r="I591" i="1" l="1"/>
  <c r="D571" i="3"/>
  <c r="O591" i="1"/>
  <c r="L591" i="1"/>
  <c r="N591" i="1"/>
  <c r="H591" i="1"/>
  <c r="K591" i="1"/>
  <c r="M591" i="1" s="1"/>
  <c r="P591" i="1" l="1"/>
  <c r="J591" i="1"/>
  <c r="G591" i="1" l="1"/>
  <c r="C592" i="1" s="1"/>
  <c r="D572" i="3" s="1"/>
  <c r="F591" i="1"/>
  <c r="E592" i="1" l="1"/>
  <c r="B592" i="1"/>
  <c r="C572" i="3" s="1"/>
  <c r="D592" i="1"/>
  <c r="O592" i="1"/>
  <c r="I592" i="1"/>
  <c r="L592" i="1"/>
  <c r="H592" i="1" l="1"/>
  <c r="K592" i="1"/>
  <c r="M592" i="1" s="1"/>
  <c r="N592" i="1"/>
  <c r="P592" i="1" s="1"/>
  <c r="J592" i="1" l="1"/>
  <c r="G592" i="1" s="1"/>
  <c r="F592" i="1" l="1"/>
  <c r="D593" i="1" s="1"/>
  <c r="E593" i="1"/>
  <c r="C593" i="1"/>
  <c r="D573" i="3" s="1"/>
  <c r="B593" i="1" l="1"/>
  <c r="I593" i="1"/>
  <c r="L593" i="1"/>
  <c r="O593" i="1"/>
  <c r="H593" i="1" l="1"/>
  <c r="C573" i="3"/>
  <c r="N593" i="1"/>
  <c r="P593" i="1" s="1"/>
  <c r="K593" i="1"/>
  <c r="M593" i="1" s="1"/>
  <c r="J593" i="1"/>
  <c r="G593" i="1" l="1"/>
  <c r="C594" i="1" s="1"/>
  <c r="D574" i="3" s="1"/>
  <c r="F593" i="1"/>
  <c r="D594" i="1" s="1"/>
  <c r="B594" i="1" l="1"/>
  <c r="E594" i="1"/>
  <c r="I594" i="1"/>
  <c r="L594" i="1"/>
  <c r="O594" i="1"/>
  <c r="K594" i="1" l="1"/>
  <c r="C574" i="3"/>
  <c r="H594" i="1"/>
  <c r="J594" i="1" s="1"/>
  <c r="N594" i="1"/>
  <c r="P594" i="1" s="1"/>
  <c r="M594" i="1"/>
  <c r="G594" i="1" l="1"/>
  <c r="E595" i="1" s="1"/>
  <c r="F594" i="1"/>
  <c r="C595" i="1" l="1"/>
  <c r="D595" i="1"/>
  <c r="B595" i="1"/>
  <c r="C575" i="3" s="1"/>
  <c r="L595" i="1" l="1"/>
  <c r="D575" i="3"/>
  <c r="O595" i="1"/>
  <c r="I595" i="1"/>
  <c r="K595" i="1"/>
  <c r="M595" i="1" s="1"/>
  <c r="N595" i="1"/>
  <c r="H595" i="1"/>
  <c r="P595" i="1" l="1"/>
  <c r="J595" i="1"/>
  <c r="F595" i="1" l="1"/>
  <c r="B596" i="1" s="1"/>
  <c r="C576" i="3" s="1"/>
  <c r="G595" i="1"/>
  <c r="C596" i="1" s="1"/>
  <c r="D576" i="3" s="1"/>
  <c r="D596" i="1" l="1"/>
  <c r="E596" i="1"/>
  <c r="L596" i="1"/>
  <c r="O596" i="1"/>
  <c r="I596" i="1"/>
  <c r="K596" i="1"/>
  <c r="N596" i="1"/>
  <c r="H596" i="1"/>
  <c r="M596" i="1" l="1"/>
  <c r="P596" i="1"/>
  <c r="J596" i="1"/>
  <c r="G596" i="1" l="1"/>
  <c r="E597" i="1" s="1"/>
  <c r="F596" i="1"/>
  <c r="C597" i="1" l="1"/>
  <c r="B597" i="1"/>
  <c r="C577" i="3" s="1"/>
  <c r="D597" i="1"/>
  <c r="L597" i="1" l="1"/>
  <c r="D577" i="3"/>
  <c r="I597" i="1"/>
  <c r="O597" i="1"/>
  <c r="N597" i="1"/>
  <c r="H597" i="1"/>
  <c r="K597" i="1"/>
  <c r="M597" i="1" s="1"/>
  <c r="P597" i="1" l="1"/>
  <c r="J597" i="1"/>
  <c r="G597" i="1" s="1"/>
  <c r="C598" i="1" l="1"/>
  <c r="D578" i="3" s="1"/>
  <c r="E598" i="1"/>
  <c r="F597" i="1"/>
  <c r="B598" i="1" l="1"/>
  <c r="C578" i="3" s="1"/>
  <c r="D598" i="1"/>
  <c r="O598" i="1"/>
  <c r="I598" i="1"/>
  <c r="L598" i="1"/>
  <c r="N598" i="1" l="1"/>
  <c r="P598" i="1" s="1"/>
  <c r="H598" i="1"/>
  <c r="K598" i="1"/>
  <c r="M598" i="1" s="1"/>
  <c r="J598" i="1" l="1"/>
  <c r="G598" i="1" s="1"/>
  <c r="E599" i="1" l="1"/>
  <c r="C599" i="1"/>
  <c r="D579" i="3" s="1"/>
  <c r="F598" i="1"/>
  <c r="D599" i="1" l="1"/>
  <c r="B599" i="1"/>
  <c r="C579" i="3" s="1"/>
  <c r="O599" i="1"/>
  <c r="I599" i="1"/>
  <c r="L599" i="1"/>
  <c r="N599" i="1" l="1"/>
  <c r="P599" i="1" s="1"/>
  <c r="H599" i="1"/>
  <c r="K599" i="1"/>
  <c r="M599" i="1" s="1"/>
  <c r="J599" i="1" l="1"/>
  <c r="G599" i="1" s="1"/>
  <c r="C600" i="1" l="1"/>
  <c r="D580" i="3" s="1"/>
  <c r="E600" i="1"/>
  <c r="F599" i="1"/>
  <c r="B600" i="1" l="1"/>
  <c r="C580" i="3" s="1"/>
  <c r="D600" i="1"/>
  <c r="O600" i="1"/>
  <c r="I600" i="1"/>
  <c r="L600" i="1"/>
  <c r="H600" i="1" l="1"/>
  <c r="K600" i="1"/>
  <c r="M600" i="1" s="1"/>
  <c r="N600" i="1"/>
  <c r="P600" i="1" s="1"/>
  <c r="J600" i="1" l="1"/>
  <c r="G600" i="1" s="1"/>
  <c r="F600" i="1" l="1"/>
  <c r="D601" i="1" s="1"/>
  <c r="E601" i="1"/>
  <c r="C601" i="1"/>
  <c r="D581" i="3" s="1"/>
  <c r="B601" i="1" l="1"/>
  <c r="I601" i="1"/>
  <c r="L601" i="1"/>
  <c r="O601" i="1"/>
  <c r="H601" i="1" l="1"/>
  <c r="C581" i="3"/>
  <c r="K601" i="1"/>
  <c r="M601" i="1" s="1"/>
  <c r="N601" i="1"/>
  <c r="P601" i="1" s="1"/>
  <c r="J601" i="1"/>
  <c r="F601" i="1" l="1"/>
  <c r="D602" i="1" s="1"/>
  <c r="G601" i="1"/>
  <c r="C602" i="1" s="1"/>
  <c r="D582" i="3" s="1"/>
  <c r="B602" i="1" l="1"/>
  <c r="E602" i="1"/>
  <c r="I602" i="1"/>
  <c r="L602" i="1"/>
  <c r="O602" i="1"/>
  <c r="N602" i="1" l="1"/>
  <c r="C582" i="3"/>
  <c r="P602" i="1"/>
  <c r="K602" i="1"/>
  <c r="M602" i="1" s="1"/>
  <c r="H602" i="1"/>
  <c r="J602" i="1" s="1"/>
  <c r="G602" i="1" l="1"/>
  <c r="E603" i="1" s="1"/>
  <c r="F602" i="1"/>
  <c r="B603" i="1" s="1"/>
  <c r="C583" i="3" s="1"/>
  <c r="C603" i="1" l="1"/>
  <c r="D603" i="1"/>
  <c r="K603" i="1"/>
  <c r="N603" i="1"/>
  <c r="H603" i="1"/>
  <c r="L603" i="1" l="1"/>
  <c r="D583" i="3"/>
  <c r="I603" i="1"/>
  <c r="J603" i="1" s="1"/>
  <c r="O603" i="1"/>
  <c r="P603" i="1" s="1"/>
  <c r="M603" i="1"/>
  <c r="F603" i="1" l="1"/>
  <c r="B604" i="1" s="1"/>
  <c r="C584" i="3" s="1"/>
  <c r="G603" i="1"/>
  <c r="D604" i="1" l="1"/>
  <c r="E604" i="1"/>
  <c r="C604" i="1"/>
  <c r="D584" i="3" s="1"/>
  <c r="K604" i="1"/>
  <c r="N604" i="1"/>
  <c r="H604" i="1"/>
  <c r="L604" i="1" l="1"/>
  <c r="M604" i="1" s="1"/>
  <c r="O604" i="1"/>
  <c r="P604" i="1" s="1"/>
  <c r="I604" i="1"/>
  <c r="J604" i="1" l="1"/>
  <c r="F604" i="1" s="1"/>
  <c r="D605" i="1" l="1"/>
  <c r="B605" i="1"/>
  <c r="C585" i="3" s="1"/>
  <c r="G604" i="1"/>
  <c r="N605" i="1" l="1"/>
  <c r="H605" i="1"/>
  <c r="K605" i="1"/>
  <c r="E605" i="1"/>
  <c r="C605" i="1"/>
  <c r="D585" i="3" s="1"/>
  <c r="L605" i="1" l="1"/>
  <c r="M605" i="1" s="1"/>
  <c r="O605" i="1"/>
  <c r="P605" i="1" s="1"/>
  <c r="I605" i="1"/>
  <c r="J605" i="1" s="1"/>
  <c r="F605" i="1" l="1"/>
  <c r="B606" i="1" s="1"/>
  <c r="C586" i="3" s="1"/>
  <c r="G605" i="1"/>
  <c r="D606" i="1" l="1"/>
  <c r="E606" i="1"/>
  <c r="C606" i="1"/>
  <c r="D586" i="3" s="1"/>
  <c r="N606" i="1"/>
  <c r="H606" i="1"/>
  <c r="K606" i="1"/>
  <c r="O606" i="1" l="1"/>
  <c r="P606" i="1" s="1"/>
  <c r="I606" i="1"/>
  <c r="L606" i="1"/>
  <c r="M606" i="1" s="1"/>
  <c r="J606" i="1" l="1"/>
  <c r="F606" i="1" s="1"/>
  <c r="D607" i="1" l="1"/>
  <c r="B607" i="1"/>
  <c r="C587" i="3" s="1"/>
  <c r="G606" i="1"/>
  <c r="E607" i="1" l="1"/>
  <c r="C607" i="1"/>
  <c r="D587" i="3" s="1"/>
  <c r="N607" i="1"/>
  <c r="H607" i="1"/>
  <c r="K607" i="1"/>
  <c r="O607" i="1" l="1"/>
  <c r="P607" i="1" s="1"/>
  <c r="I607" i="1"/>
  <c r="L607" i="1"/>
  <c r="M607" i="1" s="1"/>
  <c r="J607" i="1" l="1"/>
  <c r="F607" i="1" s="1"/>
  <c r="B608" i="1" l="1"/>
  <c r="C588" i="3" s="1"/>
  <c r="D608" i="1"/>
  <c r="G607" i="1"/>
  <c r="E608" i="1" l="1"/>
  <c r="C608" i="1"/>
  <c r="D588" i="3" s="1"/>
  <c r="H608" i="1"/>
  <c r="K608" i="1"/>
  <c r="N608" i="1"/>
  <c r="O608" i="1" l="1"/>
  <c r="P608" i="1" s="1"/>
  <c r="I608" i="1"/>
  <c r="L608" i="1"/>
  <c r="M608" i="1" s="1"/>
  <c r="J608" i="1" l="1"/>
  <c r="F608" i="1" s="1"/>
  <c r="B609" i="1" l="1"/>
  <c r="C589" i="3" s="1"/>
  <c r="D609" i="1"/>
  <c r="G608" i="1"/>
  <c r="E609" i="1" l="1"/>
  <c r="C609" i="1"/>
  <c r="D589" i="3" s="1"/>
  <c r="H609" i="1"/>
  <c r="K609" i="1"/>
  <c r="N609" i="1"/>
  <c r="I609" i="1" l="1"/>
  <c r="J609" i="1" s="1"/>
  <c r="L609" i="1"/>
  <c r="M609" i="1" s="1"/>
  <c r="O609" i="1"/>
  <c r="P609" i="1" s="1"/>
  <c r="F609" i="1" l="1"/>
  <c r="G609" i="1"/>
  <c r="E610" i="1" l="1"/>
  <c r="C610" i="1"/>
  <c r="D590" i="3" s="1"/>
  <c r="D610" i="1"/>
  <c r="B610" i="1"/>
  <c r="C590" i="3" s="1"/>
  <c r="K610" i="1" l="1"/>
  <c r="N610" i="1"/>
  <c r="H610" i="1"/>
  <c r="I610" i="1"/>
  <c r="L610" i="1"/>
  <c r="O610" i="1"/>
  <c r="P610" i="1" l="1"/>
  <c r="J610" i="1"/>
  <c r="M610" i="1"/>
  <c r="F610" i="1" l="1"/>
  <c r="B611" i="1" s="1"/>
  <c r="C591" i="3" s="1"/>
  <c r="G610" i="1"/>
  <c r="D611" i="1" l="1"/>
  <c r="E611" i="1"/>
  <c r="C611" i="1"/>
  <c r="D591" i="3" s="1"/>
  <c r="K611" i="1"/>
  <c r="N611" i="1"/>
  <c r="H611" i="1"/>
  <c r="L611" i="1" l="1"/>
  <c r="M611" i="1" s="1"/>
  <c r="O611" i="1"/>
  <c r="P611" i="1" s="1"/>
  <c r="I611" i="1"/>
  <c r="J611" i="1" l="1"/>
  <c r="F611" i="1" s="1"/>
  <c r="D612" i="1" l="1"/>
  <c r="B612" i="1"/>
  <c r="C592" i="3" s="1"/>
  <c r="G611" i="1"/>
  <c r="K612" i="1" l="1"/>
  <c r="N612" i="1"/>
  <c r="H612" i="1"/>
  <c r="E612" i="1"/>
  <c r="C612" i="1"/>
  <c r="D592" i="3" s="1"/>
  <c r="L612" i="1" l="1"/>
  <c r="M612" i="1" s="1"/>
  <c r="O612" i="1"/>
  <c r="P612" i="1" s="1"/>
  <c r="I612" i="1"/>
  <c r="J612" i="1" s="1"/>
  <c r="F612" i="1" l="1"/>
  <c r="B613" i="1" s="1"/>
  <c r="C593" i="3" s="1"/>
  <c r="G612" i="1"/>
  <c r="D613" i="1" l="1"/>
  <c r="E613" i="1"/>
  <c r="C613" i="1"/>
  <c r="D593" i="3" s="1"/>
  <c r="N613" i="1"/>
  <c r="H613" i="1"/>
  <c r="K613" i="1"/>
  <c r="L613" i="1" l="1"/>
  <c r="M613" i="1" s="1"/>
  <c r="O613" i="1"/>
  <c r="P613" i="1" s="1"/>
  <c r="I613" i="1"/>
  <c r="J613" i="1" l="1"/>
  <c r="F613" i="1" s="1"/>
  <c r="D614" i="1" l="1"/>
  <c r="B614" i="1"/>
  <c r="C594" i="3" s="1"/>
  <c r="G613" i="1"/>
  <c r="E614" i="1" l="1"/>
  <c r="C614" i="1"/>
  <c r="D594" i="3" s="1"/>
  <c r="N614" i="1"/>
  <c r="H614" i="1"/>
  <c r="K614" i="1"/>
  <c r="O614" i="1" l="1"/>
  <c r="P614" i="1" s="1"/>
  <c r="I614" i="1"/>
  <c r="L614" i="1"/>
  <c r="M614" i="1" s="1"/>
  <c r="J614" i="1" l="1"/>
  <c r="F614" i="1" s="1"/>
  <c r="B615" i="1" l="1"/>
  <c r="C595" i="3" s="1"/>
  <c r="D615" i="1"/>
  <c r="G614" i="1"/>
  <c r="E615" i="1" l="1"/>
  <c r="C615" i="1"/>
  <c r="D595" i="3" s="1"/>
  <c r="N615" i="1"/>
  <c r="H615" i="1"/>
  <c r="K615" i="1"/>
  <c r="O615" i="1" l="1"/>
  <c r="P615" i="1" s="1"/>
  <c r="I615" i="1"/>
  <c r="J615" i="1" s="1"/>
  <c r="L615" i="1"/>
  <c r="M615" i="1" s="1"/>
  <c r="F615" i="1" l="1"/>
  <c r="G615" i="1"/>
  <c r="E616" i="1" l="1"/>
  <c r="C616" i="1"/>
  <c r="D596" i="3" s="1"/>
  <c r="D616" i="1"/>
  <c r="B616" i="1"/>
  <c r="C596" i="3" s="1"/>
  <c r="H616" i="1" l="1"/>
  <c r="K616" i="1"/>
  <c r="N616" i="1"/>
  <c r="O616" i="1"/>
  <c r="I616" i="1"/>
  <c r="L616" i="1"/>
  <c r="M616" i="1" l="1"/>
  <c r="P616" i="1"/>
  <c r="J616" i="1"/>
  <c r="F616" i="1" l="1"/>
  <c r="D617" i="1" s="1"/>
  <c r="G616" i="1"/>
  <c r="E617" i="1" s="1"/>
  <c r="B617" i="1" l="1"/>
  <c r="C617" i="1"/>
  <c r="I617" i="1" l="1"/>
  <c r="D597" i="3"/>
  <c r="H617" i="1"/>
  <c r="J617" i="1" s="1"/>
  <c r="C597" i="3"/>
  <c r="K617" i="1"/>
  <c r="N617" i="1"/>
  <c r="O617" i="1"/>
  <c r="L617" i="1"/>
  <c r="P617" i="1" l="1"/>
  <c r="M617" i="1"/>
  <c r="G617" i="1" l="1"/>
  <c r="E618" i="1" s="1"/>
  <c r="F617" i="1"/>
  <c r="B618" i="1" s="1"/>
  <c r="H618" i="1" l="1"/>
  <c r="C598" i="3"/>
  <c r="C618" i="1"/>
  <c r="D598" i="3" s="1"/>
  <c r="N618" i="1"/>
  <c r="K618" i="1"/>
  <c r="D618" i="1"/>
  <c r="I618" i="1" l="1"/>
  <c r="J618" i="1" s="1"/>
  <c r="O618" i="1"/>
  <c r="P618" i="1" s="1"/>
  <c r="L618" i="1"/>
  <c r="M618" i="1" s="1"/>
  <c r="F618" i="1" l="1"/>
  <c r="B619" i="1" s="1"/>
  <c r="G618" i="1"/>
  <c r="C619" i="1" s="1"/>
  <c r="O619" i="1" l="1"/>
  <c r="D599" i="3"/>
  <c r="K619" i="1"/>
  <c r="C599" i="3"/>
  <c r="N619" i="1"/>
  <c r="P619" i="1" s="1"/>
  <c r="H619" i="1"/>
  <c r="D619" i="1"/>
  <c r="L619" i="1"/>
  <c r="M619" i="1" s="1"/>
  <c r="I619" i="1"/>
  <c r="E619" i="1"/>
  <c r="J619" i="1" l="1"/>
  <c r="F619" i="1" s="1"/>
  <c r="G619" i="1" l="1"/>
  <c r="E620" i="1" s="1"/>
  <c r="B620" i="1"/>
  <c r="C600" i="3" s="1"/>
  <c r="D620" i="1"/>
  <c r="C620" i="1" l="1"/>
  <c r="K620" i="1"/>
  <c r="N620" i="1"/>
  <c r="H620" i="1"/>
  <c r="L620" i="1" l="1"/>
  <c r="D600" i="3"/>
  <c r="O620" i="1"/>
  <c r="P620" i="1" s="1"/>
  <c r="M620" i="1"/>
  <c r="I620" i="1"/>
  <c r="J620" i="1" s="1"/>
  <c r="G620" i="1" l="1"/>
  <c r="C621" i="1" s="1"/>
  <c r="D601" i="3" s="1"/>
  <c r="F620" i="1"/>
  <c r="E621" i="1" l="1"/>
  <c r="B621" i="1"/>
  <c r="C601" i="3" s="1"/>
  <c r="D621" i="1"/>
  <c r="L621" i="1"/>
  <c r="O621" i="1"/>
  <c r="I621" i="1"/>
  <c r="N621" i="1" l="1"/>
  <c r="P621" i="1" s="1"/>
  <c r="H621" i="1"/>
  <c r="K621" i="1"/>
  <c r="M621" i="1" s="1"/>
  <c r="J621" i="1" l="1"/>
  <c r="G621" i="1" s="1"/>
  <c r="E622" i="1" l="1"/>
  <c r="C622" i="1"/>
  <c r="D602" i="3" s="1"/>
  <c r="F621" i="1"/>
  <c r="O622" i="1" l="1"/>
  <c r="I622" i="1"/>
  <c r="L622" i="1"/>
  <c r="D622" i="1"/>
  <c r="B622" i="1"/>
  <c r="C602" i="3" s="1"/>
  <c r="N622" i="1" l="1"/>
  <c r="P622" i="1" s="1"/>
  <c r="H622" i="1"/>
  <c r="K622" i="1"/>
  <c r="M622" i="1" s="1"/>
  <c r="J622" i="1" l="1"/>
  <c r="G622" i="1" s="1"/>
  <c r="C623" i="1" l="1"/>
  <c r="D603" i="3" s="1"/>
  <c r="E623" i="1"/>
  <c r="F622" i="1"/>
  <c r="B623" i="1" l="1"/>
  <c r="C603" i="3" s="1"/>
  <c r="D623" i="1"/>
  <c r="O623" i="1"/>
  <c r="I623" i="1"/>
  <c r="L623" i="1"/>
  <c r="N623" i="1" l="1"/>
  <c r="P623" i="1" s="1"/>
  <c r="H623" i="1"/>
  <c r="K623" i="1"/>
  <c r="M623" i="1" s="1"/>
  <c r="J623" i="1" l="1"/>
  <c r="G623" i="1" s="1"/>
  <c r="E624" i="1" l="1"/>
  <c r="C624" i="1"/>
  <c r="D604" i="3" s="1"/>
  <c r="F623" i="1"/>
  <c r="O624" i="1" l="1"/>
  <c r="I624" i="1"/>
  <c r="L624" i="1"/>
  <c r="D624" i="1"/>
  <c r="B624" i="1"/>
  <c r="C604" i="3" s="1"/>
  <c r="H624" i="1" l="1"/>
  <c r="K624" i="1"/>
  <c r="M624" i="1" s="1"/>
  <c r="N624" i="1"/>
  <c r="P624" i="1" s="1"/>
  <c r="J624" i="1" l="1"/>
  <c r="G624" i="1" s="1"/>
  <c r="F624" i="1" l="1"/>
  <c r="B625" i="1" s="1"/>
  <c r="C605" i="3" s="1"/>
  <c r="C625" i="1"/>
  <c r="D605" i="3" s="1"/>
  <c r="E625" i="1"/>
  <c r="D625" i="1" l="1"/>
  <c r="I625" i="1"/>
  <c r="L625" i="1"/>
  <c r="O625" i="1"/>
  <c r="H625" i="1"/>
  <c r="K625" i="1"/>
  <c r="N625" i="1"/>
  <c r="J625" i="1" l="1"/>
  <c r="P625" i="1"/>
  <c r="M625" i="1"/>
  <c r="F625" i="1" l="1"/>
  <c r="D626" i="1" s="1"/>
  <c r="G625" i="1"/>
  <c r="E626" i="1" s="1"/>
  <c r="B626" i="1" l="1"/>
  <c r="C626" i="1"/>
  <c r="I626" i="1" l="1"/>
  <c r="D606" i="3"/>
  <c r="K626" i="1"/>
  <c r="C606" i="3"/>
  <c r="H626" i="1"/>
  <c r="J626" i="1" s="1"/>
  <c r="N626" i="1"/>
  <c r="O626" i="1"/>
  <c r="L626" i="1"/>
  <c r="M626" i="1" s="1"/>
  <c r="P626" i="1" l="1"/>
  <c r="F626" i="1" s="1"/>
  <c r="D627" i="1" s="1"/>
  <c r="G626" i="1" l="1"/>
  <c r="E627" i="1" s="1"/>
  <c r="B627" i="1"/>
  <c r="K627" i="1" l="1"/>
  <c r="C607" i="3"/>
  <c r="C627" i="1"/>
  <c r="H627" i="1"/>
  <c r="N627" i="1"/>
  <c r="L627" i="1" l="1"/>
  <c r="M627" i="1" s="1"/>
  <c r="D607" i="3"/>
  <c r="I627" i="1"/>
  <c r="J627" i="1" s="1"/>
  <c r="O627" i="1"/>
  <c r="P627" i="1" s="1"/>
  <c r="F627" i="1" l="1"/>
  <c r="B628" i="1" s="1"/>
  <c r="C608" i="3" s="1"/>
  <c r="G627" i="1"/>
  <c r="D628" i="1" l="1"/>
  <c r="C628" i="1"/>
  <c r="D608" i="3" s="1"/>
  <c r="E628" i="1"/>
  <c r="K628" i="1"/>
  <c r="N628" i="1"/>
  <c r="H628" i="1"/>
  <c r="L628" i="1" l="1"/>
  <c r="M628" i="1" s="1"/>
  <c r="O628" i="1"/>
  <c r="P628" i="1" s="1"/>
  <c r="I628" i="1"/>
  <c r="J628" i="1" s="1"/>
  <c r="F628" i="1" l="1"/>
  <c r="G628" i="1"/>
  <c r="C629" i="1" l="1"/>
  <c r="D609" i="3" s="1"/>
  <c r="E629" i="1"/>
  <c r="D629" i="1"/>
  <c r="B629" i="1"/>
  <c r="C609" i="3" s="1"/>
  <c r="N629" i="1" l="1"/>
  <c r="H629" i="1"/>
  <c r="K629" i="1"/>
  <c r="L629" i="1"/>
  <c r="O629" i="1"/>
  <c r="I629" i="1"/>
  <c r="P629" i="1" l="1"/>
  <c r="M629" i="1"/>
  <c r="J629" i="1"/>
  <c r="G629" i="1" l="1"/>
  <c r="E630" i="1" s="1"/>
  <c r="F629" i="1"/>
  <c r="D630" i="1" s="1"/>
  <c r="C630" i="1" l="1"/>
  <c r="B630" i="1"/>
  <c r="N630" i="1" l="1"/>
  <c r="C610" i="3"/>
  <c r="O630" i="1"/>
  <c r="D610" i="3"/>
  <c r="L630" i="1"/>
  <c r="I630" i="1"/>
  <c r="P630" i="1"/>
  <c r="K630" i="1"/>
  <c r="H630" i="1"/>
  <c r="J630" i="1" l="1"/>
  <c r="M630" i="1"/>
  <c r="G630" i="1" s="1"/>
  <c r="E631" i="1" s="1"/>
  <c r="F630" i="1" l="1"/>
  <c r="D631" i="1" s="1"/>
  <c r="C631" i="1"/>
  <c r="O631" i="1" l="1"/>
  <c r="D611" i="3"/>
  <c r="B631" i="1"/>
  <c r="I631" i="1"/>
  <c r="L631" i="1"/>
  <c r="N631" i="1" l="1"/>
  <c r="P631" i="1" s="1"/>
  <c r="C611" i="3"/>
  <c r="K631" i="1"/>
  <c r="M631" i="1" s="1"/>
  <c r="H631" i="1"/>
  <c r="J631" i="1" s="1"/>
  <c r="G631" i="1" l="1"/>
  <c r="C632" i="1" s="1"/>
  <c r="D612" i="3" s="1"/>
  <c r="F631" i="1"/>
  <c r="E632" i="1" l="1"/>
  <c r="D632" i="1"/>
  <c r="B632" i="1"/>
  <c r="C612" i="3" s="1"/>
  <c r="O632" i="1"/>
  <c r="I632" i="1"/>
  <c r="L632" i="1"/>
  <c r="H632" i="1" l="1"/>
  <c r="K632" i="1"/>
  <c r="M632" i="1" s="1"/>
  <c r="N632" i="1"/>
  <c r="P632" i="1" s="1"/>
  <c r="J632" i="1" l="1"/>
  <c r="G632" i="1" s="1"/>
  <c r="F632" i="1" l="1"/>
  <c r="B633" i="1" s="1"/>
  <c r="C613" i="3" s="1"/>
  <c r="E633" i="1"/>
  <c r="C633" i="1"/>
  <c r="D613" i="3" s="1"/>
  <c r="D633" i="1" l="1"/>
  <c r="I633" i="1"/>
  <c r="L633" i="1"/>
  <c r="O633" i="1"/>
  <c r="H633" i="1"/>
  <c r="K633" i="1"/>
  <c r="N633" i="1"/>
  <c r="J633" i="1" l="1"/>
  <c r="P633" i="1"/>
  <c r="M633" i="1"/>
  <c r="G633" i="1" l="1"/>
  <c r="C634" i="1" s="1"/>
  <c r="D614" i="3" s="1"/>
  <c r="F633" i="1"/>
  <c r="D634" i="1" s="1"/>
  <c r="E634" i="1" l="1"/>
  <c r="B634" i="1"/>
  <c r="I634" i="1"/>
  <c r="L634" i="1"/>
  <c r="O634" i="1"/>
  <c r="K634" i="1" l="1"/>
  <c r="C614" i="3"/>
  <c r="H634" i="1"/>
  <c r="J634" i="1" s="1"/>
  <c r="N634" i="1"/>
  <c r="P634" i="1" s="1"/>
  <c r="M634" i="1"/>
  <c r="G634" i="1" l="1"/>
  <c r="E635" i="1" s="1"/>
  <c r="F634" i="1"/>
  <c r="C635" i="1" l="1"/>
  <c r="D635" i="1"/>
  <c r="B635" i="1"/>
  <c r="C615" i="3" s="1"/>
  <c r="L635" i="1" l="1"/>
  <c r="D615" i="3"/>
  <c r="I635" i="1"/>
  <c r="O635" i="1"/>
  <c r="K635" i="1"/>
  <c r="N635" i="1"/>
  <c r="H635" i="1"/>
  <c r="M635" i="1" l="1"/>
  <c r="P635" i="1"/>
  <c r="J635" i="1"/>
  <c r="G635" i="1" l="1"/>
  <c r="E636" i="1" s="1"/>
  <c r="F635" i="1"/>
  <c r="B636" i="1" s="1"/>
  <c r="C616" i="3" s="1"/>
  <c r="C636" i="1" l="1"/>
  <c r="D636" i="1"/>
  <c r="K636" i="1"/>
  <c r="N636" i="1"/>
  <c r="H636" i="1"/>
  <c r="L636" i="1" l="1"/>
  <c r="D616" i="3"/>
  <c r="I636" i="1"/>
  <c r="O636" i="1"/>
  <c r="P636" i="1" s="1"/>
  <c r="M636" i="1"/>
  <c r="J636" i="1"/>
  <c r="G636" i="1" l="1"/>
  <c r="E637" i="1" s="1"/>
  <c r="F636" i="1"/>
  <c r="C637" i="1" l="1"/>
  <c r="D637" i="1"/>
  <c r="B637" i="1"/>
  <c r="C617" i="3" s="1"/>
  <c r="L637" i="1" l="1"/>
  <c r="D617" i="3"/>
  <c r="O637" i="1"/>
  <c r="I637" i="1"/>
  <c r="N637" i="1"/>
  <c r="H637" i="1"/>
  <c r="K637" i="1"/>
  <c r="M637" i="1" s="1"/>
  <c r="P637" i="1" l="1"/>
  <c r="J637" i="1"/>
  <c r="G637" i="1" l="1"/>
  <c r="C638" i="1" s="1"/>
  <c r="D618" i="3" s="1"/>
  <c r="F637" i="1"/>
  <c r="E638" i="1" l="1"/>
  <c r="B638" i="1"/>
  <c r="C618" i="3" s="1"/>
  <c r="D638" i="1"/>
  <c r="O638" i="1"/>
  <c r="I638" i="1"/>
  <c r="L638" i="1"/>
  <c r="N638" i="1" l="1"/>
  <c r="P638" i="1" s="1"/>
  <c r="H638" i="1"/>
  <c r="K638" i="1"/>
  <c r="M638" i="1" s="1"/>
  <c r="J638" i="1" l="1"/>
  <c r="G638" i="1" s="1"/>
  <c r="E639" i="1" l="1"/>
  <c r="C639" i="1"/>
  <c r="D619" i="3" s="1"/>
  <c r="F638" i="1"/>
  <c r="O639" i="1" l="1"/>
  <c r="I639" i="1"/>
  <c r="L639" i="1"/>
  <c r="D639" i="1"/>
  <c r="B639" i="1"/>
  <c r="C619" i="3" s="1"/>
  <c r="N639" i="1" l="1"/>
  <c r="P639" i="1" s="1"/>
  <c r="H639" i="1"/>
  <c r="K639" i="1"/>
  <c r="M639" i="1" s="1"/>
  <c r="J639" i="1" l="1"/>
  <c r="G639" i="1" s="1"/>
  <c r="C640" i="1" l="1"/>
  <c r="D620" i="3" s="1"/>
  <c r="E640" i="1"/>
  <c r="F639" i="1"/>
  <c r="D640" i="1" l="1"/>
  <c r="B640" i="1"/>
  <c r="C620" i="3" s="1"/>
  <c r="O640" i="1"/>
  <c r="I640" i="1"/>
  <c r="L640" i="1"/>
  <c r="H640" i="1" l="1"/>
  <c r="K640" i="1"/>
  <c r="M640" i="1" s="1"/>
  <c r="N640" i="1"/>
  <c r="P640" i="1" s="1"/>
  <c r="J640" i="1" l="1"/>
  <c r="G640" i="1" s="1"/>
  <c r="F640" i="1" l="1"/>
  <c r="B641" i="1" s="1"/>
  <c r="C621" i="3" s="1"/>
  <c r="E641" i="1"/>
  <c r="C641" i="1"/>
  <c r="D621" i="3" s="1"/>
  <c r="D641" i="1" l="1"/>
  <c r="I641" i="1"/>
  <c r="L641" i="1"/>
  <c r="O641" i="1"/>
  <c r="H641" i="1"/>
  <c r="K641" i="1"/>
  <c r="N641" i="1"/>
  <c r="P641" i="1" l="1"/>
  <c r="J641" i="1"/>
  <c r="M641" i="1"/>
  <c r="G641" i="1" l="1"/>
  <c r="C642" i="1" s="1"/>
  <c r="D622" i="3" s="1"/>
  <c r="F641" i="1"/>
  <c r="D642" i="1" s="1"/>
  <c r="E642" i="1" l="1"/>
  <c r="B642" i="1"/>
  <c r="I642" i="1"/>
  <c r="L642" i="1"/>
  <c r="O642" i="1"/>
  <c r="K642" i="1" l="1"/>
  <c r="C622" i="3"/>
  <c r="H642" i="1"/>
  <c r="J642" i="1" s="1"/>
  <c r="N642" i="1"/>
  <c r="P642" i="1" s="1"/>
  <c r="M642" i="1"/>
  <c r="G642" i="1" l="1"/>
  <c r="E643" i="1" s="1"/>
  <c r="F642" i="1"/>
  <c r="D643" i="1" s="1"/>
  <c r="C643" i="1" l="1"/>
  <c r="B643" i="1"/>
  <c r="K643" i="1" l="1"/>
  <c r="C623" i="3"/>
  <c r="L643" i="1"/>
  <c r="M643" i="1" s="1"/>
  <c r="D623" i="3"/>
  <c r="O643" i="1"/>
  <c r="I643" i="1"/>
  <c r="H643" i="1"/>
  <c r="N643" i="1"/>
  <c r="J643" i="1" l="1"/>
  <c r="P643" i="1"/>
  <c r="G643" i="1" l="1"/>
  <c r="E644" i="1" s="1"/>
  <c r="F643" i="1"/>
  <c r="D644" i="1" s="1"/>
  <c r="C644" i="1" l="1"/>
  <c r="D624" i="3" s="1"/>
  <c r="B644" i="1"/>
  <c r="K644" i="1" l="1"/>
  <c r="C624" i="3"/>
  <c r="L644" i="1"/>
  <c r="I644" i="1"/>
  <c r="O644" i="1"/>
  <c r="H644" i="1"/>
  <c r="N644" i="1"/>
  <c r="J644" i="1" l="1"/>
  <c r="M644" i="1"/>
  <c r="P644" i="1"/>
  <c r="G644" i="1" s="1"/>
  <c r="C645" i="1" s="1"/>
  <c r="D625" i="3" s="1"/>
  <c r="F644" i="1" l="1"/>
  <c r="B645" i="1" s="1"/>
  <c r="C625" i="3" s="1"/>
  <c r="E645" i="1"/>
  <c r="L645" i="1"/>
  <c r="O645" i="1"/>
  <c r="I645" i="1"/>
  <c r="D645" i="1" l="1"/>
  <c r="N645" i="1"/>
  <c r="P645" i="1" s="1"/>
  <c r="H645" i="1"/>
  <c r="K645" i="1"/>
  <c r="M645" i="1" s="1"/>
  <c r="J645" i="1" l="1"/>
  <c r="G645" i="1" s="1"/>
  <c r="E646" i="1" l="1"/>
  <c r="C646" i="1"/>
  <c r="D626" i="3" s="1"/>
  <c r="F645" i="1"/>
  <c r="D646" i="1" l="1"/>
  <c r="B646" i="1"/>
  <c r="C626" i="3" s="1"/>
  <c r="O646" i="1"/>
  <c r="I646" i="1"/>
  <c r="L646" i="1"/>
  <c r="N646" i="1" l="1"/>
  <c r="P646" i="1" s="1"/>
  <c r="H646" i="1"/>
  <c r="K646" i="1"/>
  <c r="M646" i="1" s="1"/>
  <c r="J646" i="1" l="1"/>
  <c r="G646" i="1" s="1"/>
  <c r="C647" i="1" l="1"/>
  <c r="D627" i="3" s="1"/>
  <c r="E647" i="1"/>
  <c r="F646" i="1"/>
  <c r="B647" i="1" l="1"/>
  <c r="C627" i="3" s="1"/>
  <c r="D647" i="1"/>
  <c r="O647" i="1"/>
  <c r="I647" i="1"/>
  <c r="L647" i="1"/>
  <c r="N647" i="1" l="1"/>
  <c r="P647" i="1" s="1"/>
  <c r="H647" i="1"/>
  <c r="K647" i="1"/>
  <c r="M647" i="1" s="1"/>
  <c r="J647" i="1" l="1"/>
  <c r="G647" i="1" s="1"/>
  <c r="E648" i="1" l="1"/>
  <c r="C648" i="1"/>
  <c r="D628" i="3" s="1"/>
  <c r="F647" i="1"/>
  <c r="O648" i="1" l="1"/>
  <c r="I648" i="1"/>
  <c r="L648" i="1"/>
  <c r="D648" i="1"/>
  <c r="B648" i="1"/>
  <c r="C628" i="3" s="1"/>
  <c r="H648" i="1" l="1"/>
  <c r="K648" i="1"/>
  <c r="M648" i="1" s="1"/>
  <c r="N648" i="1"/>
  <c r="P648" i="1" s="1"/>
  <c r="J648" i="1" l="1"/>
  <c r="G648" i="1" s="1"/>
  <c r="F648" i="1" l="1"/>
  <c r="B649" i="1" s="1"/>
  <c r="C629" i="3" s="1"/>
  <c r="E649" i="1"/>
  <c r="C649" i="1"/>
  <c r="D629" i="3" s="1"/>
  <c r="D649" i="1" l="1"/>
  <c r="I649" i="1"/>
  <c r="L649" i="1"/>
  <c r="O649" i="1"/>
  <c r="H649" i="1"/>
  <c r="K649" i="1"/>
  <c r="N649" i="1"/>
  <c r="J649" i="1" l="1"/>
  <c r="P649" i="1"/>
  <c r="M649" i="1"/>
  <c r="G649" i="1" l="1"/>
  <c r="E650" i="1" s="1"/>
  <c r="F649" i="1"/>
  <c r="D650" i="1" s="1"/>
  <c r="C650" i="1" l="1"/>
  <c r="B650" i="1"/>
  <c r="K650" i="1" l="1"/>
  <c r="C630" i="3"/>
  <c r="I650" i="1"/>
  <c r="D630" i="3"/>
  <c r="L650" i="1"/>
  <c r="M650" i="1" s="1"/>
  <c r="O650" i="1"/>
  <c r="H650" i="1"/>
  <c r="J650" i="1" s="1"/>
  <c r="N650" i="1"/>
  <c r="P650" i="1" l="1"/>
  <c r="G650" i="1" s="1"/>
  <c r="C651" i="1" s="1"/>
  <c r="D631" i="3" s="1"/>
  <c r="F650" i="1" l="1"/>
  <c r="B651" i="1" s="1"/>
  <c r="E651" i="1"/>
  <c r="L651" i="1"/>
  <c r="O651" i="1"/>
  <c r="I651" i="1"/>
  <c r="K651" i="1" l="1"/>
  <c r="C631" i="3"/>
  <c r="M651" i="1"/>
  <c r="H651" i="1"/>
  <c r="J651" i="1" s="1"/>
  <c r="N651" i="1"/>
  <c r="P651" i="1" s="1"/>
  <c r="D651" i="1"/>
  <c r="G651" i="1" l="1"/>
  <c r="C652" i="1" s="1"/>
  <c r="D632" i="3" s="1"/>
  <c r="F651" i="1"/>
  <c r="B652" i="1" s="1"/>
  <c r="C632" i="3" s="1"/>
  <c r="E652" i="1" l="1"/>
  <c r="D652" i="1"/>
  <c r="K652" i="1"/>
  <c r="N652" i="1"/>
  <c r="H652" i="1"/>
  <c r="L652" i="1"/>
  <c r="O652" i="1"/>
  <c r="I652" i="1"/>
  <c r="J652" i="1" l="1"/>
  <c r="P652" i="1"/>
  <c r="M652" i="1"/>
  <c r="F652" i="1" l="1"/>
  <c r="D653" i="1" s="1"/>
  <c r="G652" i="1"/>
  <c r="C653" i="1" s="1"/>
  <c r="D633" i="3" s="1"/>
  <c r="B653" i="1" l="1"/>
  <c r="E653" i="1"/>
  <c r="L653" i="1"/>
  <c r="O653" i="1"/>
  <c r="I653" i="1"/>
  <c r="N653" i="1" l="1"/>
  <c r="C633" i="3"/>
  <c r="K653" i="1"/>
  <c r="M653" i="1" s="1"/>
  <c r="H653" i="1"/>
  <c r="J653" i="1" s="1"/>
  <c r="P653" i="1"/>
  <c r="G653" i="1" l="1"/>
  <c r="C654" i="1" s="1"/>
  <c r="D634" i="3" s="1"/>
  <c r="F653" i="1"/>
  <c r="D654" i="1" s="1"/>
  <c r="E654" i="1" l="1"/>
  <c r="B654" i="1"/>
  <c r="O654" i="1"/>
  <c r="I654" i="1"/>
  <c r="L654" i="1"/>
  <c r="H654" i="1" l="1"/>
  <c r="C634" i="3"/>
  <c r="N654" i="1"/>
  <c r="P654" i="1" s="1"/>
  <c r="K654" i="1"/>
  <c r="M654" i="1" s="1"/>
  <c r="J654" i="1"/>
  <c r="G654" i="1" l="1"/>
  <c r="E655" i="1" s="1"/>
  <c r="F654" i="1"/>
  <c r="C655" i="1" l="1"/>
  <c r="D655" i="1"/>
  <c r="B655" i="1"/>
  <c r="C635" i="3" s="1"/>
  <c r="O655" i="1" l="1"/>
  <c r="D635" i="3"/>
  <c r="L655" i="1"/>
  <c r="I655" i="1"/>
  <c r="N655" i="1"/>
  <c r="P655" i="1" s="1"/>
  <c r="H655" i="1"/>
  <c r="K655" i="1"/>
  <c r="M655" i="1" l="1"/>
  <c r="J655" i="1"/>
  <c r="G655" i="1" l="1"/>
  <c r="C656" i="1" s="1"/>
  <c r="D636" i="3" s="1"/>
  <c r="F655" i="1"/>
  <c r="E656" i="1" l="1"/>
  <c r="D656" i="1"/>
  <c r="B656" i="1"/>
  <c r="C636" i="3" s="1"/>
  <c r="O656" i="1"/>
  <c r="I656" i="1"/>
  <c r="L656" i="1"/>
  <c r="H656" i="1" l="1"/>
  <c r="K656" i="1"/>
  <c r="M656" i="1" s="1"/>
  <c r="N656" i="1"/>
  <c r="P656" i="1" s="1"/>
  <c r="J656" i="1" l="1"/>
  <c r="G656" i="1" s="1"/>
  <c r="F656" i="1" l="1"/>
  <c r="B657" i="1" s="1"/>
  <c r="C637" i="3" s="1"/>
  <c r="E657" i="1"/>
  <c r="C657" i="1"/>
  <c r="D637" i="3" s="1"/>
  <c r="D657" i="1" l="1"/>
  <c r="I657" i="1"/>
  <c r="L657" i="1"/>
  <c r="O657" i="1"/>
  <c r="H657" i="1"/>
  <c r="K657" i="1"/>
  <c r="N657" i="1"/>
  <c r="J657" i="1" l="1"/>
  <c r="P657" i="1"/>
  <c r="M657" i="1"/>
  <c r="G657" i="1" l="1"/>
  <c r="C658" i="1" s="1"/>
  <c r="D638" i="3" s="1"/>
  <c r="F657" i="1"/>
  <c r="E658" i="1" l="1"/>
  <c r="D658" i="1"/>
  <c r="B658" i="1"/>
  <c r="C638" i="3" s="1"/>
  <c r="I658" i="1"/>
  <c r="L658" i="1"/>
  <c r="O658" i="1"/>
  <c r="K658" i="1" l="1"/>
  <c r="M658" i="1" s="1"/>
  <c r="N658" i="1"/>
  <c r="P658" i="1" s="1"/>
  <c r="H658" i="1"/>
  <c r="J658" i="1" l="1"/>
  <c r="G658" i="1" s="1"/>
  <c r="F658" i="1" l="1"/>
  <c r="B659" i="1" s="1"/>
  <c r="C639" i="3" s="1"/>
  <c r="E659" i="1"/>
  <c r="C659" i="1"/>
  <c r="D639" i="3" s="1"/>
  <c r="D659" i="1" l="1"/>
  <c r="L659" i="1"/>
  <c r="O659" i="1"/>
  <c r="I659" i="1"/>
  <c r="K659" i="1"/>
  <c r="N659" i="1"/>
  <c r="H659" i="1"/>
  <c r="M659" i="1" l="1"/>
  <c r="P659" i="1"/>
  <c r="J659" i="1"/>
  <c r="G659" i="1" l="1"/>
  <c r="E660" i="1" s="1"/>
  <c r="F659" i="1"/>
  <c r="B660" i="1" s="1"/>
  <c r="C640" i="3" s="1"/>
  <c r="C660" i="1" l="1"/>
  <c r="D660" i="1"/>
  <c r="K660" i="1"/>
  <c r="N660" i="1"/>
  <c r="H660" i="1"/>
  <c r="L660" i="1" l="1"/>
  <c r="D640" i="3"/>
  <c r="I660" i="1"/>
  <c r="J660" i="1" s="1"/>
  <c r="O660" i="1"/>
  <c r="P660" i="1" s="1"/>
  <c r="M660" i="1"/>
  <c r="F660" i="1" l="1"/>
  <c r="B661" i="1" s="1"/>
  <c r="C641" i="3" s="1"/>
  <c r="G660" i="1"/>
  <c r="C661" i="1" s="1"/>
  <c r="D641" i="3" s="1"/>
  <c r="D661" i="1" l="1"/>
  <c r="E661" i="1"/>
  <c r="L661" i="1"/>
  <c r="O661" i="1"/>
  <c r="I661" i="1"/>
  <c r="N661" i="1"/>
  <c r="H661" i="1"/>
  <c r="K661" i="1"/>
  <c r="P661" i="1" l="1"/>
  <c r="J661" i="1"/>
  <c r="M661" i="1"/>
  <c r="F661" i="1" l="1"/>
  <c r="D662" i="1" s="1"/>
  <c r="G661" i="1"/>
  <c r="E662" i="1" s="1"/>
  <c r="B662" i="1" l="1"/>
  <c r="C662" i="1"/>
  <c r="O662" i="1" l="1"/>
  <c r="D642" i="3"/>
  <c r="N662" i="1"/>
  <c r="P662" i="1" s="1"/>
  <c r="C642" i="3"/>
  <c r="K662" i="1"/>
  <c r="H662" i="1"/>
  <c r="I662" i="1"/>
  <c r="L662" i="1"/>
  <c r="J662" i="1" l="1"/>
  <c r="M662" i="1"/>
  <c r="G662" i="1" l="1"/>
  <c r="E663" i="1" s="1"/>
  <c r="F662" i="1"/>
  <c r="B663" i="1" s="1"/>
  <c r="C643" i="3" s="1"/>
  <c r="C663" i="1" l="1"/>
  <c r="D643" i="3" s="1"/>
  <c r="D663" i="1"/>
  <c r="N663" i="1"/>
  <c r="H663" i="1"/>
  <c r="K663" i="1"/>
  <c r="L663" i="1" l="1"/>
  <c r="M663" i="1" s="1"/>
  <c r="O663" i="1"/>
  <c r="P663" i="1" s="1"/>
  <c r="I663" i="1"/>
  <c r="J663" i="1" s="1"/>
  <c r="G663" i="1" l="1"/>
  <c r="E664" i="1" s="1"/>
  <c r="F663" i="1"/>
  <c r="C664" i="1" l="1"/>
  <c r="D664" i="1"/>
  <c r="B664" i="1"/>
  <c r="C644" i="3" s="1"/>
  <c r="I664" i="1" l="1"/>
  <c r="D644" i="3"/>
  <c r="L664" i="1"/>
  <c r="O664" i="1"/>
  <c r="H664" i="1"/>
  <c r="K664" i="1"/>
  <c r="N664" i="1"/>
  <c r="P664" i="1" s="1"/>
  <c r="M664" i="1" l="1"/>
  <c r="J664" i="1"/>
  <c r="G664" i="1" l="1"/>
  <c r="C665" i="1" s="1"/>
  <c r="D645" i="3" s="1"/>
  <c r="F664" i="1"/>
  <c r="B665" i="1" s="1"/>
  <c r="C645" i="3" s="1"/>
  <c r="E665" i="1" l="1"/>
  <c r="D665" i="1"/>
  <c r="I665" i="1"/>
  <c r="L665" i="1"/>
  <c r="O665" i="1"/>
  <c r="H665" i="1"/>
  <c r="K665" i="1"/>
  <c r="N665" i="1"/>
  <c r="J665" i="1" l="1"/>
  <c r="P665" i="1"/>
  <c r="M665" i="1"/>
  <c r="G665" i="1" l="1"/>
  <c r="C666" i="1" s="1"/>
  <c r="D646" i="3" s="1"/>
  <c r="F665" i="1"/>
  <c r="E666" i="1" l="1"/>
  <c r="D666" i="1"/>
  <c r="B666" i="1"/>
  <c r="C646" i="3" s="1"/>
  <c r="I666" i="1"/>
  <c r="L666" i="1"/>
  <c r="O666" i="1"/>
  <c r="K666" i="1" l="1"/>
  <c r="M666" i="1" s="1"/>
  <c r="N666" i="1"/>
  <c r="P666" i="1" s="1"/>
  <c r="H666" i="1"/>
  <c r="J666" i="1" l="1"/>
  <c r="G666" i="1" s="1"/>
  <c r="F666" i="1" l="1"/>
  <c r="B667" i="1" s="1"/>
  <c r="C647" i="3" s="1"/>
  <c r="E667" i="1"/>
  <c r="C667" i="1"/>
  <c r="D647" i="3" s="1"/>
  <c r="D667" i="1" l="1"/>
  <c r="L667" i="1"/>
  <c r="O667" i="1"/>
  <c r="I667" i="1"/>
  <c r="K667" i="1"/>
  <c r="M667" i="1" s="1"/>
  <c r="N667" i="1"/>
  <c r="P667" i="1" s="1"/>
  <c r="H667" i="1"/>
  <c r="J667" i="1" l="1"/>
  <c r="G667" i="1" s="1"/>
  <c r="F667" i="1" l="1"/>
  <c r="B668" i="1" s="1"/>
  <c r="C648" i="3" s="1"/>
  <c r="C668" i="1"/>
  <c r="D648" i="3" s="1"/>
  <c r="E668" i="1"/>
  <c r="D668" i="1" l="1"/>
  <c r="K668" i="1"/>
  <c r="N668" i="1"/>
  <c r="H668" i="1"/>
  <c r="L668" i="1"/>
  <c r="O668" i="1"/>
  <c r="I668" i="1"/>
  <c r="J668" i="1" l="1"/>
  <c r="M668" i="1"/>
  <c r="P668" i="1"/>
  <c r="F668" i="1" l="1"/>
  <c r="B669" i="1" s="1"/>
  <c r="C649" i="3" s="1"/>
  <c r="G668" i="1"/>
  <c r="C669" i="1" s="1"/>
  <c r="D649" i="3" s="1"/>
  <c r="D669" i="1" l="1"/>
  <c r="E669" i="1"/>
  <c r="N669" i="1"/>
  <c r="H669" i="1"/>
  <c r="K669" i="1"/>
  <c r="L669" i="1"/>
  <c r="O669" i="1"/>
  <c r="I669" i="1"/>
  <c r="J669" i="1" l="1"/>
  <c r="M669" i="1"/>
  <c r="P669" i="1"/>
  <c r="G669" i="1" l="1"/>
  <c r="C670" i="1" s="1"/>
  <c r="D650" i="3" s="1"/>
  <c r="F669" i="1"/>
  <c r="E670" i="1" l="1"/>
  <c r="D670" i="1"/>
  <c r="B670" i="1"/>
  <c r="C650" i="3" s="1"/>
  <c r="O670" i="1"/>
  <c r="I670" i="1"/>
  <c r="L670" i="1"/>
  <c r="N670" i="1" l="1"/>
  <c r="P670" i="1" s="1"/>
  <c r="H670" i="1"/>
  <c r="K670" i="1"/>
  <c r="M670" i="1" s="1"/>
  <c r="J670" i="1" l="1"/>
  <c r="G670" i="1" s="1"/>
  <c r="E671" i="1" l="1"/>
  <c r="C671" i="1"/>
  <c r="D651" i="3" s="1"/>
  <c r="F670" i="1"/>
  <c r="O671" i="1" l="1"/>
  <c r="I671" i="1"/>
  <c r="L671" i="1"/>
  <c r="B671" i="1"/>
  <c r="C651" i="3" s="1"/>
  <c r="D671" i="1"/>
  <c r="N671" i="1" l="1"/>
  <c r="P671" i="1" s="1"/>
  <c r="H671" i="1"/>
  <c r="K671" i="1"/>
  <c r="M671" i="1" s="1"/>
  <c r="J671" i="1" l="1"/>
  <c r="G671" i="1" s="1"/>
  <c r="C672" i="1" l="1"/>
  <c r="D652" i="3" s="1"/>
  <c r="E672" i="1"/>
  <c r="F671" i="1"/>
  <c r="B672" i="1" l="1"/>
  <c r="C652" i="3" s="1"/>
  <c r="D672" i="1"/>
  <c r="O672" i="1"/>
  <c r="I672" i="1"/>
  <c r="L672" i="1"/>
  <c r="H672" i="1" l="1"/>
  <c r="K672" i="1"/>
  <c r="M672" i="1" s="1"/>
  <c r="N672" i="1"/>
  <c r="P672" i="1" s="1"/>
  <c r="J672" i="1" l="1"/>
  <c r="G672" i="1" s="1"/>
  <c r="F672" i="1" l="1"/>
  <c r="D673" i="1" s="1"/>
  <c r="E673" i="1"/>
  <c r="C673" i="1"/>
  <c r="D653" i="3" s="1"/>
  <c r="B673" i="1" l="1"/>
  <c r="I673" i="1"/>
  <c r="L673" i="1"/>
  <c r="O673" i="1"/>
  <c r="H673" i="1" l="1"/>
  <c r="C653" i="3"/>
  <c r="N673" i="1"/>
  <c r="P673" i="1" s="1"/>
  <c r="K673" i="1"/>
  <c r="M673" i="1" s="1"/>
  <c r="J673" i="1"/>
  <c r="G673" i="1" l="1"/>
  <c r="C674" i="1" s="1"/>
  <c r="D654" i="3" s="1"/>
  <c r="F673" i="1"/>
  <c r="D674" i="1" s="1"/>
  <c r="B674" i="1" l="1"/>
  <c r="E674" i="1"/>
  <c r="I674" i="1"/>
  <c r="L674" i="1"/>
  <c r="O674" i="1"/>
  <c r="K674" i="1" l="1"/>
  <c r="C654" i="3"/>
  <c r="H674" i="1"/>
  <c r="J674" i="1" s="1"/>
  <c r="N674" i="1"/>
  <c r="P674" i="1" s="1"/>
  <c r="M674" i="1"/>
  <c r="G674" i="1" l="1"/>
  <c r="E675" i="1" s="1"/>
  <c r="F674" i="1"/>
  <c r="B675" i="1" s="1"/>
  <c r="C655" i="3" s="1"/>
  <c r="C675" i="1" l="1"/>
  <c r="D675" i="1"/>
  <c r="K675" i="1"/>
  <c r="N675" i="1"/>
  <c r="H675" i="1"/>
  <c r="L675" i="1" l="1"/>
  <c r="D655" i="3"/>
  <c r="I675" i="1"/>
  <c r="J675" i="1" s="1"/>
  <c r="O675" i="1"/>
  <c r="P675" i="1" s="1"/>
  <c r="M675" i="1"/>
  <c r="G675" i="1" l="1"/>
  <c r="C676" i="1" s="1"/>
  <c r="D656" i="3" s="1"/>
  <c r="F675" i="1"/>
  <c r="D676" i="1" s="1"/>
  <c r="E676" i="1" l="1"/>
  <c r="B676" i="1"/>
  <c r="L676" i="1"/>
  <c r="O676" i="1"/>
  <c r="I676" i="1"/>
  <c r="K676" i="1" l="1"/>
  <c r="C656" i="3"/>
  <c r="H676" i="1"/>
  <c r="J676" i="1" s="1"/>
  <c r="N676" i="1"/>
  <c r="P676" i="1" s="1"/>
  <c r="M676" i="1"/>
  <c r="F676" i="1" l="1"/>
  <c r="D677" i="1" s="1"/>
  <c r="G676" i="1"/>
  <c r="E677" i="1" s="1"/>
  <c r="B677" i="1" l="1"/>
  <c r="C677" i="1"/>
  <c r="L677" i="1" l="1"/>
  <c r="D657" i="3"/>
  <c r="N677" i="1"/>
  <c r="C657" i="3"/>
  <c r="K677" i="1"/>
  <c r="M677" i="1" s="1"/>
  <c r="H677" i="1"/>
  <c r="I677" i="1"/>
  <c r="O677" i="1"/>
  <c r="P677" i="1" s="1"/>
  <c r="J677" i="1" l="1"/>
  <c r="G677" i="1" s="1"/>
  <c r="E678" i="1" s="1"/>
  <c r="F677" i="1" l="1"/>
  <c r="D678" i="1" s="1"/>
  <c r="C678" i="1"/>
  <c r="O678" i="1" l="1"/>
  <c r="D658" i="3"/>
  <c r="B678" i="1"/>
  <c r="L678" i="1"/>
  <c r="I678" i="1"/>
  <c r="N678" i="1" l="1"/>
  <c r="P678" i="1" s="1"/>
  <c r="C658" i="3"/>
  <c r="H678" i="1"/>
  <c r="J678" i="1" s="1"/>
  <c r="K678" i="1"/>
  <c r="M678" i="1" s="1"/>
  <c r="G678" i="1" l="1"/>
  <c r="E679" i="1" s="1"/>
  <c r="F678" i="1"/>
  <c r="D679" i="1" s="1"/>
  <c r="C679" i="1" l="1"/>
  <c r="B679" i="1"/>
  <c r="N679" i="1" l="1"/>
  <c r="C659" i="3"/>
  <c r="I679" i="1"/>
  <c r="D659" i="3"/>
  <c r="O679" i="1"/>
  <c r="P679" i="1" s="1"/>
  <c r="L679" i="1"/>
  <c r="K679" i="1"/>
  <c r="H679" i="1"/>
  <c r="J679" i="1" s="1"/>
  <c r="M679" i="1" l="1"/>
  <c r="G679" i="1"/>
  <c r="E680" i="1" s="1"/>
  <c r="F679" i="1"/>
  <c r="C680" i="1" l="1"/>
  <c r="D680" i="1"/>
  <c r="B680" i="1"/>
  <c r="C660" i="3" s="1"/>
  <c r="L680" i="1" l="1"/>
  <c r="D660" i="3"/>
  <c r="I680" i="1"/>
  <c r="O680" i="1"/>
  <c r="N680" i="1"/>
  <c r="H680" i="1"/>
  <c r="K680" i="1"/>
  <c r="M680" i="1" s="1"/>
  <c r="P680" i="1" l="1"/>
  <c r="J680" i="1"/>
  <c r="G680" i="1" s="1"/>
  <c r="C681" i="1" l="1"/>
  <c r="D661" i="3" s="1"/>
  <c r="E681" i="1"/>
  <c r="F680" i="1"/>
  <c r="D681" i="1" l="1"/>
  <c r="B681" i="1"/>
  <c r="C661" i="3" s="1"/>
  <c r="O681" i="1"/>
  <c r="I681" i="1"/>
  <c r="L681" i="1"/>
  <c r="N681" i="1" l="1"/>
  <c r="P681" i="1" s="1"/>
  <c r="H681" i="1"/>
  <c r="K681" i="1"/>
  <c r="M681" i="1" s="1"/>
  <c r="J681" i="1" l="1"/>
  <c r="G681" i="1" s="1"/>
  <c r="E682" i="1" l="1"/>
  <c r="C682" i="1"/>
  <c r="D662" i="3" s="1"/>
  <c r="F681" i="1"/>
  <c r="O682" i="1" l="1"/>
  <c r="I682" i="1"/>
  <c r="L682" i="1"/>
  <c r="B682" i="1"/>
  <c r="C662" i="3" s="1"/>
  <c r="D682" i="1"/>
  <c r="N682" i="1" l="1"/>
  <c r="P682" i="1" s="1"/>
  <c r="H682" i="1"/>
  <c r="K682" i="1"/>
  <c r="M682" i="1" s="1"/>
  <c r="J682" i="1" l="1"/>
  <c r="G682" i="1" s="1"/>
  <c r="C683" i="1" l="1"/>
  <c r="D663" i="3" s="1"/>
  <c r="E683" i="1"/>
  <c r="F682" i="1"/>
  <c r="B683" i="1" l="1"/>
  <c r="C663" i="3" s="1"/>
  <c r="D683" i="1"/>
  <c r="O683" i="1"/>
  <c r="I683" i="1"/>
  <c r="L683" i="1"/>
  <c r="H683" i="1" l="1"/>
  <c r="K683" i="1"/>
  <c r="M683" i="1" s="1"/>
  <c r="N683" i="1"/>
  <c r="P683" i="1" s="1"/>
  <c r="J683" i="1" l="1"/>
  <c r="G683" i="1" s="1"/>
  <c r="F683" i="1" l="1"/>
  <c r="D684" i="1" s="1"/>
  <c r="E684" i="1"/>
  <c r="C684" i="1"/>
  <c r="D664" i="3" s="1"/>
  <c r="B684" i="1" l="1"/>
  <c r="I684" i="1"/>
  <c r="L684" i="1"/>
  <c r="O684" i="1"/>
  <c r="H684" i="1" l="1"/>
  <c r="C664" i="3"/>
  <c r="N684" i="1"/>
  <c r="P684" i="1" s="1"/>
  <c r="K684" i="1"/>
  <c r="M684" i="1" s="1"/>
  <c r="J684" i="1"/>
  <c r="F684" i="1" l="1"/>
  <c r="D685" i="1" s="1"/>
  <c r="G684" i="1"/>
  <c r="E685" i="1" s="1"/>
  <c r="B685" i="1" l="1"/>
  <c r="C685" i="1"/>
  <c r="I685" i="1" l="1"/>
  <c r="D665" i="3"/>
  <c r="N685" i="1"/>
  <c r="C665" i="3"/>
  <c r="H685" i="1"/>
  <c r="J685" i="1" s="1"/>
  <c r="K685" i="1"/>
  <c r="O685" i="1"/>
  <c r="P685" i="1" s="1"/>
  <c r="L685" i="1"/>
  <c r="M685" i="1" l="1"/>
  <c r="F685" i="1"/>
  <c r="D686" i="1" s="1"/>
  <c r="G685" i="1"/>
  <c r="E686" i="1" s="1"/>
  <c r="B686" i="1" l="1"/>
  <c r="C686" i="1"/>
  <c r="L686" i="1" l="1"/>
  <c r="D666" i="3"/>
  <c r="N686" i="1"/>
  <c r="C666" i="3"/>
  <c r="I686" i="1"/>
  <c r="O686" i="1"/>
  <c r="K686" i="1"/>
  <c r="M686" i="1" s="1"/>
  <c r="H686" i="1"/>
  <c r="P686" i="1" l="1"/>
  <c r="J686" i="1"/>
  <c r="G686" i="1" s="1"/>
  <c r="E687" i="1" s="1"/>
  <c r="F686" i="1" l="1"/>
  <c r="D687" i="1" s="1"/>
  <c r="C687" i="1"/>
  <c r="O687" i="1" l="1"/>
  <c r="D667" i="3"/>
  <c r="B687" i="1"/>
  <c r="I687" i="1"/>
  <c r="L687" i="1"/>
  <c r="K687" i="1" l="1"/>
  <c r="C667" i="3"/>
  <c r="M687" i="1"/>
  <c r="N687" i="1"/>
  <c r="P687" i="1" s="1"/>
  <c r="H687" i="1"/>
  <c r="J687" i="1" s="1"/>
  <c r="G687" i="1" l="1"/>
  <c r="E688" i="1" s="1"/>
  <c r="F687" i="1"/>
  <c r="B688" i="1" s="1"/>
  <c r="C668" i="3" s="1"/>
  <c r="C688" i="1" l="1"/>
  <c r="D688" i="1"/>
  <c r="N688" i="1"/>
  <c r="H688" i="1"/>
  <c r="K688" i="1"/>
  <c r="L688" i="1" l="1"/>
  <c r="D668" i="3"/>
  <c r="O688" i="1"/>
  <c r="P688" i="1" s="1"/>
  <c r="M688" i="1"/>
  <c r="I688" i="1"/>
  <c r="J688" i="1" s="1"/>
  <c r="G688" i="1" l="1"/>
  <c r="C689" i="1" s="1"/>
  <c r="D669" i="3" s="1"/>
  <c r="F688" i="1"/>
  <c r="E689" i="1" l="1"/>
  <c r="D689" i="1"/>
  <c r="B689" i="1"/>
  <c r="C669" i="3" s="1"/>
  <c r="O689" i="1"/>
  <c r="I689" i="1"/>
  <c r="L689" i="1"/>
  <c r="N689" i="1" l="1"/>
  <c r="P689" i="1" s="1"/>
  <c r="H689" i="1"/>
  <c r="K689" i="1"/>
  <c r="M689" i="1" s="1"/>
  <c r="J689" i="1" l="1"/>
  <c r="G689" i="1" s="1"/>
  <c r="E690" i="1" l="1"/>
  <c r="C690" i="1"/>
  <c r="D670" i="3" s="1"/>
  <c r="F689" i="1"/>
  <c r="B690" i="1" l="1"/>
  <c r="C670" i="3" s="1"/>
  <c r="D690" i="1"/>
  <c r="O690" i="1"/>
  <c r="I690" i="1"/>
  <c r="L690" i="1"/>
  <c r="N690" i="1" l="1"/>
  <c r="P690" i="1" s="1"/>
  <c r="H690" i="1"/>
  <c r="K690" i="1"/>
  <c r="M690" i="1" s="1"/>
  <c r="J690" i="1" l="1"/>
  <c r="G690" i="1" s="1"/>
  <c r="C691" i="1" l="1"/>
  <c r="D671" i="3" s="1"/>
  <c r="E691" i="1"/>
  <c r="F690" i="1"/>
  <c r="D691" i="1" l="1"/>
  <c r="B691" i="1"/>
  <c r="C671" i="3" s="1"/>
  <c r="O691" i="1"/>
  <c r="I691" i="1"/>
  <c r="L691" i="1"/>
  <c r="H691" i="1" l="1"/>
  <c r="K691" i="1"/>
  <c r="M691" i="1" s="1"/>
  <c r="N691" i="1"/>
  <c r="P691" i="1" s="1"/>
  <c r="J691" i="1" l="1"/>
  <c r="G691" i="1" s="1"/>
  <c r="F691" i="1" l="1"/>
  <c r="B692" i="1" s="1"/>
  <c r="C672" i="3" s="1"/>
  <c r="C692" i="1"/>
  <c r="D672" i="3" s="1"/>
  <c r="E692" i="1"/>
  <c r="D692" i="1" l="1"/>
  <c r="I692" i="1"/>
  <c r="L692" i="1"/>
  <c r="O692" i="1"/>
  <c r="H692" i="1"/>
  <c r="K692" i="1"/>
  <c r="N692" i="1"/>
  <c r="J692" i="1" l="1"/>
  <c r="P692" i="1"/>
  <c r="M692" i="1"/>
  <c r="G692" i="1" l="1"/>
  <c r="C693" i="1" s="1"/>
  <c r="D673" i="3" s="1"/>
  <c r="F692" i="1"/>
  <c r="D693" i="1" s="1"/>
  <c r="E693" i="1" l="1"/>
  <c r="B693" i="1"/>
  <c r="I693" i="1"/>
  <c r="L693" i="1"/>
  <c r="O693" i="1"/>
  <c r="K693" i="1" l="1"/>
  <c r="C673" i="3"/>
  <c r="M693" i="1"/>
  <c r="N693" i="1"/>
  <c r="P693" i="1" s="1"/>
  <c r="H693" i="1"/>
  <c r="J693" i="1" s="1"/>
  <c r="F693" i="1" l="1"/>
  <c r="D694" i="1" s="1"/>
  <c r="G693" i="1"/>
  <c r="E694" i="1" s="1"/>
  <c r="C694" i="1" l="1"/>
  <c r="B694" i="1"/>
  <c r="K694" i="1" l="1"/>
  <c r="C674" i="3"/>
  <c r="L694" i="1"/>
  <c r="M694" i="1" s="1"/>
  <c r="D674" i="3"/>
  <c r="O694" i="1"/>
  <c r="I694" i="1"/>
  <c r="H694" i="1"/>
  <c r="N694" i="1"/>
  <c r="J694" i="1" l="1"/>
  <c r="P694" i="1"/>
  <c r="G694" i="1" l="1"/>
  <c r="E695" i="1" s="1"/>
  <c r="F694" i="1"/>
  <c r="D695" i="1" s="1"/>
  <c r="C695" i="1" l="1"/>
  <c r="B695" i="1"/>
  <c r="K695" i="1" l="1"/>
  <c r="C675" i="3"/>
  <c r="L695" i="1"/>
  <c r="D675" i="3"/>
  <c r="O695" i="1"/>
  <c r="I695" i="1"/>
  <c r="H695" i="1"/>
  <c r="N695" i="1"/>
  <c r="M695" i="1" l="1"/>
  <c r="P695" i="1"/>
  <c r="J695" i="1"/>
  <c r="G695" i="1" l="1"/>
  <c r="C696" i="1" s="1"/>
  <c r="F695" i="1"/>
  <c r="B696" i="1" s="1"/>
  <c r="K696" i="1" l="1"/>
  <c r="C676" i="3"/>
  <c r="L696" i="1"/>
  <c r="D676" i="3"/>
  <c r="E696" i="1"/>
  <c r="O696" i="1"/>
  <c r="I696" i="1"/>
  <c r="M696" i="1"/>
  <c r="D696" i="1"/>
  <c r="N696" i="1"/>
  <c r="H696" i="1"/>
  <c r="J696" i="1" l="1"/>
  <c r="P696" i="1"/>
  <c r="F696" i="1"/>
  <c r="B697" i="1" s="1"/>
  <c r="G696" i="1"/>
  <c r="E697" i="1" s="1"/>
  <c r="N697" i="1" l="1"/>
  <c r="C677" i="3"/>
  <c r="H697" i="1"/>
  <c r="K697" i="1"/>
  <c r="D697" i="1"/>
  <c r="C697" i="1"/>
  <c r="O697" i="1" l="1"/>
  <c r="P697" i="1" s="1"/>
  <c r="D677" i="3"/>
  <c r="I697" i="1"/>
  <c r="J697" i="1" s="1"/>
  <c r="L697" i="1"/>
  <c r="M697" i="1" s="1"/>
  <c r="F697" i="1" l="1"/>
  <c r="B698" i="1" s="1"/>
  <c r="G697" i="1"/>
  <c r="E698" i="1" s="1"/>
  <c r="N698" i="1" l="1"/>
  <c r="C678" i="3"/>
  <c r="H698" i="1"/>
  <c r="K698" i="1"/>
  <c r="D698" i="1"/>
  <c r="C698" i="1"/>
  <c r="O698" i="1" l="1"/>
  <c r="P698" i="1" s="1"/>
  <c r="D678" i="3"/>
  <c r="I698" i="1"/>
  <c r="J698" i="1" s="1"/>
  <c r="L698" i="1"/>
  <c r="M698" i="1" s="1"/>
  <c r="F698" i="1" l="1"/>
  <c r="B699" i="1" s="1"/>
  <c r="G698" i="1"/>
  <c r="E699" i="1" s="1"/>
  <c r="H699" i="1" l="1"/>
  <c r="C679" i="3"/>
  <c r="N699" i="1"/>
  <c r="K699" i="1"/>
  <c r="D699" i="1"/>
  <c r="C699" i="1"/>
  <c r="O699" i="1" l="1"/>
  <c r="D679" i="3"/>
  <c r="P699" i="1"/>
  <c r="I699" i="1"/>
  <c r="J699" i="1" s="1"/>
  <c r="L699" i="1"/>
  <c r="M699" i="1" s="1"/>
  <c r="F699" i="1" l="1"/>
  <c r="D700" i="1" s="1"/>
  <c r="G699" i="1"/>
  <c r="E700" i="1" s="1"/>
  <c r="B700" i="1" l="1"/>
  <c r="C700" i="1"/>
  <c r="I700" i="1" l="1"/>
  <c r="D680" i="3"/>
  <c r="H700" i="1"/>
  <c r="C680" i="3"/>
  <c r="N700" i="1"/>
  <c r="K700" i="1"/>
  <c r="J700" i="1"/>
  <c r="L700" i="1"/>
  <c r="M700" i="1" s="1"/>
  <c r="O700" i="1"/>
  <c r="P700" i="1" l="1"/>
  <c r="F700" i="1" s="1"/>
  <c r="B701" i="1" s="1"/>
  <c r="K701" i="1" l="1"/>
  <c r="C681" i="3"/>
  <c r="N701" i="1"/>
  <c r="D701" i="1"/>
  <c r="H701" i="1"/>
  <c r="G700" i="1"/>
  <c r="E701" i="1" s="1"/>
  <c r="C701" i="1" l="1"/>
  <c r="I701" i="1" l="1"/>
  <c r="J701" i="1" s="1"/>
  <c r="D681" i="3"/>
  <c r="L701" i="1"/>
  <c r="M701" i="1" s="1"/>
  <c r="O701" i="1"/>
  <c r="P701" i="1" s="1"/>
  <c r="F701" i="1" l="1"/>
  <c r="B702" i="1" s="1"/>
  <c r="G701" i="1"/>
  <c r="E702" i="1" s="1"/>
  <c r="K702" i="1" l="1"/>
  <c r="C682" i="3"/>
  <c r="N702" i="1"/>
  <c r="H702" i="1"/>
  <c r="D702" i="1"/>
  <c r="C702" i="1"/>
  <c r="L702" i="1" l="1"/>
  <c r="M702" i="1" s="1"/>
  <c r="D682" i="3"/>
  <c r="I702" i="1"/>
  <c r="J702" i="1" s="1"/>
  <c r="O702" i="1"/>
  <c r="P702" i="1" s="1"/>
  <c r="F702" i="1" l="1"/>
  <c r="D703" i="1" s="1"/>
  <c r="G702" i="1"/>
  <c r="B703" i="1" l="1"/>
  <c r="E703" i="1"/>
  <c r="C703" i="1"/>
  <c r="D683" i="3" s="1"/>
  <c r="K703" i="1" l="1"/>
  <c r="C683" i="3"/>
  <c r="N703" i="1"/>
  <c r="H703" i="1"/>
  <c r="L703" i="1"/>
  <c r="M703" i="1" s="1"/>
  <c r="O703" i="1"/>
  <c r="I703" i="1"/>
  <c r="P703" i="1" l="1"/>
  <c r="J703" i="1"/>
  <c r="F703" i="1" l="1"/>
  <c r="B704" i="1" s="1"/>
  <c r="C684" i="3" s="1"/>
  <c r="G703" i="1"/>
  <c r="D704" i="1" l="1"/>
  <c r="E704" i="1"/>
  <c r="C704" i="1"/>
  <c r="D684" i="3" s="1"/>
  <c r="N704" i="1"/>
  <c r="H704" i="1"/>
  <c r="K704" i="1"/>
  <c r="L704" i="1" l="1"/>
  <c r="M704" i="1" s="1"/>
  <c r="O704" i="1"/>
  <c r="P704" i="1" s="1"/>
  <c r="I704" i="1"/>
  <c r="J704" i="1" l="1"/>
  <c r="F704" i="1" s="1"/>
  <c r="D705" i="1" l="1"/>
  <c r="B705" i="1"/>
  <c r="C685" i="3" s="1"/>
  <c r="G704" i="1"/>
  <c r="N705" i="1" l="1"/>
  <c r="H705" i="1"/>
  <c r="K705" i="1"/>
  <c r="C705" i="1"/>
  <c r="D685" i="3" s="1"/>
  <c r="E705" i="1"/>
  <c r="O705" i="1" l="1"/>
  <c r="P705" i="1" s="1"/>
  <c r="I705" i="1"/>
  <c r="L705" i="1"/>
  <c r="M705" i="1" s="1"/>
  <c r="J705" i="1"/>
  <c r="F705" i="1" l="1"/>
  <c r="B706" i="1" s="1"/>
  <c r="C686" i="3" s="1"/>
  <c r="G705" i="1"/>
  <c r="D706" i="1" l="1"/>
  <c r="C706" i="1"/>
  <c r="D686" i="3" s="1"/>
  <c r="E706" i="1"/>
  <c r="N706" i="1"/>
  <c r="H706" i="1"/>
  <c r="K706" i="1"/>
  <c r="O706" i="1" l="1"/>
  <c r="P706" i="1" s="1"/>
  <c r="I706" i="1"/>
  <c r="L706" i="1"/>
  <c r="M706" i="1" s="1"/>
  <c r="J706" i="1" l="1"/>
  <c r="F706" i="1" s="1"/>
  <c r="D707" i="1" l="1"/>
  <c r="B707" i="1"/>
  <c r="C687" i="3" s="1"/>
  <c r="G706" i="1"/>
  <c r="E707" i="1" l="1"/>
  <c r="C707" i="1"/>
  <c r="D687" i="3" s="1"/>
  <c r="H707" i="1"/>
  <c r="K707" i="1"/>
  <c r="N707" i="1"/>
  <c r="O707" i="1" l="1"/>
  <c r="P707" i="1" s="1"/>
  <c r="I707" i="1"/>
  <c r="J707" i="1" s="1"/>
  <c r="L707" i="1"/>
  <c r="M707" i="1" s="1"/>
  <c r="F707" i="1" l="1"/>
  <c r="G707" i="1"/>
  <c r="E708" i="1" l="1"/>
  <c r="C708" i="1"/>
  <c r="D688" i="3" s="1"/>
  <c r="B708" i="1"/>
  <c r="C688" i="3" s="1"/>
  <c r="D708" i="1"/>
  <c r="H708" i="1" l="1"/>
  <c r="K708" i="1"/>
  <c r="N708" i="1"/>
  <c r="I708" i="1"/>
  <c r="L708" i="1"/>
  <c r="O708" i="1"/>
  <c r="P708" i="1" l="1"/>
  <c r="M708" i="1"/>
  <c r="J708" i="1"/>
  <c r="G708" i="1" l="1"/>
  <c r="E709" i="1" s="1"/>
  <c r="F708" i="1"/>
  <c r="C709" i="1" l="1"/>
  <c r="B709" i="1"/>
  <c r="C689" i="3" s="1"/>
  <c r="D709" i="1"/>
  <c r="I709" i="1" l="1"/>
  <c r="D689" i="3"/>
  <c r="L709" i="1"/>
  <c r="O709" i="1"/>
  <c r="K709" i="1"/>
  <c r="N709" i="1"/>
  <c r="H709" i="1"/>
  <c r="P709" i="1" l="1"/>
  <c r="M709" i="1"/>
  <c r="J709" i="1"/>
  <c r="F709" i="1" l="1"/>
  <c r="D710" i="1" s="1"/>
  <c r="G709" i="1"/>
  <c r="C710" i="1" s="1"/>
  <c r="D690" i="3" s="1"/>
  <c r="B710" i="1" l="1"/>
  <c r="E710" i="1"/>
  <c r="L710" i="1"/>
  <c r="O710" i="1"/>
  <c r="I710" i="1"/>
  <c r="K710" i="1" l="1"/>
  <c r="C690" i="3"/>
  <c r="M710" i="1"/>
  <c r="N710" i="1"/>
  <c r="P710" i="1" s="1"/>
  <c r="H710" i="1"/>
  <c r="J710" i="1" s="1"/>
  <c r="G710" i="1" l="1"/>
  <c r="E711" i="1" s="1"/>
  <c r="F710" i="1"/>
  <c r="C711" i="1" l="1"/>
  <c r="B711" i="1"/>
  <c r="C691" i="3" s="1"/>
  <c r="D711" i="1"/>
  <c r="L711" i="1" l="1"/>
  <c r="D691" i="3"/>
  <c r="O711" i="1"/>
  <c r="I711" i="1"/>
  <c r="K711" i="1"/>
  <c r="N711" i="1"/>
  <c r="H711" i="1"/>
  <c r="M711" i="1" l="1"/>
  <c r="P711" i="1"/>
  <c r="J711" i="1"/>
  <c r="G711" i="1" l="1"/>
  <c r="C712" i="1" s="1"/>
  <c r="D692" i="3" s="1"/>
  <c r="F711" i="1"/>
  <c r="E712" i="1" l="1"/>
  <c r="D712" i="1"/>
  <c r="B712" i="1"/>
  <c r="C692" i="3" s="1"/>
  <c r="L712" i="1"/>
  <c r="O712" i="1"/>
  <c r="I712" i="1"/>
  <c r="N712" i="1" l="1"/>
  <c r="P712" i="1" s="1"/>
  <c r="H712" i="1"/>
  <c r="K712" i="1"/>
  <c r="M712" i="1" s="1"/>
  <c r="J712" i="1" l="1"/>
  <c r="G712" i="1" s="1"/>
  <c r="C713" i="1" l="1"/>
  <c r="D693" i="3" s="1"/>
  <c r="E713" i="1"/>
  <c r="F712" i="1"/>
  <c r="D713" i="1" l="1"/>
  <c r="B713" i="1"/>
  <c r="C693" i="3" s="1"/>
  <c r="O713" i="1"/>
  <c r="I713" i="1"/>
  <c r="L713" i="1"/>
  <c r="N713" i="1" l="1"/>
  <c r="P713" i="1" s="1"/>
  <c r="H713" i="1"/>
  <c r="K713" i="1"/>
  <c r="M713" i="1" s="1"/>
  <c r="J713" i="1" l="1"/>
  <c r="G713" i="1" s="1"/>
  <c r="E714" i="1" l="1"/>
  <c r="C714" i="1"/>
  <c r="D694" i="3" s="1"/>
  <c r="F713" i="1"/>
  <c r="B714" i="1" l="1"/>
  <c r="C694" i="3" s="1"/>
  <c r="D714" i="1"/>
  <c r="O714" i="1"/>
  <c r="I714" i="1"/>
  <c r="L714" i="1"/>
  <c r="N714" i="1" l="1"/>
  <c r="P714" i="1" s="1"/>
  <c r="H714" i="1"/>
  <c r="K714" i="1"/>
  <c r="M714" i="1" s="1"/>
  <c r="J714" i="1" l="1"/>
  <c r="G714" i="1" s="1"/>
  <c r="C715" i="1" l="1"/>
  <c r="D695" i="3" s="1"/>
  <c r="E715" i="1"/>
  <c r="F714" i="1"/>
  <c r="D715" i="1" l="1"/>
  <c r="B715" i="1"/>
  <c r="C695" i="3" s="1"/>
  <c r="O715" i="1"/>
  <c r="I715" i="1"/>
  <c r="L715" i="1"/>
  <c r="H715" i="1" l="1"/>
  <c r="K715" i="1"/>
  <c r="M715" i="1" s="1"/>
  <c r="N715" i="1"/>
  <c r="P715" i="1" s="1"/>
  <c r="J715" i="1" l="1"/>
  <c r="G715" i="1" s="1"/>
  <c r="F715" i="1" l="1"/>
  <c r="D716" i="1" s="1"/>
  <c r="E716" i="1"/>
  <c r="C716" i="1"/>
  <c r="D696" i="3" s="1"/>
  <c r="B716" i="1" l="1"/>
  <c r="I716" i="1"/>
  <c r="L716" i="1"/>
  <c r="O716" i="1"/>
  <c r="H716" i="1" l="1"/>
  <c r="C696" i="3"/>
  <c r="K716" i="1"/>
  <c r="M716" i="1" s="1"/>
  <c r="N716" i="1"/>
  <c r="P716" i="1" s="1"/>
  <c r="J716" i="1"/>
  <c r="G716" i="1" l="1"/>
  <c r="C717" i="1" s="1"/>
  <c r="D697" i="3" s="1"/>
  <c r="F716" i="1"/>
  <c r="D717" i="1" s="1"/>
  <c r="E717" i="1" l="1"/>
  <c r="B717" i="1"/>
  <c r="I717" i="1"/>
  <c r="L717" i="1"/>
  <c r="O717" i="1"/>
  <c r="K717" i="1" l="1"/>
  <c r="C697" i="3"/>
  <c r="M717" i="1"/>
  <c r="H717" i="1"/>
  <c r="J717" i="1" s="1"/>
  <c r="N717" i="1"/>
  <c r="P717" i="1" s="1"/>
  <c r="G717" i="1" l="1"/>
  <c r="E718" i="1" s="1"/>
  <c r="F717" i="1"/>
  <c r="D718" i="1" s="1"/>
  <c r="C718" i="1" l="1"/>
  <c r="B718" i="1"/>
  <c r="K718" i="1" l="1"/>
  <c r="C698" i="3"/>
  <c r="L718" i="1"/>
  <c r="M718" i="1" s="1"/>
  <c r="D698" i="3"/>
  <c r="H718" i="1"/>
  <c r="N718" i="1"/>
  <c r="I718" i="1"/>
  <c r="O718" i="1"/>
  <c r="P718" i="1" s="1"/>
  <c r="J718" i="1" l="1"/>
  <c r="F718" i="1" s="1"/>
  <c r="D719" i="1" s="1"/>
  <c r="G718" i="1" l="1"/>
  <c r="C719" i="1" s="1"/>
  <c r="B719" i="1"/>
  <c r="K719" i="1" l="1"/>
  <c r="C699" i="3"/>
  <c r="O719" i="1"/>
  <c r="D699" i="3"/>
  <c r="L719" i="1"/>
  <c r="M719" i="1" s="1"/>
  <c r="I719" i="1"/>
  <c r="E719" i="1"/>
  <c r="H719" i="1"/>
  <c r="N719" i="1"/>
  <c r="P719" i="1" l="1"/>
  <c r="J719" i="1"/>
  <c r="F719" i="1" l="1"/>
  <c r="D720" i="1" s="1"/>
  <c r="G719" i="1"/>
  <c r="C720" i="1" s="1"/>
  <c r="B720" i="1"/>
  <c r="N720" i="1" l="1"/>
  <c r="C700" i="3"/>
  <c r="L720" i="1"/>
  <c r="D700" i="3"/>
  <c r="O720" i="1"/>
  <c r="P720" i="1" s="1"/>
  <c r="I720" i="1"/>
  <c r="E720" i="1"/>
  <c r="K720" i="1"/>
  <c r="M720" i="1" s="1"/>
  <c r="H720" i="1"/>
  <c r="J720" i="1" l="1"/>
  <c r="G720" i="1" s="1"/>
  <c r="C721" i="1" s="1"/>
  <c r="D701" i="3" s="1"/>
  <c r="F720" i="1" l="1"/>
  <c r="B721" i="1" s="1"/>
  <c r="C701" i="3" s="1"/>
  <c r="E721" i="1"/>
  <c r="O721" i="1"/>
  <c r="I721" i="1"/>
  <c r="L721" i="1"/>
  <c r="K721" i="1" l="1"/>
  <c r="H721" i="1"/>
  <c r="N721" i="1"/>
  <c r="D721" i="1"/>
  <c r="M721" i="1"/>
  <c r="J721" i="1"/>
  <c r="P721" i="1"/>
  <c r="G721" i="1" l="1"/>
  <c r="C722" i="1" s="1"/>
  <c r="D702" i="3" s="1"/>
  <c r="F721" i="1"/>
  <c r="E722" i="1" l="1"/>
  <c r="D722" i="1"/>
  <c r="B722" i="1"/>
  <c r="C702" i="3" s="1"/>
  <c r="O722" i="1"/>
  <c r="I722" i="1"/>
  <c r="L722" i="1"/>
  <c r="N722" i="1" l="1"/>
  <c r="P722" i="1" s="1"/>
  <c r="H722" i="1"/>
  <c r="K722" i="1"/>
  <c r="M722" i="1" s="1"/>
  <c r="J722" i="1" l="1"/>
  <c r="G722" i="1" s="1"/>
  <c r="E723" i="1" l="1"/>
  <c r="C723" i="1"/>
  <c r="D703" i="3" s="1"/>
  <c r="F722" i="1"/>
  <c r="O723" i="1" l="1"/>
  <c r="I723" i="1"/>
  <c r="L723" i="1"/>
  <c r="B723" i="1"/>
  <c r="C703" i="3" s="1"/>
  <c r="D723" i="1"/>
  <c r="H723" i="1" l="1"/>
  <c r="K723" i="1"/>
  <c r="M723" i="1" s="1"/>
  <c r="N723" i="1"/>
  <c r="P723" i="1" s="1"/>
  <c r="J723" i="1" l="1"/>
  <c r="G723" i="1" s="1"/>
  <c r="F723" i="1" l="1"/>
  <c r="D724" i="1" s="1"/>
  <c r="C724" i="1"/>
  <c r="D704" i="3" s="1"/>
  <c r="E724" i="1"/>
  <c r="B724" i="1" l="1"/>
  <c r="I724" i="1"/>
  <c r="L724" i="1"/>
  <c r="O724" i="1"/>
  <c r="H724" i="1" l="1"/>
  <c r="C704" i="3"/>
  <c r="N724" i="1"/>
  <c r="P724" i="1" s="1"/>
  <c r="K724" i="1"/>
  <c r="M724" i="1" s="1"/>
  <c r="J724" i="1"/>
  <c r="G724" i="1" l="1"/>
  <c r="E725" i="1" s="1"/>
  <c r="F724" i="1"/>
  <c r="C725" i="1" l="1"/>
  <c r="D725" i="1"/>
  <c r="B725" i="1"/>
  <c r="C705" i="3" s="1"/>
  <c r="I725" i="1" l="1"/>
  <c r="D705" i="3"/>
  <c r="O725" i="1"/>
  <c r="L725" i="1"/>
  <c r="K725" i="1"/>
  <c r="N725" i="1"/>
  <c r="H725" i="1"/>
  <c r="M725" i="1" l="1"/>
  <c r="P725" i="1"/>
  <c r="J725" i="1"/>
  <c r="F725" i="1" l="1"/>
  <c r="D726" i="1" s="1"/>
  <c r="G725" i="1"/>
  <c r="C726" i="1" s="1"/>
  <c r="D706" i="3" s="1"/>
  <c r="B726" i="1" l="1"/>
  <c r="E726" i="1"/>
  <c r="L726" i="1"/>
  <c r="O726" i="1"/>
  <c r="I726" i="1"/>
  <c r="K726" i="1" l="1"/>
  <c r="C706" i="3"/>
  <c r="M726" i="1"/>
  <c r="N726" i="1"/>
  <c r="P726" i="1" s="1"/>
  <c r="H726" i="1"/>
  <c r="J726" i="1" s="1"/>
  <c r="G726" i="1" l="1"/>
  <c r="E727" i="1" s="1"/>
  <c r="F726" i="1"/>
  <c r="D727" i="1" s="1"/>
  <c r="C727" i="1" l="1"/>
  <c r="B727" i="1"/>
  <c r="K727" i="1" l="1"/>
  <c r="C707" i="3"/>
  <c r="L727" i="1"/>
  <c r="M727" i="1" s="1"/>
  <c r="D707" i="3"/>
  <c r="I727" i="1"/>
  <c r="O727" i="1"/>
  <c r="H727" i="1"/>
  <c r="N727" i="1"/>
  <c r="P727" i="1" s="1"/>
  <c r="J727" i="1" l="1"/>
  <c r="F727" i="1" s="1"/>
  <c r="D728" i="1" l="1"/>
  <c r="B728" i="1"/>
  <c r="G727" i="1"/>
  <c r="E728" i="1" s="1"/>
  <c r="N728" i="1" l="1"/>
  <c r="C708" i="3"/>
  <c r="K728" i="1"/>
  <c r="H728" i="1"/>
  <c r="C728" i="1"/>
  <c r="L728" i="1" l="1"/>
  <c r="M728" i="1" s="1"/>
  <c r="D708" i="3"/>
  <c r="O728" i="1"/>
  <c r="P728" i="1" s="1"/>
  <c r="I728" i="1"/>
  <c r="J728" i="1" s="1"/>
  <c r="F728" i="1" l="1"/>
  <c r="D729" i="1" s="1"/>
  <c r="G728" i="1"/>
  <c r="C729" i="1" s="1"/>
  <c r="I729" i="1" l="1"/>
  <c r="D709" i="3"/>
  <c r="B729" i="1"/>
  <c r="O729" i="1"/>
  <c r="L729" i="1"/>
  <c r="E729" i="1"/>
  <c r="N729" i="1" l="1"/>
  <c r="C709" i="3"/>
  <c r="K729" i="1"/>
  <c r="M729" i="1" s="1"/>
  <c r="H729" i="1"/>
  <c r="J729" i="1" s="1"/>
  <c r="P729" i="1"/>
  <c r="F729" i="1" l="1"/>
  <c r="D730" i="1" s="1"/>
  <c r="G729" i="1"/>
  <c r="E730" i="1" s="1"/>
  <c r="C730" i="1" l="1"/>
  <c r="B730" i="1"/>
  <c r="N730" i="1" l="1"/>
  <c r="C710" i="3"/>
  <c r="O730" i="1"/>
  <c r="D710" i="3"/>
  <c r="L730" i="1"/>
  <c r="I730" i="1"/>
  <c r="P730" i="1"/>
  <c r="H730" i="1"/>
  <c r="J730" i="1" s="1"/>
  <c r="K730" i="1"/>
  <c r="M730" i="1" l="1"/>
  <c r="G730" i="1" s="1"/>
  <c r="E731" i="1" s="1"/>
  <c r="F730" i="1" l="1"/>
  <c r="D731" i="1" s="1"/>
  <c r="C731" i="1"/>
  <c r="O731" i="1" l="1"/>
  <c r="D711" i="3"/>
  <c r="B731" i="1"/>
  <c r="L731" i="1"/>
  <c r="I731" i="1"/>
  <c r="H731" i="1" l="1"/>
  <c r="J731" i="1" s="1"/>
  <c r="C711" i="3"/>
  <c r="N731" i="1"/>
  <c r="P731" i="1" s="1"/>
  <c r="K731" i="1"/>
  <c r="M731" i="1" s="1"/>
  <c r="F731" i="1" l="1"/>
  <c r="D732" i="1" s="1"/>
  <c r="G731" i="1"/>
  <c r="C732" i="1" s="1"/>
  <c r="L732" i="1" l="1"/>
  <c r="D712" i="3"/>
  <c r="B732" i="1"/>
  <c r="I732" i="1"/>
  <c r="O732" i="1"/>
  <c r="E732" i="1"/>
  <c r="K732" i="1" l="1"/>
  <c r="M732" i="1" s="1"/>
  <c r="C712" i="3"/>
  <c r="H732" i="1"/>
  <c r="J732" i="1" s="1"/>
  <c r="N732" i="1"/>
  <c r="P732" i="1" s="1"/>
  <c r="F732" i="1" l="1"/>
  <c r="B733" i="1" s="1"/>
  <c r="G732" i="1"/>
  <c r="E733" i="1" s="1"/>
  <c r="N733" i="1" l="1"/>
  <c r="C713" i="3"/>
  <c r="H733" i="1"/>
  <c r="K733" i="1"/>
  <c r="D733" i="1"/>
  <c r="C733" i="1"/>
  <c r="I733" i="1" l="1"/>
  <c r="J733" i="1" s="1"/>
  <c r="D713" i="3"/>
  <c r="O733" i="1"/>
  <c r="P733" i="1" s="1"/>
  <c r="L733" i="1"/>
  <c r="M733" i="1" s="1"/>
  <c r="F733" i="1" l="1"/>
  <c r="D734" i="1" s="1"/>
  <c r="G733" i="1"/>
  <c r="E734" i="1" s="1"/>
  <c r="B734" i="1" l="1"/>
  <c r="C734" i="1"/>
  <c r="L734" i="1" l="1"/>
  <c r="D714" i="3"/>
  <c r="K734" i="1"/>
  <c r="M734" i="1" s="1"/>
  <c r="C714" i="3"/>
  <c r="N734" i="1"/>
  <c r="H734" i="1"/>
  <c r="I734" i="1"/>
  <c r="O734" i="1"/>
  <c r="J734" i="1" l="1"/>
  <c r="P734" i="1"/>
  <c r="G734" i="1" s="1"/>
  <c r="C735" i="1" s="1"/>
  <c r="D715" i="3" s="1"/>
  <c r="F734" i="1" l="1"/>
  <c r="D735" i="1" s="1"/>
  <c r="E735" i="1"/>
  <c r="L735" i="1"/>
  <c r="O735" i="1"/>
  <c r="I735" i="1"/>
  <c r="B735" i="1" l="1"/>
  <c r="K735" i="1" l="1"/>
  <c r="M735" i="1" s="1"/>
  <c r="C715" i="3"/>
  <c r="N735" i="1"/>
  <c r="P735" i="1" s="1"/>
  <c r="H735" i="1"/>
  <c r="J735" i="1" s="1"/>
  <c r="G735" i="1" l="1"/>
  <c r="E736" i="1" s="1"/>
  <c r="F735" i="1"/>
  <c r="C736" i="1" l="1"/>
  <c r="B736" i="1"/>
  <c r="C716" i="3" s="1"/>
  <c r="D736" i="1"/>
  <c r="L736" i="1" l="1"/>
  <c r="D716" i="3"/>
  <c r="I736" i="1"/>
  <c r="O736" i="1"/>
  <c r="N736" i="1"/>
  <c r="H736" i="1"/>
  <c r="K736" i="1"/>
  <c r="M736" i="1" s="1"/>
  <c r="P736" i="1" l="1"/>
  <c r="J736" i="1"/>
  <c r="G736" i="1" s="1"/>
  <c r="C737" i="1" l="1"/>
  <c r="D717" i="3" s="1"/>
  <c r="E737" i="1"/>
  <c r="F736" i="1"/>
  <c r="D737" i="1" l="1"/>
  <c r="B737" i="1"/>
  <c r="C717" i="3" s="1"/>
  <c r="O737" i="1"/>
  <c r="I737" i="1"/>
  <c r="L737" i="1"/>
  <c r="N737" i="1" l="1"/>
  <c r="P737" i="1" s="1"/>
  <c r="H737" i="1"/>
  <c r="K737" i="1"/>
  <c r="M737" i="1" s="1"/>
  <c r="J737" i="1" l="1"/>
  <c r="G737" i="1" s="1"/>
  <c r="E738" i="1" l="1"/>
  <c r="C738" i="1"/>
  <c r="D718" i="3" s="1"/>
  <c r="F737" i="1"/>
  <c r="B738" i="1" l="1"/>
  <c r="C718" i="3" s="1"/>
  <c r="D738" i="1"/>
  <c r="O738" i="1"/>
  <c r="I738" i="1"/>
  <c r="L738" i="1"/>
  <c r="N738" i="1" l="1"/>
  <c r="P738" i="1" s="1"/>
  <c r="H738" i="1"/>
  <c r="K738" i="1"/>
  <c r="M738" i="1" s="1"/>
  <c r="J738" i="1" l="1"/>
  <c r="G738" i="1" s="1"/>
  <c r="C739" i="1" l="1"/>
  <c r="D719" i="3" s="1"/>
  <c r="E739" i="1"/>
  <c r="F738" i="1"/>
  <c r="D739" i="1" l="1"/>
  <c r="B739" i="1"/>
  <c r="C719" i="3" s="1"/>
  <c r="O739" i="1"/>
  <c r="I739" i="1"/>
  <c r="L739" i="1"/>
  <c r="H739" i="1" l="1"/>
  <c r="K739" i="1"/>
  <c r="M739" i="1" s="1"/>
  <c r="N739" i="1"/>
  <c r="P739" i="1" s="1"/>
  <c r="J739" i="1" l="1"/>
  <c r="G739" i="1" s="1"/>
  <c r="F739" i="1" l="1"/>
  <c r="E740" i="1"/>
  <c r="C740" i="1"/>
  <c r="D720" i="3" s="1"/>
  <c r="I740" i="1" l="1"/>
  <c r="L740" i="1"/>
  <c r="O740" i="1"/>
  <c r="B740" i="1"/>
  <c r="C720" i="3" s="1"/>
  <c r="D740" i="1"/>
  <c r="H740" i="1" l="1"/>
  <c r="K740" i="1"/>
  <c r="M740" i="1" s="1"/>
  <c r="N740" i="1"/>
  <c r="P740" i="1" s="1"/>
  <c r="J740" i="1" l="1"/>
  <c r="G740" i="1" s="1"/>
  <c r="F740" i="1" l="1"/>
  <c r="C741" i="1"/>
  <c r="D721" i="3" s="1"/>
  <c r="E741" i="1"/>
  <c r="I741" i="1" l="1"/>
  <c r="L741" i="1"/>
  <c r="O741" i="1"/>
  <c r="D741" i="1"/>
  <c r="B741" i="1"/>
  <c r="C721" i="3" s="1"/>
  <c r="K741" i="1" l="1"/>
  <c r="M741" i="1" s="1"/>
  <c r="N741" i="1"/>
  <c r="P741" i="1" s="1"/>
  <c r="H741" i="1"/>
  <c r="J741" i="1" l="1"/>
  <c r="G741" i="1" s="1"/>
  <c r="F741" i="1" l="1"/>
  <c r="E742" i="1"/>
  <c r="C742" i="1"/>
  <c r="D722" i="3" s="1"/>
  <c r="L742" i="1" l="1"/>
  <c r="O742" i="1"/>
  <c r="I742" i="1"/>
  <c r="D742" i="1"/>
  <c r="B742" i="1"/>
  <c r="C722" i="3" s="1"/>
  <c r="K742" i="1" l="1"/>
  <c r="M742" i="1" s="1"/>
  <c r="N742" i="1"/>
  <c r="P742" i="1" s="1"/>
  <c r="H742" i="1"/>
  <c r="J742" i="1" l="1"/>
  <c r="G742" i="1" s="1"/>
  <c r="F742" i="1" l="1"/>
  <c r="C743" i="1"/>
  <c r="D723" i="3" s="1"/>
  <c r="E743" i="1"/>
  <c r="L743" i="1" l="1"/>
  <c r="O743" i="1"/>
  <c r="I743" i="1"/>
  <c r="D743" i="1"/>
  <c r="B743" i="1"/>
  <c r="C723" i="3" s="1"/>
  <c r="K743" i="1" l="1"/>
  <c r="M743" i="1" s="1"/>
  <c r="N743" i="1"/>
  <c r="P743" i="1" s="1"/>
  <c r="H743" i="1"/>
  <c r="J743" i="1" l="1"/>
  <c r="G743" i="1" s="1"/>
  <c r="C744" i="1" l="1"/>
  <c r="D724" i="3" s="1"/>
  <c r="E744" i="1"/>
  <c r="F743" i="1"/>
  <c r="D744" i="1" l="1"/>
  <c r="B744" i="1"/>
  <c r="C724" i="3" s="1"/>
  <c r="L744" i="1"/>
  <c r="O744" i="1"/>
  <c r="I744" i="1"/>
  <c r="N744" i="1" l="1"/>
  <c r="P744" i="1" s="1"/>
  <c r="H744" i="1"/>
  <c r="K744" i="1"/>
  <c r="M744" i="1" s="1"/>
  <c r="J744" i="1" l="1"/>
  <c r="G744" i="1" s="1"/>
  <c r="E745" i="1" l="1"/>
  <c r="C745" i="1"/>
  <c r="D725" i="3" s="1"/>
  <c r="F744" i="1"/>
  <c r="D745" i="1" l="1"/>
  <c r="B745" i="1"/>
  <c r="C725" i="3" s="1"/>
  <c r="O745" i="1"/>
  <c r="I745" i="1"/>
  <c r="L745" i="1"/>
  <c r="N745" i="1" l="1"/>
  <c r="P745" i="1" s="1"/>
  <c r="H745" i="1"/>
  <c r="K745" i="1"/>
  <c r="M745" i="1" s="1"/>
  <c r="J745" i="1" l="1"/>
  <c r="G745" i="1" s="1"/>
  <c r="C746" i="1" l="1"/>
  <c r="D726" i="3" s="1"/>
  <c r="E746" i="1"/>
  <c r="F745" i="1"/>
  <c r="D746" i="1" l="1"/>
  <c r="B746" i="1"/>
  <c r="C726" i="3" s="1"/>
  <c r="O746" i="1"/>
  <c r="I746" i="1"/>
  <c r="L746" i="1"/>
  <c r="N746" i="1" l="1"/>
  <c r="P746" i="1" s="1"/>
  <c r="H746" i="1"/>
  <c r="K746" i="1"/>
  <c r="M746" i="1" s="1"/>
  <c r="J746" i="1" l="1"/>
  <c r="G746" i="1" s="1"/>
  <c r="C747" i="1" l="1"/>
  <c r="D727" i="3" s="1"/>
  <c r="E747" i="1"/>
  <c r="F746" i="1"/>
  <c r="B747" i="1" l="1"/>
  <c r="C727" i="3" s="1"/>
  <c r="D747" i="1"/>
  <c r="O747" i="1"/>
  <c r="I747" i="1"/>
  <c r="L747" i="1"/>
  <c r="H747" i="1" l="1"/>
  <c r="K747" i="1"/>
  <c r="M747" i="1" s="1"/>
  <c r="N747" i="1"/>
  <c r="P747" i="1" s="1"/>
  <c r="J747" i="1" l="1"/>
  <c r="G747" i="1" s="1"/>
  <c r="F747" i="1" l="1"/>
  <c r="B748" i="1" s="1"/>
  <c r="C728" i="3" s="1"/>
  <c r="E748" i="1"/>
  <c r="C748" i="1"/>
  <c r="D728" i="3" s="1"/>
  <c r="D748" i="1" l="1"/>
  <c r="I748" i="1"/>
  <c r="L748" i="1"/>
  <c r="O748" i="1"/>
  <c r="H748" i="1"/>
  <c r="K748" i="1"/>
  <c r="N748" i="1"/>
  <c r="J748" i="1" l="1"/>
  <c r="P748" i="1"/>
  <c r="M748" i="1"/>
  <c r="F748" i="1" l="1"/>
  <c r="D749" i="1" s="1"/>
  <c r="G748" i="1"/>
  <c r="B749" i="1" l="1"/>
  <c r="C749" i="1"/>
  <c r="D729" i="3" s="1"/>
  <c r="E749" i="1"/>
  <c r="K749" i="1" l="1"/>
  <c r="C729" i="3"/>
  <c r="H749" i="1"/>
  <c r="N749" i="1"/>
  <c r="I749" i="1"/>
  <c r="L749" i="1"/>
  <c r="M749" i="1" s="1"/>
  <c r="O749" i="1"/>
  <c r="P749" i="1" s="1"/>
  <c r="J749" i="1" l="1"/>
  <c r="F749" i="1" s="1"/>
  <c r="B750" i="1" l="1"/>
  <c r="C730" i="3" s="1"/>
  <c r="D750" i="1"/>
  <c r="G749" i="1"/>
  <c r="C750" i="1" l="1"/>
  <c r="D730" i="3" s="1"/>
  <c r="E750" i="1"/>
  <c r="K750" i="1"/>
  <c r="N750" i="1"/>
  <c r="H750" i="1"/>
  <c r="L750" i="1" l="1"/>
  <c r="M750" i="1" s="1"/>
  <c r="O750" i="1"/>
  <c r="P750" i="1" s="1"/>
  <c r="I750" i="1"/>
  <c r="J750" i="1" s="1"/>
  <c r="F750" i="1" l="1"/>
  <c r="D751" i="1" s="1"/>
  <c r="G750" i="1"/>
  <c r="B751" i="1" l="1"/>
  <c r="E751" i="1"/>
  <c r="C751" i="1"/>
  <c r="D731" i="3" s="1"/>
  <c r="K751" i="1" l="1"/>
  <c r="C731" i="3"/>
  <c r="H751" i="1"/>
  <c r="N751" i="1"/>
  <c r="L751" i="1"/>
  <c r="M751" i="1" s="1"/>
  <c r="O751" i="1"/>
  <c r="I751" i="1"/>
  <c r="P751" i="1"/>
  <c r="J751" i="1" l="1"/>
  <c r="F751" i="1" s="1"/>
  <c r="D752" i="1" s="1"/>
  <c r="G751" i="1" l="1"/>
  <c r="C752" i="1" s="1"/>
  <c r="D732" i="3" s="1"/>
  <c r="B752" i="1"/>
  <c r="N752" i="1" l="1"/>
  <c r="C732" i="3"/>
  <c r="H752" i="1"/>
  <c r="K752" i="1"/>
  <c r="E752" i="1"/>
  <c r="L752" i="1"/>
  <c r="O752" i="1"/>
  <c r="P752" i="1" s="1"/>
  <c r="I752" i="1"/>
  <c r="M752" i="1" l="1"/>
  <c r="J752" i="1"/>
  <c r="F752" i="1" s="1"/>
  <c r="B753" i="1" l="1"/>
  <c r="C733" i="3" s="1"/>
  <c r="D753" i="1"/>
  <c r="G752" i="1"/>
  <c r="E753" i="1" l="1"/>
  <c r="C753" i="1"/>
  <c r="D733" i="3" s="1"/>
  <c r="N753" i="1"/>
  <c r="H753" i="1"/>
  <c r="K753" i="1"/>
  <c r="O753" i="1" l="1"/>
  <c r="P753" i="1" s="1"/>
  <c r="I753" i="1"/>
  <c r="L753" i="1"/>
  <c r="M753" i="1" s="1"/>
  <c r="J753" i="1" l="1"/>
  <c r="F753" i="1" s="1"/>
  <c r="D754" i="1" l="1"/>
  <c r="B754" i="1"/>
  <c r="C734" i="3" s="1"/>
  <c r="G753" i="1"/>
  <c r="E754" i="1" l="1"/>
  <c r="C754" i="1"/>
  <c r="D734" i="3" s="1"/>
  <c r="N754" i="1"/>
  <c r="H754" i="1"/>
  <c r="K754" i="1"/>
  <c r="O754" i="1" l="1"/>
  <c r="P754" i="1" s="1"/>
  <c r="I754" i="1"/>
  <c r="J754" i="1" s="1"/>
  <c r="L754" i="1"/>
  <c r="M754" i="1" s="1"/>
  <c r="F754" i="1" l="1"/>
  <c r="G754" i="1"/>
  <c r="E755" i="1" l="1"/>
  <c r="C755" i="1"/>
  <c r="D735" i="3" s="1"/>
  <c r="B755" i="1"/>
  <c r="C735" i="3" s="1"/>
  <c r="D755" i="1"/>
  <c r="H755" i="1" l="1"/>
  <c r="K755" i="1"/>
  <c r="N755" i="1"/>
  <c r="O755" i="1"/>
  <c r="I755" i="1"/>
  <c r="L755" i="1"/>
  <c r="P755" i="1" l="1"/>
  <c r="M755" i="1"/>
  <c r="J755" i="1"/>
  <c r="G755" i="1" l="1"/>
  <c r="C756" i="1" s="1"/>
  <c r="D736" i="3" s="1"/>
  <c r="F755" i="1"/>
  <c r="E756" i="1" l="1"/>
  <c r="D756" i="1"/>
  <c r="B756" i="1"/>
  <c r="C736" i="3" s="1"/>
  <c r="I756" i="1"/>
  <c r="L756" i="1"/>
  <c r="O756" i="1"/>
  <c r="H756" i="1" l="1"/>
  <c r="K756" i="1"/>
  <c r="M756" i="1" s="1"/>
  <c r="N756" i="1"/>
  <c r="P756" i="1" s="1"/>
  <c r="J756" i="1" l="1"/>
  <c r="G756" i="1" s="1"/>
  <c r="F756" i="1" l="1"/>
  <c r="D757" i="1" s="1"/>
  <c r="E757" i="1"/>
  <c r="C757" i="1"/>
  <c r="D737" i="3" s="1"/>
  <c r="B757" i="1" l="1"/>
  <c r="I757" i="1"/>
  <c r="L757" i="1"/>
  <c r="O757" i="1"/>
  <c r="K757" i="1" l="1"/>
  <c r="C737" i="3"/>
  <c r="M757" i="1"/>
  <c r="N757" i="1"/>
  <c r="P757" i="1" s="1"/>
  <c r="H757" i="1"/>
  <c r="J757" i="1" s="1"/>
  <c r="G757" i="1" l="1"/>
  <c r="E758" i="1" s="1"/>
  <c r="F757" i="1"/>
  <c r="D758" i="1" s="1"/>
  <c r="C758" i="1" l="1"/>
  <c r="B758" i="1"/>
  <c r="K758" i="1" l="1"/>
  <c r="C738" i="3"/>
  <c r="L758" i="1"/>
  <c r="D738" i="3"/>
  <c r="O758" i="1"/>
  <c r="I758" i="1"/>
  <c r="M758" i="1"/>
  <c r="N758" i="1"/>
  <c r="H758" i="1"/>
  <c r="J758" i="1" l="1"/>
  <c r="P758" i="1"/>
  <c r="F758" i="1" l="1"/>
  <c r="D759" i="1" s="1"/>
  <c r="G758" i="1"/>
  <c r="C759" i="1" s="1"/>
  <c r="B759" i="1"/>
  <c r="K759" i="1" l="1"/>
  <c r="C739" i="3"/>
  <c r="L759" i="1"/>
  <c r="M759" i="1" s="1"/>
  <c r="D739" i="3"/>
  <c r="O759" i="1"/>
  <c r="I759" i="1"/>
  <c r="E759" i="1"/>
  <c r="H759" i="1"/>
  <c r="N759" i="1"/>
  <c r="J759" i="1" l="1"/>
  <c r="P759" i="1"/>
  <c r="F759" i="1" s="1"/>
  <c r="D760" i="1" l="1"/>
  <c r="B760" i="1"/>
  <c r="G759" i="1"/>
  <c r="C760" i="1" s="1"/>
  <c r="L760" i="1" l="1"/>
  <c r="D740" i="3"/>
  <c r="H760" i="1"/>
  <c r="C740" i="3"/>
  <c r="K760" i="1"/>
  <c r="M760" i="1" s="1"/>
  <c r="N760" i="1"/>
  <c r="I760" i="1"/>
  <c r="J760" i="1" s="1"/>
  <c r="O760" i="1"/>
  <c r="P760" i="1" s="1"/>
  <c r="E760" i="1"/>
  <c r="G760" i="1" l="1"/>
  <c r="C761" i="1" s="1"/>
  <c r="D741" i="3" s="1"/>
  <c r="F760" i="1"/>
  <c r="B761" i="1" s="1"/>
  <c r="C741" i="3" s="1"/>
  <c r="E761" i="1" l="1"/>
  <c r="D761" i="1"/>
  <c r="H761" i="1"/>
  <c r="K761" i="1"/>
  <c r="N761" i="1"/>
  <c r="L761" i="1"/>
  <c r="O761" i="1"/>
  <c r="I761" i="1"/>
  <c r="P761" i="1" l="1"/>
  <c r="M761" i="1"/>
  <c r="J761" i="1"/>
  <c r="G761" i="1" l="1"/>
  <c r="E762" i="1" s="1"/>
  <c r="F761" i="1"/>
  <c r="C762" i="1" l="1"/>
  <c r="B762" i="1"/>
  <c r="C742" i="3" s="1"/>
  <c r="D762" i="1"/>
  <c r="I762" i="1" l="1"/>
  <c r="D742" i="3"/>
  <c r="O762" i="1"/>
  <c r="L762" i="1"/>
  <c r="K762" i="1"/>
  <c r="N762" i="1"/>
  <c r="H762" i="1"/>
  <c r="M762" i="1" l="1"/>
  <c r="P762" i="1"/>
  <c r="J762" i="1"/>
  <c r="G762" i="1" l="1"/>
  <c r="C763" i="1" s="1"/>
  <c r="D743" i="3" s="1"/>
  <c r="F762" i="1"/>
  <c r="E763" i="1" l="1"/>
  <c r="D763" i="1"/>
  <c r="B763" i="1"/>
  <c r="C743" i="3" s="1"/>
  <c r="L763" i="1"/>
  <c r="O763" i="1"/>
  <c r="I763" i="1"/>
  <c r="N763" i="1" l="1"/>
  <c r="P763" i="1" s="1"/>
  <c r="H763" i="1"/>
  <c r="K763" i="1"/>
  <c r="M763" i="1" s="1"/>
  <c r="J763" i="1" l="1"/>
  <c r="G763" i="1" s="1"/>
  <c r="F763" i="1" l="1"/>
  <c r="B764" i="1" s="1"/>
  <c r="C744" i="3" s="1"/>
  <c r="C764" i="1"/>
  <c r="D744" i="3" s="1"/>
  <c r="E764" i="1"/>
  <c r="D764" i="1" l="1"/>
  <c r="O764" i="1"/>
  <c r="L764" i="1"/>
  <c r="I764" i="1"/>
  <c r="K764" i="1"/>
  <c r="N764" i="1"/>
  <c r="P764" i="1" s="1"/>
  <c r="H764" i="1"/>
  <c r="M764" i="1" l="1"/>
  <c r="J764" i="1"/>
  <c r="G764" i="1" l="1"/>
  <c r="E765" i="1" s="1"/>
  <c r="F764" i="1"/>
  <c r="C765" i="1" l="1"/>
  <c r="B765" i="1"/>
  <c r="C745" i="3" s="1"/>
  <c r="D765" i="1"/>
  <c r="O765" i="1" l="1"/>
  <c r="D745" i="3"/>
  <c r="L765" i="1"/>
  <c r="I765" i="1"/>
  <c r="N765" i="1"/>
  <c r="P765" i="1" s="1"/>
  <c r="H765" i="1"/>
  <c r="K765" i="1"/>
  <c r="M765" i="1" l="1"/>
  <c r="J765" i="1"/>
  <c r="G765" i="1" l="1"/>
  <c r="C766" i="1" s="1"/>
  <c r="D746" i="3" s="1"/>
  <c r="F765" i="1"/>
  <c r="E766" i="1" l="1"/>
  <c r="D766" i="1"/>
  <c r="B766" i="1"/>
  <c r="C746" i="3" s="1"/>
  <c r="O766" i="1"/>
  <c r="I766" i="1"/>
  <c r="L766" i="1"/>
  <c r="H766" i="1" l="1"/>
  <c r="N766" i="1"/>
  <c r="P766" i="1" s="1"/>
  <c r="K766" i="1"/>
  <c r="M766" i="1" s="1"/>
  <c r="J766" i="1" l="1"/>
  <c r="G766" i="1" s="1"/>
  <c r="F766" i="1" l="1"/>
  <c r="B767" i="1" s="1"/>
  <c r="C747" i="3" s="1"/>
  <c r="C767" i="1"/>
  <c r="D747" i="3" s="1"/>
  <c r="E767" i="1"/>
  <c r="D767" i="1" l="1"/>
  <c r="I767" i="1"/>
  <c r="L767" i="1"/>
  <c r="O767" i="1"/>
  <c r="N767" i="1"/>
  <c r="H767" i="1"/>
  <c r="K767" i="1"/>
  <c r="M767" i="1" s="1"/>
  <c r="P767" i="1" l="1"/>
  <c r="J767" i="1"/>
  <c r="F767" i="1" l="1"/>
  <c r="B768" i="1" s="1"/>
  <c r="C748" i="3" s="1"/>
  <c r="G767" i="1"/>
  <c r="D768" i="1" l="1"/>
  <c r="C768" i="1"/>
  <c r="D748" i="3" s="1"/>
  <c r="E768" i="1"/>
  <c r="K768" i="1"/>
  <c r="N768" i="1"/>
  <c r="H768" i="1"/>
  <c r="O768" i="1" l="1"/>
  <c r="P768" i="1" s="1"/>
  <c r="I768" i="1"/>
  <c r="L768" i="1"/>
  <c r="M768" i="1" s="1"/>
  <c r="J768" i="1" l="1"/>
  <c r="F768" i="1" s="1"/>
  <c r="D769" i="1" l="1"/>
  <c r="B769" i="1"/>
  <c r="C749" i="3" s="1"/>
  <c r="G768" i="1"/>
  <c r="E769" i="1" l="1"/>
  <c r="C769" i="1"/>
  <c r="D749" i="3" s="1"/>
  <c r="H769" i="1"/>
  <c r="K769" i="1"/>
  <c r="N769" i="1"/>
  <c r="L769" i="1" l="1"/>
  <c r="M769" i="1" s="1"/>
  <c r="O769" i="1"/>
  <c r="P769" i="1" s="1"/>
  <c r="I769" i="1"/>
  <c r="J769" i="1" l="1"/>
  <c r="F769" i="1" s="1"/>
  <c r="D770" i="1" l="1"/>
  <c r="B770" i="1"/>
  <c r="C750" i="3" s="1"/>
  <c r="G769" i="1"/>
  <c r="E770" i="1" l="1"/>
  <c r="C770" i="1"/>
  <c r="D750" i="3" s="1"/>
  <c r="K770" i="1"/>
  <c r="N770" i="1"/>
  <c r="H770" i="1"/>
  <c r="I770" i="1" l="1"/>
  <c r="L770" i="1"/>
  <c r="M770" i="1" s="1"/>
  <c r="O770" i="1"/>
  <c r="P770" i="1" s="1"/>
  <c r="J770" i="1" l="1"/>
  <c r="F770" i="1" s="1"/>
  <c r="D771" i="1" l="1"/>
  <c r="B771" i="1"/>
  <c r="C751" i="3" s="1"/>
  <c r="G770" i="1"/>
  <c r="E771" i="1" l="1"/>
  <c r="C771" i="1"/>
  <c r="D751" i="3" s="1"/>
  <c r="N771" i="1"/>
  <c r="H771" i="1"/>
  <c r="K771" i="1"/>
  <c r="L771" i="1" l="1"/>
  <c r="M771" i="1" s="1"/>
  <c r="O771" i="1"/>
  <c r="P771" i="1" s="1"/>
  <c r="I771" i="1"/>
  <c r="J771" i="1" l="1"/>
  <c r="F771" i="1" s="1"/>
  <c r="D772" i="1" l="1"/>
  <c r="B772" i="1"/>
  <c r="C752" i="3" s="1"/>
  <c r="G771" i="1"/>
  <c r="K772" i="1" l="1"/>
  <c r="N772" i="1"/>
  <c r="H772" i="1"/>
  <c r="E772" i="1"/>
  <c r="C772" i="1"/>
  <c r="D752" i="3" s="1"/>
  <c r="O772" i="1" l="1"/>
  <c r="P772" i="1" s="1"/>
  <c r="I772" i="1"/>
  <c r="J772" i="1" s="1"/>
  <c r="L772" i="1"/>
  <c r="M772" i="1" s="1"/>
  <c r="F772" i="1" l="1"/>
  <c r="B773" i="1" s="1"/>
  <c r="C753" i="3" s="1"/>
  <c r="G772" i="1"/>
  <c r="D773" i="1" l="1"/>
  <c r="E773" i="1"/>
  <c r="C773" i="1"/>
  <c r="D753" i="3" s="1"/>
  <c r="N773" i="1"/>
  <c r="H773" i="1"/>
  <c r="K773" i="1"/>
  <c r="L773" i="1" l="1"/>
  <c r="M773" i="1" s="1"/>
  <c r="O773" i="1"/>
  <c r="P773" i="1" s="1"/>
  <c r="I773" i="1"/>
  <c r="J773" i="1" l="1"/>
  <c r="F773" i="1" s="1"/>
  <c r="B774" i="1" l="1"/>
  <c r="C754" i="3" s="1"/>
  <c r="D774" i="1"/>
  <c r="G773" i="1"/>
  <c r="E774" i="1" l="1"/>
  <c r="C774" i="1"/>
  <c r="D754" i="3" s="1"/>
  <c r="H774" i="1"/>
  <c r="K774" i="1"/>
  <c r="N774" i="1"/>
  <c r="O774" i="1" l="1"/>
  <c r="P774" i="1" s="1"/>
  <c r="I774" i="1"/>
  <c r="L774" i="1"/>
  <c r="M774" i="1" s="1"/>
  <c r="J774" i="1" l="1"/>
  <c r="F774" i="1" s="1"/>
  <c r="D775" i="1" l="1"/>
  <c r="B775" i="1"/>
  <c r="C755" i="3" s="1"/>
  <c r="G774" i="1"/>
  <c r="E775" i="1" l="1"/>
  <c r="C775" i="1"/>
  <c r="D755" i="3" s="1"/>
  <c r="N775" i="1"/>
  <c r="H775" i="1"/>
  <c r="K775" i="1"/>
  <c r="I775" i="1" l="1"/>
  <c r="L775" i="1"/>
  <c r="M775" i="1" s="1"/>
  <c r="O775" i="1"/>
  <c r="P775" i="1" s="1"/>
  <c r="J775" i="1" l="1"/>
  <c r="F775" i="1" s="1"/>
  <c r="B776" i="1" l="1"/>
  <c r="C756" i="3" s="1"/>
  <c r="D776" i="1"/>
  <c r="G775" i="1"/>
  <c r="E776" i="1" l="1"/>
  <c r="C776" i="1"/>
  <c r="D756" i="3" s="1"/>
  <c r="K776" i="1"/>
  <c r="N776" i="1"/>
  <c r="H776" i="1"/>
  <c r="O776" i="1" l="1"/>
  <c r="P776" i="1" s="1"/>
  <c r="I776" i="1"/>
  <c r="J776" i="1" s="1"/>
  <c r="L776" i="1"/>
  <c r="M776" i="1" s="1"/>
  <c r="F776" i="1" l="1"/>
  <c r="D777" i="1" s="1"/>
  <c r="G776" i="1"/>
  <c r="B777" i="1" l="1"/>
  <c r="E777" i="1"/>
  <c r="C777" i="1"/>
  <c r="D757" i="3" s="1"/>
  <c r="H777" i="1" l="1"/>
  <c r="C757" i="3"/>
  <c r="K777" i="1"/>
  <c r="N777" i="1"/>
  <c r="L777" i="1"/>
  <c r="O777" i="1"/>
  <c r="I777" i="1"/>
  <c r="P777" i="1" l="1"/>
  <c r="M777" i="1"/>
  <c r="J777" i="1"/>
  <c r="F777" i="1" l="1"/>
  <c r="B778" i="1" s="1"/>
  <c r="C758" i="3" s="1"/>
  <c r="G777" i="1"/>
  <c r="D778" i="1" l="1"/>
  <c r="C778" i="1"/>
  <c r="D758" i="3" s="1"/>
  <c r="E778" i="1"/>
  <c r="K778" i="1"/>
  <c r="N778" i="1"/>
  <c r="H778" i="1"/>
  <c r="I778" i="1" l="1"/>
  <c r="L778" i="1"/>
  <c r="M778" i="1" s="1"/>
  <c r="O778" i="1"/>
  <c r="P778" i="1" s="1"/>
  <c r="J778" i="1" l="1"/>
  <c r="F778" i="1" s="1"/>
  <c r="D779" i="1" l="1"/>
  <c r="B779" i="1"/>
  <c r="C759" i="3" s="1"/>
  <c r="G778" i="1"/>
  <c r="C779" i="1" l="1"/>
  <c r="D759" i="3" s="1"/>
  <c r="E779" i="1"/>
  <c r="N779" i="1"/>
  <c r="K779" i="1"/>
  <c r="H779" i="1"/>
  <c r="L779" i="1" l="1"/>
  <c r="M779" i="1" s="1"/>
  <c r="O779" i="1"/>
  <c r="P779" i="1" s="1"/>
  <c r="I779" i="1"/>
  <c r="J779" i="1" l="1"/>
  <c r="F779" i="1" s="1"/>
  <c r="D780" i="1" l="1"/>
  <c r="B780" i="1"/>
  <c r="C760" i="3" s="1"/>
  <c r="G779" i="1"/>
  <c r="C780" i="1" l="1"/>
  <c r="D760" i="3" s="1"/>
  <c r="E780" i="1"/>
  <c r="K780" i="1"/>
  <c r="N780" i="1"/>
  <c r="H780" i="1"/>
  <c r="O780" i="1" l="1"/>
  <c r="P780" i="1" s="1"/>
  <c r="I780" i="1"/>
  <c r="J780" i="1" s="1"/>
  <c r="L780" i="1"/>
  <c r="M780" i="1" s="1"/>
  <c r="F780" i="1" l="1"/>
  <c r="B781" i="1" s="1"/>
  <c r="C761" i="3" s="1"/>
  <c r="G780" i="1"/>
  <c r="D781" i="1" l="1"/>
  <c r="E781" i="1"/>
  <c r="C781" i="1"/>
  <c r="D761" i="3" s="1"/>
  <c r="N781" i="1"/>
  <c r="H781" i="1"/>
  <c r="K781" i="1"/>
  <c r="L781" i="1" l="1"/>
  <c r="M781" i="1" s="1"/>
  <c r="O781" i="1"/>
  <c r="P781" i="1" s="1"/>
  <c r="I781" i="1"/>
  <c r="J781" i="1" l="1"/>
  <c r="F781" i="1" s="1"/>
  <c r="D782" i="1" l="1"/>
  <c r="B782" i="1"/>
  <c r="C762" i="3" s="1"/>
  <c r="G781" i="1"/>
  <c r="E782" i="1" l="1"/>
  <c r="C782" i="1"/>
  <c r="D762" i="3" s="1"/>
  <c r="H782" i="1"/>
  <c r="K782" i="1"/>
  <c r="N782" i="1"/>
  <c r="O782" i="1" l="1"/>
  <c r="P782" i="1" s="1"/>
  <c r="I782" i="1"/>
  <c r="J782" i="1" s="1"/>
  <c r="L782" i="1"/>
  <c r="M782" i="1" s="1"/>
  <c r="F782" i="1" l="1"/>
  <c r="B783" i="1" s="1"/>
  <c r="C763" i="3" s="1"/>
  <c r="G782" i="1"/>
  <c r="D783" i="1" l="1"/>
  <c r="E783" i="1"/>
  <c r="C783" i="1"/>
  <c r="D763" i="3" s="1"/>
  <c r="N783" i="1"/>
  <c r="H783" i="1"/>
  <c r="K783" i="1"/>
  <c r="I783" i="1" l="1"/>
  <c r="O783" i="1"/>
  <c r="L783" i="1"/>
  <c r="M783" i="1" s="1"/>
  <c r="P783" i="1"/>
  <c r="J783" i="1" l="1"/>
  <c r="F783" i="1" s="1"/>
  <c r="B784" i="1" l="1"/>
  <c r="C764" i="3" s="1"/>
  <c r="D784" i="1"/>
  <c r="G783" i="1"/>
  <c r="E784" i="1" l="1"/>
  <c r="C784" i="1"/>
  <c r="D764" i="3" s="1"/>
  <c r="K784" i="1"/>
  <c r="N784" i="1"/>
  <c r="H784" i="1"/>
  <c r="O784" i="1" l="1"/>
  <c r="P784" i="1" s="1"/>
  <c r="I784" i="1"/>
  <c r="L784" i="1"/>
  <c r="M784" i="1" s="1"/>
  <c r="J784" i="1" l="1"/>
  <c r="F784" i="1" s="1"/>
  <c r="D785" i="1" l="1"/>
  <c r="B785" i="1"/>
  <c r="C765" i="3" s="1"/>
  <c r="G784" i="1"/>
  <c r="E785" i="1" l="1"/>
  <c r="C785" i="1"/>
  <c r="D765" i="3" s="1"/>
  <c r="H785" i="1"/>
  <c r="K785" i="1"/>
  <c r="N785" i="1"/>
  <c r="L785" i="1" l="1"/>
  <c r="M785" i="1" s="1"/>
  <c r="O785" i="1"/>
  <c r="P785" i="1" s="1"/>
  <c r="I785" i="1"/>
  <c r="J785" i="1" l="1"/>
  <c r="F785" i="1" s="1"/>
  <c r="B786" i="1" l="1"/>
  <c r="C766" i="3" s="1"/>
  <c r="D786" i="1"/>
  <c r="G785" i="1"/>
  <c r="E786" i="1" l="1"/>
  <c r="C786" i="1"/>
  <c r="D766" i="3" s="1"/>
  <c r="K786" i="1"/>
  <c r="N786" i="1"/>
  <c r="H786" i="1"/>
  <c r="I786" i="1" l="1"/>
  <c r="J786" i="1" s="1"/>
  <c r="L786" i="1"/>
  <c r="M786" i="1" s="1"/>
  <c r="O786" i="1"/>
  <c r="P786" i="1" s="1"/>
  <c r="F786" i="1" l="1"/>
  <c r="G786" i="1"/>
  <c r="E787" i="1" l="1"/>
  <c r="C787" i="1"/>
  <c r="D767" i="3" s="1"/>
  <c r="D787" i="1"/>
  <c r="B787" i="1"/>
  <c r="C767" i="3" s="1"/>
  <c r="L787" i="1" l="1"/>
  <c r="O787" i="1"/>
  <c r="I787" i="1"/>
  <c r="N787" i="1"/>
  <c r="P787" i="1" s="1"/>
  <c r="H787" i="1"/>
  <c r="K787" i="1"/>
  <c r="J787" i="1" l="1"/>
  <c r="M787" i="1"/>
  <c r="F787" i="1" l="1"/>
  <c r="D788" i="1" s="1"/>
  <c r="G787" i="1"/>
  <c r="B788" i="1" l="1"/>
  <c r="C788" i="1"/>
  <c r="D768" i="3" s="1"/>
  <c r="E788" i="1"/>
  <c r="K788" i="1" l="1"/>
  <c r="C768" i="3"/>
  <c r="N788" i="1"/>
  <c r="H788" i="1"/>
  <c r="O788" i="1"/>
  <c r="I788" i="1"/>
  <c r="L788" i="1"/>
  <c r="M788" i="1" s="1"/>
  <c r="P788" i="1" l="1"/>
  <c r="J788" i="1"/>
  <c r="F788" i="1" l="1"/>
  <c r="D789" i="1" s="1"/>
  <c r="G788" i="1"/>
  <c r="B789" i="1" l="1"/>
  <c r="E789" i="1"/>
  <c r="C789" i="1"/>
  <c r="D769" i="3" s="1"/>
  <c r="N789" i="1" l="1"/>
  <c r="C769" i="3"/>
  <c r="K789" i="1"/>
  <c r="H789" i="1"/>
  <c r="L789" i="1"/>
  <c r="O789" i="1"/>
  <c r="P789" i="1" s="1"/>
  <c r="I789" i="1"/>
  <c r="J789" i="1" l="1"/>
  <c r="M789" i="1"/>
  <c r="F789" i="1" l="1"/>
  <c r="B790" i="1" s="1"/>
  <c r="G789" i="1"/>
  <c r="E790" i="1" s="1"/>
  <c r="N790" i="1" l="1"/>
  <c r="C770" i="3"/>
  <c r="K790" i="1"/>
  <c r="H790" i="1"/>
  <c r="D790" i="1"/>
  <c r="C790" i="1"/>
  <c r="O790" i="1" l="1"/>
  <c r="P790" i="1" s="1"/>
  <c r="D770" i="3"/>
  <c r="L790" i="1"/>
  <c r="M790" i="1" s="1"/>
  <c r="I790" i="1"/>
  <c r="J790" i="1" s="1"/>
  <c r="F790" i="1" l="1"/>
  <c r="B791" i="1" s="1"/>
  <c r="C771" i="3" s="1"/>
  <c r="G790" i="1"/>
  <c r="D791" i="1" l="1"/>
  <c r="E791" i="1"/>
  <c r="C791" i="1"/>
  <c r="D771" i="3" s="1"/>
  <c r="N791" i="1"/>
  <c r="H791" i="1"/>
  <c r="K791" i="1"/>
  <c r="I791" i="1" l="1"/>
  <c r="L791" i="1"/>
  <c r="M791" i="1" s="1"/>
  <c r="O791" i="1"/>
  <c r="P791" i="1" s="1"/>
  <c r="J791" i="1" l="1"/>
  <c r="F791" i="1" s="1"/>
  <c r="D792" i="1" l="1"/>
  <c r="B792" i="1"/>
  <c r="C772" i="3" s="1"/>
  <c r="G791" i="1"/>
  <c r="E792" i="1" l="1"/>
  <c r="C792" i="1"/>
  <c r="D772" i="3" s="1"/>
  <c r="K792" i="1"/>
  <c r="N792" i="1"/>
  <c r="H792" i="1"/>
  <c r="O792" i="1" l="1"/>
  <c r="P792" i="1" s="1"/>
  <c r="I792" i="1"/>
  <c r="L792" i="1"/>
  <c r="M792" i="1" s="1"/>
  <c r="J792" i="1" l="1"/>
  <c r="F792" i="1" s="1"/>
  <c r="B793" i="1" l="1"/>
  <c r="C773" i="3" s="1"/>
  <c r="D793" i="1"/>
  <c r="G792" i="1"/>
  <c r="E793" i="1" l="1"/>
  <c r="C793" i="1"/>
  <c r="D773" i="3" s="1"/>
  <c r="H793" i="1"/>
  <c r="K793" i="1"/>
  <c r="N793" i="1"/>
  <c r="L793" i="1" l="1"/>
  <c r="M793" i="1" s="1"/>
  <c r="O793" i="1"/>
  <c r="P793" i="1" s="1"/>
  <c r="I793" i="1"/>
  <c r="J793" i="1" s="1"/>
  <c r="F793" i="1" l="1"/>
  <c r="D794" i="1" s="1"/>
  <c r="G793" i="1"/>
  <c r="B794" i="1" l="1"/>
  <c r="E794" i="1"/>
  <c r="C794" i="1"/>
  <c r="D774" i="3" s="1"/>
  <c r="K794" i="1" l="1"/>
  <c r="C774" i="3"/>
  <c r="N794" i="1"/>
  <c r="H794" i="1"/>
  <c r="I794" i="1"/>
  <c r="L794" i="1"/>
  <c r="M794" i="1" s="1"/>
  <c r="O794" i="1"/>
  <c r="J794" i="1" l="1"/>
  <c r="P794" i="1"/>
  <c r="F794" i="1" l="1"/>
  <c r="B795" i="1" s="1"/>
  <c r="C775" i="3" s="1"/>
  <c r="G794" i="1"/>
  <c r="E795" i="1" s="1"/>
  <c r="D795" i="1" l="1"/>
  <c r="C795" i="1"/>
  <c r="N795" i="1"/>
  <c r="H795" i="1"/>
  <c r="K795" i="1"/>
  <c r="L795" i="1" l="1"/>
  <c r="D775" i="3"/>
  <c r="I795" i="1"/>
  <c r="J795" i="1" s="1"/>
  <c r="O795" i="1"/>
  <c r="P795" i="1" s="1"/>
  <c r="M795" i="1"/>
  <c r="F795" i="1" l="1"/>
  <c r="D796" i="1" s="1"/>
  <c r="G795" i="1"/>
  <c r="C796" i="1" s="1"/>
  <c r="D776" i="3" s="1"/>
  <c r="B796" i="1" l="1"/>
  <c r="E796" i="1"/>
  <c r="O796" i="1"/>
  <c r="L796" i="1"/>
  <c r="I796" i="1"/>
  <c r="K796" i="1" l="1"/>
  <c r="C776" i="3"/>
  <c r="H796" i="1"/>
  <c r="J796" i="1" s="1"/>
  <c r="N796" i="1"/>
  <c r="P796" i="1" s="1"/>
  <c r="M796" i="1"/>
  <c r="G796" i="1" l="1"/>
  <c r="E797" i="1" s="1"/>
  <c r="F796" i="1"/>
  <c r="D797" i="1" s="1"/>
  <c r="C797" i="1" l="1"/>
  <c r="B797" i="1"/>
  <c r="N797" i="1" l="1"/>
  <c r="C777" i="3"/>
  <c r="L797" i="1"/>
  <c r="D777" i="3"/>
  <c r="O797" i="1"/>
  <c r="P797" i="1" s="1"/>
  <c r="I797" i="1"/>
  <c r="K797" i="1"/>
  <c r="M797" i="1" s="1"/>
  <c r="H797" i="1"/>
  <c r="J797" i="1" s="1"/>
  <c r="G797" i="1" l="1"/>
  <c r="E798" i="1" s="1"/>
  <c r="F797" i="1"/>
  <c r="D798" i="1" s="1"/>
  <c r="C798" i="1" l="1"/>
  <c r="B798" i="1"/>
  <c r="H798" i="1" l="1"/>
  <c r="C778" i="3"/>
  <c r="O798" i="1"/>
  <c r="D778" i="3"/>
  <c r="L798" i="1"/>
  <c r="I798" i="1"/>
  <c r="J798" i="1" s="1"/>
  <c r="K798" i="1"/>
  <c r="N798" i="1"/>
  <c r="P798" i="1" s="1"/>
  <c r="M798" i="1" l="1"/>
  <c r="F798" i="1" s="1"/>
  <c r="D799" i="1" s="1"/>
  <c r="G798" i="1" l="1"/>
  <c r="E799" i="1" s="1"/>
  <c r="B799" i="1"/>
  <c r="N799" i="1" l="1"/>
  <c r="C779" i="3"/>
  <c r="C799" i="1"/>
  <c r="K799" i="1"/>
  <c r="H799" i="1"/>
  <c r="I799" i="1" l="1"/>
  <c r="D779" i="3"/>
  <c r="J799" i="1"/>
  <c r="O799" i="1"/>
  <c r="P799" i="1" s="1"/>
  <c r="L799" i="1"/>
  <c r="M799" i="1" s="1"/>
  <c r="G799" i="1" l="1"/>
  <c r="E800" i="1" s="1"/>
  <c r="F799" i="1"/>
  <c r="B800" i="1" s="1"/>
  <c r="C780" i="3" s="1"/>
  <c r="C800" i="1" l="1"/>
  <c r="D800" i="1"/>
  <c r="K800" i="1"/>
  <c r="N800" i="1"/>
  <c r="H800" i="1"/>
  <c r="O800" i="1" l="1"/>
  <c r="D780" i="3"/>
  <c r="P800" i="1"/>
  <c r="L800" i="1"/>
  <c r="I800" i="1"/>
  <c r="J800" i="1" s="1"/>
  <c r="M800" i="1"/>
  <c r="G800" i="1" l="1"/>
  <c r="C801" i="1" s="1"/>
  <c r="D781" i="3" s="1"/>
  <c r="F800" i="1"/>
  <c r="B801" i="1" s="1"/>
  <c r="C781" i="3" s="1"/>
  <c r="E801" i="1" l="1"/>
  <c r="D801" i="1"/>
  <c r="L801" i="1"/>
  <c r="O801" i="1"/>
  <c r="I801" i="1"/>
  <c r="H801" i="1"/>
  <c r="K801" i="1"/>
  <c r="N801" i="1"/>
  <c r="P801" i="1" s="1"/>
  <c r="M801" i="1" l="1"/>
  <c r="J801" i="1"/>
  <c r="G801" i="1" s="1"/>
  <c r="C802" i="1" l="1"/>
  <c r="D782" i="3" s="1"/>
  <c r="E802" i="1"/>
  <c r="F801" i="1"/>
  <c r="B802" i="1" l="1"/>
  <c r="C782" i="3" s="1"/>
  <c r="D802" i="1"/>
  <c r="I802" i="1"/>
  <c r="L802" i="1"/>
  <c r="O802" i="1"/>
  <c r="K802" i="1" l="1"/>
  <c r="M802" i="1" s="1"/>
  <c r="N802" i="1"/>
  <c r="P802" i="1" s="1"/>
  <c r="H802" i="1"/>
  <c r="J802" i="1" l="1"/>
  <c r="G802" i="1" s="1"/>
  <c r="E803" i="1" l="1"/>
  <c r="C803" i="1"/>
  <c r="D783" i="3" s="1"/>
  <c r="F802" i="1"/>
  <c r="B803" i="1" l="1"/>
  <c r="C783" i="3" s="1"/>
  <c r="D803" i="1"/>
  <c r="L803" i="1"/>
  <c r="O803" i="1"/>
  <c r="I803" i="1"/>
  <c r="N803" i="1" l="1"/>
  <c r="P803" i="1" s="1"/>
  <c r="H803" i="1"/>
  <c r="K803" i="1"/>
  <c r="M803" i="1" s="1"/>
  <c r="J803" i="1" l="1"/>
  <c r="G803" i="1" s="1"/>
  <c r="F803" i="1" l="1"/>
  <c r="D804" i="1" s="1"/>
  <c r="E804" i="1"/>
  <c r="C804" i="1"/>
  <c r="D784" i="3" s="1"/>
  <c r="B804" i="1" l="1"/>
  <c r="O804" i="1"/>
  <c r="I804" i="1"/>
  <c r="L804" i="1"/>
  <c r="K804" i="1" l="1"/>
  <c r="M804" i="1" s="1"/>
  <c r="C784" i="3"/>
  <c r="H804" i="1"/>
  <c r="J804" i="1" s="1"/>
  <c r="N804" i="1"/>
  <c r="P804" i="1" s="1"/>
  <c r="F804" i="1" l="1"/>
  <c r="D805" i="1" s="1"/>
  <c r="G804" i="1"/>
  <c r="B805" i="1" l="1"/>
  <c r="E805" i="1"/>
  <c r="C805" i="1"/>
  <c r="D785" i="3" s="1"/>
  <c r="N805" i="1" l="1"/>
  <c r="C785" i="3"/>
  <c r="K805" i="1"/>
  <c r="H805" i="1"/>
  <c r="L805" i="1"/>
  <c r="O805" i="1"/>
  <c r="P805" i="1" s="1"/>
  <c r="I805" i="1"/>
  <c r="M805" i="1" l="1"/>
  <c r="J805" i="1"/>
  <c r="F805" i="1" l="1"/>
  <c r="B806" i="1" s="1"/>
  <c r="C786" i="3" s="1"/>
  <c r="G805" i="1"/>
  <c r="D806" i="1" l="1"/>
  <c r="H806" i="1"/>
  <c r="K806" i="1"/>
  <c r="N806" i="1"/>
  <c r="E806" i="1"/>
  <c r="C806" i="1"/>
  <c r="D786" i="3" s="1"/>
  <c r="O806" i="1" l="1"/>
  <c r="P806" i="1" s="1"/>
  <c r="I806" i="1"/>
  <c r="J806" i="1" s="1"/>
  <c r="L806" i="1"/>
  <c r="M806" i="1" s="1"/>
  <c r="F806" i="1" l="1"/>
  <c r="D807" i="1" s="1"/>
  <c r="G806" i="1"/>
  <c r="B807" i="1" l="1"/>
  <c r="C807" i="1"/>
  <c r="D787" i="3" s="1"/>
  <c r="E807" i="1"/>
  <c r="N807" i="1" l="1"/>
  <c r="C787" i="3"/>
  <c r="H807" i="1"/>
  <c r="K807" i="1"/>
  <c r="I807" i="1"/>
  <c r="L807" i="1"/>
  <c r="O807" i="1"/>
  <c r="P807" i="1" s="1"/>
  <c r="M807" i="1" l="1"/>
  <c r="J807" i="1"/>
  <c r="F807" i="1" l="1"/>
  <c r="B808" i="1" s="1"/>
  <c r="C788" i="3" s="1"/>
  <c r="G807" i="1"/>
  <c r="D808" i="1" l="1"/>
  <c r="E808" i="1"/>
  <c r="C808" i="1"/>
  <c r="D788" i="3" s="1"/>
  <c r="K808" i="1"/>
  <c r="N808" i="1"/>
  <c r="H808" i="1"/>
  <c r="O808" i="1" l="1"/>
  <c r="P808" i="1" s="1"/>
  <c r="I808" i="1"/>
  <c r="L808" i="1"/>
  <c r="M808" i="1" s="1"/>
  <c r="J808" i="1" l="1"/>
  <c r="F808" i="1" s="1"/>
  <c r="D809" i="1" l="1"/>
  <c r="B809" i="1"/>
  <c r="C789" i="3" s="1"/>
  <c r="G808" i="1"/>
  <c r="H809" i="1" l="1"/>
  <c r="K809" i="1"/>
  <c r="N809" i="1"/>
  <c r="E809" i="1"/>
  <c r="C809" i="1"/>
  <c r="D789" i="3" s="1"/>
  <c r="L809" i="1" l="1"/>
  <c r="M809" i="1" s="1"/>
  <c r="O809" i="1"/>
  <c r="P809" i="1" s="1"/>
  <c r="I809" i="1"/>
  <c r="J809" i="1" s="1"/>
  <c r="F809" i="1" l="1"/>
  <c r="G809" i="1"/>
  <c r="E810" i="1" l="1"/>
  <c r="C810" i="1"/>
  <c r="D790" i="3" s="1"/>
  <c r="B810" i="1"/>
  <c r="C790" i="3" s="1"/>
  <c r="D810" i="1"/>
  <c r="K810" i="1" l="1"/>
  <c r="N810" i="1"/>
  <c r="H810" i="1"/>
  <c r="I810" i="1"/>
  <c r="L810" i="1"/>
  <c r="O810" i="1"/>
  <c r="J810" i="1" l="1"/>
  <c r="M810" i="1"/>
  <c r="P810" i="1"/>
  <c r="G810" i="1" l="1"/>
  <c r="C811" i="1" s="1"/>
  <c r="D791" i="3" s="1"/>
  <c r="F810" i="1"/>
  <c r="E811" i="1" l="1"/>
  <c r="B811" i="1"/>
  <c r="C791" i="3" s="1"/>
  <c r="D811" i="1"/>
  <c r="L811" i="1"/>
  <c r="O811" i="1"/>
  <c r="I811" i="1"/>
  <c r="N811" i="1" l="1"/>
  <c r="P811" i="1" s="1"/>
  <c r="K811" i="1"/>
  <c r="M811" i="1" s="1"/>
  <c r="H811" i="1"/>
  <c r="J811" i="1" l="1"/>
  <c r="G811" i="1" s="1"/>
  <c r="F811" i="1" l="1"/>
  <c r="E812" i="1"/>
  <c r="C812" i="1"/>
  <c r="D792" i="3" s="1"/>
  <c r="O812" i="1" l="1"/>
  <c r="I812" i="1"/>
  <c r="L812" i="1"/>
  <c r="D812" i="1"/>
  <c r="B812" i="1"/>
  <c r="C792" i="3" s="1"/>
  <c r="K812" i="1" l="1"/>
  <c r="M812" i="1" s="1"/>
  <c r="N812" i="1"/>
  <c r="P812" i="1" s="1"/>
  <c r="H812" i="1"/>
  <c r="J812" i="1" l="1"/>
  <c r="G812" i="1" s="1"/>
  <c r="C813" i="1" l="1"/>
  <c r="D793" i="3" s="1"/>
  <c r="E813" i="1"/>
  <c r="F812" i="1"/>
  <c r="B813" i="1" l="1"/>
  <c r="C793" i="3" s="1"/>
  <c r="D813" i="1"/>
  <c r="L813" i="1"/>
  <c r="O813" i="1"/>
  <c r="I813" i="1"/>
  <c r="N813" i="1" l="1"/>
  <c r="P813" i="1" s="1"/>
  <c r="H813" i="1"/>
  <c r="K813" i="1"/>
  <c r="M813" i="1" s="1"/>
  <c r="J813" i="1" l="1"/>
  <c r="G813" i="1" s="1"/>
  <c r="E814" i="1" l="1"/>
  <c r="C814" i="1"/>
  <c r="D794" i="3" s="1"/>
  <c r="F813" i="1"/>
  <c r="D814" i="1" l="1"/>
  <c r="B814" i="1"/>
  <c r="C794" i="3" s="1"/>
  <c r="O814" i="1"/>
  <c r="I814" i="1"/>
  <c r="L814" i="1"/>
  <c r="H814" i="1" l="1"/>
  <c r="K814" i="1"/>
  <c r="M814" i="1" s="1"/>
  <c r="N814" i="1"/>
  <c r="P814" i="1" s="1"/>
  <c r="J814" i="1" l="1"/>
  <c r="G814" i="1" s="1"/>
  <c r="F814" i="1" l="1"/>
  <c r="B815" i="1" s="1"/>
  <c r="C795" i="3" s="1"/>
  <c r="C815" i="1"/>
  <c r="D795" i="3" s="1"/>
  <c r="E815" i="1"/>
  <c r="D815" i="1" l="1"/>
  <c r="I815" i="1"/>
  <c r="O815" i="1"/>
  <c r="L815" i="1"/>
  <c r="N815" i="1"/>
  <c r="P815" i="1" s="1"/>
  <c r="H815" i="1"/>
  <c r="K815" i="1"/>
  <c r="J815" i="1" l="1"/>
  <c r="M815" i="1"/>
  <c r="F815" i="1" l="1"/>
  <c r="B816" i="1" s="1"/>
  <c r="C796" i="3" s="1"/>
  <c r="G815" i="1"/>
  <c r="E816" i="1" s="1"/>
  <c r="D816" i="1" l="1"/>
  <c r="C816" i="1"/>
  <c r="K816" i="1"/>
  <c r="N816" i="1"/>
  <c r="H816" i="1"/>
  <c r="O816" i="1" l="1"/>
  <c r="D796" i="3"/>
  <c r="L816" i="1"/>
  <c r="M816" i="1" s="1"/>
  <c r="I816" i="1"/>
  <c r="J816" i="1" s="1"/>
  <c r="P816" i="1"/>
  <c r="G816" i="1" l="1"/>
  <c r="C817" i="1" s="1"/>
  <c r="D797" i="3" s="1"/>
  <c r="F816" i="1"/>
  <c r="E817" i="1" l="1"/>
  <c r="B817" i="1"/>
  <c r="C797" i="3" s="1"/>
  <c r="D817" i="1"/>
  <c r="L817" i="1"/>
  <c r="O817" i="1"/>
  <c r="I817" i="1"/>
  <c r="H817" i="1" l="1"/>
  <c r="K817" i="1"/>
  <c r="M817" i="1" s="1"/>
  <c r="N817" i="1"/>
  <c r="P817" i="1" s="1"/>
  <c r="J817" i="1" l="1"/>
  <c r="G817" i="1" s="1"/>
  <c r="F817" i="1" l="1"/>
  <c r="C818" i="1"/>
  <c r="D798" i="3" s="1"/>
  <c r="E818" i="1"/>
  <c r="I818" i="1" l="1"/>
  <c r="L818" i="1"/>
  <c r="O818" i="1"/>
  <c r="D818" i="1"/>
  <c r="B818" i="1"/>
  <c r="C798" i="3" s="1"/>
  <c r="K818" i="1" l="1"/>
  <c r="M818" i="1" s="1"/>
  <c r="N818" i="1"/>
  <c r="P818" i="1" s="1"/>
  <c r="H818" i="1"/>
  <c r="J818" i="1" l="1"/>
  <c r="G818" i="1" s="1"/>
  <c r="E819" i="1" l="1"/>
  <c r="C819" i="1"/>
  <c r="D799" i="3" s="1"/>
  <c r="F818" i="1"/>
  <c r="B819" i="1" l="1"/>
  <c r="C799" i="3" s="1"/>
  <c r="D819" i="1"/>
  <c r="L819" i="1"/>
  <c r="O819" i="1"/>
  <c r="I819" i="1"/>
  <c r="N819" i="1" l="1"/>
  <c r="P819" i="1" s="1"/>
  <c r="H819" i="1"/>
  <c r="K819" i="1"/>
  <c r="M819" i="1" s="1"/>
  <c r="J819" i="1" l="1"/>
  <c r="G819" i="1" s="1"/>
  <c r="F819" i="1" l="1"/>
  <c r="D820" i="1" s="1"/>
  <c r="C820" i="1"/>
  <c r="D800" i="3" s="1"/>
  <c r="E820" i="1"/>
  <c r="B820" i="1" l="1"/>
  <c r="O820" i="1"/>
  <c r="I820" i="1"/>
  <c r="L820" i="1"/>
  <c r="K820" i="1" l="1"/>
  <c r="M820" i="1" s="1"/>
  <c r="C800" i="3"/>
  <c r="H820" i="1"/>
  <c r="J820" i="1" s="1"/>
  <c r="N820" i="1"/>
  <c r="P820" i="1" s="1"/>
  <c r="G820" i="1" l="1"/>
  <c r="E821" i="1" s="1"/>
  <c r="F820" i="1"/>
  <c r="C821" i="1" l="1"/>
  <c r="D821" i="1"/>
  <c r="B821" i="1"/>
  <c r="C801" i="3" s="1"/>
  <c r="L821" i="1" l="1"/>
  <c r="D801" i="3"/>
  <c r="I821" i="1"/>
  <c r="O821" i="1"/>
  <c r="N821" i="1"/>
  <c r="H821" i="1"/>
  <c r="K821" i="1"/>
  <c r="M821" i="1" s="1"/>
  <c r="P821" i="1" l="1"/>
  <c r="J821" i="1"/>
  <c r="G821" i="1" l="1"/>
  <c r="C822" i="1" s="1"/>
  <c r="D802" i="3" s="1"/>
  <c r="F821" i="1"/>
  <c r="E822" i="1" l="1"/>
  <c r="B822" i="1"/>
  <c r="C802" i="3" s="1"/>
  <c r="D822" i="1"/>
  <c r="O822" i="1"/>
  <c r="I822" i="1"/>
  <c r="L822" i="1"/>
  <c r="H822" i="1" l="1"/>
  <c r="K822" i="1"/>
  <c r="M822" i="1" s="1"/>
  <c r="N822" i="1"/>
  <c r="P822" i="1" s="1"/>
  <c r="J822" i="1" l="1"/>
  <c r="G822" i="1" s="1"/>
  <c r="F822" i="1" l="1"/>
  <c r="D823" i="1" s="1"/>
  <c r="E823" i="1"/>
  <c r="C823" i="1"/>
  <c r="D803" i="3" s="1"/>
  <c r="B823" i="1" l="1"/>
  <c r="I823" i="1"/>
  <c r="L823" i="1"/>
  <c r="O823" i="1"/>
  <c r="N823" i="1" l="1"/>
  <c r="C803" i="3"/>
  <c r="P823" i="1"/>
  <c r="H823" i="1"/>
  <c r="J823" i="1" s="1"/>
  <c r="K823" i="1"/>
  <c r="M823" i="1" s="1"/>
  <c r="F823" i="1" l="1"/>
  <c r="B824" i="1" s="1"/>
  <c r="C804" i="3" s="1"/>
  <c r="G823" i="1"/>
  <c r="E824" i="1" s="1"/>
  <c r="C824" i="1" l="1"/>
  <c r="D824" i="1"/>
  <c r="K824" i="1"/>
  <c r="N824" i="1"/>
  <c r="H824" i="1"/>
  <c r="O824" i="1" l="1"/>
  <c r="D804" i="3"/>
  <c r="P824" i="1"/>
  <c r="L824" i="1"/>
  <c r="M824" i="1" s="1"/>
  <c r="I824" i="1"/>
  <c r="J824" i="1" s="1"/>
  <c r="G824" i="1" l="1"/>
  <c r="E825" i="1" s="1"/>
  <c r="F824" i="1"/>
  <c r="D825" i="1" s="1"/>
  <c r="C825" i="1" l="1"/>
  <c r="B825" i="1"/>
  <c r="H825" i="1" l="1"/>
  <c r="C805" i="3"/>
  <c r="O825" i="1"/>
  <c r="D805" i="3"/>
  <c r="I825" i="1"/>
  <c r="J825" i="1" s="1"/>
  <c r="L825" i="1"/>
  <c r="K825" i="1"/>
  <c r="N825" i="1"/>
  <c r="P825" i="1" s="1"/>
  <c r="M825" i="1" l="1"/>
  <c r="F825" i="1" s="1"/>
  <c r="D826" i="1" s="1"/>
  <c r="G825" i="1" l="1"/>
  <c r="C826" i="1" s="1"/>
  <c r="B826" i="1"/>
  <c r="K826" i="1" l="1"/>
  <c r="C806" i="3"/>
  <c r="I826" i="1"/>
  <c r="D806" i="3"/>
  <c r="O826" i="1"/>
  <c r="L826" i="1"/>
  <c r="M826" i="1" s="1"/>
  <c r="E826" i="1"/>
  <c r="H826" i="1"/>
  <c r="J826" i="1" s="1"/>
  <c r="N826" i="1"/>
  <c r="P826" i="1" l="1"/>
  <c r="F826" i="1" s="1"/>
  <c r="B827" i="1" s="1"/>
  <c r="C807" i="3" s="1"/>
  <c r="G826" i="1" l="1"/>
  <c r="C827" i="1" s="1"/>
  <c r="D827" i="1"/>
  <c r="N827" i="1"/>
  <c r="H827" i="1"/>
  <c r="K827" i="1"/>
  <c r="L827" i="1" l="1"/>
  <c r="D807" i="3"/>
  <c r="O827" i="1"/>
  <c r="P827" i="1" s="1"/>
  <c r="E827" i="1"/>
  <c r="I827" i="1"/>
  <c r="J827" i="1" s="1"/>
  <c r="M827" i="1"/>
  <c r="F827" i="1" l="1"/>
  <c r="D828" i="1" s="1"/>
  <c r="G827" i="1"/>
  <c r="E828" i="1" s="1"/>
  <c r="B828" i="1" l="1"/>
  <c r="C828" i="1"/>
  <c r="O828" i="1" l="1"/>
  <c r="D808" i="3"/>
  <c r="K828" i="1"/>
  <c r="C808" i="3"/>
  <c r="H828" i="1"/>
  <c r="N828" i="1"/>
  <c r="P828" i="1" s="1"/>
  <c r="L828" i="1"/>
  <c r="M828" i="1" s="1"/>
  <c r="I828" i="1"/>
  <c r="J828" i="1" l="1"/>
  <c r="F828" i="1" s="1"/>
  <c r="B829" i="1" s="1"/>
  <c r="C809" i="3" s="1"/>
  <c r="G828" i="1" l="1"/>
  <c r="E829" i="1" s="1"/>
  <c r="D829" i="1"/>
  <c r="N829" i="1"/>
  <c r="H829" i="1"/>
  <c r="K829" i="1"/>
  <c r="C829" i="1" l="1"/>
  <c r="L829" i="1" l="1"/>
  <c r="M829" i="1" s="1"/>
  <c r="D809" i="3"/>
  <c r="O829" i="1"/>
  <c r="P829" i="1" s="1"/>
  <c r="I829" i="1"/>
  <c r="J829" i="1" s="1"/>
  <c r="F829" i="1" l="1"/>
  <c r="D830" i="1" s="1"/>
  <c r="G829" i="1"/>
  <c r="E830" i="1" s="1"/>
  <c r="B830" i="1" l="1"/>
  <c r="C830" i="1"/>
  <c r="O830" i="1" l="1"/>
  <c r="D810" i="3"/>
  <c r="H830" i="1"/>
  <c r="C810" i="3"/>
  <c r="N830" i="1"/>
  <c r="P830" i="1" s="1"/>
  <c r="K830" i="1"/>
  <c r="I830" i="1"/>
  <c r="J830" i="1" s="1"/>
  <c r="L830" i="1"/>
  <c r="M830" i="1" l="1"/>
  <c r="G830" i="1" s="1"/>
  <c r="C831" i="1" s="1"/>
  <c r="O831" i="1" l="1"/>
  <c r="D811" i="3"/>
  <c r="F830" i="1"/>
  <c r="D831" i="1" s="1"/>
  <c r="L831" i="1"/>
  <c r="I831" i="1"/>
  <c r="E831" i="1"/>
  <c r="B831" i="1" l="1"/>
  <c r="N831" i="1" l="1"/>
  <c r="P831" i="1" s="1"/>
  <c r="C811" i="3"/>
  <c r="K831" i="1"/>
  <c r="M831" i="1" s="1"/>
  <c r="H831" i="1"/>
  <c r="J831" i="1" s="1"/>
  <c r="G831" i="1" l="1"/>
  <c r="E832" i="1" s="1"/>
  <c r="F831" i="1"/>
  <c r="D832" i="1" s="1"/>
  <c r="C832" i="1" l="1"/>
  <c r="B832" i="1"/>
  <c r="K832" i="1" l="1"/>
  <c r="C812" i="3"/>
  <c r="I832" i="1"/>
  <c r="D812" i="3"/>
  <c r="H832" i="1"/>
  <c r="J832" i="1" s="1"/>
  <c r="N832" i="1"/>
  <c r="O832" i="1"/>
  <c r="L832" i="1"/>
  <c r="M832" i="1" s="1"/>
  <c r="P832" i="1" l="1"/>
  <c r="G832" i="1"/>
  <c r="E833" i="1" s="1"/>
  <c r="F832" i="1"/>
  <c r="B833" i="1" s="1"/>
  <c r="C813" i="3" s="1"/>
  <c r="C833" i="1" l="1"/>
  <c r="D833" i="1"/>
  <c r="H833" i="1"/>
  <c r="N833" i="1"/>
  <c r="K833" i="1"/>
  <c r="L833" i="1" l="1"/>
  <c r="D813" i="3"/>
  <c r="M833" i="1"/>
  <c r="O833" i="1"/>
  <c r="P833" i="1" s="1"/>
  <c r="I833" i="1"/>
  <c r="J833" i="1" s="1"/>
  <c r="F833" i="1" s="1"/>
  <c r="D834" i="1" s="1"/>
  <c r="G833" i="1" l="1"/>
  <c r="E834" i="1" s="1"/>
  <c r="B834" i="1"/>
  <c r="C814" i="3" s="1"/>
  <c r="C834" i="1" l="1"/>
  <c r="N834" i="1"/>
  <c r="H834" i="1"/>
  <c r="K834" i="1"/>
  <c r="I834" i="1" l="1"/>
  <c r="D814" i="3"/>
  <c r="J834" i="1"/>
  <c r="L834" i="1"/>
  <c r="M834" i="1" s="1"/>
  <c r="O834" i="1"/>
  <c r="P834" i="1" s="1"/>
  <c r="F834" i="1" l="1"/>
  <c r="B835" i="1" s="1"/>
  <c r="G834" i="1"/>
  <c r="E835" i="1" s="1"/>
  <c r="H835" i="1" l="1"/>
  <c r="C815" i="3"/>
  <c r="N835" i="1"/>
  <c r="K835" i="1"/>
  <c r="D835" i="1"/>
  <c r="C835" i="1"/>
  <c r="L835" i="1" l="1"/>
  <c r="M835" i="1" s="1"/>
  <c r="D815" i="3"/>
  <c r="I835" i="1"/>
  <c r="J835" i="1" s="1"/>
  <c r="O835" i="1"/>
  <c r="P835" i="1" s="1"/>
  <c r="F835" i="1" l="1"/>
  <c r="B836" i="1" s="1"/>
  <c r="C816" i="3" s="1"/>
  <c r="G835" i="1"/>
  <c r="D836" i="1" l="1"/>
  <c r="E836" i="1"/>
  <c r="C836" i="1"/>
  <c r="D816" i="3" s="1"/>
  <c r="K836" i="1"/>
  <c r="N836" i="1"/>
  <c r="H836" i="1"/>
  <c r="O836" i="1" l="1"/>
  <c r="P836" i="1" s="1"/>
  <c r="I836" i="1"/>
  <c r="L836" i="1"/>
  <c r="M836" i="1" s="1"/>
  <c r="J836" i="1" l="1"/>
  <c r="F836" i="1" s="1"/>
  <c r="D837" i="1" l="1"/>
  <c r="B837" i="1"/>
  <c r="C817" i="3" s="1"/>
  <c r="G836" i="1"/>
  <c r="E837" i="1" l="1"/>
  <c r="C837" i="1"/>
  <c r="D817" i="3" s="1"/>
  <c r="N837" i="1"/>
  <c r="H837" i="1"/>
  <c r="K837" i="1"/>
  <c r="L837" i="1" l="1"/>
  <c r="M837" i="1" s="1"/>
  <c r="O837" i="1"/>
  <c r="P837" i="1" s="1"/>
  <c r="I837" i="1"/>
  <c r="J837" i="1" s="1"/>
  <c r="F837" i="1" l="1"/>
  <c r="D838" i="1" s="1"/>
  <c r="G837" i="1"/>
  <c r="B838" i="1" l="1"/>
  <c r="E838" i="1"/>
  <c r="C838" i="1"/>
  <c r="D818" i="3" s="1"/>
  <c r="K838" i="1" l="1"/>
  <c r="C818" i="3"/>
  <c r="H838" i="1"/>
  <c r="N838" i="1"/>
  <c r="O838" i="1"/>
  <c r="I838" i="1"/>
  <c r="L838" i="1"/>
  <c r="M838" i="1" s="1"/>
  <c r="P838" i="1" l="1"/>
  <c r="J838" i="1"/>
  <c r="F838" i="1" l="1"/>
  <c r="D839" i="1" s="1"/>
  <c r="G838" i="1"/>
  <c r="B839" i="1" l="1"/>
  <c r="E839" i="1"/>
  <c r="C839" i="1"/>
  <c r="D819" i="3" s="1"/>
  <c r="N839" i="1" l="1"/>
  <c r="C819" i="3"/>
  <c r="H839" i="1"/>
  <c r="K839" i="1"/>
  <c r="I839" i="1"/>
  <c r="L839" i="1"/>
  <c r="O839" i="1"/>
  <c r="P839" i="1" s="1"/>
  <c r="M839" i="1" l="1"/>
  <c r="J839" i="1"/>
  <c r="F839" i="1" l="1"/>
  <c r="B840" i="1" s="1"/>
  <c r="G839" i="1"/>
  <c r="E840" i="1" s="1"/>
  <c r="N840" i="1" l="1"/>
  <c r="C820" i="3"/>
  <c r="K840" i="1"/>
  <c r="H840" i="1"/>
  <c r="D840" i="1"/>
  <c r="C840" i="1"/>
  <c r="O840" i="1" l="1"/>
  <c r="P840" i="1" s="1"/>
  <c r="D820" i="3"/>
  <c r="L840" i="1"/>
  <c r="M840" i="1" s="1"/>
  <c r="I840" i="1"/>
  <c r="J840" i="1" s="1"/>
  <c r="F840" i="1" l="1"/>
  <c r="D841" i="1" s="1"/>
  <c r="G840" i="1"/>
  <c r="E841" i="1" s="1"/>
  <c r="B841" i="1" l="1"/>
  <c r="C841" i="1"/>
  <c r="L841" i="1" l="1"/>
  <c r="D821" i="3"/>
  <c r="H841" i="1"/>
  <c r="C821" i="3"/>
  <c r="K841" i="1"/>
  <c r="M841" i="1" s="1"/>
  <c r="N841" i="1"/>
  <c r="I841" i="1"/>
  <c r="J841" i="1" s="1"/>
  <c r="O841" i="1"/>
  <c r="P841" i="1" s="1"/>
  <c r="F841" i="1" l="1"/>
  <c r="B842" i="1" s="1"/>
  <c r="C822" i="3" s="1"/>
  <c r="G841" i="1"/>
  <c r="D842" i="1" l="1"/>
  <c r="E842" i="1"/>
  <c r="C842" i="1"/>
  <c r="D822" i="3" s="1"/>
  <c r="K842" i="1"/>
  <c r="N842" i="1"/>
  <c r="H842" i="1"/>
  <c r="I842" i="1" l="1"/>
  <c r="J842" i="1" s="1"/>
  <c r="L842" i="1"/>
  <c r="O842" i="1"/>
  <c r="P842" i="1" s="1"/>
  <c r="M842" i="1"/>
  <c r="F842" i="1" l="1"/>
  <c r="D843" i="1" s="1"/>
  <c r="G842" i="1"/>
  <c r="B843" i="1" l="1"/>
  <c r="E843" i="1"/>
  <c r="C843" i="1"/>
  <c r="D823" i="3" s="1"/>
  <c r="N843" i="1" l="1"/>
  <c r="C823" i="3"/>
  <c r="H843" i="1"/>
  <c r="K843" i="1"/>
  <c r="L843" i="1"/>
  <c r="O843" i="1"/>
  <c r="P843" i="1" s="1"/>
  <c r="I843" i="1"/>
  <c r="M843" i="1" l="1"/>
  <c r="J843" i="1"/>
  <c r="F843" i="1" l="1"/>
  <c r="B844" i="1" s="1"/>
  <c r="G843" i="1"/>
  <c r="E844" i="1" s="1"/>
  <c r="H844" i="1" l="1"/>
  <c r="C824" i="3"/>
  <c r="D844" i="1"/>
  <c r="C844" i="1"/>
  <c r="K844" i="1"/>
  <c r="N844" i="1"/>
  <c r="I844" i="1" l="1"/>
  <c r="J844" i="1" s="1"/>
  <c r="D824" i="3"/>
  <c r="L844" i="1"/>
  <c r="M844" i="1" s="1"/>
  <c r="O844" i="1"/>
  <c r="P844" i="1" s="1"/>
  <c r="F844" i="1" l="1"/>
  <c r="D845" i="1" s="1"/>
  <c r="G844" i="1"/>
  <c r="E845" i="1" s="1"/>
  <c r="B845" i="1" l="1"/>
  <c r="C845" i="1"/>
  <c r="L845" i="1" l="1"/>
  <c r="D825" i="3"/>
  <c r="N845" i="1"/>
  <c r="C825" i="3"/>
  <c r="H845" i="1"/>
  <c r="K845" i="1"/>
  <c r="M845" i="1" s="1"/>
  <c r="I845" i="1"/>
  <c r="O845" i="1"/>
  <c r="P845" i="1" s="1"/>
  <c r="J845" i="1" l="1"/>
  <c r="F845" i="1" s="1"/>
  <c r="B846" i="1" s="1"/>
  <c r="H846" i="1" l="1"/>
  <c r="C826" i="3"/>
  <c r="G845" i="1"/>
  <c r="E846" i="1" s="1"/>
  <c r="K846" i="1"/>
  <c r="D846" i="1"/>
  <c r="N846" i="1"/>
  <c r="C846" i="1" l="1"/>
  <c r="D826" i="3" s="1"/>
  <c r="O846" i="1" l="1"/>
  <c r="P846" i="1" s="1"/>
  <c r="I846" i="1"/>
  <c r="J846" i="1" s="1"/>
  <c r="L846" i="1"/>
  <c r="M846" i="1" s="1"/>
  <c r="G846" i="1" l="1"/>
  <c r="E847" i="1" s="1"/>
  <c r="F846" i="1"/>
  <c r="D847" i="1" s="1"/>
  <c r="C847" i="1" l="1"/>
  <c r="B847" i="1"/>
  <c r="N847" i="1" l="1"/>
  <c r="C827" i="3"/>
  <c r="I847" i="1"/>
  <c r="D827" i="3"/>
  <c r="O847" i="1"/>
  <c r="P847" i="1" s="1"/>
  <c r="L847" i="1"/>
  <c r="K847" i="1"/>
  <c r="H847" i="1"/>
  <c r="J847" i="1" s="1"/>
  <c r="M847" i="1" l="1"/>
  <c r="F847" i="1" s="1"/>
  <c r="B848" i="1" s="1"/>
  <c r="C828" i="3" s="1"/>
  <c r="G847" i="1" l="1"/>
  <c r="C848" i="1" s="1"/>
  <c r="D828" i="3" s="1"/>
  <c r="D848" i="1"/>
  <c r="K848" i="1"/>
  <c r="N848" i="1"/>
  <c r="H848" i="1"/>
  <c r="E848" i="1" l="1"/>
  <c r="O848" i="1"/>
  <c r="P848" i="1" s="1"/>
  <c r="I848" i="1"/>
  <c r="L848" i="1"/>
  <c r="M848" i="1" s="1"/>
  <c r="J848" i="1" l="1"/>
  <c r="F848" i="1" s="1"/>
  <c r="D849" i="1" l="1"/>
  <c r="B849" i="1"/>
  <c r="C829" i="3" s="1"/>
  <c r="G848" i="1"/>
  <c r="E849" i="1" l="1"/>
  <c r="C849" i="1"/>
  <c r="D829" i="3" s="1"/>
  <c r="H849" i="1"/>
  <c r="K849" i="1"/>
  <c r="N849" i="1"/>
  <c r="L849" i="1" l="1"/>
  <c r="M849" i="1" s="1"/>
  <c r="O849" i="1"/>
  <c r="P849" i="1" s="1"/>
  <c r="I849" i="1"/>
  <c r="J849" i="1" l="1"/>
  <c r="F849" i="1" s="1"/>
  <c r="B850" i="1" l="1"/>
  <c r="C830" i="3" s="1"/>
  <c r="D850" i="1"/>
  <c r="G849" i="1"/>
  <c r="E850" i="1" l="1"/>
  <c r="C850" i="1"/>
  <c r="D830" i="3" s="1"/>
  <c r="K850" i="1"/>
  <c r="N850" i="1"/>
  <c r="H850" i="1"/>
  <c r="I850" i="1" l="1"/>
  <c r="L850" i="1"/>
  <c r="M850" i="1" s="1"/>
  <c r="O850" i="1"/>
  <c r="P850" i="1" s="1"/>
  <c r="J850" i="1" l="1"/>
  <c r="F850" i="1" s="1"/>
  <c r="D851" i="1" l="1"/>
  <c r="B851" i="1"/>
  <c r="C831" i="3" s="1"/>
  <c r="G850" i="1"/>
  <c r="N851" i="1" l="1"/>
  <c r="H851" i="1"/>
  <c r="K851" i="1"/>
  <c r="E851" i="1"/>
  <c r="C851" i="1"/>
  <c r="D831" i="3" s="1"/>
  <c r="L851" i="1" l="1"/>
  <c r="M851" i="1" s="1"/>
  <c r="O851" i="1"/>
  <c r="P851" i="1" s="1"/>
  <c r="I851" i="1"/>
  <c r="J851" i="1" s="1"/>
  <c r="F851" i="1" l="1"/>
  <c r="B852" i="1" s="1"/>
  <c r="C832" i="3" s="1"/>
  <c r="G851" i="1"/>
  <c r="D852" i="1" l="1"/>
  <c r="C852" i="1"/>
  <c r="D832" i="3" s="1"/>
  <c r="E852" i="1"/>
  <c r="K852" i="1"/>
  <c r="N852" i="1"/>
  <c r="H852" i="1"/>
  <c r="O852" i="1" l="1"/>
  <c r="P852" i="1" s="1"/>
  <c r="I852" i="1"/>
  <c r="L852" i="1"/>
  <c r="M852" i="1" s="1"/>
  <c r="J852" i="1" l="1"/>
  <c r="F852" i="1" s="1"/>
  <c r="D853" i="1" l="1"/>
  <c r="B853" i="1"/>
  <c r="C833" i="3" s="1"/>
  <c r="G852" i="1"/>
  <c r="N853" i="1" l="1"/>
  <c r="H853" i="1"/>
  <c r="K853" i="1"/>
  <c r="E853" i="1"/>
  <c r="C853" i="1"/>
  <c r="D833" i="3" s="1"/>
  <c r="L853" i="1" l="1"/>
  <c r="M853" i="1" s="1"/>
  <c r="O853" i="1"/>
  <c r="P853" i="1" s="1"/>
  <c r="I853" i="1"/>
  <c r="J853" i="1" s="1"/>
  <c r="F853" i="1" l="1"/>
  <c r="B854" i="1" s="1"/>
  <c r="C834" i="3" s="1"/>
  <c r="G853" i="1"/>
  <c r="D854" i="1" l="1"/>
  <c r="C854" i="1"/>
  <c r="D834" i="3" s="1"/>
  <c r="E854" i="1"/>
  <c r="H854" i="1"/>
  <c r="K854" i="1"/>
  <c r="N854" i="1"/>
  <c r="O854" i="1" l="1"/>
  <c r="P854" i="1" s="1"/>
  <c r="I854" i="1"/>
  <c r="L854" i="1"/>
  <c r="M854" i="1" s="1"/>
  <c r="J854" i="1" l="1"/>
  <c r="F854" i="1" s="1"/>
  <c r="D855" i="1" l="1"/>
  <c r="B855" i="1"/>
  <c r="C835" i="3" s="1"/>
  <c r="G854" i="1"/>
  <c r="E855" i="1" l="1"/>
  <c r="C855" i="1"/>
  <c r="D835" i="3" s="1"/>
  <c r="N855" i="1"/>
  <c r="H855" i="1"/>
  <c r="K855" i="1"/>
  <c r="I855" i="1" l="1"/>
  <c r="L855" i="1"/>
  <c r="M855" i="1" s="1"/>
  <c r="O855" i="1"/>
  <c r="P855" i="1" s="1"/>
  <c r="J855" i="1" l="1"/>
  <c r="F855" i="1" s="1"/>
  <c r="D856" i="1" l="1"/>
  <c r="B856" i="1"/>
  <c r="C836" i="3" s="1"/>
  <c r="G855" i="1"/>
  <c r="E856" i="1" l="1"/>
  <c r="C856" i="1"/>
  <c r="D836" i="3" s="1"/>
  <c r="K856" i="1"/>
  <c r="N856" i="1"/>
  <c r="H856" i="1"/>
  <c r="O856" i="1" l="1"/>
  <c r="P856" i="1" s="1"/>
  <c r="I856" i="1"/>
  <c r="L856" i="1"/>
  <c r="M856" i="1" s="1"/>
  <c r="J856" i="1" l="1"/>
  <c r="F856" i="1" s="1"/>
  <c r="B857" i="1" l="1"/>
  <c r="C837" i="3" s="1"/>
  <c r="D857" i="1"/>
  <c r="G856" i="1"/>
  <c r="E857" i="1" l="1"/>
  <c r="C857" i="1"/>
  <c r="D837" i="3" s="1"/>
  <c r="H857" i="1"/>
  <c r="K857" i="1"/>
  <c r="N857" i="1"/>
  <c r="L857" i="1" l="1"/>
  <c r="M857" i="1" s="1"/>
  <c r="O857" i="1"/>
  <c r="P857" i="1" s="1"/>
  <c r="I857" i="1"/>
  <c r="J857" i="1" s="1"/>
  <c r="F857" i="1" l="1"/>
  <c r="D858" i="1" s="1"/>
  <c r="G857" i="1"/>
  <c r="B858" i="1" l="1"/>
  <c r="C858" i="1"/>
  <c r="D838" i="3" s="1"/>
  <c r="E858" i="1"/>
  <c r="K858" i="1" l="1"/>
  <c r="C838" i="3"/>
  <c r="H858" i="1"/>
  <c r="N858" i="1"/>
  <c r="I858" i="1"/>
  <c r="L858" i="1"/>
  <c r="M858" i="1" s="1"/>
  <c r="O858" i="1"/>
  <c r="P858" i="1" s="1"/>
  <c r="J858" i="1" l="1"/>
  <c r="F858" i="1" s="1"/>
  <c r="B859" i="1" s="1"/>
  <c r="C839" i="3" s="1"/>
  <c r="G858" i="1" l="1"/>
  <c r="E859" i="1" s="1"/>
  <c r="D859" i="1"/>
  <c r="N859" i="1"/>
  <c r="H859" i="1"/>
  <c r="K859" i="1"/>
  <c r="C859" i="1" l="1"/>
  <c r="L859" i="1" l="1"/>
  <c r="M859" i="1" s="1"/>
  <c r="D839" i="3"/>
  <c r="I859" i="1"/>
  <c r="J859" i="1" s="1"/>
  <c r="O859" i="1"/>
  <c r="P859" i="1" s="1"/>
  <c r="F859" i="1" l="1"/>
  <c r="D860" i="1" s="1"/>
  <c r="G859" i="1"/>
  <c r="C860" i="1" s="1"/>
  <c r="D840" i="3" s="1"/>
  <c r="B860" i="1" l="1"/>
  <c r="E860" i="1"/>
  <c r="O860" i="1"/>
  <c r="L860" i="1"/>
  <c r="I860" i="1"/>
  <c r="K860" i="1" l="1"/>
  <c r="C840" i="3"/>
  <c r="M860" i="1"/>
  <c r="H860" i="1"/>
  <c r="J860" i="1" s="1"/>
  <c r="N860" i="1"/>
  <c r="P860" i="1" s="1"/>
  <c r="F860" i="1" l="1"/>
  <c r="B861" i="1" s="1"/>
  <c r="G860" i="1"/>
  <c r="E861" i="1" s="1"/>
  <c r="K861" i="1" l="1"/>
  <c r="C841" i="3"/>
  <c r="N861" i="1"/>
  <c r="H861" i="1"/>
  <c r="D861" i="1"/>
  <c r="C861" i="1"/>
  <c r="L861" i="1" l="1"/>
  <c r="M861" i="1" s="1"/>
  <c r="D841" i="3"/>
  <c r="I861" i="1"/>
  <c r="J861" i="1" s="1"/>
  <c r="O861" i="1"/>
  <c r="P861" i="1" s="1"/>
  <c r="F861" i="1" l="1"/>
  <c r="D862" i="1" s="1"/>
  <c r="G861" i="1"/>
  <c r="C862" i="1" s="1"/>
  <c r="D842" i="3" s="1"/>
  <c r="B862" i="1" l="1"/>
  <c r="E862" i="1"/>
  <c r="O862" i="1"/>
  <c r="I862" i="1"/>
  <c r="L862" i="1"/>
  <c r="H862" i="1" l="1"/>
  <c r="C842" i="3"/>
  <c r="J862" i="1"/>
  <c r="N862" i="1"/>
  <c r="P862" i="1" s="1"/>
  <c r="K862" i="1"/>
  <c r="M862" i="1" s="1"/>
  <c r="F862" i="1" l="1"/>
  <c r="B863" i="1" s="1"/>
  <c r="G862" i="1"/>
  <c r="C863" i="1" s="1"/>
  <c r="D843" i="3" s="1"/>
  <c r="H863" i="1" l="1"/>
  <c r="C843" i="3"/>
  <c r="K863" i="1"/>
  <c r="N863" i="1"/>
  <c r="D863" i="1"/>
  <c r="E863" i="1"/>
  <c r="I863" i="1"/>
  <c r="L863" i="1"/>
  <c r="O863" i="1"/>
  <c r="P863" i="1" l="1"/>
  <c r="M863" i="1"/>
  <c r="J863" i="1"/>
  <c r="F863" i="1" l="1"/>
  <c r="D864" i="1" s="1"/>
  <c r="G863" i="1"/>
  <c r="B864" i="1" l="1"/>
  <c r="E864" i="1"/>
  <c r="C864" i="1"/>
  <c r="D844" i="3" s="1"/>
  <c r="K864" i="1" l="1"/>
  <c r="C844" i="3"/>
  <c r="H864" i="1"/>
  <c r="N864" i="1"/>
  <c r="O864" i="1"/>
  <c r="I864" i="1"/>
  <c r="L864" i="1"/>
  <c r="M864" i="1" s="1"/>
  <c r="P864" i="1" l="1"/>
  <c r="J864" i="1"/>
  <c r="F864" i="1" l="1"/>
  <c r="B865" i="1" s="1"/>
  <c r="G864" i="1"/>
  <c r="C865" i="1" s="1"/>
  <c r="D845" i="3" s="1"/>
  <c r="K865" i="1" l="1"/>
  <c r="C845" i="3"/>
  <c r="N865" i="1"/>
  <c r="H865" i="1"/>
  <c r="D865" i="1"/>
  <c r="E865" i="1"/>
  <c r="L865" i="1"/>
  <c r="M865" i="1" s="1"/>
  <c r="O865" i="1"/>
  <c r="I865" i="1"/>
  <c r="J865" i="1" l="1"/>
  <c r="P865" i="1"/>
  <c r="F865" i="1" s="1"/>
  <c r="G865" i="1"/>
  <c r="E866" i="1" l="1"/>
  <c r="C866" i="1"/>
  <c r="D846" i="3" s="1"/>
  <c r="D866" i="1"/>
  <c r="B866" i="1"/>
  <c r="C846" i="3" s="1"/>
  <c r="I866" i="1" l="1"/>
  <c r="L866" i="1"/>
  <c r="O866" i="1"/>
  <c r="K866" i="1"/>
  <c r="N866" i="1"/>
  <c r="P866" i="1" s="1"/>
  <c r="H866" i="1"/>
  <c r="M866" i="1" l="1"/>
  <c r="J866" i="1"/>
  <c r="G866" i="1" l="1"/>
  <c r="E867" i="1" s="1"/>
  <c r="F866" i="1"/>
  <c r="C867" i="1" l="1"/>
  <c r="D867" i="1"/>
  <c r="B867" i="1"/>
  <c r="C847" i="3" s="1"/>
  <c r="L867" i="1" l="1"/>
  <c r="D847" i="3"/>
  <c r="I867" i="1"/>
  <c r="O867" i="1"/>
  <c r="N867" i="1"/>
  <c r="H867" i="1"/>
  <c r="K867" i="1"/>
  <c r="M867" i="1" s="1"/>
  <c r="P867" i="1" l="1"/>
  <c r="J867" i="1"/>
  <c r="G867" i="1" l="1"/>
  <c r="E868" i="1" s="1"/>
  <c r="F867" i="1"/>
  <c r="C868" i="1" l="1"/>
  <c r="B868" i="1"/>
  <c r="C848" i="3" s="1"/>
  <c r="D868" i="1"/>
  <c r="O868" i="1" l="1"/>
  <c r="D848" i="3"/>
  <c r="L868" i="1"/>
  <c r="I868" i="1"/>
  <c r="K868" i="1"/>
  <c r="N868" i="1"/>
  <c r="P868" i="1" s="1"/>
  <c r="H868" i="1"/>
  <c r="M868" i="1" l="1"/>
  <c r="J868" i="1"/>
  <c r="G868" i="1" l="1"/>
  <c r="E869" i="1" s="1"/>
  <c r="F868" i="1"/>
  <c r="C869" i="1" l="1"/>
  <c r="D869" i="1"/>
  <c r="B869" i="1"/>
  <c r="C849" i="3" s="1"/>
  <c r="L869" i="1" l="1"/>
  <c r="D849" i="3"/>
  <c r="O869" i="1"/>
  <c r="I869" i="1"/>
  <c r="N869" i="1"/>
  <c r="H869" i="1"/>
  <c r="K869" i="1"/>
  <c r="M869" i="1" l="1"/>
  <c r="P869" i="1"/>
  <c r="J869" i="1"/>
  <c r="G869" i="1" l="1"/>
  <c r="C870" i="1" s="1"/>
  <c r="D850" i="3" s="1"/>
  <c r="F869" i="1"/>
  <c r="E870" i="1" l="1"/>
  <c r="D870" i="1"/>
  <c r="B870" i="1"/>
  <c r="C850" i="3" s="1"/>
  <c r="O870" i="1"/>
  <c r="I870" i="1"/>
  <c r="L870" i="1"/>
  <c r="H870" i="1" l="1"/>
  <c r="K870" i="1"/>
  <c r="M870" i="1" s="1"/>
  <c r="N870" i="1"/>
  <c r="P870" i="1" s="1"/>
  <c r="J870" i="1" l="1"/>
  <c r="G870" i="1" s="1"/>
  <c r="F870" i="1" l="1"/>
  <c r="B871" i="1" s="1"/>
  <c r="C851" i="3" s="1"/>
  <c r="E871" i="1"/>
  <c r="C871" i="1"/>
  <c r="D851" i="3" s="1"/>
  <c r="D871" i="1" l="1"/>
  <c r="I871" i="1"/>
  <c r="L871" i="1"/>
  <c r="O871" i="1"/>
  <c r="N871" i="1"/>
  <c r="H871" i="1"/>
  <c r="K871" i="1"/>
  <c r="P871" i="1" l="1"/>
  <c r="J871" i="1"/>
  <c r="M871" i="1"/>
  <c r="F871" i="1" l="1"/>
  <c r="B872" i="1" s="1"/>
  <c r="C852" i="3" s="1"/>
  <c r="G871" i="1"/>
  <c r="E872" i="1" s="1"/>
  <c r="D872" i="1" l="1"/>
  <c r="C872" i="1"/>
  <c r="K872" i="1"/>
  <c r="N872" i="1"/>
  <c r="H872" i="1"/>
  <c r="O872" i="1" l="1"/>
  <c r="D852" i="3"/>
  <c r="P872" i="1"/>
  <c r="L872" i="1"/>
  <c r="M872" i="1" s="1"/>
  <c r="I872" i="1"/>
  <c r="J872" i="1" s="1"/>
  <c r="F872" i="1" l="1"/>
  <c r="D873" i="1" s="1"/>
  <c r="G872" i="1"/>
  <c r="E873" i="1" s="1"/>
  <c r="B873" i="1" l="1"/>
  <c r="C873" i="1"/>
  <c r="L873" i="1" l="1"/>
  <c r="D853" i="3"/>
  <c r="H873" i="1"/>
  <c r="C853" i="3"/>
  <c r="N873" i="1"/>
  <c r="K873" i="1"/>
  <c r="M873" i="1" s="1"/>
  <c r="I873" i="1"/>
  <c r="J873" i="1" s="1"/>
  <c r="O873" i="1"/>
  <c r="P873" i="1" l="1"/>
  <c r="G873" i="1" s="1"/>
  <c r="E874" i="1" s="1"/>
  <c r="F873" i="1" l="1"/>
  <c r="D874" i="1" s="1"/>
  <c r="C874" i="1"/>
  <c r="I874" i="1" l="1"/>
  <c r="D854" i="3"/>
  <c r="B874" i="1"/>
  <c r="O874" i="1"/>
  <c r="L874" i="1"/>
  <c r="K874" i="1" l="1"/>
  <c r="C854" i="3"/>
  <c r="M874" i="1"/>
  <c r="N874" i="1"/>
  <c r="P874" i="1" s="1"/>
  <c r="H874" i="1"/>
  <c r="J874" i="1" s="1"/>
  <c r="G874" i="1" l="1"/>
  <c r="E875" i="1" s="1"/>
  <c r="F874" i="1"/>
  <c r="B875" i="1" s="1"/>
  <c r="H875" i="1" l="1"/>
  <c r="C855" i="3"/>
  <c r="C875" i="1"/>
  <c r="K875" i="1"/>
  <c r="N875" i="1"/>
  <c r="D875" i="1"/>
  <c r="L875" i="1" l="1"/>
  <c r="D855" i="3"/>
  <c r="O875" i="1"/>
  <c r="P875" i="1" s="1"/>
  <c r="I875" i="1"/>
  <c r="J875" i="1" s="1"/>
  <c r="M875" i="1"/>
  <c r="F875" i="1" l="1"/>
  <c r="D876" i="1" s="1"/>
  <c r="G875" i="1"/>
  <c r="C876" i="1" s="1"/>
  <c r="O876" i="1" l="1"/>
  <c r="D856" i="3"/>
  <c r="L876" i="1"/>
  <c r="I876" i="1"/>
  <c r="B876" i="1"/>
  <c r="E876" i="1"/>
  <c r="K876" i="1" l="1"/>
  <c r="M876" i="1" s="1"/>
  <c r="C856" i="3"/>
  <c r="H876" i="1"/>
  <c r="J876" i="1" s="1"/>
  <c r="N876" i="1"/>
  <c r="P876" i="1" s="1"/>
  <c r="G876" i="1" l="1"/>
  <c r="E877" i="1" s="1"/>
  <c r="F876" i="1"/>
  <c r="C877" i="1" l="1"/>
  <c r="D877" i="1"/>
  <c r="B877" i="1"/>
  <c r="C857" i="3" s="1"/>
  <c r="L877" i="1" l="1"/>
  <c r="D857" i="3"/>
  <c r="O877" i="1"/>
  <c r="I877" i="1"/>
  <c r="N877" i="1"/>
  <c r="H877" i="1"/>
  <c r="K877" i="1"/>
  <c r="M877" i="1" s="1"/>
  <c r="P877" i="1" l="1"/>
  <c r="J877" i="1"/>
  <c r="G877" i="1" l="1"/>
  <c r="E878" i="1" s="1"/>
  <c r="F877" i="1"/>
  <c r="C878" i="1" l="1"/>
  <c r="B878" i="1"/>
  <c r="C858" i="3" s="1"/>
  <c r="D878" i="1"/>
  <c r="O878" i="1" l="1"/>
  <c r="D858" i="3"/>
  <c r="L878" i="1"/>
  <c r="I878" i="1"/>
  <c r="H878" i="1"/>
  <c r="K878" i="1"/>
  <c r="N878" i="1"/>
  <c r="P878" i="1" s="1"/>
  <c r="M878" i="1" l="1"/>
  <c r="J878" i="1"/>
  <c r="G878" i="1" l="1"/>
  <c r="C879" i="1" s="1"/>
  <c r="D859" i="3" s="1"/>
  <c r="F878" i="1"/>
  <c r="D879" i="1" s="1"/>
  <c r="E879" i="1" l="1"/>
  <c r="B879" i="1"/>
  <c r="I879" i="1"/>
  <c r="O879" i="1"/>
  <c r="L879" i="1"/>
  <c r="N879" i="1" l="1"/>
  <c r="C859" i="3"/>
  <c r="K879" i="1"/>
  <c r="M879" i="1" s="1"/>
  <c r="H879" i="1"/>
  <c r="J879" i="1" s="1"/>
  <c r="P879" i="1"/>
  <c r="G879" i="1" l="1"/>
  <c r="E880" i="1" s="1"/>
  <c r="F879" i="1"/>
  <c r="D880" i="1" s="1"/>
  <c r="C880" i="1" l="1"/>
  <c r="B880" i="1"/>
  <c r="K880" i="1" l="1"/>
  <c r="C860" i="3"/>
  <c r="O880" i="1"/>
  <c r="D860" i="3"/>
  <c r="I880" i="1"/>
  <c r="L880" i="1"/>
  <c r="M880" i="1" s="1"/>
  <c r="H880" i="1"/>
  <c r="N880" i="1"/>
  <c r="P880" i="1" s="1"/>
  <c r="J880" i="1" l="1"/>
  <c r="G880" i="1" s="1"/>
  <c r="E881" i="1" l="1"/>
  <c r="C881" i="1"/>
  <c r="F880" i="1"/>
  <c r="D881" i="1" s="1"/>
  <c r="I881" i="1" l="1"/>
  <c r="D861" i="3"/>
  <c r="O881" i="1"/>
  <c r="L881" i="1"/>
  <c r="B881" i="1"/>
  <c r="H881" i="1" l="1"/>
  <c r="J881" i="1" s="1"/>
  <c r="C861" i="3"/>
  <c r="K881" i="1"/>
  <c r="M881" i="1" s="1"/>
  <c r="N881" i="1"/>
  <c r="P881" i="1" s="1"/>
  <c r="G881" i="1" l="1"/>
  <c r="C882" i="1" s="1"/>
  <c r="F881" i="1"/>
  <c r="D882" i="1" s="1"/>
  <c r="O882" i="1" l="1"/>
  <c r="D862" i="3"/>
  <c r="L882" i="1"/>
  <c r="I882" i="1"/>
  <c r="E882" i="1"/>
  <c r="B882" i="1"/>
  <c r="K882" i="1" l="1"/>
  <c r="C862" i="3"/>
  <c r="M882" i="1"/>
  <c r="N882" i="1"/>
  <c r="P882" i="1" s="1"/>
  <c r="H882" i="1"/>
  <c r="J882" i="1" s="1"/>
  <c r="G882" i="1" l="1"/>
  <c r="C883" i="1" s="1"/>
  <c r="F882" i="1"/>
  <c r="D883" i="1" s="1"/>
  <c r="O883" i="1" l="1"/>
  <c r="D863" i="3"/>
  <c r="I883" i="1"/>
  <c r="L883" i="1"/>
  <c r="E883" i="1"/>
  <c r="B883" i="1"/>
  <c r="N883" i="1" l="1"/>
  <c r="P883" i="1" s="1"/>
  <c r="C863" i="3"/>
  <c r="H883" i="1"/>
  <c r="J883" i="1" s="1"/>
  <c r="K883" i="1"/>
  <c r="M883" i="1" s="1"/>
  <c r="G883" i="1" l="1"/>
  <c r="E884" i="1" s="1"/>
  <c r="F883" i="1"/>
  <c r="D884" i="1" s="1"/>
  <c r="C884" i="1" l="1"/>
  <c r="B884" i="1"/>
  <c r="K884" i="1" l="1"/>
  <c r="C864" i="3"/>
  <c r="O884" i="1"/>
  <c r="D864" i="3"/>
  <c r="L884" i="1"/>
  <c r="I884" i="1"/>
  <c r="N884" i="1"/>
  <c r="P884" i="1" s="1"/>
  <c r="H884" i="1"/>
  <c r="J884" i="1" s="1"/>
  <c r="M884" i="1" l="1"/>
  <c r="F884" i="1"/>
  <c r="B885" i="1" s="1"/>
  <c r="G884" i="1"/>
  <c r="E885" i="1" s="1"/>
  <c r="K885" i="1" l="1"/>
  <c r="C865" i="3"/>
  <c r="H885" i="1"/>
  <c r="N885" i="1"/>
  <c r="D885" i="1"/>
  <c r="C885" i="1"/>
  <c r="L885" i="1" l="1"/>
  <c r="M885" i="1" s="1"/>
  <c r="D865" i="3"/>
  <c r="I885" i="1"/>
  <c r="J885" i="1" s="1"/>
  <c r="O885" i="1"/>
  <c r="P885" i="1" s="1"/>
  <c r="F885" i="1" l="1"/>
  <c r="B886" i="1" s="1"/>
  <c r="C866" i="3" s="1"/>
  <c r="G885" i="1"/>
  <c r="D886" i="1" l="1"/>
  <c r="E886" i="1"/>
  <c r="C886" i="1"/>
  <c r="D866" i="3" s="1"/>
  <c r="H886" i="1"/>
  <c r="K886" i="1"/>
  <c r="N886" i="1"/>
  <c r="O886" i="1" l="1"/>
  <c r="P886" i="1" s="1"/>
  <c r="I886" i="1"/>
  <c r="J886" i="1" s="1"/>
  <c r="L886" i="1"/>
  <c r="M886" i="1" s="1"/>
  <c r="F886" i="1" l="1"/>
  <c r="D887" i="1" s="1"/>
  <c r="G886" i="1"/>
  <c r="B887" i="1" l="1"/>
  <c r="E887" i="1"/>
  <c r="C887" i="1"/>
  <c r="D867" i="3" s="1"/>
  <c r="N887" i="1" l="1"/>
  <c r="C867" i="3"/>
  <c r="H887" i="1"/>
  <c r="K887" i="1"/>
  <c r="I887" i="1"/>
  <c r="L887" i="1"/>
  <c r="O887" i="1"/>
  <c r="P887" i="1" s="1"/>
  <c r="M887" i="1" l="1"/>
  <c r="J887" i="1"/>
  <c r="F887" i="1" s="1"/>
  <c r="B888" i="1" l="1"/>
  <c r="C868" i="3" s="1"/>
  <c r="D888" i="1"/>
  <c r="G887" i="1"/>
  <c r="E888" i="1" l="1"/>
  <c r="C888" i="1"/>
  <c r="D868" i="3" s="1"/>
  <c r="K888" i="1"/>
  <c r="N888" i="1"/>
  <c r="H888" i="1"/>
  <c r="O888" i="1" l="1"/>
  <c r="P888" i="1" s="1"/>
  <c r="I888" i="1"/>
  <c r="L888" i="1"/>
  <c r="M888" i="1" s="1"/>
  <c r="J888" i="1" l="1"/>
  <c r="F888" i="1" s="1"/>
  <c r="B889" i="1" l="1"/>
  <c r="C869" i="3" s="1"/>
  <c r="D889" i="1"/>
  <c r="G888" i="1"/>
  <c r="E889" i="1" l="1"/>
  <c r="C889" i="1"/>
  <c r="D869" i="3" s="1"/>
  <c r="H889" i="1"/>
  <c r="K889" i="1"/>
  <c r="N889" i="1"/>
  <c r="L889" i="1" l="1"/>
  <c r="M889" i="1" s="1"/>
  <c r="O889" i="1"/>
  <c r="P889" i="1" s="1"/>
  <c r="I889" i="1"/>
  <c r="J889" i="1" l="1"/>
  <c r="F889" i="1" s="1"/>
  <c r="D890" i="1" l="1"/>
  <c r="B890" i="1"/>
  <c r="C870" i="3" s="1"/>
  <c r="G889" i="1"/>
  <c r="E890" i="1" l="1"/>
  <c r="C890" i="1"/>
  <c r="D870" i="3" s="1"/>
  <c r="K890" i="1"/>
  <c r="N890" i="1"/>
  <c r="H890" i="1"/>
  <c r="I890" i="1" l="1"/>
  <c r="L890" i="1"/>
  <c r="M890" i="1" s="1"/>
  <c r="O890" i="1"/>
  <c r="P890" i="1" s="1"/>
  <c r="J890" i="1" l="1"/>
  <c r="F890" i="1" s="1"/>
  <c r="B891" i="1" l="1"/>
  <c r="C871" i="3" s="1"/>
  <c r="D891" i="1"/>
  <c r="G890" i="1"/>
  <c r="E891" i="1" l="1"/>
  <c r="C891" i="1"/>
  <c r="D871" i="3" s="1"/>
  <c r="N891" i="1"/>
  <c r="H891" i="1"/>
  <c r="K891" i="1"/>
  <c r="L891" i="1" l="1"/>
  <c r="M891" i="1" s="1"/>
  <c r="O891" i="1"/>
  <c r="P891" i="1" s="1"/>
  <c r="I891" i="1"/>
  <c r="J891" i="1" l="1"/>
  <c r="F891" i="1" s="1"/>
  <c r="D892" i="1" l="1"/>
  <c r="B892" i="1"/>
  <c r="C872" i="3" s="1"/>
  <c r="G891" i="1"/>
  <c r="K892" i="1" l="1"/>
  <c r="N892" i="1"/>
  <c r="H892" i="1"/>
  <c r="E892" i="1"/>
  <c r="C892" i="1"/>
  <c r="D872" i="3" s="1"/>
  <c r="O892" i="1" l="1"/>
  <c r="P892" i="1" s="1"/>
  <c r="L892" i="1"/>
  <c r="M892" i="1" s="1"/>
  <c r="I892" i="1"/>
  <c r="J892" i="1" l="1"/>
  <c r="F892" i="1" s="1"/>
  <c r="B893" i="1" l="1"/>
  <c r="C873" i="3" s="1"/>
  <c r="D893" i="1"/>
  <c r="G892" i="1"/>
  <c r="E893" i="1" l="1"/>
  <c r="C893" i="1"/>
  <c r="D873" i="3" s="1"/>
  <c r="N893" i="1"/>
  <c r="H893" i="1"/>
  <c r="K893" i="1"/>
  <c r="L893" i="1" l="1"/>
  <c r="M893" i="1" s="1"/>
  <c r="O893" i="1"/>
  <c r="P893" i="1" s="1"/>
  <c r="I893" i="1"/>
  <c r="J893" i="1" s="1"/>
  <c r="F893" i="1" l="1"/>
  <c r="B894" i="1" s="1"/>
  <c r="C874" i="3" s="1"/>
  <c r="G893" i="1"/>
  <c r="D894" i="1" l="1"/>
  <c r="E894" i="1"/>
  <c r="C894" i="1"/>
  <c r="D874" i="3" s="1"/>
  <c r="H894" i="1"/>
  <c r="N894" i="1"/>
  <c r="K894" i="1"/>
  <c r="O894" i="1" l="1"/>
  <c r="P894" i="1" s="1"/>
  <c r="I894" i="1"/>
  <c r="J894" i="1" s="1"/>
  <c r="L894" i="1"/>
  <c r="M894" i="1" s="1"/>
  <c r="F894" i="1" l="1"/>
  <c r="D895" i="1" s="1"/>
  <c r="G894" i="1"/>
  <c r="B895" i="1" l="1"/>
  <c r="E895" i="1"/>
  <c r="C895" i="1"/>
  <c r="D875" i="3" s="1"/>
  <c r="N895" i="1" l="1"/>
  <c r="C875" i="3"/>
  <c r="K895" i="1"/>
  <c r="H895" i="1"/>
  <c r="I895" i="1"/>
  <c r="L895" i="1"/>
  <c r="O895" i="1"/>
  <c r="P895" i="1" s="1"/>
  <c r="J895" i="1"/>
  <c r="M895" i="1" l="1"/>
  <c r="F895" i="1" s="1"/>
  <c r="B896" i="1" s="1"/>
  <c r="C876" i="3" s="1"/>
  <c r="G895" i="1" l="1"/>
  <c r="E896" i="1" s="1"/>
  <c r="D896" i="1"/>
  <c r="K896" i="1"/>
  <c r="N896" i="1"/>
  <c r="H896" i="1"/>
  <c r="C896" i="1" l="1"/>
  <c r="O896" i="1" l="1"/>
  <c r="P896" i="1" s="1"/>
  <c r="D876" i="3"/>
  <c r="L896" i="1"/>
  <c r="M896" i="1" s="1"/>
  <c r="I896" i="1"/>
  <c r="J896" i="1" s="1"/>
  <c r="F896" i="1" l="1"/>
  <c r="D897" i="1" s="1"/>
  <c r="G896" i="1"/>
  <c r="E897" i="1" s="1"/>
  <c r="B897" i="1" l="1"/>
  <c r="C897" i="1"/>
  <c r="L897" i="1" l="1"/>
  <c r="D877" i="3"/>
  <c r="H897" i="1"/>
  <c r="C877" i="3"/>
  <c r="N897" i="1"/>
  <c r="K897" i="1"/>
  <c r="M897" i="1" s="1"/>
  <c r="I897" i="1"/>
  <c r="J897" i="1" s="1"/>
  <c r="O897" i="1"/>
  <c r="P897" i="1" l="1"/>
  <c r="F897" i="1" s="1"/>
  <c r="D898" i="1" s="1"/>
  <c r="G897" i="1" l="1"/>
  <c r="C898" i="1" s="1"/>
  <c r="D878" i="3" s="1"/>
  <c r="B898" i="1"/>
  <c r="K898" i="1" l="1"/>
  <c r="C878" i="3"/>
  <c r="E898" i="1"/>
  <c r="N898" i="1"/>
  <c r="H898" i="1"/>
  <c r="I898" i="1"/>
  <c r="L898" i="1"/>
  <c r="M898" i="1" s="1"/>
  <c r="O898" i="1"/>
  <c r="J898" i="1" l="1"/>
  <c r="P898" i="1"/>
  <c r="F898" i="1" l="1"/>
  <c r="D899" i="1" s="1"/>
  <c r="G898" i="1"/>
  <c r="E899" i="1" s="1"/>
  <c r="B899" i="1" l="1"/>
  <c r="C899" i="1"/>
  <c r="L899" i="1" l="1"/>
  <c r="D879" i="3"/>
  <c r="N899" i="1"/>
  <c r="C879" i="3"/>
  <c r="K899" i="1"/>
  <c r="M899" i="1" s="1"/>
  <c r="H899" i="1"/>
  <c r="I899" i="1"/>
  <c r="O899" i="1"/>
  <c r="P899" i="1" s="1"/>
  <c r="J899" i="1" l="1"/>
  <c r="G899" i="1" s="1"/>
  <c r="E900" i="1" s="1"/>
  <c r="F899" i="1" l="1"/>
  <c r="D900" i="1" s="1"/>
  <c r="C900" i="1"/>
  <c r="O900" i="1" l="1"/>
  <c r="D880" i="3"/>
  <c r="B900" i="1"/>
  <c r="L900" i="1"/>
  <c r="I900" i="1"/>
  <c r="K900" i="1" l="1"/>
  <c r="C880" i="3"/>
  <c r="H900" i="1"/>
  <c r="J900" i="1" s="1"/>
  <c r="N900" i="1"/>
  <c r="P900" i="1" s="1"/>
  <c r="M900" i="1"/>
  <c r="G900" i="1" l="1"/>
  <c r="C901" i="1" s="1"/>
  <c r="D881" i="3" s="1"/>
  <c r="F900" i="1"/>
  <c r="E901" i="1" l="1"/>
  <c r="D901" i="1"/>
  <c r="B901" i="1"/>
  <c r="C881" i="3" s="1"/>
  <c r="L901" i="1"/>
  <c r="O901" i="1"/>
  <c r="I901" i="1"/>
  <c r="N901" i="1" l="1"/>
  <c r="P901" i="1" s="1"/>
  <c r="H901" i="1"/>
  <c r="K901" i="1"/>
  <c r="M901" i="1" s="1"/>
  <c r="J901" i="1" l="1"/>
  <c r="G901" i="1" s="1"/>
  <c r="E902" i="1" l="1"/>
  <c r="C902" i="1"/>
  <c r="D882" i="3" s="1"/>
  <c r="F901" i="1"/>
  <c r="O902" i="1" l="1"/>
  <c r="I902" i="1"/>
  <c r="L902" i="1"/>
  <c r="B902" i="1"/>
  <c r="C882" i="3" s="1"/>
  <c r="D902" i="1"/>
  <c r="H902" i="1" l="1"/>
  <c r="K902" i="1"/>
  <c r="M902" i="1" s="1"/>
  <c r="N902" i="1"/>
  <c r="P902" i="1" s="1"/>
  <c r="J902" i="1" l="1"/>
  <c r="G902" i="1" s="1"/>
  <c r="F902" i="1" l="1"/>
  <c r="D903" i="1" s="1"/>
  <c r="C903" i="1"/>
  <c r="D883" i="3" s="1"/>
  <c r="E903" i="1"/>
  <c r="B903" i="1" l="1"/>
  <c r="I903" i="1"/>
  <c r="L903" i="1"/>
  <c r="O903" i="1"/>
  <c r="N903" i="1" l="1"/>
  <c r="C883" i="3"/>
  <c r="K903" i="1"/>
  <c r="M903" i="1" s="1"/>
  <c r="H903" i="1"/>
  <c r="J903" i="1" s="1"/>
  <c r="P903" i="1"/>
  <c r="G903" i="1" l="1"/>
  <c r="E904" i="1" s="1"/>
  <c r="F903" i="1"/>
  <c r="C904" i="1" l="1"/>
  <c r="D904" i="1"/>
  <c r="B904" i="1"/>
  <c r="C884" i="3" s="1"/>
  <c r="O904" i="1" l="1"/>
  <c r="D884" i="3"/>
  <c r="L904" i="1"/>
  <c r="I904" i="1"/>
  <c r="K904" i="1"/>
  <c r="N904" i="1"/>
  <c r="P904" i="1" s="1"/>
  <c r="H904" i="1"/>
  <c r="M904" i="1" l="1"/>
  <c r="J904" i="1"/>
  <c r="F904" i="1" l="1"/>
  <c r="B905" i="1" s="1"/>
  <c r="C885" i="3" s="1"/>
  <c r="G904" i="1"/>
  <c r="C905" i="1" s="1"/>
  <c r="D885" i="3" s="1"/>
  <c r="D905" i="1" l="1"/>
  <c r="E905" i="1"/>
  <c r="L905" i="1"/>
  <c r="O905" i="1"/>
  <c r="I905" i="1"/>
  <c r="H905" i="1"/>
  <c r="K905" i="1"/>
  <c r="M905" i="1" s="1"/>
  <c r="N905" i="1"/>
  <c r="J905" i="1" l="1"/>
  <c r="P905" i="1"/>
  <c r="G905" i="1" l="1"/>
  <c r="E906" i="1" s="1"/>
  <c r="F905" i="1"/>
  <c r="C906" i="1" l="1"/>
  <c r="B906" i="1"/>
  <c r="C886" i="3" s="1"/>
  <c r="D906" i="1"/>
  <c r="I906" i="1" l="1"/>
  <c r="D886" i="3"/>
  <c r="O906" i="1"/>
  <c r="L906" i="1"/>
  <c r="K906" i="1"/>
  <c r="N906" i="1"/>
  <c r="H906" i="1"/>
  <c r="M906" i="1" l="1"/>
  <c r="P906" i="1"/>
  <c r="J906" i="1"/>
  <c r="G906" i="1" l="1"/>
  <c r="E907" i="1" s="1"/>
  <c r="F906" i="1"/>
  <c r="C907" i="1" l="1"/>
  <c r="D907" i="1"/>
  <c r="B907" i="1"/>
  <c r="C887" i="3" s="1"/>
  <c r="L907" i="1" l="1"/>
  <c r="D887" i="3"/>
  <c r="I907" i="1"/>
  <c r="O907" i="1"/>
  <c r="N907" i="1"/>
  <c r="K907" i="1"/>
  <c r="M907" i="1" s="1"/>
  <c r="H907" i="1"/>
  <c r="P907" i="1" l="1"/>
  <c r="J907" i="1"/>
  <c r="G907" i="1" l="1"/>
  <c r="C908" i="1" s="1"/>
  <c r="D888" i="3" s="1"/>
  <c r="F907" i="1"/>
  <c r="D908" i="1" s="1"/>
  <c r="E908" i="1" l="1"/>
  <c r="B908" i="1"/>
  <c r="O908" i="1"/>
  <c r="I908" i="1"/>
  <c r="L908" i="1"/>
  <c r="K908" i="1" l="1"/>
  <c r="C888" i="3"/>
  <c r="M908" i="1"/>
  <c r="H908" i="1"/>
  <c r="J908" i="1" s="1"/>
  <c r="N908" i="1"/>
  <c r="P908" i="1" s="1"/>
  <c r="F908" i="1" l="1"/>
  <c r="D909" i="1" s="1"/>
  <c r="G908" i="1"/>
  <c r="B909" i="1" l="1"/>
  <c r="E909" i="1"/>
  <c r="C909" i="1"/>
  <c r="D889" i="3" s="1"/>
  <c r="N909" i="1" l="1"/>
  <c r="C889" i="3"/>
  <c r="K909" i="1"/>
  <c r="H909" i="1"/>
  <c r="L909" i="1"/>
  <c r="O909" i="1"/>
  <c r="P909" i="1" s="1"/>
  <c r="I909" i="1"/>
  <c r="M909" i="1" l="1"/>
  <c r="J909" i="1"/>
  <c r="F909" i="1" l="1"/>
  <c r="B910" i="1" s="1"/>
  <c r="C890" i="3" s="1"/>
  <c r="G909" i="1"/>
  <c r="D910" i="1" l="1"/>
  <c r="E910" i="1"/>
  <c r="C910" i="1"/>
  <c r="D890" i="3" s="1"/>
  <c r="H910" i="1"/>
  <c r="K910" i="1"/>
  <c r="N910" i="1"/>
  <c r="O910" i="1" l="1"/>
  <c r="P910" i="1" s="1"/>
  <c r="I910" i="1"/>
  <c r="J910" i="1" s="1"/>
  <c r="L910" i="1"/>
  <c r="M910" i="1" s="1"/>
  <c r="F910" i="1" l="1"/>
  <c r="D911" i="1" s="1"/>
  <c r="G910" i="1"/>
  <c r="B911" i="1" l="1"/>
  <c r="E911" i="1"/>
  <c r="C911" i="1"/>
  <c r="D891" i="3" s="1"/>
  <c r="N911" i="1" l="1"/>
  <c r="C891" i="3"/>
  <c r="H911" i="1"/>
  <c r="K911" i="1"/>
  <c r="I911" i="1"/>
  <c r="O911" i="1"/>
  <c r="P911" i="1" s="1"/>
  <c r="L911" i="1"/>
  <c r="M911" i="1" l="1"/>
  <c r="J911" i="1"/>
  <c r="F911" i="1" l="1"/>
  <c r="D912" i="1" s="1"/>
  <c r="G911" i="1"/>
  <c r="E912" i="1" s="1"/>
  <c r="B912" i="1" l="1"/>
  <c r="C912" i="1"/>
  <c r="O912" i="1" l="1"/>
  <c r="D892" i="3"/>
  <c r="K912" i="1"/>
  <c r="C892" i="3"/>
  <c r="N912" i="1"/>
  <c r="P912" i="1" s="1"/>
  <c r="H912" i="1"/>
  <c r="L912" i="1"/>
  <c r="M912" i="1" s="1"/>
  <c r="I912" i="1"/>
  <c r="J912" i="1" l="1"/>
  <c r="F912" i="1" s="1"/>
  <c r="D913" i="1" s="1"/>
  <c r="G912" i="1" l="1"/>
  <c r="E913" i="1" s="1"/>
  <c r="B913" i="1"/>
  <c r="K913" i="1" l="1"/>
  <c r="C893" i="3"/>
  <c r="C913" i="1"/>
  <c r="N913" i="1"/>
  <c r="H913" i="1"/>
  <c r="O913" i="1" l="1"/>
  <c r="D893" i="3"/>
  <c r="L913" i="1"/>
  <c r="M913" i="1" s="1"/>
  <c r="I913" i="1"/>
  <c r="J913" i="1" s="1"/>
  <c r="P913" i="1"/>
  <c r="F913" i="1" l="1"/>
  <c r="B914" i="1" s="1"/>
  <c r="G913" i="1"/>
  <c r="E914" i="1" s="1"/>
  <c r="H914" i="1" l="1"/>
  <c r="C894" i="3"/>
  <c r="N914" i="1"/>
  <c r="K914" i="1"/>
  <c r="D914" i="1"/>
  <c r="C914" i="1"/>
  <c r="L914" i="1" l="1"/>
  <c r="M914" i="1" s="1"/>
  <c r="D894" i="3"/>
  <c r="I914" i="1"/>
  <c r="J914" i="1" s="1"/>
  <c r="O914" i="1"/>
  <c r="P914" i="1" s="1"/>
  <c r="F914" i="1" l="1"/>
  <c r="B915" i="1" s="1"/>
  <c r="C895" i="3" s="1"/>
  <c r="G914" i="1"/>
  <c r="D915" i="1" l="1"/>
  <c r="E915" i="1"/>
  <c r="C915" i="1"/>
  <c r="D895" i="3" s="1"/>
  <c r="H915" i="1"/>
  <c r="N915" i="1"/>
  <c r="K915" i="1"/>
  <c r="L915" i="1" l="1"/>
  <c r="M915" i="1" s="1"/>
  <c r="O915" i="1"/>
  <c r="P915" i="1" s="1"/>
  <c r="I915" i="1"/>
  <c r="J915" i="1" l="1"/>
  <c r="F915" i="1" s="1"/>
  <c r="D916" i="1" l="1"/>
  <c r="B916" i="1"/>
  <c r="C896" i="3" s="1"/>
  <c r="G915" i="1"/>
  <c r="N916" i="1" l="1"/>
  <c r="H916" i="1"/>
  <c r="K916" i="1"/>
  <c r="E916" i="1"/>
  <c r="C916" i="1"/>
  <c r="D896" i="3" s="1"/>
  <c r="I916" i="1" l="1"/>
  <c r="O916" i="1"/>
  <c r="P916" i="1" s="1"/>
  <c r="L916" i="1"/>
  <c r="M916" i="1" s="1"/>
  <c r="J916" i="1" l="1"/>
  <c r="F916" i="1" s="1"/>
  <c r="B917" i="1" l="1"/>
  <c r="C897" i="3" s="1"/>
  <c r="D917" i="1"/>
  <c r="G916" i="1"/>
  <c r="E917" i="1" l="1"/>
  <c r="C917" i="1"/>
  <c r="D897" i="3" s="1"/>
  <c r="N917" i="1"/>
  <c r="K917" i="1"/>
  <c r="H917" i="1"/>
  <c r="O917" i="1" l="1"/>
  <c r="P917" i="1" s="1"/>
  <c r="I917" i="1"/>
  <c r="L917" i="1"/>
  <c r="M917" i="1" s="1"/>
  <c r="J917" i="1" l="1"/>
  <c r="F917" i="1" s="1"/>
  <c r="D918" i="1" l="1"/>
  <c r="B918" i="1"/>
  <c r="C898" i="3" s="1"/>
  <c r="G917" i="1"/>
  <c r="E918" i="1" l="1"/>
  <c r="C918" i="1"/>
  <c r="D898" i="3" s="1"/>
  <c r="H918" i="1"/>
  <c r="K918" i="1"/>
  <c r="N918" i="1"/>
  <c r="O918" i="1" l="1"/>
  <c r="P918" i="1" s="1"/>
  <c r="L918" i="1"/>
  <c r="M918" i="1" s="1"/>
  <c r="I918" i="1"/>
  <c r="J918" i="1" s="1"/>
  <c r="F918" i="1" l="1"/>
  <c r="B919" i="1" s="1"/>
  <c r="C899" i="3" s="1"/>
  <c r="G918" i="1"/>
  <c r="D919" i="1" l="1"/>
  <c r="E919" i="1"/>
  <c r="C919" i="1"/>
  <c r="D899" i="3" s="1"/>
  <c r="H919" i="1"/>
  <c r="K919" i="1"/>
  <c r="N919" i="1"/>
  <c r="I919" i="1" l="1"/>
  <c r="J919" i="1" s="1"/>
  <c r="L919" i="1"/>
  <c r="M919" i="1" s="1"/>
  <c r="O919" i="1"/>
  <c r="P919" i="1" s="1"/>
  <c r="F919" i="1" l="1"/>
  <c r="D920" i="1" s="1"/>
  <c r="G919" i="1"/>
  <c r="B920" i="1" l="1"/>
  <c r="E920" i="1"/>
  <c r="C920" i="1"/>
  <c r="D900" i="3" s="1"/>
  <c r="N920" i="1" l="1"/>
  <c r="C900" i="3"/>
  <c r="H920" i="1"/>
  <c r="K920" i="1"/>
  <c r="I920" i="1"/>
  <c r="L920" i="1"/>
  <c r="O920" i="1"/>
  <c r="P920" i="1" s="1"/>
  <c r="M920" i="1" l="1"/>
  <c r="J920" i="1"/>
  <c r="F920" i="1" l="1"/>
  <c r="D921" i="1" s="1"/>
  <c r="G920" i="1"/>
  <c r="B921" i="1" l="1"/>
  <c r="E921" i="1"/>
  <c r="C921" i="1"/>
  <c r="D901" i="3" s="1"/>
  <c r="K921" i="1" l="1"/>
  <c r="C901" i="3"/>
  <c r="H921" i="1"/>
  <c r="N921" i="1"/>
  <c r="O921" i="1"/>
  <c r="I921" i="1"/>
  <c r="L921" i="1"/>
  <c r="M921" i="1" s="1"/>
  <c r="P921" i="1" l="1"/>
  <c r="J921" i="1"/>
  <c r="F921" i="1" l="1"/>
  <c r="B922" i="1" s="1"/>
  <c r="C902" i="3" s="1"/>
  <c r="G921" i="1"/>
  <c r="D922" i="1" l="1"/>
  <c r="E922" i="1"/>
  <c r="C922" i="1"/>
  <c r="D902" i="3" s="1"/>
  <c r="K922" i="1"/>
  <c r="N922" i="1"/>
  <c r="H922" i="1"/>
  <c r="L922" i="1" l="1"/>
  <c r="M922" i="1" s="1"/>
  <c r="I922" i="1"/>
  <c r="O922" i="1"/>
  <c r="P922" i="1" s="1"/>
  <c r="J922" i="1" l="1"/>
  <c r="F922" i="1" s="1"/>
  <c r="D923" i="1" l="1"/>
  <c r="B923" i="1"/>
  <c r="C903" i="3" s="1"/>
  <c r="G922" i="1"/>
  <c r="E923" i="1" l="1"/>
  <c r="C923" i="1"/>
  <c r="D903" i="3" s="1"/>
  <c r="H923" i="1"/>
  <c r="K923" i="1"/>
  <c r="N923" i="1"/>
  <c r="L923" i="1" l="1"/>
  <c r="M923" i="1" s="1"/>
  <c r="O923" i="1"/>
  <c r="P923" i="1" s="1"/>
  <c r="I923" i="1"/>
  <c r="J923" i="1" l="1"/>
  <c r="F923" i="1" s="1"/>
  <c r="B924" i="1" l="1"/>
  <c r="C904" i="3" s="1"/>
  <c r="D924" i="1"/>
  <c r="G923" i="1"/>
  <c r="E924" i="1" l="1"/>
  <c r="C924" i="1"/>
  <c r="D904" i="3" s="1"/>
  <c r="N924" i="1"/>
  <c r="H924" i="1"/>
  <c r="K924" i="1"/>
  <c r="I924" i="1" l="1"/>
  <c r="L924" i="1"/>
  <c r="M924" i="1" s="1"/>
  <c r="O924" i="1"/>
  <c r="P924" i="1" s="1"/>
  <c r="J924" i="1" l="1"/>
  <c r="F924" i="1" s="1"/>
  <c r="D925" i="1" l="1"/>
  <c r="B925" i="1"/>
  <c r="C905" i="3" s="1"/>
  <c r="G924" i="1"/>
  <c r="N925" i="1" l="1"/>
  <c r="K925" i="1"/>
  <c r="H925" i="1"/>
  <c r="E925" i="1"/>
  <c r="C925" i="1"/>
  <c r="D905" i="3" s="1"/>
  <c r="O925" i="1" l="1"/>
  <c r="P925" i="1" s="1"/>
  <c r="I925" i="1"/>
  <c r="J925" i="1" s="1"/>
  <c r="L925" i="1"/>
  <c r="M925" i="1" s="1"/>
  <c r="F925" i="1" l="1"/>
  <c r="B926" i="1" s="1"/>
  <c r="C906" i="3" s="1"/>
  <c r="G925" i="1"/>
  <c r="D926" i="1" l="1"/>
  <c r="C926" i="1"/>
  <c r="D906" i="3" s="1"/>
  <c r="E926" i="1"/>
  <c r="H926" i="1"/>
  <c r="K926" i="1"/>
  <c r="N926" i="1"/>
  <c r="O926" i="1" l="1"/>
  <c r="P926" i="1" s="1"/>
  <c r="L926" i="1"/>
  <c r="M926" i="1" s="1"/>
  <c r="I926" i="1"/>
  <c r="J926" i="1" s="1"/>
  <c r="F926" i="1" l="1"/>
  <c r="G926" i="1"/>
  <c r="C927" i="1" l="1"/>
  <c r="D907" i="3" s="1"/>
  <c r="E927" i="1"/>
  <c r="D927" i="1"/>
  <c r="B927" i="1"/>
  <c r="C907" i="3" s="1"/>
  <c r="H927" i="1" l="1"/>
  <c r="K927" i="1"/>
  <c r="N927" i="1"/>
  <c r="I927" i="1"/>
  <c r="L927" i="1"/>
  <c r="O927" i="1"/>
  <c r="P927" i="1" l="1"/>
  <c r="M927" i="1"/>
  <c r="J927" i="1"/>
  <c r="G927" i="1" l="1"/>
  <c r="C928" i="1" s="1"/>
  <c r="D908" i="3" s="1"/>
  <c r="F927" i="1"/>
  <c r="E928" i="1" l="1"/>
  <c r="B928" i="1"/>
  <c r="C908" i="3" s="1"/>
  <c r="D928" i="1"/>
  <c r="I928" i="1"/>
  <c r="L928" i="1"/>
  <c r="O928" i="1"/>
  <c r="N928" i="1" l="1"/>
  <c r="P928" i="1" s="1"/>
  <c r="K928" i="1"/>
  <c r="M928" i="1" s="1"/>
  <c r="H928" i="1"/>
  <c r="J928" i="1" l="1"/>
  <c r="G928" i="1" s="1"/>
  <c r="F928" i="1" l="1"/>
  <c r="D929" i="1" s="1"/>
  <c r="E929" i="1"/>
  <c r="C929" i="1"/>
  <c r="D909" i="3" s="1"/>
  <c r="B929" i="1" l="1"/>
  <c r="O929" i="1"/>
  <c r="L929" i="1"/>
  <c r="I929" i="1"/>
  <c r="K929" i="1" l="1"/>
  <c r="C909" i="3"/>
  <c r="M929" i="1"/>
  <c r="N929" i="1"/>
  <c r="P929" i="1" s="1"/>
  <c r="H929" i="1"/>
  <c r="J929" i="1" s="1"/>
  <c r="G929" i="1" l="1"/>
  <c r="E930" i="1" s="1"/>
  <c r="F929" i="1"/>
  <c r="D930" i="1" s="1"/>
  <c r="C930" i="1" l="1"/>
  <c r="B930" i="1"/>
  <c r="H930" i="1" l="1"/>
  <c r="C910" i="3"/>
  <c r="L930" i="1"/>
  <c r="D910" i="3"/>
  <c r="O930" i="1"/>
  <c r="I930" i="1"/>
  <c r="J930" i="1" s="1"/>
  <c r="K930" i="1"/>
  <c r="M930" i="1" s="1"/>
  <c r="N930" i="1"/>
  <c r="P930" i="1" l="1"/>
  <c r="F930" i="1" s="1"/>
  <c r="D931" i="1" s="1"/>
  <c r="G930" i="1" l="1"/>
  <c r="E931" i="1" s="1"/>
  <c r="B931" i="1"/>
  <c r="N931" i="1" l="1"/>
  <c r="C911" i="3"/>
  <c r="C931" i="1"/>
  <c r="K931" i="1"/>
  <c r="H931" i="1"/>
  <c r="I931" i="1" l="1"/>
  <c r="D911" i="3"/>
  <c r="J931" i="1"/>
  <c r="O931" i="1"/>
  <c r="P931" i="1" s="1"/>
  <c r="L931" i="1"/>
  <c r="M931" i="1" s="1"/>
  <c r="F931" i="1" l="1"/>
  <c r="B932" i="1" s="1"/>
  <c r="G931" i="1"/>
  <c r="E932" i="1" s="1"/>
  <c r="K932" i="1" l="1"/>
  <c r="C912" i="3"/>
  <c r="N932" i="1"/>
  <c r="H932" i="1"/>
  <c r="D932" i="1"/>
  <c r="C932" i="1"/>
  <c r="O932" i="1" l="1"/>
  <c r="D912" i="3"/>
  <c r="P932" i="1"/>
  <c r="L932" i="1"/>
  <c r="M932" i="1" s="1"/>
  <c r="I932" i="1"/>
  <c r="J932" i="1" s="1"/>
  <c r="F932" i="1" l="1"/>
  <c r="D933" i="1" s="1"/>
  <c r="G932" i="1"/>
  <c r="E933" i="1" s="1"/>
  <c r="B933" i="1" l="1"/>
  <c r="C913" i="3" s="1"/>
  <c r="C933" i="1"/>
  <c r="I933" i="1" l="1"/>
  <c r="D913" i="3"/>
  <c r="L933" i="1"/>
  <c r="O933" i="1"/>
  <c r="H933" i="1"/>
  <c r="J933" i="1" s="1"/>
  <c r="K933" i="1"/>
  <c r="N933" i="1"/>
  <c r="P933" i="1" s="1"/>
  <c r="M933" i="1" l="1"/>
  <c r="F933" i="1" s="1"/>
  <c r="D934" i="1" s="1"/>
  <c r="G933" i="1" l="1"/>
  <c r="E934" i="1" s="1"/>
  <c r="B934" i="1"/>
  <c r="K934" i="1" l="1"/>
  <c r="C914" i="3"/>
  <c r="C934" i="1"/>
  <c r="N934" i="1"/>
  <c r="H934" i="1"/>
  <c r="I934" i="1" l="1"/>
  <c r="D914" i="3"/>
  <c r="O934" i="1"/>
  <c r="P934" i="1" s="1"/>
  <c r="L934" i="1"/>
  <c r="M934" i="1" s="1"/>
  <c r="J934" i="1"/>
  <c r="F934" i="1" l="1"/>
  <c r="B935" i="1" s="1"/>
  <c r="C915" i="3" s="1"/>
  <c r="G934" i="1"/>
  <c r="E935" i="1" s="1"/>
  <c r="D935" i="1" l="1"/>
  <c r="C935" i="1"/>
  <c r="K935" i="1"/>
  <c r="N935" i="1"/>
  <c r="H935" i="1"/>
  <c r="L935" i="1" l="1"/>
  <c r="D915" i="3"/>
  <c r="I935" i="1"/>
  <c r="J935" i="1" s="1"/>
  <c r="O935" i="1"/>
  <c r="P935" i="1" s="1"/>
  <c r="M935" i="1"/>
  <c r="F935" i="1" l="1"/>
  <c r="D936" i="1" s="1"/>
  <c r="G935" i="1"/>
  <c r="B936" i="1" l="1"/>
  <c r="E936" i="1"/>
  <c r="C936" i="1"/>
  <c r="D916" i="3" s="1"/>
  <c r="K936" i="1" l="1"/>
  <c r="C916" i="3"/>
  <c r="N936" i="1"/>
  <c r="H936" i="1"/>
  <c r="L936" i="1"/>
  <c r="M936" i="1" s="1"/>
  <c r="O936" i="1"/>
  <c r="I936" i="1"/>
  <c r="P936" i="1" l="1"/>
  <c r="J936" i="1"/>
  <c r="F936" i="1" l="1"/>
  <c r="B937" i="1" s="1"/>
  <c r="C917" i="3" s="1"/>
  <c r="G936" i="1"/>
  <c r="D937" i="1" l="1"/>
  <c r="E937" i="1"/>
  <c r="C937" i="1"/>
  <c r="D917" i="3" s="1"/>
  <c r="N937" i="1"/>
  <c r="H937" i="1"/>
  <c r="K937" i="1"/>
  <c r="L937" i="1" l="1"/>
  <c r="M937" i="1" s="1"/>
  <c r="O937" i="1"/>
  <c r="P937" i="1" s="1"/>
  <c r="I937" i="1"/>
  <c r="J937" i="1" l="1"/>
  <c r="F937" i="1" s="1"/>
  <c r="D938" i="1" l="1"/>
  <c r="B938" i="1"/>
  <c r="C918" i="3" s="1"/>
  <c r="G937" i="1"/>
  <c r="E938" i="1" l="1"/>
  <c r="C938" i="1"/>
  <c r="D918" i="3" s="1"/>
  <c r="N938" i="1"/>
  <c r="H938" i="1"/>
  <c r="K938" i="1"/>
  <c r="O938" i="1" l="1"/>
  <c r="P938" i="1" s="1"/>
  <c r="I938" i="1"/>
  <c r="L938" i="1"/>
  <c r="M938" i="1" s="1"/>
  <c r="J938" i="1" l="1"/>
  <c r="F938" i="1" s="1"/>
  <c r="B939" i="1" l="1"/>
  <c r="C919" i="3" s="1"/>
  <c r="D939" i="1"/>
  <c r="G938" i="1"/>
  <c r="E939" i="1" l="1"/>
  <c r="C939" i="1"/>
  <c r="D919" i="3" s="1"/>
  <c r="N939" i="1"/>
  <c r="H939" i="1"/>
  <c r="K939" i="1"/>
  <c r="O939" i="1" l="1"/>
  <c r="P939" i="1" s="1"/>
  <c r="I939" i="1"/>
  <c r="L939" i="1"/>
  <c r="M939" i="1" s="1"/>
  <c r="J939" i="1" l="1"/>
  <c r="F939" i="1" s="1"/>
  <c r="D940" i="1" l="1"/>
  <c r="B940" i="1"/>
  <c r="C920" i="3" s="1"/>
  <c r="G939" i="1"/>
  <c r="H940" i="1" l="1"/>
  <c r="K940" i="1"/>
  <c r="N940" i="1"/>
  <c r="E940" i="1"/>
  <c r="C940" i="1"/>
  <c r="D920" i="3" s="1"/>
  <c r="O940" i="1" l="1"/>
  <c r="P940" i="1" s="1"/>
  <c r="I940" i="1"/>
  <c r="J940" i="1" s="1"/>
  <c r="L940" i="1"/>
  <c r="M940" i="1" s="1"/>
  <c r="F940" i="1" l="1"/>
  <c r="B941" i="1" s="1"/>
  <c r="C921" i="3" s="1"/>
  <c r="G940" i="1"/>
  <c r="D941" i="1" l="1"/>
  <c r="E941" i="1"/>
  <c r="C941" i="1"/>
  <c r="D921" i="3" s="1"/>
  <c r="H941" i="1"/>
  <c r="K941" i="1"/>
  <c r="N941" i="1"/>
  <c r="I941" i="1" l="1"/>
  <c r="J941" i="1" s="1"/>
  <c r="L941" i="1"/>
  <c r="O941" i="1"/>
  <c r="P941" i="1" s="1"/>
  <c r="M941" i="1"/>
  <c r="F941" i="1" l="1"/>
  <c r="D942" i="1" s="1"/>
  <c r="G941" i="1"/>
  <c r="B942" i="1" l="1"/>
  <c r="E942" i="1"/>
  <c r="C942" i="1"/>
  <c r="D922" i="3" s="1"/>
  <c r="K942" i="1" l="1"/>
  <c r="C922" i="3"/>
  <c r="H942" i="1"/>
  <c r="N942" i="1"/>
  <c r="I942" i="1"/>
  <c r="L942" i="1"/>
  <c r="M942" i="1" s="1"/>
  <c r="O942" i="1"/>
  <c r="P942" i="1" s="1"/>
  <c r="J942" i="1" l="1"/>
  <c r="F942" i="1" s="1"/>
  <c r="G942" i="1" l="1"/>
  <c r="E943" i="1" s="1"/>
  <c r="B943" i="1"/>
  <c r="C923" i="3" s="1"/>
  <c r="D943" i="1"/>
  <c r="C943" i="1" l="1"/>
  <c r="K943" i="1"/>
  <c r="N943" i="1"/>
  <c r="H943" i="1"/>
  <c r="L943" i="1" l="1"/>
  <c r="D923" i="3"/>
  <c r="I943" i="1"/>
  <c r="J943" i="1" s="1"/>
  <c r="O943" i="1"/>
  <c r="P943" i="1" s="1"/>
  <c r="M943" i="1"/>
  <c r="F943" i="1" l="1"/>
  <c r="D944" i="1" s="1"/>
  <c r="G943" i="1"/>
  <c r="C944" i="1" s="1"/>
  <c r="D924" i="3" s="1"/>
  <c r="B944" i="1" l="1"/>
  <c r="E944" i="1"/>
  <c r="L944" i="1"/>
  <c r="O944" i="1"/>
  <c r="I944" i="1"/>
  <c r="K944" i="1" l="1"/>
  <c r="C924" i="3"/>
  <c r="H944" i="1"/>
  <c r="J944" i="1" s="1"/>
  <c r="N944" i="1"/>
  <c r="P944" i="1" s="1"/>
  <c r="M944" i="1"/>
  <c r="F944" i="1" l="1"/>
  <c r="D945" i="1" s="1"/>
  <c r="G944" i="1"/>
  <c r="E945" i="1" s="1"/>
  <c r="B945" i="1" l="1"/>
  <c r="C945" i="1"/>
  <c r="L945" i="1" l="1"/>
  <c r="D925" i="3"/>
  <c r="N945" i="1"/>
  <c r="C925" i="3"/>
  <c r="H945" i="1"/>
  <c r="K945" i="1"/>
  <c r="M945" i="1" s="1"/>
  <c r="I945" i="1"/>
  <c r="O945" i="1"/>
  <c r="P945" i="1" s="1"/>
  <c r="J945" i="1" l="1"/>
  <c r="G945" i="1" s="1"/>
  <c r="E946" i="1" s="1"/>
  <c r="F945" i="1" l="1"/>
  <c r="D946" i="1" s="1"/>
  <c r="C946" i="1"/>
  <c r="I946" i="1" l="1"/>
  <c r="D926" i="3"/>
  <c r="L946" i="1"/>
  <c r="O946" i="1"/>
  <c r="B946" i="1"/>
  <c r="N946" i="1" l="1"/>
  <c r="P946" i="1" s="1"/>
  <c r="C926" i="3"/>
  <c r="K946" i="1"/>
  <c r="M946" i="1" s="1"/>
  <c r="H946" i="1"/>
  <c r="J946" i="1" s="1"/>
  <c r="G946" i="1" l="1"/>
  <c r="C947" i="1" s="1"/>
  <c r="D927" i="3" s="1"/>
  <c r="F946" i="1"/>
  <c r="E947" i="1" l="1"/>
  <c r="B947" i="1"/>
  <c r="C927" i="3" s="1"/>
  <c r="D947" i="1"/>
  <c r="O947" i="1"/>
  <c r="I947" i="1"/>
  <c r="L947" i="1"/>
  <c r="N947" i="1" l="1"/>
  <c r="P947" i="1" s="1"/>
  <c r="H947" i="1"/>
  <c r="K947" i="1"/>
  <c r="M947" i="1" s="1"/>
  <c r="J947" i="1" l="1"/>
  <c r="G947" i="1" s="1"/>
  <c r="E948" i="1" l="1"/>
  <c r="C948" i="1"/>
  <c r="D928" i="3" s="1"/>
  <c r="F947" i="1"/>
  <c r="O948" i="1" l="1"/>
  <c r="I948" i="1"/>
  <c r="L948" i="1"/>
  <c r="D948" i="1"/>
  <c r="B948" i="1"/>
  <c r="C928" i="3" s="1"/>
  <c r="H948" i="1" l="1"/>
  <c r="K948" i="1"/>
  <c r="M948" i="1" s="1"/>
  <c r="N948" i="1"/>
  <c r="P948" i="1" s="1"/>
  <c r="J948" i="1" l="1"/>
  <c r="G948" i="1" s="1"/>
  <c r="F948" i="1" l="1"/>
  <c r="B949" i="1" s="1"/>
  <c r="C929" i="3" s="1"/>
  <c r="C949" i="1"/>
  <c r="D929" i="3" s="1"/>
  <c r="E949" i="1"/>
  <c r="D949" i="1" l="1"/>
  <c r="I949" i="1"/>
  <c r="L949" i="1"/>
  <c r="O949" i="1"/>
  <c r="H949" i="1"/>
  <c r="K949" i="1"/>
  <c r="N949" i="1"/>
  <c r="J949" i="1" l="1"/>
  <c r="P949" i="1"/>
  <c r="M949" i="1"/>
  <c r="F949" i="1" l="1"/>
  <c r="B950" i="1" s="1"/>
  <c r="C930" i="3" s="1"/>
  <c r="G949" i="1"/>
  <c r="D950" i="1" l="1"/>
  <c r="E950" i="1"/>
  <c r="C950" i="1"/>
  <c r="D930" i="3" s="1"/>
  <c r="K950" i="1"/>
  <c r="N950" i="1"/>
  <c r="H950" i="1"/>
  <c r="I950" i="1" l="1"/>
  <c r="L950" i="1"/>
  <c r="M950" i="1" s="1"/>
  <c r="O950" i="1"/>
  <c r="P950" i="1" s="1"/>
  <c r="J950" i="1" l="1"/>
  <c r="F950" i="1" s="1"/>
  <c r="D951" i="1" l="1"/>
  <c r="B951" i="1"/>
  <c r="C931" i="3" s="1"/>
  <c r="G950" i="1"/>
  <c r="E951" i="1" l="1"/>
  <c r="C951" i="1"/>
  <c r="D931" i="3" s="1"/>
  <c r="K951" i="1"/>
  <c r="N951" i="1"/>
  <c r="H951" i="1"/>
  <c r="L951" i="1" l="1"/>
  <c r="M951" i="1" s="1"/>
  <c r="O951" i="1"/>
  <c r="P951" i="1" s="1"/>
  <c r="I951" i="1"/>
  <c r="J951" i="1" l="1"/>
  <c r="F951" i="1" s="1"/>
  <c r="D952" i="1" l="1"/>
  <c r="B952" i="1"/>
  <c r="C932" i="3" s="1"/>
  <c r="G951" i="1"/>
  <c r="K952" i="1" l="1"/>
  <c r="N952" i="1"/>
  <c r="H952" i="1"/>
  <c r="E952" i="1"/>
  <c r="C952" i="1"/>
  <c r="D932" i="3" s="1"/>
  <c r="L952" i="1" l="1"/>
  <c r="M952" i="1" s="1"/>
  <c r="O952" i="1"/>
  <c r="P952" i="1" s="1"/>
  <c r="I952" i="1"/>
  <c r="J952" i="1" l="1"/>
  <c r="F952" i="1" s="1"/>
  <c r="B953" i="1" l="1"/>
  <c r="C933" i="3" s="1"/>
  <c r="D953" i="1"/>
  <c r="G952" i="1"/>
  <c r="E953" i="1" l="1"/>
  <c r="C953" i="1"/>
  <c r="D933" i="3" s="1"/>
  <c r="N953" i="1"/>
  <c r="H953" i="1"/>
  <c r="K953" i="1"/>
  <c r="L953" i="1" l="1"/>
  <c r="M953" i="1" s="1"/>
  <c r="O953" i="1"/>
  <c r="P953" i="1" s="1"/>
  <c r="I953" i="1"/>
  <c r="J953" i="1" l="1"/>
  <c r="F953" i="1" s="1"/>
  <c r="B954" i="1" l="1"/>
  <c r="C934" i="3" s="1"/>
  <c r="D954" i="1"/>
  <c r="G953" i="1"/>
  <c r="E954" i="1" l="1"/>
  <c r="C954" i="1"/>
  <c r="D934" i="3" s="1"/>
  <c r="N954" i="1"/>
  <c r="H954" i="1"/>
  <c r="K954" i="1"/>
  <c r="O954" i="1" l="1"/>
  <c r="P954" i="1" s="1"/>
  <c r="I954" i="1"/>
  <c r="L954" i="1"/>
  <c r="M954" i="1" s="1"/>
  <c r="J954" i="1" l="1"/>
  <c r="F954" i="1" s="1"/>
  <c r="D955" i="1" l="1"/>
  <c r="B955" i="1"/>
  <c r="C935" i="3" s="1"/>
  <c r="G954" i="1"/>
  <c r="E955" i="1" l="1"/>
  <c r="C955" i="1"/>
  <c r="D935" i="3" s="1"/>
  <c r="N955" i="1"/>
  <c r="H955" i="1"/>
  <c r="K955" i="1"/>
  <c r="O955" i="1" l="1"/>
  <c r="P955" i="1" s="1"/>
  <c r="I955" i="1"/>
  <c r="L955" i="1"/>
  <c r="M955" i="1" s="1"/>
  <c r="J955" i="1" l="1"/>
  <c r="F955" i="1" s="1"/>
  <c r="D956" i="1" l="1"/>
  <c r="B956" i="1"/>
  <c r="C936" i="3" s="1"/>
  <c r="G955" i="1"/>
  <c r="E956" i="1" l="1"/>
  <c r="C956" i="1"/>
  <c r="D936" i="3" s="1"/>
  <c r="H956" i="1"/>
  <c r="K956" i="1"/>
  <c r="N956" i="1"/>
  <c r="O956" i="1" l="1"/>
  <c r="P956" i="1" s="1"/>
  <c r="I956" i="1"/>
  <c r="L956" i="1"/>
  <c r="M956" i="1" s="1"/>
  <c r="J956" i="1" l="1"/>
  <c r="F956" i="1" s="1"/>
  <c r="B957" i="1" l="1"/>
  <c r="C937" i="3" s="1"/>
  <c r="D957" i="1"/>
  <c r="G956" i="1"/>
  <c r="E957" i="1" l="1"/>
  <c r="C957" i="1"/>
  <c r="D937" i="3" s="1"/>
  <c r="H957" i="1"/>
  <c r="K957" i="1"/>
  <c r="N957" i="1"/>
  <c r="I957" i="1" l="1"/>
  <c r="L957" i="1"/>
  <c r="M957" i="1" s="1"/>
  <c r="O957" i="1"/>
  <c r="P957" i="1" s="1"/>
  <c r="J957" i="1" l="1"/>
  <c r="F957" i="1" s="1"/>
  <c r="G957" i="1" l="1"/>
  <c r="D958" i="1"/>
  <c r="B958" i="1"/>
  <c r="C938" i="3" s="1"/>
  <c r="K958" i="1" l="1"/>
  <c r="N958" i="1"/>
  <c r="H958" i="1"/>
  <c r="E958" i="1"/>
  <c r="C958" i="1"/>
  <c r="D938" i="3" s="1"/>
  <c r="I958" i="1" l="1"/>
  <c r="J958" i="1" s="1"/>
  <c r="L958" i="1"/>
  <c r="M958" i="1" s="1"/>
  <c r="O958" i="1"/>
  <c r="P958" i="1" s="1"/>
  <c r="F958" i="1" l="1"/>
  <c r="B959" i="1" s="1"/>
  <c r="C939" i="3" s="1"/>
  <c r="G958" i="1"/>
  <c r="D959" i="1" l="1"/>
  <c r="C959" i="1"/>
  <c r="D939" i="3" s="1"/>
  <c r="E959" i="1"/>
  <c r="K959" i="1"/>
  <c r="N959" i="1"/>
  <c r="H959" i="1"/>
  <c r="L959" i="1" l="1"/>
  <c r="M959" i="1" s="1"/>
  <c r="O959" i="1"/>
  <c r="P959" i="1" s="1"/>
  <c r="I959" i="1"/>
  <c r="J959" i="1" s="1"/>
  <c r="F959" i="1" l="1"/>
  <c r="G959" i="1"/>
  <c r="E960" i="1" l="1"/>
  <c r="C960" i="1"/>
  <c r="D940" i="3" s="1"/>
  <c r="D960" i="1"/>
  <c r="B960" i="1"/>
  <c r="C940" i="3" s="1"/>
  <c r="K960" i="1" l="1"/>
  <c r="N960" i="1"/>
  <c r="H960" i="1"/>
  <c r="L960" i="1"/>
  <c r="O960" i="1"/>
  <c r="I960" i="1"/>
  <c r="J960" i="1" l="1"/>
  <c r="P960" i="1"/>
  <c r="M960" i="1"/>
  <c r="F960" i="1" l="1"/>
  <c r="D961" i="1" s="1"/>
  <c r="G960" i="1"/>
  <c r="E961" i="1" s="1"/>
  <c r="B961" i="1" l="1"/>
  <c r="C961" i="1"/>
  <c r="L961" i="1" l="1"/>
  <c r="D941" i="3"/>
  <c r="N961" i="1"/>
  <c r="C941" i="3"/>
  <c r="K961" i="1"/>
  <c r="M961" i="1" s="1"/>
  <c r="H961" i="1"/>
  <c r="I961" i="1"/>
  <c r="O961" i="1"/>
  <c r="P961" i="1" s="1"/>
  <c r="J961" i="1" l="1"/>
  <c r="G961" i="1" s="1"/>
  <c r="E962" i="1" s="1"/>
  <c r="F961" i="1" l="1"/>
  <c r="D962" i="1" s="1"/>
  <c r="C962" i="1"/>
  <c r="O962" i="1" l="1"/>
  <c r="D942" i="3"/>
  <c r="B962" i="1"/>
  <c r="I962" i="1"/>
  <c r="L962" i="1"/>
  <c r="N962" i="1" l="1"/>
  <c r="P962" i="1" s="1"/>
  <c r="C942" i="3"/>
  <c r="H962" i="1"/>
  <c r="J962" i="1" s="1"/>
  <c r="K962" i="1"/>
  <c r="M962" i="1" s="1"/>
  <c r="G962" i="1" l="1"/>
  <c r="E963" i="1" s="1"/>
  <c r="F962" i="1"/>
  <c r="D963" i="1" s="1"/>
  <c r="C963" i="1" l="1"/>
  <c r="D943" i="3" s="1"/>
  <c r="B963" i="1"/>
  <c r="N963" i="1" l="1"/>
  <c r="C943" i="3"/>
  <c r="I963" i="1"/>
  <c r="L963" i="1"/>
  <c r="O963" i="1"/>
  <c r="P963" i="1" s="1"/>
  <c r="H963" i="1"/>
  <c r="K963" i="1"/>
  <c r="M963" i="1" s="1"/>
  <c r="J963" i="1" l="1"/>
  <c r="G963" i="1" s="1"/>
  <c r="C964" i="1" s="1"/>
  <c r="O964" i="1" l="1"/>
  <c r="D944" i="3"/>
  <c r="F963" i="1"/>
  <c r="D964" i="1" s="1"/>
  <c r="E964" i="1"/>
  <c r="L964" i="1"/>
  <c r="I964" i="1"/>
  <c r="B964" i="1" l="1"/>
  <c r="H964" i="1" l="1"/>
  <c r="J964" i="1" s="1"/>
  <c r="C944" i="3"/>
  <c r="K964" i="1"/>
  <c r="M964" i="1" s="1"/>
  <c r="N964" i="1"/>
  <c r="P964" i="1" s="1"/>
  <c r="G964" i="1" l="1"/>
  <c r="E965" i="1" s="1"/>
  <c r="F964" i="1"/>
  <c r="B965" i="1" s="1"/>
  <c r="K965" i="1" l="1"/>
  <c r="C945" i="3"/>
  <c r="C965" i="1"/>
  <c r="H965" i="1"/>
  <c r="N965" i="1"/>
  <c r="D965" i="1"/>
  <c r="I965" i="1" l="1"/>
  <c r="J965" i="1" s="1"/>
  <c r="D945" i="3"/>
  <c r="L965" i="1"/>
  <c r="M965" i="1" s="1"/>
  <c r="O965" i="1"/>
  <c r="P965" i="1" s="1"/>
  <c r="F965" i="1" l="1"/>
  <c r="D966" i="1" s="1"/>
  <c r="G965" i="1"/>
  <c r="E966" i="1" s="1"/>
  <c r="B966" i="1" l="1"/>
  <c r="C966" i="1"/>
  <c r="I966" i="1" l="1"/>
  <c r="D946" i="3"/>
  <c r="K966" i="1"/>
  <c r="C946" i="3"/>
  <c r="H966" i="1"/>
  <c r="J966" i="1" s="1"/>
  <c r="N966" i="1"/>
  <c r="O966" i="1"/>
  <c r="L966" i="1"/>
  <c r="M966" i="1" s="1"/>
  <c r="P966" i="1" l="1"/>
  <c r="F966" i="1" s="1"/>
  <c r="B967" i="1" s="1"/>
  <c r="C947" i="3" s="1"/>
  <c r="G966" i="1" l="1"/>
  <c r="E967" i="1" s="1"/>
  <c r="D967" i="1"/>
  <c r="K967" i="1"/>
  <c r="N967" i="1"/>
  <c r="H967" i="1"/>
  <c r="C967" i="1" l="1"/>
  <c r="L967" i="1" l="1"/>
  <c r="M967" i="1" s="1"/>
  <c r="D947" i="3"/>
  <c r="I967" i="1"/>
  <c r="J967" i="1" s="1"/>
  <c r="O967" i="1"/>
  <c r="P967" i="1" s="1"/>
  <c r="F967" i="1" l="1"/>
  <c r="B968" i="1" s="1"/>
  <c r="C948" i="3" s="1"/>
  <c r="G967" i="1"/>
  <c r="D968" i="1" l="1"/>
  <c r="E968" i="1"/>
  <c r="C968" i="1"/>
  <c r="D948" i="3" s="1"/>
  <c r="K968" i="1"/>
  <c r="N968" i="1"/>
  <c r="H968" i="1"/>
  <c r="L968" i="1" l="1"/>
  <c r="M968" i="1" s="1"/>
  <c r="O968" i="1"/>
  <c r="P968" i="1" s="1"/>
  <c r="I968" i="1"/>
  <c r="J968" i="1" l="1"/>
  <c r="F968" i="1" s="1"/>
  <c r="D969" i="1" l="1"/>
  <c r="B969" i="1"/>
  <c r="C949" i="3" s="1"/>
  <c r="G968" i="1"/>
  <c r="E969" i="1" l="1"/>
  <c r="C969" i="1"/>
  <c r="D949" i="3" s="1"/>
  <c r="N969" i="1"/>
  <c r="H969" i="1"/>
  <c r="K969" i="1"/>
  <c r="L969" i="1" l="1"/>
  <c r="M969" i="1" s="1"/>
  <c r="O969" i="1"/>
  <c r="P969" i="1" s="1"/>
  <c r="I969" i="1"/>
  <c r="J969" i="1" l="1"/>
  <c r="F969" i="1" s="1"/>
  <c r="B970" i="1" l="1"/>
  <c r="C950" i="3" s="1"/>
  <c r="D970" i="1"/>
  <c r="G969" i="1"/>
  <c r="E970" i="1" l="1"/>
  <c r="C970" i="1"/>
  <c r="D950" i="3" s="1"/>
  <c r="N970" i="1"/>
  <c r="H970" i="1"/>
  <c r="K970" i="1"/>
  <c r="O970" i="1" l="1"/>
  <c r="P970" i="1" s="1"/>
  <c r="I970" i="1"/>
  <c r="L970" i="1"/>
  <c r="M970" i="1" s="1"/>
  <c r="J970" i="1" l="1"/>
  <c r="F970" i="1" s="1"/>
  <c r="B971" i="1" l="1"/>
  <c r="C951" i="3" s="1"/>
  <c r="D971" i="1"/>
  <c r="G970" i="1"/>
  <c r="E971" i="1" l="1"/>
  <c r="C971" i="1"/>
  <c r="D951" i="3" s="1"/>
  <c r="N971" i="1"/>
  <c r="H971" i="1"/>
  <c r="K971" i="1"/>
  <c r="O971" i="1" l="1"/>
  <c r="P971" i="1" s="1"/>
  <c r="I971" i="1"/>
  <c r="L971" i="1"/>
  <c r="M971" i="1" s="1"/>
  <c r="J971" i="1" l="1"/>
  <c r="F971" i="1" s="1"/>
  <c r="D972" i="1" l="1"/>
  <c r="B972" i="1"/>
  <c r="C952" i="3" s="1"/>
  <c r="G971" i="1"/>
  <c r="E972" i="1" l="1"/>
  <c r="C972" i="1"/>
  <c r="D952" i="3" s="1"/>
  <c r="H972" i="1"/>
  <c r="K972" i="1"/>
  <c r="N972" i="1"/>
  <c r="O972" i="1" l="1"/>
  <c r="P972" i="1" s="1"/>
  <c r="I972" i="1"/>
  <c r="L972" i="1"/>
  <c r="M972" i="1" s="1"/>
  <c r="J972" i="1" l="1"/>
  <c r="F972" i="1" s="1"/>
  <c r="B973" i="1" l="1"/>
  <c r="C953" i="3" s="1"/>
  <c r="D973" i="1"/>
  <c r="G972" i="1"/>
  <c r="E973" i="1" l="1"/>
  <c r="C973" i="1"/>
  <c r="D953" i="3" s="1"/>
  <c r="H973" i="1"/>
  <c r="K973" i="1"/>
  <c r="N973" i="1"/>
  <c r="I973" i="1" l="1"/>
  <c r="L973" i="1"/>
  <c r="M973" i="1" s="1"/>
  <c r="O973" i="1"/>
  <c r="P973" i="1" s="1"/>
  <c r="J973" i="1" l="1"/>
  <c r="F973" i="1" s="1"/>
  <c r="D974" i="1" l="1"/>
  <c r="B974" i="1"/>
  <c r="C954" i="3" s="1"/>
  <c r="G973" i="1"/>
  <c r="E974" i="1" l="1"/>
  <c r="C974" i="1"/>
  <c r="D954" i="3" s="1"/>
  <c r="K974" i="1"/>
  <c r="N974" i="1"/>
  <c r="H974" i="1"/>
  <c r="I974" i="1" l="1"/>
  <c r="L974" i="1"/>
  <c r="M974" i="1" s="1"/>
  <c r="O974" i="1"/>
  <c r="P974" i="1" s="1"/>
  <c r="J974" i="1" l="1"/>
  <c r="F974" i="1" s="1"/>
  <c r="B975" i="1" l="1"/>
  <c r="C955" i="3" s="1"/>
  <c r="D975" i="1"/>
  <c r="G974" i="1"/>
  <c r="E975" i="1" l="1"/>
  <c r="C975" i="1"/>
  <c r="D955" i="3" s="1"/>
  <c r="K975" i="1"/>
  <c r="N975" i="1"/>
  <c r="H975" i="1"/>
  <c r="L975" i="1" l="1"/>
  <c r="M975" i="1" s="1"/>
  <c r="O975" i="1"/>
  <c r="P975" i="1" s="1"/>
  <c r="I975" i="1"/>
  <c r="J975" i="1" l="1"/>
  <c r="F975" i="1" s="1"/>
  <c r="D976" i="1" l="1"/>
  <c r="B976" i="1"/>
  <c r="C956" i="3" s="1"/>
  <c r="G975" i="1"/>
  <c r="E976" i="1" l="1"/>
  <c r="C976" i="1"/>
  <c r="D956" i="3" s="1"/>
  <c r="K976" i="1"/>
  <c r="N976" i="1"/>
  <c r="H976" i="1"/>
  <c r="L976" i="1" l="1"/>
  <c r="M976" i="1" s="1"/>
  <c r="O976" i="1"/>
  <c r="P976" i="1" s="1"/>
  <c r="I976" i="1"/>
  <c r="J976" i="1" l="1"/>
  <c r="F976" i="1" s="1"/>
  <c r="B977" i="1" l="1"/>
  <c r="C957" i="3" s="1"/>
  <c r="D977" i="1"/>
  <c r="G976" i="1"/>
  <c r="E977" i="1" l="1"/>
  <c r="C977" i="1"/>
  <c r="D957" i="3" s="1"/>
  <c r="N977" i="1"/>
  <c r="H977" i="1"/>
  <c r="K977" i="1"/>
  <c r="L977" i="1" l="1"/>
  <c r="M977" i="1" s="1"/>
  <c r="O977" i="1"/>
  <c r="P977" i="1" s="1"/>
  <c r="I977" i="1"/>
  <c r="J977" i="1" l="1"/>
  <c r="F977" i="1" s="1"/>
  <c r="B978" i="1" l="1"/>
  <c r="C958" i="3" s="1"/>
  <c r="D978" i="1"/>
  <c r="G977" i="1"/>
  <c r="E978" i="1" l="1"/>
  <c r="C978" i="1"/>
  <c r="D958" i="3" s="1"/>
  <c r="N978" i="1"/>
  <c r="H978" i="1"/>
  <c r="K978" i="1"/>
  <c r="O978" i="1" l="1"/>
  <c r="P978" i="1" s="1"/>
  <c r="I978" i="1"/>
  <c r="L978" i="1"/>
  <c r="M978" i="1" s="1"/>
  <c r="J978" i="1" l="1"/>
  <c r="F978" i="1" s="1"/>
  <c r="B979" i="1" l="1"/>
  <c r="C959" i="3" s="1"/>
  <c r="D979" i="1"/>
  <c r="G978" i="1"/>
  <c r="E979" i="1" l="1"/>
  <c r="C979" i="1"/>
  <c r="D959" i="3" s="1"/>
  <c r="N979" i="1"/>
  <c r="H979" i="1"/>
  <c r="K979" i="1"/>
  <c r="O979" i="1" l="1"/>
  <c r="P979" i="1" s="1"/>
  <c r="I979" i="1"/>
  <c r="L979" i="1"/>
  <c r="M979" i="1" s="1"/>
  <c r="J979" i="1" l="1"/>
  <c r="F979" i="1" s="1"/>
  <c r="B980" i="1" l="1"/>
  <c r="C960" i="3" s="1"/>
  <c r="D980" i="1"/>
  <c r="G979" i="1"/>
  <c r="E980" i="1" l="1"/>
  <c r="C980" i="1"/>
  <c r="D960" i="3" s="1"/>
  <c r="H980" i="1"/>
  <c r="K980" i="1"/>
  <c r="N980" i="1"/>
  <c r="O980" i="1" l="1"/>
  <c r="P980" i="1" s="1"/>
  <c r="I980" i="1"/>
  <c r="L980" i="1"/>
  <c r="M980" i="1" s="1"/>
  <c r="J980" i="1" l="1"/>
  <c r="F980" i="1" s="1"/>
  <c r="B981" i="1" l="1"/>
  <c r="C961" i="3" s="1"/>
  <c r="D981" i="1"/>
  <c r="G980" i="1"/>
  <c r="E981" i="1" l="1"/>
  <c r="C981" i="1"/>
  <c r="D961" i="3" s="1"/>
  <c r="H981" i="1"/>
  <c r="K981" i="1"/>
  <c r="N981" i="1"/>
  <c r="I981" i="1" l="1"/>
  <c r="L981" i="1"/>
  <c r="M981" i="1" s="1"/>
  <c r="O981" i="1"/>
  <c r="P981" i="1" s="1"/>
  <c r="J981" i="1" l="1"/>
  <c r="F981" i="1" s="1"/>
  <c r="B982" i="1" l="1"/>
  <c r="C962" i="3" s="1"/>
  <c r="D982" i="1"/>
  <c r="G981" i="1"/>
  <c r="E982" i="1" l="1"/>
  <c r="C982" i="1"/>
  <c r="D962" i="3" s="1"/>
  <c r="K982" i="1"/>
  <c r="N982" i="1"/>
  <c r="H982" i="1"/>
  <c r="I982" i="1" l="1"/>
  <c r="L982" i="1"/>
  <c r="M982" i="1" s="1"/>
  <c r="O982" i="1"/>
  <c r="P982" i="1" s="1"/>
  <c r="J982" i="1" l="1"/>
  <c r="F982" i="1" s="1"/>
  <c r="B983" i="1" l="1"/>
  <c r="C963" i="3" s="1"/>
  <c r="D983" i="1"/>
  <c r="G982" i="1"/>
  <c r="E983" i="1" l="1"/>
  <c r="C983" i="1"/>
  <c r="D963" i="3" s="1"/>
  <c r="K983" i="1"/>
  <c r="N983" i="1"/>
  <c r="H983" i="1"/>
  <c r="L983" i="1" l="1"/>
  <c r="M983" i="1" s="1"/>
  <c r="O983" i="1"/>
  <c r="P983" i="1" s="1"/>
  <c r="I983" i="1"/>
  <c r="J983" i="1" l="1"/>
  <c r="F983" i="1" s="1"/>
  <c r="D984" i="1" l="1"/>
  <c r="B984" i="1"/>
  <c r="C964" i="3" s="1"/>
  <c r="G983" i="1"/>
  <c r="E984" i="1" l="1"/>
  <c r="C984" i="1"/>
  <c r="D964" i="3" s="1"/>
  <c r="K984" i="1"/>
  <c r="N984" i="1"/>
  <c r="H984" i="1"/>
  <c r="L984" i="1" l="1"/>
  <c r="M984" i="1" s="1"/>
  <c r="O984" i="1"/>
  <c r="P984" i="1" s="1"/>
  <c r="I984" i="1"/>
  <c r="J984" i="1" l="1"/>
  <c r="F984" i="1" s="1"/>
  <c r="B985" i="1" l="1"/>
  <c r="C965" i="3" s="1"/>
  <c r="D985" i="1"/>
  <c r="G984" i="1"/>
  <c r="E985" i="1" l="1"/>
  <c r="C985" i="1"/>
  <c r="D965" i="3" s="1"/>
  <c r="N985" i="1"/>
  <c r="H985" i="1"/>
  <c r="K985" i="1"/>
  <c r="L985" i="1" l="1"/>
  <c r="M985" i="1" s="1"/>
  <c r="O985" i="1"/>
  <c r="P985" i="1" s="1"/>
  <c r="I985" i="1"/>
  <c r="J985" i="1" l="1"/>
  <c r="F985" i="1" s="1"/>
  <c r="B986" i="1" l="1"/>
  <c r="C966" i="3" s="1"/>
  <c r="D986" i="1"/>
  <c r="G985" i="1"/>
  <c r="E986" i="1" l="1"/>
  <c r="C986" i="1"/>
  <c r="D966" i="3" s="1"/>
  <c r="N986" i="1"/>
  <c r="H986" i="1"/>
  <c r="K986" i="1"/>
  <c r="O986" i="1" l="1"/>
  <c r="P986" i="1" s="1"/>
  <c r="I986" i="1"/>
  <c r="L986" i="1"/>
  <c r="M986" i="1" s="1"/>
  <c r="J986" i="1" l="1"/>
  <c r="F986" i="1" s="1"/>
  <c r="D987" i="1" l="1"/>
  <c r="B987" i="1"/>
  <c r="C967" i="3" s="1"/>
  <c r="G986" i="1"/>
  <c r="E987" i="1" l="1"/>
  <c r="C987" i="1"/>
  <c r="D967" i="3" s="1"/>
  <c r="N987" i="1"/>
  <c r="H987" i="1"/>
  <c r="K987" i="1"/>
  <c r="O987" i="1" l="1"/>
  <c r="P987" i="1" s="1"/>
  <c r="I987" i="1"/>
  <c r="L987" i="1"/>
  <c r="M987" i="1" s="1"/>
  <c r="J987" i="1" l="1"/>
  <c r="F987" i="1" s="1"/>
  <c r="B988" i="1" l="1"/>
  <c r="C968" i="3" s="1"/>
  <c r="D988" i="1"/>
  <c r="G987" i="1"/>
  <c r="E988" i="1" l="1"/>
  <c r="C988" i="1"/>
  <c r="D968" i="3" s="1"/>
  <c r="H988" i="1"/>
  <c r="K988" i="1"/>
  <c r="N988" i="1"/>
  <c r="O988" i="1" l="1"/>
  <c r="P988" i="1" s="1"/>
  <c r="I988" i="1"/>
  <c r="L988" i="1"/>
  <c r="M988" i="1" s="1"/>
  <c r="J988" i="1" l="1"/>
  <c r="F988" i="1" s="1"/>
  <c r="B989" i="1" l="1"/>
  <c r="C969" i="3" s="1"/>
  <c r="D989" i="1"/>
  <c r="G988" i="1"/>
  <c r="E989" i="1" l="1"/>
  <c r="C989" i="1"/>
  <c r="D969" i="3" s="1"/>
  <c r="H989" i="1"/>
  <c r="K989" i="1"/>
  <c r="N989" i="1"/>
  <c r="I989" i="1" l="1"/>
  <c r="L989" i="1"/>
  <c r="M989" i="1" s="1"/>
  <c r="O989" i="1"/>
  <c r="P989" i="1" s="1"/>
  <c r="J989" i="1" l="1"/>
  <c r="F989" i="1" s="1"/>
  <c r="B990" i="1" l="1"/>
  <c r="C970" i="3" s="1"/>
  <c r="D990" i="1"/>
  <c r="G989" i="1"/>
  <c r="E990" i="1" l="1"/>
  <c r="C990" i="1"/>
  <c r="D970" i="3" s="1"/>
  <c r="K990" i="1"/>
  <c r="N990" i="1"/>
  <c r="H990" i="1"/>
  <c r="I990" i="1" l="1"/>
  <c r="L990" i="1"/>
  <c r="M990" i="1" s="1"/>
  <c r="O990" i="1"/>
  <c r="P990" i="1" s="1"/>
  <c r="J990" i="1" l="1"/>
  <c r="F990" i="1" s="1"/>
  <c r="B991" i="1" l="1"/>
  <c r="C971" i="3" s="1"/>
  <c r="D991" i="1"/>
  <c r="G990" i="1"/>
  <c r="E991" i="1" l="1"/>
  <c r="C991" i="1"/>
  <c r="D971" i="3" s="1"/>
  <c r="K991" i="1"/>
  <c r="N991" i="1"/>
  <c r="H991" i="1"/>
  <c r="L991" i="1" l="1"/>
  <c r="M991" i="1" s="1"/>
  <c r="O991" i="1"/>
  <c r="P991" i="1" s="1"/>
  <c r="I991" i="1"/>
  <c r="J991" i="1" l="1"/>
  <c r="F991" i="1" s="1"/>
  <c r="D992" i="1" l="1"/>
  <c r="B992" i="1"/>
  <c r="C972" i="3" s="1"/>
  <c r="G991" i="1"/>
  <c r="E992" i="1" l="1"/>
  <c r="C992" i="1"/>
  <c r="D972" i="3" s="1"/>
  <c r="K992" i="1"/>
  <c r="N992" i="1"/>
  <c r="H992" i="1"/>
  <c r="L992" i="1" l="1"/>
  <c r="M992" i="1" s="1"/>
  <c r="O992" i="1"/>
  <c r="P992" i="1" s="1"/>
  <c r="I992" i="1"/>
  <c r="J992" i="1" l="1"/>
  <c r="F992" i="1" s="1"/>
  <c r="B993" i="1" l="1"/>
  <c r="C973" i="3" s="1"/>
  <c r="D993" i="1"/>
  <c r="G992" i="1"/>
  <c r="E993" i="1" l="1"/>
  <c r="C993" i="1"/>
  <c r="D973" i="3" s="1"/>
  <c r="N993" i="1"/>
  <c r="H993" i="1"/>
  <c r="K993" i="1"/>
  <c r="L993" i="1" l="1"/>
  <c r="M993" i="1" s="1"/>
  <c r="O993" i="1"/>
  <c r="P993" i="1" s="1"/>
  <c r="I993" i="1"/>
  <c r="J993" i="1" l="1"/>
  <c r="F993" i="1" s="1"/>
  <c r="D994" i="1" l="1"/>
  <c r="B994" i="1"/>
  <c r="C974" i="3" s="1"/>
  <c r="G993" i="1"/>
  <c r="E994" i="1" l="1"/>
  <c r="C994" i="1"/>
  <c r="D974" i="3" s="1"/>
  <c r="N994" i="1"/>
  <c r="H994" i="1"/>
  <c r="K994" i="1"/>
  <c r="O994" i="1" l="1"/>
  <c r="P994" i="1" s="1"/>
  <c r="I994" i="1"/>
  <c r="L994" i="1"/>
  <c r="M994" i="1" s="1"/>
  <c r="J994" i="1" l="1"/>
  <c r="F994" i="1" s="1"/>
  <c r="D995" i="1" l="1"/>
  <c r="B995" i="1"/>
  <c r="C975" i="3" s="1"/>
  <c r="G994" i="1"/>
  <c r="E995" i="1" l="1"/>
  <c r="C995" i="1"/>
  <c r="D975" i="3" s="1"/>
  <c r="N995" i="1"/>
  <c r="H995" i="1"/>
  <c r="K995" i="1"/>
  <c r="O995" i="1" l="1"/>
  <c r="P995" i="1" s="1"/>
  <c r="I995" i="1"/>
  <c r="L995" i="1"/>
  <c r="M995" i="1" s="1"/>
  <c r="J995" i="1" l="1"/>
  <c r="F995" i="1" s="1"/>
  <c r="D996" i="1" l="1"/>
  <c r="B996" i="1"/>
  <c r="C976" i="3" s="1"/>
  <c r="G995" i="1"/>
  <c r="E996" i="1" l="1"/>
  <c r="C996" i="1"/>
  <c r="D976" i="3" s="1"/>
  <c r="H996" i="1"/>
  <c r="K996" i="1"/>
  <c r="N996" i="1"/>
  <c r="O996" i="1" l="1"/>
  <c r="P996" i="1" s="1"/>
  <c r="I996" i="1"/>
  <c r="L996" i="1"/>
  <c r="M996" i="1" s="1"/>
  <c r="J996" i="1" l="1"/>
  <c r="F996" i="1" s="1"/>
  <c r="B997" i="1" l="1"/>
  <c r="C977" i="3" s="1"/>
  <c r="D997" i="1"/>
  <c r="G996" i="1"/>
  <c r="E997" i="1" l="1"/>
  <c r="C997" i="1"/>
  <c r="D977" i="3" s="1"/>
  <c r="H997" i="1"/>
  <c r="K997" i="1"/>
  <c r="N997" i="1"/>
  <c r="I997" i="1" l="1"/>
  <c r="L997" i="1"/>
  <c r="M997" i="1" s="1"/>
  <c r="O997" i="1"/>
  <c r="P997" i="1" s="1"/>
  <c r="J997" i="1" l="1"/>
  <c r="F997" i="1" s="1"/>
  <c r="B998" i="1" l="1"/>
  <c r="C978" i="3" s="1"/>
  <c r="D998" i="1"/>
  <c r="G997" i="1"/>
  <c r="E998" i="1" l="1"/>
  <c r="C998" i="1"/>
  <c r="D978" i="3" s="1"/>
  <c r="K998" i="1"/>
  <c r="N998" i="1"/>
  <c r="H998" i="1"/>
  <c r="I998" i="1" l="1"/>
  <c r="L998" i="1"/>
  <c r="M998" i="1" s="1"/>
  <c r="O998" i="1"/>
  <c r="P998" i="1" s="1"/>
  <c r="J998" i="1" l="1"/>
  <c r="F998" i="1" s="1"/>
  <c r="B999" i="1" l="1"/>
  <c r="C979" i="3" s="1"/>
  <c r="D999" i="1"/>
  <c r="G998" i="1"/>
  <c r="E999" i="1" l="1"/>
  <c r="C999" i="1"/>
  <c r="D979" i="3" s="1"/>
  <c r="K999" i="1"/>
  <c r="N999" i="1"/>
  <c r="H999" i="1"/>
  <c r="L999" i="1" l="1"/>
  <c r="M999" i="1" s="1"/>
  <c r="O999" i="1"/>
  <c r="P999" i="1" s="1"/>
  <c r="I999" i="1"/>
  <c r="J999" i="1" l="1"/>
  <c r="F999" i="1" s="1"/>
  <c r="D1000" i="1" l="1"/>
  <c r="B1000" i="1"/>
  <c r="C980" i="3" s="1"/>
  <c r="G999" i="1"/>
  <c r="E1000" i="1" l="1"/>
  <c r="C1000" i="1"/>
  <c r="D980" i="3" s="1"/>
  <c r="K1000" i="1"/>
  <c r="N1000" i="1"/>
  <c r="H1000" i="1"/>
  <c r="L1000" i="1" l="1"/>
  <c r="M1000" i="1" s="1"/>
  <c r="O1000" i="1"/>
  <c r="P1000" i="1" s="1"/>
  <c r="I1000" i="1"/>
  <c r="J1000" i="1" l="1"/>
  <c r="F1000" i="1" s="1"/>
  <c r="B1001" i="1" l="1"/>
  <c r="C981" i="3" s="1"/>
  <c r="D1001" i="1"/>
  <c r="G1000" i="1"/>
  <c r="E1001" i="1" l="1"/>
  <c r="C1001" i="1"/>
  <c r="D981" i="3" s="1"/>
  <c r="N1001" i="1"/>
  <c r="H1001" i="1"/>
  <c r="K1001" i="1"/>
  <c r="L1001" i="1" l="1"/>
  <c r="M1001" i="1" s="1"/>
  <c r="O1001" i="1"/>
  <c r="P1001" i="1" s="1"/>
  <c r="I1001" i="1"/>
  <c r="J1001" i="1" l="1"/>
  <c r="F1001" i="1" s="1"/>
  <c r="D1002" i="1" l="1"/>
  <c r="B1002" i="1"/>
  <c r="C982" i="3" s="1"/>
  <c r="G1001" i="1"/>
  <c r="E1002" i="1" l="1"/>
  <c r="C1002" i="1"/>
  <c r="D982" i="3" s="1"/>
  <c r="N1002" i="1"/>
  <c r="H1002" i="1"/>
  <c r="K1002" i="1"/>
  <c r="O1002" i="1" l="1"/>
  <c r="P1002" i="1" s="1"/>
  <c r="I1002" i="1"/>
  <c r="L1002" i="1"/>
  <c r="M1002" i="1" s="1"/>
  <c r="J1002" i="1" l="1"/>
  <c r="F1002" i="1" s="1"/>
  <c r="D1003" i="1" l="1"/>
  <c r="B1003" i="1"/>
  <c r="C983" i="3" s="1"/>
  <c r="G1002" i="1"/>
  <c r="E1003" i="1" l="1"/>
  <c r="C1003" i="1"/>
  <c r="D983" i="3" s="1"/>
  <c r="N1003" i="1"/>
  <c r="H1003" i="1"/>
  <c r="K1003" i="1"/>
  <c r="O1003" i="1" l="1"/>
  <c r="P1003" i="1" s="1"/>
  <c r="I1003" i="1"/>
  <c r="L1003" i="1"/>
  <c r="M1003" i="1" s="1"/>
  <c r="J1003" i="1" l="1"/>
  <c r="F1003" i="1" s="1"/>
  <c r="D1004" i="1" l="1"/>
  <c r="B1004" i="1"/>
  <c r="C984" i="3" s="1"/>
  <c r="G1003" i="1"/>
  <c r="E1004" i="1" l="1"/>
  <c r="C1004" i="1"/>
  <c r="D984" i="3" s="1"/>
  <c r="H1004" i="1"/>
  <c r="K1004" i="1"/>
  <c r="N1004" i="1"/>
  <c r="O1004" i="1" l="1"/>
  <c r="P1004" i="1" s="1"/>
  <c r="I1004" i="1"/>
  <c r="L1004" i="1"/>
  <c r="M1004" i="1" s="1"/>
  <c r="J1004" i="1" l="1"/>
  <c r="F1004" i="1" s="1"/>
  <c r="B1005" i="1" l="1"/>
  <c r="C985" i="3" s="1"/>
  <c r="D1005" i="1"/>
  <c r="G1004" i="1"/>
  <c r="E1005" i="1" l="1"/>
  <c r="C1005" i="1"/>
  <c r="D985" i="3" s="1"/>
  <c r="H1005" i="1"/>
  <c r="K1005" i="1"/>
  <c r="N1005" i="1"/>
  <c r="I1005" i="1" l="1"/>
  <c r="L1005" i="1"/>
  <c r="M1005" i="1" s="1"/>
  <c r="O1005" i="1"/>
  <c r="P1005" i="1" s="1"/>
  <c r="J1005" i="1" l="1"/>
  <c r="F1005" i="1" s="1"/>
  <c r="D1006" i="1" l="1"/>
  <c r="B1006" i="1"/>
  <c r="C986" i="3" s="1"/>
  <c r="G1005" i="1"/>
  <c r="E1006" i="1" l="1"/>
  <c r="C1006" i="1"/>
  <c r="D986" i="3" s="1"/>
  <c r="K1006" i="1"/>
  <c r="N1006" i="1"/>
  <c r="H1006" i="1"/>
  <c r="I1006" i="1" l="1"/>
  <c r="L1006" i="1"/>
  <c r="M1006" i="1" s="1"/>
  <c r="O1006" i="1"/>
  <c r="P1006" i="1" s="1"/>
  <c r="J1006" i="1" l="1"/>
  <c r="F1006" i="1" s="1"/>
  <c r="B1007" i="1" l="1"/>
  <c r="C987" i="3" s="1"/>
  <c r="D1007" i="1"/>
  <c r="G1006" i="1"/>
  <c r="E1007" i="1" l="1"/>
  <c r="C1007" i="1"/>
  <c r="D987" i="3" s="1"/>
  <c r="K1007" i="1"/>
  <c r="N1007" i="1"/>
  <c r="H1007" i="1"/>
  <c r="L1007" i="1" l="1"/>
  <c r="M1007" i="1" s="1"/>
  <c r="O1007" i="1"/>
  <c r="P1007" i="1" s="1"/>
  <c r="I1007" i="1"/>
  <c r="J1007" i="1" l="1"/>
  <c r="F1007" i="1" s="1"/>
  <c r="D1008" i="1" l="1"/>
  <c r="B1008" i="1"/>
  <c r="C988" i="3" s="1"/>
  <c r="G1007" i="1"/>
  <c r="E1008" i="1" l="1"/>
  <c r="C1008" i="1"/>
  <c r="D988" i="3" s="1"/>
  <c r="K1008" i="1"/>
  <c r="N1008" i="1"/>
  <c r="H1008" i="1"/>
  <c r="L1008" i="1" l="1"/>
  <c r="M1008" i="1" s="1"/>
  <c r="O1008" i="1"/>
  <c r="P1008" i="1" s="1"/>
  <c r="I1008" i="1"/>
  <c r="J1008" i="1" l="1"/>
  <c r="F1008" i="1" s="1"/>
  <c r="B1009" i="1" l="1"/>
  <c r="C989" i="3" s="1"/>
  <c r="D1009" i="1"/>
  <c r="G1008" i="1"/>
  <c r="E1009" i="1" l="1"/>
  <c r="C1009" i="1"/>
  <c r="D989" i="3" s="1"/>
  <c r="N1009" i="1"/>
  <c r="H1009" i="1"/>
  <c r="K1009" i="1"/>
  <c r="L1009" i="1" l="1"/>
  <c r="M1009" i="1" s="1"/>
  <c r="O1009" i="1"/>
  <c r="P1009" i="1" s="1"/>
  <c r="I1009" i="1"/>
  <c r="J1009" i="1" l="1"/>
  <c r="F1009" i="1" s="1"/>
  <c r="D1010" i="1" l="1"/>
  <c r="B1010" i="1"/>
  <c r="C990" i="3" s="1"/>
  <c r="G1009" i="1"/>
  <c r="E1010" i="1" l="1"/>
  <c r="C1010" i="1"/>
  <c r="D990" i="3" s="1"/>
  <c r="N1010" i="1"/>
  <c r="H1010" i="1"/>
  <c r="K1010" i="1"/>
  <c r="O1010" i="1" l="1"/>
  <c r="P1010" i="1" s="1"/>
  <c r="I1010" i="1"/>
  <c r="L1010" i="1"/>
  <c r="M1010" i="1" s="1"/>
  <c r="J1010" i="1" l="1"/>
  <c r="F1010" i="1" s="1"/>
  <c r="D1011" i="1" l="1"/>
  <c r="B1011" i="1"/>
  <c r="C991" i="3" s="1"/>
  <c r="G1010" i="1"/>
  <c r="E1011" i="1" l="1"/>
  <c r="C1011" i="1"/>
  <c r="D991" i="3" s="1"/>
  <c r="N1011" i="1"/>
  <c r="H1011" i="1"/>
  <c r="K1011" i="1"/>
  <c r="O1011" i="1" l="1"/>
  <c r="P1011" i="1" s="1"/>
  <c r="I1011" i="1"/>
  <c r="L1011" i="1"/>
  <c r="M1011" i="1" s="1"/>
  <c r="J1011" i="1" l="1"/>
  <c r="F1011" i="1" s="1"/>
  <c r="B1012" i="1" l="1"/>
  <c r="C992" i="3" s="1"/>
  <c r="D1012" i="1"/>
  <c r="G1011" i="1"/>
  <c r="E1012" i="1" l="1"/>
  <c r="C1012" i="1"/>
  <c r="D992" i="3" s="1"/>
  <c r="H1012" i="1"/>
  <c r="K1012" i="1"/>
  <c r="N1012" i="1"/>
  <c r="O1012" i="1" l="1"/>
  <c r="P1012" i="1" s="1"/>
  <c r="I1012" i="1"/>
  <c r="L1012" i="1"/>
  <c r="M1012" i="1" s="1"/>
  <c r="J1012" i="1" l="1"/>
  <c r="F1012" i="1" s="1"/>
  <c r="D1013" i="1" l="1"/>
  <c r="B1013" i="1"/>
  <c r="C993" i="3" s="1"/>
  <c r="G1012" i="1"/>
  <c r="E1013" i="1" l="1"/>
  <c r="C1013" i="1"/>
  <c r="D993" i="3" s="1"/>
  <c r="H1013" i="1"/>
  <c r="K1013" i="1"/>
  <c r="N1013" i="1"/>
  <c r="I1013" i="1" l="1"/>
  <c r="L1013" i="1"/>
  <c r="M1013" i="1" s="1"/>
  <c r="O1013" i="1"/>
  <c r="P1013" i="1" s="1"/>
  <c r="J1013" i="1" l="1"/>
  <c r="F1013" i="1" s="1"/>
  <c r="B1014" i="1" l="1"/>
  <c r="C994" i="3" s="1"/>
  <c r="D1014" i="1"/>
  <c r="G1013" i="1"/>
  <c r="E1014" i="1" l="1"/>
  <c r="C1014" i="1"/>
  <c r="D994" i="3" s="1"/>
  <c r="K1014" i="1"/>
  <c r="N1014" i="1"/>
  <c r="H1014" i="1"/>
  <c r="I1014" i="1" l="1"/>
  <c r="L1014" i="1"/>
  <c r="M1014" i="1" s="1"/>
  <c r="O1014" i="1"/>
  <c r="P1014" i="1" s="1"/>
  <c r="J1014" i="1" l="1"/>
  <c r="F1014" i="1" s="1"/>
  <c r="B1015" i="1" l="1"/>
  <c r="C995" i="3" s="1"/>
  <c r="D1015" i="1"/>
  <c r="G1014" i="1"/>
  <c r="E1015" i="1" l="1"/>
  <c r="C1015" i="1"/>
  <c r="D995" i="3" s="1"/>
  <c r="K1015" i="1"/>
  <c r="N1015" i="1"/>
  <c r="H1015" i="1"/>
  <c r="L1015" i="1" l="1"/>
  <c r="M1015" i="1" s="1"/>
  <c r="O1015" i="1"/>
  <c r="P1015" i="1" s="1"/>
  <c r="I1015" i="1"/>
  <c r="J1015" i="1" l="1"/>
  <c r="F1015" i="1" s="1"/>
  <c r="D1016" i="1" l="1"/>
  <c r="B1016" i="1"/>
  <c r="C996" i="3" s="1"/>
  <c r="G1015" i="1"/>
  <c r="E1016" i="1" l="1"/>
  <c r="C1016" i="1"/>
  <c r="D996" i="3" s="1"/>
  <c r="K1016" i="1"/>
  <c r="N1016" i="1"/>
  <c r="H1016" i="1"/>
  <c r="L1016" i="1" l="1"/>
  <c r="M1016" i="1" s="1"/>
  <c r="O1016" i="1"/>
  <c r="P1016" i="1" s="1"/>
  <c r="I1016" i="1"/>
  <c r="J1016" i="1" l="1"/>
  <c r="F1016" i="1" s="1"/>
  <c r="G1016" i="1" l="1"/>
  <c r="E1017" i="1" s="1"/>
  <c r="B1017" i="1"/>
  <c r="C997" i="3" s="1"/>
  <c r="D1017" i="1"/>
  <c r="C1017" i="1" l="1"/>
  <c r="N1017" i="1"/>
  <c r="H1017" i="1"/>
  <c r="K1017" i="1"/>
  <c r="L1017" i="1" l="1"/>
  <c r="D997" i="3"/>
  <c r="O1017" i="1"/>
  <c r="P1017" i="1" s="1"/>
  <c r="I1017" i="1"/>
  <c r="J1017" i="1" s="1"/>
  <c r="M1017" i="1"/>
  <c r="F1017" i="1" l="1"/>
  <c r="D1018" i="1" s="1"/>
  <c r="G1017" i="1"/>
  <c r="E1018" i="1" s="1"/>
  <c r="B1018" i="1" l="1"/>
  <c r="C1018" i="1"/>
  <c r="O1018" i="1" l="1"/>
  <c r="D998" i="3"/>
  <c r="N1018" i="1"/>
  <c r="P1018" i="1" s="1"/>
  <c r="C998" i="3"/>
  <c r="K1018" i="1"/>
  <c r="H1018" i="1"/>
  <c r="L1018" i="1"/>
  <c r="I1018" i="1"/>
  <c r="J1018" i="1" l="1"/>
  <c r="M1018" i="1"/>
  <c r="G1018" i="1" s="1"/>
  <c r="E1019" i="1" l="1"/>
  <c r="C1019" i="1"/>
  <c r="D999" i="3" s="1"/>
  <c r="F1018" i="1"/>
  <c r="D1019" i="1" s="1"/>
  <c r="O1019" i="1"/>
  <c r="I1019" i="1"/>
  <c r="L1019" i="1"/>
  <c r="B1019" i="1" l="1"/>
  <c r="C999" i="3" s="1"/>
  <c r="K1019" i="1" l="1"/>
  <c r="M1019" i="1" s="1"/>
  <c r="N1019" i="1"/>
  <c r="P1019" i="1" s="1"/>
  <c r="H1019" i="1"/>
  <c r="J1019" i="1" s="1"/>
  <c r="G1019" i="1" l="1"/>
  <c r="C1020" i="1" s="1"/>
  <c r="F1019" i="1"/>
  <c r="D1020" i="1" s="1"/>
  <c r="L1020" i="1" l="1"/>
  <c r="D1000" i="3"/>
  <c r="I1020" i="1"/>
  <c r="O1020" i="1"/>
  <c r="E1020" i="1"/>
  <c r="B1020" i="1"/>
  <c r="H1020" i="1" l="1"/>
  <c r="C1000" i="3"/>
  <c r="N1020" i="1"/>
  <c r="P1020" i="1" s="1"/>
  <c r="K1020" i="1"/>
  <c r="M1020" i="1" s="1"/>
  <c r="J1020" i="1"/>
  <c r="G1020" i="1" l="1"/>
  <c r="C1021" i="1" s="1"/>
  <c r="D1001" i="3" s="1"/>
  <c r="F1020" i="1"/>
  <c r="E1021" i="1" l="1"/>
  <c r="I1021" i="1"/>
  <c r="L1021" i="1"/>
  <c r="O1021" i="1"/>
  <c r="B1021" i="1"/>
  <c r="C1001" i="3" s="1"/>
  <c r="D1021" i="1"/>
  <c r="H1021" i="1" l="1"/>
  <c r="K1021" i="1"/>
  <c r="M1021" i="1" s="1"/>
  <c r="N1021" i="1"/>
  <c r="P1021" i="1" s="1"/>
  <c r="J1021" i="1" l="1"/>
  <c r="G1021" i="1" s="1"/>
  <c r="C1022" i="1" l="1"/>
  <c r="D1002" i="3" s="1"/>
  <c r="E1022" i="1"/>
  <c r="F1021" i="1"/>
  <c r="I1022" i="1" l="1"/>
  <c r="L1022" i="1"/>
  <c r="O1022" i="1"/>
  <c r="B1022" i="1"/>
  <c r="C1002" i="3" s="1"/>
  <c r="D1022" i="1"/>
  <c r="K1022" i="1" l="1"/>
  <c r="M1022" i="1" s="1"/>
  <c r="N1022" i="1"/>
  <c r="P1022" i="1" s="1"/>
  <c r="H1022" i="1"/>
  <c r="J1022" i="1" l="1"/>
  <c r="G1022" i="1" s="1"/>
  <c r="C1023" i="1" l="1"/>
  <c r="D1003" i="3" s="1"/>
  <c r="E1023" i="1"/>
  <c r="F1022" i="1"/>
  <c r="L1023" i="1" l="1"/>
  <c r="O1023" i="1"/>
  <c r="I1023" i="1"/>
  <c r="B1023" i="1"/>
  <c r="C1003" i="3" s="1"/>
  <c r="D1023" i="1"/>
  <c r="K1023" i="1" l="1"/>
  <c r="M1023" i="1" s="1"/>
  <c r="N1023" i="1"/>
  <c r="P1023" i="1" s="1"/>
  <c r="H1023" i="1"/>
  <c r="J1023" i="1" l="1"/>
  <c r="G1023" i="1" s="1"/>
  <c r="C1024" i="1" l="1"/>
  <c r="D1004" i="3" s="1"/>
  <c r="E1024" i="1"/>
  <c r="F1023" i="1"/>
  <c r="L1024" i="1" l="1"/>
  <c r="O1024" i="1"/>
  <c r="I1024" i="1"/>
  <c r="D1024" i="1"/>
  <c r="B1024" i="1"/>
  <c r="C1004" i="3" s="1"/>
  <c r="K1024" i="1" l="1"/>
  <c r="M1024" i="1" s="1"/>
  <c r="N1024" i="1"/>
  <c r="P1024" i="1" s="1"/>
  <c r="H1024" i="1"/>
  <c r="J1024" i="1" l="1"/>
  <c r="G1024" i="1" s="1"/>
  <c r="F1024" i="1" l="1"/>
  <c r="B1025" i="1" s="1"/>
  <c r="C1005" i="3" s="1"/>
  <c r="C1025" i="1"/>
  <c r="D1005" i="3" s="1"/>
  <c r="E1025" i="1"/>
  <c r="D1025" i="1" l="1"/>
  <c r="N1025" i="1"/>
  <c r="H1025" i="1"/>
  <c r="K1025" i="1"/>
  <c r="L1025" i="1"/>
  <c r="O1025" i="1"/>
  <c r="I1025" i="1"/>
  <c r="J1025" i="1" l="1"/>
  <c r="M1025" i="1"/>
  <c r="P1025" i="1"/>
  <c r="G1025" i="1" l="1"/>
  <c r="C1026" i="1" s="1"/>
  <c r="D1006" i="3" s="1"/>
  <c r="F1025" i="1"/>
  <c r="D1026" i="1" s="1"/>
  <c r="E1026" i="1" l="1"/>
  <c r="B1026" i="1"/>
  <c r="O1026" i="1"/>
  <c r="I1026" i="1"/>
  <c r="L1026" i="1"/>
  <c r="N1026" i="1" l="1"/>
  <c r="C1006" i="3"/>
  <c r="P1026" i="1"/>
  <c r="K1026" i="1"/>
  <c r="M1026" i="1" s="1"/>
  <c r="H1026" i="1"/>
  <c r="J1026" i="1" s="1"/>
  <c r="G1026" i="1" l="1"/>
  <c r="E1027" i="1" s="1"/>
  <c r="F1026" i="1"/>
  <c r="B1027" i="1" s="1"/>
  <c r="C1007" i="3" s="1"/>
  <c r="C1027" i="1" l="1"/>
  <c r="D1027" i="1"/>
  <c r="N1027" i="1"/>
  <c r="H1027" i="1"/>
  <c r="K1027" i="1"/>
  <c r="O1027" i="1" l="1"/>
  <c r="D1007" i="3"/>
  <c r="I1027" i="1"/>
  <c r="J1027" i="1" s="1"/>
  <c r="L1027" i="1"/>
  <c r="M1027" i="1" s="1"/>
  <c r="P1027" i="1"/>
  <c r="G1027" i="1" l="1"/>
  <c r="E1028" i="1" s="1"/>
  <c r="F1027" i="1"/>
  <c r="C1028" i="1" l="1"/>
  <c r="B1028" i="1"/>
  <c r="C1008" i="3" s="1"/>
  <c r="D1028" i="1"/>
  <c r="O1028" i="1" l="1"/>
  <c r="D1008" i="3"/>
  <c r="L1028" i="1"/>
  <c r="I1028" i="1"/>
  <c r="H1028" i="1"/>
  <c r="K1028" i="1"/>
  <c r="N1028" i="1"/>
  <c r="P1028" i="1" s="1"/>
  <c r="M1028" i="1" l="1"/>
  <c r="J1028" i="1"/>
  <c r="G1028" i="1" l="1"/>
  <c r="E1029" i="1" s="1"/>
  <c r="F1028" i="1"/>
  <c r="C1029" i="1" l="1"/>
  <c r="D1029" i="1"/>
  <c r="B1029" i="1"/>
  <c r="C1009" i="3" s="1"/>
  <c r="I1029" i="1" l="1"/>
  <c r="D1009" i="3"/>
  <c r="L1029" i="1"/>
  <c r="O1029" i="1"/>
  <c r="H1029" i="1"/>
  <c r="K1029" i="1"/>
  <c r="N1029" i="1"/>
  <c r="P1029" i="1" l="1"/>
  <c r="M1029" i="1"/>
  <c r="J1029" i="1"/>
  <c r="G1029" i="1" l="1"/>
  <c r="E1030" i="1" s="1"/>
  <c r="F1029" i="1"/>
  <c r="C1030" i="1" l="1"/>
  <c r="B1030" i="1"/>
  <c r="C1010" i="3" s="1"/>
  <c r="D1030" i="1"/>
  <c r="I1030" i="1" l="1"/>
  <c r="D1010" i="3"/>
  <c r="L1030" i="1"/>
  <c r="O1030" i="1"/>
  <c r="K1030" i="1"/>
  <c r="N1030" i="1"/>
  <c r="P1030" i="1" s="1"/>
  <c r="H1030" i="1"/>
  <c r="M1030" i="1" l="1"/>
  <c r="J1030" i="1"/>
  <c r="G1030" i="1" l="1"/>
  <c r="E1031" i="1" s="1"/>
  <c r="F1030" i="1"/>
  <c r="C1031" i="1" l="1"/>
  <c r="B1031" i="1"/>
  <c r="C1011" i="3" s="1"/>
  <c r="D1031" i="1"/>
  <c r="L1031" i="1" l="1"/>
  <c r="D1011" i="3"/>
  <c r="I1031" i="1"/>
  <c r="O1031" i="1"/>
  <c r="K1031" i="1"/>
  <c r="M1031" i="1" s="1"/>
  <c r="N1031" i="1"/>
  <c r="P1031" i="1" s="1"/>
  <c r="H1031" i="1"/>
  <c r="J1031" i="1" l="1"/>
  <c r="G1031" i="1" s="1"/>
  <c r="E1032" i="1" l="1"/>
  <c r="C1032" i="1"/>
  <c r="D1012" i="3" s="1"/>
  <c r="F1031" i="1"/>
  <c r="B1032" i="1" l="1"/>
  <c r="C1012" i="3" s="1"/>
  <c r="D1032" i="1"/>
  <c r="L1032" i="1"/>
  <c r="O1032" i="1"/>
  <c r="I1032" i="1"/>
  <c r="N1032" i="1" l="1"/>
  <c r="P1032" i="1" s="1"/>
  <c r="H1032" i="1"/>
  <c r="K1032" i="1"/>
  <c r="M1032" i="1" s="1"/>
  <c r="J1032" i="1" l="1"/>
  <c r="G1032" i="1" s="1"/>
  <c r="F1032" i="1" l="1"/>
  <c r="D1033" i="1" s="1"/>
  <c r="E1033" i="1"/>
  <c r="C1033" i="1"/>
  <c r="D1013" i="3" s="1"/>
  <c r="B1033" i="1" l="1"/>
  <c r="O1033" i="1"/>
  <c r="I1033" i="1"/>
  <c r="L1033" i="1"/>
  <c r="N1033" i="1" l="1"/>
  <c r="C1013" i="3"/>
  <c r="H1033" i="1"/>
  <c r="J1033" i="1" s="1"/>
  <c r="K1033" i="1"/>
  <c r="M1033" i="1" s="1"/>
  <c r="P1033" i="1"/>
  <c r="F1033" i="1" l="1"/>
  <c r="B1034" i="1" s="1"/>
  <c r="C1014" i="3" s="1"/>
  <c r="G1033" i="1"/>
  <c r="E1034" i="1" s="1"/>
  <c r="D1034" i="1" l="1"/>
  <c r="C1034" i="1"/>
  <c r="N1034" i="1"/>
  <c r="H1034" i="1"/>
  <c r="K1034" i="1"/>
  <c r="O1034" i="1" l="1"/>
  <c r="D1014" i="3"/>
  <c r="I1034" i="1"/>
  <c r="J1034" i="1" s="1"/>
  <c r="L1034" i="1"/>
  <c r="M1034" i="1" s="1"/>
  <c r="P1034" i="1"/>
  <c r="F1034" i="1" l="1"/>
  <c r="D1035" i="1" s="1"/>
  <c r="G1034" i="1"/>
  <c r="E1035" i="1" s="1"/>
  <c r="C1035" i="1" l="1"/>
  <c r="B1035" i="1"/>
  <c r="H1035" i="1" l="1"/>
  <c r="C1015" i="3"/>
  <c r="O1035" i="1"/>
  <c r="D1015" i="3"/>
  <c r="I1035" i="1"/>
  <c r="J1035" i="1" s="1"/>
  <c r="L1035" i="1"/>
  <c r="N1035" i="1"/>
  <c r="P1035" i="1" s="1"/>
  <c r="K1035" i="1"/>
  <c r="M1035" i="1" s="1"/>
  <c r="F1035" i="1" l="1"/>
  <c r="B1036" i="1" s="1"/>
  <c r="C1016" i="3" s="1"/>
  <c r="G1035" i="1"/>
  <c r="E1036" i="1" s="1"/>
  <c r="D1036" i="1" l="1"/>
  <c r="C1036" i="1"/>
  <c r="D1016" i="3" s="1"/>
  <c r="H1036" i="1"/>
  <c r="N1036" i="1"/>
  <c r="K1036" i="1"/>
  <c r="I1036" i="1"/>
  <c r="L1036" i="1"/>
  <c r="O1036" i="1"/>
  <c r="P1036" i="1" l="1"/>
  <c r="M1036" i="1"/>
  <c r="J1036" i="1"/>
  <c r="G1036" i="1" l="1"/>
  <c r="E1037" i="1" s="1"/>
  <c r="F1036" i="1"/>
  <c r="D1037" i="1" s="1"/>
  <c r="C1037" i="1" l="1"/>
  <c r="B1037" i="1"/>
  <c r="K1037" i="1" l="1"/>
  <c r="C1017" i="3"/>
  <c r="I1037" i="1"/>
  <c r="D1017" i="3"/>
  <c r="O1037" i="1"/>
  <c r="L1037" i="1"/>
  <c r="M1037" i="1" s="1"/>
  <c r="N1037" i="1"/>
  <c r="H1037" i="1"/>
  <c r="J1037" i="1" s="1"/>
  <c r="P1037" i="1" l="1"/>
  <c r="F1037" i="1" s="1"/>
  <c r="B1038" i="1" l="1"/>
  <c r="D1038" i="1"/>
  <c r="G1037" i="1"/>
  <c r="E1038" i="1" s="1"/>
  <c r="N1038" i="1" l="1"/>
  <c r="C1018" i="3"/>
  <c r="C1038" i="1"/>
  <c r="K1038" i="1"/>
  <c r="H1038" i="1"/>
  <c r="L1038" i="1" l="1"/>
  <c r="D1018" i="3"/>
  <c r="I1038" i="1"/>
  <c r="J1038" i="1" s="1"/>
  <c r="O1038" i="1"/>
  <c r="P1038" i="1" s="1"/>
  <c r="M1038" i="1"/>
  <c r="F1038" i="1" l="1"/>
  <c r="D1039" i="1" s="1"/>
  <c r="G1038" i="1"/>
  <c r="E1039" i="1" s="1"/>
  <c r="B1039" i="1" l="1"/>
  <c r="C1039" i="1"/>
  <c r="L1039" i="1" l="1"/>
  <c r="D1019" i="3"/>
  <c r="K1039" i="1"/>
  <c r="C1019" i="3"/>
  <c r="N1039" i="1"/>
  <c r="H1039" i="1"/>
  <c r="M1039" i="1"/>
  <c r="O1039" i="1"/>
  <c r="I1039" i="1"/>
  <c r="J1039" i="1" l="1"/>
  <c r="P1039" i="1"/>
  <c r="F1039" i="1" s="1"/>
  <c r="B1040" i="1" s="1"/>
  <c r="C1020" i="3" s="1"/>
  <c r="G1039" i="1" l="1"/>
  <c r="E1040" i="1" s="1"/>
  <c r="D1040" i="1"/>
  <c r="N1040" i="1"/>
  <c r="H1040" i="1"/>
  <c r="K1040" i="1"/>
  <c r="C1040" i="1" l="1"/>
  <c r="L1040" i="1" l="1"/>
  <c r="M1040" i="1" s="1"/>
  <c r="D1020" i="3"/>
  <c r="O1040" i="1"/>
  <c r="P1040" i="1" s="1"/>
  <c r="I1040" i="1"/>
  <c r="J1040" i="1" s="1"/>
  <c r="F1040" i="1" l="1"/>
  <c r="B1041" i="1" s="1"/>
  <c r="G1040" i="1"/>
  <c r="E1041" i="1" s="1"/>
  <c r="N1041" i="1" l="1"/>
  <c r="C1021" i="3"/>
  <c r="H1041" i="1"/>
  <c r="C1041" i="1"/>
  <c r="D1021" i="3" s="1"/>
  <c r="K1041" i="1"/>
  <c r="D1041" i="1"/>
  <c r="I1041" i="1" l="1"/>
  <c r="O1041" i="1"/>
  <c r="P1041" i="1" s="1"/>
  <c r="L1041" i="1"/>
  <c r="M1041" i="1" s="1"/>
  <c r="J1041" i="1"/>
  <c r="F1041" i="1" l="1"/>
  <c r="G1041" i="1"/>
  <c r="C1042" i="1" s="1"/>
  <c r="D1022" i="3" s="1"/>
  <c r="B1042" i="1"/>
  <c r="C1022" i="3" s="1"/>
  <c r="D1042" i="1"/>
  <c r="E1042" i="1" l="1"/>
  <c r="N1042" i="1"/>
  <c r="H1042" i="1"/>
  <c r="K1042" i="1"/>
  <c r="O1042" i="1"/>
  <c r="L1042" i="1"/>
  <c r="I1042" i="1"/>
  <c r="J1042" i="1" l="1"/>
  <c r="M1042" i="1"/>
  <c r="P1042" i="1"/>
  <c r="F1042" i="1" l="1"/>
  <c r="D1043" i="1" s="1"/>
  <c r="G1042" i="1"/>
  <c r="C1043" i="1" s="1"/>
  <c r="D1023" i="3" s="1"/>
  <c r="B1043" i="1" l="1"/>
  <c r="E1043" i="1"/>
  <c r="O1043" i="1"/>
  <c r="I1043" i="1"/>
  <c r="L1043" i="1"/>
  <c r="H1043" i="1" l="1"/>
  <c r="C1023" i="3"/>
  <c r="K1043" i="1"/>
  <c r="M1043" i="1" s="1"/>
  <c r="N1043" i="1"/>
  <c r="P1043" i="1" s="1"/>
  <c r="J1043" i="1"/>
  <c r="G1043" i="1" l="1"/>
  <c r="E1044" i="1" s="1"/>
  <c r="F1043" i="1"/>
  <c r="D1044" i="1" s="1"/>
  <c r="C1044" i="1" l="1"/>
  <c r="B1044" i="1"/>
  <c r="H1044" i="1" l="1"/>
  <c r="C1024" i="3"/>
  <c r="L1044" i="1"/>
  <c r="D1024" i="3"/>
  <c r="O1044" i="1"/>
  <c r="I1044" i="1"/>
  <c r="J1044" i="1" s="1"/>
  <c r="K1044" i="1"/>
  <c r="M1044" i="1" s="1"/>
  <c r="N1044" i="1"/>
  <c r="P1044" i="1" l="1"/>
  <c r="F1044" i="1" s="1"/>
  <c r="B1045" i="1" s="1"/>
  <c r="C1025" i="3" s="1"/>
  <c r="G1044" i="1" l="1"/>
  <c r="E1045" i="1" s="1"/>
  <c r="D1045" i="1"/>
  <c r="K1045" i="1"/>
  <c r="H1045" i="1"/>
  <c r="N1045" i="1"/>
  <c r="C1045" i="1" l="1"/>
  <c r="I1045" i="1" l="1"/>
  <c r="D1025" i="3"/>
  <c r="L1045" i="1"/>
  <c r="M1045" i="1" s="1"/>
  <c r="O1045" i="1"/>
  <c r="P1045" i="1" s="1"/>
  <c r="J1045" i="1"/>
  <c r="F1045" i="1" l="1"/>
  <c r="D1046" i="1" s="1"/>
  <c r="G1045" i="1"/>
  <c r="C1046" i="1" s="1"/>
  <c r="D1026" i="3" s="1"/>
  <c r="B1046" i="1" l="1"/>
  <c r="E1046" i="1"/>
  <c r="L1046" i="1"/>
  <c r="O1046" i="1"/>
  <c r="I1046" i="1"/>
  <c r="N1046" i="1" l="1"/>
  <c r="C1026" i="3"/>
  <c r="P1046" i="1"/>
  <c r="H1046" i="1"/>
  <c r="J1046" i="1" s="1"/>
  <c r="K1046" i="1"/>
  <c r="M1046" i="1" s="1"/>
  <c r="F1046" i="1" l="1"/>
  <c r="D1047" i="1" s="1"/>
  <c r="G1046" i="1"/>
  <c r="B1047" i="1" l="1"/>
  <c r="C1047" i="1"/>
  <c r="D1027" i="3" s="1"/>
  <c r="E1047" i="1"/>
  <c r="K1047" i="1" l="1"/>
  <c r="C1027" i="3"/>
  <c r="N1047" i="1"/>
  <c r="H1047" i="1"/>
  <c r="O1047" i="1"/>
  <c r="I1047" i="1"/>
  <c r="L1047" i="1"/>
  <c r="M1047" i="1" s="1"/>
  <c r="P1047" i="1" l="1"/>
  <c r="J1047" i="1"/>
  <c r="F1047" i="1" l="1"/>
  <c r="D1048" i="1" s="1"/>
  <c r="G1047" i="1"/>
  <c r="E1048" i="1" s="1"/>
  <c r="B1048" i="1" l="1"/>
  <c r="C1048" i="1"/>
  <c r="L1048" i="1" l="1"/>
  <c r="D1028" i="3"/>
  <c r="N1048" i="1"/>
  <c r="C1028" i="3"/>
  <c r="K1048" i="1"/>
  <c r="M1048" i="1" s="1"/>
  <c r="H1048" i="1"/>
  <c r="I1048" i="1"/>
  <c r="O1048" i="1"/>
  <c r="P1048" i="1" s="1"/>
  <c r="J1048" i="1" l="1"/>
  <c r="F1048" i="1" s="1"/>
  <c r="B1049" i="1" s="1"/>
  <c r="C1029" i="3" s="1"/>
  <c r="G1048" i="1" l="1"/>
  <c r="E1049" i="1" s="1"/>
  <c r="D1049" i="1"/>
  <c r="K1049" i="1"/>
  <c r="H1049" i="1"/>
  <c r="N1049" i="1"/>
  <c r="C1049" i="1" l="1"/>
  <c r="O1049" i="1" l="1"/>
  <c r="P1049" i="1" s="1"/>
  <c r="D1029" i="3"/>
  <c r="L1049" i="1"/>
  <c r="M1049" i="1" s="1"/>
  <c r="I1049" i="1"/>
  <c r="J1049" i="1" s="1"/>
  <c r="F1049" i="1" l="1"/>
  <c r="B1050" i="1" s="1"/>
  <c r="C1030" i="3" s="1"/>
  <c r="G1049" i="1"/>
  <c r="C1050" i="1" s="1"/>
  <c r="D1030" i="3" s="1"/>
  <c r="D1050" i="1" l="1"/>
  <c r="E1050" i="1"/>
  <c r="L1050" i="1"/>
  <c r="I1050" i="1"/>
  <c r="O1050" i="1"/>
  <c r="N1050" i="1"/>
  <c r="H1050" i="1"/>
  <c r="K1050" i="1"/>
  <c r="P1050" i="1" l="1"/>
  <c r="M1050" i="1"/>
  <c r="J1050" i="1"/>
  <c r="F1050" i="1" l="1"/>
  <c r="D1051" i="1" s="1"/>
  <c r="G1050" i="1"/>
  <c r="E1051" i="1" s="1"/>
  <c r="C1051" i="1" l="1"/>
  <c r="B1051" i="1"/>
  <c r="K1051" i="1" l="1"/>
  <c r="C1031" i="3"/>
  <c r="O1051" i="1"/>
  <c r="D1031" i="3"/>
  <c r="L1051" i="1"/>
  <c r="M1051" i="1" s="1"/>
  <c r="I1051" i="1"/>
  <c r="N1051" i="1"/>
  <c r="P1051" i="1" s="1"/>
  <c r="H1051" i="1"/>
  <c r="J1051" i="1" s="1"/>
  <c r="G1051" i="1" l="1"/>
  <c r="E1052" i="1" s="1"/>
  <c r="F1051" i="1"/>
  <c r="D1052" i="1" s="1"/>
  <c r="B1052" i="1" l="1"/>
  <c r="C1052" i="1"/>
  <c r="L1052" i="1" l="1"/>
  <c r="D1032" i="3"/>
  <c r="H1052" i="1"/>
  <c r="C1032" i="3"/>
  <c r="K1052" i="1"/>
  <c r="M1052" i="1" s="1"/>
  <c r="N1052" i="1"/>
  <c r="O1052" i="1"/>
  <c r="I1052" i="1"/>
  <c r="J1052" i="1" s="1"/>
  <c r="P1052" i="1" l="1"/>
  <c r="G1052" i="1" s="1"/>
  <c r="C1053" i="1" s="1"/>
  <c r="D1033" i="3" s="1"/>
  <c r="F1052" i="1" l="1"/>
  <c r="D1053" i="1" s="1"/>
  <c r="E1053" i="1"/>
  <c r="I1053" i="1"/>
  <c r="O1053" i="1"/>
  <c r="L1053" i="1"/>
  <c r="B1053" i="1" l="1"/>
  <c r="K1053" i="1" l="1"/>
  <c r="M1053" i="1" s="1"/>
  <c r="C1033" i="3"/>
  <c r="N1053" i="1"/>
  <c r="P1053" i="1" s="1"/>
  <c r="H1053" i="1"/>
  <c r="J1053" i="1" s="1"/>
  <c r="G1053" i="1" l="1"/>
  <c r="E1054" i="1" s="1"/>
  <c r="F1053" i="1"/>
  <c r="D1054" i="1" s="1"/>
  <c r="C1054" i="1" l="1"/>
  <c r="B1054" i="1"/>
  <c r="N1054" i="1" l="1"/>
  <c r="C1034" i="3"/>
  <c r="L1054" i="1"/>
  <c r="D1034" i="3"/>
  <c r="O1054" i="1"/>
  <c r="P1054" i="1" s="1"/>
  <c r="I1054" i="1"/>
  <c r="K1054" i="1"/>
  <c r="M1054" i="1" s="1"/>
  <c r="H1054" i="1"/>
  <c r="J1054" i="1" l="1"/>
  <c r="G1054" i="1"/>
  <c r="E1055" i="1" s="1"/>
  <c r="F1054" i="1"/>
  <c r="C1055" i="1" l="1"/>
  <c r="D1055" i="1"/>
  <c r="B1055" i="1"/>
  <c r="C1035" i="3" s="1"/>
  <c r="O1055" i="1" l="1"/>
  <c r="D1035" i="3"/>
  <c r="L1055" i="1"/>
  <c r="I1055" i="1"/>
  <c r="K1055" i="1"/>
  <c r="H1055" i="1"/>
  <c r="N1055" i="1"/>
  <c r="P1055" i="1" s="1"/>
  <c r="M1055" i="1" l="1"/>
  <c r="J1055" i="1"/>
  <c r="G1055" i="1" l="1"/>
  <c r="C1056" i="1" s="1"/>
  <c r="D1036" i="3" s="1"/>
  <c r="F1055" i="1"/>
  <c r="D1056" i="1" s="1"/>
  <c r="E1056" i="1" l="1"/>
  <c r="B1056" i="1"/>
  <c r="L1056" i="1"/>
  <c r="I1056" i="1"/>
  <c r="O1056" i="1"/>
  <c r="N1056" i="1" l="1"/>
  <c r="C1036" i="3"/>
  <c r="P1056" i="1"/>
  <c r="K1056" i="1"/>
  <c r="M1056" i="1" s="1"/>
  <c r="H1056" i="1"/>
  <c r="J1056" i="1" s="1"/>
  <c r="F1056" i="1" l="1"/>
  <c r="D1057" i="1" s="1"/>
  <c r="G1056" i="1"/>
  <c r="E1057" i="1" s="1"/>
  <c r="C1057" i="1" l="1"/>
  <c r="B1057" i="1"/>
  <c r="K1057" i="1" l="1"/>
  <c r="C1037" i="3"/>
  <c r="O1057" i="1"/>
  <c r="D1037" i="3"/>
  <c r="L1057" i="1"/>
  <c r="M1057" i="1" s="1"/>
  <c r="I1057" i="1"/>
  <c r="H1057" i="1"/>
  <c r="N1057" i="1"/>
  <c r="P1057" i="1" s="1"/>
  <c r="J1057" i="1" l="1"/>
  <c r="F1057" i="1" s="1"/>
  <c r="B1058" i="1" s="1"/>
  <c r="C1038" i="3" s="1"/>
  <c r="G1057" i="1" l="1"/>
  <c r="E1058" i="1" s="1"/>
  <c r="D1058" i="1"/>
  <c r="N1058" i="1"/>
  <c r="H1058" i="1"/>
  <c r="K1058" i="1"/>
  <c r="C1058" i="1" l="1"/>
  <c r="L1058" i="1" l="1"/>
  <c r="M1058" i="1" s="1"/>
  <c r="D1038" i="3"/>
  <c r="I1058" i="1"/>
  <c r="J1058" i="1" s="1"/>
  <c r="O1058" i="1"/>
  <c r="P1058" i="1" s="1"/>
  <c r="F1058" i="1" l="1"/>
  <c r="D1059" i="1" s="1"/>
  <c r="G1058" i="1"/>
  <c r="C1059" i="1" s="1"/>
  <c r="I1059" i="1" l="1"/>
  <c r="D1039" i="3"/>
  <c r="B1059" i="1"/>
  <c r="O1059" i="1"/>
  <c r="L1059" i="1"/>
  <c r="E1059" i="1"/>
  <c r="K1059" i="1" l="1"/>
  <c r="C1039" i="3"/>
  <c r="M1059" i="1"/>
  <c r="N1059" i="1"/>
  <c r="P1059" i="1" s="1"/>
  <c r="H1059" i="1"/>
  <c r="J1059" i="1" s="1"/>
  <c r="G1059" i="1" l="1"/>
  <c r="E1060" i="1" s="1"/>
  <c r="F1059" i="1"/>
  <c r="B1060" i="1" s="1"/>
  <c r="H1060" i="1" l="1"/>
  <c r="C1040" i="3"/>
  <c r="C1060" i="1"/>
  <c r="N1060" i="1"/>
  <c r="K1060" i="1"/>
  <c r="D1060" i="1"/>
  <c r="L1060" i="1" l="1"/>
  <c r="D1040" i="3"/>
  <c r="I1060" i="1"/>
  <c r="J1060" i="1" s="1"/>
  <c r="O1060" i="1"/>
  <c r="M1060" i="1"/>
  <c r="P1060" i="1"/>
  <c r="F1060" i="1" l="1"/>
  <c r="D1061" i="1" s="1"/>
  <c r="G1060" i="1"/>
  <c r="C1061" i="1" s="1"/>
  <c r="B1061" i="1"/>
  <c r="I1061" i="1" l="1"/>
  <c r="D1041" i="3"/>
  <c r="K1061" i="1"/>
  <c r="C1041" i="3"/>
  <c r="L1061" i="1"/>
  <c r="O1061" i="1"/>
  <c r="E1061" i="1"/>
  <c r="H1061" i="1"/>
  <c r="J1061" i="1" s="1"/>
  <c r="N1061" i="1"/>
  <c r="M1061" i="1" l="1"/>
  <c r="P1061" i="1"/>
  <c r="G1061" i="1"/>
  <c r="E1062" i="1" s="1"/>
  <c r="F1061" i="1"/>
  <c r="D1062" i="1" s="1"/>
  <c r="B1062" i="1" l="1"/>
  <c r="C1062" i="1"/>
  <c r="L1062" i="1" l="1"/>
  <c r="D1042" i="3"/>
  <c r="K1062" i="1"/>
  <c r="C1042" i="3"/>
  <c r="H1062" i="1"/>
  <c r="N1062" i="1"/>
  <c r="O1062" i="1"/>
  <c r="I1062" i="1"/>
  <c r="M1062" i="1" l="1"/>
  <c r="P1062" i="1"/>
  <c r="J1062" i="1"/>
  <c r="G1062" i="1" l="1"/>
  <c r="E1063" i="1" s="1"/>
  <c r="F1062" i="1"/>
  <c r="B1063" i="1" s="1"/>
  <c r="C1043" i="3" s="1"/>
  <c r="C1063" i="1" l="1"/>
  <c r="D1063" i="1"/>
  <c r="K1063" i="1"/>
  <c r="N1063" i="1"/>
  <c r="H1063" i="1"/>
  <c r="O1063" i="1" l="1"/>
  <c r="D1043" i="3"/>
  <c r="P1063" i="1"/>
  <c r="L1063" i="1"/>
  <c r="I1063" i="1"/>
  <c r="J1063" i="1" s="1"/>
  <c r="M1063" i="1"/>
  <c r="G1063" i="1" l="1"/>
  <c r="C1064" i="1" s="1"/>
  <c r="D1044" i="3" s="1"/>
  <c r="F1063" i="1"/>
  <c r="E1064" i="1" l="1"/>
  <c r="I1064" i="1"/>
  <c r="L1064" i="1"/>
  <c r="O1064" i="1"/>
  <c r="B1064" i="1"/>
  <c r="C1044" i="3" s="1"/>
  <c r="D1064" i="1"/>
  <c r="N1064" i="1" l="1"/>
  <c r="P1064" i="1" s="1"/>
  <c r="K1064" i="1"/>
  <c r="M1064" i="1" s="1"/>
  <c r="H1064" i="1"/>
  <c r="J1064" i="1" l="1"/>
  <c r="G1064" i="1" s="1"/>
  <c r="C1065" i="1" l="1"/>
  <c r="D1045" i="3" s="1"/>
  <c r="E1065" i="1"/>
  <c r="F1064" i="1"/>
  <c r="I1065" i="1" l="1"/>
  <c r="O1065" i="1"/>
  <c r="L1065" i="1"/>
  <c r="B1065" i="1"/>
  <c r="C1045" i="3" s="1"/>
  <c r="D1065" i="1"/>
  <c r="K1065" i="1" l="1"/>
  <c r="M1065" i="1" s="1"/>
  <c r="N1065" i="1"/>
  <c r="P1065" i="1" s="1"/>
  <c r="H1065" i="1"/>
  <c r="J1065" i="1" l="1"/>
  <c r="G1065" i="1" s="1"/>
  <c r="C1066" i="1" l="1"/>
  <c r="D1046" i="3" s="1"/>
  <c r="E1066" i="1"/>
  <c r="F1065" i="1"/>
  <c r="L1066" i="1" l="1"/>
  <c r="O1066" i="1"/>
  <c r="I1066" i="1"/>
  <c r="D1066" i="1"/>
  <c r="B1066" i="1"/>
  <c r="C1046" i="3" s="1"/>
  <c r="K1066" i="1" l="1"/>
  <c r="M1066" i="1" s="1"/>
  <c r="N1066" i="1"/>
  <c r="P1066" i="1" s="1"/>
  <c r="H1066" i="1"/>
  <c r="J1066" i="1" l="1"/>
  <c r="G1066" i="1" s="1"/>
  <c r="F1066" i="1" l="1"/>
  <c r="B1067" i="1" s="1"/>
  <c r="C1047" i="3" s="1"/>
  <c r="C1067" i="1"/>
  <c r="D1047" i="3" s="1"/>
  <c r="E1067" i="1"/>
  <c r="D1067" i="1" l="1"/>
  <c r="K1067" i="1"/>
  <c r="N1067" i="1"/>
  <c r="H1067" i="1"/>
  <c r="I1067" i="1"/>
  <c r="L1067" i="1"/>
  <c r="O1067" i="1"/>
  <c r="J1067" i="1" l="1"/>
  <c r="P1067" i="1"/>
  <c r="M1067" i="1"/>
  <c r="G1067" i="1" l="1"/>
  <c r="C1068" i="1" s="1"/>
  <c r="D1048" i="3" s="1"/>
  <c r="F1067" i="1"/>
  <c r="D1068" i="1" s="1"/>
  <c r="E1068" i="1" l="1"/>
  <c r="B1068" i="1"/>
  <c r="O1068" i="1"/>
  <c r="I1068" i="1"/>
  <c r="L1068" i="1"/>
  <c r="H1068" i="1" l="1"/>
  <c r="C1048" i="3"/>
  <c r="K1068" i="1"/>
  <c r="M1068" i="1" s="1"/>
  <c r="N1068" i="1"/>
  <c r="P1068" i="1" s="1"/>
  <c r="J1068" i="1"/>
  <c r="G1068" i="1" l="1"/>
  <c r="C1069" i="1" s="1"/>
  <c r="D1049" i="3" s="1"/>
  <c r="F1068" i="1"/>
  <c r="E1069" i="1" l="1"/>
  <c r="B1069" i="1"/>
  <c r="C1049" i="3" s="1"/>
  <c r="D1069" i="1"/>
  <c r="O1069" i="1"/>
  <c r="I1069" i="1"/>
  <c r="L1069" i="1"/>
  <c r="N1069" i="1" l="1"/>
  <c r="P1069" i="1" s="1"/>
  <c r="H1069" i="1"/>
  <c r="K1069" i="1"/>
  <c r="M1069" i="1" s="1"/>
  <c r="J1069" i="1" l="1"/>
  <c r="G1069" i="1" s="1"/>
  <c r="F1069" i="1" l="1"/>
  <c r="B1070" i="1" s="1"/>
  <c r="C1050" i="3" s="1"/>
  <c r="C1070" i="1"/>
  <c r="D1050" i="3" s="1"/>
  <c r="E1070" i="1"/>
  <c r="D1070" i="1" l="1"/>
  <c r="H1070" i="1"/>
  <c r="K1070" i="1"/>
  <c r="N1070" i="1"/>
  <c r="O1070" i="1"/>
  <c r="L1070" i="1"/>
  <c r="I1070" i="1"/>
  <c r="M1070" i="1" l="1"/>
  <c r="P1070" i="1"/>
  <c r="J1070" i="1"/>
  <c r="G1070" i="1" l="1"/>
  <c r="E1071" i="1" s="1"/>
  <c r="F1070" i="1"/>
  <c r="C1071" i="1" l="1"/>
  <c r="D1071" i="1"/>
  <c r="B1071" i="1"/>
  <c r="C1051" i="3" s="1"/>
  <c r="I1071" i="1" l="1"/>
  <c r="D1051" i="3"/>
  <c r="L1071" i="1"/>
  <c r="O1071" i="1"/>
  <c r="H1071" i="1"/>
  <c r="K1071" i="1"/>
  <c r="N1071" i="1"/>
  <c r="P1071" i="1" s="1"/>
  <c r="M1071" i="1" l="1"/>
  <c r="J1071" i="1"/>
  <c r="G1071" i="1" l="1"/>
  <c r="E1072" i="1" s="1"/>
  <c r="F1071" i="1"/>
  <c r="C1072" i="1" l="1"/>
  <c r="B1072" i="1"/>
  <c r="C1052" i="3" s="1"/>
  <c r="D1072" i="1"/>
  <c r="I1072" i="1" l="1"/>
  <c r="D1052" i="3"/>
  <c r="O1072" i="1"/>
  <c r="L1072" i="1"/>
  <c r="H1072" i="1"/>
  <c r="K1072" i="1"/>
  <c r="M1072" i="1" s="1"/>
  <c r="N1072" i="1"/>
  <c r="P1072" i="1" l="1"/>
  <c r="J1072" i="1"/>
  <c r="G1072" i="1" l="1"/>
  <c r="C1073" i="1" s="1"/>
  <c r="D1053" i="3" s="1"/>
  <c r="F1072" i="1"/>
  <c r="D1073" i="1" s="1"/>
  <c r="E1073" i="1" l="1"/>
  <c r="B1073" i="1"/>
  <c r="I1073" i="1"/>
  <c r="L1073" i="1"/>
  <c r="O1073" i="1"/>
  <c r="K1073" i="1" l="1"/>
  <c r="C1053" i="3"/>
  <c r="M1073" i="1"/>
  <c r="N1073" i="1"/>
  <c r="P1073" i="1" s="1"/>
  <c r="H1073" i="1"/>
  <c r="J1073" i="1" s="1"/>
  <c r="F1073" i="1" l="1"/>
  <c r="B1074" i="1" s="1"/>
  <c r="C1054" i="3" s="1"/>
  <c r="G1073" i="1"/>
  <c r="D1074" i="1" l="1"/>
  <c r="K1074" i="1"/>
  <c r="N1074" i="1"/>
  <c r="H1074" i="1"/>
  <c r="C1074" i="1"/>
  <c r="D1054" i="3" s="1"/>
  <c r="E1074" i="1"/>
  <c r="L1074" i="1" l="1"/>
  <c r="M1074" i="1" s="1"/>
  <c r="O1074" i="1"/>
  <c r="I1074" i="1"/>
  <c r="J1074" i="1" s="1"/>
  <c r="P1074" i="1"/>
  <c r="F1074" i="1" l="1"/>
  <c r="G1074" i="1"/>
  <c r="B1075" i="1" l="1"/>
  <c r="C1055" i="3" s="1"/>
  <c r="D1075" i="1"/>
  <c r="E1075" i="1"/>
  <c r="C1075" i="1"/>
  <c r="D1055" i="3" s="1"/>
  <c r="L1075" i="1" l="1"/>
  <c r="O1075" i="1"/>
  <c r="I1075" i="1"/>
  <c r="K1075" i="1"/>
  <c r="N1075" i="1"/>
  <c r="P1075" i="1" s="1"/>
  <c r="H1075" i="1"/>
  <c r="J1075" i="1" l="1"/>
  <c r="M1075" i="1"/>
  <c r="G1075" i="1" l="1"/>
  <c r="E1076" i="1" s="1"/>
  <c r="F1075" i="1"/>
  <c r="C1076" i="1" l="1"/>
  <c r="D1076" i="1"/>
  <c r="B1076" i="1"/>
  <c r="C1056" i="3" s="1"/>
  <c r="L1076" i="1" l="1"/>
  <c r="D1056" i="3"/>
  <c r="O1076" i="1"/>
  <c r="I1076" i="1"/>
  <c r="N1076" i="1"/>
  <c r="H1076" i="1"/>
  <c r="K1076" i="1"/>
  <c r="M1076" i="1" s="1"/>
  <c r="P1076" i="1" l="1"/>
  <c r="J1076" i="1"/>
  <c r="G1076" i="1" l="1"/>
  <c r="F1076" i="1"/>
</calcChain>
</file>

<file path=xl/sharedStrings.xml><?xml version="1.0" encoding="utf-8"?>
<sst xmlns="http://schemas.openxmlformats.org/spreadsheetml/2006/main" count="134" uniqueCount="84">
  <si>
    <t>n</t>
  </si>
  <si>
    <t>angle</t>
  </si>
  <si>
    <t>x</t>
  </si>
  <si>
    <t>y</t>
  </si>
  <si>
    <t>Rayon</t>
  </si>
  <si>
    <t>Paramètres généraux</t>
  </si>
  <si>
    <t>Base de temps</t>
  </si>
  <si>
    <t>Coefficient de friction</t>
  </si>
  <si>
    <t>Ratio de la constante d'Aarseth</t>
  </si>
  <si>
    <t>Corp en mouvement</t>
  </si>
  <si>
    <t>Masse</t>
  </si>
  <si>
    <t>Position initiale</t>
  </si>
  <si>
    <t>Vitesse initiale</t>
  </si>
  <si>
    <t>Trois corps statiques</t>
  </si>
  <si>
    <t>Corp 1</t>
  </si>
  <si>
    <t>Position</t>
  </si>
  <si>
    <t>Masse volumique moyenne</t>
  </si>
  <si>
    <t>Volume</t>
  </si>
  <si>
    <t>Masse totale</t>
  </si>
  <si>
    <t>Constante d'Aarseth</t>
  </si>
  <si>
    <t>Attraction/répulsion</t>
  </si>
  <si>
    <t>Corp 2</t>
  </si>
  <si>
    <t>Corp 3</t>
  </si>
  <si>
    <t>t</t>
  </si>
  <si>
    <t>f</t>
  </si>
  <si>
    <t>ᴧ</t>
  </si>
  <si>
    <t>m</t>
  </si>
  <si>
    <t>Accélération initiale</t>
  </si>
  <si>
    <t>Dimension</t>
  </si>
  <si>
    <t>s</t>
  </si>
  <si>
    <t>mètres</t>
  </si>
  <si>
    <t>grammes</t>
  </si>
  <si>
    <t>mètres/seconde</t>
  </si>
  <si>
    <t>Attraction</t>
  </si>
  <si>
    <t>i</t>
  </si>
  <si>
    <t>acceleration</t>
  </si>
  <si>
    <t>Vitesse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</si>
  <si>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1x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>1x</t>
    </r>
    <r>
      <rPr>
        <sz val="11"/>
        <color theme="1"/>
        <rFont val="Calibri"/>
        <family val="2"/>
        <scheme val="minor"/>
      </rPr>
      <t xml:space="preserve"> </t>
    </r>
  </si>
  <si>
    <t>position vaisseau</t>
  </si>
  <si>
    <t>Masse 1</t>
  </si>
  <si>
    <t>Masse 2</t>
  </si>
  <si>
    <t>Masse 3</t>
  </si>
  <si>
    <t>-</t>
  </si>
  <si>
    <r>
      <t>mètres/seconde</t>
    </r>
    <r>
      <rPr>
        <vertAlign val="superscript"/>
        <sz val="12"/>
        <rFont val="Calibri"/>
        <family val="2"/>
        <scheme val="minor"/>
      </rPr>
      <t>2</t>
    </r>
  </si>
  <si>
    <r>
      <t>gramme/mètres</t>
    </r>
    <r>
      <rPr>
        <vertAlign val="superscript"/>
        <sz val="12"/>
        <rFont val="Calibri"/>
        <family val="2"/>
        <scheme val="minor"/>
      </rPr>
      <t>3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</si>
  <si>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2xy</t>
    </r>
  </si>
  <si>
    <r>
      <t>r</t>
    </r>
    <r>
      <rPr>
        <i/>
        <vertAlign val="subscript"/>
        <sz val="12"/>
        <rFont val="Calibri"/>
        <family val="2"/>
        <scheme val="minor"/>
      </rPr>
      <t>2</t>
    </r>
  </si>
  <si>
    <r>
      <t>ρ</t>
    </r>
    <r>
      <rPr>
        <i/>
        <vertAlign val="subscript"/>
        <sz val="12"/>
        <rFont val="Calibri"/>
        <family val="2"/>
      </rPr>
      <t>2</t>
    </r>
  </si>
  <si>
    <r>
      <t>ω</t>
    </r>
    <r>
      <rPr>
        <i/>
        <vertAlign val="subscript"/>
        <sz val="12"/>
        <rFont val="Calibri"/>
        <family val="2"/>
      </rPr>
      <t>2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</si>
  <si>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1xy</t>
    </r>
  </si>
  <si>
    <r>
      <t>r</t>
    </r>
    <r>
      <rPr>
        <i/>
        <vertAlign val="subscript"/>
        <sz val="12"/>
        <rFont val="Calibri"/>
        <family val="2"/>
        <scheme val="minor"/>
      </rPr>
      <t>1</t>
    </r>
  </si>
  <si>
    <r>
      <t>ρ</t>
    </r>
    <r>
      <rPr>
        <i/>
        <vertAlign val="subscript"/>
        <sz val="12"/>
        <rFont val="Calibri"/>
        <family val="2"/>
      </rPr>
      <t>1</t>
    </r>
  </si>
  <si>
    <r>
      <t>ω</t>
    </r>
    <r>
      <rPr>
        <i/>
        <vertAlign val="subscript"/>
        <sz val="12"/>
        <rFont val="Calibri"/>
        <family val="2"/>
      </rPr>
      <t>1</t>
    </r>
  </si>
  <si>
    <r>
      <t xml:space="preserve">p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</si>
  <si>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v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</si>
  <si>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a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</si>
  <si>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3xy</t>
    </r>
  </si>
  <si>
    <r>
      <t>r</t>
    </r>
    <r>
      <rPr>
        <i/>
        <vertAlign val="subscript"/>
        <sz val="12"/>
        <rFont val="Calibri"/>
        <family val="2"/>
        <scheme val="minor"/>
      </rPr>
      <t>3</t>
    </r>
  </si>
  <si>
    <r>
      <t>ρ</t>
    </r>
    <r>
      <rPr>
        <i/>
        <vertAlign val="subscript"/>
        <sz val="12"/>
        <rFont val="Calibri"/>
        <family val="2"/>
      </rPr>
      <t>3</t>
    </r>
  </si>
  <si>
    <r>
      <t>ω</t>
    </r>
    <r>
      <rPr>
        <i/>
        <vertAlign val="subscript"/>
        <sz val="12"/>
        <rFont val="Calibri"/>
        <family val="2"/>
      </rPr>
      <t>3</t>
    </r>
  </si>
  <si>
    <r>
      <t>V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</si>
  <si>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mètres</t>
    </r>
    <r>
      <rPr>
        <vertAlign val="superscript"/>
        <sz val="12"/>
        <color theme="2" tint="-0.499984740745262"/>
        <rFont val="Calibri"/>
        <family val="2"/>
        <scheme val="minor"/>
      </rPr>
      <t>3</t>
    </r>
  </si>
  <si>
    <r>
      <t>M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</si>
  <si>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λ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</si>
  <si>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V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</si>
  <si>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mètres</t>
    </r>
    <r>
      <rPr>
        <vertAlign val="superscript"/>
        <sz val="12"/>
        <color theme="0" tint="-0.499984740745262"/>
        <rFont val="Calibri"/>
        <family val="2"/>
        <scheme val="minor"/>
      </rPr>
      <t>3</t>
    </r>
  </si>
  <si>
    <r>
      <t>M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</si>
  <si>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λ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</si>
  <si>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V</t>
    </r>
    <r>
      <rPr>
        <i/>
        <vertAlign val="subscript"/>
        <sz val="12"/>
        <color theme="0" tint="-0.499984740745262"/>
        <rFont val="Calibri"/>
        <family val="2"/>
      </rPr>
      <t>2</t>
    </r>
  </si>
  <si>
    <r>
      <t>M</t>
    </r>
    <r>
      <rPr>
        <i/>
        <vertAlign val="subscript"/>
        <sz val="12"/>
        <color theme="0" tint="-0.499984740745262"/>
        <rFont val="Calibri"/>
        <family val="2"/>
      </rPr>
      <t>2</t>
    </r>
  </si>
  <si>
    <r>
      <t>λ</t>
    </r>
    <r>
      <rPr>
        <i/>
        <vertAlign val="subscript"/>
        <sz val="12"/>
        <color theme="0" tint="-0.499984740745262"/>
        <rFont val="Calibri"/>
        <family val="2"/>
      </rPr>
      <t>2</t>
    </r>
  </si>
  <si>
    <t>Calcule corps statiques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</si>
  <si>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1y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1y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</si>
  <si>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1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|</t>
    </r>
  </si>
  <si>
    <t>Calculs corp en mouvement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</si>
  <si>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2x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2x 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</si>
  <si>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2y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 xml:space="preserve">2y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</si>
  <si>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2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|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</si>
  <si>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3x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3x 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</si>
  <si>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3y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3y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</si>
  <si>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3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|</t>
    </r>
  </si>
  <si>
    <t>Position courante</t>
  </si>
  <si>
    <t>Romano-Fafard</t>
  </si>
  <si>
    <t>Répulsion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</si>
</sst>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vertAlign val="superscript"/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b/>
      <sz val="16"/>
      <name val="Calibri"/>
      <family val="2"/>
      <scheme val="minor"/>
    </font>
    <font>
      <i/>
      <sz val="12"/>
      <name val="Calibri"/>
      <family val="2"/>
      <scheme val="minor"/>
    </font>
    <font>
      <i/>
      <vertAlign val="subscript"/>
      <sz val="12"/>
      <name val="Calibri"/>
      <family val="2"/>
      <scheme val="minor"/>
    </font>
    <font>
      <i/>
      <sz val="12"/>
      <name val="Calibri"/>
      <family val="2"/>
    </font>
    <font>
      <i/>
      <vertAlign val="subscript"/>
      <sz val="12"/>
      <name val="Calibri"/>
      <family val="2"/>
    </font>
    <font>
      <b/>
      <i/>
      <sz val="14"/>
      <color theme="4" tint="-0.249977111117893"/>
      <name val="Calibri"/>
      <family val="2"/>
      <scheme val="minor"/>
    </font>
    <font>
      <sz val="12"/>
      <color theme="2" tint="-0.499984740745262"/>
      <name val="Calibri"/>
      <family val="2"/>
      <scheme val="minor"/>
    </font>
    <font>
      <i/>
      <sz val="12"/>
      <color theme="2" tint="-0.499984740745262"/>
      <name val="Calibri"/>
      <family val="2"/>
    </font>
    <font>
      <i/>
      <vertAlign val="subscript"/>
      <sz val="12"/>
      <color theme="2" tint="-0.499984740745262"/>
      <name val="Calibri"/>
      <family val="2"/>
    </font>
    <font>
      <vertAlign val="superscript"/>
      <sz val="12"/>
      <color theme="2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i/>
      <sz val="12"/>
      <color theme="0" tint="-0.499984740745262"/>
      <name val="Calibri"/>
      <family val="2"/>
    </font>
    <font>
      <i/>
      <vertAlign val="subscript"/>
      <sz val="12"/>
      <color theme="0" tint="-0.499984740745262"/>
      <name val="Calibri"/>
      <family val="2"/>
    </font>
    <font>
      <vertAlign val="superscript"/>
      <sz val="12"/>
      <color theme="0" tint="-0.499984740745262"/>
      <name val="Calibri"/>
      <family val="2"/>
      <scheme val="minor"/>
    </font>
    <font>
      <b/>
      <i/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Border="1"/>
    <xf numFmtId="0" fontId="6" fillId="0" borderId="0" xfId="0" applyFont="1"/>
    <xf numFmtId="0" fontId="12" fillId="0" borderId="0" xfId="0" applyFont="1" applyBorder="1"/>
    <xf numFmtId="0" fontId="22" fillId="0" borderId="0" xfId="0" applyFont="1" applyBorder="1"/>
    <xf numFmtId="0" fontId="12" fillId="7" borderId="0" xfId="0" applyFont="1" applyFill="1" applyBorder="1"/>
    <xf numFmtId="0" fontId="14" fillId="3" borderId="0" xfId="0" applyFont="1" applyFill="1" applyBorder="1"/>
    <xf numFmtId="0" fontId="18" fillId="3" borderId="0" xfId="0" applyFont="1" applyFill="1" applyBorder="1"/>
    <xf numFmtId="0" fontId="12" fillId="3" borderId="0" xfId="0" applyFont="1" applyFill="1" applyBorder="1"/>
    <xf numFmtId="0" fontId="6" fillId="3" borderId="0" xfId="0" applyFont="1" applyFill="1" applyBorder="1" applyAlignment="1">
      <alignment horizontal="center"/>
    </xf>
    <xf numFmtId="0" fontId="12" fillId="2" borderId="0" xfId="0" applyFont="1" applyFill="1" applyBorder="1"/>
    <xf numFmtId="0" fontId="18" fillId="2" borderId="0" xfId="0" applyFont="1" applyFill="1" applyBorder="1"/>
    <xf numFmtId="0" fontId="9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22" fillId="2" borderId="0" xfId="0" applyFont="1" applyFill="1" applyBorder="1"/>
    <xf numFmtId="0" fontId="6" fillId="7" borderId="0" xfId="0" applyFont="1" applyFill="1" applyBorder="1" applyAlignment="1">
      <alignment horizontal="center" vertical="center"/>
    </xf>
    <xf numFmtId="0" fontId="14" fillId="7" borderId="0" xfId="0" applyFont="1" applyFill="1" applyBorder="1"/>
    <xf numFmtId="0" fontId="22" fillId="7" borderId="0" xfId="0" applyFont="1" applyFill="1" applyBorder="1"/>
    <xf numFmtId="0" fontId="12" fillId="8" borderId="0" xfId="0" applyFont="1" applyFill="1" applyBorder="1"/>
    <xf numFmtId="0" fontId="6" fillId="8" borderId="0" xfId="0" applyFont="1" applyFill="1" applyBorder="1" applyAlignment="1">
      <alignment horizontal="center"/>
    </xf>
    <xf numFmtId="3" fontId="6" fillId="8" borderId="0" xfId="0" applyNumberFormat="1" applyFont="1" applyFill="1" applyBorder="1" applyAlignment="1">
      <alignment horizontal="center"/>
    </xf>
    <xf numFmtId="0" fontId="14" fillId="8" borderId="0" xfId="0" applyFont="1" applyFill="1" applyBorder="1"/>
    <xf numFmtId="0" fontId="22" fillId="8" borderId="0" xfId="0" applyFont="1" applyFill="1" applyBorder="1"/>
    <xf numFmtId="0" fontId="9" fillId="9" borderId="0" xfId="0" applyFont="1" applyFill="1" applyBorder="1" applyAlignment="1">
      <alignment horizontal="center"/>
    </xf>
    <xf numFmtId="0" fontId="12" fillId="9" borderId="0" xfId="0" applyFont="1" applyFill="1" applyBorder="1"/>
    <xf numFmtId="0" fontId="6" fillId="9" borderId="0" xfId="0" applyFont="1" applyFill="1" applyBorder="1" applyAlignment="1">
      <alignment horizontal="center" vertical="center"/>
    </xf>
    <xf numFmtId="0" fontId="25" fillId="6" borderId="0" xfId="0" applyFont="1" applyFill="1" applyBorder="1" applyAlignment="1"/>
    <xf numFmtId="0" fontId="6" fillId="9" borderId="2" xfId="0" applyFont="1" applyFill="1" applyBorder="1"/>
    <xf numFmtId="0" fontId="6" fillId="2" borderId="2" xfId="0" applyFont="1" applyFill="1" applyBorder="1"/>
    <xf numFmtId="0" fontId="6" fillId="9" borderId="4" xfId="0" applyFont="1" applyFill="1" applyBorder="1"/>
    <xf numFmtId="0" fontId="10" fillId="9" borderId="5" xfId="0" applyFont="1" applyFill="1" applyBorder="1" applyAlignment="1">
      <alignment horizontal="center"/>
    </xf>
    <xf numFmtId="0" fontId="6" fillId="2" borderId="3" xfId="0" applyFont="1" applyFill="1" applyBorder="1"/>
    <xf numFmtId="0" fontId="6" fillId="9" borderId="3" xfId="0" applyFont="1" applyFill="1" applyBorder="1"/>
    <xf numFmtId="0" fontId="6" fillId="2" borderId="4" xfId="0" applyFont="1" applyFill="1" applyBorder="1"/>
    <xf numFmtId="0" fontId="12" fillId="2" borderId="5" xfId="0" applyFont="1" applyFill="1" applyBorder="1"/>
    <xf numFmtId="0" fontId="6" fillId="2" borderId="6" xfId="0" applyFont="1" applyFill="1" applyBorder="1"/>
    <xf numFmtId="0" fontId="6" fillId="3" borderId="2" xfId="0" applyFont="1" applyFill="1" applyBorder="1"/>
    <xf numFmtId="0" fontId="6" fillId="3" borderId="3" xfId="0" applyFont="1" applyFill="1" applyBorder="1"/>
    <xf numFmtId="0" fontId="17" fillId="2" borderId="2" xfId="0" applyFont="1" applyFill="1" applyBorder="1"/>
    <xf numFmtId="0" fontId="17" fillId="2" borderId="3" xfId="0" applyFont="1" applyFill="1" applyBorder="1"/>
    <xf numFmtId="0" fontId="17" fillId="3" borderId="2" xfId="0" applyFont="1" applyFill="1" applyBorder="1"/>
    <xf numFmtId="0" fontId="17" fillId="3" borderId="3" xfId="0" applyFont="1" applyFill="1" applyBorder="1"/>
    <xf numFmtId="0" fontId="6" fillId="8" borderId="2" xfId="0" applyFont="1" applyFill="1" applyBorder="1"/>
    <xf numFmtId="0" fontId="6" fillId="8" borderId="3" xfId="0" applyFont="1" applyFill="1" applyBorder="1"/>
    <xf numFmtId="0" fontId="21" fillId="2" borderId="2" xfId="0" applyFont="1" applyFill="1" applyBorder="1"/>
    <xf numFmtId="0" fontId="21" fillId="2" borderId="3" xfId="0" applyFont="1" applyFill="1" applyBorder="1"/>
    <xf numFmtId="0" fontId="21" fillId="8" borderId="2" xfId="0" applyFont="1" applyFill="1" applyBorder="1"/>
    <xf numFmtId="0" fontId="21" fillId="8" borderId="3" xfId="0" applyFont="1" applyFill="1" applyBorder="1"/>
    <xf numFmtId="0" fontId="25" fillId="6" borderId="2" xfId="0" applyFont="1" applyFill="1" applyBorder="1" applyAlignment="1"/>
    <xf numFmtId="0" fontId="25" fillId="6" borderId="3" xfId="0" applyFont="1" applyFill="1" applyBorder="1" applyAlignment="1"/>
    <xf numFmtId="0" fontId="6" fillId="7" borderId="2" xfId="0" applyFont="1" applyFill="1" applyBorder="1"/>
    <xf numFmtId="0" fontId="6" fillId="7" borderId="3" xfId="0" applyFont="1" applyFill="1" applyBorder="1"/>
    <xf numFmtId="0" fontId="6" fillId="0" borderId="2" xfId="0" applyFont="1" applyBorder="1"/>
    <xf numFmtId="0" fontId="6" fillId="0" borderId="3" xfId="0" applyFont="1" applyBorder="1"/>
    <xf numFmtId="0" fontId="21" fillId="0" borderId="2" xfId="0" applyFont="1" applyBorder="1"/>
    <xf numFmtId="0" fontId="21" fillId="0" borderId="3" xfId="0" applyFont="1" applyBorder="1"/>
    <xf numFmtId="0" fontId="21" fillId="7" borderId="2" xfId="0" applyFont="1" applyFill="1" applyBorder="1"/>
    <xf numFmtId="0" fontId="21" fillId="7" borderId="3" xfId="0" applyFont="1" applyFill="1" applyBorder="1"/>
    <xf numFmtId="0" fontId="6" fillId="7" borderId="4" xfId="0" applyFont="1" applyFill="1" applyBorder="1"/>
    <xf numFmtId="0" fontId="14" fillId="7" borderId="5" xfId="0" applyFont="1" applyFill="1" applyBorder="1"/>
    <xf numFmtId="0" fontId="6" fillId="7" borderId="6" xfId="0" applyFont="1" applyFill="1" applyBorder="1"/>
    <xf numFmtId="0" fontId="7" fillId="0" borderId="0" xfId="0" applyFont="1" applyBorder="1" applyAlignment="1">
      <alignment horizontal="right"/>
    </xf>
    <xf numFmtId="0" fontId="0" fillId="0" borderId="1" xfId="0" applyBorder="1"/>
    <xf numFmtId="0" fontId="7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1" fillId="7" borderId="0" xfId="0" applyFont="1" applyFill="1" applyBorder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11" fillId="10" borderId="7" xfId="0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11" fillId="10" borderId="9" xfId="0" applyFont="1" applyFill="1" applyBorder="1" applyAlignment="1">
      <alignment horizontal="left" vertical="center"/>
    </xf>
    <xf numFmtId="0" fontId="11" fillId="10" borderId="7" xfId="0" applyFont="1" applyFill="1" applyBorder="1" applyAlignment="1">
      <alignment horizontal="left"/>
    </xf>
    <xf numFmtId="0" fontId="11" fillId="10" borderId="8" xfId="0" applyFont="1" applyFill="1" applyBorder="1" applyAlignment="1">
      <alignment horizontal="left"/>
    </xf>
    <xf numFmtId="0" fontId="11" fillId="10" borderId="9" xfId="0" applyFont="1" applyFill="1" applyBorder="1" applyAlignment="1">
      <alignment horizontal="left"/>
    </xf>
    <xf numFmtId="0" fontId="17" fillId="2" borderId="0" xfId="0" applyFont="1" applyFill="1" applyBorder="1" applyAlignment="1">
      <alignment horizontal="center"/>
    </xf>
    <xf numFmtId="0" fontId="17" fillId="3" borderId="0" xfId="0" applyFont="1" applyFill="1" applyBorder="1" applyAlignment="1">
      <alignment horizontal="center"/>
    </xf>
    <xf numFmtId="0" fontId="6" fillId="9" borderId="0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9" borderId="5" xfId="0" applyFont="1" applyFill="1" applyBorder="1" applyAlignment="1">
      <alignment horizontal="center"/>
    </xf>
    <xf numFmtId="0" fontId="6" fillId="9" borderId="6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6" fillId="0" borderId="2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left"/>
    </xf>
    <xf numFmtId="0" fontId="25" fillId="5" borderId="0" xfId="0" applyFont="1" applyFill="1" applyBorder="1" applyAlignment="1">
      <alignment horizontal="left"/>
    </xf>
    <xf numFmtId="0" fontId="25" fillId="5" borderId="3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1" fillId="8" borderId="0" xfId="0" applyFont="1" applyFill="1" applyBorder="1" applyAlignment="1">
      <alignment horizontal="center"/>
    </xf>
    <xf numFmtId="0" fontId="25" fillId="4" borderId="2" xfId="0" applyFont="1" applyFill="1" applyBorder="1" applyAlignment="1">
      <alignment horizontal="left"/>
    </xf>
    <xf numFmtId="0" fontId="25" fillId="4" borderId="0" xfId="0" applyFont="1" applyFill="1" applyBorder="1" applyAlignment="1">
      <alignment horizontal="left"/>
    </xf>
    <xf numFmtId="0" fontId="25" fillId="4" borderId="3" xfId="0" applyFont="1" applyFill="1" applyBorder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fif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 sz="2200" b="0" cap="none" spc="0" baseline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Simulateur de gravité</a:t>
            </a:r>
          </a:p>
        </c:rich>
      </c:tx>
      <c:layout>
        <c:manualLayout>
          <c:xMode val="edge"/>
          <c:yMode val="edge"/>
          <c:x val="0.36248338180903117"/>
          <c:y val="3.224636487927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7112695832420951E-2"/>
          <c:y val="9.3088169156758729E-2"/>
          <c:w val="0.94393005010636744"/>
          <c:h val="0.853827965239910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Feuille1!$A$18</c:f>
              <c:strCache>
                <c:ptCount val="1"/>
                <c:pt idx="0">
                  <c:v>Corp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Feuille1!$D$49:$D$69</c:f>
              <c:numCache>
                <c:formatCode>General</c:formatCode>
                <c:ptCount val="21"/>
                <c:pt idx="0">
                  <c:v>25000</c:v>
                </c:pt>
                <c:pt idx="1">
                  <c:v>24755.282581475767</c:v>
                </c:pt>
                <c:pt idx="2">
                  <c:v>24045.084971874738</c:v>
                </c:pt>
                <c:pt idx="3">
                  <c:v>22938.926261462366</c:v>
                </c:pt>
                <c:pt idx="4">
                  <c:v>21545.084971874738</c:v>
                </c:pt>
                <c:pt idx="5">
                  <c:v>20000</c:v>
                </c:pt>
                <c:pt idx="6">
                  <c:v>18454.915028125262</c:v>
                </c:pt>
                <c:pt idx="7">
                  <c:v>17061.073738537634</c:v>
                </c:pt>
                <c:pt idx="8">
                  <c:v>15954.915028125262</c:v>
                </c:pt>
                <c:pt idx="9">
                  <c:v>15244.717418524233</c:v>
                </c:pt>
                <c:pt idx="10">
                  <c:v>15000</c:v>
                </c:pt>
                <c:pt idx="11">
                  <c:v>15244.717418524231</c:v>
                </c:pt>
                <c:pt idx="12">
                  <c:v>15954.915028125262</c:v>
                </c:pt>
                <c:pt idx="13">
                  <c:v>17061.073738537634</c:v>
                </c:pt>
                <c:pt idx="14">
                  <c:v>18454.915028125262</c:v>
                </c:pt>
                <c:pt idx="15">
                  <c:v>20000</c:v>
                </c:pt>
                <c:pt idx="16">
                  <c:v>21545.084971874738</c:v>
                </c:pt>
                <c:pt idx="17">
                  <c:v>22938.926261462366</c:v>
                </c:pt>
                <c:pt idx="18">
                  <c:v>24045.084971874738</c:v>
                </c:pt>
                <c:pt idx="19">
                  <c:v>24755.282581475767</c:v>
                </c:pt>
                <c:pt idx="20">
                  <c:v>25000</c:v>
                </c:pt>
              </c:numCache>
            </c:numRef>
          </c:xVal>
          <c:yVal>
            <c:numRef>
              <c:f>Feuille1!$E$49:$E$69</c:f>
              <c:numCache>
                <c:formatCode>General</c:formatCode>
                <c:ptCount val="21"/>
                <c:pt idx="0">
                  <c:v>15000</c:v>
                </c:pt>
                <c:pt idx="1">
                  <c:v>16545.084971874738</c:v>
                </c:pt>
                <c:pt idx="2">
                  <c:v>17938.926261462366</c:v>
                </c:pt>
                <c:pt idx="3">
                  <c:v>19045.084971874738</c:v>
                </c:pt>
                <c:pt idx="4">
                  <c:v>19755.282581475767</c:v>
                </c:pt>
                <c:pt idx="5">
                  <c:v>20000</c:v>
                </c:pt>
                <c:pt idx="6">
                  <c:v>19755.282581475767</c:v>
                </c:pt>
                <c:pt idx="7">
                  <c:v>19045.084971874738</c:v>
                </c:pt>
                <c:pt idx="8">
                  <c:v>17938.926261462366</c:v>
                </c:pt>
                <c:pt idx="9">
                  <c:v>16545.084971874738</c:v>
                </c:pt>
                <c:pt idx="10">
                  <c:v>15000</c:v>
                </c:pt>
                <c:pt idx="11">
                  <c:v>13454.915028125266</c:v>
                </c:pt>
                <c:pt idx="12">
                  <c:v>12061.073738537634</c:v>
                </c:pt>
                <c:pt idx="13">
                  <c:v>10954.915028125262</c:v>
                </c:pt>
                <c:pt idx="14">
                  <c:v>10244.717418524233</c:v>
                </c:pt>
                <c:pt idx="15">
                  <c:v>10000</c:v>
                </c:pt>
                <c:pt idx="16">
                  <c:v>10244.717418524233</c:v>
                </c:pt>
                <c:pt idx="17">
                  <c:v>10954.915028125262</c:v>
                </c:pt>
                <c:pt idx="18">
                  <c:v>12061.073738537634</c:v>
                </c:pt>
                <c:pt idx="19">
                  <c:v>13454.915028125262</c:v>
                </c:pt>
                <c:pt idx="20">
                  <c:v>14999.999999999998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EE-4086-A22A-ADDC70B849CF}"/>
            </c:ext>
          </c:extLst>
        </c:ser>
        <c:ser>
          <c:idx val="1"/>
          <c:order val="1"/>
          <c:tx>
            <c:strRef>
              <c:f>Feuille1!$A$27</c:f>
              <c:strCache>
                <c:ptCount val="1"/>
                <c:pt idx="0">
                  <c:v>Corp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Feuille1!$G$49:$G$69</c:f>
              <c:numCache>
                <c:formatCode>General</c:formatCode>
                <c:ptCount val="21"/>
                <c:pt idx="0">
                  <c:v>-5000</c:v>
                </c:pt>
                <c:pt idx="1">
                  <c:v>-5734.152255572697</c:v>
                </c:pt>
                <c:pt idx="2">
                  <c:v>-7864.7450843757888</c:v>
                </c:pt>
                <c:pt idx="3">
                  <c:v>-11183.221215612903</c:v>
                </c:pt>
                <c:pt idx="4">
                  <c:v>-15364.745084375787</c:v>
                </c:pt>
                <c:pt idx="5">
                  <c:v>-20000</c:v>
                </c:pt>
                <c:pt idx="6">
                  <c:v>-24635.254915624209</c:v>
                </c:pt>
                <c:pt idx="7">
                  <c:v>-28816.778784387097</c:v>
                </c:pt>
                <c:pt idx="8">
                  <c:v>-32135.254915624209</c:v>
                </c:pt>
                <c:pt idx="9">
                  <c:v>-34265.847744427301</c:v>
                </c:pt>
                <c:pt idx="10">
                  <c:v>-35000</c:v>
                </c:pt>
                <c:pt idx="11">
                  <c:v>-34265.847744427308</c:v>
                </c:pt>
                <c:pt idx="12">
                  <c:v>-32135.254915624213</c:v>
                </c:pt>
                <c:pt idx="13">
                  <c:v>-28816.778784387097</c:v>
                </c:pt>
                <c:pt idx="14">
                  <c:v>-24635.254915624213</c:v>
                </c:pt>
                <c:pt idx="15">
                  <c:v>-20000.000000000004</c:v>
                </c:pt>
                <c:pt idx="16">
                  <c:v>-15364.745084375791</c:v>
                </c:pt>
                <c:pt idx="17">
                  <c:v>-11183.221215612906</c:v>
                </c:pt>
                <c:pt idx="18">
                  <c:v>-7864.7450843757906</c:v>
                </c:pt>
                <c:pt idx="19">
                  <c:v>-5734.152255572697</c:v>
                </c:pt>
                <c:pt idx="20">
                  <c:v>-5000</c:v>
                </c:pt>
              </c:numCache>
            </c:numRef>
          </c:xVal>
          <c:yVal>
            <c:numRef>
              <c:f>Feuille1!$H$49:$H$69</c:f>
              <c:numCache>
                <c:formatCode>General</c:formatCode>
                <c:ptCount val="21"/>
                <c:pt idx="0">
                  <c:v>20000</c:v>
                </c:pt>
                <c:pt idx="1">
                  <c:v>24635.254915624209</c:v>
                </c:pt>
                <c:pt idx="2">
                  <c:v>28816.778784387097</c:v>
                </c:pt>
                <c:pt idx="3">
                  <c:v>32135.254915624209</c:v>
                </c:pt>
                <c:pt idx="4">
                  <c:v>34265.847744427301</c:v>
                </c:pt>
                <c:pt idx="5">
                  <c:v>35000</c:v>
                </c:pt>
                <c:pt idx="6">
                  <c:v>34265.847744427301</c:v>
                </c:pt>
                <c:pt idx="7">
                  <c:v>32135.254915624209</c:v>
                </c:pt>
                <c:pt idx="8">
                  <c:v>28816.778784387097</c:v>
                </c:pt>
                <c:pt idx="9">
                  <c:v>24635.254915624213</c:v>
                </c:pt>
                <c:pt idx="10">
                  <c:v>20000.000000000004</c:v>
                </c:pt>
                <c:pt idx="11">
                  <c:v>15364.745084375798</c:v>
                </c:pt>
                <c:pt idx="12">
                  <c:v>11183.221215612904</c:v>
                </c:pt>
                <c:pt idx="13">
                  <c:v>7864.7450843757906</c:v>
                </c:pt>
                <c:pt idx="14">
                  <c:v>5734.152255572697</c:v>
                </c:pt>
                <c:pt idx="15">
                  <c:v>5000</c:v>
                </c:pt>
                <c:pt idx="16">
                  <c:v>5734.1522555726951</c:v>
                </c:pt>
                <c:pt idx="17">
                  <c:v>7864.745084375787</c:v>
                </c:pt>
                <c:pt idx="18">
                  <c:v>11183.221215612899</c:v>
                </c:pt>
                <c:pt idx="19">
                  <c:v>15364.745084375787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EE-4086-A22A-ADDC70B849CF}"/>
            </c:ext>
          </c:extLst>
        </c:ser>
        <c:ser>
          <c:idx val="2"/>
          <c:order val="2"/>
          <c:tx>
            <c:strRef>
              <c:f>Feuille1!$A$36</c:f>
              <c:strCache>
                <c:ptCount val="1"/>
                <c:pt idx="0">
                  <c:v>Corp 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Feuille1!$J$49:$J$69</c:f>
              <c:numCache>
                <c:formatCode>General</c:formatCode>
                <c:ptCount val="21"/>
                <c:pt idx="0">
                  <c:v>5000</c:v>
                </c:pt>
                <c:pt idx="1">
                  <c:v>4510.565162951536</c:v>
                </c:pt>
                <c:pt idx="2">
                  <c:v>3090.1699437494744</c:v>
                </c:pt>
                <c:pt idx="3">
                  <c:v>877.8525229247316</c:v>
                </c:pt>
                <c:pt idx="4">
                  <c:v>-1909.8300562505256</c:v>
                </c:pt>
                <c:pt idx="5">
                  <c:v>-4999.9999999999991</c:v>
                </c:pt>
                <c:pt idx="6">
                  <c:v>-8090.1699437494735</c:v>
                </c:pt>
                <c:pt idx="7">
                  <c:v>-10877.852522924732</c:v>
                </c:pt>
                <c:pt idx="8">
                  <c:v>-13090.169943749474</c:v>
                </c:pt>
                <c:pt idx="9">
                  <c:v>-14510.565162951536</c:v>
                </c:pt>
                <c:pt idx="10">
                  <c:v>-15000</c:v>
                </c:pt>
                <c:pt idx="11">
                  <c:v>-14510.565162951538</c:v>
                </c:pt>
                <c:pt idx="12">
                  <c:v>-13090.169943749475</c:v>
                </c:pt>
                <c:pt idx="13">
                  <c:v>-10877.852522924732</c:v>
                </c:pt>
                <c:pt idx="14">
                  <c:v>-8090.1699437494754</c:v>
                </c:pt>
                <c:pt idx="15">
                  <c:v>-5000.0000000000018</c:v>
                </c:pt>
                <c:pt idx="16">
                  <c:v>-1909.8300562505278</c:v>
                </c:pt>
                <c:pt idx="17">
                  <c:v>877.85252292472887</c:v>
                </c:pt>
                <c:pt idx="18">
                  <c:v>3090.1699437494735</c:v>
                </c:pt>
                <c:pt idx="19">
                  <c:v>4510.565162951536</c:v>
                </c:pt>
                <c:pt idx="20">
                  <c:v>5000</c:v>
                </c:pt>
              </c:numCache>
            </c:numRef>
          </c:xVal>
          <c:yVal>
            <c:numRef>
              <c:f>Feuille1!$K$49:$K$69</c:f>
              <c:numCache>
                <c:formatCode>General</c:formatCode>
                <c:ptCount val="21"/>
                <c:pt idx="0">
                  <c:v>-30000</c:v>
                </c:pt>
                <c:pt idx="1">
                  <c:v>-26909.830056250525</c:v>
                </c:pt>
                <c:pt idx="2">
                  <c:v>-24122.147477075268</c:v>
                </c:pt>
                <c:pt idx="3">
                  <c:v>-21909.830056250525</c:v>
                </c:pt>
                <c:pt idx="4">
                  <c:v>-20489.434837048466</c:v>
                </c:pt>
                <c:pt idx="5">
                  <c:v>-20000</c:v>
                </c:pt>
                <c:pt idx="6">
                  <c:v>-20489.434837048466</c:v>
                </c:pt>
                <c:pt idx="7">
                  <c:v>-21909.830056250525</c:v>
                </c:pt>
                <c:pt idx="8">
                  <c:v>-24122.147477075268</c:v>
                </c:pt>
                <c:pt idx="9">
                  <c:v>-26909.830056250525</c:v>
                </c:pt>
                <c:pt idx="10">
                  <c:v>-30000</c:v>
                </c:pt>
                <c:pt idx="11">
                  <c:v>-33090.169943749468</c:v>
                </c:pt>
                <c:pt idx="12">
                  <c:v>-35877.852522924732</c:v>
                </c:pt>
                <c:pt idx="13">
                  <c:v>-38090.169943749475</c:v>
                </c:pt>
                <c:pt idx="14">
                  <c:v>-39510.565162951534</c:v>
                </c:pt>
                <c:pt idx="15">
                  <c:v>-40000</c:v>
                </c:pt>
                <c:pt idx="16">
                  <c:v>-39510.565162951534</c:v>
                </c:pt>
                <c:pt idx="17">
                  <c:v>-38090.169943749475</c:v>
                </c:pt>
                <c:pt idx="18">
                  <c:v>-35877.852522924732</c:v>
                </c:pt>
                <c:pt idx="19">
                  <c:v>-33090.169943749475</c:v>
                </c:pt>
                <c:pt idx="20">
                  <c:v>-30000.000000000004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EE-4086-A22A-ADDC70B849CF}"/>
            </c:ext>
          </c:extLst>
        </c:ser>
        <c:ser>
          <c:idx val="3"/>
          <c:order val="3"/>
          <c:tx>
            <c:v>Vaisseau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Feuille1!$B$76:$B$1076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-2155.5815963805753</c:v>
                </c:pt>
                <c:pt idx="3">
                  <c:v>-6603.6834132787899</c:v>
                </c:pt>
                <c:pt idx="4">
                  <c:v>-13722.626653922182</c:v>
                </c:pt>
                <c:pt idx="5">
                  <c:v>-23767.891163966113</c:v>
                </c:pt>
                <c:pt idx="6">
                  <c:v>-30025.245065416548</c:v>
                </c:pt>
                <c:pt idx="7">
                  <c:v>-32049.958207491174</c:v>
                </c:pt>
                <c:pt idx="8">
                  <c:v>-31102.546125558074</c:v>
                </c:pt>
                <c:pt idx="9">
                  <c:v>-27618.550565493912</c:v>
                </c:pt>
                <c:pt idx="10">
                  <c:v>-21634.972400506449</c:v>
                </c:pt>
                <c:pt idx="11">
                  <c:v>-14326.696242414633</c:v>
                </c:pt>
                <c:pt idx="12">
                  <c:v>-10993.895450815102</c:v>
                </c:pt>
                <c:pt idx="13">
                  <c:v>-10064.215079571481</c:v>
                </c:pt>
                <c:pt idx="14">
                  <c:v>-10558.710051758733</c:v>
                </c:pt>
                <c:pt idx="15">
                  <c:v>-11960.204685694011</c:v>
                </c:pt>
                <c:pt idx="16">
                  <c:v>-13928.512741700068</c:v>
                </c:pt>
                <c:pt idx="17">
                  <c:v>-16253.493901701464</c:v>
                </c:pt>
                <c:pt idx="18">
                  <c:v>-18835.609256513726</c:v>
                </c:pt>
                <c:pt idx="19">
                  <c:v>-21481.742824395347</c:v>
                </c:pt>
                <c:pt idx="20">
                  <c:v>-22591.125006231799</c:v>
                </c:pt>
                <c:pt idx="21">
                  <c:v>-22039.83585133322</c:v>
                </c:pt>
                <c:pt idx="22">
                  <c:v>-20868.200211640778</c:v>
                </c:pt>
                <c:pt idx="23">
                  <c:v>-19454.294776478026</c:v>
                </c:pt>
                <c:pt idx="24">
                  <c:v>-18060.671639539956</c:v>
                </c:pt>
                <c:pt idx="25">
                  <c:v>-17163.182537643501</c:v>
                </c:pt>
                <c:pt idx="26">
                  <c:v>-18333.635457549368</c:v>
                </c:pt>
                <c:pt idx="27">
                  <c:v>-20314.416743382022</c:v>
                </c:pt>
                <c:pt idx="28">
                  <c:v>-21797.737186198516</c:v>
                </c:pt>
                <c:pt idx="29">
                  <c:v>-22404.964366037526</c:v>
                </c:pt>
                <c:pt idx="30">
                  <c:v>-21957.686392736607</c:v>
                </c:pt>
                <c:pt idx="31">
                  <c:v>-20409.952785214831</c:v>
                </c:pt>
                <c:pt idx="32">
                  <c:v>-17872.272947658668</c:v>
                </c:pt>
                <c:pt idx="33">
                  <c:v>-14692.644061382864</c:v>
                </c:pt>
                <c:pt idx="34">
                  <c:v>-11537.597441267137</c:v>
                </c:pt>
                <c:pt idx="35">
                  <c:v>-9420.0988076053836</c:v>
                </c:pt>
                <c:pt idx="36">
                  <c:v>-10006.906581289682</c:v>
                </c:pt>
                <c:pt idx="37">
                  <c:v>-16082.619821953129</c:v>
                </c:pt>
                <c:pt idx="38">
                  <c:v>-24469.432246022487</c:v>
                </c:pt>
                <c:pt idx="39">
                  <c:v>-31264.235014873706</c:v>
                </c:pt>
                <c:pt idx="40">
                  <c:v>-35452.915064257119</c:v>
                </c:pt>
                <c:pt idx="41">
                  <c:v>-36334.012045194482</c:v>
                </c:pt>
                <c:pt idx="42">
                  <c:v>-32750.664025319435</c:v>
                </c:pt>
                <c:pt idx="43">
                  <c:v>-23070.716396222168</c:v>
                </c:pt>
                <c:pt idx="44">
                  <c:v>-11078.567477043372</c:v>
                </c:pt>
                <c:pt idx="45">
                  <c:v>-2252.9676035703915</c:v>
                </c:pt>
                <c:pt idx="46">
                  <c:v>3117.5647869087711</c:v>
                </c:pt>
                <c:pt idx="47">
                  <c:v>5418.0599562085408</c:v>
                </c:pt>
                <c:pt idx="48">
                  <c:v>4845.7016924651434</c:v>
                </c:pt>
                <c:pt idx="49">
                  <c:v>1116.9123643946805</c:v>
                </c:pt>
                <c:pt idx="50">
                  <c:v>-6654.239752500217</c:v>
                </c:pt>
                <c:pt idx="51">
                  <c:v>-19863.493160380203</c:v>
                </c:pt>
                <c:pt idx="52">
                  <c:v>-33042.132125917175</c:v>
                </c:pt>
                <c:pt idx="53">
                  <c:v>-40181.578301842805</c:v>
                </c:pt>
                <c:pt idx="54">
                  <c:v>-42723.461579654395</c:v>
                </c:pt>
                <c:pt idx="55">
                  <c:v>-41385.281077187967</c:v>
                </c:pt>
                <c:pt idx="56">
                  <c:v>-36252.186663530323</c:v>
                </c:pt>
                <c:pt idx="57">
                  <c:v>-26977.860660716906</c:v>
                </c:pt>
                <c:pt idx="58">
                  <c:v>-13992.365518713848</c:v>
                </c:pt>
                <c:pt idx="59">
                  <c:v>-5280.290090845343</c:v>
                </c:pt>
                <c:pt idx="60">
                  <c:v>-1757.3712455157329</c:v>
                </c:pt>
                <c:pt idx="61">
                  <c:v>-1881.8262869514101</c:v>
                </c:pt>
                <c:pt idx="62">
                  <c:v>-4972.8705901021422</c:v>
                </c:pt>
                <c:pt idx="63">
                  <c:v>-10868.495093414916</c:v>
                </c:pt>
                <c:pt idx="64">
                  <c:v>-19599.572682682414</c:v>
                </c:pt>
                <c:pt idx="65">
                  <c:v>-28500.606562246168</c:v>
                </c:pt>
                <c:pt idx="66">
                  <c:v>-32099.045268915979</c:v>
                </c:pt>
                <c:pt idx="67">
                  <c:v>-32411.835518894219</c:v>
                </c:pt>
                <c:pt idx="68">
                  <c:v>-30430.097457822976</c:v>
                </c:pt>
                <c:pt idx="69">
                  <c:v>-26622.762699958479</c:v>
                </c:pt>
                <c:pt idx="70">
                  <c:v>-21370.470774058285</c:v>
                </c:pt>
                <c:pt idx="71">
                  <c:v>-15337.837471144849</c:v>
                </c:pt>
                <c:pt idx="72">
                  <c:v>-9971.247622495368</c:v>
                </c:pt>
                <c:pt idx="73">
                  <c:v>-7974.7753703251028</c:v>
                </c:pt>
                <c:pt idx="74">
                  <c:v>-11783.483994918448</c:v>
                </c:pt>
                <c:pt idx="75">
                  <c:v>-18885.029391884273</c:v>
                </c:pt>
                <c:pt idx="76">
                  <c:v>-26211.753978563171</c:v>
                </c:pt>
                <c:pt idx="77">
                  <c:v>-31945.830631456221</c:v>
                </c:pt>
                <c:pt idx="78">
                  <c:v>-34568.486524862863</c:v>
                </c:pt>
                <c:pt idx="79">
                  <c:v>-32268.059801153788</c:v>
                </c:pt>
                <c:pt idx="80">
                  <c:v>-23996.12944308592</c:v>
                </c:pt>
                <c:pt idx="81">
                  <c:v>-13548.876229185549</c:v>
                </c:pt>
                <c:pt idx="82">
                  <c:v>-4755.0472837201269</c:v>
                </c:pt>
                <c:pt idx="83">
                  <c:v>1300.6502135919741</c:v>
                </c:pt>
                <c:pt idx="84">
                  <c:v>4488.3766643892159</c:v>
                </c:pt>
                <c:pt idx="85">
                  <c:v>4840.8843889387354</c:v>
                </c:pt>
                <c:pt idx="86">
                  <c:v>2140.7904529884568</c:v>
                </c:pt>
                <c:pt idx="87">
                  <c:v>-4373.5602187752365</c:v>
                </c:pt>
                <c:pt idx="88">
                  <c:v>-15864.975456162465</c:v>
                </c:pt>
                <c:pt idx="89">
                  <c:v>-30213.281624468884</c:v>
                </c:pt>
                <c:pt idx="90">
                  <c:v>-38784.642659300393</c:v>
                </c:pt>
                <c:pt idx="91">
                  <c:v>-42392.327817831887</c:v>
                </c:pt>
                <c:pt idx="92">
                  <c:v>-42029.161133373695</c:v>
                </c:pt>
                <c:pt idx="93">
                  <c:v>-38089.58668656792</c:v>
                </c:pt>
                <c:pt idx="94">
                  <c:v>-30627.421743517098</c:v>
                </c:pt>
                <c:pt idx="95">
                  <c:v>-19867.444949009892</c:v>
                </c:pt>
                <c:pt idx="96">
                  <c:v>-8893.1908516542753</c:v>
                </c:pt>
                <c:pt idx="97">
                  <c:v>-3473.5054690432598</c:v>
                </c:pt>
                <c:pt idx="98">
                  <c:v>-2613.3590788222309</c:v>
                </c:pt>
                <c:pt idx="99">
                  <c:v>-4901.4066883492687</c:v>
                </c:pt>
                <c:pt idx="100">
                  <c:v>-9567.9877008933181</c:v>
                </c:pt>
                <c:pt idx="101">
                  <c:v>-16112.291613574742</c:v>
                </c:pt>
                <c:pt idx="102">
                  <c:v>-23715.673641512942</c:v>
                </c:pt>
                <c:pt idx="103">
                  <c:v>-28868.0025772349</c:v>
                </c:pt>
                <c:pt idx="104">
                  <c:v>-28466.724252973552</c:v>
                </c:pt>
                <c:pt idx="105">
                  <c:v>-25368.624225439089</c:v>
                </c:pt>
                <c:pt idx="106">
                  <c:v>-20872.334581045925</c:v>
                </c:pt>
                <c:pt idx="107">
                  <c:v>-15572.868856709225</c:v>
                </c:pt>
                <c:pt idx="108">
                  <c:v>-9977.2454218350249</c:v>
                </c:pt>
                <c:pt idx="109">
                  <c:v>-4770.6507706345146</c:v>
                </c:pt>
                <c:pt idx="110">
                  <c:v>-670.07080362870693</c:v>
                </c:pt>
                <c:pt idx="111">
                  <c:v>1869.284646644197</c:v>
                </c:pt>
                <c:pt idx="112">
                  <c:v>2635.8269414218898</c:v>
                </c:pt>
                <c:pt idx="113">
                  <c:v>1500.7516282274364</c:v>
                </c:pt>
                <c:pt idx="114">
                  <c:v>-1737.342381142169</c:v>
                </c:pt>
                <c:pt idx="115">
                  <c:v>-7591.036342427682</c:v>
                </c:pt>
                <c:pt idx="116">
                  <c:v>-17333.472590368339</c:v>
                </c:pt>
                <c:pt idx="117">
                  <c:v>-29511.194571082044</c:v>
                </c:pt>
                <c:pt idx="118">
                  <c:v>-37110.872594276269</c:v>
                </c:pt>
                <c:pt idx="119">
                  <c:v>-41455.124874475769</c:v>
                </c:pt>
                <c:pt idx="120">
                  <c:v>-43223.220707554552</c:v>
                </c:pt>
                <c:pt idx="121">
                  <c:v>-42607.57310858235</c:v>
                </c:pt>
                <c:pt idx="122">
                  <c:v>-39450.867885950487</c:v>
                </c:pt>
                <c:pt idx="123">
                  <c:v>-33129.755536329103</c:v>
                </c:pt>
                <c:pt idx="124">
                  <c:v>-22126.281150696152</c:v>
                </c:pt>
                <c:pt idx="125">
                  <c:v>-8775.5308932556709</c:v>
                </c:pt>
                <c:pt idx="126">
                  <c:v>342.80772281224745</c:v>
                </c:pt>
                <c:pt idx="127">
                  <c:v>6726.3492224108259</c:v>
                </c:pt>
                <c:pt idx="128">
                  <c:v>11034.527471842506</c:v>
                </c:pt>
                <c:pt idx="129">
                  <c:v>13463.83680980725</c:v>
                </c:pt>
                <c:pt idx="130">
                  <c:v>14069.578763116646</c:v>
                </c:pt>
                <c:pt idx="131">
                  <c:v>12849.357640567949</c:v>
                </c:pt>
                <c:pt idx="132">
                  <c:v>9747.3208480583962</c:v>
                </c:pt>
                <c:pt idx="133">
                  <c:v>4663.2021124606645</c:v>
                </c:pt>
                <c:pt idx="134">
                  <c:v>-2425.7221265991457</c:v>
                </c:pt>
                <c:pt idx="135">
                  <c:v>-10777.726332476788</c:v>
                </c:pt>
                <c:pt idx="136">
                  <c:v>-17896.189744224292</c:v>
                </c:pt>
                <c:pt idx="137">
                  <c:v>-22507.479100163808</c:v>
                </c:pt>
                <c:pt idx="138">
                  <c:v>-24823.96758375525</c:v>
                </c:pt>
                <c:pt idx="139">
                  <c:v>-25111.553499507485</c:v>
                </c:pt>
                <c:pt idx="140">
                  <c:v>-23439.588356209104</c:v>
                </c:pt>
                <c:pt idx="141">
                  <c:v>-19627.907176849829</c:v>
                </c:pt>
                <c:pt idx="142">
                  <c:v>-13074.175975925778</c:v>
                </c:pt>
                <c:pt idx="143">
                  <c:v>-2750.4418130729327</c:v>
                </c:pt>
                <c:pt idx="144">
                  <c:v>5482.2241211281307</c:v>
                </c:pt>
                <c:pt idx="145">
                  <c:v>10261.827719297115</c:v>
                </c:pt>
                <c:pt idx="146">
                  <c:v>12227.905327387933</c:v>
                </c:pt>
                <c:pt idx="147">
                  <c:v>11661.078323975024</c:v>
                </c:pt>
                <c:pt idx="148">
                  <c:v>8571.2192945534698</c:v>
                </c:pt>
                <c:pt idx="149">
                  <c:v>2797.6017602634374</c:v>
                </c:pt>
                <c:pt idx="150">
                  <c:v>-5573.793286920818</c:v>
                </c:pt>
                <c:pt idx="151">
                  <c:v>-14228.960132921997</c:v>
                </c:pt>
                <c:pt idx="152">
                  <c:v>-20393.725808041447</c:v>
                </c:pt>
                <c:pt idx="153">
                  <c:v>-24096.491287078687</c:v>
                </c:pt>
                <c:pt idx="154">
                  <c:v>-25689.742863749318</c:v>
                </c:pt>
                <c:pt idx="155">
                  <c:v>-25332.575707972606</c:v>
                </c:pt>
                <c:pt idx="156">
                  <c:v>-22989.424602758023</c:v>
                </c:pt>
                <c:pt idx="157">
                  <c:v>-18419.284490325474</c:v>
                </c:pt>
                <c:pt idx="158">
                  <c:v>-11215.201781453294</c:v>
                </c:pt>
                <c:pt idx="159">
                  <c:v>-2005.4057209730547</c:v>
                </c:pt>
                <c:pt idx="160">
                  <c:v>5513.9651469176797</c:v>
                </c:pt>
                <c:pt idx="161">
                  <c:v>10190.01272349228</c:v>
                </c:pt>
                <c:pt idx="162">
                  <c:v>12191.016722934923</c:v>
                </c:pt>
                <c:pt idx="163">
                  <c:v>11635.954827517384</c:v>
                </c:pt>
                <c:pt idx="164">
                  <c:v>8400.3935617883271</c:v>
                </c:pt>
                <c:pt idx="165">
                  <c:v>1995.9410558266964</c:v>
                </c:pt>
                <c:pt idx="166">
                  <c:v>-8200.8988312912843</c:v>
                </c:pt>
                <c:pt idx="167">
                  <c:v>-16092.669870710588</c:v>
                </c:pt>
                <c:pt idx="168">
                  <c:v>-20569.75909414787</c:v>
                </c:pt>
                <c:pt idx="169">
                  <c:v>-22462.886427989364</c:v>
                </c:pt>
                <c:pt idx="170">
                  <c:v>-22055.370757293771</c:v>
                </c:pt>
                <c:pt idx="171">
                  <c:v>-19264.631831559047</c:v>
                </c:pt>
                <c:pt idx="172">
                  <c:v>-13712.080649714404</c:v>
                </c:pt>
                <c:pt idx="173">
                  <c:v>-5322.0905011557952</c:v>
                </c:pt>
                <c:pt idx="174">
                  <c:v>2723.084901926416</c:v>
                </c:pt>
                <c:pt idx="175">
                  <c:v>8063.2641699943915</c:v>
                </c:pt>
                <c:pt idx="176">
                  <c:v>10641.405422762073</c:v>
                </c:pt>
                <c:pt idx="177">
                  <c:v>10584.782009909821</c:v>
                </c:pt>
                <c:pt idx="178">
                  <c:v>7813.6527093204586</c:v>
                </c:pt>
                <c:pt idx="179">
                  <c:v>1929.4690605281135</c:v>
                </c:pt>
                <c:pt idx="180">
                  <c:v>-7537.6419488487754</c:v>
                </c:pt>
                <c:pt idx="181">
                  <c:v>-15216.004127657176</c:v>
                </c:pt>
                <c:pt idx="182">
                  <c:v>-19326.9264295758</c:v>
                </c:pt>
                <c:pt idx="183">
                  <c:v>-20707.378285463106</c:v>
                </c:pt>
                <c:pt idx="184">
                  <c:v>-19610.509966871967</c:v>
                </c:pt>
                <c:pt idx="185">
                  <c:v>-15801.181590370876</c:v>
                </c:pt>
                <c:pt idx="186">
                  <c:v>-8533.0296887824952</c:v>
                </c:pt>
                <c:pt idx="187">
                  <c:v>911.35965409508344</c:v>
                </c:pt>
                <c:pt idx="188">
                  <c:v>7158.2495235637261</c:v>
                </c:pt>
                <c:pt idx="189">
                  <c:v>10280.590599533036</c:v>
                </c:pt>
                <c:pt idx="190">
                  <c:v>10636.376408653141</c:v>
                </c:pt>
                <c:pt idx="191">
                  <c:v>8283.0185847282828</c:v>
                </c:pt>
                <c:pt idx="192">
                  <c:v>3001.3397895971248</c:v>
                </c:pt>
                <c:pt idx="193">
                  <c:v>-5427.6066963843887</c:v>
                </c:pt>
                <c:pt idx="194">
                  <c:v>-14012.203008662469</c:v>
                </c:pt>
                <c:pt idx="195">
                  <c:v>-19088.313584925898</c:v>
                </c:pt>
                <c:pt idx="196">
                  <c:v>-21310.379881822799</c:v>
                </c:pt>
                <c:pt idx="197">
                  <c:v>-21121.4791048521</c:v>
                </c:pt>
                <c:pt idx="198">
                  <c:v>-18524.450142845726</c:v>
                </c:pt>
                <c:pt idx="199">
                  <c:v>-13035.169640597864</c:v>
                </c:pt>
                <c:pt idx="200">
                  <c:v>-3721.5532279204767</c:v>
                </c:pt>
                <c:pt idx="201">
                  <c:v>4168.5825148244257</c:v>
                </c:pt>
                <c:pt idx="202">
                  <c:v>8537.7274303435315</c:v>
                </c:pt>
                <c:pt idx="203">
                  <c:v>9911.981016519574</c:v>
                </c:pt>
                <c:pt idx="204">
                  <c:v>8516.7274628509222</c:v>
                </c:pt>
                <c:pt idx="205">
                  <c:v>4289.4026409382359</c:v>
                </c:pt>
                <c:pt idx="206">
                  <c:v>-2905.9001654403814</c:v>
                </c:pt>
                <c:pt idx="207">
                  <c:v>-11614.801073094284</c:v>
                </c:pt>
                <c:pt idx="208">
                  <c:v>-17455.059263778578</c:v>
                </c:pt>
                <c:pt idx="209">
                  <c:v>-20170.578588989258</c:v>
                </c:pt>
                <c:pt idx="210">
                  <c:v>-20239.198944536794</c:v>
                </c:pt>
                <c:pt idx="211">
                  <c:v>-17744.61412947761</c:v>
                </c:pt>
                <c:pt idx="212">
                  <c:v>-12262.230394529186</c:v>
                </c:pt>
                <c:pt idx="213">
                  <c:v>-2923.7339880027016</c:v>
                </c:pt>
                <c:pt idx="214">
                  <c:v>4208.6394112223843</c:v>
                </c:pt>
                <c:pt idx="215">
                  <c:v>7666.1470034724598</c:v>
                </c:pt>
                <c:pt idx="216">
                  <c:v>8037.7027706607369</c:v>
                </c:pt>
                <c:pt idx="217">
                  <c:v>5540.7336170773906</c:v>
                </c:pt>
                <c:pt idx="218">
                  <c:v>205.29406745064216</c:v>
                </c:pt>
                <c:pt idx="219">
                  <c:v>-7432.5664784315286</c:v>
                </c:pt>
                <c:pt idx="220">
                  <c:v>-14382.702427894128</c:v>
                </c:pt>
                <c:pt idx="221">
                  <c:v>-18268.027782823268</c:v>
                </c:pt>
                <c:pt idx="222">
                  <c:v>-19163.340770846975</c:v>
                </c:pt>
                <c:pt idx="223">
                  <c:v>-17242.172112244163</c:v>
                </c:pt>
                <c:pt idx="224">
                  <c:v>-12242.232757090505</c:v>
                </c:pt>
                <c:pt idx="225">
                  <c:v>-3497.0692576408615</c:v>
                </c:pt>
                <c:pt idx="226">
                  <c:v>3399.2062350842034</c:v>
                </c:pt>
                <c:pt idx="227">
                  <c:v>6348.7274498960332</c:v>
                </c:pt>
                <c:pt idx="228">
                  <c:v>6046.3790504804601</c:v>
                </c:pt>
                <c:pt idx="229">
                  <c:v>2820.2506059358511</c:v>
                </c:pt>
                <c:pt idx="230">
                  <c:v>-3000.0829578964644</c:v>
                </c:pt>
                <c:pt idx="231">
                  <c:v>-10088.26690577226</c:v>
                </c:pt>
                <c:pt idx="232">
                  <c:v>-15673.691000041475</c:v>
                </c:pt>
                <c:pt idx="233">
                  <c:v>-18453.659819389723</c:v>
                </c:pt>
                <c:pt idx="234">
                  <c:v>-18346.672947368068</c:v>
                </c:pt>
                <c:pt idx="235">
                  <c:v>-15243.595307639178</c:v>
                </c:pt>
                <c:pt idx="236">
                  <c:v>-8598.5021851312486</c:v>
                </c:pt>
                <c:pt idx="237">
                  <c:v>942.03710597749978</c:v>
                </c:pt>
                <c:pt idx="238">
                  <c:v>6216.4869043382932</c:v>
                </c:pt>
                <c:pt idx="239">
                  <c:v>7807.1589782883257</c:v>
                </c:pt>
                <c:pt idx="240">
                  <c:v>6212.7799556328782</c:v>
                </c:pt>
                <c:pt idx="241">
                  <c:v>1582.2644056385639</c:v>
                </c:pt>
                <c:pt idx="242">
                  <c:v>-5650.8361635113015</c:v>
                </c:pt>
                <c:pt idx="243">
                  <c:v>-13112.280478861894</c:v>
                </c:pt>
                <c:pt idx="244">
                  <c:v>-18109.922848859122</c:v>
                </c:pt>
                <c:pt idx="245">
                  <c:v>-20335.601733418673</c:v>
                </c:pt>
                <c:pt idx="246">
                  <c:v>-19942.00495185193</c:v>
                </c:pt>
                <c:pt idx="247">
                  <c:v>-16834.97785422884</c:v>
                </c:pt>
                <c:pt idx="248">
                  <c:v>-10451.585292088086</c:v>
                </c:pt>
                <c:pt idx="249">
                  <c:v>-495.94978126184924</c:v>
                </c:pt>
                <c:pt idx="250">
                  <c:v>5770.9386602243767</c:v>
                </c:pt>
                <c:pt idx="251">
                  <c:v>8234.4567151884603</c:v>
                </c:pt>
                <c:pt idx="252">
                  <c:v>7360.425483983181</c:v>
                </c:pt>
                <c:pt idx="253">
                  <c:v>3094.8217649468743</c:v>
                </c:pt>
                <c:pt idx="254">
                  <c:v>-4813.8694747076997</c:v>
                </c:pt>
                <c:pt idx="255">
                  <c:v>-13267.088946899763</c:v>
                </c:pt>
                <c:pt idx="256">
                  <c:v>-18135.331954607595</c:v>
                </c:pt>
                <c:pt idx="257">
                  <c:v>-19968.63278490525</c:v>
                </c:pt>
                <c:pt idx="258">
                  <c:v>-19110.084961032273</c:v>
                </c:pt>
                <c:pt idx="259">
                  <c:v>-15406.63982851541</c:v>
                </c:pt>
                <c:pt idx="260">
                  <c:v>-8180.599736934857</c:v>
                </c:pt>
                <c:pt idx="261">
                  <c:v>1245.2144380814489</c:v>
                </c:pt>
                <c:pt idx="262">
                  <c:v>6980.6065722979474</c:v>
                </c:pt>
                <c:pt idx="263">
                  <c:v>9287.3720640116844</c:v>
                </c:pt>
                <c:pt idx="264">
                  <c:v>8505.3289194397439</c:v>
                </c:pt>
                <c:pt idx="265">
                  <c:v>4536.3033751803669</c:v>
                </c:pt>
                <c:pt idx="266">
                  <c:v>-3066.1853472617959</c:v>
                </c:pt>
                <c:pt idx="267">
                  <c:v>-12508.541241042612</c:v>
                </c:pt>
                <c:pt idx="268">
                  <c:v>-18290.825210155064</c:v>
                </c:pt>
                <c:pt idx="269">
                  <c:v>-21067.284933785675</c:v>
                </c:pt>
                <c:pt idx="270">
                  <c:v>-21334.4232878728</c:v>
                </c:pt>
                <c:pt idx="271">
                  <c:v>-19125.504339928229</c:v>
                </c:pt>
                <c:pt idx="272">
                  <c:v>-14065.157615592125</c:v>
                </c:pt>
                <c:pt idx="273">
                  <c:v>-5625.8000013899391</c:v>
                </c:pt>
                <c:pt idx="274">
                  <c:v>2792.7828397693388</c:v>
                </c:pt>
                <c:pt idx="275">
                  <c:v>7866.622206951517</c:v>
                </c:pt>
                <c:pt idx="276">
                  <c:v>9755.6592710632685</c:v>
                </c:pt>
                <c:pt idx="277">
                  <c:v>8623.7937758598273</c:v>
                </c:pt>
                <c:pt idx="278">
                  <c:v>4231.4128274294872</c:v>
                </c:pt>
                <c:pt idx="279">
                  <c:v>-4142.7034186292149</c:v>
                </c:pt>
                <c:pt idx="280">
                  <c:v>-13687.286647778885</c:v>
                </c:pt>
                <c:pt idx="281">
                  <c:v>-19460.039817917725</c:v>
                </c:pt>
                <c:pt idx="282">
                  <c:v>-22440.454520650281</c:v>
                </c:pt>
                <c:pt idx="283">
                  <c:v>-23091.729488637011</c:v>
                </c:pt>
                <c:pt idx="284">
                  <c:v>-21503.364419082711</c:v>
                </c:pt>
                <c:pt idx="285">
                  <c:v>-17577.930115549003</c:v>
                </c:pt>
                <c:pt idx="286">
                  <c:v>-11360.22801704095</c:v>
                </c:pt>
                <c:pt idx="287">
                  <c:v>-4014.855044780561</c:v>
                </c:pt>
                <c:pt idx="288">
                  <c:v>2417.2831643052345</c:v>
                </c:pt>
                <c:pt idx="289">
                  <c:v>7037.2914094088646</c:v>
                </c:pt>
                <c:pt idx="290">
                  <c:v>9716.0166711281563</c:v>
                </c:pt>
                <c:pt idx="291">
                  <c:v>10490.302539592478</c:v>
                </c:pt>
                <c:pt idx="292">
                  <c:v>9393.011190191055</c:v>
                </c:pt>
                <c:pt idx="293">
                  <c:v>6417.6759331219182</c:v>
                </c:pt>
                <c:pt idx="294">
                  <c:v>1484.8767266257869</c:v>
                </c:pt>
                <c:pt idx="295">
                  <c:v>-5690.1876366333454</c:v>
                </c:pt>
                <c:pt idx="296">
                  <c:v>-15889.282956074516</c:v>
                </c:pt>
                <c:pt idx="297">
                  <c:v>-28836.908013382446</c:v>
                </c:pt>
                <c:pt idx="298">
                  <c:v>-36361.46532716135</c:v>
                </c:pt>
                <c:pt idx="299">
                  <c:v>-40471.926976201597</c:v>
                </c:pt>
                <c:pt idx="300">
                  <c:v>-42230.641930728991</c:v>
                </c:pt>
                <c:pt idx="301">
                  <c:v>-42069.145039448114</c:v>
                </c:pt>
                <c:pt idx="302">
                  <c:v>-40123.631759846765</c:v>
                </c:pt>
                <c:pt idx="303">
                  <c:v>-36319.349033796767</c:v>
                </c:pt>
                <c:pt idx="304">
                  <c:v>-30325.922923348196</c:v>
                </c:pt>
                <c:pt idx="305">
                  <c:v>-21424.549581585219</c:v>
                </c:pt>
                <c:pt idx="306">
                  <c:v>-11116.723912964404</c:v>
                </c:pt>
                <c:pt idx="307">
                  <c:v>-4597.0783723069035</c:v>
                </c:pt>
                <c:pt idx="308">
                  <c:v>-52.383376161194519</c:v>
                </c:pt>
                <c:pt idx="309">
                  <c:v>2942.295026483288</c:v>
                </c:pt>
                <c:pt idx="310">
                  <c:v>3597.8089582925145</c:v>
                </c:pt>
                <c:pt idx="311">
                  <c:v>-20.497286555815663</c:v>
                </c:pt>
                <c:pt idx="312">
                  <c:v>-5982.4070205320868</c:v>
                </c:pt>
                <c:pt idx="313">
                  <c:v>-11876.502648493624</c:v>
                </c:pt>
                <c:pt idx="314">
                  <c:v>-16847.114795536305</c:v>
                </c:pt>
                <c:pt idx="315">
                  <c:v>-20444.895882048517</c:v>
                </c:pt>
                <c:pt idx="316">
                  <c:v>-22260.909062271319</c:v>
                </c:pt>
                <c:pt idx="317">
                  <c:v>-21882.567055917432</c:v>
                </c:pt>
                <c:pt idx="318">
                  <c:v>-19168.338968537922</c:v>
                </c:pt>
                <c:pt idx="319">
                  <c:v>-14811.678857614883</c:v>
                </c:pt>
                <c:pt idx="320">
                  <c:v>-10213.385477522801</c:v>
                </c:pt>
                <c:pt idx="321">
                  <c:v>-7286.5371895796434</c:v>
                </c:pt>
                <c:pt idx="322">
                  <c:v>-9386.1691344248284</c:v>
                </c:pt>
                <c:pt idx="323">
                  <c:v>-15621.496342911316</c:v>
                </c:pt>
                <c:pt idx="324">
                  <c:v>-22676.752706891406</c:v>
                </c:pt>
                <c:pt idx="325">
                  <c:v>-29344.591373508083</c:v>
                </c:pt>
                <c:pt idx="326">
                  <c:v>-35178.832901611786</c:v>
                </c:pt>
                <c:pt idx="327">
                  <c:v>-39929.877021300308</c:v>
                </c:pt>
                <c:pt idx="328">
                  <c:v>-43369.03995112409</c:v>
                </c:pt>
                <c:pt idx="329">
                  <c:v>-45202.587543099566</c:v>
                </c:pt>
                <c:pt idx="330">
                  <c:v>-44982.135616371401</c:v>
                </c:pt>
                <c:pt idx="331">
                  <c:v>-41952.464398675227</c:v>
                </c:pt>
                <c:pt idx="332">
                  <c:v>-34812.729937396442</c:v>
                </c:pt>
                <c:pt idx="333">
                  <c:v>-22307.752846563424</c:v>
                </c:pt>
                <c:pt idx="334">
                  <c:v>-8496.6368594128035</c:v>
                </c:pt>
                <c:pt idx="335">
                  <c:v>2921.7886814706194</c:v>
                </c:pt>
                <c:pt idx="336">
                  <c:v>11914.528740933854</c:v>
                </c:pt>
                <c:pt idx="337">
                  <c:v>19025.238397017918</c:v>
                </c:pt>
                <c:pt idx="338">
                  <c:v>24362.626982066588</c:v>
                </c:pt>
                <c:pt idx="339">
                  <c:v>27076.309775279577</c:v>
                </c:pt>
                <c:pt idx="340">
                  <c:v>26835.34839124326</c:v>
                </c:pt>
                <c:pt idx="341">
                  <c:v>23902.670685140267</c:v>
                </c:pt>
                <c:pt idx="342">
                  <c:v>18718.28500989034</c:v>
                </c:pt>
                <c:pt idx="343">
                  <c:v>11674.702422927698</c:v>
                </c:pt>
                <c:pt idx="344">
                  <c:v>2414.9573456379298</c:v>
                </c:pt>
                <c:pt idx="345">
                  <c:v>-10479.162984798018</c:v>
                </c:pt>
                <c:pt idx="346">
                  <c:v>-28940.342395227653</c:v>
                </c:pt>
                <c:pt idx="347">
                  <c:v>-41288.295099706433</c:v>
                </c:pt>
                <c:pt idx="348">
                  <c:v>-49347.036578990701</c:v>
                </c:pt>
                <c:pt idx="349">
                  <c:v>-54509.312235025063</c:v>
                </c:pt>
                <c:pt idx="350">
                  <c:v>-57398.104182679388</c:v>
                </c:pt>
                <c:pt idx="351">
                  <c:v>-58304.72446014973</c:v>
                </c:pt>
                <c:pt idx="352">
                  <c:v>-57341.628363981974</c:v>
                </c:pt>
                <c:pt idx="353">
                  <c:v>-54491.12367576392</c:v>
                </c:pt>
                <c:pt idx="354">
                  <c:v>-49602.977472171544</c:v>
                </c:pt>
                <c:pt idx="355">
                  <c:v>-42344.39179455585</c:v>
                </c:pt>
                <c:pt idx="356">
                  <c:v>-32085.412408116797</c:v>
                </c:pt>
                <c:pt idx="357">
                  <c:v>-18000.386604027182</c:v>
                </c:pt>
                <c:pt idx="358">
                  <c:v>-5239.8289214190954</c:v>
                </c:pt>
                <c:pt idx="359">
                  <c:v>2353.4088971356059</c:v>
                </c:pt>
                <c:pt idx="360">
                  <c:v>7051.2462111152345</c:v>
                </c:pt>
                <c:pt idx="361">
                  <c:v>9821.6577819030827</c:v>
                </c:pt>
                <c:pt idx="362">
                  <c:v>11103.237762790732</c:v>
                </c:pt>
                <c:pt idx="363">
                  <c:v>11116.430110482384</c:v>
                </c:pt>
                <c:pt idx="364">
                  <c:v>9965.4894712624791</c:v>
                </c:pt>
                <c:pt idx="365">
                  <c:v>7673.9225398840445</c:v>
                </c:pt>
                <c:pt idx="366">
                  <c:v>4188.2047366707593</c:v>
                </c:pt>
                <c:pt idx="367">
                  <c:v>-649.07242076173998</c:v>
                </c:pt>
                <c:pt idx="368">
                  <c:v>-7186.1095345470085</c:v>
                </c:pt>
                <c:pt idx="369">
                  <c:v>-16188.487864844497</c:v>
                </c:pt>
                <c:pt idx="370">
                  <c:v>-27815.265219166085</c:v>
                </c:pt>
                <c:pt idx="371">
                  <c:v>-35120.675110568525</c:v>
                </c:pt>
                <c:pt idx="372">
                  <c:v>-39863.6415496439</c:v>
                </c:pt>
                <c:pt idx="373">
                  <c:v>-42819.805949882713</c:v>
                </c:pt>
                <c:pt idx="374">
                  <c:v>-44336.51246715452</c:v>
                </c:pt>
                <c:pt idx="375">
                  <c:v>-44608.033788456225</c:v>
                </c:pt>
                <c:pt idx="376">
                  <c:v>-43754.3206454725</c:v>
                </c:pt>
                <c:pt idx="377">
                  <c:v>-41846.47961597125</c:v>
                </c:pt>
                <c:pt idx="378">
                  <c:v>-38914.292591973863</c:v>
                </c:pt>
                <c:pt idx="379">
                  <c:v>-34942.95565616629</c:v>
                </c:pt>
                <c:pt idx="380">
                  <c:v>-29855.246037140641</c:v>
                </c:pt>
                <c:pt idx="381">
                  <c:v>-23459.783970640932</c:v>
                </c:pt>
                <c:pt idx="382">
                  <c:v>-15294.159953081838</c:v>
                </c:pt>
                <c:pt idx="383">
                  <c:v>-4181.0476404424571</c:v>
                </c:pt>
                <c:pt idx="384">
                  <c:v>5759.7307689074196</c:v>
                </c:pt>
                <c:pt idx="385">
                  <c:v>12398.192558822602</c:v>
                </c:pt>
                <c:pt idx="386">
                  <c:v>16855.284569942731</c:v>
                </c:pt>
                <c:pt idx="387">
                  <c:v>19514.478184220348</c:v>
                </c:pt>
                <c:pt idx="388">
                  <c:v>20471.556870532262</c:v>
                </c:pt>
                <c:pt idx="389">
                  <c:v>19660.451185727623</c:v>
                </c:pt>
                <c:pt idx="390">
                  <c:v>17029.417540119699</c:v>
                </c:pt>
                <c:pt idx="391">
                  <c:v>13520.307334567638</c:v>
                </c:pt>
                <c:pt idx="392">
                  <c:v>7954.144570131577</c:v>
                </c:pt>
                <c:pt idx="393">
                  <c:v>-22.545319054357151</c:v>
                </c:pt>
                <c:pt idx="394">
                  <c:v>-10481.931692593651</c:v>
                </c:pt>
                <c:pt idx="395">
                  <c:v>-22728.947225772677</c:v>
                </c:pt>
                <c:pt idx="396">
                  <c:v>-34102.086283834818</c:v>
                </c:pt>
                <c:pt idx="397">
                  <c:v>-41312.671475617339</c:v>
                </c:pt>
                <c:pt idx="398">
                  <c:v>-44082.593899000982</c:v>
                </c:pt>
                <c:pt idx="399">
                  <c:v>-43479.131191386477</c:v>
                </c:pt>
                <c:pt idx="400">
                  <c:v>-40411.886920442157</c:v>
                </c:pt>
                <c:pt idx="401">
                  <c:v>-35462.101980989537</c:v>
                </c:pt>
                <c:pt idx="402">
                  <c:v>-28941.03688687973</c:v>
                </c:pt>
                <c:pt idx="403">
                  <c:v>-20876.312416599714</c:v>
                </c:pt>
                <c:pt idx="404">
                  <c:v>-10798.75439831012</c:v>
                </c:pt>
                <c:pt idx="405">
                  <c:v>1954.2224057372955</c:v>
                </c:pt>
                <c:pt idx="406">
                  <c:v>10316.477250983393</c:v>
                </c:pt>
                <c:pt idx="407">
                  <c:v>15691.389001762926</c:v>
                </c:pt>
                <c:pt idx="408">
                  <c:v>18982.432654413871</c:v>
                </c:pt>
                <c:pt idx="409">
                  <c:v>20559.364404281125</c:v>
                </c:pt>
                <c:pt idx="410">
                  <c:v>20554.240472973586</c:v>
                </c:pt>
                <c:pt idx="411">
                  <c:v>18946.654869033162</c:v>
                </c:pt>
                <c:pt idx="412">
                  <c:v>15557.954044541519</c:v>
                </c:pt>
                <c:pt idx="413">
                  <c:v>9953.7442476420547</c:v>
                </c:pt>
                <c:pt idx="414">
                  <c:v>1179.7081520522934</c:v>
                </c:pt>
                <c:pt idx="415">
                  <c:v>-11292.08983635018</c:v>
                </c:pt>
                <c:pt idx="416">
                  <c:v>-21624.006952464486</c:v>
                </c:pt>
                <c:pt idx="417">
                  <c:v>-30068.667777755087</c:v>
                </c:pt>
                <c:pt idx="418">
                  <c:v>-36978.356921115977</c:v>
                </c:pt>
                <c:pt idx="419">
                  <c:v>-42359.797658338859</c:v>
                </c:pt>
                <c:pt idx="420">
                  <c:v>-46042.203677509875</c:v>
                </c:pt>
                <c:pt idx="421">
                  <c:v>-47713.412932088104</c:v>
                </c:pt>
                <c:pt idx="422">
                  <c:v>-46887.247513373892</c:v>
                </c:pt>
                <c:pt idx="423">
                  <c:v>-42842.074615428224</c:v>
                </c:pt>
                <c:pt idx="424">
                  <c:v>-34694.598697363253</c:v>
                </c:pt>
                <c:pt idx="425">
                  <c:v>-22459.569075996769</c:v>
                </c:pt>
                <c:pt idx="426">
                  <c:v>-9347.8871998280974</c:v>
                </c:pt>
                <c:pt idx="427">
                  <c:v>1418.6780105587318</c:v>
                </c:pt>
                <c:pt idx="428">
                  <c:v>9249.9982834202365</c:v>
                </c:pt>
                <c:pt idx="429">
                  <c:v>14579.91980154577</c:v>
                </c:pt>
                <c:pt idx="430">
                  <c:v>18570.939622964379</c:v>
                </c:pt>
                <c:pt idx="431">
                  <c:v>21234.730189547994</c:v>
                </c:pt>
                <c:pt idx="432">
                  <c:v>22038.523045815396</c:v>
                </c:pt>
                <c:pt idx="433">
                  <c:v>21137.045847840232</c:v>
                </c:pt>
                <c:pt idx="434">
                  <c:v>18574.415488429346</c:v>
                </c:pt>
                <c:pt idx="435">
                  <c:v>14277.240113160764</c:v>
                </c:pt>
                <c:pt idx="436">
                  <c:v>8011.1969392004194</c:v>
                </c:pt>
                <c:pt idx="437">
                  <c:v>-751.47614127653014</c:v>
                </c:pt>
                <c:pt idx="438">
                  <c:v>-12144.678116432442</c:v>
                </c:pt>
                <c:pt idx="439">
                  <c:v>-19683.884154132804</c:v>
                </c:pt>
                <c:pt idx="440">
                  <c:v>-24755.52146490859</c:v>
                </c:pt>
                <c:pt idx="441">
                  <c:v>-28176.851232289981</c:v>
                </c:pt>
                <c:pt idx="442">
                  <c:v>-30265.366170921799</c:v>
                </c:pt>
                <c:pt idx="443">
                  <c:v>-31134.114975966069</c:v>
                </c:pt>
                <c:pt idx="444">
                  <c:v>-30779.080511619526</c:v>
                </c:pt>
                <c:pt idx="445">
                  <c:v>-29094.874531000729</c:v>
                </c:pt>
                <c:pt idx="446">
                  <c:v>-25853.72777831072</c:v>
                </c:pt>
                <c:pt idx="447">
                  <c:v>-20679.407579159721</c:v>
                </c:pt>
                <c:pt idx="448">
                  <c:v>-13285.260481888818</c:v>
                </c:pt>
                <c:pt idx="449">
                  <c:v>-4803.6430089765863</c:v>
                </c:pt>
                <c:pt idx="450">
                  <c:v>2690.9367843248961</c:v>
                </c:pt>
                <c:pt idx="451">
                  <c:v>8291.5267946302683</c:v>
                </c:pt>
                <c:pt idx="452">
                  <c:v>11787.835605587272</c:v>
                </c:pt>
                <c:pt idx="453">
                  <c:v>13758.312098161507</c:v>
                </c:pt>
                <c:pt idx="454">
                  <c:v>14085.344242038325</c:v>
                </c:pt>
                <c:pt idx="455">
                  <c:v>12374.458437166708</c:v>
                </c:pt>
                <c:pt idx="456">
                  <c:v>8730.142921990162</c:v>
                </c:pt>
                <c:pt idx="457">
                  <c:v>3289.5361689003062</c:v>
                </c:pt>
                <c:pt idx="458">
                  <c:v>-3817.4463641407547</c:v>
                </c:pt>
                <c:pt idx="459">
                  <c:v>-12405.121078421962</c:v>
                </c:pt>
                <c:pt idx="460">
                  <c:v>-21995.694494944397</c:v>
                </c:pt>
                <c:pt idx="461">
                  <c:v>-31006.619246491708</c:v>
                </c:pt>
                <c:pt idx="462">
                  <c:v>-35616.454406334364</c:v>
                </c:pt>
                <c:pt idx="463">
                  <c:v>-34839.181385155956</c:v>
                </c:pt>
                <c:pt idx="464">
                  <c:v>-30978.267371485559</c:v>
                </c:pt>
                <c:pt idx="465">
                  <c:v>-25363.809589475168</c:v>
                </c:pt>
                <c:pt idx="466">
                  <c:v>-18360.364651324919</c:v>
                </c:pt>
                <c:pt idx="467">
                  <c:v>-9508.420526406815</c:v>
                </c:pt>
                <c:pt idx="468">
                  <c:v>1895.0884111286464</c:v>
                </c:pt>
                <c:pt idx="469">
                  <c:v>9154.9941317777266</c:v>
                </c:pt>
                <c:pt idx="470">
                  <c:v>13821.116320025545</c:v>
                </c:pt>
                <c:pt idx="471">
                  <c:v>16637.781618203255</c:v>
                </c:pt>
                <c:pt idx="472">
                  <c:v>17889.761774917133</c:v>
                </c:pt>
                <c:pt idx="473">
                  <c:v>17650.367864690779</c:v>
                </c:pt>
                <c:pt idx="474">
                  <c:v>15837.419778478472</c:v>
                </c:pt>
                <c:pt idx="475">
                  <c:v>12171.333470134854</c:v>
                </c:pt>
                <c:pt idx="476">
                  <c:v>5986.1206650013492</c:v>
                </c:pt>
                <c:pt idx="477">
                  <c:v>-4156.1992661894001</c:v>
                </c:pt>
                <c:pt idx="478">
                  <c:v>-15301.123204268835</c:v>
                </c:pt>
                <c:pt idx="479">
                  <c:v>-24377.698464568624</c:v>
                </c:pt>
                <c:pt idx="480">
                  <c:v>-31874.68386637422</c:v>
                </c:pt>
                <c:pt idx="481">
                  <c:v>-37838.288813231913</c:v>
                </c:pt>
                <c:pt idx="482">
                  <c:v>-41982.489967853711</c:v>
                </c:pt>
                <c:pt idx="483">
                  <c:v>-43754.752180314717</c:v>
                </c:pt>
                <c:pt idx="484">
                  <c:v>-42312.916646012869</c:v>
                </c:pt>
                <c:pt idx="485">
                  <c:v>-36641.194706036142</c:v>
                </c:pt>
                <c:pt idx="486">
                  <c:v>-26561.698015967857</c:v>
                </c:pt>
                <c:pt idx="487">
                  <c:v>-14529.706980157631</c:v>
                </c:pt>
                <c:pt idx="488">
                  <c:v>-3607.8403614654089</c:v>
                </c:pt>
                <c:pt idx="489">
                  <c:v>4940.8489148361887</c:v>
                </c:pt>
                <c:pt idx="490">
                  <c:v>10937.737910086089</c:v>
                </c:pt>
                <c:pt idx="491">
                  <c:v>14626.741453060204</c:v>
                </c:pt>
                <c:pt idx="492">
                  <c:v>16952.545040184075</c:v>
                </c:pt>
                <c:pt idx="493">
                  <c:v>18269.235238080786</c:v>
                </c:pt>
                <c:pt idx="494">
                  <c:v>17812.880654413198</c:v>
                </c:pt>
                <c:pt idx="495">
                  <c:v>15605.805220426089</c:v>
                </c:pt>
                <c:pt idx="496">
                  <c:v>11606.14244824968</c:v>
                </c:pt>
                <c:pt idx="497">
                  <c:v>5601.4666247994064</c:v>
                </c:pt>
                <c:pt idx="498">
                  <c:v>-2944.4601745346758</c:v>
                </c:pt>
                <c:pt idx="499">
                  <c:v>-13357.540353652901</c:v>
                </c:pt>
                <c:pt idx="500">
                  <c:v>-20211.073513568052</c:v>
                </c:pt>
                <c:pt idx="501">
                  <c:v>-25100.585213190341</c:v>
                </c:pt>
                <c:pt idx="502">
                  <c:v>-28657.275514799006</c:v>
                </c:pt>
                <c:pt idx="503">
                  <c:v>-31128.965839895005</c:v>
                </c:pt>
                <c:pt idx="504">
                  <c:v>-32611.367113693355</c:v>
                </c:pt>
                <c:pt idx="505">
                  <c:v>-33116.050459670398</c:v>
                </c:pt>
                <c:pt idx="506">
                  <c:v>-32587.486526763285</c:v>
                </c:pt>
                <c:pt idx="507">
                  <c:v>-30895.496269127922</c:v>
                </c:pt>
                <c:pt idx="508">
                  <c:v>-27808.677234707891</c:v>
                </c:pt>
                <c:pt idx="509">
                  <c:v>-22971.625254264298</c:v>
                </c:pt>
                <c:pt idx="510">
                  <c:v>-16098.953259450996</c:v>
                </c:pt>
                <c:pt idx="511">
                  <c:v>-8011.4353590607352</c:v>
                </c:pt>
                <c:pt idx="512">
                  <c:v>-676.969577503952</c:v>
                </c:pt>
                <c:pt idx="513">
                  <c:v>4453.1773775847596</c:v>
                </c:pt>
                <c:pt idx="514">
                  <c:v>6724.9801327357081</c:v>
                </c:pt>
                <c:pt idx="515">
                  <c:v>6100.5203291759963</c:v>
                </c:pt>
                <c:pt idx="516">
                  <c:v>2886.4571992380497</c:v>
                </c:pt>
                <c:pt idx="517">
                  <c:v>-2285.0962899681144</c:v>
                </c:pt>
                <c:pt idx="518">
                  <c:v>-8794.714965468831</c:v>
                </c:pt>
                <c:pt idx="519">
                  <c:v>-16083.323939077731</c:v>
                </c:pt>
                <c:pt idx="520">
                  <c:v>-23610.319332993378</c:v>
                </c:pt>
                <c:pt idx="521">
                  <c:v>-30784.536510764836</c:v>
                </c:pt>
                <c:pt idx="522">
                  <c:v>-36873.473463123839</c:v>
                </c:pt>
                <c:pt idx="523">
                  <c:v>-40897.514592612999</c:v>
                </c:pt>
                <c:pt idx="524">
                  <c:v>-41608.7199534299</c:v>
                </c:pt>
                <c:pt idx="525">
                  <c:v>-37951.952333099624</c:v>
                </c:pt>
                <c:pt idx="526">
                  <c:v>-30269.502747688424</c:v>
                </c:pt>
                <c:pt idx="527">
                  <c:v>-20346.346918195661</c:v>
                </c:pt>
                <c:pt idx="528">
                  <c:v>-9696.6321229093046</c:v>
                </c:pt>
                <c:pt idx="529">
                  <c:v>728.89618750912211</c:v>
                </c:pt>
                <c:pt idx="530">
                  <c:v>9410.6270153226487</c:v>
                </c:pt>
                <c:pt idx="531">
                  <c:v>15561.457064371345</c:v>
                </c:pt>
                <c:pt idx="532">
                  <c:v>19448.266820038803</c:v>
                </c:pt>
                <c:pt idx="533">
                  <c:v>21433.883055011687</c:v>
                </c:pt>
                <c:pt idx="534">
                  <c:v>21756.454991598046</c:v>
                </c:pt>
                <c:pt idx="535">
                  <c:v>20533.820623051608</c:v>
                </c:pt>
                <c:pt idx="536">
                  <c:v>17776.301848101823</c:v>
                </c:pt>
                <c:pt idx="537">
                  <c:v>13369.443303858434</c:v>
                </c:pt>
                <c:pt idx="538">
                  <c:v>6993.6937239951139</c:v>
                </c:pt>
                <c:pt idx="539">
                  <c:v>-2094.0404334510526</c:v>
                </c:pt>
                <c:pt idx="540">
                  <c:v>-13666.844032398132</c:v>
                </c:pt>
                <c:pt idx="541">
                  <c:v>-21899.056317417886</c:v>
                </c:pt>
                <c:pt idx="542">
                  <c:v>-28481.079793063262</c:v>
                </c:pt>
                <c:pt idx="543">
                  <c:v>-33581.628039540286</c:v>
                </c:pt>
                <c:pt idx="544">
                  <c:v>-36128.429371984595</c:v>
                </c:pt>
                <c:pt idx="545">
                  <c:v>-33727.248063325445</c:v>
                </c:pt>
                <c:pt idx="546">
                  <c:v>-26595.263706967977</c:v>
                </c:pt>
                <c:pt idx="547">
                  <c:v>-18028.929873245659</c:v>
                </c:pt>
                <c:pt idx="548">
                  <c:v>-9619.4152341903973</c:v>
                </c:pt>
                <c:pt idx="549">
                  <c:v>-1908.7895503813527</c:v>
                </c:pt>
                <c:pt idx="550">
                  <c:v>4898.1765189701855</c:v>
                </c:pt>
                <c:pt idx="551">
                  <c:v>10698.99270174059</c:v>
                </c:pt>
                <c:pt idx="552">
                  <c:v>15415.937375107629</c:v>
                </c:pt>
                <c:pt idx="553">
                  <c:v>18965.470947107442</c:v>
                </c:pt>
                <c:pt idx="554">
                  <c:v>21241.284959465094</c:v>
                </c:pt>
                <c:pt idx="555">
                  <c:v>22098.826693711067</c:v>
                </c:pt>
                <c:pt idx="556">
                  <c:v>21332.923368756477</c:v>
                </c:pt>
                <c:pt idx="557">
                  <c:v>18643.892576916685</c:v>
                </c:pt>
                <c:pt idx="558">
                  <c:v>15060.385720670183</c:v>
                </c:pt>
                <c:pt idx="559">
                  <c:v>9805.2714803105482</c:v>
                </c:pt>
                <c:pt idx="560">
                  <c:v>2643.8846157706025</c:v>
                </c:pt>
                <c:pt idx="561">
                  <c:v>-6264.3627843426784</c:v>
                </c:pt>
                <c:pt idx="562">
                  <c:v>-15278.247721579652</c:v>
                </c:pt>
                <c:pt idx="563">
                  <c:v>-20745.935418815112</c:v>
                </c:pt>
                <c:pt idx="564">
                  <c:v>-24269.769605149697</c:v>
                </c:pt>
                <c:pt idx="565">
                  <c:v>-26673.674740453986</c:v>
                </c:pt>
                <c:pt idx="566">
                  <c:v>-28300.918301225367</c:v>
                </c:pt>
                <c:pt idx="567">
                  <c:v>-29318.404855941899</c:v>
                </c:pt>
                <c:pt idx="568">
                  <c:v>-29815.317540534917</c:v>
                </c:pt>
                <c:pt idx="569">
                  <c:v>-29839.310347877825</c:v>
                </c:pt>
                <c:pt idx="570">
                  <c:v>-29411.062988557886</c:v>
                </c:pt>
                <c:pt idx="571">
                  <c:v>-28529.306468284823</c:v>
                </c:pt>
                <c:pt idx="572">
                  <c:v>-27169.629649573726</c:v>
                </c:pt>
                <c:pt idx="573">
                  <c:v>-25275.924055256659</c:v>
                </c:pt>
                <c:pt idx="574">
                  <c:v>-22736.991698811074</c:v>
                </c:pt>
                <c:pt idx="575">
                  <c:v>-19321.172175615477</c:v>
                </c:pt>
                <c:pt idx="576">
                  <c:v>-14455.54615844492</c:v>
                </c:pt>
                <c:pt idx="577">
                  <c:v>-6443.5884970761454</c:v>
                </c:pt>
                <c:pt idx="578">
                  <c:v>2045.3016368956019</c:v>
                </c:pt>
                <c:pt idx="579">
                  <c:v>8661.0197185844136</c:v>
                </c:pt>
                <c:pt idx="580">
                  <c:v>13400.707781232775</c:v>
                </c:pt>
                <c:pt idx="581">
                  <c:v>16291.905577855958</c:v>
                </c:pt>
                <c:pt idx="582">
                  <c:v>18140.513043452833</c:v>
                </c:pt>
                <c:pt idx="583">
                  <c:v>18335.655618089069</c:v>
                </c:pt>
                <c:pt idx="584">
                  <c:v>16716.672668444331</c:v>
                </c:pt>
                <c:pt idx="585">
                  <c:v>13485.277448180572</c:v>
                </c:pt>
                <c:pt idx="586">
                  <c:v>8843.827095399527</c:v>
                </c:pt>
                <c:pt idx="587">
                  <c:v>2984.5399417630324</c:v>
                </c:pt>
                <c:pt idx="588">
                  <c:v>-3895.3402968908417</c:v>
                </c:pt>
                <c:pt idx="589">
                  <c:v>-11564.30770592268</c:v>
                </c:pt>
                <c:pt idx="590">
                  <c:v>-19703.901750130783</c:v>
                </c:pt>
                <c:pt idx="591">
                  <c:v>-27809.146809260259</c:v>
                </c:pt>
                <c:pt idx="592">
                  <c:v>-35007.989629040916</c:v>
                </c:pt>
                <c:pt idx="593">
                  <c:v>-39847.842353570319</c:v>
                </c:pt>
                <c:pt idx="594">
                  <c:v>-40620.99354210707</c:v>
                </c:pt>
                <c:pt idx="595">
                  <c:v>-37006.811908419935</c:v>
                </c:pt>
                <c:pt idx="596">
                  <c:v>-30408.686519584084</c:v>
                </c:pt>
                <c:pt idx="597">
                  <c:v>-22124.50754123769</c:v>
                </c:pt>
                <c:pt idx="598">
                  <c:v>-12523.456194351053</c:v>
                </c:pt>
                <c:pt idx="599">
                  <c:v>-1024.1828082676448</c:v>
                </c:pt>
                <c:pt idx="600">
                  <c:v>6852.7729927297323</c:v>
                </c:pt>
                <c:pt idx="601">
                  <c:v>11640.870548269006</c:v>
                </c:pt>
                <c:pt idx="602">
                  <c:v>14562.529803356827</c:v>
                </c:pt>
                <c:pt idx="603">
                  <c:v>16095.255751839748</c:v>
                </c:pt>
                <c:pt idx="604">
                  <c:v>16441.718114891821</c:v>
                </c:pt>
                <c:pt idx="605">
                  <c:v>15669.300654938022</c:v>
                </c:pt>
                <c:pt idx="606">
                  <c:v>13744.82193267368</c:v>
                </c:pt>
                <c:pt idx="607">
                  <c:v>10513.449354921011</c:v>
                </c:pt>
                <c:pt idx="608">
                  <c:v>5589.102274071256</c:v>
                </c:pt>
                <c:pt idx="609">
                  <c:v>-2027.6976522951554</c:v>
                </c:pt>
                <c:pt idx="610">
                  <c:v>-12711.414257934599</c:v>
                </c:pt>
                <c:pt idx="611">
                  <c:v>-21360.893322157463</c:v>
                </c:pt>
                <c:pt idx="612">
                  <c:v>-28839.170570039267</c:v>
                </c:pt>
                <c:pt idx="613">
                  <c:v>-34523.585788473407</c:v>
                </c:pt>
                <c:pt idx="614">
                  <c:v>-35973.158948145065</c:v>
                </c:pt>
                <c:pt idx="615">
                  <c:v>-32191.937070760621</c:v>
                </c:pt>
                <c:pt idx="616">
                  <c:v>-25949.972447010317</c:v>
                </c:pt>
                <c:pt idx="617">
                  <c:v>-19002.538291301727</c:v>
                </c:pt>
                <c:pt idx="618">
                  <c:v>-12068.551723837918</c:v>
                </c:pt>
                <c:pt idx="619">
                  <c:v>-5463.914555197448</c:v>
                </c:pt>
                <c:pt idx="620">
                  <c:v>646.68237983104314</c:v>
                </c:pt>
                <c:pt idx="621">
                  <c:v>6157.0595057383471</c:v>
                </c:pt>
                <c:pt idx="622">
                  <c:v>10981.305713402313</c:v>
                </c:pt>
                <c:pt idx="623">
                  <c:v>15034.91260025962</c:v>
                </c:pt>
                <c:pt idx="624">
                  <c:v>18222.701913683217</c:v>
                </c:pt>
                <c:pt idx="625">
                  <c:v>20428.163477137045</c:v>
                </c:pt>
                <c:pt idx="626">
                  <c:v>21501.081705147983</c:v>
                </c:pt>
                <c:pt idx="627">
                  <c:v>21241.05449156625</c:v>
                </c:pt>
                <c:pt idx="628">
                  <c:v>19378.455041699486</c:v>
                </c:pt>
                <c:pt idx="629">
                  <c:v>15644.144566842138</c:v>
                </c:pt>
                <c:pt idx="630">
                  <c:v>11501.387765762673</c:v>
                </c:pt>
                <c:pt idx="631">
                  <c:v>5473.9837941210826</c:v>
                </c:pt>
                <c:pt idx="632">
                  <c:v>-2491.4295656873792</c:v>
                </c:pt>
                <c:pt idx="633">
                  <c:v>-11696.670492083409</c:v>
                </c:pt>
                <c:pt idx="634">
                  <c:v>-19250.934608915562</c:v>
                </c:pt>
                <c:pt idx="635">
                  <c:v>-23972.631912693822</c:v>
                </c:pt>
                <c:pt idx="636">
                  <c:v>-27009.429331148876</c:v>
                </c:pt>
                <c:pt idx="637">
                  <c:v>-28972.755282708731</c:v>
                </c:pt>
                <c:pt idx="638">
                  <c:v>-30155.61289433658</c:v>
                </c:pt>
                <c:pt idx="639">
                  <c:v>-30712.955742426679</c:v>
                </c:pt>
                <c:pt idx="640">
                  <c:v>-30732.123892063108</c:v>
                </c:pt>
                <c:pt idx="641">
                  <c:v>-30261.788703875642</c:v>
                </c:pt>
                <c:pt idx="642">
                  <c:v>-29324.311182052268</c:v>
                </c:pt>
                <c:pt idx="643">
                  <c:v>-27919.896282539419</c:v>
                </c:pt>
                <c:pt idx="644">
                  <c:v>-26024.665010353223</c:v>
                </c:pt>
                <c:pt idx="645">
                  <c:v>-23580.556125228166</c:v>
                </c:pt>
                <c:pt idx="646">
                  <c:v>-20467.090167019287</c:v>
                </c:pt>
                <c:pt idx="647">
                  <c:v>-16416.832095868747</c:v>
                </c:pt>
                <c:pt idx="648">
                  <c:v>-10699.061985984474</c:v>
                </c:pt>
                <c:pt idx="649">
                  <c:v>-1478.080530593008</c:v>
                </c:pt>
                <c:pt idx="650">
                  <c:v>5885.5504991613634</c:v>
                </c:pt>
                <c:pt idx="651">
                  <c:v>11371.071085170377</c:v>
                </c:pt>
                <c:pt idx="652">
                  <c:v>14955.897294583418</c:v>
                </c:pt>
                <c:pt idx="653">
                  <c:v>17391.249066932021</c:v>
                </c:pt>
                <c:pt idx="654">
                  <c:v>18114.411741423446</c:v>
                </c:pt>
                <c:pt idx="655">
                  <c:v>17092.961583249507</c:v>
                </c:pt>
                <c:pt idx="656">
                  <c:v>14658.798129551717</c:v>
                </c:pt>
                <c:pt idx="657">
                  <c:v>11112.62084218499</c:v>
                </c:pt>
                <c:pt idx="658">
                  <c:v>6703.6088362788141</c:v>
                </c:pt>
                <c:pt idx="659">
                  <c:v>1637.0985434873189</c:v>
                </c:pt>
                <c:pt idx="660">
                  <c:v>-3914.0638418232056</c:v>
                </c:pt>
                <c:pt idx="661">
                  <c:v>-9798.9853042758095</c:v>
                </c:pt>
                <c:pt idx="662">
                  <c:v>-15879.574129868974</c:v>
                </c:pt>
                <c:pt idx="663">
                  <c:v>-22022.294638106494</c:v>
                </c:pt>
                <c:pt idx="664">
                  <c:v>-28090.04020547403</c:v>
                </c:pt>
                <c:pt idx="665">
                  <c:v>-33933.165531533275</c:v>
                </c:pt>
                <c:pt idx="666">
                  <c:v>-39378.487851311256</c:v>
                </c:pt>
                <c:pt idx="667">
                  <c:v>-44214.730842454475</c:v>
                </c:pt>
                <c:pt idx="668">
                  <c:v>-48172.619768840217</c:v>
                </c:pt>
                <c:pt idx="669">
                  <c:v>-50898.577388424659</c:v>
                </c:pt>
                <c:pt idx="670">
                  <c:v>-51926.329920991338</c:v>
                </c:pt>
                <c:pt idx="671">
                  <c:v>-50672.085090633373</c:v>
                </c:pt>
                <c:pt idx="672">
                  <c:v>-46537.876222619176</c:v>
                </c:pt>
                <c:pt idx="673">
                  <c:v>-39264.500712818073</c:v>
                </c:pt>
                <c:pt idx="674">
                  <c:v>-29376.516870448959</c:v>
                </c:pt>
                <c:pt idx="675">
                  <c:v>-17895.269201036306</c:v>
                </c:pt>
                <c:pt idx="676">
                  <c:v>-5410.5119954615457</c:v>
                </c:pt>
                <c:pt idx="677">
                  <c:v>6641.0443022417394</c:v>
                </c:pt>
                <c:pt idx="678">
                  <c:v>15148.961841137283</c:v>
                </c:pt>
                <c:pt idx="679">
                  <c:v>21389.9285924135</c:v>
                </c:pt>
                <c:pt idx="680">
                  <c:v>26176.800360180554</c:v>
                </c:pt>
                <c:pt idx="681">
                  <c:v>29905.890842280267</c:v>
                </c:pt>
                <c:pt idx="682">
                  <c:v>32794.197466922757</c:v>
                </c:pt>
                <c:pt idx="683">
                  <c:v>34972.688967156828</c:v>
                </c:pt>
                <c:pt idx="684">
                  <c:v>36525.381497499002</c:v>
                </c:pt>
                <c:pt idx="685">
                  <c:v>37507.701425186853</c:v>
                </c:pt>
                <c:pt idx="686">
                  <c:v>37955.901880176425</c:v>
                </c:pt>
                <c:pt idx="687">
                  <c:v>37892.113860275284</c:v>
                </c:pt>
                <c:pt idx="688">
                  <c:v>37326.980774338575</c:v>
                </c:pt>
                <c:pt idx="689">
                  <c:v>36260.723475395527</c:v>
                </c:pt>
                <c:pt idx="690">
                  <c:v>34682.925290318948</c:v>
                </c:pt>
                <c:pt idx="691">
                  <c:v>32570.925627752637</c:v>
                </c:pt>
                <c:pt idx="692">
                  <c:v>29886.223038898046</c:v>
                </c:pt>
                <c:pt idx="693">
                  <c:v>26567.364323764385</c:v>
                </c:pt>
                <c:pt idx="694">
                  <c:v>22515.526840330134</c:v>
                </c:pt>
                <c:pt idx="695">
                  <c:v>17562.276918522999</c:v>
                </c:pt>
                <c:pt idx="696">
                  <c:v>11384.616450801135</c:v>
                </c:pt>
                <c:pt idx="697">
                  <c:v>3221.7380587779198</c:v>
                </c:pt>
                <c:pt idx="698">
                  <c:v>-8974.89089914344</c:v>
                </c:pt>
                <c:pt idx="699">
                  <c:v>-19415.368118549373</c:v>
                </c:pt>
                <c:pt idx="700">
                  <c:v>-28528.096527598431</c:v>
                </c:pt>
                <c:pt idx="701">
                  <c:v>-36091.704417431734</c:v>
                </c:pt>
                <c:pt idx="702">
                  <c:v>-40585.199256735985</c:v>
                </c:pt>
                <c:pt idx="703">
                  <c:v>-40578.390142090306</c:v>
                </c:pt>
                <c:pt idx="704">
                  <c:v>-36926.705143736937</c:v>
                </c:pt>
                <c:pt idx="705">
                  <c:v>-31283.719791308045</c:v>
                </c:pt>
                <c:pt idx="706">
                  <c:v>-24744.49949480173</c:v>
                </c:pt>
                <c:pt idx="707">
                  <c:v>-17910.386097024926</c:v>
                </c:pt>
                <c:pt idx="708">
                  <c:v>-11118.490201730498</c:v>
                </c:pt>
                <c:pt idx="709">
                  <c:v>-4574.0172929270129</c:v>
                </c:pt>
                <c:pt idx="710">
                  <c:v>1583.9539881292073</c:v>
                </c:pt>
                <c:pt idx="711">
                  <c:v>7249.0160212872706</c:v>
                </c:pt>
                <c:pt idx="712">
                  <c:v>12329.023534379805</c:v>
                </c:pt>
                <c:pt idx="713">
                  <c:v>16734.658224427694</c:v>
                </c:pt>
                <c:pt idx="714">
                  <c:v>20370.995177419645</c:v>
                </c:pt>
                <c:pt idx="715">
                  <c:v>23129.810679044356</c:v>
                </c:pt>
                <c:pt idx="716">
                  <c:v>24880.861205600871</c:v>
                </c:pt>
                <c:pt idx="717">
                  <c:v>25459.664113657658</c:v>
                </c:pt>
                <c:pt idx="718">
                  <c:v>24644.69159263049</c:v>
                </c:pt>
                <c:pt idx="719">
                  <c:v>22083.467869004213</c:v>
                </c:pt>
                <c:pt idx="720">
                  <c:v>16812.021817108693</c:v>
                </c:pt>
                <c:pt idx="721">
                  <c:v>10017.459466606</c:v>
                </c:pt>
                <c:pt idx="722">
                  <c:v>1303.5935830050059</c:v>
                </c:pt>
                <c:pt idx="723">
                  <c:v>-9058.8874410728586</c:v>
                </c:pt>
                <c:pt idx="724">
                  <c:v>-18623.859539494926</c:v>
                </c:pt>
                <c:pt idx="725">
                  <c:v>-25244.603466289358</c:v>
                </c:pt>
                <c:pt idx="726">
                  <c:v>-30281.102776730648</c:v>
                </c:pt>
                <c:pt idx="727">
                  <c:v>-34365.964271642602</c:v>
                </c:pt>
                <c:pt idx="728">
                  <c:v>-37780.116534932058</c:v>
                </c:pt>
                <c:pt idx="729">
                  <c:v>-40670.339657760647</c:v>
                </c:pt>
                <c:pt idx="730">
                  <c:v>-43123.149584531348</c:v>
                </c:pt>
                <c:pt idx="731">
                  <c:v>-45193.685935260808</c:v>
                </c:pt>
                <c:pt idx="732">
                  <c:v>-46918.753028576546</c:v>
                </c:pt>
                <c:pt idx="733">
                  <c:v>-48323.390472867155</c:v>
                </c:pt>
                <c:pt idx="734">
                  <c:v>-49424.449406667372</c:v>
                </c:pt>
                <c:pt idx="735">
                  <c:v>-50232.627539697089</c:v>
                </c:pt>
                <c:pt idx="736">
                  <c:v>-50753.627743455567</c:v>
                </c:pt>
                <c:pt idx="737">
                  <c:v>-50988.760416938858</c:v>
                </c:pt>
                <c:pt idx="738">
                  <c:v>-50935.140300095176</c:v>
                </c:pt>
                <c:pt idx="739">
                  <c:v>-50585.530123905672</c:v>
                </c:pt>
                <c:pt idx="740">
                  <c:v>-49927.809271163409</c:v>
                </c:pt>
                <c:pt idx="741">
                  <c:v>-48943.965873932277</c:v>
                </c:pt>
                <c:pt idx="742">
                  <c:v>-47608.393917699439</c:v>
                </c:pt>
                <c:pt idx="743">
                  <c:v>-45885.069347461409</c:v>
                </c:pt>
                <c:pt idx="744">
                  <c:v>-43722.766268460407</c:v>
                </c:pt>
                <c:pt idx="745">
                  <c:v>-41046.584203706851</c:v>
                </c:pt>
                <c:pt idx="746">
                  <c:v>-37742.014161372099</c:v>
                </c:pt>
                <c:pt idx="747">
                  <c:v>-33623.002101001701</c:v>
                </c:pt>
                <c:pt idx="748">
                  <c:v>-28366.817840510979</c:v>
                </c:pt>
                <c:pt idx="749">
                  <c:v>-21425.300130057178</c:v>
                </c:pt>
                <c:pt idx="750">
                  <c:v>-12459.912025764512</c:v>
                </c:pt>
                <c:pt idx="751">
                  <c:v>-3231.1249606610149</c:v>
                </c:pt>
                <c:pt idx="752">
                  <c:v>4095.8435644036449</c:v>
                </c:pt>
                <c:pt idx="753">
                  <c:v>8516.7199302725239</c:v>
                </c:pt>
                <c:pt idx="754">
                  <c:v>10328.021172946392</c:v>
                </c:pt>
                <c:pt idx="755">
                  <c:v>10121.030241936945</c:v>
                </c:pt>
                <c:pt idx="756">
                  <c:v>8543.2873905995275</c:v>
                </c:pt>
                <c:pt idx="757">
                  <c:v>6037.2404789869497</c:v>
                </c:pt>
                <c:pt idx="758">
                  <c:v>2891.2390443602667</c:v>
                </c:pt>
                <c:pt idx="759">
                  <c:v>-701.1549003636386</c:v>
                </c:pt>
                <c:pt idx="760">
                  <c:v>-4603.9178410757104</c:v>
                </c:pt>
                <c:pt idx="761">
                  <c:v>-8716.6311486957129</c:v>
                </c:pt>
                <c:pt idx="762">
                  <c:v>-12961.325935217686</c:v>
                </c:pt>
                <c:pt idx="763">
                  <c:v>-17274.242696270099</c:v>
                </c:pt>
                <c:pt idx="764">
                  <c:v>-21600.360543255934</c:v>
                </c:pt>
                <c:pt idx="765">
                  <c:v>-25889.480263411231</c:v>
                </c:pt>
                <c:pt idx="766">
                  <c:v>-30093.127383330739</c:v>
                </c:pt>
                <c:pt idx="767">
                  <c:v>-34161.77846391785</c:v>
                </c:pt>
                <c:pt idx="768">
                  <c:v>-38042.00498243505</c:v>
                </c:pt>
                <c:pt idx="769">
                  <c:v>-41673.111311784836</c:v>
                </c:pt>
                <c:pt idx="770">
                  <c:v>-44982.708914312891</c:v>
                </c:pt>
                <c:pt idx="771">
                  <c:v>-47880.360653556789</c:v>
                </c:pt>
                <c:pt idx="772">
                  <c:v>-50247.807274923231</c:v>
                </c:pt>
                <c:pt idx="773">
                  <c:v>-51923.05204048039</c:v>
                </c:pt>
                <c:pt idx="774">
                  <c:v>-52673.131952434065</c:v>
                </c:pt>
                <c:pt idx="775">
                  <c:v>-52145.879577823827</c:v>
                </c:pt>
                <c:pt idx="776">
                  <c:v>-49785.83594345962</c:v>
                </c:pt>
                <c:pt idx="777">
                  <c:v>-44721.66295199866</c:v>
                </c:pt>
                <c:pt idx="778">
                  <c:v>-35885.876159148007</c:v>
                </c:pt>
                <c:pt idx="779">
                  <c:v>-23462.997903760799</c:v>
                </c:pt>
                <c:pt idx="780">
                  <c:v>-9912.8594427600619</c:v>
                </c:pt>
                <c:pt idx="781">
                  <c:v>3069.857633119469</c:v>
                </c:pt>
                <c:pt idx="782">
                  <c:v>14252.353514296428</c:v>
                </c:pt>
                <c:pt idx="783">
                  <c:v>23407.138302397088</c:v>
                </c:pt>
                <c:pt idx="784">
                  <c:v>30939.627673372644</c:v>
                </c:pt>
                <c:pt idx="785">
                  <c:v>37206.084130440831</c:v>
                </c:pt>
                <c:pt idx="786">
                  <c:v>42447.462204214899</c:v>
                </c:pt>
                <c:pt idx="787">
                  <c:v>46825.103572751963</c:v>
                </c:pt>
                <c:pt idx="788">
                  <c:v>50450.012828939762</c:v>
                </c:pt>
                <c:pt idx="789">
                  <c:v>53400.609063077878</c:v>
                </c:pt>
                <c:pt idx="790">
                  <c:v>55733.231008812851</c:v>
                </c:pt>
                <c:pt idx="791">
                  <c:v>57488.485155294642</c:v>
                </c:pt>
                <c:pt idx="792">
                  <c:v>58695.172131737039</c:v>
                </c:pt>
                <c:pt idx="793">
                  <c:v>59372.737103877153</c:v>
                </c:pt>
                <c:pt idx="794">
                  <c:v>59532.762839116906</c:v>
                </c:pt>
                <c:pt idx="795">
                  <c:v>59179.787560598023</c:v>
                </c:pt>
                <c:pt idx="796">
                  <c:v>58311.588324698758</c:v>
                </c:pt>
                <c:pt idx="797">
                  <c:v>56918.972754286428</c:v>
                </c:pt>
                <c:pt idx="798">
                  <c:v>54985.035437684841</c:v>
                </c:pt>
                <c:pt idx="799">
                  <c:v>52483.732252014568</c:v>
                </c:pt>
                <c:pt idx="800">
                  <c:v>49377.468401612743</c:v>
                </c:pt>
                <c:pt idx="801">
                  <c:v>45613.113178069179</c:v>
                </c:pt>
                <c:pt idx="802">
                  <c:v>41115.289741430191</c:v>
                </c:pt>
                <c:pt idx="803">
                  <c:v>35774.561181472243</c:v>
                </c:pt>
                <c:pt idx="804">
                  <c:v>29425.266975055787</c:v>
                </c:pt>
                <c:pt idx="805">
                  <c:v>21800.881337392322</c:v>
                </c:pt>
                <c:pt idx="806">
                  <c:v>12442.935554411057</c:v>
                </c:pt>
                <c:pt idx="807">
                  <c:v>626.41879575121129</c:v>
                </c:pt>
                <c:pt idx="808">
                  <c:v>-13159.922622956634</c:v>
                </c:pt>
                <c:pt idx="809">
                  <c:v>-26238.670952050594</c:v>
                </c:pt>
                <c:pt idx="810">
                  <c:v>-37946.125219820889</c:v>
                </c:pt>
                <c:pt idx="811">
                  <c:v>-47737.979762205832</c:v>
                </c:pt>
                <c:pt idx="812">
                  <c:v>-55343.267487921599</c:v>
                </c:pt>
                <c:pt idx="813">
                  <c:v>-60823.584032949948</c:v>
                </c:pt>
                <c:pt idx="814">
                  <c:v>-64403.58577506429</c:v>
                </c:pt>
                <c:pt idx="815">
                  <c:v>-66341.935387875958</c:v>
                </c:pt>
                <c:pt idx="816">
                  <c:v>-66876.644982777507</c:v>
                </c:pt>
                <c:pt idx="817">
                  <c:v>-66210.66292045117</c:v>
                </c:pt>
                <c:pt idx="818">
                  <c:v>-64513.000590472191</c:v>
                </c:pt>
                <c:pt idx="819">
                  <c:v>-61924.402421925479</c:v>
                </c:pt>
                <c:pt idx="820">
                  <c:v>-58563.555220005939</c:v>
                </c:pt>
                <c:pt idx="821">
                  <c:v>-54532.658852422217</c:v>
                </c:pt>
                <c:pt idx="822">
                  <c:v>-49922.205034931714</c:v>
                </c:pt>
                <c:pt idx="823">
                  <c:v>-44815.152456121199</c:v>
                </c:pt>
                <c:pt idx="824">
                  <c:v>-39290.796115483456</c:v>
                </c:pt>
                <c:pt idx="825">
                  <c:v>-33428.68217975078</c:v>
                </c:pt>
                <c:pt idx="826">
                  <c:v>-27312.990391253235</c:v>
                </c:pt>
                <c:pt idx="827">
                  <c:v>-21037.935426323915</c:v>
                </c:pt>
                <c:pt idx="828">
                  <c:v>-14714.962336378601</c:v>
                </c:pt>
                <c:pt idx="829">
                  <c:v>-8482.8593171481953</c:v>
                </c:pt>
                <c:pt idx="830">
                  <c:v>-2522.3545343367305</c:v>
                </c:pt>
                <c:pt idx="831">
                  <c:v>2923.0229622576417</c:v>
                </c:pt>
                <c:pt idx="832">
                  <c:v>7519.5668688343249</c:v>
                </c:pt>
                <c:pt idx="833">
                  <c:v>10818.27129396501</c:v>
                </c:pt>
                <c:pt idx="834">
                  <c:v>12277.764622459754</c:v>
                </c:pt>
                <c:pt idx="835">
                  <c:v>11558.453470096867</c:v>
                </c:pt>
                <c:pt idx="836">
                  <c:v>9333.2792330769462</c:v>
                </c:pt>
                <c:pt idx="837">
                  <c:v>5101.8705995424098</c:v>
                </c:pt>
                <c:pt idx="838">
                  <c:v>-973.76745584919627</c:v>
                </c:pt>
                <c:pt idx="839">
                  <c:v>-9205.0583303129097</c:v>
                </c:pt>
                <c:pt idx="840">
                  <c:v>-14960.788047329692</c:v>
                </c:pt>
                <c:pt idx="841">
                  <c:v>-19462.969264001738</c:v>
                </c:pt>
                <c:pt idx="842">
                  <c:v>-23220.098539966188</c:v>
                </c:pt>
                <c:pt idx="843">
                  <c:v>-26426.114905992476</c:v>
                </c:pt>
                <c:pt idx="844">
                  <c:v>-29171.489275229203</c:v>
                </c:pt>
                <c:pt idx="845">
                  <c:v>-31502.111265787433</c:v>
                </c:pt>
                <c:pt idx="846">
                  <c:v>-33439.906803816761</c:v>
                </c:pt>
                <c:pt idx="847">
                  <c:v>-34991.096167690055</c:v>
                </c:pt>
                <c:pt idx="848">
                  <c:v>-36149.386437978064</c:v>
                </c:pt>
                <c:pt idx="849">
                  <c:v>-36896.441498255263</c:v>
                </c:pt>
                <c:pt idx="850">
                  <c:v>-37200.240531427502</c:v>
                </c:pt>
                <c:pt idx="851">
                  <c:v>-37010.998788341589</c:v>
                </c:pt>
                <c:pt idx="852">
                  <c:v>-36253.349565181183</c:v>
                </c:pt>
                <c:pt idx="853">
                  <c:v>-34811.87005789017</c:v>
                </c:pt>
                <c:pt idx="854">
                  <c:v>-32504.156118775303</c:v>
                </c:pt>
                <c:pt idx="855">
                  <c:v>-29033.584411840726</c:v>
                </c:pt>
                <c:pt idx="856">
                  <c:v>-23946.391385886956</c:v>
                </c:pt>
                <c:pt idx="857">
                  <c:v>-16914.490187225732</c:v>
                </c:pt>
                <c:pt idx="858">
                  <c:v>-8951.3761728060017</c:v>
                </c:pt>
                <c:pt idx="859">
                  <c:v>-2225.2197669722682</c:v>
                </c:pt>
                <c:pt idx="860">
                  <c:v>871.75156456524019</c:v>
                </c:pt>
                <c:pt idx="861">
                  <c:v>-8.5819769363197338</c:v>
                </c:pt>
                <c:pt idx="862">
                  <c:v>-3336.3599689822322</c:v>
                </c:pt>
                <c:pt idx="863">
                  <c:v>-7908.9145808400772</c:v>
                </c:pt>
                <c:pt idx="864">
                  <c:v>-13070.251224537589</c:v>
                </c:pt>
                <c:pt idx="865">
                  <c:v>-18459.906310283804</c:v>
                </c:pt>
                <c:pt idx="866">
                  <c:v>-23861.91183318452</c:v>
                </c:pt>
                <c:pt idx="867">
                  <c:v>-29132.235514538486</c:v>
                </c:pt>
                <c:pt idx="868">
                  <c:v>-34162.88072756552</c:v>
                </c:pt>
                <c:pt idx="869">
                  <c:v>-38862.378313110181</c:v>
                </c:pt>
                <c:pt idx="870">
                  <c:v>-43143.571570612767</c:v>
                </c:pt>
                <c:pt idx="871">
                  <c:v>-46914.259685887519</c:v>
                </c:pt>
                <c:pt idx="872">
                  <c:v>-50068.045974592715</c:v>
                </c:pt>
                <c:pt idx="873">
                  <c:v>-52473.113057778763</c:v>
                </c:pt>
                <c:pt idx="874">
                  <c:v>-53956.014947086551</c:v>
                </c:pt>
                <c:pt idx="875">
                  <c:v>-54275.726761497666</c:v>
                </c:pt>
                <c:pt idx="876">
                  <c:v>-53079.604746561665</c:v>
                </c:pt>
                <c:pt idx="877">
                  <c:v>-49829.088885621386</c:v>
                </c:pt>
                <c:pt idx="878">
                  <c:v>-43702.962388221938</c:v>
                </c:pt>
                <c:pt idx="879">
                  <c:v>-33713.781033923296</c:v>
                </c:pt>
                <c:pt idx="880">
                  <c:v>-20193.413812217019</c:v>
                </c:pt>
                <c:pt idx="881">
                  <c:v>-6180.0985167865501</c:v>
                </c:pt>
                <c:pt idx="882">
                  <c:v>6381.2297215518211</c:v>
                </c:pt>
                <c:pt idx="883">
                  <c:v>17048.920573974312</c:v>
                </c:pt>
                <c:pt idx="884">
                  <c:v>25963.154758155288</c:v>
                </c:pt>
                <c:pt idx="885">
                  <c:v>33335.180916599362</c:v>
                </c:pt>
                <c:pt idx="886">
                  <c:v>39371.736095724693</c:v>
                </c:pt>
                <c:pt idx="887">
                  <c:v>44242.968506607976</c:v>
                </c:pt>
                <c:pt idx="888">
                  <c:v>48074.43123037256</c:v>
                </c:pt>
                <c:pt idx="889">
                  <c:v>50954.471771787452</c:v>
                </c:pt>
                <c:pt idx="890">
                  <c:v>52942.768023770899</c:v>
                </c:pt>
                <c:pt idx="891">
                  <c:v>54076.468882971458</c:v>
                </c:pt>
                <c:pt idx="892">
                  <c:v>54373.876462696091</c:v>
                </c:pt>
                <c:pt idx="893">
                  <c:v>53836.073894528599</c:v>
                </c:pt>
                <c:pt idx="894">
                  <c:v>52446.668883615843</c:v>
                </c:pt>
                <c:pt idx="895">
                  <c:v>50169.380721117224</c:v>
                </c:pt>
                <c:pt idx="896">
                  <c:v>46942.42965398026</c:v>
                </c:pt>
                <c:pt idx="897">
                  <c:v>42666.912063676398</c:v>
                </c:pt>
                <c:pt idx="898">
                  <c:v>37180.930367459332</c:v>
                </c:pt>
                <c:pt idx="899">
                  <c:v>30188.798425665085</c:v>
                </c:pt>
                <c:pt idx="900">
                  <c:v>20975.209839093273</c:v>
                </c:pt>
                <c:pt idx="901">
                  <c:v>8993.699175496733</c:v>
                </c:pt>
                <c:pt idx="902">
                  <c:v>-5215.3326379551472</c:v>
                </c:pt>
                <c:pt idx="903">
                  <c:v>-24824.202391654042</c:v>
                </c:pt>
                <c:pt idx="904">
                  <c:v>-40000.91684880868</c:v>
                </c:pt>
                <c:pt idx="905">
                  <c:v>-50543.090306550759</c:v>
                </c:pt>
                <c:pt idx="906">
                  <c:v>-58197.08348196654</c:v>
                </c:pt>
                <c:pt idx="907">
                  <c:v>-63746.982456829384</c:v>
                </c:pt>
                <c:pt idx="908">
                  <c:v>-67587.185470553784</c:v>
                </c:pt>
                <c:pt idx="909">
                  <c:v>-69931.029998235259</c:v>
                </c:pt>
                <c:pt idx="910">
                  <c:v>-70890.228830861539</c:v>
                </c:pt>
                <c:pt idx="911">
                  <c:v>-70507.458526404604</c:v>
                </c:pt>
                <c:pt idx="912">
                  <c:v>-68767.539362506868</c:v>
                </c:pt>
                <c:pt idx="913">
                  <c:v>-65594.543739838497</c:v>
                </c:pt>
                <c:pt idx="914">
                  <c:v>-60833.454053067195</c:v>
                </c:pt>
                <c:pt idx="915">
                  <c:v>-54205.126766672256</c:v>
                </c:pt>
                <c:pt idx="916">
                  <c:v>-45201.160419127977</c:v>
                </c:pt>
                <c:pt idx="917">
                  <c:v>-32834.696909213977</c:v>
                </c:pt>
                <c:pt idx="918">
                  <c:v>-15575.787432650493</c:v>
                </c:pt>
                <c:pt idx="919">
                  <c:v>-1583.6417884266707</c:v>
                </c:pt>
                <c:pt idx="920">
                  <c:v>7781.2802619627446</c:v>
                </c:pt>
                <c:pt idx="921">
                  <c:v>14467.896113609249</c:v>
                </c:pt>
                <c:pt idx="922">
                  <c:v>19207.019703116071</c:v>
                </c:pt>
                <c:pt idx="923">
                  <c:v>22323.568930126046</c:v>
                </c:pt>
                <c:pt idx="924">
                  <c:v>23999.759371940469</c:v>
                </c:pt>
                <c:pt idx="925">
                  <c:v>24327.030407849812</c:v>
                </c:pt>
                <c:pt idx="926">
                  <c:v>23325.448696238953</c:v>
                </c:pt>
                <c:pt idx="927">
                  <c:v>20947.724663308371</c:v>
                </c:pt>
                <c:pt idx="928">
                  <c:v>17068.68927279162</c:v>
                </c:pt>
                <c:pt idx="929">
                  <c:v>11453.690981288304</c:v>
                </c:pt>
                <c:pt idx="930">
                  <c:v>3647.6915409500803</c:v>
                </c:pt>
                <c:pt idx="931">
                  <c:v>-7535.8475158391702</c:v>
                </c:pt>
                <c:pt idx="932">
                  <c:v>-24461.970547264107</c:v>
                </c:pt>
                <c:pt idx="933">
                  <c:v>-38060.493630034514</c:v>
                </c:pt>
                <c:pt idx="934">
                  <c:v>-47386.913363503554</c:v>
                </c:pt>
                <c:pt idx="935">
                  <c:v>-53665.083443947835</c:v>
                </c:pt>
                <c:pt idx="936">
                  <c:v>-57531.588253745191</c:v>
                </c:pt>
                <c:pt idx="937">
                  <c:v>-59292.77065329512</c:v>
                </c:pt>
                <c:pt idx="938">
                  <c:v>-59062.505129089943</c:v>
                </c:pt>
                <c:pt idx="939">
                  <c:v>-56805.465742038417</c:v>
                </c:pt>
                <c:pt idx="940">
                  <c:v>-52319.524747748685</c:v>
                </c:pt>
                <c:pt idx="941">
                  <c:v>-45136.564872246039</c:v>
                </c:pt>
                <c:pt idx="942">
                  <c:v>-34227.082858813388</c:v>
                </c:pt>
                <c:pt idx="943">
                  <c:v>-17473.84569516894</c:v>
                </c:pt>
                <c:pt idx="944">
                  <c:v>-3033.151553163199</c:v>
                </c:pt>
                <c:pt idx="945">
                  <c:v>6444.5451774553512</c:v>
                </c:pt>
                <c:pt idx="946">
                  <c:v>13070.687738980323</c:v>
                </c:pt>
                <c:pt idx="947">
                  <c:v>18593.692247619263</c:v>
                </c:pt>
                <c:pt idx="948">
                  <c:v>23165.935389729671</c:v>
                </c:pt>
                <c:pt idx="949">
                  <c:v>24601.327928867191</c:v>
                </c:pt>
                <c:pt idx="950">
                  <c:v>22889.724131015595</c:v>
                </c:pt>
                <c:pt idx="951">
                  <c:v>17733.731292635945</c:v>
                </c:pt>
                <c:pt idx="952">
                  <c:v>12244.272672528943</c:v>
                </c:pt>
                <c:pt idx="953">
                  <c:v>5315.8759631428629</c:v>
                </c:pt>
                <c:pt idx="954">
                  <c:v>-4713.5297662440962</c:v>
                </c:pt>
                <c:pt idx="955">
                  <c:v>-20049.044654549674</c:v>
                </c:pt>
                <c:pt idx="956">
                  <c:v>-35152.856654996984</c:v>
                </c:pt>
                <c:pt idx="957">
                  <c:v>-44544.826736609321</c:v>
                </c:pt>
                <c:pt idx="958">
                  <c:v>-50108.020816727898</c:v>
                </c:pt>
                <c:pt idx="959">
                  <c:v>-52698.022185720001</c:v>
                </c:pt>
                <c:pt idx="960">
                  <c:v>-52633.021803834643</c:v>
                </c:pt>
                <c:pt idx="961">
                  <c:v>-49908.523855127205</c:v>
                </c:pt>
                <c:pt idx="962">
                  <c:v>-44198.509383038487</c:v>
                </c:pt>
                <c:pt idx="963">
                  <c:v>-34652.463532872898</c:v>
                </c:pt>
                <c:pt idx="964">
                  <c:v>-19528.246678264451</c:v>
                </c:pt>
                <c:pt idx="965">
                  <c:v>-4665.6663158058991</c:v>
                </c:pt>
                <c:pt idx="966">
                  <c:v>4894.6857773669708</c:v>
                </c:pt>
                <c:pt idx="967">
                  <c:v>11215.70660213522</c:v>
                </c:pt>
                <c:pt idx="968">
                  <c:v>15278.545733812194</c:v>
                </c:pt>
                <c:pt idx="969">
                  <c:v>17406.358512046972</c:v>
                </c:pt>
                <c:pt idx="970">
                  <c:v>17678.623027807505</c:v>
                </c:pt>
                <c:pt idx="971">
                  <c:v>16186.75266195125</c:v>
                </c:pt>
                <c:pt idx="972">
                  <c:v>13545.359728706373</c:v>
                </c:pt>
                <c:pt idx="973">
                  <c:v>9966.6969043989811</c:v>
                </c:pt>
                <c:pt idx="974">
                  <c:v>4420.7088466686564</c:v>
                </c:pt>
                <c:pt idx="975">
                  <c:v>-3575.1881189399073</c:v>
                </c:pt>
                <c:pt idx="976">
                  <c:v>-13921.872142121918</c:v>
                </c:pt>
                <c:pt idx="977">
                  <c:v>-25269.447172289696</c:v>
                </c:pt>
                <c:pt idx="978">
                  <c:v>-34772.234798726582</c:v>
                </c:pt>
                <c:pt idx="979">
                  <c:v>-40041.340488959206</c:v>
                </c:pt>
                <c:pt idx="980">
                  <c:v>-40628.744490358331</c:v>
                </c:pt>
                <c:pt idx="981">
                  <c:v>-37161.1270957304</c:v>
                </c:pt>
                <c:pt idx="982">
                  <c:v>-30561.832694898047</c:v>
                </c:pt>
                <c:pt idx="983">
                  <c:v>-21934.924842642889</c:v>
                </c:pt>
                <c:pt idx="984">
                  <c:v>-12807.848282996865</c:v>
                </c:pt>
                <c:pt idx="985">
                  <c:v>-5473.2106290061565</c:v>
                </c:pt>
                <c:pt idx="986">
                  <c:v>-2439.7139133934834</c:v>
                </c:pt>
                <c:pt idx="987">
                  <c:v>-4133.4445482692463</c:v>
                </c:pt>
                <c:pt idx="988">
                  <c:v>-8943.4512608559598</c:v>
                </c:pt>
                <c:pt idx="989">
                  <c:v>-15056.747056671349</c:v>
                </c:pt>
                <c:pt idx="990">
                  <c:v>-20916.963910381364</c:v>
                </c:pt>
                <c:pt idx="991">
                  <c:v>-25513.434513765133</c:v>
                </c:pt>
                <c:pt idx="992">
                  <c:v>-28510.54131307577</c:v>
                </c:pt>
                <c:pt idx="993">
                  <c:v>-29883.562216678725</c:v>
                </c:pt>
                <c:pt idx="994">
                  <c:v>-29656.54480469157</c:v>
                </c:pt>
                <c:pt idx="995">
                  <c:v>-27812.740803036737</c:v>
                </c:pt>
                <c:pt idx="996">
                  <c:v>-24272.362305395473</c:v>
                </c:pt>
                <c:pt idx="997">
                  <c:v>-18924.271250782247</c:v>
                </c:pt>
                <c:pt idx="998">
                  <c:v>-11869.876425759612</c:v>
                </c:pt>
                <c:pt idx="999">
                  <c:v>-4141.4438928653381</c:v>
                </c:pt>
                <c:pt idx="1000">
                  <c:v>2610.7647000202169</c:v>
                </c:pt>
              </c:numCache>
            </c:numRef>
          </c:xVal>
          <c:yVal>
            <c:numRef>
              <c:f>Feuille1!$C$76:$C$1076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1315.1531696174502</c:v>
                </c:pt>
                <c:pt idx="3">
                  <c:v>4290.0643818581184</c:v>
                </c:pt>
                <c:pt idx="4">
                  <c:v>9876.9254111074151</c:v>
                </c:pt>
                <c:pt idx="5">
                  <c:v>20008.850050760957</c:v>
                </c:pt>
                <c:pt idx="6">
                  <c:v>29798.468781419637</c:v>
                </c:pt>
                <c:pt idx="7">
                  <c:v>35351.049763813644</c:v>
                </c:pt>
                <c:pt idx="8">
                  <c:v>37062.590888207284</c:v>
                </c:pt>
                <c:pt idx="9">
                  <c:v>34844.637682455214</c:v>
                </c:pt>
                <c:pt idx="10">
                  <c:v>27759.779350741424</c:v>
                </c:pt>
                <c:pt idx="11">
                  <c:v>14773.147597685245</c:v>
                </c:pt>
                <c:pt idx="12">
                  <c:v>5179.7495606692592</c:v>
                </c:pt>
                <c:pt idx="13">
                  <c:v>-756.23829981875588</c:v>
                </c:pt>
                <c:pt idx="14">
                  <c:v>-4098.7056719765515</c:v>
                </c:pt>
                <c:pt idx="15">
                  <c:v>-5402.3926761052608</c:v>
                </c:pt>
                <c:pt idx="16">
                  <c:v>-4763.117162036413</c:v>
                </c:pt>
                <c:pt idx="17">
                  <c:v>-1833.659634638283</c:v>
                </c:pt>
                <c:pt idx="18">
                  <c:v>4253.9225142981613</c:v>
                </c:pt>
                <c:pt idx="19">
                  <c:v>15110.334180511712</c:v>
                </c:pt>
                <c:pt idx="20">
                  <c:v>29909.52027998109</c:v>
                </c:pt>
                <c:pt idx="21">
                  <c:v>38595.104325361695</c:v>
                </c:pt>
                <c:pt idx="22">
                  <c:v>42288.823776570913</c:v>
                </c:pt>
                <c:pt idx="23">
                  <c:v>41715.224253266766</c:v>
                </c:pt>
                <c:pt idx="24">
                  <c:v>36751.129706855558</c:v>
                </c:pt>
                <c:pt idx="25">
                  <c:v>26388.750671235499</c:v>
                </c:pt>
                <c:pt idx="26">
                  <c:v>10725.194885139919</c:v>
                </c:pt>
                <c:pt idx="27">
                  <c:v>467.61607473685581</c:v>
                </c:pt>
                <c:pt idx="28">
                  <c:v>-5856.7500622231883</c:v>
                </c:pt>
                <c:pt idx="29">
                  <c:v>-9595.3521899398365</c:v>
                </c:pt>
                <c:pt idx="30">
                  <c:v>-11377.047726255729</c:v>
                </c:pt>
                <c:pt idx="31">
                  <c:v>-11486.921181512964</c:v>
                </c:pt>
                <c:pt idx="32">
                  <c:v>-10036.88092171992</c:v>
                </c:pt>
                <c:pt idx="33">
                  <c:v>-6985.367470106683</c:v>
                </c:pt>
                <c:pt idx="34">
                  <c:v>-2029.1087457933634</c:v>
                </c:pt>
                <c:pt idx="35">
                  <c:v>5494.246292783645</c:v>
                </c:pt>
                <c:pt idx="36">
                  <c:v>16336.09905585076</c:v>
                </c:pt>
                <c:pt idx="37">
                  <c:v>28804.957503984228</c:v>
                </c:pt>
                <c:pt idx="38">
                  <c:v>35476.526725325435</c:v>
                </c:pt>
                <c:pt idx="39">
                  <c:v>36788.178231816346</c:v>
                </c:pt>
                <c:pt idx="40">
                  <c:v>34180.452727220218</c:v>
                </c:pt>
                <c:pt idx="41">
                  <c:v>28455.052531943355</c:v>
                </c:pt>
                <c:pt idx="42">
                  <c:v>20282.589660067104</c:v>
                </c:pt>
                <c:pt idx="43">
                  <c:v>11708.911237155278</c:v>
                </c:pt>
                <c:pt idx="44">
                  <c:v>8258.3774976877939</c:v>
                </c:pt>
                <c:pt idx="45">
                  <c:v>8667.5279360391833</c:v>
                </c:pt>
                <c:pt idx="46">
                  <c:v>10825.969861403903</c:v>
                </c:pt>
                <c:pt idx="47">
                  <c:v>13855.026063545563</c:v>
                </c:pt>
                <c:pt idx="48">
                  <c:v>17250.747569955613</c:v>
                </c:pt>
                <c:pt idx="49">
                  <c:v>20555.08009000017</c:v>
                </c:pt>
                <c:pt idx="50">
                  <c:v>23281.009343830294</c:v>
                </c:pt>
                <c:pt idx="51">
                  <c:v>24232.436337819297</c:v>
                </c:pt>
                <c:pt idx="52">
                  <c:v>20911.169189024815</c:v>
                </c:pt>
                <c:pt idx="53">
                  <c:v>16916.219367144036</c:v>
                </c:pt>
                <c:pt idx="54">
                  <c:v>13357.074864377755</c:v>
                </c:pt>
                <c:pt idx="55">
                  <c:v>10636.55375963607</c:v>
                </c:pt>
                <c:pt idx="56">
                  <c:v>9217.7348926816867</c:v>
                </c:pt>
                <c:pt idx="57">
                  <c:v>10054.231114650896</c:v>
                </c:pt>
                <c:pt idx="58">
                  <c:v>15373.967656134191</c:v>
                </c:pt>
                <c:pt idx="59">
                  <c:v>23687.720672918163</c:v>
                </c:pt>
                <c:pt idx="60">
                  <c:v>30258.044237488029</c:v>
                </c:pt>
                <c:pt idx="61">
                  <c:v>34328.016079259614</c:v>
                </c:pt>
                <c:pt idx="62">
                  <c:v>35633.479327340268</c:v>
                </c:pt>
                <c:pt idx="63">
                  <c:v>33613.160542065096</c:v>
                </c:pt>
                <c:pt idx="64">
                  <c:v>26909.937342417328</c:v>
                </c:pt>
                <c:pt idx="65">
                  <c:v>14486.68056754847</c:v>
                </c:pt>
                <c:pt idx="66">
                  <c:v>5004.2514665255894</c:v>
                </c:pt>
                <c:pt idx="67">
                  <c:v>-1221.5466508411037</c:v>
                </c:pt>
                <c:pt idx="68">
                  <c:v>-4732.4711489819147</c:v>
                </c:pt>
                <c:pt idx="69">
                  <c:v>-5733.9146491306519</c:v>
                </c:pt>
                <c:pt idx="70">
                  <c:v>-4160.1980878566501</c:v>
                </c:pt>
                <c:pt idx="71">
                  <c:v>327.63645228096721</c:v>
                </c:pt>
                <c:pt idx="72">
                  <c:v>8367.141081111633</c:v>
                </c:pt>
                <c:pt idx="73">
                  <c:v>19960.893106703414</c:v>
                </c:pt>
                <c:pt idx="74">
                  <c:v>31153.531000220355</c:v>
                </c:pt>
                <c:pt idx="75">
                  <c:v>37405.761135062683</c:v>
                </c:pt>
                <c:pt idx="76">
                  <c:v>38363.129837780638</c:v>
                </c:pt>
                <c:pt idx="77">
                  <c:v>34701.92546896603</c:v>
                </c:pt>
                <c:pt idx="78">
                  <c:v>27151.732197950492</c:v>
                </c:pt>
                <c:pt idx="79">
                  <c:v>17033.927809694851</c:v>
                </c:pt>
                <c:pt idx="80">
                  <c:v>8014.1723239273988</c:v>
                </c:pt>
                <c:pt idx="81">
                  <c:v>4141.8862816036954</c:v>
                </c:pt>
                <c:pt idx="82">
                  <c:v>4323.8276421520268</c:v>
                </c:pt>
                <c:pt idx="83">
                  <c:v>6758.4598803907147</c:v>
                </c:pt>
                <c:pt idx="84">
                  <c:v>10515.315184158666</c:v>
                </c:pt>
                <c:pt idx="85">
                  <c:v>15064.283085068288</c:v>
                </c:pt>
                <c:pt idx="86">
                  <c:v>19846.331020906386</c:v>
                </c:pt>
                <c:pt idx="87">
                  <c:v>24180.931003887668</c:v>
                </c:pt>
                <c:pt idx="88">
                  <c:v>26735.574842267077</c:v>
                </c:pt>
                <c:pt idx="89">
                  <c:v>24083.271885506045</c:v>
                </c:pt>
                <c:pt idx="90">
                  <c:v>18923.97229458089</c:v>
                </c:pt>
                <c:pt idx="91">
                  <c:v>13801.362118881423</c:v>
                </c:pt>
                <c:pt idx="92">
                  <c:v>9485.4471914122641</c:v>
                </c:pt>
                <c:pt idx="93">
                  <c:v>6504.7866609840239</c:v>
                </c:pt>
                <c:pt idx="94">
                  <c:v>5625.4791253199755</c:v>
                </c:pt>
                <c:pt idx="95">
                  <c:v>8343.6748140470227</c:v>
                </c:pt>
                <c:pt idx="96">
                  <c:v>16554.188784414422</c:v>
                </c:pt>
                <c:pt idx="97">
                  <c:v>26090.797831520395</c:v>
                </c:pt>
                <c:pt idx="98">
                  <c:v>33493.10723283769</c:v>
                </c:pt>
                <c:pt idx="99">
                  <c:v>38028.405507010997</c:v>
                </c:pt>
                <c:pt idx="100">
                  <c:v>39333.47647719823</c:v>
                </c:pt>
                <c:pt idx="101">
                  <c:v>36743.243622117778</c:v>
                </c:pt>
                <c:pt idx="102">
                  <c:v>28913.421691311196</c:v>
                </c:pt>
                <c:pt idx="103">
                  <c:v>15265.201572932554</c:v>
                </c:pt>
                <c:pt idx="104">
                  <c:v>4124.5077239073107</c:v>
                </c:pt>
                <c:pt idx="105">
                  <c:v>-3101.5945411548723</c:v>
                </c:pt>
                <c:pt idx="106">
                  <c:v>-7259.453004367193</c:v>
                </c:pt>
                <c:pt idx="107">
                  <c:v>-9123.6172708588165</c:v>
                </c:pt>
                <c:pt idx="108">
                  <c:v>-9425.9781756439552</c:v>
                </c:pt>
                <c:pt idx="109">
                  <c:v>-8824.428253228527</c:v>
                </c:pt>
                <c:pt idx="110">
                  <c:v>-7670.414636204845</c:v>
                </c:pt>
                <c:pt idx="111">
                  <c:v>-6001.3246050469097</c:v>
                </c:pt>
                <c:pt idx="112">
                  <c:v>-3708.0629368346199</c:v>
                </c:pt>
                <c:pt idx="113">
                  <c:v>-598.70620547704516</c:v>
                </c:pt>
                <c:pt idx="114">
                  <c:v>3646.4465551055046</c:v>
                </c:pt>
                <c:pt idx="115">
                  <c:v>9616.9757357940143</c:v>
                </c:pt>
                <c:pt idx="116">
                  <c:v>18430.010864026804</c:v>
                </c:pt>
                <c:pt idx="117">
                  <c:v>28396.124679590223</c:v>
                </c:pt>
                <c:pt idx="118">
                  <c:v>34203.859642985335</c:v>
                </c:pt>
                <c:pt idx="119">
                  <c:v>37222.675907681143</c:v>
                </c:pt>
                <c:pt idx="120">
                  <c:v>38099.481361983191</c:v>
                </c:pt>
                <c:pt idx="121">
                  <c:v>37047.406022443</c:v>
                </c:pt>
                <c:pt idx="122">
                  <c:v>34003.431197548998</c:v>
                </c:pt>
                <c:pt idx="123">
                  <c:v>28590.034565848502</c:v>
                </c:pt>
                <c:pt idx="124">
                  <c:v>19981.833438356258</c:v>
                </c:pt>
                <c:pt idx="125">
                  <c:v>11047.095055384596</c:v>
                </c:pt>
                <c:pt idx="126">
                  <c:v>5103.8405659043947</c:v>
                </c:pt>
                <c:pt idx="127">
                  <c:v>625.86804305892633</c:v>
                </c:pt>
                <c:pt idx="128">
                  <c:v>-2982.9350935555331</c:v>
                </c:pt>
                <c:pt idx="129">
                  <c:v>-5973.6750270716329</c:v>
                </c:pt>
                <c:pt idx="130">
                  <c:v>-8487.2484147627802</c:v>
                </c:pt>
                <c:pt idx="131">
                  <c:v>-10619.033771626328</c:v>
                </c:pt>
                <c:pt idx="132">
                  <c:v>-12468.749773096231</c:v>
                </c:pt>
                <c:pt idx="133">
                  <c:v>-14217.409422258825</c:v>
                </c:pt>
                <c:pt idx="134">
                  <c:v>-16291.016811646758</c:v>
                </c:pt>
                <c:pt idx="135">
                  <c:v>-19523.51703263291</c:v>
                </c:pt>
                <c:pt idx="136">
                  <c:v>-23880.467245779397</c:v>
                </c:pt>
                <c:pt idx="137">
                  <c:v>-27866.139148008362</c:v>
                </c:pt>
                <c:pt idx="138">
                  <c:v>-30759.334614739997</c:v>
                </c:pt>
                <c:pt idx="139">
                  <c:v>-32362.502361979808</c:v>
                </c:pt>
                <c:pt idx="140">
                  <c:v>-32598.695471488711</c:v>
                </c:pt>
                <c:pt idx="141">
                  <c:v>-31394.243882934505</c:v>
                </c:pt>
                <c:pt idx="142">
                  <c:v>-28719.753535821488</c:v>
                </c:pt>
                <c:pt idx="143">
                  <c:v>-25368.444374963045</c:v>
                </c:pt>
                <c:pt idx="144">
                  <c:v>-24150.440183807539</c:v>
                </c:pt>
                <c:pt idx="145">
                  <c:v>-23429.791500855426</c:v>
                </c:pt>
                <c:pt idx="146">
                  <c:v>-22651.941111127744</c:v>
                </c:pt>
                <c:pt idx="147">
                  <c:v>-21712.791459623098</c:v>
                </c:pt>
                <c:pt idx="148">
                  <c:v>-20694.414579175918</c:v>
                </c:pt>
                <c:pt idx="149">
                  <c:v>-19927.871473482668</c:v>
                </c:pt>
                <c:pt idx="150">
                  <c:v>-20321.799068427521</c:v>
                </c:pt>
                <c:pt idx="151">
                  <c:v>-22886.567436309531</c:v>
                </c:pt>
                <c:pt idx="152">
                  <c:v>-25894.41673807563</c:v>
                </c:pt>
                <c:pt idx="153">
                  <c:v>-28079.52341899338</c:v>
                </c:pt>
                <c:pt idx="154">
                  <c:v>-29122.226513372232</c:v>
                </c:pt>
                <c:pt idx="155">
                  <c:v>-28960.056067827063</c:v>
                </c:pt>
                <c:pt idx="156">
                  <c:v>-27600.483742629425</c:v>
                </c:pt>
                <c:pt idx="157">
                  <c:v>-25152.351505306196</c:v>
                </c:pt>
                <c:pt idx="158">
                  <c:v>-22154.512715179662</c:v>
                </c:pt>
                <c:pt idx="159">
                  <c:v>-20444.088668825258</c:v>
                </c:pt>
                <c:pt idx="160">
                  <c:v>-20801.632590111938</c:v>
                </c:pt>
                <c:pt idx="161">
                  <c:v>-21853.446756570593</c:v>
                </c:pt>
                <c:pt idx="162">
                  <c:v>-22945.530305445878</c:v>
                </c:pt>
                <c:pt idx="163">
                  <c:v>-23863.438534947865</c:v>
                </c:pt>
                <c:pt idx="164">
                  <c:v>-24587.043352132179</c:v>
                </c:pt>
                <c:pt idx="165">
                  <c:v>-25332.953316732288</c:v>
                </c:pt>
                <c:pt idx="166">
                  <c:v>-27107.035352857831</c:v>
                </c:pt>
                <c:pt idx="167">
                  <c:v>-29916.460520949877</c:v>
                </c:pt>
                <c:pt idx="168">
                  <c:v>-31486.25325356418</c:v>
                </c:pt>
                <c:pt idx="169">
                  <c:v>-31607.409259176813</c:v>
                </c:pt>
                <c:pt idx="170">
                  <c:v>-30328.523742820686</c:v>
                </c:pt>
                <c:pt idx="171">
                  <c:v>-27754.999845436501</c:v>
                </c:pt>
                <c:pt idx="172">
                  <c:v>-24241.681592825786</c:v>
                </c:pt>
                <c:pt idx="173">
                  <c:v>-21193.691186669534</c:v>
                </c:pt>
                <c:pt idx="174">
                  <c:v>-20512.934056572052</c:v>
                </c:pt>
                <c:pt idx="175">
                  <c:v>-21045.955317357464</c:v>
                </c:pt>
                <c:pt idx="176">
                  <c:v>-21886.393718061699</c:v>
                </c:pt>
                <c:pt idx="177">
                  <c:v>-22724.079807599192</c:v>
                </c:pt>
                <c:pt idx="178">
                  <c:v>-23521.79508106639</c:v>
                </c:pt>
                <c:pt idx="179">
                  <c:v>-24522.518164050027</c:v>
                </c:pt>
                <c:pt idx="180">
                  <c:v>-26747.35376564748</c:v>
                </c:pt>
                <c:pt idx="181">
                  <c:v>-30348.571225761003</c:v>
                </c:pt>
                <c:pt idx="182">
                  <c:v>-32581.815563051983</c:v>
                </c:pt>
                <c:pt idx="183">
                  <c:v>-33161.583238254345</c:v>
                </c:pt>
                <c:pt idx="184">
                  <c:v>-32110.488547460383</c:v>
                </c:pt>
                <c:pt idx="185">
                  <c:v>-29488.379801088799</c:v>
                </c:pt>
                <c:pt idx="186">
                  <c:v>-25750.599017110439</c:v>
                </c:pt>
                <c:pt idx="187">
                  <c:v>-23620.062448741257</c:v>
                </c:pt>
                <c:pt idx="188">
                  <c:v>-23110.797386716898</c:v>
                </c:pt>
                <c:pt idx="189">
                  <c:v>-22931.522515134264</c:v>
                </c:pt>
                <c:pt idx="190">
                  <c:v>-22726.926599728624</c:v>
                </c:pt>
                <c:pt idx="191">
                  <c:v>-22477.709085175946</c:v>
                </c:pt>
                <c:pt idx="192">
                  <c:v>-22447.99586154992</c:v>
                </c:pt>
                <c:pt idx="193">
                  <c:v>-23594.567660468994</c:v>
                </c:pt>
                <c:pt idx="194">
                  <c:v>-27325.110685479332</c:v>
                </c:pt>
                <c:pt idx="195">
                  <c:v>-30767.239477570143</c:v>
                </c:pt>
                <c:pt idx="196">
                  <c:v>-32817.849730960261</c:v>
                </c:pt>
                <c:pt idx="197">
                  <c:v>-33309.069702143883</c:v>
                </c:pt>
                <c:pt idx="198">
                  <c:v>-32181.883908959022</c:v>
                </c:pt>
                <c:pt idx="199">
                  <c:v>-29408.3909455383</c:v>
                </c:pt>
                <c:pt idx="200">
                  <c:v>-25658.979487976161</c:v>
                </c:pt>
                <c:pt idx="201">
                  <c:v>-24061.802476137105</c:v>
                </c:pt>
                <c:pt idx="202">
                  <c:v>-23232.707583919408</c:v>
                </c:pt>
                <c:pt idx="203">
                  <c:v>-22539.777329249064</c:v>
                </c:pt>
                <c:pt idx="204">
                  <c:v>-21879.863897589072</c:v>
                </c:pt>
                <c:pt idx="205">
                  <c:v>-21441.261849786377</c:v>
                </c:pt>
                <c:pt idx="206">
                  <c:v>-21922.249949658453</c:v>
                </c:pt>
                <c:pt idx="207">
                  <c:v>-24808.380440149896</c:v>
                </c:pt>
                <c:pt idx="208">
                  <c:v>-28660.115935165439</c:v>
                </c:pt>
                <c:pt idx="209">
                  <c:v>-31525.116566788067</c:v>
                </c:pt>
                <c:pt idx="210">
                  <c:v>-32922.383243581709</c:v>
                </c:pt>
                <c:pt idx="211">
                  <c:v>-32684.049521794066</c:v>
                </c:pt>
                <c:pt idx="212">
                  <c:v>-30653.43474913785</c:v>
                </c:pt>
                <c:pt idx="213">
                  <c:v>-27051.796399895025</c:v>
                </c:pt>
                <c:pt idx="214">
                  <c:v>-24805.448548977329</c:v>
                </c:pt>
                <c:pt idx="215">
                  <c:v>-23200.828558670146</c:v>
                </c:pt>
                <c:pt idx="216">
                  <c:v>-21846.554169743067</c:v>
                </c:pt>
                <c:pt idx="217">
                  <c:v>-20776.06646787042</c:v>
                </c:pt>
                <c:pt idx="218">
                  <c:v>-20395.236479202296</c:v>
                </c:pt>
                <c:pt idx="219">
                  <c:v>-21718.215448638195</c:v>
                </c:pt>
                <c:pt idx="220">
                  <c:v>-25247.394945460917</c:v>
                </c:pt>
                <c:pt idx="221">
                  <c:v>-28923.583997877249</c:v>
                </c:pt>
                <c:pt idx="222">
                  <c:v>-31527.026937446026</c:v>
                </c:pt>
                <c:pt idx="223">
                  <c:v>-32622.545506317063</c:v>
                </c:pt>
                <c:pt idx="224">
                  <c:v>-31891.703286830336</c:v>
                </c:pt>
                <c:pt idx="225">
                  <c:v>-28982.940346754505</c:v>
                </c:pt>
                <c:pt idx="226">
                  <c:v>-25932.527130341325</c:v>
                </c:pt>
                <c:pt idx="227">
                  <c:v>-23436.497157844784</c:v>
                </c:pt>
                <c:pt idx="228">
                  <c:v>-21368.391241890447</c:v>
                </c:pt>
                <c:pt idx="229">
                  <c:v>-19898.385114477973</c:v>
                </c:pt>
                <c:pt idx="230">
                  <c:v>-19582.386432265459</c:v>
                </c:pt>
                <c:pt idx="231">
                  <c:v>-21251.735550072539</c:v>
                </c:pt>
                <c:pt idx="232">
                  <c:v>-24457.432652987809</c:v>
                </c:pt>
                <c:pt idx="233">
                  <c:v>-27644.080393983975</c:v>
                </c:pt>
                <c:pt idx="234">
                  <c:v>-29960.937742196242</c:v>
                </c:pt>
                <c:pt idx="235">
                  <c:v>-31016.276698418384</c:v>
                </c:pt>
                <c:pt idx="236">
                  <c:v>-30496.090310558386</c:v>
                </c:pt>
                <c:pt idx="237">
                  <c:v>-28366.732420093926</c:v>
                </c:pt>
                <c:pt idx="238">
                  <c:v>-26201.357661796064</c:v>
                </c:pt>
                <c:pt idx="239">
                  <c:v>-24068.891923684467</c:v>
                </c:pt>
                <c:pt idx="240">
                  <c:v>-22086.68118147623</c:v>
                </c:pt>
                <c:pt idx="241">
                  <c:v>-20650.292153857958</c:v>
                </c:pt>
                <c:pt idx="242">
                  <c:v>-20670.122643932395</c:v>
                </c:pt>
                <c:pt idx="243">
                  <c:v>-22932.434181476146</c:v>
                </c:pt>
                <c:pt idx="244">
                  <c:v>-25932.431304433467</c:v>
                </c:pt>
                <c:pt idx="245">
                  <c:v>-28336.126125996609</c:v>
                </c:pt>
                <c:pt idx="246">
                  <c:v>-29675.480075323951</c:v>
                </c:pt>
                <c:pt idx="247">
                  <c:v>-29789.85365513041</c:v>
                </c:pt>
                <c:pt idx="248">
                  <c:v>-28689.07899842022</c:v>
                </c:pt>
                <c:pt idx="249">
                  <c:v>-27226.3325568459</c:v>
                </c:pt>
                <c:pt idx="250">
                  <c:v>-26611.898280510388</c:v>
                </c:pt>
                <c:pt idx="251">
                  <c:v>-25996.307460339562</c:v>
                </c:pt>
                <c:pt idx="252">
                  <c:v>-25231.901067841725</c:v>
                </c:pt>
                <c:pt idx="253">
                  <c:v>-24527.084327692635</c:v>
                </c:pt>
                <c:pt idx="254">
                  <c:v>-24758.822973320217</c:v>
                </c:pt>
                <c:pt idx="255">
                  <c:v>-27455.663767783964</c:v>
                </c:pt>
                <c:pt idx="256">
                  <c:v>-29946.289287796812</c:v>
                </c:pt>
                <c:pt idx="257">
                  <c:v>-31178.748001663567</c:v>
                </c:pt>
                <c:pt idx="258">
                  <c:v>-30982.250638594072</c:v>
                </c:pt>
                <c:pt idx="259">
                  <c:v>-29360.725714294123</c:v>
                </c:pt>
                <c:pt idx="260">
                  <c:v>-26674.228530669359</c:v>
                </c:pt>
                <c:pt idx="261">
                  <c:v>-25270.203060070577</c:v>
                </c:pt>
                <c:pt idx="262">
                  <c:v>-25099.003311751101</c:v>
                </c:pt>
                <c:pt idx="263">
                  <c:v>-25055.492733694846</c:v>
                </c:pt>
                <c:pt idx="264">
                  <c:v>-24892.429144306956</c:v>
                </c:pt>
                <c:pt idx="265">
                  <c:v>-24704.523096483001</c:v>
                </c:pt>
                <c:pt idx="266">
                  <c:v>-25110.090365413187</c:v>
                </c:pt>
                <c:pt idx="267">
                  <c:v>-27773.549472965613</c:v>
                </c:pt>
                <c:pt idx="268">
                  <c:v>-30238.180198814844</c:v>
                </c:pt>
                <c:pt idx="269">
                  <c:v>-31390.459529315831</c:v>
                </c:pt>
                <c:pt idx="270">
                  <c:v>-31121.273847518329</c:v>
                </c:pt>
                <c:pt idx="271">
                  <c:v>-29466.957371283352</c:v>
                </c:pt>
                <c:pt idx="272">
                  <c:v>-26627.185414423471</c:v>
                </c:pt>
                <c:pt idx="273">
                  <c:v>-23692.440186877753</c:v>
                </c:pt>
                <c:pt idx="274">
                  <c:v>-23324.164822977498</c:v>
                </c:pt>
                <c:pt idx="275">
                  <c:v>-24125.510042801281</c:v>
                </c:pt>
                <c:pt idx="276">
                  <c:v>-25063.518107802087</c:v>
                </c:pt>
                <c:pt idx="277">
                  <c:v>-25841.264988169663</c:v>
                </c:pt>
                <c:pt idx="278">
                  <c:v>-26458.121548367271</c:v>
                </c:pt>
                <c:pt idx="279">
                  <c:v>-27333.425943295664</c:v>
                </c:pt>
                <c:pt idx="280">
                  <c:v>-29473.629063266235</c:v>
                </c:pt>
                <c:pt idx="281">
                  <c:v>-30579.573805582248</c:v>
                </c:pt>
                <c:pt idx="282">
                  <c:v>-30329.837903301141</c:v>
                </c:pt>
                <c:pt idx="283">
                  <c:v>-28788.988839460595</c:v>
                </c:pt>
                <c:pt idx="284">
                  <c:v>-26076.955080033105</c:v>
                </c:pt>
                <c:pt idx="285">
                  <c:v>-22447.075215204968</c:v>
                </c:pt>
                <c:pt idx="286">
                  <c:v>-18560.788142466659</c:v>
                </c:pt>
                <c:pt idx="287">
                  <c:v>-15505.814228699186</c:v>
                </c:pt>
                <c:pt idx="288">
                  <c:v>-13423.873902150017</c:v>
                </c:pt>
                <c:pt idx="289">
                  <c:v>-11702.756275211188</c:v>
                </c:pt>
                <c:pt idx="290">
                  <c:v>-9936.1381895810282</c:v>
                </c:pt>
                <c:pt idx="291">
                  <c:v>-7921.7650710167236</c:v>
                </c:pt>
                <c:pt idx="292">
                  <c:v>-5533.8723297004772</c:v>
                </c:pt>
                <c:pt idx="293">
                  <c:v>-2640.225743648527</c:v>
                </c:pt>
                <c:pt idx="294">
                  <c:v>983.59921610457798</c:v>
                </c:pt>
                <c:pt idx="295">
                  <c:v>5837.8095515993209</c:v>
                </c:pt>
                <c:pt idx="296">
                  <c:v>13182.82590297889</c:v>
                </c:pt>
                <c:pt idx="297">
                  <c:v>24977.406952788071</c:v>
                </c:pt>
                <c:pt idx="298">
                  <c:v>33541.621191970822</c:v>
                </c:pt>
                <c:pt idx="299">
                  <c:v>39190.175777757722</c:v>
                </c:pt>
                <c:pt idx="300">
                  <c:v>42571.368752220173</c:v>
                </c:pt>
                <c:pt idx="301">
                  <c:v>43951.96671146313</c:v>
                </c:pt>
                <c:pt idx="302">
                  <c:v>43350.834620093548</c:v>
                </c:pt>
                <c:pt idx="303">
                  <c:v>40549.10210096652</c:v>
                </c:pt>
                <c:pt idx="304">
                  <c:v>34946.596462211724</c:v>
                </c:pt>
                <c:pt idx="305">
                  <c:v>25093.166648454295</c:v>
                </c:pt>
                <c:pt idx="306">
                  <c:v>10458.756914576077</c:v>
                </c:pt>
                <c:pt idx="307">
                  <c:v>-427.78956394522947</c:v>
                </c:pt>
                <c:pt idx="308">
                  <c:v>-9485.258014818166</c:v>
                </c:pt>
                <c:pt idx="309">
                  <c:v>-18324.527297754033</c:v>
                </c:pt>
                <c:pt idx="310">
                  <c:v>-28148.105982515961</c:v>
                </c:pt>
                <c:pt idx="311">
                  <c:v>-37750.480173768003</c:v>
                </c:pt>
                <c:pt idx="312">
                  <c:v>-43266.539839594559</c:v>
                </c:pt>
                <c:pt idx="313">
                  <c:v>-44979.617509379226</c:v>
                </c:pt>
                <c:pt idx="314">
                  <c:v>-43721.239337055304</c:v>
                </c:pt>
                <c:pt idx="315">
                  <c:v>-40020.756579442525</c:v>
                </c:pt>
                <c:pt idx="316">
                  <c:v>-34261.047021056605</c:v>
                </c:pt>
                <c:pt idx="317">
                  <c:v>-26879.972337557097</c:v>
                </c:pt>
                <c:pt idx="318">
                  <c:v>-18502.998459548377</c:v>
                </c:pt>
                <c:pt idx="319">
                  <c:v>-9503.5089195811724</c:v>
                </c:pt>
                <c:pt idx="320">
                  <c:v>907.20862615633246</c:v>
                </c:pt>
                <c:pt idx="321">
                  <c:v>14218.548453640491</c:v>
                </c:pt>
                <c:pt idx="322">
                  <c:v>29413.028685435522</c:v>
                </c:pt>
                <c:pt idx="323">
                  <c:v>40493.024508189184</c:v>
                </c:pt>
                <c:pt idx="324">
                  <c:v>47104.408960748304</c:v>
                </c:pt>
                <c:pt idx="325">
                  <c:v>50342.673524014193</c:v>
                </c:pt>
                <c:pt idx="326">
                  <c:v>50944.306221783292</c:v>
                </c:pt>
                <c:pt idx="327">
                  <c:v>49341.542090834955</c:v>
                </c:pt>
                <c:pt idx="328">
                  <c:v>45784.622851521584</c:v>
                </c:pt>
                <c:pt idx="329">
                  <c:v>40414.67848975573</c:v>
                </c:pt>
                <c:pt idx="330">
                  <c:v>33318.644814355597</c:v>
                </c:pt>
                <c:pt idx="331">
                  <c:v>24629.827258682752</c:v>
                </c:pt>
                <c:pt idx="332">
                  <c:v>14910.766054013535</c:v>
                </c:pt>
                <c:pt idx="333">
                  <c:v>6669.8527136309258</c:v>
                </c:pt>
                <c:pt idx="334">
                  <c:v>3631.4579685570234</c:v>
                </c:pt>
                <c:pt idx="335">
                  <c:v>3539.4449085891706</c:v>
                </c:pt>
                <c:pt idx="336">
                  <c:v>4627.7992428658199</c:v>
                </c:pt>
                <c:pt idx="337">
                  <c:v>6583.4382441514936</c:v>
                </c:pt>
                <c:pt idx="338">
                  <c:v>9832.8504745522732</c:v>
                </c:pt>
                <c:pt idx="339">
                  <c:v>14221.648916493072</c:v>
                </c:pt>
                <c:pt idx="340">
                  <c:v>18660.773227567151</c:v>
                </c:pt>
                <c:pt idx="341">
                  <c:v>22281.418628982348</c:v>
                </c:pt>
                <c:pt idx="342">
                  <c:v>24516.753384307758</c:v>
                </c:pt>
                <c:pt idx="343">
                  <c:v>25290.777252719174</c:v>
                </c:pt>
                <c:pt idx="344">
                  <c:v>24881.762918050415</c:v>
                </c:pt>
                <c:pt idx="345">
                  <c:v>23168.260940012304</c:v>
                </c:pt>
                <c:pt idx="346">
                  <c:v>19170.542876602725</c:v>
                </c:pt>
                <c:pt idx="347">
                  <c:v>15417.333414712501</c:v>
                </c:pt>
                <c:pt idx="348">
                  <c:v>12308.21383082228</c:v>
                </c:pt>
                <c:pt idx="349">
                  <c:v>9716.426961199968</c:v>
                </c:pt>
                <c:pt idx="350">
                  <c:v>7581.8225834550267</c:v>
                </c:pt>
                <c:pt idx="351">
                  <c:v>5893.1227155722672</c:v>
                </c:pt>
                <c:pt idx="352">
                  <c:v>4676.3914373933421</c:v>
                </c:pt>
                <c:pt idx="353">
                  <c:v>3999.4890531598276</c:v>
                </c:pt>
                <c:pt idx="354">
                  <c:v>3996.2270066316742</c:v>
                </c:pt>
                <c:pt idx="355">
                  <c:v>4935.4037062297448</c:v>
                </c:pt>
                <c:pt idx="356">
                  <c:v>7436.0260712748968</c:v>
                </c:pt>
                <c:pt idx="357">
                  <c:v>13222.873904407925</c:v>
                </c:pt>
                <c:pt idx="358">
                  <c:v>23810.092823695712</c:v>
                </c:pt>
                <c:pt idx="359">
                  <c:v>32619.643177585094</c:v>
                </c:pt>
                <c:pt idx="360">
                  <c:v>39339.783514047718</c:v>
                </c:pt>
                <c:pt idx="361">
                  <c:v>44305.000787135941</c:v>
                </c:pt>
                <c:pt idx="362">
                  <c:v>47752.192625918804</c:v>
                </c:pt>
                <c:pt idx="363">
                  <c:v>49806.225535970239</c:v>
                </c:pt>
                <c:pt idx="364">
                  <c:v>50504.169260802468</c:v>
                </c:pt>
                <c:pt idx="365">
                  <c:v>49803.268592641914</c:v>
                </c:pt>
                <c:pt idx="366">
                  <c:v>47566.308358189963</c:v>
                </c:pt>
                <c:pt idx="367">
                  <c:v>43509.476091468008</c:v>
                </c:pt>
                <c:pt idx="368">
                  <c:v>37057.43682848716</c:v>
                </c:pt>
                <c:pt idx="369">
                  <c:v>26916.484501642259</c:v>
                </c:pt>
                <c:pt idx="370">
                  <c:v>11437.714871966553</c:v>
                </c:pt>
                <c:pt idx="371">
                  <c:v>20.784375463950255</c:v>
                </c:pt>
                <c:pt idx="372">
                  <c:v>-8927.4528871819421</c:v>
                </c:pt>
                <c:pt idx="373">
                  <c:v>-16323.55469025296</c:v>
                </c:pt>
                <c:pt idx="374">
                  <c:v>-22541.191792545553</c:v>
                </c:pt>
                <c:pt idx="375">
                  <c:v>-27741.510291003087</c:v>
                </c:pt>
                <c:pt idx="376">
                  <c:v>-31991.435478799784</c:v>
                </c:pt>
                <c:pt idx="377">
                  <c:v>-35306.313511114109</c:v>
                </c:pt>
                <c:pt idx="378">
                  <c:v>-37663.802857755494</c:v>
                </c:pt>
                <c:pt idx="379">
                  <c:v>-39003.679203905354</c:v>
                </c:pt>
                <c:pt idx="380">
                  <c:v>-39215.148260485046</c:v>
                </c:pt>
                <c:pt idx="381">
                  <c:v>-38101.202015013791</c:v>
                </c:pt>
                <c:pt idx="382">
                  <c:v>-35275.781025273354</c:v>
                </c:pt>
                <c:pt idx="383">
                  <c:v>-29847.508136564782</c:v>
                </c:pt>
                <c:pt idx="384">
                  <c:v>-23439.557319723983</c:v>
                </c:pt>
                <c:pt idx="385">
                  <c:v>-17560.237399286416</c:v>
                </c:pt>
                <c:pt idx="386">
                  <c:v>-11606.470188755478</c:v>
                </c:pt>
                <c:pt idx="387">
                  <c:v>-5324.1968842049218</c:v>
                </c:pt>
                <c:pt idx="388">
                  <c:v>1451.1566011398145</c:v>
                </c:pt>
                <c:pt idx="389">
                  <c:v>8992.075850975034</c:v>
                </c:pt>
                <c:pt idx="390">
                  <c:v>18249.814174357456</c:v>
                </c:pt>
                <c:pt idx="391">
                  <c:v>25844.375073324729</c:v>
                </c:pt>
                <c:pt idx="392">
                  <c:v>32196.05713236317</c:v>
                </c:pt>
                <c:pt idx="393">
                  <c:v>36981.125660573169</c:v>
                </c:pt>
                <c:pt idx="394">
                  <c:v>39259.755870266716</c:v>
                </c:pt>
                <c:pt idx="395">
                  <c:v>37492.160226997898</c:v>
                </c:pt>
                <c:pt idx="396">
                  <c:v>30548.727559518986</c:v>
                </c:pt>
                <c:pt idx="397">
                  <c:v>20380.057703537132</c:v>
                </c:pt>
                <c:pt idx="398">
                  <c:v>9920.5697263146758</c:v>
                </c:pt>
                <c:pt idx="399">
                  <c:v>539.97288876612674</c:v>
                </c:pt>
                <c:pt idx="400">
                  <c:v>-7335.4007585289119</c:v>
                </c:pt>
                <c:pt idx="401">
                  <c:v>-13627.446793750583</c:v>
                </c:pt>
                <c:pt idx="402">
                  <c:v>-18405.745777217297</c:v>
                </c:pt>
                <c:pt idx="403">
                  <c:v>-21884.729940996229</c:v>
                </c:pt>
                <c:pt idx="404">
                  <c:v>-24649.785091505724</c:v>
                </c:pt>
                <c:pt idx="405">
                  <c:v>-28657.783764120242</c:v>
                </c:pt>
                <c:pt idx="406">
                  <c:v>-32367.584013464944</c:v>
                </c:pt>
                <c:pt idx="407">
                  <c:v>-34864.366331042955</c:v>
                </c:pt>
                <c:pt idx="408">
                  <c:v>-36276.425333103594</c:v>
                </c:pt>
                <c:pt idx="409">
                  <c:v>-36717.513026581662</c:v>
                </c:pt>
                <c:pt idx="410">
                  <c:v>-36246.025971512667</c:v>
                </c:pt>
                <c:pt idx="411">
                  <c:v>-34875.268550250912</c:v>
                </c:pt>
                <c:pt idx="412">
                  <c:v>-32583.540966309618</c:v>
                </c:pt>
                <c:pt idx="413">
                  <c:v>-29343.779005607274</c:v>
                </c:pt>
                <c:pt idx="414">
                  <c:v>-25339.115028776807</c:v>
                </c:pt>
                <c:pt idx="415">
                  <c:v>-22565.46387676059</c:v>
                </c:pt>
                <c:pt idx="416">
                  <c:v>-21063.275404869961</c:v>
                </c:pt>
                <c:pt idx="417">
                  <c:v>-18760.141229557554</c:v>
                </c:pt>
                <c:pt idx="418">
                  <c:v>-15156.416129030251</c:v>
                </c:pt>
                <c:pt idx="419">
                  <c:v>-10155.562893011736</c:v>
                </c:pt>
                <c:pt idx="420">
                  <c:v>-3783.8597434681783</c:v>
                </c:pt>
                <c:pt idx="421">
                  <c:v>3865.1493395205525</c:v>
                </c:pt>
                <c:pt idx="422">
                  <c:v>12595.418356996648</c:v>
                </c:pt>
                <c:pt idx="423">
                  <c:v>21950.172899035344</c:v>
                </c:pt>
                <c:pt idx="424">
                  <c:v>30768.483070955204</c:v>
                </c:pt>
                <c:pt idx="425">
                  <c:v>36480.603139067185</c:v>
                </c:pt>
                <c:pt idx="426">
                  <c:v>36790.802678119908</c:v>
                </c:pt>
                <c:pt idx="427">
                  <c:v>32978.216154655369</c:v>
                </c:pt>
                <c:pt idx="428">
                  <c:v>26942.452375802652</c:v>
                </c:pt>
                <c:pt idx="429">
                  <c:v>19649.1814208383</c:v>
                </c:pt>
                <c:pt idx="430">
                  <c:v>11135.628329736764</c:v>
                </c:pt>
                <c:pt idx="431">
                  <c:v>4516.6714149104737</c:v>
                </c:pt>
                <c:pt idx="432">
                  <c:v>-1108.2514233724614</c:v>
                </c:pt>
                <c:pt idx="433">
                  <c:v>-6128.3631757430267</c:v>
                </c:pt>
                <c:pt idx="434">
                  <c:v>-10685.094151050438</c:v>
                </c:pt>
                <c:pt idx="435">
                  <c:v>-14875.000289666219</c:v>
                </c:pt>
                <c:pt idx="436">
                  <c:v>-18864.823799931604</c:v>
                </c:pt>
                <c:pt idx="437">
                  <c:v>-23171.080288653506</c:v>
                </c:pt>
                <c:pt idx="438">
                  <c:v>-29550.291532383126</c:v>
                </c:pt>
                <c:pt idx="439">
                  <c:v>-34928.212293373763</c:v>
                </c:pt>
                <c:pt idx="440">
                  <c:v>-38406.066284789616</c:v>
                </c:pt>
                <c:pt idx="441">
                  <c:v>-40268.136366556981</c:v>
                </c:pt>
                <c:pt idx="442">
                  <c:v>-40714.100348353903</c:v>
                </c:pt>
                <c:pt idx="443">
                  <c:v>-39849.69941170235</c:v>
                </c:pt>
                <c:pt idx="444">
                  <c:v>-37715.014610280683</c:v>
                </c:pt>
                <c:pt idx="445">
                  <c:v>-34304.698554461705</c:v>
                </c:pt>
                <c:pt idx="446">
                  <c:v>-29598.805006880739</c:v>
                </c:pt>
                <c:pt idx="447">
                  <c:v>-23668.563326637286</c:v>
                </c:pt>
                <c:pt idx="448">
                  <c:v>-17017.19024052563</c:v>
                </c:pt>
                <c:pt idx="449">
                  <c:v>-10550.453326278155</c:v>
                </c:pt>
                <c:pt idx="450">
                  <c:v>-3873.552145697025</c:v>
                </c:pt>
                <c:pt idx="451">
                  <c:v>3602.0235565726134</c:v>
                </c:pt>
                <c:pt idx="452">
                  <c:v>11953.617859466854</c:v>
                </c:pt>
                <c:pt idx="453">
                  <c:v>20857.294936018705</c:v>
                </c:pt>
                <c:pt idx="454">
                  <c:v>28595.820064645763</c:v>
                </c:pt>
                <c:pt idx="455">
                  <c:v>35073.428635283963</c:v>
                </c:pt>
                <c:pt idx="456">
                  <c:v>40173.275724446197</c:v>
                </c:pt>
                <c:pt idx="457">
                  <c:v>43646.751556485986</c:v>
                </c:pt>
                <c:pt idx="458">
                  <c:v>45106.703285108211</c:v>
                </c:pt>
                <c:pt idx="459">
                  <c:v>43941.783674868602</c:v>
                </c:pt>
                <c:pt idx="460">
                  <c:v>39168.564372235138</c:v>
                </c:pt>
                <c:pt idx="461">
                  <c:v>29522.075099687278</c:v>
                </c:pt>
                <c:pt idx="462">
                  <c:v>15957.159567210587</c:v>
                </c:pt>
                <c:pt idx="463">
                  <c:v>3456.0852451976943</c:v>
                </c:pt>
                <c:pt idx="464">
                  <c:v>-6364.6195709037838</c:v>
                </c:pt>
                <c:pt idx="465">
                  <c:v>-13901.441015245029</c:v>
                </c:pt>
                <c:pt idx="466">
                  <c:v>-19917.584540339867</c:v>
                </c:pt>
                <c:pt idx="467">
                  <c:v>-25510.531089464937</c:v>
                </c:pt>
                <c:pt idx="468">
                  <c:v>-32522.849366744613</c:v>
                </c:pt>
                <c:pt idx="469">
                  <c:v>-37193.992609688241</c:v>
                </c:pt>
                <c:pt idx="470">
                  <c:v>-39974.967813331255</c:v>
                </c:pt>
                <c:pt idx="471">
                  <c:v>-41306.567384632559</c:v>
                </c:pt>
                <c:pt idx="472">
                  <c:v>-41395.312405007353</c:v>
                </c:pt>
                <c:pt idx="473">
                  <c:v>-40324.568488998993</c:v>
                </c:pt>
                <c:pt idx="474">
                  <c:v>-38096.1804105224</c:v>
                </c:pt>
                <c:pt idx="475">
                  <c:v>-34643.665286113974</c:v>
                </c:pt>
                <c:pt idx="476">
                  <c:v>-29870.400743847862</c:v>
                </c:pt>
                <c:pt idx="477">
                  <c:v>-24188.88611009466</c:v>
                </c:pt>
                <c:pt idx="478">
                  <c:v>-21052.945660138146</c:v>
                </c:pt>
                <c:pt idx="479">
                  <c:v>-18108.262443373096</c:v>
                </c:pt>
                <c:pt idx="480">
                  <c:v>-14023.430259898303</c:v>
                </c:pt>
                <c:pt idx="481">
                  <c:v>-8371.7642416639228</c:v>
                </c:pt>
                <c:pt idx="482">
                  <c:v>-1021.0319338164995</c:v>
                </c:pt>
                <c:pt idx="483">
                  <c:v>7968.6216034270656</c:v>
                </c:pt>
                <c:pt idx="484">
                  <c:v>18214.524690191694</c:v>
                </c:pt>
                <c:pt idx="485">
                  <c:v>28567.154204090795</c:v>
                </c:pt>
                <c:pt idx="486">
                  <c:v>36515.660240782679</c:v>
                </c:pt>
                <c:pt idx="487">
                  <c:v>39604.893625703611</c:v>
                </c:pt>
                <c:pt idx="488">
                  <c:v>38161.948506882909</c:v>
                </c:pt>
                <c:pt idx="489">
                  <c:v>33703.855025922239</c:v>
                </c:pt>
                <c:pt idx="490">
                  <c:v>27384.75807028063</c:v>
                </c:pt>
                <c:pt idx="491">
                  <c:v>19807.108826792795</c:v>
                </c:pt>
                <c:pt idx="492">
                  <c:v>10987.589616704179</c:v>
                </c:pt>
                <c:pt idx="493">
                  <c:v>3703.5861332446266</c:v>
                </c:pt>
                <c:pt idx="494">
                  <c:v>-2623.3676154188502</c:v>
                </c:pt>
                <c:pt idx="495">
                  <c:v>-8355.535123843616</c:v>
                </c:pt>
                <c:pt idx="496">
                  <c:v>-13688.08194503732</c:v>
                </c:pt>
                <c:pt idx="497">
                  <c:v>-18896.925577131908</c:v>
                </c:pt>
                <c:pt idx="498">
                  <c:v>-24735.893204315242</c:v>
                </c:pt>
                <c:pt idx="499">
                  <c:v>-32907.563934933714</c:v>
                </c:pt>
                <c:pt idx="500">
                  <c:v>-38669.011654645263</c:v>
                </c:pt>
                <c:pt idx="501">
                  <c:v>-42366.069704284353</c:v>
                </c:pt>
                <c:pt idx="502">
                  <c:v>-44447.577138627181</c:v>
                </c:pt>
                <c:pt idx="503">
                  <c:v>-45154.396913847821</c:v>
                </c:pt>
                <c:pt idx="504">
                  <c:v>-44613.094873826311</c:v>
                </c:pt>
                <c:pt idx="505">
                  <c:v>-42880.875101612837</c:v>
                </c:pt>
                <c:pt idx="506">
                  <c:v>-39965.943852044875</c:v>
                </c:pt>
                <c:pt idx="507">
                  <c:v>-35839.839540442365</c:v>
                </c:pt>
                <c:pt idx="508">
                  <c:v>-30459.141698170486</c:v>
                </c:pt>
                <c:pt idx="509">
                  <c:v>-23843.527194927399</c:v>
                </c:pt>
                <c:pt idx="510">
                  <c:v>-16305.856456224679</c:v>
                </c:pt>
                <c:pt idx="511">
                  <c:v>-8368.2181420519391</c:v>
                </c:pt>
                <c:pt idx="512">
                  <c:v>490.45096348344487</c:v>
                </c:pt>
                <c:pt idx="513">
                  <c:v>10770.700790627261</c:v>
                </c:pt>
                <c:pt idx="514">
                  <c:v>21822.312692384014</c:v>
                </c:pt>
                <c:pt idx="515">
                  <c:v>32078.97554538133</c:v>
                </c:pt>
                <c:pt idx="516">
                  <c:v>40640.840932070918</c:v>
                </c:pt>
                <c:pt idx="517">
                  <c:v>47080.881688446643</c:v>
                </c:pt>
                <c:pt idx="518">
                  <c:v>51171.290437611417</c:v>
                </c:pt>
                <c:pt idx="519">
                  <c:v>52768.295017384902</c:v>
                </c:pt>
                <c:pt idx="520">
                  <c:v>51754.229771133432</c:v>
                </c:pt>
                <c:pt idx="521">
                  <c:v>48021.766004647608</c:v>
                </c:pt>
                <c:pt idx="522">
                  <c:v>41506.702852628405</c:v>
                </c:pt>
                <c:pt idx="523">
                  <c:v>32318.107366054061</c:v>
                </c:pt>
                <c:pt idx="524">
                  <c:v>21073.653705088793</c:v>
                </c:pt>
                <c:pt idx="525">
                  <c:v>9410.3097268001966</c:v>
                </c:pt>
                <c:pt idx="526">
                  <c:v>-326.98754091666774</c:v>
                </c:pt>
                <c:pt idx="527">
                  <c:v>-6985.0245445078435</c:v>
                </c:pt>
                <c:pt idx="528">
                  <c:v>-11320.737057498969</c:v>
                </c:pt>
                <c:pt idx="529">
                  <c:v>-15187.437942952802</c:v>
                </c:pt>
                <c:pt idx="530">
                  <c:v>-19806.901195338854</c:v>
                </c:pt>
                <c:pt idx="531">
                  <c:v>-24595.665259377532</c:v>
                </c:pt>
                <c:pt idx="532">
                  <c:v>-28972.491712389216</c:v>
                </c:pt>
                <c:pt idx="533">
                  <c:v>-32700.600415512319</c:v>
                </c:pt>
                <c:pt idx="534">
                  <c:v>-35674.061613178055</c:v>
                </c:pt>
                <c:pt idx="535">
                  <c:v>-37811.448224210173</c:v>
                </c:pt>
                <c:pt idx="536">
                  <c:v>-39006.350358262884</c:v>
                </c:pt>
                <c:pt idx="537">
                  <c:v>-39080.721178932319</c:v>
                </c:pt>
                <c:pt idx="538">
                  <c:v>-37687.452317389783</c:v>
                </c:pt>
                <c:pt idx="539">
                  <c:v>-33997.077607578467</c:v>
                </c:pt>
                <c:pt idx="540">
                  <c:v>-26312.782887559883</c:v>
                </c:pt>
                <c:pt idx="541">
                  <c:v>-18699.201145600175</c:v>
                </c:pt>
                <c:pt idx="542">
                  <c:v>-10168.2401955685</c:v>
                </c:pt>
                <c:pt idx="543">
                  <c:v>310.12392483085659</c:v>
                </c:pt>
                <c:pt idx="544">
                  <c:v>13487.931162023917</c:v>
                </c:pt>
                <c:pt idx="545">
                  <c:v>28283.613702960207</c:v>
                </c:pt>
                <c:pt idx="546">
                  <c:v>40088.219106147029</c:v>
                </c:pt>
                <c:pt idx="547">
                  <c:v>47614.693718338123</c:v>
                </c:pt>
                <c:pt idx="548">
                  <c:v>51818.625531019527</c:v>
                </c:pt>
                <c:pt idx="549">
                  <c:v>53546.006509358202</c:v>
                </c:pt>
                <c:pt idx="550">
                  <c:v>53344.576011452038</c:v>
                </c:pt>
                <c:pt idx="551">
                  <c:v>51566.964469384511</c:v>
                </c:pt>
                <c:pt idx="552">
                  <c:v>48448.327153347491</c:v>
                </c:pt>
                <c:pt idx="553">
                  <c:v>44150.433147742944</c:v>
                </c:pt>
                <c:pt idx="554">
                  <c:v>38784.600129541002</c:v>
                </c:pt>
                <c:pt idx="555">
                  <c:v>32416.775337166255</c:v>
                </c:pt>
                <c:pt idx="556">
                  <c:v>25032.684583797458</c:v>
                </c:pt>
                <c:pt idx="557">
                  <c:v>16286.576547955417</c:v>
                </c:pt>
                <c:pt idx="558">
                  <c:v>6288.4048410316564</c:v>
                </c:pt>
                <c:pt idx="559">
                  <c:v>-2658.1988810636626</c:v>
                </c:pt>
                <c:pt idx="560">
                  <c:v>-10956.237273785113</c:v>
                </c:pt>
                <c:pt idx="561">
                  <c:v>-19256.955196468167</c:v>
                </c:pt>
                <c:pt idx="562">
                  <c:v>-29416.762240589273</c:v>
                </c:pt>
                <c:pt idx="563">
                  <c:v>-38499.358334546836</c:v>
                </c:pt>
                <c:pt idx="564">
                  <c:v>-45587.242250807329</c:v>
                </c:pt>
                <c:pt idx="565">
                  <c:v>-51044.891873871973</c:v>
                </c:pt>
                <c:pt idx="566">
                  <c:v>-55154.727579002749</c:v>
                </c:pt>
                <c:pt idx="567">
                  <c:v>-58091.7549038609</c:v>
                </c:pt>
                <c:pt idx="568">
                  <c:v>-59960.718670593917</c:v>
                </c:pt>
                <c:pt idx="569">
                  <c:v>-60818.594077731919</c:v>
                </c:pt>
                <c:pt idx="570">
                  <c:v>-60685.531789552471</c:v>
                </c:pt>
                <c:pt idx="571">
                  <c:v>-59548.271144053528</c:v>
                </c:pt>
                <c:pt idx="572">
                  <c:v>-57357.209399975203</c:v>
                </c:pt>
                <c:pt idx="573">
                  <c:v>-54015.491199252021</c:v>
                </c:pt>
                <c:pt idx="574">
                  <c:v>-49353.958897248245</c:v>
                </c:pt>
                <c:pt idx="575">
                  <c:v>-43075.520531237875</c:v>
                </c:pt>
                <c:pt idx="576">
                  <c:v>-34639.14647649668</c:v>
                </c:pt>
                <c:pt idx="577">
                  <c:v>-23541.239800086718</c:v>
                </c:pt>
                <c:pt idx="578">
                  <c:v>-14926.139848637857</c:v>
                </c:pt>
                <c:pt idx="579">
                  <c:v>-6924.414521637319</c:v>
                </c:pt>
                <c:pt idx="580">
                  <c:v>1502.5729092175688</c:v>
                </c:pt>
                <c:pt idx="581">
                  <c:v>10712.223428432641</c:v>
                </c:pt>
                <c:pt idx="582">
                  <c:v>21310.927098817632</c:v>
                </c:pt>
                <c:pt idx="583">
                  <c:v>30090.858914693166</c:v>
                </c:pt>
                <c:pt idx="584">
                  <c:v>37692.040420915728</c:v>
                </c:pt>
                <c:pt idx="585">
                  <c:v>44108.437503502319</c:v>
                </c:pt>
                <c:pt idx="586">
                  <c:v>49210.424995312729</c:v>
                </c:pt>
                <c:pt idx="587">
                  <c:v>52826.54503151276</c:v>
                </c:pt>
                <c:pt idx="588">
                  <c:v>54746.467588743057</c:v>
                </c:pt>
                <c:pt idx="589">
                  <c:v>54707.3770979291</c:v>
                </c:pt>
                <c:pt idx="590">
                  <c:v>52377.478730052542</c:v>
                </c:pt>
                <c:pt idx="591">
                  <c:v>47355.376240533085</c:v>
                </c:pt>
                <c:pt idx="592">
                  <c:v>39254.030929318171</c:v>
                </c:pt>
                <c:pt idx="593">
                  <c:v>28080.930606759001</c:v>
                </c:pt>
                <c:pt idx="594">
                  <c:v>15115.2490876103</c:v>
                </c:pt>
                <c:pt idx="595">
                  <c:v>2898.0827800132492</c:v>
                </c:pt>
                <c:pt idx="596">
                  <c:v>-7005.5132683312368</c:v>
                </c:pt>
                <c:pt idx="597">
                  <c:v>-14665.984917439171</c:v>
                </c:pt>
                <c:pt idx="598">
                  <c:v>-21055.129039106545</c:v>
                </c:pt>
                <c:pt idx="599">
                  <c:v>-28313.310783715329</c:v>
                </c:pt>
                <c:pt idx="600">
                  <c:v>-35805.550613680847</c:v>
                </c:pt>
                <c:pt idx="601">
                  <c:v>-41151.051322035855</c:v>
                </c:pt>
                <c:pt idx="602">
                  <c:v>-44798.676878339327</c:v>
                </c:pt>
                <c:pt idx="603">
                  <c:v>-47032.971204537796</c:v>
                </c:pt>
                <c:pt idx="604">
                  <c:v>-47987.646956641518</c:v>
                </c:pt>
                <c:pt idx="605">
                  <c:v>-47697.108461029231</c:v>
                </c:pt>
                <c:pt idx="606">
                  <c:v>-46108.492337872813</c:v>
                </c:pt>
                <c:pt idx="607">
                  <c:v>-43057.549337533128</c:v>
                </c:pt>
                <c:pt idx="608">
                  <c:v>-38180.375815035273</c:v>
                </c:pt>
                <c:pt idx="609">
                  <c:v>-30686.045041016579</c:v>
                </c:pt>
                <c:pt idx="610">
                  <c:v>-21488.508441993599</c:v>
                </c:pt>
                <c:pt idx="611">
                  <c:v>-13134.673924568224</c:v>
                </c:pt>
                <c:pt idx="612">
                  <c:v>-3383.6756787606218</c:v>
                </c:pt>
                <c:pt idx="613">
                  <c:v>9173.7505141844067</c:v>
                </c:pt>
                <c:pt idx="614">
                  <c:v>24349.990422761894</c:v>
                </c:pt>
                <c:pt idx="615">
                  <c:v>37916.773590520985</c:v>
                </c:pt>
                <c:pt idx="616">
                  <c:v>47832.204358367533</c:v>
                </c:pt>
                <c:pt idx="617">
                  <c:v>54617.87741408329</c:v>
                </c:pt>
                <c:pt idx="618">
                  <c:v>58960.176206151256</c:v>
                </c:pt>
                <c:pt idx="619">
                  <c:v>61344.163403593273</c:v>
                </c:pt>
                <c:pt idx="620">
                  <c:v>62094.168410724327</c:v>
                </c:pt>
                <c:pt idx="621">
                  <c:v>61430.28258227287</c:v>
                </c:pt>
                <c:pt idx="622">
                  <c:v>59505.076435966752</c:v>
                </c:pt>
                <c:pt idx="623">
                  <c:v>56425.725644990787</c:v>
                </c:pt>
                <c:pt idx="624">
                  <c:v>52267.468688476212</c:v>
                </c:pt>
                <c:pt idx="625">
                  <c:v>47081.864862241331</c:v>
                </c:pt>
                <c:pt idx="626">
                  <c:v>40901.077955854547</c:v>
                </c:pt>
                <c:pt idx="627">
                  <c:v>33735.12013966724</c:v>
                </c:pt>
                <c:pt idx="628">
                  <c:v>25538.03686605117</c:v>
                </c:pt>
                <c:pt idx="629">
                  <c:v>15970.05429117747</c:v>
                </c:pt>
                <c:pt idx="630">
                  <c:v>5867.5325152899086</c:v>
                </c:pt>
                <c:pt idx="631">
                  <c:v>-3362.1764397161264</c:v>
                </c:pt>
                <c:pt idx="632">
                  <c:v>-11874.023243090507</c:v>
                </c:pt>
                <c:pt idx="633">
                  <c:v>-20549.34482001478</c:v>
                </c:pt>
                <c:pt idx="634">
                  <c:v>-30264.739962570427</c:v>
                </c:pt>
                <c:pt idx="635">
                  <c:v>-38669.884837341415</c:v>
                </c:pt>
                <c:pt idx="636">
                  <c:v>-45392.994416660753</c:v>
                </c:pt>
                <c:pt idx="637">
                  <c:v>-50660.855174640747</c:v>
                </c:pt>
                <c:pt idx="638">
                  <c:v>-54673.857570914668</c:v>
                </c:pt>
                <c:pt idx="639">
                  <c:v>-57564.985355013006</c:v>
                </c:pt>
                <c:pt idx="640">
                  <c:v>-59414.876364303527</c:v>
                </c:pt>
                <c:pt idx="641">
                  <c:v>-60264.35380898993</c:v>
                </c:pt>
                <c:pt idx="642">
                  <c:v>-60120.53079695296</c:v>
                </c:pt>
                <c:pt idx="643">
                  <c:v>-58957.128086565514</c:v>
                </c:pt>
                <c:pt idx="644">
                  <c:v>-56708.39560023501</c:v>
                </c:pt>
                <c:pt idx="645">
                  <c:v>-53253.017129928194</c:v>
                </c:pt>
                <c:pt idx="646">
                  <c:v>-48377.184935767786</c:v>
                </c:pt>
                <c:pt idx="647">
                  <c:v>-41684.923876331959</c:v>
                </c:pt>
                <c:pt idx="648">
                  <c:v>-32379.23219517426</c:v>
                </c:pt>
                <c:pt idx="649">
                  <c:v>-20408.617810616292</c:v>
                </c:pt>
                <c:pt idx="650">
                  <c:v>-10428.10209546206</c:v>
                </c:pt>
                <c:pt idx="651">
                  <c:v>-323.20370832059302</c:v>
                </c:pt>
                <c:pt idx="652">
                  <c:v>10505.011495159346</c:v>
                </c:pt>
                <c:pt idx="653">
                  <c:v>22452.175314600183</c:v>
                </c:pt>
                <c:pt idx="654">
                  <c:v>32789.496371246321</c:v>
                </c:pt>
                <c:pt idx="655">
                  <c:v>41978.995178362944</c:v>
                </c:pt>
                <c:pt idx="656">
                  <c:v>50011.821588832805</c:v>
                </c:pt>
                <c:pt idx="657">
                  <c:v>56852.969987343291</c:v>
                </c:pt>
                <c:pt idx="658">
                  <c:v>62485.30568020144</c:v>
                </c:pt>
                <c:pt idx="659">
                  <c:v>66903.921956608508</c:v>
                </c:pt>
                <c:pt idx="660">
                  <c:v>70108.061778855365</c:v>
                </c:pt>
                <c:pt idx="661">
                  <c:v>72095.633710594251</c:v>
                </c:pt>
                <c:pt idx="662">
                  <c:v>72859.91719991008</c:v>
                </c:pt>
                <c:pt idx="663">
                  <c:v>72387.682294788363</c:v>
                </c:pt>
                <c:pt idx="664">
                  <c:v>70658.285857491792</c:v>
                </c:pt>
                <c:pt idx="665">
                  <c:v>67643.727151805491</c:v>
                </c:pt>
                <c:pt idx="666">
                  <c:v>63310.193900466707</c:v>
                </c:pt>
                <c:pt idx="667">
                  <c:v>57622.581765329807</c:v>
                </c:pt>
                <c:pt idx="668">
                  <c:v>50555.410896362482</c:v>
                </c:pt>
                <c:pt idx="669">
                  <c:v>42117.647313910209</c:v>
                </c:pt>
                <c:pt idx="670">
                  <c:v>32406.821371544695</c:v>
                </c:pt>
                <c:pt idx="671">
                  <c:v>21717.750556287945</c:v>
                </c:pt>
                <c:pt idx="672">
                  <c:v>10714.475241552371</c:v>
                </c:pt>
                <c:pt idx="673">
                  <c:v>519.81316743131799</c:v>
                </c:pt>
                <c:pt idx="674">
                  <c:v>-7715.7719052732245</c:v>
                </c:pt>
                <c:pt idx="675">
                  <c:v>-13745.207523926974</c:v>
                </c:pt>
                <c:pt idx="676">
                  <c:v>-18776.618113518787</c:v>
                </c:pt>
                <c:pt idx="677">
                  <c:v>-25604.911055990506</c:v>
                </c:pt>
                <c:pt idx="678">
                  <c:v>-32524.111018294578</c:v>
                </c:pt>
                <c:pt idx="679">
                  <c:v>-38481.904633093734</c:v>
                </c:pt>
                <c:pt idx="680">
                  <c:v>-43520.492540021412</c:v>
                </c:pt>
                <c:pt idx="681">
                  <c:v>-47764.068692344801</c:v>
                </c:pt>
                <c:pt idx="682">
                  <c:v>-51310.879987411368</c:v>
                </c:pt>
                <c:pt idx="683">
                  <c:v>-54231.044494523805</c:v>
                </c:pt>
                <c:pt idx="684">
                  <c:v>-56573.4416448544</c:v>
                </c:pt>
                <c:pt idx="685">
                  <c:v>-58371.201280821515</c:v>
                </c:pt>
                <c:pt idx="686">
                  <c:v>-59645.249124825808</c:v>
                </c:pt>
                <c:pt idx="687">
                  <c:v>-60406.393095669744</c:v>
                </c:pt>
                <c:pt idx="688">
                  <c:v>-60656.335714554749</c:v>
                </c:pt>
                <c:pt idx="689">
                  <c:v>-60387.799655466522</c:v>
                </c:pt>
                <c:pt idx="690">
                  <c:v>-59583.765931376511</c:v>
                </c:pt>
                <c:pt idx="691">
                  <c:v>-58215.61051629782</c:v>
                </c:pt>
                <c:pt idx="692">
                  <c:v>-56239.592882405137</c:v>
                </c:pt>
                <c:pt idx="693">
                  <c:v>-53590.494425985824</c:v>
                </c:pt>
                <c:pt idx="694">
                  <c:v>-50169.68726239496</c:v>
                </c:pt>
                <c:pt idx="695">
                  <c:v>-45820.89843043693</c:v>
                </c:pt>
                <c:pt idx="696">
                  <c:v>-40274.974415833989</c:v>
                </c:pt>
                <c:pt idx="697">
                  <c:v>-33013.595553744701</c:v>
                </c:pt>
                <c:pt idx="698">
                  <c:v>-23484.661532486822</c:v>
                </c:pt>
                <c:pt idx="699">
                  <c:v>-15886.564321064889</c:v>
                </c:pt>
                <c:pt idx="700">
                  <c:v>-7396.6747127660001</c:v>
                </c:pt>
                <c:pt idx="701">
                  <c:v>3369.281080198909</c:v>
                </c:pt>
                <c:pt idx="702">
                  <c:v>16602.469729532972</c:v>
                </c:pt>
                <c:pt idx="703">
                  <c:v>30310.55281814441</c:v>
                </c:pt>
                <c:pt idx="704">
                  <c:v>42074.69392324322</c:v>
                </c:pt>
                <c:pt idx="705">
                  <c:v>51202.798736583201</c:v>
                </c:pt>
                <c:pt idx="706">
                  <c:v>57893.847971796495</c:v>
                </c:pt>
                <c:pt idx="707">
                  <c:v>62498.973494134734</c:v>
                </c:pt>
                <c:pt idx="708">
                  <c:v>65324.237929303112</c:v>
                </c:pt>
                <c:pt idx="709">
                  <c:v>66606.510448512563</c:v>
                </c:pt>
                <c:pt idx="710">
                  <c:v>66524.879754340087</c:v>
                </c:pt>
                <c:pt idx="711">
                  <c:v>65215.082335721876</c:v>
                </c:pt>
                <c:pt idx="712">
                  <c:v>62781.011842320178</c:v>
                </c:pt>
                <c:pt idx="713">
                  <c:v>59303.140304321598</c:v>
                </c:pt>
                <c:pt idx="714">
                  <c:v>54844.622294067245</c:v>
                </c:pt>
                <c:pt idx="715">
                  <c:v>49455.693879876409</c:v>
                </c:pt>
                <c:pt idx="716">
                  <c:v>43176.307392688723</c:v>
                </c:pt>
                <c:pt idx="717">
                  <c:v>36034.728009976643</c:v>
                </c:pt>
                <c:pt idx="718">
                  <c:v>28029.570879741696</c:v>
                </c:pt>
                <c:pt idx="719">
                  <c:v>19016.120429913928</c:v>
                </c:pt>
                <c:pt idx="720">
                  <c:v>8048.2307883462126</c:v>
                </c:pt>
                <c:pt idx="721">
                  <c:v>-1573.9454638044053</c:v>
                </c:pt>
                <c:pt idx="722">
                  <c:v>-10503.270482542961</c:v>
                </c:pt>
                <c:pt idx="723">
                  <c:v>-19383.456442188763</c:v>
                </c:pt>
                <c:pt idx="724">
                  <c:v>-29733.174515675495</c:v>
                </c:pt>
                <c:pt idx="725">
                  <c:v>-38860.031413329692</c:v>
                </c:pt>
                <c:pt idx="726">
                  <c:v>-46398.651293764327</c:v>
                </c:pt>
                <c:pt idx="727">
                  <c:v>-52665.505863433886</c:v>
                </c:pt>
                <c:pt idx="728">
                  <c:v>-57905.393596881186</c:v>
                </c:pt>
                <c:pt idx="729">
                  <c:v>-62282.653693921879</c:v>
                </c:pt>
                <c:pt idx="730">
                  <c:v>-65909.609440239263</c:v>
                </c:pt>
                <c:pt idx="731">
                  <c:v>-68865.288837560161</c:v>
                </c:pt>
                <c:pt idx="732">
                  <c:v>-71206.438033189683</c:v>
                </c:pt>
                <c:pt idx="733">
                  <c:v>-72974.095347117967</c:v>
                </c:pt>
                <c:pt idx="734">
                  <c:v>-74197.62752163253</c:v>
                </c:pt>
                <c:pt idx="735">
                  <c:v>-74897.25187808105</c:v>
                </c:pt>
                <c:pt idx="736">
                  <c:v>-75085.599645053313</c:v>
                </c:pt>
                <c:pt idx="737">
                  <c:v>-74768.624607400998</c:v>
                </c:pt>
                <c:pt idx="738">
                  <c:v>-73946.0185261078</c:v>
                </c:pt>
                <c:pt idx="739">
                  <c:v>-72611.20469606627</c:v>
                </c:pt>
                <c:pt idx="740">
                  <c:v>-70750.91339882194</c:v>
                </c:pt>
                <c:pt idx="741">
                  <c:v>-68344.278660620592</c:v>
                </c:pt>
                <c:pt idx="742">
                  <c:v>-65361.31850146503</c:v>
                </c:pt>
                <c:pt idx="743">
                  <c:v>-61760.553599552033</c:v>
                </c:pt>
                <c:pt idx="744">
                  <c:v>-57485.366659087231</c:v>
                </c:pt>
                <c:pt idx="745">
                  <c:v>-52458.529322690978</c:v>
                </c:pt>
                <c:pt idx="746">
                  <c:v>-46574.400499544339</c:v>
                </c:pt>
                <c:pt idx="747">
                  <c:v>-39690.377239247675</c:v>
                </c:pt>
                <c:pt idx="748">
                  <c:v>-31633.611441339792</c:v>
                </c:pt>
                <c:pt idx="749">
                  <c:v>-22320.755189165578</c:v>
                </c:pt>
                <c:pt idx="750">
                  <c:v>-12235.968120899479</c:v>
                </c:pt>
                <c:pt idx="751">
                  <c:v>-1550.9981474899298</c:v>
                </c:pt>
                <c:pt idx="752">
                  <c:v>10661.066913399645</c:v>
                </c:pt>
                <c:pt idx="753">
                  <c:v>23680.229989156884</c:v>
                </c:pt>
                <c:pt idx="754">
                  <c:v>35681.138189594152</c:v>
                </c:pt>
                <c:pt idx="755">
                  <c:v>46184.367377637893</c:v>
                </c:pt>
                <c:pt idx="756">
                  <c:v>55214.870048785233</c:v>
                </c:pt>
                <c:pt idx="757">
                  <c:v>62895.372095073733</c:v>
                </c:pt>
                <c:pt idx="758">
                  <c:v>69353.993200946948</c:v>
                </c:pt>
                <c:pt idx="759">
                  <c:v>74700.576518345348</c:v>
                </c:pt>
                <c:pt idx="760">
                  <c:v>79023.543938417861</c:v>
                </c:pt>
                <c:pt idx="761">
                  <c:v>82392.111560843143</c:v>
                </c:pt>
                <c:pt idx="762">
                  <c:v>84859.338934633255</c:v>
                </c:pt>
                <c:pt idx="763">
                  <c:v>86464.785810802947</c:v>
                </c:pt>
                <c:pt idx="764">
                  <c:v>87236.534242475434</c:v>
                </c:pt>
                <c:pt idx="765">
                  <c:v>87192.603542692072</c:v>
                </c:pt>
                <c:pt idx="766">
                  <c:v>86341.837320268663</c:v>
                </c:pt>
                <c:pt idx="767">
                  <c:v>84684.330383450972</c:v>
                </c:pt>
                <c:pt idx="768">
                  <c:v>82211.43762487077</c:v>
                </c:pt>
                <c:pt idx="769">
                  <c:v>78905.384479926244</c:v>
                </c:pt>
                <c:pt idx="770">
                  <c:v>74738.492672613953</c:v>
                </c:pt>
                <c:pt idx="771">
                  <c:v>69672.075654977307</c:v>
                </c:pt>
                <c:pt idx="772">
                  <c:v>63655.232964866947</c:v>
                </c:pt>
                <c:pt idx="773">
                  <c:v>56624.350955212831</c:v>
                </c:pt>
                <c:pt idx="774">
                  <c:v>48505.967424969909</c:v>
                </c:pt>
                <c:pt idx="775">
                  <c:v>39231.74047456112</c:v>
                </c:pt>
                <c:pt idx="776">
                  <c:v>28795.030539946911</c:v>
                </c:pt>
                <c:pt idx="777">
                  <c:v>17447.289674931206</c:v>
                </c:pt>
                <c:pt idx="778">
                  <c:v>6265.4510172102518</c:v>
                </c:pt>
                <c:pt idx="779">
                  <c:v>-2415.208689292404</c:v>
                </c:pt>
                <c:pt idx="780">
                  <c:v>-7827.3792328794116</c:v>
                </c:pt>
                <c:pt idx="781">
                  <c:v>-12012.808897142015</c:v>
                </c:pt>
                <c:pt idx="782">
                  <c:v>-16332.73230339092</c:v>
                </c:pt>
                <c:pt idx="783">
                  <c:v>-20473.290088692749</c:v>
                </c:pt>
                <c:pt idx="784">
                  <c:v>-24207.173502722188</c:v>
                </c:pt>
                <c:pt idx="785">
                  <c:v>-27505.74822203473</c:v>
                </c:pt>
                <c:pt idx="786">
                  <c:v>-30394.843309253611</c:v>
                </c:pt>
                <c:pt idx="787">
                  <c:v>-32907.838450725976</c:v>
                </c:pt>
                <c:pt idx="788">
                  <c:v>-35074.32058784533</c:v>
                </c:pt>
                <c:pt idx="789">
                  <c:v>-36918.126424760034</c:v>
                </c:pt>
                <c:pt idx="790">
                  <c:v>-38457.672051612433</c:v>
                </c:pt>
                <c:pt idx="791">
                  <c:v>-39706.697913235119</c:v>
                </c:pt>
                <c:pt idx="792">
                  <c:v>-40674.946460058185</c:v>
                </c:pt>
                <c:pt idx="793">
                  <c:v>-41368.667418570309</c:v>
                </c:pt>
                <c:pt idx="794">
                  <c:v>-41790.944568602361</c:v>
                </c:pt>
                <c:pt idx="795">
                  <c:v>-41941.85687041904</c:v>
                </c:pt>
                <c:pt idx="796">
                  <c:v>-41818.482223395193</c:v>
                </c:pt>
                <c:pt idx="797">
                  <c:v>-41414.740145598873</c:v>
                </c:pt>
                <c:pt idx="798">
                  <c:v>-40721.054180538034</c:v>
                </c:pt>
                <c:pt idx="799">
                  <c:v>-39723.796298403584</c:v>
                </c:pt>
                <c:pt idx="800">
                  <c:v>-38404.455021848065</c:v>
                </c:pt>
                <c:pt idx="801">
                  <c:v>-36738.455313700935</c:v>
                </c:pt>
                <c:pt idx="802">
                  <c:v>-34693.59358175948</c:v>
                </c:pt>
                <c:pt idx="803">
                  <c:v>-32228.316410733831</c:v>
                </c:pt>
                <c:pt idx="804">
                  <c:v>-29291.3664656289</c:v>
                </c:pt>
                <c:pt idx="805">
                  <c:v>-25830.530047335531</c:v>
                </c:pt>
                <c:pt idx="806">
                  <c:v>-21850.673113570654</c:v>
                </c:pt>
                <c:pt idx="807">
                  <c:v>-17731.042951249383</c:v>
                </c:pt>
                <c:pt idx="808">
                  <c:v>-14834.184416087515</c:v>
                </c:pt>
                <c:pt idx="809">
                  <c:v>-11754.090662268552</c:v>
                </c:pt>
                <c:pt idx="810">
                  <c:v>-6905.1701296375704</c:v>
                </c:pt>
                <c:pt idx="811">
                  <c:v>-285.02235581360765</c:v>
                </c:pt>
                <c:pt idx="812">
                  <c:v>7492.1528149226833</c:v>
                </c:pt>
                <c:pt idx="813">
                  <c:v>15790.064372975365</c:v>
                </c:pt>
                <c:pt idx="814">
                  <c:v>24142.310396527748</c:v>
                </c:pt>
                <c:pt idx="815">
                  <c:v>32245.355379367556</c:v>
                </c:pt>
                <c:pt idx="816">
                  <c:v>39907.732174828045</c:v>
                </c:pt>
                <c:pt idx="817">
                  <c:v>47007.113785043635</c:v>
                </c:pt>
                <c:pt idx="818">
                  <c:v>53461.958897528042</c:v>
                </c:pt>
                <c:pt idx="819">
                  <c:v>59214.020759905528</c:v>
                </c:pt>
                <c:pt idx="820">
                  <c:v>64217.635339032153</c:v>
                </c:pt>
                <c:pt idx="821">
                  <c:v>68433.00312275537</c:v>
                </c:pt>
                <c:pt idx="822">
                  <c:v>71821.770074403947</c:v>
                </c:pt>
                <c:pt idx="823">
                  <c:v>74343.905457727975</c:v>
                </c:pt>
                <c:pt idx="824">
                  <c:v>75955.281747085202</c:v>
                </c:pt>
                <c:pt idx="825">
                  <c:v>76605.602731706371</c:v>
                </c:pt>
                <c:pt idx="826">
                  <c:v>76236.484514097479</c:v>
                </c:pt>
                <c:pt idx="827">
                  <c:v>74779.637008883641</c:v>
                </c:pt>
                <c:pt idx="828">
                  <c:v>72155.298517304022</c:v>
                </c:pt>
                <c:pt idx="829">
                  <c:v>68271.477570387957</c:v>
                </c:pt>
                <c:pt idx="830">
                  <c:v>63025.429694878207</c:v>
                </c:pt>
                <c:pt idx="831">
                  <c:v>56310.692628987868</c:v>
                </c:pt>
                <c:pt idx="832">
                  <c:v>48036.749690252065</c:v>
                </c:pt>
                <c:pt idx="833">
                  <c:v>38173.378939138813</c:v>
                </c:pt>
                <c:pt idx="834">
                  <c:v>26823.275466456609</c:v>
                </c:pt>
                <c:pt idx="835">
                  <c:v>14233.830011531567</c:v>
                </c:pt>
                <c:pt idx="836">
                  <c:v>1796.7954007392839</c:v>
                </c:pt>
                <c:pt idx="837">
                  <c:v>-9818.9901603971048</c:v>
                </c:pt>
                <c:pt idx="838">
                  <c:v>-21265.019302958575</c:v>
                </c:pt>
                <c:pt idx="839">
                  <c:v>-34741.402614628743</c:v>
                </c:pt>
                <c:pt idx="840">
                  <c:v>-44188.952321723162</c:v>
                </c:pt>
                <c:pt idx="841">
                  <c:v>-50974.147259667254</c:v>
                </c:pt>
                <c:pt idx="842">
                  <c:v>-56012.104850882206</c:v>
                </c:pt>
                <c:pt idx="843">
                  <c:v>-59719.858907308444</c:v>
                </c:pt>
                <c:pt idx="844">
                  <c:v>-62322.242233597986</c:v>
                </c:pt>
                <c:pt idx="845">
                  <c:v>-63952.956922468555</c:v>
                </c:pt>
                <c:pt idx="846">
                  <c:v>-64694.508639642001</c:v>
                </c:pt>
                <c:pt idx="847">
                  <c:v>-64596.429583628727</c:v>
                </c:pt>
                <c:pt idx="848">
                  <c:v>-63684.217337289949</c:v>
                </c:pt>
                <c:pt idx="849">
                  <c:v>-61963.573835167132</c:v>
                </c:pt>
                <c:pt idx="850">
                  <c:v>-59421.791620272132</c:v>
                </c:pt>
                <c:pt idx="851">
                  <c:v>-56027.015779380141</c:v>
                </c:pt>
                <c:pt idx="852">
                  <c:v>-51725.657733975437</c:v>
                </c:pt>
                <c:pt idx="853">
                  <c:v>-46438.469030362539</c:v>
                </c:pt>
                <c:pt idx="854">
                  <c:v>-40058.206966336315</c:v>
                </c:pt>
                <c:pt idx="855">
                  <c:v>-32463.538501607356</c:v>
                </c:pt>
                <c:pt idx="856">
                  <c:v>-23609.229151152886</c:v>
                </c:pt>
                <c:pt idx="857">
                  <c:v>-13774.529364074046</c:v>
                </c:pt>
                <c:pt idx="858">
                  <c:v>-3059.3784432461125</c:v>
                </c:pt>
                <c:pt idx="859">
                  <c:v>9685.8067533336489</c:v>
                </c:pt>
                <c:pt idx="860">
                  <c:v>24096.605313922719</c:v>
                </c:pt>
                <c:pt idx="861">
                  <c:v>37236.171090843578</c:v>
                </c:pt>
                <c:pt idx="862">
                  <c:v>47872.176655108742</c:v>
                </c:pt>
                <c:pt idx="863">
                  <c:v>56123.339772425032</c:v>
                </c:pt>
                <c:pt idx="864">
                  <c:v>62332.6041785942</c:v>
                </c:pt>
                <c:pt idx="865">
                  <c:v>66796.374978313208</c:v>
                </c:pt>
                <c:pt idx="866">
                  <c:v>69736.565311643382</c:v>
                </c:pt>
                <c:pt idx="867">
                  <c:v>71314.207467770437</c:v>
                </c:pt>
                <c:pt idx="868">
                  <c:v>71644.895135474086</c:v>
                </c:pt>
                <c:pt idx="869">
                  <c:v>70810.229421108481</c:v>
                </c:pt>
                <c:pt idx="870">
                  <c:v>68865.577476296909</c:v>
                </c:pt>
                <c:pt idx="871">
                  <c:v>65845.215804295018</c:v>
                </c:pt>
                <c:pt idx="872">
                  <c:v>61765.823063981676</c:v>
                </c:pt>
                <c:pt idx="873">
                  <c:v>56629.263991573229</c:v>
                </c:pt>
                <c:pt idx="874">
                  <c:v>50426.07038613339</c:v>
                </c:pt>
                <c:pt idx="875">
                  <c:v>43142.78612544221</c:v>
                </c:pt>
                <c:pt idx="876">
                  <c:v>34782.019874231431</c:v>
                </c:pt>
                <c:pt idx="877">
                  <c:v>25422.680301208573</c:v>
                </c:pt>
                <c:pt idx="878">
                  <c:v>15408.683230050625</c:v>
                </c:pt>
                <c:pt idx="879">
                  <c:v>5886.3474451493694</c:v>
                </c:pt>
                <c:pt idx="880">
                  <c:v>-697.28577884374045</c:v>
                </c:pt>
                <c:pt idx="881">
                  <c:v>-3624.2640347495153</c:v>
                </c:pt>
                <c:pt idx="882">
                  <c:v>-4961.3625352393938</c:v>
                </c:pt>
                <c:pt idx="883">
                  <c:v>-5716.6077591099074</c:v>
                </c:pt>
                <c:pt idx="884">
                  <c:v>-5983.6979715888492</c:v>
                </c:pt>
                <c:pt idx="885">
                  <c:v>-5830.6591937541525</c:v>
                </c:pt>
                <c:pt idx="886">
                  <c:v>-5361.4906709326569</c:v>
                </c:pt>
                <c:pt idx="887">
                  <c:v>-4656.3075911633878</c:v>
                </c:pt>
                <c:pt idx="888">
                  <c:v>-3769.0896600356095</c:v>
                </c:pt>
                <c:pt idx="889">
                  <c:v>-2736.7377364841841</c:v>
                </c:pt>
                <c:pt idx="890">
                  <c:v>-1585.6450902569491</c:v>
                </c:pt>
                <c:pt idx="891">
                  <c:v>-335.60874438496211</c:v>
                </c:pt>
                <c:pt idx="892">
                  <c:v>997.84581458760147</c:v>
                </c:pt>
                <c:pt idx="893">
                  <c:v>2402.0323320568173</c:v>
                </c:pt>
                <c:pt idx="894">
                  <c:v>3866.2018992374947</c:v>
                </c:pt>
                <c:pt idx="895">
                  <c:v>5381.0225862453453</c:v>
                </c:pt>
                <c:pt idx="896">
                  <c:v>6938.4932114667081</c:v>
                </c:pt>
                <c:pt idx="897">
                  <c:v>8532.7493627863005</c:v>
                </c:pt>
                <c:pt idx="898">
                  <c:v>10163.612349012921</c:v>
                </c:pt>
                <c:pt idx="899">
                  <c:v>11851.618618675901</c:v>
                </c:pt>
                <c:pt idx="900">
                  <c:v>13729.982644671012</c:v>
                </c:pt>
                <c:pt idx="901">
                  <c:v>16687.029233492591</c:v>
                </c:pt>
                <c:pt idx="902">
                  <c:v>19457.15572837778</c:v>
                </c:pt>
                <c:pt idx="903">
                  <c:v>21996.441779770059</c:v>
                </c:pt>
                <c:pt idx="904">
                  <c:v>22463.696504067011</c:v>
                </c:pt>
                <c:pt idx="905">
                  <c:v>22166.363205542271</c:v>
                </c:pt>
                <c:pt idx="906">
                  <c:v>21513.778062513607</c:v>
                </c:pt>
                <c:pt idx="907">
                  <c:v>20652.88336478396</c:v>
                </c:pt>
                <c:pt idx="908">
                  <c:v>19656.547806325128</c:v>
                </c:pt>
                <c:pt idx="909">
                  <c:v>18569.464361551505</c:v>
                </c:pt>
                <c:pt idx="910">
                  <c:v>17424.117217158859</c:v>
                </c:pt>
                <c:pt idx="911">
                  <c:v>16248.34891004961</c:v>
                </c:pt>
                <c:pt idx="912">
                  <c:v>15070.553193134248</c:v>
                </c:pt>
                <c:pt idx="913">
                  <c:v>13925.360659058511</c:v>
                </c:pt>
                <c:pt idx="914">
                  <c:v>12863.111916039987</c:v>
                </c:pt>
                <c:pt idx="915">
                  <c:v>11970.926100199185</c:v>
                </c:pt>
                <c:pt idx="916">
                  <c:v>11431.839070186928</c:v>
                </c:pt>
                <c:pt idx="917">
                  <c:v>11740.409144237987</c:v>
                </c:pt>
                <c:pt idx="918">
                  <c:v>14704.071980892491</c:v>
                </c:pt>
                <c:pt idx="919">
                  <c:v>21376.278856790894</c:v>
                </c:pt>
                <c:pt idx="920">
                  <c:v>27246.366243048193</c:v>
                </c:pt>
                <c:pt idx="921">
                  <c:v>31803.89167910918</c:v>
                </c:pt>
                <c:pt idx="922">
                  <c:v>35095.687701269002</c:v>
                </c:pt>
                <c:pt idx="923">
                  <c:v>37293.627721309844</c:v>
                </c:pt>
                <c:pt idx="924">
                  <c:v>38523.195324608932</c:v>
                </c:pt>
                <c:pt idx="925">
                  <c:v>38848.226583606338</c:v>
                </c:pt>
                <c:pt idx="926">
                  <c:v>38280.964964181505</c:v>
                </c:pt>
                <c:pt idx="927">
                  <c:v>36784.888028545101</c:v>
                </c:pt>
                <c:pt idx="928">
                  <c:v>34267.955963466833</c:v>
                </c:pt>
                <c:pt idx="929">
                  <c:v>30574.822310262294</c:v>
                </c:pt>
                <c:pt idx="930">
                  <c:v>25536.454388495888</c:v>
                </c:pt>
                <c:pt idx="931">
                  <c:v>19174.075074167667</c:v>
                </c:pt>
                <c:pt idx="932">
                  <c:v>12774.062257216008</c:v>
                </c:pt>
                <c:pt idx="933">
                  <c:v>10959.866126734627</c:v>
                </c:pt>
                <c:pt idx="934">
                  <c:v>10876.089638797797</c:v>
                </c:pt>
                <c:pt idx="935">
                  <c:v>11529.815952651719</c:v>
                </c:pt>
                <c:pt idx="936">
                  <c:v>12578.036772228372</c:v>
                </c:pt>
                <c:pt idx="937">
                  <c:v>13865.327802761627</c:v>
                </c:pt>
                <c:pt idx="938">
                  <c:v>15304.253826555134</c:v>
                </c:pt>
                <c:pt idx="939">
                  <c:v>16834.200147836222</c:v>
                </c:pt>
                <c:pt idx="940">
                  <c:v>18400.482560936638</c:v>
                </c:pt>
                <c:pt idx="941">
                  <c:v>19931.974466417723</c:v>
                </c:pt>
                <c:pt idx="942">
                  <c:v>21278.937400257848</c:v>
                </c:pt>
                <c:pt idx="943">
                  <c:v>21861.987229506136</c:v>
                </c:pt>
                <c:pt idx="944">
                  <c:v>20260.916868386576</c:v>
                </c:pt>
                <c:pt idx="945">
                  <c:v>18141.344533065585</c:v>
                </c:pt>
                <c:pt idx="946">
                  <c:v>15735.183265935462</c:v>
                </c:pt>
                <c:pt idx="947">
                  <c:v>13105.853827592015</c:v>
                </c:pt>
                <c:pt idx="948">
                  <c:v>11915.270668000794</c:v>
                </c:pt>
                <c:pt idx="949">
                  <c:v>12047.325480440424</c:v>
                </c:pt>
                <c:pt idx="950">
                  <c:v>13082.085510055545</c:v>
                </c:pt>
                <c:pt idx="951">
                  <c:v>15167.254731952817</c:v>
                </c:pt>
                <c:pt idx="952">
                  <c:v>17024.68127108915</c:v>
                </c:pt>
                <c:pt idx="953">
                  <c:v>18429.565631498521</c:v>
                </c:pt>
                <c:pt idx="954">
                  <c:v>19545.969419610854</c:v>
                </c:pt>
                <c:pt idx="955">
                  <c:v>20388.461908321882</c:v>
                </c:pt>
                <c:pt idx="956">
                  <c:v>20470.119471772618</c:v>
                </c:pt>
                <c:pt idx="957">
                  <c:v>20127.133569720594</c:v>
                </c:pt>
                <c:pt idx="958">
                  <c:v>19568.338007206079</c:v>
                </c:pt>
                <c:pt idx="959">
                  <c:v>18881.078416027092</c:v>
                </c:pt>
                <c:pt idx="960">
                  <c:v>18121.679943461269</c:v>
                </c:pt>
                <c:pt idx="961">
                  <c:v>17346.767847334486</c:v>
                </c:pt>
                <c:pt idx="962">
                  <c:v>16646.650386164212</c:v>
                </c:pt>
                <c:pt idx="963">
                  <c:v>16241.275646204371</c:v>
                </c:pt>
                <c:pt idx="964">
                  <c:v>16930.81214772251</c:v>
                </c:pt>
                <c:pt idx="965">
                  <c:v>20244.357099961777</c:v>
                </c:pt>
                <c:pt idx="966">
                  <c:v>23038.709690376603</c:v>
                </c:pt>
                <c:pt idx="967">
                  <c:v>24880.804953654315</c:v>
                </c:pt>
                <c:pt idx="968">
                  <c:v>25568.570582778841</c:v>
                </c:pt>
                <c:pt idx="969">
                  <c:v>24958.152249999846</c:v>
                </c:pt>
                <c:pt idx="970">
                  <c:v>22951.565926570209</c:v>
                </c:pt>
                <c:pt idx="971">
                  <c:v>19363.22840046334</c:v>
                </c:pt>
                <c:pt idx="972">
                  <c:v>14221.537641804487</c:v>
                </c:pt>
                <c:pt idx="973">
                  <c:v>9267.3408017810507</c:v>
                </c:pt>
                <c:pt idx="974">
                  <c:v>5049.5329067934872</c:v>
                </c:pt>
                <c:pt idx="975">
                  <c:v>1893.6640874654272</c:v>
                </c:pt>
                <c:pt idx="976">
                  <c:v>641.23266505368633</c:v>
                </c:pt>
                <c:pt idx="977">
                  <c:v>2826.2358981470184</c:v>
                </c:pt>
                <c:pt idx="978">
                  <c:v>9218.7420172959628</c:v>
                </c:pt>
                <c:pt idx="979">
                  <c:v>18171.485423308652</c:v>
                </c:pt>
                <c:pt idx="980">
                  <c:v>27302.114573507264</c:v>
                </c:pt>
                <c:pt idx="981">
                  <c:v>34854.919158650184</c:v>
                </c:pt>
                <c:pt idx="982">
                  <c:v>39614.901605480278</c:v>
                </c:pt>
                <c:pt idx="983">
                  <c:v>40604.365343202051</c:v>
                </c:pt>
                <c:pt idx="984">
                  <c:v>37016.982990251941</c:v>
                </c:pt>
                <c:pt idx="985">
                  <c:v>28699.986049538515</c:v>
                </c:pt>
                <c:pt idx="986">
                  <c:v>17364.663954564356</c:v>
                </c:pt>
                <c:pt idx="987">
                  <c:v>6310.4749666154121</c:v>
                </c:pt>
                <c:pt idx="988">
                  <c:v>-2564.412282408106</c:v>
                </c:pt>
                <c:pt idx="989">
                  <c:v>-9322.8227313845746</c:v>
                </c:pt>
                <c:pt idx="990">
                  <c:v>-14609.562776417948</c:v>
                </c:pt>
                <c:pt idx="991">
                  <c:v>-18713.519979848585</c:v>
                </c:pt>
                <c:pt idx="992">
                  <c:v>-21647.287113967908</c:v>
                </c:pt>
                <c:pt idx="993">
                  <c:v>-23403.268482582174</c:v>
                </c:pt>
                <c:pt idx="994">
                  <c:v>-23987.253653858548</c:v>
                </c:pt>
                <c:pt idx="995">
                  <c:v>-23407.738058049268</c:v>
                </c:pt>
                <c:pt idx="996">
                  <c:v>-21692.827317496063</c:v>
                </c:pt>
                <c:pt idx="997">
                  <c:v>-18974.812632296114</c:v>
                </c:pt>
                <c:pt idx="998">
                  <c:v>-15699.10160886714</c:v>
                </c:pt>
                <c:pt idx="999">
                  <c:v>-12611.443942290502</c:v>
                </c:pt>
                <c:pt idx="1000">
                  <c:v>-9795.3057767266782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7EE-4086-A22A-ADDC70B84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891231"/>
        <c:axId val="1811894975"/>
      </c:scatterChart>
      <c:valAx>
        <c:axId val="1811891231"/>
        <c:scaling>
          <c:orientation val="minMax"/>
          <c:max val="100000"/>
          <c:min val="-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1894975"/>
        <c:crosses val="autoZero"/>
        <c:crossBetween val="midCat"/>
      </c:valAx>
      <c:valAx>
        <c:axId val="1811894975"/>
        <c:scaling>
          <c:orientation val="minMax"/>
          <c:max val="100000"/>
          <c:min val="-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1891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743548650486681"/>
          <c:y val="0.96116699576919595"/>
          <c:w val="0.51068569928512475"/>
          <c:h val="3.2108701998939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r>
              <a:rPr lang="fr-CA">
                <a:solidFill>
                  <a:srgbClr val="FFFF00"/>
                </a:solidFill>
              </a:rPr>
              <a:t>Voyage du Romano-Fafard</a:t>
            </a:r>
          </a:p>
        </c:rich>
      </c:tx>
      <c:layout>
        <c:manualLayout>
          <c:xMode val="edge"/>
          <c:yMode val="edge"/>
          <c:x val="0.36248338180903117"/>
          <c:y val="3.224636487927654E-2"/>
        </c:manualLayout>
      </c:layout>
      <c:overlay val="0"/>
      <c:spPr>
        <a:solidFill>
          <a:schemeClr val="tx1"/>
        </a:solidFill>
        <a:ln>
          <a:noFill/>
        </a:ln>
        <a:effectLst>
          <a:glow rad="457200">
            <a:schemeClr val="accent4">
              <a:satMod val="175000"/>
              <a:alpha val="40000"/>
            </a:schemeClr>
          </a:glow>
          <a:outerShdw blurRad="50800" dir="5400000" sx="88000" sy="88000" algn="ctr" rotWithShape="0">
            <a:srgbClr val="FFFF00"/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rgbClr val="FFFF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7112695832420951E-2"/>
          <c:y val="9.3088169156758729E-2"/>
          <c:w val="0.94393005010636744"/>
          <c:h val="0.853827965239910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Feuille1!$A$18</c:f>
              <c:strCache>
                <c:ptCount val="1"/>
                <c:pt idx="0">
                  <c:v>Corp 1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635000">
                <a:schemeClr val="accent1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Feuille1!$D$49:$D$69</c:f>
              <c:numCache>
                <c:formatCode>General</c:formatCode>
                <c:ptCount val="21"/>
                <c:pt idx="0">
                  <c:v>25000</c:v>
                </c:pt>
                <c:pt idx="1">
                  <c:v>24755.282581475767</c:v>
                </c:pt>
                <c:pt idx="2">
                  <c:v>24045.084971874738</c:v>
                </c:pt>
                <c:pt idx="3">
                  <c:v>22938.926261462366</c:v>
                </c:pt>
                <c:pt idx="4">
                  <c:v>21545.084971874738</c:v>
                </c:pt>
                <c:pt idx="5">
                  <c:v>20000</c:v>
                </c:pt>
                <c:pt idx="6">
                  <c:v>18454.915028125262</c:v>
                </c:pt>
                <c:pt idx="7">
                  <c:v>17061.073738537634</c:v>
                </c:pt>
                <c:pt idx="8">
                  <c:v>15954.915028125262</c:v>
                </c:pt>
                <c:pt idx="9">
                  <c:v>15244.717418524233</c:v>
                </c:pt>
                <c:pt idx="10">
                  <c:v>15000</c:v>
                </c:pt>
                <c:pt idx="11">
                  <c:v>15244.717418524231</c:v>
                </c:pt>
                <c:pt idx="12">
                  <c:v>15954.915028125262</c:v>
                </c:pt>
                <c:pt idx="13">
                  <c:v>17061.073738537634</c:v>
                </c:pt>
                <c:pt idx="14">
                  <c:v>18454.915028125262</c:v>
                </c:pt>
                <c:pt idx="15">
                  <c:v>20000</c:v>
                </c:pt>
                <c:pt idx="16">
                  <c:v>21545.084971874738</c:v>
                </c:pt>
                <c:pt idx="17">
                  <c:v>22938.926261462366</c:v>
                </c:pt>
                <c:pt idx="18">
                  <c:v>24045.084971874738</c:v>
                </c:pt>
                <c:pt idx="19">
                  <c:v>24755.282581475767</c:v>
                </c:pt>
                <c:pt idx="20">
                  <c:v>25000</c:v>
                </c:pt>
              </c:numCache>
            </c:numRef>
          </c:xVal>
          <c:yVal>
            <c:numRef>
              <c:f>Feuille1!$E$49:$E$69</c:f>
              <c:numCache>
                <c:formatCode>General</c:formatCode>
                <c:ptCount val="21"/>
                <c:pt idx="0">
                  <c:v>15000</c:v>
                </c:pt>
                <c:pt idx="1">
                  <c:v>16545.084971874738</c:v>
                </c:pt>
                <c:pt idx="2">
                  <c:v>17938.926261462366</c:v>
                </c:pt>
                <c:pt idx="3">
                  <c:v>19045.084971874738</c:v>
                </c:pt>
                <c:pt idx="4">
                  <c:v>19755.282581475767</c:v>
                </c:pt>
                <c:pt idx="5">
                  <c:v>20000</c:v>
                </c:pt>
                <c:pt idx="6">
                  <c:v>19755.282581475767</c:v>
                </c:pt>
                <c:pt idx="7">
                  <c:v>19045.084971874738</c:v>
                </c:pt>
                <c:pt idx="8">
                  <c:v>17938.926261462366</c:v>
                </c:pt>
                <c:pt idx="9">
                  <c:v>16545.084971874738</c:v>
                </c:pt>
                <c:pt idx="10">
                  <c:v>15000</c:v>
                </c:pt>
                <c:pt idx="11">
                  <c:v>13454.915028125266</c:v>
                </c:pt>
                <c:pt idx="12">
                  <c:v>12061.073738537634</c:v>
                </c:pt>
                <c:pt idx="13">
                  <c:v>10954.915028125262</c:v>
                </c:pt>
                <c:pt idx="14">
                  <c:v>10244.717418524233</c:v>
                </c:pt>
                <c:pt idx="15">
                  <c:v>10000</c:v>
                </c:pt>
                <c:pt idx="16">
                  <c:v>10244.717418524233</c:v>
                </c:pt>
                <c:pt idx="17">
                  <c:v>10954.915028125262</c:v>
                </c:pt>
                <c:pt idx="18">
                  <c:v>12061.073738537634</c:v>
                </c:pt>
                <c:pt idx="19">
                  <c:v>13454.915028125262</c:v>
                </c:pt>
                <c:pt idx="20">
                  <c:v>14999.999999999998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83-4322-A2E5-108F22F86DAD}"/>
            </c:ext>
          </c:extLst>
        </c:ser>
        <c:ser>
          <c:idx val="1"/>
          <c:order val="1"/>
          <c:tx>
            <c:strRef>
              <c:f>Feuille1!$A$27</c:f>
              <c:strCache>
                <c:ptCount val="1"/>
                <c:pt idx="0">
                  <c:v>Corp 2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635000">
                <a:schemeClr val="accent2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Feuille1!$G$49:$G$69</c:f>
              <c:numCache>
                <c:formatCode>General</c:formatCode>
                <c:ptCount val="21"/>
                <c:pt idx="0">
                  <c:v>-5000</c:v>
                </c:pt>
                <c:pt idx="1">
                  <c:v>-5734.152255572697</c:v>
                </c:pt>
                <c:pt idx="2">
                  <c:v>-7864.7450843757888</c:v>
                </c:pt>
                <c:pt idx="3">
                  <c:v>-11183.221215612903</c:v>
                </c:pt>
                <c:pt idx="4">
                  <c:v>-15364.745084375787</c:v>
                </c:pt>
                <c:pt idx="5">
                  <c:v>-20000</c:v>
                </c:pt>
                <c:pt idx="6">
                  <c:v>-24635.254915624209</c:v>
                </c:pt>
                <c:pt idx="7">
                  <c:v>-28816.778784387097</c:v>
                </c:pt>
                <c:pt idx="8">
                  <c:v>-32135.254915624209</c:v>
                </c:pt>
                <c:pt idx="9">
                  <c:v>-34265.847744427301</c:v>
                </c:pt>
                <c:pt idx="10">
                  <c:v>-35000</c:v>
                </c:pt>
                <c:pt idx="11">
                  <c:v>-34265.847744427308</c:v>
                </c:pt>
                <c:pt idx="12">
                  <c:v>-32135.254915624213</c:v>
                </c:pt>
                <c:pt idx="13">
                  <c:v>-28816.778784387097</c:v>
                </c:pt>
                <c:pt idx="14">
                  <c:v>-24635.254915624213</c:v>
                </c:pt>
                <c:pt idx="15">
                  <c:v>-20000.000000000004</c:v>
                </c:pt>
                <c:pt idx="16">
                  <c:v>-15364.745084375791</c:v>
                </c:pt>
                <c:pt idx="17">
                  <c:v>-11183.221215612906</c:v>
                </c:pt>
                <c:pt idx="18">
                  <c:v>-7864.7450843757906</c:v>
                </c:pt>
                <c:pt idx="19">
                  <c:v>-5734.152255572697</c:v>
                </c:pt>
                <c:pt idx="20">
                  <c:v>-5000</c:v>
                </c:pt>
              </c:numCache>
            </c:numRef>
          </c:xVal>
          <c:yVal>
            <c:numRef>
              <c:f>Feuille1!$H$49:$H$69</c:f>
              <c:numCache>
                <c:formatCode>General</c:formatCode>
                <c:ptCount val="21"/>
                <c:pt idx="0">
                  <c:v>20000</c:v>
                </c:pt>
                <c:pt idx="1">
                  <c:v>24635.254915624209</c:v>
                </c:pt>
                <c:pt idx="2">
                  <c:v>28816.778784387097</c:v>
                </c:pt>
                <c:pt idx="3">
                  <c:v>32135.254915624209</c:v>
                </c:pt>
                <c:pt idx="4">
                  <c:v>34265.847744427301</c:v>
                </c:pt>
                <c:pt idx="5">
                  <c:v>35000</c:v>
                </c:pt>
                <c:pt idx="6">
                  <c:v>34265.847744427301</c:v>
                </c:pt>
                <c:pt idx="7">
                  <c:v>32135.254915624209</c:v>
                </c:pt>
                <c:pt idx="8">
                  <c:v>28816.778784387097</c:v>
                </c:pt>
                <c:pt idx="9">
                  <c:v>24635.254915624213</c:v>
                </c:pt>
                <c:pt idx="10">
                  <c:v>20000.000000000004</c:v>
                </c:pt>
                <c:pt idx="11">
                  <c:v>15364.745084375798</c:v>
                </c:pt>
                <c:pt idx="12">
                  <c:v>11183.221215612904</c:v>
                </c:pt>
                <c:pt idx="13">
                  <c:v>7864.7450843757906</c:v>
                </c:pt>
                <c:pt idx="14">
                  <c:v>5734.152255572697</c:v>
                </c:pt>
                <c:pt idx="15">
                  <c:v>5000</c:v>
                </c:pt>
                <c:pt idx="16">
                  <c:v>5734.1522555726951</c:v>
                </c:pt>
                <c:pt idx="17">
                  <c:v>7864.745084375787</c:v>
                </c:pt>
                <c:pt idx="18">
                  <c:v>11183.221215612899</c:v>
                </c:pt>
                <c:pt idx="19">
                  <c:v>15364.745084375787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83-4322-A2E5-108F22F86DAD}"/>
            </c:ext>
          </c:extLst>
        </c:ser>
        <c:ser>
          <c:idx val="2"/>
          <c:order val="2"/>
          <c:tx>
            <c:strRef>
              <c:f>Feuille1!$A$36</c:f>
              <c:strCache>
                <c:ptCount val="1"/>
                <c:pt idx="0">
                  <c:v>Corp 3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635000">
                <a:schemeClr val="accent6"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Feuille1!$J$49:$J$69</c:f>
              <c:numCache>
                <c:formatCode>General</c:formatCode>
                <c:ptCount val="21"/>
                <c:pt idx="0">
                  <c:v>5000</c:v>
                </c:pt>
                <c:pt idx="1">
                  <c:v>4510.565162951536</c:v>
                </c:pt>
                <c:pt idx="2">
                  <c:v>3090.1699437494744</c:v>
                </c:pt>
                <c:pt idx="3">
                  <c:v>877.8525229247316</c:v>
                </c:pt>
                <c:pt idx="4">
                  <c:v>-1909.8300562505256</c:v>
                </c:pt>
                <c:pt idx="5">
                  <c:v>-4999.9999999999991</c:v>
                </c:pt>
                <c:pt idx="6">
                  <c:v>-8090.1699437494735</c:v>
                </c:pt>
                <c:pt idx="7">
                  <c:v>-10877.852522924732</c:v>
                </c:pt>
                <c:pt idx="8">
                  <c:v>-13090.169943749474</c:v>
                </c:pt>
                <c:pt idx="9">
                  <c:v>-14510.565162951536</c:v>
                </c:pt>
                <c:pt idx="10">
                  <c:v>-15000</c:v>
                </c:pt>
                <c:pt idx="11">
                  <c:v>-14510.565162951538</c:v>
                </c:pt>
                <c:pt idx="12">
                  <c:v>-13090.169943749475</c:v>
                </c:pt>
                <c:pt idx="13">
                  <c:v>-10877.852522924732</c:v>
                </c:pt>
                <c:pt idx="14">
                  <c:v>-8090.1699437494754</c:v>
                </c:pt>
                <c:pt idx="15">
                  <c:v>-5000.0000000000018</c:v>
                </c:pt>
                <c:pt idx="16">
                  <c:v>-1909.8300562505278</c:v>
                </c:pt>
                <c:pt idx="17">
                  <c:v>877.85252292472887</c:v>
                </c:pt>
                <c:pt idx="18">
                  <c:v>3090.1699437494735</c:v>
                </c:pt>
                <c:pt idx="19">
                  <c:v>4510.565162951536</c:v>
                </c:pt>
                <c:pt idx="20">
                  <c:v>5000</c:v>
                </c:pt>
              </c:numCache>
            </c:numRef>
          </c:xVal>
          <c:yVal>
            <c:numRef>
              <c:f>Feuille1!$K$49:$K$69</c:f>
              <c:numCache>
                <c:formatCode>General</c:formatCode>
                <c:ptCount val="21"/>
                <c:pt idx="0">
                  <c:v>-30000</c:v>
                </c:pt>
                <c:pt idx="1">
                  <c:v>-26909.830056250525</c:v>
                </c:pt>
                <c:pt idx="2">
                  <c:v>-24122.147477075268</c:v>
                </c:pt>
                <c:pt idx="3">
                  <c:v>-21909.830056250525</c:v>
                </c:pt>
                <c:pt idx="4">
                  <c:v>-20489.434837048466</c:v>
                </c:pt>
                <c:pt idx="5">
                  <c:v>-20000</c:v>
                </c:pt>
                <c:pt idx="6">
                  <c:v>-20489.434837048466</c:v>
                </c:pt>
                <c:pt idx="7">
                  <c:v>-21909.830056250525</c:v>
                </c:pt>
                <c:pt idx="8">
                  <c:v>-24122.147477075268</c:v>
                </c:pt>
                <c:pt idx="9">
                  <c:v>-26909.830056250525</c:v>
                </c:pt>
                <c:pt idx="10">
                  <c:v>-30000</c:v>
                </c:pt>
                <c:pt idx="11">
                  <c:v>-33090.169943749468</c:v>
                </c:pt>
                <c:pt idx="12">
                  <c:v>-35877.852522924732</c:v>
                </c:pt>
                <c:pt idx="13">
                  <c:v>-38090.169943749475</c:v>
                </c:pt>
                <c:pt idx="14">
                  <c:v>-39510.565162951534</c:v>
                </c:pt>
                <c:pt idx="15">
                  <c:v>-40000</c:v>
                </c:pt>
                <c:pt idx="16">
                  <c:v>-39510.565162951534</c:v>
                </c:pt>
                <c:pt idx="17">
                  <c:v>-38090.169943749475</c:v>
                </c:pt>
                <c:pt idx="18">
                  <c:v>-35877.852522924732</c:v>
                </c:pt>
                <c:pt idx="19">
                  <c:v>-33090.169943749475</c:v>
                </c:pt>
                <c:pt idx="20">
                  <c:v>-30000.000000000004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83-4322-A2E5-108F22F86DAD}"/>
            </c:ext>
          </c:extLst>
        </c:ser>
        <c:ser>
          <c:idx val="4"/>
          <c:order val="4"/>
          <c:tx>
            <c:v>Romano-Fafard</c:v>
          </c:tx>
          <c:spPr>
            <a:ln w="22225" cap="rnd">
              <a:solidFill>
                <a:srgbClr val="C00000"/>
              </a:solidFill>
            </a:ln>
            <a:effectLst>
              <a:glow>
                <a:srgbClr val="FFFF00"/>
              </a:glow>
            </a:effectLst>
          </c:spPr>
          <c:marker>
            <c:symbol val="diamond"/>
            <c:size val="72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>
                <a:glow>
                  <a:srgbClr val="FFFF00"/>
                </a:glow>
              </a:effectLst>
            </c:spPr>
          </c:marker>
          <c:trendline>
            <c:spPr>
              <a:ln w="25400" cap="rnd">
                <a:solidFill>
                  <a:schemeClr val="accent4">
                    <a:lumMod val="60000"/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Feuil2!$O$17</c:f>
              <c:numCache>
                <c:formatCode>General</c:formatCode>
                <c:ptCount val="1"/>
                <c:pt idx="0">
                  <c:v>-13074.175975925778</c:v>
                </c:pt>
              </c:numCache>
            </c:numRef>
          </c:xVal>
          <c:yVal>
            <c:numRef>
              <c:f>Feuil2!$P$17</c:f>
              <c:numCache>
                <c:formatCode>General</c:formatCode>
                <c:ptCount val="1"/>
                <c:pt idx="0">
                  <c:v>-28719.753535821488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683-4322-A2E5-108F22F86DAD}"/>
            </c:ext>
          </c:extLst>
        </c:ser>
        <c:ser>
          <c:idx val="5"/>
          <c:order val="5"/>
          <c:tx>
            <c:v>Trainée de cacannes</c:v>
          </c:tx>
          <c:spPr>
            <a:ln w="22225" cap="rnd" cmpd="sng">
              <a:solidFill>
                <a:schemeClr val="accent4">
                  <a:lumMod val="80000"/>
                  <a:lumOff val="20000"/>
                </a:schemeClr>
              </a:solidFill>
              <a:prstDash val="solid"/>
              <a:miter lim="800000"/>
              <a:headEnd type="none" w="sm" len="sm"/>
              <a:tailEnd type="none" w="lg" len="lg"/>
            </a:ln>
            <a:effectLst>
              <a:glow rad="279400">
                <a:schemeClr val="accent4">
                  <a:satMod val="175000"/>
                  <a:alpha val="30000"/>
                </a:schemeClr>
              </a:glow>
            </a:effectLst>
          </c:spPr>
          <c:marker>
            <c:symbol val="square"/>
            <c:size val="5"/>
            <c:spPr>
              <a:noFill/>
              <a:ln>
                <a:noFill/>
              </a:ln>
              <a:effectLst>
                <a:glow rad="279400">
                  <a:schemeClr val="accent4">
                    <a:satMod val="175000"/>
                    <a:alpha val="30000"/>
                  </a:schemeClr>
                </a:glow>
              </a:effectLst>
            </c:spPr>
          </c:marker>
          <c:xVal>
            <c:numRef>
              <c:f>Feuil2!$O$21:$O$32</c:f>
              <c:numCache>
                <c:formatCode>General</c:formatCode>
                <c:ptCount val="12"/>
                <c:pt idx="0">
                  <c:v>-19627.907176849829</c:v>
                </c:pt>
                <c:pt idx="1">
                  <c:v>-23439.588356209104</c:v>
                </c:pt>
                <c:pt idx="2">
                  <c:v>-25111.553499507485</c:v>
                </c:pt>
                <c:pt idx="3">
                  <c:v>-24823.96758375525</c:v>
                </c:pt>
                <c:pt idx="4">
                  <c:v>-22507.479100163808</c:v>
                </c:pt>
                <c:pt idx="5">
                  <c:v>-17896.189744224292</c:v>
                </c:pt>
                <c:pt idx="6">
                  <c:v>-10777.726332476788</c:v>
                </c:pt>
                <c:pt idx="7">
                  <c:v>-2425.7221265991457</c:v>
                </c:pt>
                <c:pt idx="8">
                  <c:v>4663.2021124606645</c:v>
                </c:pt>
                <c:pt idx="9">
                  <c:v>9747.3208480583962</c:v>
                </c:pt>
                <c:pt idx="10">
                  <c:v>12849.357640567949</c:v>
                </c:pt>
                <c:pt idx="11">
                  <c:v>14069.578763116646</c:v>
                </c:pt>
              </c:numCache>
            </c:numRef>
          </c:xVal>
          <c:yVal>
            <c:numRef>
              <c:f>Feuil2!$P$21:$P$32</c:f>
              <c:numCache>
                <c:formatCode>General</c:formatCode>
                <c:ptCount val="12"/>
                <c:pt idx="0">
                  <c:v>-31394.243882934505</c:v>
                </c:pt>
                <c:pt idx="1">
                  <c:v>-32598.695471488711</c:v>
                </c:pt>
                <c:pt idx="2">
                  <c:v>-32362.502361979808</c:v>
                </c:pt>
                <c:pt idx="3">
                  <c:v>-30759.334614739997</c:v>
                </c:pt>
                <c:pt idx="4">
                  <c:v>-27866.139148008362</c:v>
                </c:pt>
                <c:pt idx="5">
                  <c:v>-23880.467245779397</c:v>
                </c:pt>
                <c:pt idx="6">
                  <c:v>-19523.51703263291</c:v>
                </c:pt>
                <c:pt idx="7">
                  <c:v>-16291.016811646758</c:v>
                </c:pt>
                <c:pt idx="8">
                  <c:v>-14217.409422258825</c:v>
                </c:pt>
                <c:pt idx="9">
                  <c:v>-12468.749773096231</c:v>
                </c:pt>
                <c:pt idx="10">
                  <c:v>-10619.033771626328</c:v>
                </c:pt>
                <c:pt idx="11">
                  <c:v>-8487.2484147627802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E8-4B8C-850B-043E6CA9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891231"/>
        <c:axId val="1811894975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Vaisseau</c:v>
                </c:tx>
                <c:spPr>
                  <a:ln w="22225" cap="rnd">
                    <a:solidFill>
                      <a:schemeClr val="accent2">
                        <a:lumMod val="6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Feuil2!$C$56:$C$1056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-2155.5815963805753</c:v>
                      </c:pt>
                      <c:pt idx="3">
                        <c:v>-6603.6834132787899</c:v>
                      </c:pt>
                      <c:pt idx="4">
                        <c:v>-13722.626653922182</c:v>
                      </c:pt>
                      <c:pt idx="5">
                        <c:v>-23767.891163966113</c:v>
                      </c:pt>
                      <c:pt idx="6">
                        <c:v>-30025.245065416548</c:v>
                      </c:pt>
                      <c:pt idx="7">
                        <c:v>-32049.958207491174</c:v>
                      </c:pt>
                      <c:pt idx="8">
                        <c:v>-31102.546125558074</c:v>
                      </c:pt>
                      <c:pt idx="9">
                        <c:v>-27618.550565493912</c:v>
                      </c:pt>
                      <c:pt idx="10">
                        <c:v>-21634.972400506449</c:v>
                      </c:pt>
                      <c:pt idx="11">
                        <c:v>-14326.696242414633</c:v>
                      </c:pt>
                      <c:pt idx="12">
                        <c:v>-10993.895450815102</c:v>
                      </c:pt>
                      <c:pt idx="13">
                        <c:v>-10064.215079571481</c:v>
                      </c:pt>
                      <c:pt idx="14">
                        <c:v>-10558.710051758733</c:v>
                      </c:pt>
                      <c:pt idx="15">
                        <c:v>-11960.204685694011</c:v>
                      </c:pt>
                      <c:pt idx="16">
                        <c:v>-13928.512741700068</c:v>
                      </c:pt>
                      <c:pt idx="17">
                        <c:v>-16253.493901701464</c:v>
                      </c:pt>
                      <c:pt idx="18">
                        <c:v>-18835.609256513726</c:v>
                      </c:pt>
                      <c:pt idx="19">
                        <c:v>-21481.742824395347</c:v>
                      </c:pt>
                      <c:pt idx="20">
                        <c:v>-22591.125006231799</c:v>
                      </c:pt>
                      <c:pt idx="21">
                        <c:v>-22039.83585133322</c:v>
                      </c:pt>
                      <c:pt idx="22">
                        <c:v>-20868.200211640778</c:v>
                      </c:pt>
                      <c:pt idx="23">
                        <c:v>-19454.294776478026</c:v>
                      </c:pt>
                      <c:pt idx="24">
                        <c:v>-18060.671639539956</c:v>
                      </c:pt>
                      <c:pt idx="25">
                        <c:v>-17163.182537643501</c:v>
                      </c:pt>
                      <c:pt idx="26">
                        <c:v>-18333.635457549368</c:v>
                      </c:pt>
                      <c:pt idx="27">
                        <c:v>-20314.416743382022</c:v>
                      </c:pt>
                      <c:pt idx="28">
                        <c:v>-21797.737186198516</c:v>
                      </c:pt>
                      <c:pt idx="29">
                        <c:v>-22404.964366037526</c:v>
                      </c:pt>
                      <c:pt idx="30">
                        <c:v>-21957.686392736607</c:v>
                      </c:pt>
                      <c:pt idx="31">
                        <c:v>-20409.952785214831</c:v>
                      </c:pt>
                      <c:pt idx="32">
                        <c:v>-17872.272947658668</c:v>
                      </c:pt>
                      <c:pt idx="33">
                        <c:v>-14692.644061382864</c:v>
                      </c:pt>
                      <c:pt idx="34">
                        <c:v>-11537.597441267137</c:v>
                      </c:pt>
                      <c:pt idx="35">
                        <c:v>-9420.0988076053836</c:v>
                      </c:pt>
                      <c:pt idx="36">
                        <c:v>-10006.906581289682</c:v>
                      </c:pt>
                      <c:pt idx="37">
                        <c:v>-16082.619821953129</c:v>
                      </c:pt>
                      <c:pt idx="38">
                        <c:v>-24469.432246022487</c:v>
                      </c:pt>
                      <c:pt idx="39">
                        <c:v>-31264.235014873706</c:v>
                      </c:pt>
                      <c:pt idx="40">
                        <c:v>-35452.915064257119</c:v>
                      </c:pt>
                      <c:pt idx="41">
                        <c:v>-36334.012045194482</c:v>
                      </c:pt>
                      <c:pt idx="42">
                        <c:v>-32750.664025319435</c:v>
                      </c:pt>
                      <c:pt idx="43">
                        <c:v>-23070.716396222168</c:v>
                      </c:pt>
                      <c:pt idx="44">
                        <c:v>-11078.567477043372</c:v>
                      </c:pt>
                      <c:pt idx="45">
                        <c:v>-2252.9676035703915</c:v>
                      </c:pt>
                      <c:pt idx="46">
                        <c:v>3117.5647869087711</c:v>
                      </c:pt>
                      <c:pt idx="47">
                        <c:v>5418.0599562085408</c:v>
                      </c:pt>
                      <c:pt idx="48">
                        <c:v>4845.7016924651434</c:v>
                      </c:pt>
                      <c:pt idx="49">
                        <c:v>1116.9123643946805</c:v>
                      </c:pt>
                      <c:pt idx="50">
                        <c:v>-6654.239752500217</c:v>
                      </c:pt>
                      <c:pt idx="51">
                        <c:v>-19863.493160380203</c:v>
                      </c:pt>
                      <c:pt idx="52">
                        <c:v>-33042.132125917175</c:v>
                      </c:pt>
                      <c:pt idx="53">
                        <c:v>-40181.578301842805</c:v>
                      </c:pt>
                      <c:pt idx="54">
                        <c:v>-42723.461579654395</c:v>
                      </c:pt>
                      <c:pt idx="55">
                        <c:v>-41385.281077187967</c:v>
                      </c:pt>
                      <c:pt idx="56">
                        <c:v>-36252.186663530323</c:v>
                      </c:pt>
                      <c:pt idx="57">
                        <c:v>-26977.860660716906</c:v>
                      </c:pt>
                      <c:pt idx="58">
                        <c:v>-13992.365518713848</c:v>
                      </c:pt>
                      <c:pt idx="59">
                        <c:v>-5280.290090845343</c:v>
                      </c:pt>
                      <c:pt idx="60">
                        <c:v>-1757.3712455157329</c:v>
                      </c:pt>
                      <c:pt idx="61">
                        <c:v>-1881.8262869514101</c:v>
                      </c:pt>
                      <c:pt idx="62">
                        <c:v>-4972.8705901021422</c:v>
                      </c:pt>
                      <c:pt idx="63">
                        <c:v>-10868.495093414916</c:v>
                      </c:pt>
                      <c:pt idx="64">
                        <c:v>-19599.572682682414</c:v>
                      </c:pt>
                      <c:pt idx="65">
                        <c:v>-28500.606562246168</c:v>
                      </c:pt>
                      <c:pt idx="66">
                        <c:v>-32099.045268915979</c:v>
                      </c:pt>
                      <c:pt idx="67">
                        <c:v>-32411.835518894219</c:v>
                      </c:pt>
                      <c:pt idx="68">
                        <c:v>-30430.097457822976</c:v>
                      </c:pt>
                      <c:pt idx="69">
                        <c:v>-26622.762699958479</c:v>
                      </c:pt>
                      <c:pt idx="70">
                        <c:v>-21370.470774058285</c:v>
                      </c:pt>
                      <c:pt idx="71">
                        <c:v>-15337.837471144849</c:v>
                      </c:pt>
                      <c:pt idx="72">
                        <c:v>-9971.247622495368</c:v>
                      </c:pt>
                      <c:pt idx="73">
                        <c:v>-7974.7753703251028</c:v>
                      </c:pt>
                      <c:pt idx="74">
                        <c:v>-11783.483994918448</c:v>
                      </c:pt>
                      <c:pt idx="75">
                        <c:v>-18885.029391884273</c:v>
                      </c:pt>
                      <c:pt idx="76">
                        <c:v>-26211.753978563171</c:v>
                      </c:pt>
                      <c:pt idx="77">
                        <c:v>-31945.830631456221</c:v>
                      </c:pt>
                      <c:pt idx="78">
                        <c:v>-34568.486524862863</c:v>
                      </c:pt>
                      <c:pt idx="79">
                        <c:v>-32268.059801153788</c:v>
                      </c:pt>
                      <c:pt idx="80">
                        <c:v>-23996.12944308592</c:v>
                      </c:pt>
                      <c:pt idx="81">
                        <c:v>-13548.876229185549</c:v>
                      </c:pt>
                      <c:pt idx="82">
                        <c:v>-4755.0472837201269</c:v>
                      </c:pt>
                      <c:pt idx="83">
                        <c:v>1300.6502135919741</c:v>
                      </c:pt>
                      <c:pt idx="84">
                        <c:v>4488.3766643892159</c:v>
                      </c:pt>
                      <c:pt idx="85">
                        <c:v>4840.8843889387354</c:v>
                      </c:pt>
                      <c:pt idx="86">
                        <c:v>2140.7904529884568</c:v>
                      </c:pt>
                      <c:pt idx="87">
                        <c:v>-4373.5602187752365</c:v>
                      </c:pt>
                      <c:pt idx="88">
                        <c:v>-15864.975456162465</c:v>
                      </c:pt>
                      <c:pt idx="89">
                        <c:v>-30213.281624468884</c:v>
                      </c:pt>
                      <c:pt idx="90">
                        <c:v>-38784.642659300393</c:v>
                      </c:pt>
                      <c:pt idx="91">
                        <c:v>-42392.327817831887</c:v>
                      </c:pt>
                      <c:pt idx="92">
                        <c:v>-42029.161133373695</c:v>
                      </c:pt>
                      <c:pt idx="93">
                        <c:v>-38089.58668656792</c:v>
                      </c:pt>
                      <c:pt idx="94">
                        <c:v>-30627.421743517098</c:v>
                      </c:pt>
                      <c:pt idx="95">
                        <c:v>-19867.444949009892</c:v>
                      </c:pt>
                      <c:pt idx="96">
                        <c:v>-8893.1908516542753</c:v>
                      </c:pt>
                      <c:pt idx="97">
                        <c:v>-3473.5054690432598</c:v>
                      </c:pt>
                      <c:pt idx="98">
                        <c:v>-2613.3590788222309</c:v>
                      </c:pt>
                      <c:pt idx="99">
                        <c:v>-4901.4066883492687</c:v>
                      </c:pt>
                      <c:pt idx="100">
                        <c:v>-9567.9877008933181</c:v>
                      </c:pt>
                      <c:pt idx="101">
                        <c:v>-16112.291613574742</c:v>
                      </c:pt>
                      <c:pt idx="102">
                        <c:v>-23715.673641512942</c:v>
                      </c:pt>
                      <c:pt idx="103">
                        <c:v>-28868.0025772349</c:v>
                      </c:pt>
                      <c:pt idx="104">
                        <c:v>-28466.724252973552</c:v>
                      </c:pt>
                      <c:pt idx="105">
                        <c:v>-25368.624225439089</c:v>
                      </c:pt>
                      <c:pt idx="106">
                        <c:v>-20872.334581045925</c:v>
                      </c:pt>
                      <c:pt idx="107">
                        <c:v>-15572.868856709225</c:v>
                      </c:pt>
                      <c:pt idx="108">
                        <c:v>-9977.2454218350249</c:v>
                      </c:pt>
                      <c:pt idx="109">
                        <c:v>-4770.6507706345146</c:v>
                      </c:pt>
                      <c:pt idx="110">
                        <c:v>-670.07080362870693</c:v>
                      </c:pt>
                      <c:pt idx="111">
                        <c:v>1869.284646644197</c:v>
                      </c:pt>
                      <c:pt idx="112">
                        <c:v>2635.8269414218898</c:v>
                      </c:pt>
                      <c:pt idx="113">
                        <c:v>1500.7516282274364</c:v>
                      </c:pt>
                      <c:pt idx="114">
                        <c:v>-1737.342381142169</c:v>
                      </c:pt>
                      <c:pt idx="115">
                        <c:v>-7591.036342427682</c:v>
                      </c:pt>
                      <c:pt idx="116">
                        <c:v>-17333.472590368339</c:v>
                      </c:pt>
                      <c:pt idx="117">
                        <c:v>-29511.194571082044</c:v>
                      </c:pt>
                      <c:pt idx="118">
                        <c:v>-37110.872594276269</c:v>
                      </c:pt>
                      <c:pt idx="119">
                        <c:v>-41455.124874475769</c:v>
                      </c:pt>
                      <c:pt idx="120">
                        <c:v>-43223.220707554552</c:v>
                      </c:pt>
                      <c:pt idx="121">
                        <c:v>-42607.57310858235</c:v>
                      </c:pt>
                      <c:pt idx="122">
                        <c:v>-39450.867885950487</c:v>
                      </c:pt>
                      <c:pt idx="123">
                        <c:v>-33129.755536329103</c:v>
                      </c:pt>
                      <c:pt idx="124">
                        <c:v>-22126.281150696152</c:v>
                      </c:pt>
                      <c:pt idx="125">
                        <c:v>-8775.5308932556709</c:v>
                      </c:pt>
                      <c:pt idx="126">
                        <c:v>342.80772281224745</c:v>
                      </c:pt>
                      <c:pt idx="127">
                        <c:v>6726.3492224108259</c:v>
                      </c:pt>
                      <c:pt idx="128">
                        <c:v>11034.527471842506</c:v>
                      </c:pt>
                      <c:pt idx="129">
                        <c:v>13463.83680980725</c:v>
                      </c:pt>
                      <c:pt idx="130">
                        <c:v>14069.578763116646</c:v>
                      </c:pt>
                      <c:pt idx="131">
                        <c:v>12849.357640567949</c:v>
                      </c:pt>
                      <c:pt idx="132">
                        <c:v>9747.3208480583962</c:v>
                      </c:pt>
                      <c:pt idx="133">
                        <c:v>4663.2021124606645</c:v>
                      </c:pt>
                      <c:pt idx="134">
                        <c:v>-2425.7221265991457</c:v>
                      </c:pt>
                      <c:pt idx="135">
                        <c:v>-10777.726332476788</c:v>
                      </c:pt>
                      <c:pt idx="136">
                        <c:v>-17896.189744224292</c:v>
                      </c:pt>
                      <c:pt idx="137">
                        <c:v>-22507.479100163808</c:v>
                      </c:pt>
                      <c:pt idx="138">
                        <c:v>-24823.96758375525</c:v>
                      </c:pt>
                      <c:pt idx="139">
                        <c:v>-25111.553499507485</c:v>
                      </c:pt>
                      <c:pt idx="140">
                        <c:v>-23439.588356209104</c:v>
                      </c:pt>
                      <c:pt idx="141">
                        <c:v>-19627.907176849829</c:v>
                      </c:pt>
                      <c:pt idx="142">
                        <c:v>-13074.175975925778</c:v>
                      </c:pt>
                      <c:pt idx="143">
                        <c:v>-2750.4418130729327</c:v>
                      </c:pt>
                      <c:pt idx="144">
                        <c:v>5482.2241211281307</c:v>
                      </c:pt>
                      <c:pt idx="145">
                        <c:v>10261.827719297115</c:v>
                      </c:pt>
                      <c:pt idx="146">
                        <c:v>12227.905327387933</c:v>
                      </c:pt>
                      <c:pt idx="147">
                        <c:v>11661.078323975024</c:v>
                      </c:pt>
                      <c:pt idx="148">
                        <c:v>8571.2192945534698</c:v>
                      </c:pt>
                      <c:pt idx="149">
                        <c:v>2797.6017602634374</c:v>
                      </c:pt>
                      <c:pt idx="150">
                        <c:v>-5573.793286920818</c:v>
                      </c:pt>
                      <c:pt idx="151">
                        <c:v>-14228.960132921997</c:v>
                      </c:pt>
                      <c:pt idx="152">
                        <c:v>-20393.725808041447</c:v>
                      </c:pt>
                      <c:pt idx="153">
                        <c:v>-24096.491287078687</c:v>
                      </c:pt>
                      <c:pt idx="154">
                        <c:v>-25689.742863749318</c:v>
                      </c:pt>
                      <c:pt idx="155">
                        <c:v>-25332.575707972606</c:v>
                      </c:pt>
                      <c:pt idx="156">
                        <c:v>-22989.424602758023</c:v>
                      </c:pt>
                      <c:pt idx="157">
                        <c:v>-18419.284490325474</c:v>
                      </c:pt>
                      <c:pt idx="158">
                        <c:v>-11215.201781453294</c:v>
                      </c:pt>
                      <c:pt idx="159">
                        <c:v>-2005.4057209730547</c:v>
                      </c:pt>
                      <c:pt idx="160">
                        <c:v>5513.9651469176797</c:v>
                      </c:pt>
                      <c:pt idx="161">
                        <c:v>10190.01272349228</c:v>
                      </c:pt>
                      <c:pt idx="162">
                        <c:v>12191.016722934923</c:v>
                      </c:pt>
                      <c:pt idx="163">
                        <c:v>11635.954827517384</c:v>
                      </c:pt>
                      <c:pt idx="164">
                        <c:v>8400.3935617883271</c:v>
                      </c:pt>
                      <c:pt idx="165">
                        <c:v>1995.9410558266964</c:v>
                      </c:pt>
                      <c:pt idx="166">
                        <c:v>-8200.8988312912843</c:v>
                      </c:pt>
                      <c:pt idx="167">
                        <c:v>-16092.669870710588</c:v>
                      </c:pt>
                      <c:pt idx="168">
                        <c:v>-20569.75909414787</c:v>
                      </c:pt>
                      <c:pt idx="169">
                        <c:v>-22462.886427989364</c:v>
                      </c:pt>
                      <c:pt idx="170">
                        <c:v>-22055.370757293771</c:v>
                      </c:pt>
                      <c:pt idx="171">
                        <c:v>-19264.631831559047</c:v>
                      </c:pt>
                      <c:pt idx="172">
                        <c:v>-13712.080649714404</c:v>
                      </c:pt>
                      <c:pt idx="173">
                        <c:v>-5322.0905011557952</c:v>
                      </c:pt>
                      <c:pt idx="174">
                        <c:v>2723.084901926416</c:v>
                      </c:pt>
                      <c:pt idx="175">
                        <c:v>8063.2641699943915</c:v>
                      </c:pt>
                      <c:pt idx="176">
                        <c:v>10641.405422762073</c:v>
                      </c:pt>
                      <c:pt idx="177">
                        <c:v>10584.782009909821</c:v>
                      </c:pt>
                      <c:pt idx="178">
                        <c:v>7813.6527093204586</c:v>
                      </c:pt>
                      <c:pt idx="179">
                        <c:v>1929.4690605281135</c:v>
                      </c:pt>
                      <c:pt idx="180">
                        <c:v>-7537.6419488487754</c:v>
                      </c:pt>
                      <c:pt idx="181">
                        <c:v>-15216.004127657176</c:v>
                      </c:pt>
                      <c:pt idx="182">
                        <c:v>-19326.9264295758</c:v>
                      </c:pt>
                      <c:pt idx="183">
                        <c:v>-20707.378285463106</c:v>
                      </c:pt>
                      <c:pt idx="184">
                        <c:v>-19610.509966871967</c:v>
                      </c:pt>
                      <c:pt idx="185">
                        <c:v>-15801.181590370876</c:v>
                      </c:pt>
                      <c:pt idx="186">
                        <c:v>-8533.0296887824952</c:v>
                      </c:pt>
                      <c:pt idx="187">
                        <c:v>911.35965409508344</c:v>
                      </c:pt>
                      <c:pt idx="188">
                        <c:v>7158.2495235637261</c:v>
                      </c:pt>
                      <c:pt idx="189">
                        <c:v>10280.590599533036</c:v>
                      </c:pt>
                      <c:pt idx="190">
                        <c:v>10636.376408653141</c:v>
                      </c:pt>
                      <c:pt idx="191">
                        <c:v>8283.0185847282828</c:v>
                      </c:pt>
                      <c:pt idx="192">
                        <c:v>3001.3397895971248</c:v>
                      </c:pt>
                      <c:pt idx="193">
                        <c:v>-5427.6066963843887</c:v>
                      </c:pt>
                      <c:pt idx="194">
                        <c:v>-14012.203008662469</c:v>
                      </c:pt>
                      <c:pt idx="195">
                        <c:v>-19088.313584925898</c:v>
                      </c:pt>
                      <c:pt idx="196">
                        <c:v>-21310.379881822799</c:v>
                      </c:pt>
                      <c:pt idx="197">
                        <c:v>-21121.4791048521</c:v>
                      </c:pt>
                      <c:pt idx="198">
                        <c:v>-18524.450142845726</c:v>
                      </c:pt>
                      <c:pt idx="199">
                        <c:v>-13035.169640597864</c:v>
                      </c:pt>
                      <c:pt idx="200">
                        <c:v>-3721.5532279204767</c:v>
                      </c:pt>
                      <c:pt idx="201">
                        <c:v>4168.5825148244257</c:v>
                      </c:pt>
                      <c:pt idx="202">
                        <c:v>8537.7274303435315</c:v>
                      </c:pt>
                      <c:pt idx="203">
                        <c:v>9911.981016519574</c:v>
                      </c:pt>
                      <c:pt idx="204">
                        <c:v>8516.7274628509222</c:v>
                      </c:pt>
                      <c:pt idx="205">
                        <c:v>4289.4026409382359</c:v>
                      </c:pt>
                      <c:pt idx="206">
                        <c:v>-2905.9001654403814</c:v>
                      </c:pt>
                      <c:pt idx="207">
                        <c:v>-11614.801073094284</c:v>
                      </c:pt>
                      <c:pt idx="208">
                        <c:v>-17455.059263778578</c:v>
                      </c:pt>
                      <c:pt idx="209">
                        <c:v>-20170.578588989258</c:v>
                      </c:pt>
                      <c:pt idx="210">
                        <c:v>-20239.198944536794</c:v>
                      </c:pt>
                      <c:pt idx="211">
                        <c:v>-17744.61412947761</c:v>
                      </c:pt>
                      <c:pt idx="212">
                        <c:v>-12262.230394529186</c:v>
                      </c:pt>
                      <c:pt idx="213">
                        <c:v>-2923.7339880027016</c:v>
                      </c:pt>
                      <c:pt idx="214">
                        <c:v>4208.6394112223843</c:v>
                      </c:pt>
                      <c:pt idx="215">
                        <c:v>7666.1470034724598</c:v>
                      </c:pt>
                      <c:pt idx="216">
                        <c:v>8037.7027706607369</c:v>
                      </c:pt>
                      <c:pt idx="217">
                        <c:v>5540.7336170773906</c:v>
                      </c:pt>
                      <c:pt idx="218">
                        <c:v>205.29406745064216</c:v>
                      </c:pt>
                      <c:pt idx="219">
                        <c:v>-7432.5664784315286</c:v>
                      </c:pt>
                      <c:pt idx="220">
                        <c:v>-14382.702427894128</c:v>
                      </c:pt>
                      <c:pt idx="221">
                        <c:v>-18268.027782823268</c:v>
                      </c:pt>
                      <c:pt idx="222">
                        <c:v>-19163.340770846975</c:v>
                      </c:pt>
                      <c:pt idx="223">
                        <c:v>-17242.172112244163</c:v>
                      </c:pt>
                      <c:pt idx="224">
                        <c:v>-12242.232757090505</c:v>
                      </c:pt>
                      <c:pt idx="225">
                        <c:v>-3497.0692576408615</c:v>
                      </c:pt>
                      <c:pt idx="226">
                        <c:v>3399.2062350842034</c:v>
                      </c:pt>
                      <c:pt idx="227">
                        <c:v>6348.7274498960332</c:v>
                      </c:pt>
                      <c:pt idx="228">
                        <c:v>6046.3790504804601</c:v>
                      </c:pt>
                      <c:pt idx="229">
                        <c:v>2820.2506059358511</c:v>
                      </c:pt>
                      <c:pt idx="230">
                        <c:v>-3000.0829578964644</c:v>
                      </c:pt>
                      <c:pt idx="231">
                        <c:v>-10088.26690577226</c:v>
                      </c:pt>
                      <c:pt idx="232">
                        <c:v>-15673.691000041475</c:v>
                      </c:pt>
                      <c:pt idx="233">
                        <c:v>-18453.659819389723</c:v>
                      </c:pt>
                      <c:pt idx="234">
                        <c:v>-18346.672947368068</c:v>
                      </c:pt>
                      <c:pt idx="235">
                        <c:v>-15243.595307639178</c:v>
                      </c:pt>
                      <c:pt idx="236">
                        <c:v>-8598.5021851312486</c:v>
                      </c:pt>
                      <c:pt idx="237">
                        <c:v>942.03710597749978</c:v>
                      </c:pt>
                      <c:pt idx="238">
                        <c:v>6216.4869043382932</c:v>
                      </c:pt>
                      <c:pt idx="239">
                        <c:v>7807.1589782883257</c:v>
                      </c:pt>
                      <c:pt idx="240">
                        <c:v>6212.7799556328782</c:v>
                      </c:pt>
                      <c:pt idx="241">
                        <c:v>1582.2644056385639</c:v>
                      </c:pt>
                      <c:pt idx="242">
                        <c:v>-5650.8361635113015</c:v>
                      </c:pt>
                      <c:pt idx="243">
                        <c:v>-13112.280478861894</c:v>
                      </c:pt>
                      <c:pt idx="244">
                        <c:v>-18109.922848859122</c:v>
                      </c:pt>
                      <c:pt idx="245">
                        <c:v>-20335.601733418673</c:v>
                      </c:pt>
                      <c:pt idx="246">
                        <c:v>-19942.00495185193</c:v>
                      </c:pt>
                      <c:pt idx="247">
                        <c:v>-16834.97785422884</c:v>
                      </c:pt>
                      <c:pt idx="248">
                        <c:v>-10451.585292088086</c:v>
                      </c:pt>
                      <c:pt idx="249">
                        <c:v>-495.94978126184924</c:v>
                      </c:pt>
                      <c:pt idx="250">
                        <c:v>5770.9386602243767</c:v>
                      </c:pt>
                      <c:pt idx="251">
                        <c:v>8234.4567151884603</c:v>
                      </c:pt>
                      <c:pt idx="252">
                        <c:v>7360.425483983181</c:v>
                      </c:pt>
                      <c:pt idx="253">
                        <c:v>3094.8217649468743</c:v>
                      </c:pt>
                      <c:pt idx="254">
                        <c:v>-4813.8694747076997</c:v>
                      </c:pt>
                      <c:pt idx="255">
                        <c:v>-13267.088946899763</c:v>
                      </c:pt>
                      <c:pt idx="256">
                        <c:v>-18135.331954607595</c:v>
                      </c:pt>
                      <c:pt idx="257">
                        <c:v>-19968.63278490525</c:v>
                      </c:pt>
                      <c:pt idx="258">
                        <c:v>-19110.084961032273</c:v>
                      </c:pt>
                      <c:pt idx="259">
                        <c:v>-15406.63982851541</c:v>
                      </c:pt>
                      <c:pt idx="260">
                        <c:v>-8180.599736934857</c:v>
                      </c:pt>
                      <c:pt idx="261">
                        <c:v>1245.2144380814489</c:v>
                      </c:pt>
                      <c:pt idx="262">
                        <c:v>6980.6065722979474</c:v>
                      </c:pt>
                      <c:pt idx="263">
                        <c:v>9287.3720640116844</c:v>
                      </c:pt>
                      <c:pt idx="264">
                        <c:v>8505.3289194397439</c:v>
                      </c:pt>
                      <c:pt idx="265">
                        <c:v>4536.3033751803669</c:v>
                      </c:pt>
                      <c:pt idx="266">
                        <c:v>-3066.1853472617959</c:v>
                      </c:pt>
                      <c:pt idx="267">
                        <c:v>-12508.541241042612</c:v>
                      </c:pt>
                      <c:pt idx="268">
                        <c:v>-18290.825210155064</c:v>
                      </c:pt>
                      <c:pt idx="269">
                        <c:v>-21067.284933785675</c:v>
                      </c:pt>
                      <c:pt idx="270">
                        <c:v>-21334.4232878728</c:v>
                      </c:pt>
                      <c:pt idx="271">
                        <c:v>-19125.504339928229</c:v>
                      </c:pt>
                      <c:pt idx="272">
                        <c:v>-14065.157615592125</c:v>
                      </c:pt>
                      <c:pt idx="273">
                        <c:v>-5625.8000013899391</c:v>
                      </c:pt>
                      <c:pt idx="274">
                        <c:v>2792.7828397693388</c:v>
                      </c:pt>
                      <c:pt idx="275">
                        <c:v>7866.622206951517</c:v>
                      </c:pt>
                      <c:pt idx="276">
                        <c:v>9755.6592710632685</c:v>
                      </c:pt>
                      <c:pt idx="277">
                        <c:v>8623.7937758598273</c:v>
                      </c:pt>
                      <c:pt idx="278">
                        <c:v>4231.4128274294872</c:v>
                      </c:pt>
                      <c:pt idx="279">
                        <c:v>-4142.7034186292149</c:v>
                      </c:pt>
                      <c:pt idx="280">
                        <c:v>-13687.286647778885</c:v>
                      </c:pt>
                      <c:pt idx="281">
                        <c:v>-19460.039817917725</c:v>
                      </c:pt>
                      <c:pt idx="282">
                        <c:v>-22440.454520650281</c:v>
                      </c:pt>
                      <c:pt idx="283">
                        <c:v>-23091.729488637011</c:v>
                      </c:pt>
                      <c:pt idx="284">
                        <c:v>-21503.364419082711</c:v>
                      </c:pt>
                      <c:pt idx="285">
                        <c:v>-17577.930115549003</c:v>
                      </c:pt>
                      <c:pt idx="286">
                        <c:v>-11360.22801704095</c:v>
                      </c:pt>
                      <c:pt idx="287">
                        <c:v>-4014.855044780561</c:v>
                      </c:pt>
                      <c:pt idx="288">
                        <c:v>2417.2831643052345</c:v>
                      </c:pt>
                      <c:pt idx="289">
                        <c:v>7037.2914094088646</c:v>
                      </c:pt>
                      <c:pt idx="290">
                        <c:v>9716.0166711281563</c:v>
                      </c:pt>
                      <c:pt idx="291">
                        <c:v>10490.302539592478</c:v>
                      </c:pt>
                      <c:pt idx="292">
                        <c:v>9393.011190191055</c:v>
                      </c:pt>
                      <c:pt idx="293">
                        <c:v>6417.6759331219182</c:v>
                      </c:pt>
                      <c:pt idx="294">
                        <c:v>1484.8767266257869</c:v>
                      </c:pt>
                      <c:pt idx="295">
                        <c:v>-5690.1876366333454</c:v>
                      </c:pt>
                      <c:pt idx="296">
                        <c:v>-15889.282956074516</c:v>
                      </c:pt>
                      <c:pt idx="297">
                        <c:v>-28836.908013382446</c:v>
                      </c:pt>
                      <c:pt idx="298">
                        <c:v>-36361.46532716135</c:v>
                      </c:pt>
                      <c:pt idx="299">
                        <c:v>-40471.926976201597</c:v>
                      </c:pt>
                      <c:pt idx="300">
                        <c:v>-42230.641930728991</c:v>
                      </c:pt>
                      <c:pt idx="301">
                        <c:v>-42069.145039448114</c:v>
                      </c:pt>
                      <c:pt idx="302">
                        <c:v>-40123.631759846765</c:v>
                      </c:pt>
                      <c:pt idx="303">
                        <c:v>-36319.349033796767</c:v>
                      </c:pt>
                      <c:pt idx="304">
                        <c:v>-30325.922923348196</c:v>
                      </c:pt>
                      <c:pt idx="305">
                        <c:v>-21424.549581585219</c:v>
                      </c:pt>
                      <c:pt idx="306">
                        <c:v>-11116.723912964404</c:v>
                      </c:pt>
                      <c:pt idx="307">
                        <c:v>-4597.0783723069035</c:v>
                      </c:pt>
                      <c:pt idx="308">
                        <c:v>-52.383376161194519</c:v>
                      </c:pt>
                      <c:pt idx="309">
                        <c:v>2942.295026483288</c:v>
                      </c:pt>
                      <c:pt idx="310">
                        <c:v>3597.8089582925145</c:v>
                      </c:pt>
                      <c:pt idx="311">
                        <c:v>-20.497286555815663</c:v>
                      </c:pt>
                      <c:pt idx="312">
                        <c:v>-5982.4070205320868</c:v>
                      </c:pt>
                      <c:pt idx="313">
                        <c:v>-11876.502648493624</c:v>
                      </c:pt>
                      <c:pt idx="314">
                        <c:v>-16847.114795536305</c:v>
                      </c:pt>
                      <c:pt idx="315">
                        <c:v>-20444.895882048517</c:v>
                      </c:pt>
                      <c:pt idx="316">
                        <c:v>-22260.909062271319</c:v>
                      </c:pt>
                      <c:pt idx="317">
                        <c:v>-21882.567055917432</c:v>
                      </c:pt>
                      <c:pt idx="318">
                        <c:v>-19168.338968537922</c:v>
                      </c:pt>
                      <c:pt idx="319">
                        <c:v>-14811.678857614883</c:v>
                      </c:pt>
                      <c:pt idx="320">
                        <c:v>-10213.385477522801</c:v>
                      </c:pt>
                      <c:pt idx="321">
                        <c:v>-7286.5371895796434</c:v>
                      </c:pt>
                      <c:pt idx="322">
                        <c:v>-9386.1691344248284</c:v>
                      </c:pt>
                      <c:pt idx="323">
                        <c:v>-15621.496342911316</c:v>
                      </c:pt>
                      <c:pt idx="324">
                        <c:v>-22676.752706891406</c:v>
                      </c:pt>
                      <c:pt idx="325">
                        <c:v>-29344.591373508083</c:v>
                      </c:pt>
                      <c:pt idx="326">
                        <c:v>-35178.832901611786</c:v>
                      </c:pt>
                      <c:pt idx="327">
                        <c:v>-39929.877021300308</c:v>
                      </c:pt>
                      <c:pt idx="328">
                        <c:v>-43369.03995112409</c:v>
                      </c:pt>
                      <c:pt idx="329">
                        <c:v>-45202.587543099566</c:v>
                      </c:pt>
                      <c:pt idx="330">
                        <c:v>-44982.135616371401</c:v>
                      </c:pt>
                      <c:pt idx="331">
                        <c:v>-41952.464398675227</c:v>
                      </c:pt>
                      <c:pt idx="332">
                        <c:v>-34812.729937396442</c:v>
                      </c:pt>
                      <c:pt idx="333">
                        <c:v>-22307.752846563424</c:v>
                      </c:pt>
                      <c:pt idx="334">
                        <c:v>-8496.6368594128035</c:v>
                      </c:pt>
                      <c:pt idx="335">
                        <c:v>2921.7886814706194</c:v>
                      </c:pt>
                      <c:pt idx="336">
                        <c:v>11914.528740933854</c:v>
                      </c:pt>
                      <c:pt idx="337">
                        <c:v>19025.238397017918</c:v>
                      </c:pt>
                      <c:pt idx="338">
                        <c:v>24362.626982066588</c:v>
                      </c:pt>
                      <c:pt idx="339">
                        <c:v>27076.309775279577</c:v>
                      </c:pt>
                      <c:pt idx="340">
                        <c:v>26835.34839124326</c:v>
                      </c:pt>
                      <c:pt idx="341">
                        <c:v>23902.670685140267</c:v>
                      </c:pt>
                      <c:pt idx="342">
                        <c:v>18718.28500989034</c:v>
                      </c:pt>
                      <c:pt idx="343">
                        <c:v>11674.702422927698</c:v>
                      </c:pt>
                      <c:pt idx="344">
                        <c:v>2414.9573456379298</c:v>
                      </c:pt>
                      <c:pt idx="345">
                        <c:v>-10479.162984798018</c:v>
                      </c:pt>
                      <c:pt idx="346">
                        <c:v>-28940.342395227653</c:v>
                      </c:pt>
                      <c:pt idx="347">
                        <c:v>-41288.295099706433</c:v>
                      </c:pt>
                      <c:pt idx="348">
                        <c:v>-49347.036578990701</c:v>
                      </c:pt>
                      <c:pt idx="349">
                        <c:v>-54509.312235025063</c:v>
                      </c:pt>
                      <c:pt idx="350">
                        <c:v>-57398.104182679388</c:v>
                      </c:pt>
                      <c:pt idx="351">
                        <c:v>-58304.72446014973</c:v>
                      </c:pt>
                      <c:pt idx="352">
                        <c:v>-57341.628363981974</c:v>
                      </c:pt>
                      <c:pt idx="353">
                        <c:v>-54491.12367576392</c:v>
                      </c:pt>
                      <c:pt idx="354">
                        <c:v>-49602.977472171544</c:v>
                      </c:pt>
                      <c:pt idx="355">
                        <c:v>-42344.39179455585</c:v>
                      </c:pt>
                      <c:pt idx="356">
                        <c:v>-32085.412408116797</c:v>
                      </c:pt>
                      <c:pt idx="357">
                        <c:v>-18000.386604027182</c:v>
                      </c:pt>
                      <c:pt idx="358">
                        <c:v>-5239.8289214190954</c:v>
                      </c:pt>
                      <c:pt idx="359">
                        <c:v>2353.4088971356059</c:v>
                      </c:pt>
                      <c:pt idx="360">
                        <c:v>7051.2462111152345</c:v>
                      </c:pt>
                      <c:pt idx="361">
                        <c:v>9821.6577819030827</c:v>
                      </c:pt>
                      <c:pt idx="362">
                        <c:v>11103.237762790732</c:v>
                      </c:pt>
                      <c:pt idx="363">
                        <c:v>11116.430110482384</c:v>
                      </c:pt>
                      <c:pt idx="364">
                        <c:v>9965.4894712624791</c:v>
                      </c:pt>
                      <c:pt idx="365">
                        <c:v>7673.9225398840445</c:v>
                      </c:pt>
                      <c:pt idx="366">
                        <c:v>4188.2047366707593</c:v>
                      </c:pt>
                      <c:pt idx="367">
                        <c:v>-649.07242076173998</c:v>
                      </c:pt>
                      <c:pt idx="368">
                        <c:v>-7186.1095345470085</c:v>
                      </c:pt>
                      <c:pt idx="369">
                        <c:v>-16188.487864844497</c:v>
                      </c:pt>
                      <c:pt idx="370">
                        <c:v>-27815.265219166085</c:v>
                      </c:pt>
                      <c:pt idx="371">
                        <c:v>-35120.675110568525</c:v>
                      </c:pt>
                      <c:pt idx="372">
                        <c:v>-39863.6415496439</c:v>
                      </c:pt>
                      <c:pt idx="373">
                        <c:v>-42819.805949882713</c:v>
                      </c:pt>
                      <c:pt idx="374">
                        <c:v>-44336.51246715452</c:v>
                      </c:pt>
                      <c:pt idx="375">
                        <c:v>-44608.033788456225</c:v>
                      </c:pt>
                      <c:pt idx="376">
                        <c:v>-43754.3206454725</c:v>
                      </c:pt>
                      <c:pt idx="377">
                        <c:v>-41846.47961597125</c:v>
                      </c:pt>
                      <c:pt idx="378">
                        <c:v>-38914.292591973863</c:v>
                      </c:pt>
                      <c:pt idx="379">
                        <c:v>-34942.95565616629</c:v>
                      </c:pt>
                      <c:pt idx="380">
                        <c:v>-29855.246037140641</c:v>
                      </c:pt>
                      <c:pt idx="381">
                        <c:v>-23459.783970640932</c:v>
                      </c:pt>
                      <c:pt idx="382">
                        <c:v>-15294.159953081838</c:v>
                      </c:pt>
                      <c:pt idx="383">
                        <c:v>-4181.0476404424571</c:v>
                      </c:pt>
                      <c:pt idx="384">
                        <c:v>5759.7307689074196</c:v>
                      </c:pt>
                      <c:pt idx="385">
                        <c:v>12398.192558822602</c:v>
                      </c:pt>
                      <c:pt idx="386">
                        <c:v>16855.284569942731</c:v>
                      </c:pt>
                      <c:pt idx="387">
                        <c:v>19514.478184220348</c:v>
                      </c:pt>
                      <c:pt idx="388">
                        <c:v>20471.556870532262</c:v>
                      </c:pt>
                      <c:pt idx="389">
                        <c:v>19660.451185727623</c:v>
                      </c:pt>
                      <c:pt idx="390">
                        <c:v>17029.417540119699</c:v>
                      </c:pt>
                      <c:pt idx="391">
                        <c:v>13520.307334567638</c:v>
                      </c:pt>
                      <c:pt idx="392">
                        <c:v>7954.144570131577</c:v>
                      </c:pt>
                      <c:pt idx="393">
                        <c:v>-22.545319054357151</c:v>
                      </c:pt>
                      <c:pt idx="394">
                        <c:v>-10481.931692593651</c:v>
                      </c:pt>
                      <c:pt idx="395">
                        <c:v>-22728.947225772677</c:v>
                      </c:pt>
                      <c:pt idx="396">
                        <c:v>-34102.086283834818</c:v>
                      </c:pt>
                      <c:pt idx="397">
                        <c:v>-41312.671475617339</c:v>
                      </c:pt>
                      <c:pt idx="398">
                        <c:v>-44082.593899000982</c:v>
                      </c:pt>
                      <c:pt idx="399">
                        <c:v>-43479.131191386477</c:v>
                      </c:pt>
                      <c:pt idx="400">
                        <c:v>-40411.886920442157</c:v>
                      </c:pt>
                      <c:pt idx="401">
                        <c:v>-35462.101980989537</c:v>
                      </c:pt>
                      <c:pt idx="402">
                        <c:v>-28941.03688687973</c:v>
                      </c:pt>
                      <c:pt idx="403">
                        <c:v>-20876.312416599714</c:v>
                      </c:pt>
                      <c:pt idx="404">
                        <c:v>-10798.75439831012</c:v>
                      </c:pt>
                      <c:pt idx="405">
                        <c:v>1954.2224057372955</c:v>
                      </c:pt>
                      <c:pt idx="406">
                        <c:v>10316.477250983393</c:v>
                      </c:pt>
                      <c:pt idx="407">
                        <c:v>15691.389001762926</c:v>
                      </c:pt>
                      <c:pt idx="408">
                        <c:v>18982.432654413871</c:v>
                      </c:pt>
                      <c:pt idx="409">
                        <c:v>20559.364404281125</c:v>
                      </c:pt>
                      <c:pt idx="410">
                        <c:v>20554.240472973586</c:v>
                      </c:pt>
                      <c:pt idx="411">
                        <c:v>18946.654869033162</c:v>
                      </c:pt>
                      <c:pt idx="412">
                        <c:v>15557.954044541519</c:v>
                      </c:pt>
                      <c:pt idx="413">
                        <c:v>9953.7442476420547</c:v>
                      </c:pt>
                      <c:pt idx="414">
                        <c:v>1179.7081520522934</c:v>
                      </c:pt>
                      <c:pt idx="415">
                        <c:v>-11292.08983635018</c:v>
                      </c:pt>
                      <c:pt idx="416">
                        <c:v>-21624.006952464486</c:v>
                      </c:pt>
                      <c:pt idx="417">
                        <c:v>-30068.667777755087</c:v>
                      </c:pt>
                      <c:pt idx="418">
                        <c:v>-36978.356921115977</c:v>
                      </c:pt>
                      <c:pt idx="419">
                        <c:v>-42359.797658338859</c:v>
                      </c:pt>
                      <c:pt idx="420">
                        <c:v>-46042.203677509875</c:v>
                      </c:pt>
                      <c:pt idx="421">
                        <c:v>-47713.412932088104</c:v>
                      </c:pt>
                      <c:pt idx="422">
                        <c:v>-46887.247513373892</c:v>
                      </c:pt>
                      <c:pt idx="423">
                        <c:v>-42842.074615428224</c:v>
                      </c:pt>
                      <c:pt idx="424">
                        <c:v>-34694.598697363253</c:v>
                      </c:pt>
                      <c:pt idx="425">
                        <c:v>-22459.569075996769</c:v>
                      </c:pt>
                      <c:pt idx="426">
                        <c:v>-9347.8871998280974</c:v>
                      </c:pt>
                      <c:pt idx="427">
                        <c:v>1418.6780105587318</c:v>
                      </c:pt>
                      <c:pt idx="428">
                        <c:v>9249.9982834202365</c:v>
                      </c:pt>
                      <c:pt idx="429">
                        <c:v>14579.91980154577</c:v>
                      </c:pt>
                      <c:pt idx="430">
                        <c:v>18570.939622964379</c:v>
                      </c:pt>
                      <c:pt idx="431">
                        <c:v>21234.730189547994</c:v>
                      </c:pt>
                      <c:pt idx="432">
                        <c:v>22038.523045815396</c:v>
                      </c:pt>
                      <c:pt idx="433">
                        <c:v>21137.045847840232</c:v>
                      </c:pt>
                      <c:pt idx="434">
                        <c:v>18574.415488429346</c:v>
                      </c:pt>
                      <c:pt idx="435">
                        <c:v>14277.240113160764</c:v>
                      </c:pt>
                      <c:pt idx="436">
                        <c:v>8011.1969392004194</c:v>
                      </c:pt>
                      <c:pt idx="437">
                        <c:v>-751.47614127653014</c:v>
                      </c:pt>
                      <c:pt idx="438">
                        <c:v>-12144.678116432442</c:v>
                      </c:pt>
                      <c:pt idx="439">
                        <c:v>-19683.884154132804</c:v>
                      </c:pt>
                      <c:pt idx="440">
                        <c:v>-24755.52146490859</c:v>
                      </c:pt>
                      <c:pt idx="441">
                        <c:v>-28176.851232289981</c:v>
                      </c:pt>
                      <c:pt idx="442">
                        <c:v>-30265.366170921799</c:v>
                      </c:pt>
                      <c:pt idx="443">
                        <c:v>-31134.114975966069</c:v>
                      </c:pt>
                      <c:pt idx="444">
                        <c:v>-30779.080511619526</c:v>
                      </c:pt>
                      <c:pt idx="445">
                        <c:v>-29094.874531000729</c:v>
                      </c:pt>
                      <c:pt idx="446">
                        <c:v>-25853.72777831072</c:v>
                      </c:pt>
                      <c:pt idx="447">
                        <c:v>-20679.407579159721</c:v>
                      </c:pt>
                      <c:pt idx="448">
                        <c:v>-13285.260481888818</c:v>
                      </c:pt>
                      <c:pt idx="449">
                        <c:v>-4803.6430089765863</c:v>
                      </c:pt>
                      <c:pt idx="450">
                        <c:v>2690.9367843248961</c:v>
                      </c:pt>
                      <c:pt idx="451">
                        <c:v>8291.5267946302683</c:v>
                      </c:pt>
                      <c:pt idx="452">
                        <c:v>11787.835605587272</c:v>
                      </c:pt>
                      <c:pt idx="453">
                        <c:v>13758.312098161507</c:v>
                      </c:pt>
                      <c:pt idx="454">
                        <c:v>14085.344242038325</c:v>
                      </c:pt>
                      <c:pt idx="455">
                        <c:v>12374.458437166708</c:v>
                      </c:pt>
                      <c:pt idx="456">
                        <c:v>8730.142921990162</c:v>
                      </c:pt>
                      <c:pt idx="457">
                        <c:v>3289.5361689003062</c:v>
                      </c:pt>
                      <c:pt idx="458">
                        <c:v>-3817.4463641407547</c:v>
                      </c:pt>
                      <c:pt idx="459">
                        <c:v>-12405.121078421962</c:v>
                      </c:pt>
                      <c:pt idx="460">
                        <c:v>-21995.694494944397</c:v>
                      </c:pt>
                      <c:pt idx="461">
                        <c:v>-31006.619246491708</c:v>
                      </c:pt>
                      <c:pt idx="462">
                        <c:v>-35616.454406334364</c:v>
                      </c:pt>
                      <c:pt idx="463">
                        <c:v>-34839.181385155956</c:v>
                      </c:pt>
                      <c:pt idx="464">
                        <c:v>-30978.267371485559</c:v>
                      </c:pt>
                      <c:pt idx="465">
                        <c:v>-25363.809589475168</c:v>
                      </c:pt>
                      <c:pt idx="466">
                        <c:v>-18360.364651324919</c:v>
                      </c:pt>
                      <c:pt idx="467">
                        <c:v>-9508.420526406815</c:v>
                      </c:pt>
                      <c:pt idx="468">
                        <c:v>1895.0884111286464</c:v>
                      </c:pt>
                      <c:pt idx="469">
                        <c:v>9154.9941317777266</c:v>
                      </c:pt>
                      <c:pt idx="470">
                        <c:v>13821.116320025545</c:v>
                      </c:pt>
                      <c:pt idx="471">
                        <c:v>16637.781618203255</c:v>
                      </c:pt>
                      <c:pt idx="472">
                        <c:v>17889.761774917133</c:v>
                      </c:pt>
                      <c:pt idx="473">
                        <c:v>17650.367864690779</c:v>
                      </c:pt>
                      <c:pt idx="474">
                        <c:v>15837.419778478472</c:v>
                      </c:pt>
                      <c:pt idx="475">
                        <c:v>12171.333470134854</c:v>
                      </c:pt>
                      <c:pt idx="476">
                        <c:v>5986.1206650013492</c:v>
                      </c:pt>
                      <c:pt idx="477">
                        <c:v>-4156.1992661894001</c:v>
                      </c:pt>
                      <c:pt idx="478">
                        <c:v>-15301.123204268835</c:v>
                      </c:pt>
                      <c:pt idx="479">
                        <c:v>-24377.698464568624</c:v>
                      </c:pt>
                      <c:pt idx="480">
                        <c:v>-31874.68386637422</c:v>
                      </c:pt>
                      <c:pt idx="481">
                        <c:v>-37838.288813231913</c:v>
                      </c:pt>
                      <c:pt idx="482">
                        <c:v>-41982.489967853711</c:v>
                      </c:pt>
                      <c:pt idx="483">
                        <c:v>-43754.752180314717</c:v>
                      </c:pt>
                      <c:pt idx="484">
                        <c:v>-42312.916646012869</c:v>
                      </c:pt>
                      <c:pt idx="485">
                        <c:v>-36641.194706036142</c:v>
                      </c:pt>
                      <c:pt idx="486">
                        <c:v>-26561.698015967857</c:v>
                      </c:pt>
                      <c:pt idx="487">
                        <c:v>-14529.706980157631</c:v>
                      </c:pt>
                      <c:pt idx="488">
                        <c:v>-3607.8403614654089</c:v>
                      </c:pt>
                      <c:pt idx="489">
                        <c:v>4940.8489148361887</c:v>
                      </c:pt>
                      <c:pt idx="490">
                        <c:v>10937.737910086089</c:v>
                      </c:pt>
                      <c:pt idx="491">
                        <c:v>14626.741453060204</c:v>
                      </c:pt>
                      <c:pt idx="492">
                        <c:v>16952.545040184075</c:v>
                      </c:pt>
                      <c:pt idx="493">
                        <c:v>18269.235238080786</c:v>
                      </c:pt>
                      <c:pt idx="494">
                        <c:v>17812.880654413198</c:v>
                      </c:pt>
                      <c:pt idx="495">
                        <c:v>15605.805220426089</c:v>
                      </c:pt>
                      <c:pt idx="496">
                        <c:v>11606.14244824968</c:v>
                      </c:pt>
                      <c:pt idx="497">
                        <c:v>5601.4666247994064</c:v>
                      </c:pt>
                      <c:pt idx="498">
                        <c:v>-2944.4601745346758</c:v>
                      </c:pt>
                      <c:pt idx="499">
                        <c:v>-13357.540353652901</c:v>
                      </c:pt>
                      <c:pt idx="500">
                        <c:v>-20211.073513568052</c:v>
                      </c:pt>
                      <c:pt idx="501">
                        <c:v>-25100.585213190341</c:v>
                      </c:pt>
                      <c:pt idx="502">
                        <c:v>-28657.275514799006</c:v>
                      </c:pt>
                      <c:pt idx="503">
                        <c:v>-31128.965839895005</c:v>
                      </c:pt>
                      <c:pt idx="504">
                        <c:v>-32611.367113693355</c:v>
                      </c:pt>
                      <c:pt idx="505">
                        <c:v>-33116.050459670398</c:v>
                      </c:pt>
                      <c:pt idx="506">
                        <c:v>-32587.486526763285</c:v>
                      </c:pt>
                      <c:pt idx="507">
                        <c:v>-30895.496269127922</c:v>
                      </c:pt>
                      <c:pt idx="508">
                        <c:v>-27808.677234707891</c:v>
                      </c:pt>
                      <c:pt idx="509">
                        <c:v>-22971.625254264298</c:v>
                      </c:pt>
                      <c:pt idx="510">
                        <c:v>-16098.953259450996</c:v>
                      </c:pt>
                      <c:pt idx="511">
                        <c:v>-8011.4353590607352</c:v>
                      </c:pt>
                      <c:pt idx="512">
                        <c:v>-676.969577503952</c:v>
                      </c:pt>
                      <c:pt idx="513">
                        <c:v>4453.1773775847596</c:v>
                      </c:pt>
                      <c:pt idx="514">
                        <c:v>6724.9801327357081</c:v>
                      </c:pt>
                      <c:pt idx="515">
                        <c:v>6100.5203291759963</c:v>
                      </c:pt>
                      <c:pt idx="516">
                        <c:v>2886.4571992380497</c:v>
                      </c:pt>
                      <c:pt idx="517">
                        <c:v>-2285.0962899681144</c:v>
                      </c:pt>
                      <c:pt idx="518">
                        <c:v>-8794.714965468831</c:v>
                      </c:pt>
                      <c:pt idx="519">
                        <c:v>-16083.323939077731</c:v>
                      </c:pt>
                      <c:pt idx="520">
                        <c:v>-23610.319332993378</c:v>
                      </c:pt>
                      <c:pt idx="521">
                        <c:v>-30784.536510764836</c:v>
                      </c:pt>
                      <c:pt idx="522">
                        <c:v>-36873.473463123839</c:v>
                      </c:pt>
                      <c:pt idx="523">
                        <c:v>-40897.514592612999</c:v>
                      </c:pt>
                      <c:pt idx="524">
                        <c:v>-41608.7199534299</c:v>
                      </c:pt>
                      <c:pt idx="525">
                        <c:v>-37951.952333099624</c:v>
                      </c:pt>
                      <c:pt idx="526">
                        <c:v>-30269.502747688424</c:v>
                      </c:pt>
                      <c:pt idx="527">
                        <c:v>-20346.346918195661</c:v>
                      </c:pt>
                      <c:pt idx="528">
                        <c:v>-9696.6321229093046</c:v>
                      </c:pt>
                      <c:pt idx="529">
                        <c:v>728.89618750912211</c:v>
                      </c:pt>
                      <c:pt idx="530">
                        <c:v>9410.6270153226487</c:v>
                      </c:pt>
                      <c:pt idx="531">
                        <c:v>15561.457064371345</c:v>
                      </c:pt>
                      <c:pt idx="532">
                        <c:v>19448.266820038803</c:v>
                      </c:pt>
                      <c:pt idx="533">
                        <c:v>21433.883055011687</c:v>
                      </c:pt>
                      <c:pt idx="534">
                        <c:v>21756.454991598046</c:v>
                      </c:pt>
                      <c:pt idx="535">
                        <c:v>20533.820623051608</c:v>
                      </c:pt>
                      <c:pt idx="536">
                        <c:v>17776.301848101823</c:v>
                      </c:pt>
                      <c:pt idx="537">
                        <c:v>13369.443303858434</c:v>
                      </c:pt>
                      <c:pt idx="538">
                        <c:v>6993.6937239951139</c:v>
                      </c:pt>
                      <c:pt idx="539">
                        <c:v>-2094.0404334510526</c:v>
                      </c:pt>
                      <c:pt idx="540">
                        <c:v>-13666.844032398132</c:v>
                      </c:pt>
                      <c:pt idx="541">
                        <c:v>-21899.056317417886</c:v>
                      </c:pt>
                      <c:pt idx="542">
                        <c:v>-28481.079793063262</c:v>
                      </c:pt>
                      <c:pt idx="543">
                        <c:v>-33581.628039540286</c:v>
                      </c:pt>
                      <c:pt idx="544">
                        <c:v>-36128.429371984595</c:v>
                      </c:pt>
                      <c:pt idx="545">
                        <c:v>-33727.248063325445</c:v>
                      </c:pt>
                      <c:pt idx="546">
                        <c:v>-26595.263706967977</c:v>
                      </c:pt>
                      <c:pt idx="547">
                        <c:v>-18028.929873245659</c:v>
                      </c:pt>
                      <c:pt idx="548">
                        <c:v>-9619.4152341903973</c:v>
                      </c:pt>
                      <c:pt idx="549">
                        <c:v>-1908.7895503813527</c:v>
                      </c:pt>
                      <c:pt idx="550">
                        <c:v>4898.1765189701855</c:v>
                      </c:pt>
                      <c:pt idx="551">
                        <c:v>10698.99270174059</c:v>
                      </c:pt>
                      <c:pt idx="552">
                        <c:v>15415.937375107629</c:v>
                      </c:pt>
                      <c:pt idx="553">
                        <c:v>18965.470947107442</c:v>
                      </c:pt>
                      <c:pt idx="554">
                        <c:v>21241.284959465094</c:v>
                      </c:pt>
                      <c:pt idx="555">
                        <c:v>22098.826693711067</c:v>
                      </c:pt>
                      <c:pt idx="556">
                        <c:v>21332.923368756477</c:v>
                      </c:pt>
                      <c:pt idx="557">
                        <c:v>18643.892576916685</c:v>
                      </c:pt>
                      <c:pt idx="558">
                        <c:v>15060.385720670183</c:v>
                      </c:pt>
                      <c:pt idx="559">
                        <c:v>9805.2714803105482</c:v>
                      </c:pt>
                      <c:pt idx="560">
                        <c:v>2643.8846157706025</c:v>
                      </c:pt>
                      <c:pt idx="561">
                        <c:v>-6264.3627843426784</c:v>
                      </c:pt>
                      <c:pt idx="562">
                        <c:v>-15278.247721579652</c:v>
                      </c:pt>
                      <c:pt idx="563">
                        <c:v>-20745.935418815112</c:v>
                      </c:pt>
                      <c:pt idx="564">
                        <c:v>-24269.769605149697</c:v>
                      </c:pt>
                      <c:pt idx="565">
                        <c:v>-26673.674740453986</c:v>
                      </c:pt>
                      <c:pt idx="566">
                        <c:v>-28300.918301225367</c:v>
                      </c:pt>
                      <c:pt idx="567">
                        <c:v>-29318.404855941899</c:v>
                      </c:pt>
                      <c:pt idx="568">
                        <c:v>-29815.317540534917</c:v>
                      </c:pt>
                      <c:pt idx="569">
                        <c:v>-29839.310347877825</c:v>
                      </c:pt>
                      <c:pt idx="570">
                        <c:v>-29411.062988557886</c:v>
                      </c:pt>
                      <c:pt idx="571">
                        <c:v>-28529.306468284823</c:v>
                      </c:pt>
                      <c:pt idx="572">
                        <c:v>-27169.629649573726</c:v>
                      </c:pt>
                      <c:pt idx="573">
                        <c:v>-25275.924055256659</c:v>
                      </c:pt>
                      <c:pt idx="574">
                        <c:v>-22736.991698811074</c:v>
                      </c:pt>
                      <c:pt idx="575">
                        <c:v>-19321.172175615477</c:v>
                      </c:pt>
                      <c:pt idx="576">
                        <c:v>-14455.54615844492</c:v>
                      </c:pt>
                      <c:pt idx="577">
                        <c:v>-6443.5884970761454</c:v>
                      </c:pt>
                      <c:pt idx="578">
                        <c:v>2045.3016368956019</c:v>
                      </c:pt>
                      <c:pt idx="579">
                        <c:v>8661.0197185844136</c:v>
                      </c:pt>
                      <c:pt idx="580">
                        <c:v>13400.707781232775</c:v>
                      </c:pt>
                      <c:pt idx="581">
                        <c:v>16291.905577855958</c:v>
                      </c:pt>
                      <c:pt idx="582">
                        <c:v>18140.513043452833</c:v>
                      </c:pt>
                      <c:pt idx="583">
                        <c:v>18335.655618089069</c:v>
                      </c:pt>
                      <c:pt idx="584">
                        <c:v>16716.672668444331</c:v>
                      </c:pt>
                      <c:pt idx="585">
                        <c:v>13485.277448180572</c:v>
                      </c:pt>
                      <c:pt idx="586">
                        <c:v>8843.827095399527</c:v>
                      </c:pt>
                      <c:pt idx="587">
                        <c:v>2984.5399417630324</c:v>
                      </c:pt>
                      <c:pt idx="588">
                        <c:v>-3895.3402968908417</c:v>
                      </c:pt>
                      <c:pt idx="589">
                        <c:v>-11564.30770592268</c:v>
                      </c:pt>
                      <c:pt idx="590">
                        <c:v>-19703.901750130783</c:v>
                      </c:pt>
                      <c:pt idx="591">
                        <c:v>-27809.146809260259</c:v>
                      </c:pt>
                      <c:pt idx="592">
                        <c:v>-35007.989629040916</c:v>
                      </c:pt>
                      <c:pt idx="593">
                        <c:v>-39847.842353570319</c:v>
                      </c:pt>
                      <c:pt idx="594">
                        <c:v>-40620.99354210707</c:v>
                      </c:pt>
                      <c:pt idx="595">
                        <c:v>-37006.811908419935</c:v>
                      </c:pt>
                      <c:pt idx="596">
                        <c:v>-30408.686519584084</c:v>
                      </c:pt>
                      <c:pt idx="597">
                        <c:v>-22124.50754123769</c:v>
                      </c:pt>
                      <c:pt idx="598">
                        <c:v>-12523.456194351053</c:v>
                      </c:pt>
                      <c:pt idx="599">
                        <c:v>-1024.1828082676448</c:v>
                      </c:pt>
                      <c:pt idx="600">
                        <c:v>6852.7729927297323</c:v>
                      </c:pt>
                      <c:pt idx="601">
                        <c:v>11640.870548269006</c:v>
                      </c:pt>
                      <c:pt idx="602">
                        <c:v>14562.529803356827</c:v>
                      </c:pt>
                      <c:pt idx="603">
                        <c:v>16095.255751839748</c:v>
                      </c:pt>
                      <c:pt idx="604">
                        <c:v>16441.718114891821</c:v>
                      </c:pt>
                      <c:pt idx="605">
                        <c:v>15669.300654938022</c:v>
                      </c:pt>
                      <c:pt idx="606">
                        <c:v>13744.82193267368</c:v>
                      </c:pt>
                      <c:pt idx="607">
                        <c:v>10513.449354921011</c:v>
                      </c:pt>
                      <c:pt idx="608">
                        <c:v>5589.102274071256</c:v>
                      </c:pt>
                      <c:pt idx="609">
                        <c:v>-2027.6976522951554</c:v>
                      </c:pt>
                      <c:pt idx="610">
                        <c:v>-12711.414257934599</c:v>
                      </c:pt>
                      <c:pt idx="611">
                        <c:v>-21360.893322157463</c:v>
                      </c:pt>
                      <c:pt idx="612">
                        <c:v>-28839.170570039267</c:v>
                      </c:pt>
                      <c:pt idx="613">
                        <c:v>-34523.585788473407</c:v>
                      </c:pt>
                      <c:pt idx="614">
                        <c:v>-35973.158948145065</c:v>
                      </c:pt>
                      <c:pt idx="615">
                        <c:v>-32191.937070760621</c:v>
                      </c:pt>
                      <c:pt idx="616">
                        <c:v>-25949.972447010317</c:v>
                      </c:pt>
                      <c:pt idx="617">
                        <c:v>-19002.538291301727</c:v>
                      </c:pt>
                      <c:pt idx="618">
                        <c:v>-12068.551723837918</c:v>
                      </c:pt>
                      <c:pt idx="619">
                        <c:v>-5463.914555197448</c:v>
                      </c:pt>
                      <c:pt idx="620">
                        <c:v>646.68237983104314</c:v>
                      </c:pt>
                      <c:pt idx="621">
                        <c:v>6157.0595057383471</c:v>
                      </c:pt>
                      <c:pt idx="622">
                        <c:v>10981.305713402313</c:v>
                      </c:pt>
                      <c:pt idx="623">
                        <c:v>15034.91260025962</c:v>
                      </c:pt>
                      <c:pt idx="624">
                        <c:v>18222.701913683217</c:v>
                      </c:pt>
                      <c:pt idx="625">
                        <c:v>20428.163477137045</c:v>
                      </c:pt>
                      <c:pt idx="626">
                        <c:v>21501.081705147983</c:v>
                      </c:pt>
                      <c:pt idx="627">
                        <c:v>21241.05449156625</c:v>
                      </c:pt>
                      <c:pt idx="628">
                        <c:v>19378.455041699486</c:v>
                      </c:pt>
                      <c:pt idx="629">
                        <c:v>15644.144566842138</c:v>
                      </c:pt>
                      <c:pt idx="630">
                        <c:v>11501.387765762673</c:v>
                      </c:pt>
                      <c:pt idx="631">
                        <c:v>5473.9837941210826</c:v>
                      </c:pt>
                      <c:pt idx="632">
                        <c:v>-2491.4295656873792</c:v>
                      </c:pt>
                      <c:pt idx="633">
                        <c:v>-11696.670492083409</c:v>
                      </c:pt>
                      <c:pt idx="634">
                        <c:v>-19250.934608915562</c:v>
                      </c:pt>
                      <c:pt idx="635">
                        <c:v>-23972.631912693822</c:v>
                      </c:pt>
                      <c:pt idx="636">
                        <c:v>-27009.429331148876</c:v>
                      </c:pt>
                      <c:pt idx="637">
                        <c:v>-28972.755282708731</c:v>
                      </c:pt>
                      <c:pt idx="638">
                        <c:v>-30155.61289433658</c:v>
                      </c:pt>
                      <c:pt idx="639">
                        <c:v>-30712.955742426679</c:v>
                      </c:pt>
                      <c:pt idx="640">
                        <c:v>-30732.123892063108</c:v>
                      </c:pt>
                      <c:pt idx="641">
                        <c:v>-30261.788703875642</c:v>
                      </c:pt>
                      <c:pt idx="642">
                        <c:v>-29324.311182052268</c:v>
                      </c:pt>
                      <c:pt idx="643">
                        <c:v>-27919.896282539419</c:v>
                      </c:pt>
                      <c:pt idx="644">
                        <c:v>-26024.665010353223</c:v>
                      </c:pt>
                      <c:pt idx="645">
                        <c:v>-23580.556125228166</c:v>
                      </c:pt>
                      <c:pt idx="646">
                        <c:v>-20467.090167019287</c:v>
                      </c:pt>
                      <c:pt idx="647">
                        <c:v>-16416.832095868747</c:v>
                      </c:pt>
                      <c:pt idx="648">
                        <c:v>-10699.061985984474</c:v>
                      </c:pt>
                      <c:pt idx="649">
                        <c:v>-1478.080530593008</c:v>
                      </c:pt>
                      <c:pt idx="650">
                        <c:v>5885.5504991613634</c:v>
                      </c:pt>
                      <c:pt idx="651">
                        <c:v>11371.071085170377</c:v>
                      </c:pt>
                      <c:pt idx="652">
                        <c:v>14955.897294583418</c:v>
                      </c:pt>
                      <c:pt idx="653">
                        <c:v>17391.249066932021</c:v>
                      </c:pt>
                      <c:pt idx="654">
                        <c:v>18114.411741423446</c:v>
                      </c:pt>
                      <c:pt idx="655">
                        <c:v>17092.961583249507</c:v>
                      </c:pt>
                      <c:pt idx="656">
                        <c:v>14658.798129551717</c:v>
                      </c:pt>
                      <c:pt idx="657">
                        <c:v>11112.62084218499</c:v>
                      </c:pt>
                      <c:pt idx="658">
                        <c:v>6703.6088362788141</c:v>
                      </c:pt>
                      <c:pt idx="659">
                        <c:v>1637.0985434873189</c:v>
                      </c:pt>
                      <c:pt idx="660">
                        <c:v>-3914.0638418232056</c:v>
                      </c:pt>
                      <c:pt idx="661">
                        <c:v>-9798.9853042758095</c:v>
                      </c:pt>
                      <c:pt idx="662">
                        <c:v>-15879.574129868974</c:v>
                      </c:pt>
                      <c:pt idx="663">
                        <c:v>-22022.294638106494</c:v>
                      </c:pt>
                      <c:pt idx="664">
                        <c:v>-28090.04020547403</c:v>
                      </c:pt>
                      <c:pt idx="665">
                        <c:v>-33933.165531533275</c:v>
                      </c:pt>
                      <c:pt idx="666">
                        <c:v>-39378.487851311256</c:v>
                      </c:pt>
                      <c:pt idx="667">
                        <c:v>-44214.730842454475</c:v>
                      </c:pt>
                      <c:pt idx="668">
                        <c:v>-48172.619768840217</c:v>
                      </c:pt>
                      <c:pt idx="669">
                        <c:v>-50898.577388424659</c:v>
                      </c:pt>
                      <c:pt idx="670">
                        <c:v>-51926.329920991338</c:v>
                      </c:pt>
                      <c:pt idx="671">
                        <c:v>-50672.085090633373</c:v>
                      </c:pt>
                      <c:pt idx="672">
                        <c:v>-46537.876222619176</c:v>
                      </c:pt>
                      <c:pt idx="673">
                        <c:v>-39264.500712818073</c:v>
                      </c:pt>
                      <c:pt idx="674">
                        <c:v>-29376.516870448959</c:v>
                      </c:pt>
                      <c:pt idx="675">
                        <c:v>-17895.269201036306</c:v>
                      </c:pt>
                      <c:pt idx="676">
                        <c:v>-5410.5119954615457</c:v>
                      </c:pt>
                      <c:pt idx="677">
                        <c:v>6641.0443022417394</c:v>
                      </c:pt>
                      <c:pt idx="678">
                        <c:v>15148.961841137283</c:v>
                      </c:pt>
                      <c:pt idx="679">
                        <c:v>21389.9285924135</c:v>
                      </c:pt>
                      <c:pt idx="680">
                        <c:v>26176.800360180554</c:v>
                      </c:pt>
                      <c:pt idx="681">
                        <c:v>29905.890842280267</c:v>
                      </c:pt>
                      <c:pt idx="682">
                        <c:v>32794.197466922757</c:v>
                      </c:pt>
                      <c:pt idx="683">
                        <c:v>34972.688967156828</c:v>
                      </c:pt>
                      <c:pt idx="684">
                        <c:v>36525.381497499002</c:v>
                      </c:pt>
                      <c:pt idx="685">
                        <c:v>37507.701425186853</c:v>
                      </c:pt>
                      <c:pt idx="686">
                        <c:v>37955.901880176425</c:v>
                      </c:pt>
                      <c:pt idx="687">
                        <c:v>37892.113860275284</c:v>
                      </c:pt>
                      <c:pt idx="688">
                        <c:v>37326.980774338575</c:v>
                      </c:pt>
                      <c:pt idx="689">
                        <c:v>36260.723475395527</c:v>
                      </c:pt>
                      <c:pt idx="690">
                        <c:v>34682.925290318948</c:v>
                      </c:pt>
                      <c:pt idx="691">
                        <c:v>32570.925627752637</c:v>
                      </c:pt>
                      <c:pt idx="692">
                        <c:v>29886.223038898046</c:v>
                      </c:pt>
                      <c:pt idx="693">
                        <c:v>26567.364323764385</c:v>
                      </c:pt>
                      <c:pt idx="694">
                        <c:v>22515.526840330134</c:v>
                      </c:pt>
                      <c:pt idx="695">
                        <c:v>17562.276918522999</c:v>
                      </c:pt>
                      <c:pt idx="696">
                        <c:v>11384.616450801135</c:v>
                      </c:pt>
                      <c:pt idx="697">
                        <c:v>3221.7380587779198</c:v>
                      </c:pt>
                      <c:pt idx="698">
                        <c:v>-8974.89089914344</c:v>
                      </c:pt>
                      <c:pt idx="699">
                        <c:v>-19415.368118549373</c:v>
                      </c:pt>
                      <c:pt idx="700">
                        <c:v>-28528.096527598431</c:v>
                      </c:pt>
                      <c:pt idx="701">
                        <c:v>-36091.704417431734</c:v>
                      </c:pt>
                      <c:pt idx="702">
                        <c:v>-40585.199256735985</c:v>
                      </c:pt>
                      <c:pt idx="703">
                        <c:v>-40578.390142090306</c:v>
                      </c:pt>
                      <c:pt idx="704">
                        <c:v>-36926.705143736937</c:v>
                      </c:pt>
                      <c:pt idx="705">
                        <c:v>-31283.719791308045</c:v>
                      </c:pt>
                      <c:pt idx="706">
                        <c:v>-24744.49949480173</c:v>
                      </c:pt>
                      <c:pt idx="707">
                        <c:v>-17910.386097024926</c:v>
                      </c:pt>
                      <c:pt idx="708">
                        <c:v>-11118.490201730498</c:v>
                      </c:pt>
                      <c:pt idx="709">
                        <c:v>-4574.0172929270129</c:v>
                      </c:pt>
                      <c:pt idx="710">
                        <c:v>1583.9539881292073</c:v>
                      </c:pt>
                      <c:pt idx="711">
                        <c:v>7249.0160212872706</c:v>
                      </c:pt>
                      <c:pt idx="712">
                        <c:v>12329.023534379805</c:v>
                      </c:pt>
                      <c:pt idx="713">
                        <c:v>16734.658224427694</c:v>
                      </c:pt>
                      <c:pt idx="714">
                        <c:v>20370.995177419645</c:v>
                      </c:pt>
                      <c:pt idx="715">
                        <c:v>23129.810679044356</c:v>
                      </c:pt>
                      <c:pt idx="716">
                        <c:v>24880.861205600871</c:v>
                      </c:pt>
                      <c:pt idx="717">
                        <c:v>25459.664113657658</c:v>
                      </c:pt>
                      <c:pt idx="718">
                        <c:v>24644.69159263049</c:v>
                      </c:pt>
                      <c:pt idx="719">
                        <c:v>22083.467869004213</c:v>
                      </c:pt>
                      <c:pt idx="720">
                        <c:v>16812.021817108693</c:v>
                      </c:pt>
                      <c:pt idx="721">
                        <c:v>10017.459466606</c:v>
                      </c:pt>
                      <c:pt idx="722">
                        <c:v>1303.5935830050059</c:v>
                      </c:pt>
                      <c:pt idx="723">
                        <c:v>-9058.8874410728586</c:v>
                      </c:pt>
                      <c:pt idx="724">
                        <c:v>-18623.859539494926</c:v>
                      </c:pt>
                      <c:pt idx="725">
                        <c:v>-25244.603466289358</c:v>
                      </c:pt>
                      <c:pt idx="726">
                        <c:v>-30281.102776730648</c:v>
                      </c:pt>
                      <c:pt idx="727">
                        <c:v>-34365.964271642602</c:v>
                      </c:pt>
                      <c:pt idx="728">
                        <c:v>-37780.116534932058</c:v>
                      </c:pt>
                      <c:pt idx="729">
                        <c:v>-40670.339657760647</c:v>
                      </c:pt>
                      <c:pt idx="730">
                        <c:v>-43123.149584531348</c:v>
                      </c:pt>
                      <c:pt idx="731">
                        <c:v>-45193.685935260808</c:v>
                      </c:pt>
                      <c:pt idx="732">
                        <c:v>-46918.753028576546</c:v>
                      </c:pt>
                      <c:pt idx="733">
                        <c:v>-48323.390472867155</c:v>
                      </c:pt>
                      <c:pt idx="734">
                        <c:v>-49424.449406667372</c:v>
                      </c:pt>
                      <c:pt idx="735">
                        <c:v>-50232.627539697089</c:v>
                      </c:pt>
                      <c:pt idx="736">
                        <c:v>-50753.627743455567</c:v>
                      </c:pt>
                      <c:pt idx="737">
                        <c:v>-50988.760416938858</c:v>
                      </c:pt>
                      <c:pt idx="738">
                        <c:v>-50935.140300095176</c:v>
                      </c:pt>
                      <c:pt idx="739">
                        <c:v>-50585.530123905672</c:v>
                      </c:pt>
                      <c:pt idx="740">
                        <c:v>-49927.809271163409</c:v>
                      </c:pt>
                      <c:pt idx="741">
                        <c:v>-48943.965873932277</c:v>
                      </c:pt>
                      <c:pt idx="742">
                        <c:v>-47608.393917699439</c:v>
                      </c:pt>
                      <c:pt idx="743">
                        <c:v>-45885.069347461409</c:v>
                      </c:pt>
                      <c:pt idx="744">
                        <c:v>-43722.766268460407</c:v>
                      </c:pt>
                      <c:pt idx="745">
                        <c:v>-41046.584203706851</c:v>
                      </c:pt>
                      <c:pt idx="746">
                        <c:v>-37742.014161372099</c:v>
                      </c:pt>
                      <c:pt idx="747">
                        <c:v>-33623.002101001701</c:v>
                      </c:pt>
                      <c:pt idx="748">
                        <c:v>-28366.817840510979</c:v>
                      </c:pt>
                      <c:pt idx="749">
                        <c:v>-21425.300130057178</c:v>
                      </c:pt>
                      <c:pt idx="750">
                        <c:v>-12459.912025764512</c:v>
                      </c:pt>
                      <c:pt idx="751">
                        <c:v>-3231.1249606610149</c:v>
                      </c:pt>
                      <c:pt idx="752">
                        <c:v>4095.8435644036449</c:v>
                      </c:pt>
                      <c:pt idx="753">
                        <c:v>8516.7199302725239</c:v>
                      </c:pt>
                      <c:pt idx="754">
                        <c:v>10328.021172946392</c:v>
                      </c:pt>
                      <c:pt idx="755">
                        <c:v>10121.030241936945</c:v>
                      </c:pt>
                      <c:pt idx="756">
                        <c:v>8543.2873905995275</c:v>
                      </c:pt>
                      <c:pt idx="757">
                        <c:v>6037.2404789869497</c:v>
                      </c:pt>
                      <c:pt idx="758">
                        <c:v>2891.2390443602667</c:v>
                      </c:pt>
                      <c:pt idx="759">
                        <c:v>-701.1549003636386</c:v>
                      </c:pt>
                      <c:pt idx="760">
                        <c:v>-4603.9178410757104</c:v>
                      </c:pt>
                      <c:pt idx="761">
                        <c:v>-8716.6311486957129</c:v>
                      </c:pt>
                      <c:pt idx="762">
                        <c:v>-12961.325935217686</c:v>
                      </c:pt>
                      <c:pt idx="763">
                        <c:v>-17274.242696270099</c:v>
                      </c:pt>
                      <c:pt idx="764">
                        <c:v>-21600.360543255934</c:v>
                      </c:pt>
                      <c:pt idx="765">
                        <c:v>-25889.480263411231</c:v>
                      </c:pt>
                      <c:pt idx="766">
                        <c:v>-30093.127383330739</c:v>
                      </c:pt>
                      <c:pt idx="767">
                        <c:v>-34161.77846391785</c:v>
                      </c:pt>
                      <c:pt idx="768">
                        <c:v>-38042.00498243505</c:v>
                      </c:pt>
                      <c:pt idx="769">
                        <c:v>-41673.111311784836</c:v>
                      </c:pt>
                      <c:pt idx="770">
                        <c:v>-44982.708914312891</c:v>
                      </c:pt>
                      <c:pt idx="771">
                        <c:v>-47880.360653556789</c:v>
                      </c:pt>
                      <c:pt idx="772">
                        <c:v>-50247.807274923231</c:v>
                      </c:pt>
                      <c:pt idx="773">
                        <c:v>-51923.05204048039</c:v>
                      </c:pt>
                      <c:pt idx="774">
                        <c:v>-52673.131952434065</c:v>
                      </c:pt>
                      <c:pt idx="775">
                        <c:v>-52145.879577823827</c:v>
                      </c:pt>
                      <c:pt idx="776">
                        <c:v>-49785.83594345962</c:v>
                      </c:pt>
                      <c:pt idx="777">
                        <c:v>-44721.66295199866</c:v>
                      </c:pt>
                      <c:pt idx="778">
                        <c:v>-35885.876159148007</c:v>
                      </c:pt>
                      <c:pt idx="779">
                        <c:v>-23462.997903760799</c:v>
                      </c:pt>
                      <c:pt idx="780">
                        <c:v>-9912.8594427600619</c:v>
                      </c:pt>
                      <c:pt idx="781">
                        <c:v>3069.857633119469</c:v>
                      </c:pt>
                      <c:pt idx="782">
                        <c:v>14252.353514296428</c:v>
                      </c:pt>
                      <c:pt idx="783">
                        <c:v>23407.138302397088</c:v>
                      </c:pt>
                      <c:pt idx="784">
                        <c:v>30939.627673372644</c:v>
                      </c:pt>
                      <c:pt idx="785">
                        <c:v>37206.084130440831</c:v>
                      </c:pt>
                      <c:pt idx="786">
                        <c:v>42447.462204214899</c:v>
                      </c:pt>
                      <c:pt idx="787">
                        <c:v>46825.103572751963</c:v>
                      </c:pt>
                      <c:pt idx="788">
                        <c:v>50450.012828939762</c:v>
                      </c:pt>
                      <c:pt idx="789">
                        <c:v>53400.609063077878</c:v>
                      </c:pt>
                      <c:pt idx="790">
                        <c:v>55733.231008812851</c:v>
                      </c:pt>
                      <c:pt idx="791">
                        <c:v>57488.485155294642</c:v>
                      </c:pt>
                      <c:pt idx="792">
                        <c:v>58695.172131737039</c:v>
                      </c:pt>
                      <c:pt idx="793">
                        <c:v>59372.737103877153</c:v>
                      </c:pt>
                      <c:pt idx="794">
                        <c:v>59532.762839116906</c:v>
                      </c:pt>
                      <c:pt idx="795">
                        <c:v>59179.787560598023</c:v>
                      </c:pt>
                      <c:pt idx="796">
                        <c:v>58311.588324698758</c:v>
                      </c:pt>
                      <c:pt idx="797">
                        <c:v>56918.972754286428</c:v>
                      </c:pt>
                      <c:pt idx="798">
                        <c:v>54985.035437684841</c:v>
                      </c:pt>
                      <c:pt idx="799">
                        <c:v>52483.732252014568</c:v>
                      </c:pt>
                      <c:pt idx="800">
                        <c:v>49377.468401612743</c:v>
                      </c:pt>
                      <c:pt idx="801">
                        <c:v>45613.113178069179</c:v>
                      </c:pt>
                      <c:pt idx="802">
                        <c:v>41115.289741430191</c:v>
                      </c:pt>
                      <c:pt idx="803">
                        <c:v>35774.561181472243</c:v>
                      </c:pt>
                      <c:pt idx="804">
                        <c:v>29425.266975055787</c:v>
                      </c:pt>
                      <c:pt idx="805">
                        <c:v>21800.881337392322</c:v>
                      </c:pt>
                      <c:pt idx="806">
                        <c:v>12442.935554411057</c:v>
                      </c:pt>
                      <c:pt idx="807">
                        <c:v>626.41879575121129</c:v>
                      </c:pt>
                      <c:pt idx="808">
                        <c:v>-13159.922622956634</c:v>
                      </c:pt>
                      <c:pt idx="809">
                        <c:v>-26238.670952050594</c:v>
                      </c:pt>
                      <c:pt idx="810">
                        <c:v>-37946.125219820889</c:v>
                      </c:pt>
                      <c:pt idx="811">
                        <c:v>-47737.979762205832</c:v>
                      </c:pt>
                      <c:pt idx="812">
                        <c:v>-55343.267487921599</c:v>
                      </c:pt>
                      <c:pt idx="813">
                        <c:v>-60823.584032949948</c:v>
                      </c:pt>
                      <c:pt idx="814">
                        <c:v>-64403.58577506429</c:v>
                      </c:pt>
                      <c:pt idx="815">
                        <c:v>-66341.935387875958</c:v>
                      </c:pt>
                      <c:pt idx="816">
                        <c:v>-66876.644982777507</c:v>
                      </c:pt>
                      <c:pt idx="817">
                        <c:v>-66210.66292045117</c:v>
                      </c:pt>
                      <c:pt idx="818">
                        <c:v>-64513.000590472191</c:v>
                      </c:pt>
                      <c:pt idx="819">
                        <c:v>-61924.402421925479</c:v>
                      </c:pt>
                      <c:pt idx="820">
                        <c:v>-58563.555220005939</c:v>
                      </c:pt>
                      <c:pt idx="821">
                        <c:v>-54532.658852422217</c:v>
                      </c:pt>
                      <c:pt idx="822">
                        <c:v>-49922.205034931714</c:v>
                      </c:pt>
                      <c:pt idx="823">
                        <c:v>-44815.152456121199</c:v>
                      </c:pt>
                      <c:pt idx="824">
                        <c:v>-39290.796115483456</c:v>
                      </c:pt>
                      <c:pt idx="825">
                        <c:v>-33428.68217975078</c:v>
                      </c:pt>
                      <c:pt idx="826">
                        <c:v>-27312.990391253235</c:v>
                      </c:pt>
                      <c:pt idx="827">
                        <c:v>-21037.935426323915</c:v>
                      </c:pt>
                      <c:pt idx="828">
                        <c:v>-14714.962336378601</c:v>
                      </c:pt>
                      <c:pt idx="829">
                        <c:v>-8482.8593171481953</c:v>
                      </c:pt>
                      <c:pt idx="830">
                        <c:v>-2522.3545343367305</c:v>
                      </c:pt>
                      <c:pt idx="831">
                        <c:v>2923.0229622576417</c:v>
                      </c:pt>
                      <c:pt idx="832">
                        <c:v>7519.5668688343249</c:v>
                      </c:pt>
                      <c:pt idx="833">
                        <c:v>10818.27129396501</c:v>
                      </c:pt>
                      <c:pt idx="834">
                        <c:v>12277.764622459754</c:v>
                      </c:pt>
                      <c:pt idx="835">
                        <c:v>11558.453470096867</c:v>
                      </c:pt>
                      <c:pt idx="836">
                        <c:v>9333.2792330769462</c:v>
                      </c:pt>
                      <c:pt idx="837">
                        <c:v>5101.8705995424098</c:v>
                      </c:pt>
                      <c:pt idx="838">
                        <c:v>-973.76745584919627</c:v>
                      </c:pt>
                      <c:pt idx="839">
                        <c:v>-9205.0583303129097</c:v>
                      </c:pt>
                      <c:pt idx="840">
                        <c:v>-14960.788047329692</c:v>
                      </c:pt>
                      <c:pt idx="841">
                        <c:v>-19462.969264001738</c:v>
                      </c:pt>
                      <c:pt idx="842">
                        <c:v>-23220.098539966188</c:v>
                      </c:pt>
                      <c:pt idx="843">
                        <c:v>-26426.114905992476</c:v>
                      </c:pt>
                      <c:pt idx="844">
                        <c:v>-29171.489275229203</c:v>
                      </c:pt>
                      <c:pt idx="845">
                        <c:v>-31502.111265787433</c:v>
                      </c:pt>
                      <c:pt idx="846">
                        <c:v>-33439.906803816761</c:v>
                      </c:pt>
                      <c:pt idx="847">
                        <c:v>-34991.096167690055</c:v>
                      </c:pt>
                      <c:pt idx="848">
                        <c:v>-36149.386437978064</c:v>
                      </c:pt>
                      <c:pt idx="849">
                        <c:v>-36896.441498255263</c:v>
                      </c:pt>
                      <c:pt idx="850">
                        <c:v>-37200.240531427502</c:v>
                      </c:pt>
                      <c:pt idx="851">
                        <c:v>-37010.998788341589</c:v>
                      </c:pt>
                      <c:pt idx="852">
                        <c:v>-36253.349565181183</c:v>
                      </c:pt>
                      <c:pt idx="853">
                        <c:v>-34811.87005789017</c:v>
                      </c:pt>
                      <c:pt idx="854">
                        <c:v>-32504.156118775303</c:v>
                      </c:pt>
                      <c:pt idx="855">
                        <c:v>-29033.584411840726</c:v>
                      </c:pt>
                      <c:pt idx="856">
                        <c:v>-23946.391385886956</c:v>
                      </c:pt>
                      <c:pt idx="857">
                        <c:v>-16914.490187225732</c:v>
                      </c:pt>
                      <c:pt idx="858">
                        <c:v>-8951.3761728060017</c:v>
                      </c:pt>
                      <c:pt idx="859">
                        <c:v>-2225.2197669722682</c:v>
                      </c:pt>
                      <c:pt idx="860">
                        <c:v>871.75156456524019</c:v>
                      </c:pt>
                      <c:pt idx="861">
                        <c:v>-8.5819769363197338</c:v>
                      </c:pt>
                      <c:pt idx="862">
                        <c:v>-3336.3599689822322</c:v>
                      </c:pt>
                      <c:pt idx="863">
                        <c:v>-7908.9145808400772</c:v>
                      </c:pt>
                      <c:pt idx="864">
                        <c:v>-13070.251224537589</c:v>
                      </c:pt>
                      <c:pt idx="865">
                        <c:v>-18459.906310283804</c:v>
                      </c:pt>
                      <c:pt idx="866">
                        <c:v>-23861.91183318452</c:v>
                      </c:pt>
                      <c:pt idx="867">
                        <c:v>-29132.235514538486</c:v>
                      </c:pt>
                      <c:pt idx="868">
                        <c:v>-34162.88072756552</c:v>
                      </c:pt>
                      <c:pt idx="869">
                        <c:v>-38862.378313110181</c:v>
                      </c:pt>
                      <c:pt idx="870">
                        <c:v>-43143.571570612767</c:v>
                      </c:pt>
                      <c:pt idx="871">
                        <c:v>-46914.259685887519</c:v>
                      </c:pt>
                      <c:pt idx="872">
                        <c:v>-50068.045974592715</c:v>
                      </c:pt>
                      <c:pt idx="873">
                        <c:v>-52473.113057778763</c:v>
                      </c:pt>
                      <c:pt idx="874">
                        <c:v>-53956.014947086551</c:v>
                      </c:pt>
                      <c:pt idx="875">
                        <c:v>-54275.726761497666</c:v>
                      </c:pt>
                      <c:pt idx="876">
                        <c:v>-53079.604746561665</c:v>
                      </c:pt>
                      <c:pt idx="877">
                        <c:v>-49829.088885621386</c:v>
                      </c:pt>
                      <c:pt idx="878">
                        <c:v>-43702.962388221938</c:v>
                      </c:pt>
                      <c:pt idx="879">
                        <c:v>-33713.781033923296</c:v>
                      </c:pt>
                      <c:pt idx="880">
                        <c:v>-20193.413812217019</c:v>
                      </c:pt>
                      <c:pt idx="881">
                        <c:v>-6180.0985167865501</c:v>
                      </c:pt>
                      <c:pt idx="882">
                        <c:v>6381.2297215518211</c:v>
                      </c:pt>
                      <c:pt idx="883">
                        <c:v>17048.920573974312</c:v>
                      </c:pt>
                      <c:pt idx="884">
                        <c:v>25963.154758155288</c:v>
                      </c:pt>
                      <c:pt idx="885">
                        <c:v>33335.180916599362</c:v>
                      </c:pt>
                      <c:pt idx="886">
                        <c:v>39371.736095724693</c:v>
                      </c:pt>
                      <c:pt idx="887">
                        <c:v>44242.968506607976</c:v>
                      </c:pt>
                      <c:pt idx="888">
                        <c:v>48074.43123037256</c:v>
                      </c:pt>
                      <c:pt idx="889">
                        <c:v>50954.471771787452</c:v>
                      </c:pt>
                      <c:pt idx="890">
                        <c:v>52942.768023770899</c:v>
                      </c:pt>
                      <c:pt idx="891">
                        <c:v>54076.468882971458</c:v>
                      </c:pt>
                      <c:pt idx="892">
                        <c:v>54373.876462696091</c:v>
                      </c:pt>
                      <c:pt idx="893">
                        <c:v>53836.073894528599</c:v>
                      </c:pt>
                      <c:pt idx="894">
                        <c:v>52446.668883615843</c:v>
                      </c:pt>
                      <c:pt idx="895">
                        <c:v>50169.380721117224</c:v>
                      </c:pt>
                      <c:pt idx="896">
                        <c:v>46942.42965398026</c:v>
                      </c:pt>
                      <c:pt idx="897">
                        <c:v>42666.912063676398</c:v>
                      </c:pt>
                      <c:pt idx="898">
                        <c:v>37180.930367459332</c:v>
                      </c:pt>
                      <c:pt idx="899">
                        <c:v>30188.798425665085</c:v>
                      </c:pt>
                      <c:pt idx="900">
                        <c:v>20975.209839093273</c:v>
                      </c:pt>
                      <c:pt idx="901">
                        <c:v>8993.699175496733</c:v>
                      </c:pt>
                      <c:pt idx="902">
                        <c:v>-5215.3326379551472</c:v>
                      </c:pt>
                      <c:pt idx="903">
                        <c:v>-24824.202391654042</c:v>
                      </c:pt>
                      <c:pt idx="904">
                        <c:v>-40000.91684880868</c:v>
                      </c:pt>
                      <c:pt idx="905">
                        <c:v>-50543.090306550759</c:v>
                      </c:pt>
                      <c:pt idx="906">
                        <c:v>-58197.08348196654</c:v>
                      </c:pt>
                      <c:pt idx="907">
                        <c:v>-63746.982456829384</c:v>
                      </c:pt>
                      <c:pt idx="908">
                        <c:v>-67587.185470553784</c:v>
                      </c:pt>
                      <c:pt idx="909">
                        <c:v>-69931.029998235259</c:v>
                      </c:pt>
                      <c:pt idx="910">
                        <c:v>-70890.228830861539</c:v>
                      </c:pt>
                      <c:pt idx="911">
                        <c:v>-70507.458526404604</c:v>
                      </c:pt>
                      <c:pt idx="912">
                        <c:v>-68767.539362506868</c:v>
                      </c:pt>
                      <c:pt idx="913">
                        <c:v>-65594.543739838497</c:v>
                      </c:pt>
                      <c:pt idx="914">
                        <c:v>-60833.454053067195</c:v>
                      </c:pt>
                      <c:pt idx="915">
                        <c:v>-54205.126766672256</c:v>
                      </c:pt>
                      <c:pt idx="916">
                        <c:v>-45201.160419127977</c:v>
                      </c:pt>
                      <c:pt idx="917">
                        <c:v>-32834.696909213977</c:v>
                      </c:pt>
                      <c:pt idx="918">
                        <c:v>-15575.787432650493</c:v>
                      </c:pt>
                      <c:pt idx="919">
                        <c:v>-1583.6417884266707</c:v>
                      </c:pt>
                      <c:pt idx="920">
                        <c:v>7781.2802619627446</c:v>
                      </c:pt>
                      <c:pt idx="921">
                        <c:v>14467.896113609249</c:v>
                      </c:pt>
                      <c:pt idx="922">
                        <c:v>19207.019703116071</c:v>
                      </c:pt>
                      <c:pt idx="923">
                        <c:v>22323.568930126046</c:v>
                      </c:pt>
                      <c:pt idx="924">
                        <c:v>23999.759371940469</c:v>
                      </c:pt>
                      <c:pt idx="925">
                        <c:v>24327.030407849812</c:v>
                      </c:pt>
                      <c:pt idx="926">
                        <c:v>23325.448696238953</c:v>
                      </c:pt>
                      <c:pt idx="927">
                        <c:v>20947.724663308371</c:v>
                      </c:pt>
                      <c:pt idx="928">
                        <c:v>17068.68927279162</c:v>
                      </c:pt>
                      <c:pt idx="929">
                        <c:v>11453.690981288304</c:v>
                      </c:pt>
                      <c:pt idx="930">
                        <c:v>3647.6915409500803</c:v>
                      </c:pt>
                      <c:pt idx="931">
                        <c:v>-7535.8475158391702</c:v>
                      </c:pt>
                      <c:pt idx="932">
                        <c:v>-24461.970547264107</c:v>
                      </c:pt>
                      <c:pt idx="933">
                        <c:v>-38060.493630034514</c:v>
                      </c:pt>
                      <c:pt idx="934">
                        <c:v>-47386.913363503554</c:v>
                      </c:pt>
                      <c:pt idx="935">
                        <c:v>-53665.083443947835</c:v>
                      </c:pt>
                      <c:pt idx="936">
                        <c:v>-57531.588253745191</c:v>
                      </c:pt>
                      <c:pt idx="937">
                        <c:v>-59292.77065329512</c:v>
                      </c:pt>
                      <c:pt idx="938">
                        <c:v>-59062.505129089943</c:v>
                      </c:pt>
                      <c:pt idx="939">
                        <c:v>-56805.465742038417</c:v>
                      </c:pt>
                      <c:pt idx="940">
                        <c:v>-52319.524747748685</c:v>
                      </c:pt>
                      <c:pt idx="941">
                        <c:v>-45136.564872246039</c:v>
                      </c:pt>
                      <c:pt idx="942">
                        <c:v>-34227.082858813388</c:v>
                      </c:pt>
                      <c:pt idx="943">
                        <c:v>-17473.84569516894</c:v>
                      </c:pt>
                      <c:pt idx="944">
                        <c:v>-3033.151553163199</c:v>
                      </c:pt>
                      <c:pt idx="945">
                        <c:v>6444.5451774553512</c:v>
                      </c:pt>
                      <c:pt idx="946">
                        <c:v>13070.687738980323</c:v>
                      </c:pt>
                      <c:pt idx="947">
                        <c:v>18593.692247619263</c:v>
                      </c:pt>
                      <c:pt idx="948">
                        <c:v>23165.935389729671</c:v>
                      </c:pt>
                      <c:pt idx="949">
                        <c:v>24601.327928867191</c:v>
                      </c:pt>
                      <c:pt idx="950">
                        <c:v>22889.724131015595</c:v>
                      </c:pt>
                      <c:pt idx="951">
                        <c:v>17733.731292635945</c:v>
                      </c:pt>
                      <c:pt idx="952">
                        <c:v>12244.272672528943</c:v>
                      </c:pt>
                      <c:pt idx="953">
                        <c:v>5315.8759631428629</c:v>
                      </c:pt>
                      <c:pt idx="954">
                        <c:v>-4713.5297662440962</c:v>
                      </c:pt>
                      <c:pt idx="955">
                        <c:v>-20049.044654549674</c:v>
                      </c:pt>
                      <c:pt idx="956">
                        <c:v>-35152.856654996984</c:v>
                      </c:pt>
                      <c:pt idx="957">
                        <c:v>-44544.826736609321</c:v>
                      </c:pt>
                      <c:pt idx="958">
                        <c:v>-50108.020816727898</c:v>
                      </c:pt>
                      <c:pt idx="959">
                        <c:v>-52698.022185720001</c:v>
                      </c:pt>
                      <c:pt idx="960">
                        <c:v>-52633.021803834643</c:v>
                      </c:pt>
                      <c:pt idx="961">
                        <c:v>-49908.523855127205</c:v>
                      </c:pt>
                      <c:pt idx="962">
                        <c:v>-44198.509383038487</c:v>
                      </c:pt>
                      <c:pt idx="963">
                        <c:v>-34652.463532872898</c:v>
                      </c:pt>
                      <c:pt idx="964">
                        <c:v>-19528.246678264451</c:v>
                      </c:pt>
                      <c:pt idx="965">
                        <c:v>-4665.6663158058991</c:v>
                      </c:pt>
                      <c:pt idx="966">
                        <c:v>4894.6857773669708</c:v>
                      </c:pt>
                      <c:pt idx="967">
                        <c:v>11215.70660213522</c:v>
                      </c:pt>
                      <c:pt idx="968">
                        <c:v>15278.545733812194</c:v>
                      </c:pt>
                      <c:pt idx="969">
                        <c:v>17406.358512046972</c:v>
                      </c:pt>
                      <c:pt idx="970">
                        <c:v>17678.623027807505</c:v>
                      </c:pt>
                      <c:pt idx="971">
                        <c:v>16186.75266195125</c:v>
                      </c:pt>
                      <c:pt idx="972">
                        <c:v>13545.359728706373</c:v>
                      </c:pt>
                      <c:pt idx="973">
                        <c:v>9966.6969043989811</c:v>
                      </c:pt>
                      <c:pt idx="974">
                        <c:v>4420.7088466686564</c:v>
                      </c:pt>
                      <c:pt idx="975">
                        <c:v>-3575.1881189399073</c:v>
                      </c:pt>
                      <c:pt idx="976">
                        <c:v>-13921.872142121918</c:v>
                      </c:pt>
                      <c:pt idx="977">
                        <c:v>-25269.447172289696</c:v>
                      </c:pt>
                      <c:pt idx="978">
                        <c:v>-34772.234798726582</c:v>
                      </c:pt>
                      <c:pt idx="979">
                        <c:v>-40041.340488959206</c:v>
                      </c:pt>
                      <c:pt idx="980">
                        <c:v>-40628.744490358331</c:v>
                      </c:pt>
                      <c:pt idx="981">
                        <c:v>-37161.1270957304</c:v>
                      </c:pt>
                      <c:pt idx="982">
                        <c:v>-30561.832694898047</c:v>
                      </c:pt>
                      <c:pt idx="983">
                        <c:v>-21934.924842642889</c:v>
                      </c:pt>
                      <c:pt idx="984">
                        <c:v>-12807.848282996865</c:v>
                      </c:pt>
                      <c:pt idx="985">
                        <c:v>-5473.2106290061565</c:v>
                      </c:pt>
                      <c:pt idx="986">
                        <c:v>-2439.7139133934834</c:v>
                      </c:pt>
                      <c:pt idx="987">
                        <c:v>-4133.4445482692463</c:v>
                      </c:pt>
                      <c:pt idx="988">
                        <c:v>-8943.4512608559598</c:v>
                      </c:pt>
                      <c:pt idx="989">
                        <c:v>-15056.747056671349</c:v>
                      </c:pt>
                      <c:pt idx="990">
                        <c:v>-20916.963910381364</c:v>
                      </c:pt>
                      <c:pt idx="991">
                        <c:v>-25513.434513765133</c:v>
                      </c:pt>
                      <c:pt idx="992">
                        <c:v>-28510.54131307577</c:v>
                      </c:pt>
                      <c:pt idx="993">
                        <c:v>-29883.562216678725</c:v>
                      </c:pt>
                      <c:pt idx="994">
                        <c:v>-29656.54480469157</c:v>
                      </c:pt>
                      <c:pt idx="995">
                        <c:v>-27812.740803036737</c:v>
                      </c:pt>
                      <c:pt idx="996">
                        <c:v>-24272.362305395473</c:v>
                      </c:pt>
                      <c:pt idx="997">
                        <c:v>-18924.271250782247</c:v>
                      </c:pt>
                      <c:pt idx="998">
                        <c:v>-11869.876425759612</c:v>
                      </c:pt>
                      <c:pt idx="999">
                        <c:v>-4141.4438928653381</c:v>
                      </c:pt>
                      <c:pt idx="1000">
                        <c:v>2610.7647000202169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Feuil2!$D$56:$D$1056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1315.1531696174502</c:v>
                      </c:pt>
                      <c:pt idx="3">
                        <c:v>4290.0643818581184</c:v>
                      </c:pt>
                      <c:pt idx="4">
                        <c:v>9876.9254111074151</c:v>
                      </c:pt>
                      <c:pt idx="5">
                        <c:v>20008.850050760957</c:v>
                      </c:pt>
                      <c:pt idx="6">
                        <c:v>29798.468781419637</c:v>
                      </c:pt>
                      <c:pt idx="7">
                        <c:v>35351.049763813644</c:v>
                      </c:pt>
                      <c:pt idx="8">
                        <c:v>37062.590888207284</c:v>
                      </c:pt>
                      <c:pt idx="9">
                        <c:v>34844.637682455214</c:v>
                      </c:pt>
                      <c:pt idx="10">
                        <c:v>27759.779350741424</c:v>
                      </c:pt>
                      <c:pt idx="11">
                        <c:v>14773.147597685245</c:v>
                      </c:pt>
                      <c:pt idx="12">
                        <c:v>5179.7495606692592</c:v>
                      </c:pt>
                      <c:pt idx="13">
                        <c:v>-756.23829981875588</c:v>
                      </c:pt>
                      <c:pt idx="14">
                        <c:v>-4098.7056719765515</c:v>
                      </c:pt>
                      <c:pt idx="15">
                        <c:v>-5402.3926761052608</c:v>
                      </c:pt>
                      <c:pt idx="16">
                        <c:v>-4763.117162036413</c:v>
                      </c:pt>
                      <c:pt idx="17">
                        <c:v>-1833.659634638283</c:v>
                      </c:pt>
                      <c:pt idx="18">
                        <c:v>4253.9225142981613</c:v>
                      </c:pt>
                      <c:pt idx="19">
                        <c:v>15110.334180511712</c:v>
                      </c:pt>
                      <c:pt idx="20">
                        <c:v>29909.52027998109</c:v>
                      </c:pt>
                      <c:pt idx="21">
                        <c:v>38595.104325361695</c:v>
                      </c:pt>
                      <c:pt idx="22">
                        <c:v>42288.823776570913</c:v>
                      </c:pt>
                      <c:pt idx="23">
                        <c:v>41715.224253266766</c:v>
                      </c:pt>
                      <c:pt idx="24">
                        <c:v>36751.129706855558</c:v>
                      </c:pt>
                      <c:pt idx="25">
                        <c:v>26388.750671235499</c:v>
                      </c:pt>
                      <c:pt idx="26">
                        <c:v>10725.194885139919</c:v>
                      </c:pt>
                      <c:pt idx="27">
                        <c:v>467.61607473685581</c:v>
                      </c:pt>
                      <c:pt idx="28">
                        <c:v>-5856.7500622231883</c:v>
                      </c:pt>
                      <c:pt idx="29">
                        <c:v>-9595.3521899398365</c:v>
                      </c:pt>
                      <c:pt idx="30">
                        <c:v>-11377.047726255729</c:v>
                      </c:pt>
                      <c:pt idx="31">
                        <c:v>-11486.921181512964</c:v>
                      </c:pt>
                      <c:pt idx="32">
                        <c:v>-10036.88092171992</c:v>
                      </c:pt>
                      <c:pt idx="33">
                        <c:v>-6985.367470106683</c:v>
                      </c:pt>
                      <c:pt idx="34">
                        <c:v>-2029.1087457933634</c:v>
                      </c:pt>
                      <c:pt idx="35">
                        <c:v>5494.246292783645</c:v>
                      </c:pt>
                      <c:pt idx="36">
                        <c:v>16336.09905585076</c:v>
                      </c:pt>
                      <c:pt idx="37">
                        <c:v>28804.957503984228</c:v>
                      </c:pt>
                      <c:pt idx="38">
                        <c:v>35476.526725325435</c:v>
                      </c:pt>
                      <c:pt idx="39">
                        <c:v>36788.178231816346</c:v>
                      </c:pt>
                      <c:pt idx="40">
                        <c:v>34180.452727220218</c:v>
                      </c:pt>
                      <c:pt idx="41">
                        <c:v>28455.052531943355</c:v>
                      </c:pt>
                      <c:pt idx="42">
                        <c:v>20282.589660067104</c:v>
                      </c:pt>
                      <c:pt idx="43">
                        <c:v>11708.911237155278</c:v>
                      </c:pt>
                      <c:pt idx="44">
                        <c:v>8258.3774976877939</c:v>
                      </c:pt>
                      <c:pt idx="45">
                        <c:v>8667.5279360391833</c:v>
                      </c:pt>
                      <c:pt idx="46">
                        <c:v>10825.969861403903</c:v>
                      </c:pt>
                      <c:pt idx="47">
                        <c:v>13855.026063545563</c:v>
                      </c:pt>
                      <c:pt idx="48">
                        <c:v>17250.747569955613</c:v>
                      </c:pt>
                      <c:pt idx="49">
                        <c:v>20555.08009000017</c:v>
                      </c:pt>
                      <c:pt idx="50">
                        <c:v>23281.009343830294</c:v>
                      </c:pt>
                      <c:pt idx="51">
                        <c:v>24232.436337819297</c:v>
                      </c:pt>
                      <c:pt idx="52">
                        <c:v>20911.169189024815</c:v>
                      </c:pt>
                      <c:pt idx="53">
                        <c:v>16916.219367144036</c:v>
                      </c:pt>
                      <c:pt idx="54">
                        <c:v>13357.074864377755</c:v>
                      </c:pt>
                      <c:pt idx="55">
                        <c:v>10636.55375963607</c:v>
                      </c:pt>
                      <c:pt idx="56">
                        <c:v>9217.7348926816867</c:v>
                      </c:pt>
                      <c:pt idx="57">
                        <c:v>10054.231114650896</c:v>
                      </c:pt>
                      <c:pt idx="58">
                        <c:v>15373.967656134191</c:v>
                      </c:pt>
                      <c:pt idx="59">
                        <c:v>23687.720672918163</c:v>
                      </c:pt>
                      <c:pt idx="60">
                        <c:v>30258.044237488029</c:v>
                      </c:pt>
                      <c:pt idx="61">
                        <c:v>34328.016079259614</c:v>
                      </c:pt>
                      <c:pt idx="62">
                        <c:v>35633.479327340268</c:v>
                      </c:pt>
                      <c:pt idx="63">
                        <c:v>33613.160542065096</c:v>
                      </c:pt>
                      <c:pt idx="64">
                        <c:v>26909.937342417328</c:v>
                      </c:pt>
                      <c:pt idx="65">
                        <c:v>14486.68056754847</c:v>
                      </c:pt>
                      <c:pt idx="66">
                        <c:v>5004.2514665255894</c:v>
                      </c:pt>
                      <c:pt idx="67">
                        <c:v>-1221.5466508411037</c:v>
                      </c:pt>
                      <c:pt idx="68">
                        <c:v>-4732.4711489819147</c:v>
                      </c:pt>
                      <c:pt idx="69">
                        <c:v>-5733.9146491306519</c:v>
                      </c:pt>
                      <c:pt idx="70">
                        <c:v>-4160.1980878566501</c:v>
                      </c:pt>
                      <c:pt idx="71">
                        <c:v>327.63645228096721</c:v>
                      </c:pt>
                      <c:pt idx="72">
                        <c:v>8367.141081111633</c:v>
                      </c:pt>
                      <c:pt idx="73">
                        <c:v>19960.893106703414</c:v>
                      </c:pt>
                      <c:pt idx="74">
                        <c:v>31153.531000220355</c:v>
                      </c:pt>
                      <c:pt idx="75">
                        <c:v>37405.761135062683</c:v>
                      </c:pt>
                      <c:pt idx="76">
                        <c:v>38363.129837780638</c:v>
                      </c:pt>
                      <c:pt idx="77">
                        <c:v>34701.92546896603</c:v>
                      </c:pt>
                      <c:pt idx="78">
                        <c:v>27151.732197950492</c:v>
                      </c:pt>
                      <c:pt idx="79">
                        <c:v>17033.927809694851</c:v>
                      </c:pt>
                      <c:pt idx="80">
                        <c:v>8014.1723239273988</c:v>
                      </c:pt>
                      <c:pt idx="81">
                        <c:v>4141.8862816036954</c:v>
                      </c:pt>
                      <c:pt idx="82">
                        <c:v>4323.8276421520268</c:v>
                      </c:pt>
                      <c:pt idx="83">
                        <c:v>6758.4598803907147</c:v>
                      </c:pt>
                      <c:pt idx="84">
                        <c:v>10515.315184158666</c:v>
                      </c:pt>
                      <c:pt idx="85">
                        <c:v>15064.283085068288</c:v>
                      </c:pt>
                      <c:pt idx="86">
                        <c:v>19846.331020906386</c:v>
                      </c:pt>
                      <c:pt idx="87">
                        <c:v>24180.931003887668</c:v>
                      </c:pt>
                      <c:pt idx="88">
                        <c:v>26735.574842267077</c:v>
                      </c:pt>
                      <c:pt idx="89">
                        <c:v>24083.271885506045</c:v>
                      </c:pt>
                      <c:pt idx="90">
                        <c:v>18923.97229458089</c:v>
                      </c:pt>
                      <c:pt idx="91">
                        <c:v>13801.362118881423</c:v>
                      </c:pt>
                      <c:pt idx="92">
                        <c:v>9485.4471914122641</c:v>
                      </c:pt>
                      <c:pt idx="93">
                        <c:v>6504.7866609840239</c:v>
                      </c:pt>
                      <c:pt idx="94">
                        <c:v>5625.4791253199755</c:v>
                      </c:pt>
                      <c:pt idx="95">
                        <c:v>8343.6748140470227</c:v>
                      </c:pt>
                      <c:pt idx="96">
                        <c:v>16554.188784414422</c:v>
                      </c:pt>
                      <c:pt idx="97">
                        <c:v>26090.797831520395</c:v>
                      </c:pt>
                      <c:pt idx="98">
                        <c:v>33493.10723283769</c:v>
                      </c:pt>
                      <c:pt idx="99">
                        <c:v>38028.405507010997</c:v>
                      </c:pt>
                      <c:pt idx="100">
                        <c:v>39333.47647719823</c:v>
                      </c:pt>
                      <c:pt idx="101">
                        <c:v>36743.243622117778</c:v>
                      </c:pt>
                      <c:pt idx="102">
                        <c:v>28913.421691311196</c:v>
                      </c:pt>
                      <c:pt idx="103">
                        <c:v>15265.201572932554</c:v>
                      </c:pt>
                      <c:pt idx="104">
                        <c:v>4124.5077239073107</c:v>
                      </c:pt>
                      <c:pt idx="105">
                        <c:v>-3101.5945411548723</c:v>
                      </c:pt>
                      <c:pt idx="106">
                        <c:v>-7259.453004367193</c:v>
                      </c:pt>
                      <c:pt idx="107">
                        <c:v>-9123.6172708588165</c:v>
                      </c:pt>
                      <c:pt idx="108">
                        <c:v>-9425.9781756439552</c:v>
                      </c:pt>
                      <c:pt idx="109">
                        <c:v>-8824.428253228527</c:v>
                      </c:pt>
                      <c:pt idx="110">
                        <c:v>-7670.414636204845</c:v>
                      </c:pt>
                      <c:pt idx="111">
                        <c:v>-6001.3246050469097</c:v>
                      </c:pt>
                      <c:pt idx="112">
                        <c:v>-3708.0629368346199</c:v>
                      </c:pt>
                      <c:pt idx="113">
                        <c:v>-598.70620547704516</c:v>
                      </c:pt>
                      <c:pt idx="114">
                        <c:v>3646.4465551055046</c:v>
                      </c:pt>
                      <c:pt idx="115">
                        <c:v>9616.9757357940143</c:v>
                      </c:pt>
                      <c:pt idx="116">
                        <c:v>18430.010864026804</c:v>
                      </c:pt>
                      <c:pt idx="117">
                        <c:v>28396.124679590223</c:v>
                      </c:pt>
                      <c:pt idx="118">
                        <c:v>34203.859642985335</c:v>
                      </c:pt>
                      <c:pt idx="119">
                        <c:v>37222.675907681143</c:v>
                      </c:pt>
                      <c:pt idx="120">
                        <c:v>38099.481361983191</c:v>
                      </c:pt>
                      <c:pt idx="121">
                        <c:v>37047.406022443</c:v>
                      </c:pt>
                      <c:pt idx="122">
                        <c:v>34003.431197548998</c:v>
                      </c:pt>
                      <c:pt idx="123">
                        <c:v>28590.034565848502</c:v>
                      </c:pt>
                      <c:pt idx="124">
                        <c:v>19981.833438356258</c:v>
                      </c:pt>
                      <c:pt idx="125">
                        <c:v>11047.095055384596</c:v>
                      </c:pt>
                      <c:pt idx="126">
                        <c:v>5103.8405659043947</c:v>
                      </c:pt>
                      <c:pt idx="127">
                        <c:v>625.86804305892633</c:v>
                      </c:pt>
                      <c:pt idx="128">
                        <c:v>-2982.9350935555331</c:v>
                      </c:pt>
                      <c:pt idx="129">
                        <c:v>-5973.6750270716329</c:v>
                      </c:pt>
                      <c:pt idx="130">
                        <c:v>-8487.2484147627802</c:v>
                      </c:pt>
                      <c:pt idx="131">
                        <c:v>-10619.033771626328</c:v>
                      </c:pt>
                      <c:pt idx="132">
                        <c:v>-12468.749773096231</c:v>
                      </c:pt>
                      <c:pt idx="133">
                        <c:v>-14217.409422258825</c:v>
                      </c:pt>
                      <c:pt idx="134">
                        <c:v>-16291.016811646758</c:v>
                      </c:pt>
                      <c:pt idx="135">
                        <c:v>-19523.51703263291</c:v>
                      </c:pt>
                      <c:pt idx="136">
                        <c:v>-23880.467245779397</c:v>
                      </c:pt>
                      <c:pt idx="137">
                        <c:v>-27866.139148008362</c:v>
                      </c:pt>
                      <c:pt idx="138">
                        <c:v>-30759.334614739997</c:v>
                      </c:pt>
                      <c:pt idx="139">
                        <c:v>-32362.502361979808</c:v>
                      </c:pt>
                      <c:pt idx="140">
                        <c:v>-32598.695471488711</c:v>
                      </c:pt>
                      <c:pt idx="141">
                        <c:v>-31394.243882934505</c:v>
                      </c:pt>
                      <c:pt idx="142">
                        <c:v>-28719.753535821488</c:v>
                      </c:pt>
                      <c:pt idx="143">
                        <c:v>-25368.444374963045</c:v>
                      </c:pt>
                      <c:pt idx="144">
                        <c:v>-24150.440183807539</c:v>
                      </c:pt>
                      <c:pt idx="145">
                        <c:v>-23429.791500855426</c:v>
                      </c:pt>
                      <c:pt idx="146">
                        <c:v>-22651.941111127744</c:v>
                      </c:pt>
                      <c:pt idx="147">
                        <c:v>-21712.791459623098</c:v>
                      </c:pt>
                      <c:pt idx="148">
                        <c:v>-20694.414579175918</c:v>
                      </c:pt>
                      <c:pt idx="149">
                        <c:v>-19927.871473482668</c:v>
                      </c:pt>
                      <c:pt idx="150">
                        <c:v>-20321.799068427521</c:v>
                      </c:pt>
                      <c:pt idx="151">
                        <c:v>-22886.567436309531</c:v>
                      </c:pt>
                      <c:pt idx="152">
                        <c:v>-25894.41673807563</c:v>
                      </c:pt>
                      <c:pt idx="153">
                        <c:v>-28079.52341899338</c:v>
                      </c:pt>
                      <c:pt idx="154">
                        <c:v>-29122.226513372232</c:v>
                      </c:pt>
                      <c:pt idx="155">
                        <c:v>-28960.056067827063</c:v>
                      </c:pt>
                      <c:pt idx="156">
                        <c:v>-27600.483742629425</c:v>
                      </c:pt>
                      <c:pt idx="157">
                        <c:v>-25152.351505306196</c:v>
                      </c:pt>
                      <c:pt idx="158">
                        <c:v>-22154.512715179662</c:v>
                      </c:pt>
                      <c:pt idx="159">
                        <c:v>-20444.088668825258</c:v>
                      </c:pt>
                      <c:pt idx="160">
                        <c:v>-20801.632590111938</c:v>
                      </c:pt>
                      <c:pt idx="161">
                        <c:v>-21853.446756570593</c:v>
                      </c:pt>
                      <c:pt idx="162">
                        <c:v>-22945.530305445878</c:v>
                      </c:pt>
                      <c:pt idx="163">
                        <c:v>-23863.438534947865</c:v>
                      </c:pt>
                      <c:pt idx="164">
                        <c:v>-24587.043352132179</c:v>
                      </c:pt>
                      <c:pt idx="165">
                        <c:v>-25332.953316732288</c:v>
                      </c:pt>
                      <c:pt idx="166">
                        <c:v>-27107.035352857831</c:v>
                      </c:pt>
                      <c:pt idx="167">
                        <c:v>-29916.460520949877</c:v>
                      </c:pt>
                      <c:pt idx="168">
                        <c:v>-31486.25325356418</c:v>
                      </c:pt>
                      <c:pt idx="169">
                        <c:v>-31607.409259176813</c:v>
                      </c:pt>
                      <c:pt idx="170">
                        <c:v>-30328.523742820686</c:v>
                      </c:pt>
                      <c:pt idx="171">
                        <c:v>-27754.999845436501</c:v>
                      </c:pt>
                      <c:pt idx="172">
                        <c:v>-24241.681592825786</c:v>
                      </c:pt>
                      <c:pt idx="173">
                        <c:v>-21193.691186669534</c:v>
                      </c:pt>
                      <c:pt idx="174">
                        <c:v>-20512.934056572052</c:v>
                      </c:pt>
                      <c:pt idx="175">
                        <c:v>-21045.955317357464</c:v>
                      </c:pt>
                      <c:pt idx="176">
                        <c:v>-21886.393718061699</c:v>
                      </c:pt>
                      <c:pt idx="177">
                        <c:v>-22724.079807599192</c:v>
                      </c:pt>
                      <c:pt idx="178">
                        <c:v>-23521.79508106639</c:v>
                      </c:pt>
                      <c:pt idx="179">
                        <c:v>-24522.518164050027</c:v>
                      </c:pt>
                      <c:pt idx="180">
                        <c:v>-26747.35376564748</c:v>
                      </c:pt>
                      <c:pt idx="181">
                        <c:v>-30348.571225761003</c:v>
                      </c:pt>
                      <c:pt idx="182">
                        <c:v>-32581.815563051983</c:v>
                      </c:pt>
                      <c:pt idx="183">
                        <c:v>-33161.583238254345</c:v>
                      </c:pt>
                      <c:pt idx="184">
                        <c:v>-32110.488547460383</c:v>
                      </c:pt>
                      <c:pt idx="185">
                        <c:v>-29488.379801088799</c:v>
                      </c:pt>
                      <c:pt idx="186">
                        <c:v>-25750.599017110439</c:v>
                      </c:pt>
                      <c:pt idx="187">
                        <c:v>-23620.062448741257</c:v>
                      </c:pt>
                      <c:pt idx="188">
                        <c:v>-23110.797386716898</c:v>
                      </c:pt>
                      <c:pt idx="189">
                        <c:v>-22931.522515134264</c:v>
                      </c:pt>
                      <c:pt idx="190">
                        <c:v>-22726.926599728624</c:v>
                      </c:pt>
                      <c:pt idx="191">
                        <c:v>-22477.709085175946</c:v>
                      </c:pt>
                      <c:pt idx="192">
                        <c:v>-22447.99586154992</c:v>
                      </c:pt>
                      <c:pt idx="193">
                        <c:v>-23594.567660468994</c:v>
                      </c:pt>
                      <c:pt idx="194">
                        <c:v>-27325.110685479332</c:v>
                      </c:pt>
                      <c:pt idx="195">
                        <c:v>-30767.239477570143</c:v>
                      </c:pt>
                      <c:pt idx="196">
                        <c:v>-32817.849730960261</c:v>
                      </c:pt>
                      <c:pt idx="197">
                        <c:v>-33309.069702143883</c:v>
                      </c:pt>
                      <c:pt idx="198">
                        <c:v>-32181.883908959022</c:v>
                      </c:pt>
                      <c:pt idx="199">
                        <c:v>-29408.3909455383</c:v>
                      </c:pt>
                      <c:pt idx="200">
                        <c:v>-25658.979487976161</c:v>
                      </c:pt>
                      <c:pt idx="201">
                        <c:v>-24061.802476137105</c:v>
                      </c:pt>
                      <c:pt idx="202">
                        <c:v>-23232.707583919408</c:v>
                      </c:pt>
                      <c:pt idx="203">
                        <c:v>-22539.777329249064</c:v>
                      </c:pt>
                      <c:pt idx="204">
                        <c:v>-21879.863897589072</c:v>
                      </c:pt>
                      <c:pt idx="205">
                        <c:v>-21441.261849786377</c:v>
                      </c:pt>
                      <c:pt idx="206">
                        <c:v>-21922.249949658453</c:v>
                      </c:pt>
                      <c:pt idx="207">
                        <c:v>-24808.380440149896</c:v>
                      </c:pt>
                      <c:pt idx="208">
                        <c:v>-28660.115935165439</c:v>
                      </c:pt>
                      <c:pt idx="209">
                        <c:v>-31525.116566788067</c:v>
                      </c:pt>
                      <c:pt idx="210">
                        <c:v>-32922.383243581709</c:v>
                      </c:pt>
                      <c:pt idx="211">
                        <c:v>-32684.049521794066</c:v>
                      </c:pt>
                      <c:pt idx="212">
                        <c:v>-30653.43474913785</c:v>
                      </c:pt>
                      <c:pt idx="213">
                        <c:v>-27051.796399895025</c:v>
                      </c:pt>
                      <c:pt idx="214">
                        <c:v>-24805.448548977329</c:v>
                      </c:pt>
                      <c:pt idx="215">
                        <c:v>-23200.828558670146</c:v>
                      </c:pt>
                      <c:pt idx="216">
                        <c:v>-21846.554169743067</c:v>
                      </c:pt>
                      <c:pt idx="217">
                        <c:v>-20776.06646787042</c:v>
                      </c:pt>
                      <c:pt idx="218">
                        <c:v>-20395.236479202296</c:v>
                      </c:pt>
                      <c:pt idx="219">
                        <c:v>-21718.215448638195</c:v>
                      </c:pt>
                      <c:pt idx="220">
                        <c:v>-25247.394945460917</c:v>
                      </c:pt>
                      <c:pt idx="221">
                        <c:v>-28923.583997877249</c:v>
                      </c:pt>
                      <c:pt idx="222">
                        <c:v>-31527.026937446026</c:v>
                      </c:pt>
                      <c:pt idx="223">
                        <c:v>-32622.545506317063</c:v>
                      </c:pt>
                      <c:pt idx="224">
                        <c:v>-31891.703286830336</c:v>
                      </c:pt>
                      <c:pt idx="225">
                        <c:v>-28982.940346754505</c:v>
                      </c:pt>
                      <c:pt idx="226">
                        <c:v>-25932.527130341325</c:v>
                      </c:pt>
                      <c:pt idx="227">
                        <c:v>-23436.497157844784</c:v>
                      </c:pt>
                      <c:pt idx="228">
                        <c:v>-21368.391241890447</c:v>
                      </c:pt>
                      <c:pt idx="229">
                        <c:v>-19898.385114477973</c:v>
                      </c:pt>
                      <c:pt idx="230">
                        <c:v>-19582.386432265459</c:v>
                      </c:pt>
                      <c:pt idx="231">
                        <c:v>-21251.735550072539</c:v>
                      </c:pt>
                      <c:pt idx="232">
                        <c:v>-24457.432652987809</c:v>
                      </c:pt>
                      <c:pt idx="233">
                        <c:v>-27644.080393983975</c:v>
                      </c:pt>
                      <c:pt idx="234">
                        <c:v>-29960.937742196242</c:v>
                      </c:pt>
                      <c:pt idx="235">
                        <c:v>-31016.276698418384</c:v>
                      </c:pt>
                      <c:pt idx="236">
                        <c:v>-30496.090310558386</c:v>
                      </c:pt>
                      <c:pt idx="237">
                        <c:v>-28366.732420093926</c:v>
                      </c:pt>
                      <c:pt idx="238">
                        <c:v>-26201.357661796064</c:v>
                      </c:pt>
                      <c:pt idx="239">
                        <c:v>-24068.891923684467</c:v>
                      </c:pt>
                      <c:pt idx="240">
                        <c:v>-22086.68118147623</c:v>
                      </c:pt>
                      <c:pt idx="241">
                        <c:v>-20650.292153857958</c:v>
                      </c:pt>
                      <c:pt idx="242">
                        <c:v>-20670.122643932395</c:v>
                      </c:pt>
                      <c:pt idx="243">
                        <c:v>-22932.434181476146</c:v>
                      </c:pt>
                      <c:pt idx="244">
                        <c:v>-25932.431304433467</c:v>
                      </c:pt>
                      <c:pt idx="245">
                        <c:v>-28336.126125996609</c:v>
                      </c:pt>
                      <c:pt idx="246">
                        <c:v>-29675.480075323951</c:v>
                      </c:pt>
                      <c:pt idx="247">
                        <c:v>-29789.85365513041</c:v>
                      </c:pt>
                      <c:pt idx="248">
                        <c:v>-28689.07899842022</c:v>
                      </c:pt>
                      <c:pt idx="249">
                        <c:v>-27226.3325568459</c:v>
                      </c:pt>
                      <c:pt idx="250">
                        <c:v>-26611.898280510388</c:v>
                      </c:pt>
                      <c:pt idx="251">
                        <c:v>-25996.307460339562</c:v>
                      </c:pt>
                      <c:pt idx="252">
                        <c:v>-25231.901067841725</c:v>
                      </c:pt>
                      <c:pt idx="253">
                        <c:v>-24527.084327692635</c:v>
                      </c:pt>
                      <c:pt idx="254">
                        <c:v>-24758.822973320217</c:v>
                      </c:pt>
                      <c:pt idx="255">
                        <c:v>-27455.663767783964</c:v>
                      </c:pt>
                      <c:pt idx="256">
                        <c:v>-29946.289287796812</c:v>
                      </c:pt>
                      <c:pt idx="257">
                        <c:v>-31178.748001663567</c:v>
                      </c:pt>
                      <c:pt idx="258">
                        <c:v>-30982.250638594072</c:v>
                      </c:pt>
                      <c:pt idx="259">
                        <c:v>-29360.725714294123</c:v>
                      </c:pt>
                      <c:pt idx="260">
                        <c:v>-26674.228530669359</c:v>
                      </c:pt>
                      <c:pt idx="261">
                        <c:v>-25270.203060070577</c:v>
                      </c:pt>
                      <c:pt idx="262">
                        <c:v>-25099.003311751101</c:v>
                      </c:pt>
                      <c:pt idx="263">
                        <c:v>-25055.492733694846</c:v>
                      </c:pt>
                      <c:pt idx="264">
                        <c:v>-24892.429144306956</c:v>
                      </c:pt>
                      <c:pt idx="265">
                        <c:v>-24704.523096483001</c:v>
                      </c:pt>
                      <c:pt idx="266">
                        <c:v>-25110.090365413187</c:v>
                      </c:pt>
                      <c:pt idx="267">
                        <c:v>-27773.549472965613</c:v>
                      </c:pt>
                      <c:pt idx="268">
                        <c:v>-30238.180198814844</c:v>
                      </c:pt>
                      <c:pt idx="269">
                        <c:v>-31390.459529315831</c:v>
                      </c:pt>
                      <c:pt idx="270">
                        <c:v>-31121.273847518329</c:v>
                      </c:pt>
                      <c:pt idx="271">
                        <c:v>-29466.957371283352</c:v>
                      </c:pt>
                      <c:pt idx="272">
                        <c:v>-26627.185414423471</c:v>
                      </c:pt>
                      <c:pt idx="273">
                        <c:v>-23692.440186877753</c:v>
                      </c:pt>
                      <c:pt idx="274">
                        <c:v>-23324.164822977498</c:v>
                      </c:pt>
                      <c:pt idx="275">
                        <c:v>-24125.510042801281</c:v>
                      </c:pt>
                      <c:pt idx="276">
                        <c:v>-25063.518107802087</c:v>
                      </c:pt>
                      <c:pt idx="277">
                        <c:v>-25841.264988169663</c:v>
                      </c:pt>
                      <c:pt idx="278">
                        <c:v>-26458.121548367271</c:v>
                      </c:pt>
                      <c:pt idx="279">
                        <c:v>-27333.425943295664</c:v>
                      </c:pt>
                      <c:pt idx="280">
                        <c:v>-29473.629063266235</c:v>
                      </c:pt>
                      <c:pt idx="281">
                        <c:v>-30579.573805582248</c:v>
                      </c:pt>
                      <c:pt idx="282">
                        <c:v>-30329.837903301141</c:v>
                      </c:pt>
                      <c:pt idx="283">
                        <c:v>-28788.988839460595</c:v>
                      </c:pt>
                      <c:pt idx="284">
                        <c:v>-26076.955080033105</c:v>
                      </c:pt>
                      <c:pt idx="285">
                        <c:v>-22447.075215204968</c:v>
                      </c:pt>
                      <c:pt idx="286">
                        <c:v>-18560.788142466659</c:v>
                      </c:pt>
                      <c:pt idx="287">
                        <c:v>-15505.814228699186</c:v>
                      </c:pt>
                      <c:pt idx="288">
                        <c:v>-13423.873902150017</c:v>
                      </c:pt>
                      <c:pt idx="289">
                        <c:v>-11702.756275211188</c:v>
                      </c:pt>
                      <c:pt idx="290">
                        <c:v>-9936.1381895810282</c:v>
                      </c:pt>
                      <c:pt idx="291">
                        <c:v>-7921.7650710167236</c:v>
                      </c:pt>
                      <c:pt idx="292">
                        <c:v>-5533.8723297004772</c:v>
                      </c:pt>
                      <c:pt idx="293">
                        <c:v>-2640.225743648527</c:v>
                      </c:pt>
                      <c:pt idx="294">
                        <c:v>983.59921610457798</c:v>
                      </c:pt>
                      <c:pt idx="295">
                        <c:v>5837.8095515993209</c:v>
                      </c:pt>
                      <c:pt idx="296">
                        <c:v>13182.82590297889</c:v>
                      </c:pt>
                      <c:pt idx="297">
                        <c:v>24977.406952788071</c:v>
                      </c:pt>
                      <c:pt idx="298">
                        <c:v>33541.621191970822</c:v>
                      </c:pt>
                      <c:pt idx="299">
                        <c:v>39190.175777757722</c:v>
                      </c:pt>
                      <c:pt idx="300">
                        <c:v>42571.368752220173</c:v>
                      </c:pt>
                      <c:pt idx="301">
                        <c:v>43951.96671146313</c:v>
                      </c:pt>
                      <c:pt idx="302">
                        <c:v>43350.834620093548</c:v>
                      </c:pt>
                      <c:pt idx="303">
                        <c:v>40549.10210096652</c:v>
                      </c:pt>
                      <c:pt idx="304">
                        <c:v>34946.596462211724</c:v>
                      </c:pt>
                      <c:pt idx="305">
                        <c:v>25093.166648454295</c:v>
                      </c:pt>
                      <c:pt idx="306">
                        <c:v>10458.756914576077</c:v>
                      </c:pt>
                      <c:pt idx="307">
                        <c:v>-427.78956394522947</c:v>
                      </c:pt>
                      <c:pt idx="308">
                        <c:v>-9485.258014818166</c:v>
                      </c:pt>
                      <c:pt idx="309">
                        <c:v>-18324.527297754033</c:v>
                      </c:pt>
                      <c:pt idx="310">
                        <c:v>-28148.105982515961</c:v>
                      </c:pt>
                      <c:pt idx="311">
                        <c:v>-37750.480173768003</c:v>
                      </c:pt>
                      <c:pt idx="312">
                        <c:v>-43266.539839594559</c:v>
                      </c:pt>
                      <c:pt idx="313">
                        <c:v>-44979.617509379226</c:v>
                      </c:pt>
                      <c:pt idx="314">
                        <c:v>-43721.239337055304</c:v>
                      </c:pt>
                      <c:pt idx="315">
                        <c:v>-40020.756579442525</c:v>
                      </c:pt>
                      <c:pt idx="316">
                        <c:v>-34261.047021056605</c:v>
                      </c:pt>
                      <c:pt idx="317">
                        <c:v>-26879.972337557097</c:v>
                      </c:pt>
                      <c:pt idx="318">
                        <c:v>-18502.998459548377</c:v>
                      </c:pt>
                      <c:pt idx="319">
                        <c:v>-9503.5089195811724</c:v>
                      </c:pt>
                      <c:pt idx="320">
                        <c:v>907.20862615633246</c:v>
                      </c:pt>
                      <c:pt idx="321">
                        <c:v>14218.548453640491</c:v>
                      </c:pt>
                      <c:pt idx="322">
                        <c:v>29413.028685435522</c:v>
                      </c:pt>
                      <c:pt idx="323">
                        <c:v>40493.024508189184</c:v>
                      </c:pt>
                      <c:pt idx="324">
                        <c:v>47104.408960748304</c:v>
                      </c:pt>
                      <c:pt idx="325">
                        <c:v>50342.673524014193</c:v>
                      </c:pt>
                      <c:pt idx="326">
                        <c:v>50944.306221783292</c:v>
                      </c:pt>
                      <c:pt idx="327">
                        <c:v>49341.542090834955</c:v>
                      </c:pt>
                      <c:pt idx="328">
                        <c:v>45784.622851521584</c:v>
                      </c:pt>
                      <c:pt idx="329">
                        <c:v>40414.67848975573</c:v>
                      </c:pt>
                      <c:pt idx="330">
                        <c:v>33318.644814355597</c:v>
                      </c:pt>
                      <c:pt idx="331">
                        <c:v>24629.827258682752</c:v>
                      </c:pt>
                      <c:pt idx="332">
                        <c:v>14910.766054013535</c:v>
                      </c:pt>
                      <c:pt idx="333">
                        <c:v>6669.8527136309258</c:v>
                      </c:pt>
                      <c:pt idx="334">
                        <c:v>3631.4579685570234</c:v>
                      </c:pt>
                      <c:pt idx="335">
                        <c:v>3539.4449085891706</c:v>
                      </c:pt>
                      <c:pt idx="336">
                        <c:v>4627.7992428658199</c:v>
                      </c:pt>
                      <c:pt idx="337">
                        <c:v>6583.4382441514936</c:v>
                      </c:pt>
                      <c:pt idx="338">
                        <c:v>9832.8504745522732</c:v>
                      </c:pt>
                      <c:pt idx="339">
                        <c:v>14221.648916493072</c:v>
                      </c:pt>
                      <c:pt idx="340">
                        <c:v>18660.773227567151</c:v>
                      </c:pt>
                      <c:pt idx="341">
                        <c:v>22281.418628982348</c:v>
                      </c:pt>
                      <c:pt idx="342">
                        <c:v>24516.753384307758</c:v>
                      </c:pt>
                      <c:pt idx="343">
                        <c:v>25290.777252719174</c:v>
                      </c:pt>
                      <c:pt idx="344">
                        <c:v>24881.762918050415</c:v>
                      </c:pt>
                      <c:pt idx="345">
                        <c:v>23168.260940012304</c:v>
                      </c:pt>
                      <c:pt idx="346">
                        <c:v>19170.542876602725</c:v>
                      </c:pt>
                      <c:pt idx="347">
                        <c:v>15417.333414712501</c:v>
                      </c:pt>
                      <c:pt idx="348">
                        <c:v>12308.21383082228</c:v>
                      </c:pt>
                      <c:pt idx="349">
                        <c:v>9716.426961199968</c:v>
                      </c:pt>
                      <c:pt idx="350">
                        <c:v>7581.8225834550267</c:v>
                      </c:pt>
                      <c:pt idx="351">
                        <c:v>5893.1227155722672</c:v>
                      </c:pt>
                      <c:pt idx="352">
                        <c:v>4676.3914373933421</c:v>
                      </c:pt>
                      <c:pt idx="353">
                        <c:v>3999.4890531598276</c:v>
                      </c:pt>
                      <c:pt idx="354">
                        <c:v>3996.2270066316742</c:v>
                      </c:pt>
                      <c:pt idx="355">
                        <c:v>4935.4037062297448</c:v>
                      </c:pt>
                      <c:pt idx="356">
                        <c:v>7436.0260712748968</c:v>
                      </c:pt>
                      <c:pt idx="357">
                        <c:v>13222.873904407925</c:v>
                      </c:pt>
                      <c:pt idx="358">
                        <c:v>23810.092823695712</c:v>
                      </c:pt>
                      <c:pt idx="359">
                        <c:v>32619.643177585094</c:v>
                      </c:pt>
                      <c:pt idx="360">
                        <c:v>39339.783514047718</c:v>
                      </c:pt>
                      <c:pt idx="361">
                        <c:v>44305.000787135941</c:v>
                      </c:pt>
                      <c:pt idx="362">
                        <c:v>47752.192625918804</c:v>
                      </c:pt>
                      <c:pt idx="363">
                        <c:v>49806.225535970239</c:v>
                      </c:pt>
                      <c:pt idx="364">
                        <c:v>50504.169260802468</c:v>
                      </c:pt>
                      <c:pt idx="365">
                        <c:v>49803.268592641914</c:v>
                      </c:pt>
                      <c:pt idx="366">
                        <c:v>47566.308358189963</c:v>
                      </c:pt>
                      <c:pt idx="367">
                        <c:v>43509.476091468008</c:v>
                      </c:pt>
                      <c:pt idx="368">
                        <c:v>37057.43682848716</c:v>
                      </c:pt>
                      <c:pt idx="369">
                        <c:v>26916.484501642259</c:v>
                      </c:pt>
                      <c:pt idx="370">
                        <c:v>11437.714871966553</c:v>
                      </c:pt>
                      <c:pt idx="371">
                        <c:v>20.784375463950255</c:v>
                      </c:pt>
                      <c:pt idx="372">
                        <c:v>-8927.4528871819421</c:v>
                      </c:pt>
                      <c:pt idx="373">
                        <c:v>-16323.55469025296</c:v>
                      </c:pt>
                      <c:pt idx="374">
                        <c:v>-22541.191792545553</c:v>
                      </c:pt>
                      <c:pt idx="375">
                        <c:v>-27741.510291003087</c:v>
                      </c:pt>
                      <c:pt idx="376">
                        <c:v>-31991.435478799784</c:v>
                      </c:pt>
                      <c:pt idx="377">
                        <c:v>-35306.313511114109</c:v>
                      </c:pt>
                      <c:pt idx="378">
                        <c:v>-37663.802857755494</c:v>
                      </c:pt>
                      <c:pt idx="379">
                        <c:v>-39003.679203905354</c:v>
                      </c:pt>
                      <c:pt idx="380">
                        <c:v>-39215.148260485046</c:v>
                      </c:pt>
                      <c:pt idx="381">
                        <c:v>-38101.202015013791</c:v>
                      </c:pt>
                      <c:pt idx="382">
                        <c:v>-35275.781025273354</c:v>
                      </c:pt>
                      <c:pt idx="383">
                        <c:v>-29847.508136564782</c:v>
                      </c:pt>
                      <c:pt idx="384">
                        <c:v>-23439.557319723983</c:v>
                      </c:pt>
                      <c:pt idx="385">
                        <c:v>-17560.237399286416</c:v>
                      </c:pt>
                      <c:pt idx="386">
                        <c:v>-11606.470188755478</c:v>
                      </c:pt>
                      <c:pt idx="387">
                        <c:v>-5324.1968842049218</c:v>
                      </c:pt>
                      <c:pt idx="388">
                        <c:v>1451.1566011398145</c:v>
                      </c:pt>
                      <c:pt idx="389">
                        <c:v>8992.075850975034</c:v>
                      </c:pt>
                      <c:pt idx="390">
                        <c:v>18249.814174357456</c:v>
                      </c:pt>
                      <c:pt idx="391">
                        <c:v>25844.375073324729</c:v>
                      </c:pt>
                      <c:pt idx="392">
                        <c:v>32196.05713236317</c:v>
                      </c:pt>
                      <c:pt idx="393">
                        <c:v>36981.125660573169</c:v>
                      </c:pt>
                      <c:pt idx="394">
                        <c:v>39259.755870266716</c:v>
                      </c:pt>
                      <c:pt idx="395">
                        <c:v>37492.160226997898</c:v>
                      </c:pt>
                      <c:pt idx="396">
                        <c:v>30548.727559518986</c:v>
                      </c:pt>
                      <c:pt idx="397">
                        <c:v>20380.057703537132</c:v>
                      </c:pt>
                      <c:pt idx="398">
                        <c:v>9920.5697263146758</c:v>
                      </c:pt>
                      <c:pt idx="399">
                        <c:v>539.97288876612674</c:v>
                      </c:pt>
                      <c:pt idx="400">
                        <c:v>-7335.4007585289119</c:v>
                      </c:pt>
                      <c:pt idx="401">
                        <c:v>-13627.446793750583</c:v>
                      </c:pt>
                      <c:pt idx="402">
                        <c:v>-18405.745777217297</c:v>
                      </c:pt>
                      <c:pt idx="403">
                        <c:v>-21884.729940996229</c:v>
                      </c:pt>
                      <c:pt idx="404">
                        <c:v>-24649.785091505724</c:v>
                      </c:pt>
                      <c:pt idx="405">
                        <c:v>-28657.783764120242</c:v>
                      </c:pt>
                      <c:pt idx="406">
                        <c:v>-32367.584013464944</c:v>
                      </c:pt>
                      <c:pt idx="407">
                        <c:v>-34864.366331042955</c:v>
                      </c:pt>
                      <c:pt idx="408">
                        <c:v>-36276.425333103594</c:v>
                      </c:pt>
                      <c:pt idx="409">
                        <c:v>-36717.513026581662</c:v>
                      </c:pt>
                      <c:pt idx="410">
                        <c:v>-36246.025971512667</c:v>
                      </c:pt>
                      <c:pt idx="411">
                        <c:v>-34875.268550250912</c:v>
                      </c:pt>
                      <c:pt idx="412">
                        <c:v>-32583.540966309618</c:v>
                      </c:pt>
                      <c:pt idx="413">
                        <c:v>-29343.779005607274</c:v>
                      </c:pt>
                      <c:pt idx="414">
                        <c:v>-25339.115028776807</c:v>
                      </c:pt>
                      <c:pt idx="415">
                        <c:v>-22565.46387676059</c:v>
                      </c:pt>
                      <c:pt idx="416">
                        <c:v>-21063.275404869961</c:v>
                      </c:pt>
                      <c:pt idx="417">
                        <c:v>-18760.141229557554</c:v>
                      </c:pt>
                      <c:pt idx="418">
                        <c:v>-15156.416129030251</c:v>
                      </c:pt>
                      <c:pt idx="419">
                        <c:v>-10155.562893011736</c:v>
                      </c:pt>
                      <c:pt idx="420">
                        <c:v>-3783.8597434681783</c:v>
                      </c:pt>
                      <c:pt idx="421">
                        <c:v>3865.1493395205525</c:v>
                      </c:pt>
                      <c:pt idx="422">
                        <c:v>12595.418356996648</c:v>
                      </c:pt>
                      <c:pt idx="423">
                        <c:v>21950.172899035344</c:v>
                      </c:pt>
                      <c:pt idx="424">
                        <c:v>30768.483070955204</c:v>
                      </c:pt>
                      <c:pt idx="425">
                        <c:v>36480.603139067185</c:v>
                      </c:pt>
                      <c:pt idx="426">
                        <c:v>36790.802678119908</c:v>
                      </c:pt>
                      <c:pt idx="427">
                        <c:v>32978.216154655369</c:v>
                      </c:pt>
                      <c:pt idx="428">
                        <c:v>26942.452375802652</c:v>
                      </c:pt>
                      <c:pt idx="429">
                        <c:v>19649.1814208383</c:v>
                      </c:pt>
                      <c:pt idx="430">
                        <c:v>11135.628329736764</c:v>
                      </c:pt>
                      <c:pt idx="431">
                        <c:v>4516.6714149104737</c:v>
                      </c:pt>
                      <c:pt idx="432">
                        <c:v>-1108.2514233724614</c:v>
                      </c:pt>
                      <c:pt idx="433">
                        <c:v>-6128.3631757430267</c:v>
                      </c:pt>
                      <c:pt idx="434">
                        <c:v>-10685.094151050438</c:v>
                      </c:pt>
                      <c:pt idx="435">
                        <c:v>-14875.000289666219</c:v>
                      </c:pt>
                      <c:pt idx="436">
                        <c:v>-18864.823799931604</c:v>
                      </c:pt>
                      <c:pt idx="437">
                        <c:v>-23171.080288653506</c:v>
                      </c:pt>
                      <c:pt idx="438">
                        <c:v>-29550.291532383126</c:v>
                      </c:pt>
                      <c:pt idx="439">
                        <c:v>-34928.212293373763</c:v>
                      </c:pt>
                      <c:pt idx="440">
                        <c:v>-38406.066284789616</c:v>
                      </c:pt>
                      <c:pt idx="441">
                        <c:v>-40268.136366556981</c:v>
                      </c:pt>
                      <c:pt idx="442">
                        <c:v>-40714.100348353903</c:v>
                      </c:pt>
                      <c:pt idx="443">
                        <c:v>-39849.69941170235</c:v>
                      </c:pt>
                      <c:pt idx="444">
                        <c:v>-37715.014610280683</c:v>
                      </c:pt>
                      <c:pt idx="445">
                        <c:v>-34304.698554461705</c:v>
                      </c:pt>
                      <c:pt idx="446">
                        <c:v>-29598.805006880739</c:v>
                      </c:pt>
                      <c:pt idx="447">
                        <c:v>-23668.563326637286</c:v>
                      </c:pt>
                      <c:pt idx="448">
                        <c:v>-17017.19024052563</c:v>
                      </c:pt>
                      <c:pt idx="449">
                        <c:v>-10550.453326278155</c:v>
                      </c:pt>
                      <c:pt idx="450">
                        <c:v>-3873.552145697025</c:v>
                      </c:pt>
                      <c:pt idx="451">
                        <c:v>3602.0235565726134</c:v>
                      </c:pt>
                      <c:pt idx="452">
                        <c:v>11953.617859466854</c:v>
                      </c:pt>
                      <c:pt idx="453">
                        <c:v>20857.294936018705</c:v>
                      </c:pt>
                      <c:pt idx="454">
                        <c:v>28595.820064645763</c:v>
                      </c:pt>
                      <c:pt idx="455">
                        <c:v>35073.428635283963</c:v>
                      </c:pt>
                      <c:pt idx="456">
                        <c:v>40173.275724446197</c:v>
                      </c:pt>
                      <c:pt idx="457">
                        <c:v>43646.751556485986</c:v>
                      </c:pt>
                      <c:pt idx="458">
                        <c:v>45106.703285108211</c:v>
                      </c:pt>
                      <c:pt idx="459">
                        <c:v>43941.783674868602</c:v>
                      </c:pt>
                      <c:pt idx="460">
                        <c:v>39168.564372235138</c:v>
                      </c:pt>
                      <c:pt idx="461">
                        <c:v>29522.075099687278</c:v>
                      </c:pt>
                      <c:pt idx="462">
                        <c:v>15957.159567210587</c:v>
                      </c:pt>
                      <c:pt idx="463">
                        <c:v>3456.0852451976943</c:v>
                      </c:pt>
                      <c:pt idx="464">
                        <c:v>-6364.6195709037838</c:v>
                      </c:pt>
                      <c:pt idx="465">
                        <c:v>-13901.441015245029</c:v>
                      </c:pt>
                      <c:pt idx="466">
                        <c:v>-19917.584540339867</c:v>
                      </c:pt>
                      <c:pt idx="467">
                        <c:v>-25510.531089464937</c:v>
                      </c:pt>
                      <c:pt idx="468">
                        <c:v>-32522.849366744613</c:v>
                      </c:pt>
                      <c:pt idx="469">
                        <c:v>-37193.992609688241</c:v>
                      </c:pt>
                      <c:pt idx="470">
                        <c:v>-39974.967813331255</c:v>
                      </c:pt>
                      <c:pt idx="471">
                        <c:v>-41306.567384632559</c:v>
                      </c:pt>
                      <c:pt idx="472">
                        <c:v>-41395.312405007353</c:v>
                      </c:pt>
                      <c:pt idx="473">
                        <c:v>-40324.568488998993</c:v>
                      </c:pt>
                      <c:pt idx="474">
                        <c:v>-38096.1804105224</c:v>
                      </c:pt>
                      <c:pt idx="475">
                        <c:v>-34643.665286113974</c:v>
                      </c:pt>
                      <c:pt idx="476">
                        <c:v>-29870.400743847862</c:v>
                      </c:pt>
                      <c:pt idx="477">
                        <c:v>-24188.88611009466</c:v>
                      </c:pt>
                      <c:pt idx="478">
                        <c:v>-21052.945660138146</c:v>
                      </c:pt>
                      <c:pt idx="479">
                        <c:v>-18108.262443373096</c:v>
                      </c:pt>
                      <c:pt idx="480">
                        <c:v>-14023.430259898303</c:v>
                      </c:pt>
                      <c:pt idx="481">
                        <c:v>-8371.7642416639228</c:v>
                      </c:pt>
                      <c:pt idx="482">
                        <c:v>-1021.0319338164995</c:v>
                      </c:pt>
                      <c:pt idx="483">
                        <c:v>7968.6216034270656</c:v>
                      </c:pt>
                      <c:pt idx="484">
                        <c:v>18214.524690191694</c:v>
                      </c:pt>
                      <c:pt idx="485">
                        <c:v>28567.154204090795</c:v>
                      </c:pt>
                      <c:pt idx="486">
                        <c:v>36515.660240782679</c:v>
                      </c:pt>
                      <c:pt idx="487">
                        <c:v>39604.893625703611</c:v>
                      </c:pt>
                      <c:pt idx="488">
                        <c:v>38161.948506882909</c:v>
                      </c:pt>
                      <c:pt idx="489">
                        <c:v>33703.855025922239</c:v>
                      </c:pt>
                      <c:pt idx="490">
                        <c:v>27384.75807028063</c:v>
                      </c:pt>
                      <c:pt idx="491">
                        <c:v>19807.108826792795</c:v>
                      </c:pt>
                      <c:pt idx="492">
                        <c:v>10987.589616704179</c:v>
                      </c:pt>
                      <c:pt idx="493">
                        <c:v>3703.5861332446266</c:v>
                      </c:pt>
                      <c:pt idx="494">
                        <c:v>-2623.3676154188502</c:v>
                      </c:pt>
                      <c:pt idx="495">
                        <c:v>-8355.535123843616</c:v>
                      </c:pt>
                      <c:pt idx="496">
                        <c:v>-13688.08194503732</c:v>
                      </c:pt>
                      <c:pt idx="497">
                        <c:v>-18896.925577131908</c:v>
                      </c:pt>
                      <c:pt idx="498">
                        <c:v>-24735.893204315242</c:v>
                      </c:pt>
                      <c:pt idx="499">
                        <c:v>-32907.563934933714</c:v>
                      </c:pt>
                      <c:pt idx="500">
                        <c:v>-38669.011654645263</c:v>
                      </c:pt>
                      <c:pt idx="501">
                        <c:v>-42366.069704284353</c:v>
                      </c:pt>
                      <c:pt idx="502">
                        <c:v>-44447.577138627181</c:v>
                      </c:pt>
                      <c:pt idx="503">
                        <c:v>-45154.396913847821</c:v>
                      </c:pt>
                      <c:pt idx="504">
                        <c:v>-44613.094873826311</c:v>
                      </c:pt>
                      <c:pt idx="505">
                        <c:v>-42880.875101612837</c:v>
                      </c:pt>
                      <c:pt idx="506">
                        <c:v>-39965.943852044875</c:v>
                      </c:pt>
                      <c:pt idx="507">
                        <c:v>-35839.839540442365</c:v>
                      </c:pt>
                      <c:pt idx="508">
                        <c:v>-30459.141698170486</c:v>
                      </c:pt>
                      <c:pt idx="509">
                        <c:v>-23843.527194927399</c:v>
                      </c:pt>
                      <c:pt idx="510">
                        <c:v>-16305.856456224679</c:v>
                      </c:pt>
                      <c:pt idx="511">
                        <c:v>-8368.2181420519391</c:v>
                      </c:pt>
                      <c:pt idx="512">
                        <c:v>490.45096348344487</c:v>
                      </c:pt>
                      <c:pt idx="513">
                        <c:v>10770.700790627261</c:v>
                      </c:pt>
                      <c:pt idx="514">
                        <c:v>21822.312692384014</c:v>
                      </c:pt>
                      <c:pt idx="515">
                        <c:v>32078.97554538133</c:v>
                      </c:pt>
                      <c:pt idx="516">
                        <c:v>40640.840932070918</c:v>
                      </c:pt>
                      <c:pt idx="517">
                        <c:v>47080.881688446643</c:v>
                      </c:pt>
                      <c:pt idx="518">
                        <c:v>51171.290437611417</c:v>
                      </c:pt>
                      <c:pt idx="519">
                        <c:v>52768.295017384902</c:v>
                      </c:pt>
                      <c:pt idx="520">
                        <c:v>51754.229771133432</c:v>
                      </c:pt>
                      <c:pt idx="521">
                        <c:v>48021.766004647608</c:v>
                      </c:pt>
                      <c:pt idx="522">
                        <c:v>41506.702852628405</c:v>
                      </c:pt>
                      <c:pt idx="523">
                        <c:v>32318.107366054061</c:v>
                      </c:pt>
                      <c:pt idx="524">
                        <c:v>21073.653705088793</c:v>
                      </c:pt>
                      <c:pt idx="525">
                        <c:v>9410.3097268001966</c:v>
                      </c:pt>
                      <c:pt idx="526">
                        <c:v>-326.98754091666774</c:v>
                      </c:pt>
                      <c:pt idx="527">
                        <c:v>-6985.0245445078435</c:v>
                      </c:pt>
                      <c:pt idx="528">
                        <c:v>-11320.737057498969</c:v>
                      </c:pt>
                      <c:pt idx="529">
                        <c:v>-15187.437942952802</c:v>
                      </c:pt>
                      <c:pt idx="530">
                        <c:v>-19806.901195338854</c:v>
                      </c:pt>
                      <c:pt idx="531">
                        <c:v>-24595.665259377532</c:v>
                      </c:pt>
                      <c:pt idx="532">
                        <c:v>-28972.491712389216</c:v>
                      </c:pt>
                      <c:pt idx="533">
                        <c:v>-32700.600415512319</c:v>
                      </c:pt>
                      <c:pt idx="534">
                        <c:v>-35674.061613178055</c:v>
                      </c:pt>
                      <c:pt idx="535">
                        <c:v>-37811.448224210173</c:v>
                      </c:pt>
                      <c:pt idx="536">
                        <c:v>-39006.350358262884</c:v>
                      </c:pt>
                      <c:pt idx="537">
                        <c:v>-39080.721178932319</c:v>
                      </c:pt>
                      <c:pt idx="538">
                        <c:v>-37687.452317389783</c:v>
                      </c:pt>
                      <c:pt idx="539">
                        <c:v>-33997.077607578467</c:v>
                      </c:pt>
                      <c:pt idx="540">
                        <c:v>-26312.782887559883</c:v>
                      </c:pt>
                      <c:pt idx="541">
                        <c:v>-18699.201145600175</c:v>
                      </c:pt>
                      <c:pt idx="542">
                        <c:v>-10168.2401955685</c:v>
                      </c:pt>
                      <c:pt idx="543">
                        <c:v>310.12392483085659</c:v>
                      </c:pt>
                      <c:pt idx="544">
                        <c:v>13487.931162023917</c:v>
                      </c:pt>
                      <c:pt idx="545">
                        <c:v>28283.613702960207</c:v>
                      </c:pt>
                      <c:pt idx="546">
                        <c:v>40088.219106147029</c:v>
                      </c:pt>
                      <c:pt idx="547">
                        <c:v>47614.693718338123</c:v>
                      </c:pt>
                      <c:pt idx="548">
                        <c:v>51818.625531019527</c:v>
                      </c:pt>
                      <c:pt idx="549">
                        <c:v>53546.006509358202</c:v>
                      </c:pt>
                      <c:pt idx="550">
                        <c:v>53344.576011452038</c:v>
                      </c:pt>
                      <c:pt idx="551">
                        <c:v>51566.964469384511</c:v>
                      </c:pt>
                      <c:pt idx="552">
                        <c:v>48448.327153347491</c:v>
                      </c:pt>
                      <c:pt idx="553">
                        <c:v>44150.433147742944</c:v>
                      </c:pt>
                      <c:pt idx="554">
                        <c:v>38784.600129541002</c:v>
                      </c:pt>
                      <c:pt idx="555">
                        <c:v>32416.775337166255</c:v>
                      </c:pt>
                      <c:pt idx="556">
                        <c:v>25032.684583797458</c:v>
                      </c:pt>
                      <c:pt idx="557">
                        <c:v>16286.576547955417</c:v>
                      </c:pt>
                      <c:pt idx="558">
                        <c:v>6288.4048410316564</c:v>
                      </c:pt>
                      <c:pt idx="559">
                        <c:v>-2658.1988810636626</c:v>
                      </c:pt>
                      <c:pt idx="560">
                        <c:v>-10956.237273785113</c:v>
                      </c:pt>
                      <c:pt idx="561">
                        <c:v>-19256.955196468167</c:v>
                      </c:pt>
                      <c:pt idx="562">
                        <c:v>-29416.762240589273</c:v>
                      </c:pt>
                      <c:pt idx="563">
                        <c:v>-38499.358334546836</c:v>
                      </c:pt>
                      <c:pt idx="564">
                        <c:v>-45587.242250807329</c:v>
                      </c:pt>
                      <c:pt idx="565">
                        <c:v>-51044.891873871973</c:v>
                      </c:pt>
                      <c:pt idx="566">
                        <c:v>-55154.727579002749</c:v>
                      </c:pt>
                      <c:pt idx="567">
                        <c:v>-58091.7549038609</c:v>
                      </c:pt>
                      <c:pt idx="568">
                        <c:v>-59960.718670593917</c:v>
                      </c:pt>
                      <c:pt idx="569">
                        <c:v>-60818.594077731919</c:v>
                      </c:pt>
                      <c:pt idx="570">
                        <c:v>-60685.531789552471</c:v>
                      </c:pt>
                      <c:pt idx="571">
                        <c:v>-59548.271144053528</c:v>
                      </c:pt>
                      <c:pt idx="572">
                        <c:v>-57357.209399975203</c:v>
                      </c:pt>
                      <c:pt idx="573">
                        <c:v>-54015.491199252021</c:v>
                      </c:pt>
                      <c:pt idx="574">
                        <c:v>-49353.958897248245</c:v>
                      </c:pt>
                      <c:pt idx="575">
                        <c:v>-43075.520531237875</c:v>
                      </c:pt>
                      <c:pt idx="576">
                        <c:v>-34639.14647649668</c:v>
                      </c:pt>
                      <c:pt idx="577">
                        <c:v>-23541.239800086718</c:v>
                      </c:pt>
                      <c:pt idx="578">
                        <c:v>-14926.139848637857</c:v>
                      </c:pt>
                      <c:pt idx="579">
                        <c:v>-6924.414521637319</c:v>
                      </c:pt>
                      <c:pt idx="580">
                        <c:v>1502.5729092175688</c:v>
                      </c:pt>
                      <c:pt idx="581">
                        <c:v>10712.223428432641</c:v>
                      </c:pt>
                      <c:pt idx="582">
                        <c:v>21310.927098817632</c:v>
                      </c:pt>
                      <c:pt idx="583">
                        <c:v>30090.858914693166</c:v>
                      </c:pt>
                      <c:pt idx="584">
                        <c:v>37692.040420915728</c:v>
                      </c:pt>
                      <c:pt idx="585">
                        <c:v>44108.437503502319</c:v>
                      </c:pt>
                      <c:pt idx="586">
                        <c:v>49210.424995312729</c:v>
                      </c:pt>
                      <c:pt idx="587">
                        <c:v>52826.54503151276</c:v>
                      </c:pt>
                      <c:pt idx="588">
                        <c:v>54746.467588743057</c:v>
                      </c:pt>
                      <c:pt idx="589">
                        <c:v>54707.3770979291</c:v>
                      </c:pt>
                      <c:pt idx="590">
                        <c:v>52377.478730052542</c:v>
                      </c:pt>
                      <c:pt idx="591">
                        <c:v>47355.376240533085</c:v>
                      </c:pt>
                      <c:pt idx="592">
                        <c:v>39254.030929318171</c:v>
                      </c:pt>
                      <c:pt idx="593">
                        <c:v>28080.930606759001</c:v>
                      </c:pt>
                      <c:pt idx="594">
                        <c:v>15115.2490876103</c:v>
                      </c:pt>
                      <c:pt idx="595">
                        <c:v>2898.0827800132492</c:v>
                      </c:pt>
                      <c:pt idx="596">
                        <c:v>-7005.5132683312368</c:v>
                      </c:pt>
                      <c:pt idx="597">
                        <c:v>-14665.984917439171</c:v>
                      </c:pt>
                      <c:pt idx="598">
                        <c:v>-21055.129039106545</c:v>
                      </c:pt>
                      <c:pt idx="599">
                        <c:v>-28313.310783715329</c:v>
                      </c:pt>
                      <c:pt idx="600">
                        <c:v>-35805.550613680847</c:v>
                      </c:pt>
                      <c:pt idx="601">
                        <c:v>-41151.051322035855</c:v>
                      </c:pt>
                      <c:pt idx="602">
                        <c:v>-44798.676878339327</c:v>
                      </c:pt>
                      <c:pt idx="603">
                        <c:v>-47032.971204537796</c:v>
                      </c:pt>
                      <c:pt idx="604">
                        <c:v>-47987.646956641518</c:v>
                      </c:pt>
                      <c:pt idx="605">
                        <c:v>-47697.108461029231</c:v>
                      </c:pt>
                      <c:pt idx="606">
                        <c:v>-46108.492337872813</c:v>
                      </c:pt>
                      <c:pt idx="607">
                        <c:v>-43057.549337533128</c:v>
                      </c:pt>
                      <c:pt idx="608">
                        <c:v>-38180.375815035273</c:v>
                      </c:pt>
                      <c:pt idx="609">
                        <c:v>-30686.045041016579</c:v>
                      </c:pt>
                      <c:pt idx="610">
                        <c:v>-21488.508441993599</c:v>
                      </c:pt>
                      <c:pt idx="611">
                        <c:v>-13134.673924568224</c:v>
                      </c:pt>
                      <c:pt idx="612">
                        <c:v>-3383.6756787606218</c:v>
                      </c:pt>
                      <c:pt idx="613">
                        <c:v>9173.7505141844067</c:v>
                      </c:pt>
                      <c:pt idx="614">
                        <c:v>24349.990422761894</c:v>
                      </c:pt>
                      <c:pt idx="615">
                        <c:v>37916.773590520985</c:v>
                      </c:pt>
                      <c:pt idx="616">
                        <c:v>47832.204358367533</c:v>
                      </c:pt>
                      <c:pt idx="617">
                        <c:v>54617.87741408329</c:v>
                      </c:pt>
                      <c:pt idx="618">
                        <c:v>58960.176206151256</c:v>
                      </c:pt>
                      <c:pt idx="619">
                        <c:v>61344.163403593273</c:v>
                      </c:pt>
                      <c:pt idx="620">
                        <c:v>62094.168410724327</c:v>
                      </c:pt>
                      <c:pt idx="621">
                        <c:v>61430.28258227287</c:v>
                      </c:pt>
                      <c:pt idx="622">
                        <c:v>59505.076435966752</c:v>
                      </c:pt>
                      <c:pt idx="623">
                        <c:v>56425.725644990787</c:v>
                      </c:pt>
                      <c:pt idx="624">
                        <c:v>52267.468688476212</c:v>
                      </c:pt>
                      <c:pt idx="625">
                        <c:v>47081.864862241331</c:v>
                      </c:pt>
                      <c:pt idx="626">
                        <c:v>40901.077955854547</c:v>
                      </c:pt>
                      <c:pt idx="627">
                        <c:v>33735.12013966724</c:v>
                      </c:pt>
                      <c:pt idx="628">
                        <c:v>25538.03686605117</c:v>
                      </c:pt>
                      <c:pt idx="629">
                        <c:v>15970.05429117747</c:v>
                      </c:pt>
                      <c:pt idx="630">
                        <c:v>5867.5325152899086</c:v>
                      </c:pt>
                      <c:pt idx="631">
                        <c:v>-3362.1764397161264</c:v>
                      </c:pt>
                      <c:pt idx="632">
                        <c:v>-11874.023243090507</c:v>
                      </c:pt>
                      <c:pt idx="633">
                        <c:v>-20549.34482001478</c:v>
                      </c:pt>
                      <c:pt idx="634">
                        <c:v>-30264.739962570427</c:v>
                      </c:pt>
                      <c:pt idx="635">
                        <c:v>-38669.884837341415</c:v>
                      </c:pt>
                      <c:pt idx="636">
                        <c:v>-45392.994416660753</c:v>
                      </c:pt>
                      <c:pt idx="637">
                        <c:v>-50660.855174640747</c:v>
                      </c:pt>
                      <c:pt idx="638">
                        <c:v>-54673.857570914668</c:v>
                      </c:pt>
                      <c:pt idx="639">
                        <c:v>-57564.985355013006</c:v>
                      </c:pt>
                      <c:pt idx="640">
                        <c:v>-59414.876364303527</c:v>
                      </c:pt>
                      <c:pt idx="641">
                        <c:v>-60264.35380898993</c:v>
                      </c:pt>
                      <c:pt idx="642">
                        <c:v>-60120.53079695296</c:v>
                      </c:pt>
                      <c:pt idx="643">
                        <c:v>-58957.128086565514</c:v>
                      </c:pt>
                      <c:pt idx="644">
                        <c:v>-56708.39560023501</c:v>
                      </c:pt>
                      <c:pt idx="645">
                        <c:v>-53253.017129928194</c:v>
                      </c:pt>
                      <c:pt idx="646">
                        <c:v>-48377.184935767786</c:v>
                      </c:pt>
                      <c:pt idx="647">
                        <c:v>-41684.923876331959</c:v>
                      </c:pt>
                      <c:pt idx="648">
                        <c:v>-32379.23219517426</c:v>
                      </c:pt>
                      <c:pt idx="649">
                        <c:v>-20408.617810616292</c:v>
                      </c:pt>
                      <c:pt idx="650">
                        <c:v>-10428.10209546206</c:v>
                      </c:pt>
                      <c:pt idx="651">
                        <c:v>-323.20370832059302</c:v>
                      </c:pt>
                      <c:pt idx="652">
                        <c:v>10505.011495159346</c:v>
                      </c:pt>
                      <c:pt idx="653">
                        <c:v>22452.175314600183</c:v>
                      </c:pt>
                      <c:pt idx="654">
                        <c:v>32789.496371246321</c:v>
                      </c:pt>
                      <c:pt idx="655">
                        <c:v>41978.995178362944</c:v>
                      </c:pt>
                      <c:pt idx="656">
                        <c:v>50011.821588832805</c:v>
                      </c:pt>
                      <c:pt idx="657">
                        <c:v>56852.969987343291</c:v>
                      </c:pt>
                      <c:pt idx="658">
                        <c:v>62485.30568020144</c:v>
                      </c:pt>
                      <c:pt idx="659">
                        <c:v>66903.921956608508</c:v>
                      </c:pt>
                      <c:pt idx="660">
                        <c:v>70108.061778855365</c:v>
                      </c:pt>
                      <c:pt idx="661">
                        <c:v>72095.633710594251</c:v>
                      </c:pt>
                      <c:pt idx="662">
                        <c:v>72859.91719991008</c:v>
                      </c:pt>
                      <c:pt idx="663">
                        <c:v>72387.682294788363</c:v>
                      </c:pt>
                      <c:pt idx="664">
                        <c:v>70658.285857491792</c:v>
                      </c:pt>
                      <c:pt idx="665">
                        <c:v>67643.727151805491</c:v>
                      </c:pt>
                      <c:pt idx="666">
                        <c:v>63310.193900466707</c:v>
                      </c:pt>
                      <c:pt idx="667">
                        <c:v>57622.581765329807</c:v>
                      </c:pt>
                      <c:pt idx="668">
                        <c:v>50555.410896362482</c:v>
                      </c:pt>
                      <c:pt idx="669">
                        <c:v>42117.647313910209</c:v>
                      </c:pt>
                      <c:pt idx="670">
                        <c:v>32406.821371544695</c:v>
                      </c:pt>
                      <c:pt idx="671">
                        <c:v>21717.750556287945</c:v>
                      </c:pt>
                      <c:pt idx="672">
                        <c:v>10714.475241552371</c:v>
                      </c:pt>
                      <c:pt idx="673">
                        <c:v>519.81316743131799</c:v>
                      </c:pt>
                      <c:pt idx="674">
                        <c:v>-7715.7719052732245</c:v>
                      </c:pt>
                      <c:pt idx="675">
                        <c:v>-13745.207523926974</c:v>
                      </c:pt>
                      <c:pt idx="676">
                        <c:v>-18776.618113518787</c:v>
                      </c:pt>
                      <c:pt idx="677">
                        <c:v>-25604.911055990506</c:v>
                      </c:pt>
                      <c:pt idx="678">
                        <c:v>-32524.111018294578</c:v>
                      </c:pt>
                      <c:pt idx="679">
                        <c:v>-38481.904633093734</c:v>
                      </c:pt>
                      <c:pt idx="680">
                        <c:v>-43520.492540021412</c:v>
                      </c:pt>
                      <c:pt idx="681">
                        <c:v>-47764.068692344801</c:v>
                      </c:pt>
                      <c:pt idx="682">
                        <c:v>-51310.879987411368</c:v>
                      </c:pt>
                      <c:pt idx="683">
                        <c:v>-54231.044494523805</c:v>
                      </c:pt>
                      <c:pt idx="684">
                        <c:v>-56573.4416448544</c:v>
                      </c:pt>
                      <c:pt idx="685">
                        <c:v>-58371.201280821515</c:v>
                      </c:pt>
                      <c:pt idx="686">
                        <c:v>-59645.249124825808</c:v>
                      </c:pt>
                      <c:pt idx="687">
                        <c:v>-60406.393095669744</c:v>
                      </c:pt>
                      <c:pt idx="688">
                        <c:v>-60656.335714554749</c:v>
                      </c:pt>
                      <c:pt idx="689">
                        <c:v>-60387.799655466522</c:v>
                      </c:pt>
                      <c:pt idx="690">
                        <c:v>-59583.765931376511</c:v>
                      </c:pt>
                      <c:pt idx="691">
                        <c:v>-58215.61051629782</c:v>
                      </c:pt>
                      <c:pt idx="692">
                        <c:v>-56239.592882405137</c:v>
                      </c:pt>
                      <c:pt idx="693">
                        <c:v>-53590.494425985824</c:v>
                      </c:pt>
                      <c:pt idx="694">
                        <c:v>-50169.68726239496</c:v>
                      </c:pt>
                      <c:pt idx="695">
                        <c:v>-45820.89843043693</c:v>
                      </c:pt>
                      <c:pt idx="696">
                        <c:v>-40274.974415833989</c:v>
                      </c:pt>
                      <c:pt idx="697">
                        <c:v>-33013.595553744701</c:v>
                      </c:pt>
                      <c:pt idx="698">
                        <c:v>-23484.661532486822</c:v>
                      </c:pt>
                      <c:pt idx="699">
                        <c:v>-15886.564321064889</c:v>
                      </c:pt>
                      <c:pt idx="700">
                        <c:v>-7396.6747127660001</c:v>
                      </c:pt>
                      <c:pt idx="701">
                        <c:v>3369.281080198909</c:v>
                      </c:pt>
                      <c:pt idx="702">
                        <c:v>16602.469729532972</c:v>
                      </c:pt>
                      <c:pt idx="703">
                        <c:v>30310.55281814441</c:v>
                      </c:pt>
                      <c:pt idx="704">
                        <c:v>42074.69392324322</c:v>
                      </c:pt>
                      <c:pt idx="705">
                        <c:v>51202.798736583201</c:v>
                      </c:pt>
                      <c:pt idx="706">
                        <c:v>57893.847971796495</c:v>
                      </c:pt>
                      <c:pt idx="707">
                        <c:v>62498.973494134734</c:v>
                      </c:pt>
                      <c:pt idx="708">
                        <c:v>65324.237929303112</c:v>
                      </c:pt>
                      <c:pt idx="709">
                        <c:v>66606.510448512563</c:v>
                      </c:pt>
                      <c:pt idx="710">
                        <c:v>66524.879754340087</c:v>
                      </c:pt>
                      <c:pt idx="711">
                        <c:v>65215.082335721876</c:v>
                      </c:pt>
                      <c:pt idx="712">
                        <c:v>62781.011842320178</c:v>
                      </c:pt>
                      <c:pt idx="713">
                        <c:v>59303.140304321598</c:v>
                      </c:pt>
                      <c:pt idx="714">
                        <c:v>54844.622294067245</c:v>
                      </c:pt>
                      <c:pt idx="715">
                        <c:v>49455.693879876409</c:v>
                      </c:pt>
                      <c:pt idx="716">
                        <c:v>43176.307392688723</c:v>
                      </c:pt>
                      <c:pt idx="717">
                        <c:v>36034.728009976643</c:v>
                      </c:pt>
                      <c:pt idx="718">
                        <c:v>28029.570879741696</c:v>
                      </c:pt>
                      <c:pt idx="719">
                        <c:v>19016.120429913928</c:v>
                      </c:pt>
                      <c:pt idx="720">
                        <c:v>8048.2307883462126</c:v>
                      </c:pt>
                      <c:pt idx="721">
                        <c:v>-1573.9454638044053</c:v>
                      </c:pt>
                      <c:pt idx="722">
                        <c:v>-10503.270482542961</c:v>
                      </c:pt>
                      <c:pt idx="723">
                        <c:v>-19383.456442188763</c:v>
                      </c:pt>
                      <c:pt idx="724">
                        <c:v>-29733.174515675495</c:v>
                      </c:pt>
                      <c:pt idx="725">
                        <c:v>-38860.031413329692</c:v>
                      </c:pt>
                      <c:pt idx="726">
                        <c:v>-46398.651293764327</c:v>
                      </c:pt>
                      <c:pt idx="727">
                        <c:v>-52665.505863433886</c:v>
                      </c:pt>
                      <c:pt idx="728">
                        <c:v>-57905.393596881186</c:v>
                      </c:pt>
                      <c:pt idx="729">
                        <c:v>-62282.653693921879</c:v>
                      </c:pt>
                      <c:pt idx="730">
                        <c:v>-65909.609440239263</c:v>
                      </c:pt>
                      <c:pt idx="731">
                        <c:v>-68865.288837560161</c:v>
                      </c:pt>
                      <c:pt idx="732">
                        <c:v>-71206.438033189683</c:v>
                      </c:pt>
                      <c:pt idx="733">
                        <c:v>-72974.095347117967</c:v>
                      </c:pt>
                      <c:pt idx="734">
                        <c:v>-74197.62752163253</c:v>
                      </c:pt>
                      <c:pt idx="735">
                        <c:v>-74897.25187808105</c:v>
                      </c:pt>
                      <c:pt idx="736">
                        <c:v>-75085.599645053313</c:v>
                      </c:pt>
                      <c:pt idx="737">
                        <c:v>-74768.624607400998</c:v>
                      </c:pt>
                      <c:pt idx="738">
                        <c:v>-73946.0185261078</c:v>
                      </c:pt>
                      <c:pt idx="739">
                        <c:v>-72611.20469606627</c:v>
                      </c:pt>
                      <c:pt idx="740">
                        <c:v>-70750.91339882194</c:v>
                      </c:pt>
                      <c:pt idx="741">
                        <c:v>-68344.278660620592</c:v>
                      </c:pt>
                      <c:pt idx="742">
                        <c:v>-65361.31850146503</c:v>
                      </c:pt>
                      <c:pt idx="743">
                        <c:v>-61760.553599552033</c:v>
                      </c:pt>
                      <c:pt idx="744">
                        <c:v>-57485.366659087231</c:v>
                      </c:pt>
                      <c:pt idx="745">
                        <c:v>-52458.529322690978</c:v>
                      </c:pt>
                      <c:pt idx="746">
                        <c:v>-46574.400499544339</c:v>
                      </c:pt>
                      <c:pt idx="747">
                        <c:v>-39690.377239247675</c:v>
                      </c:pt>
                      <c:pt idx="748">
                        <c:v>-31633.611441339792</c:v>
                      </c:pt>
                      <c:pt idx="749">
                        <c:v>-22320.755189165578</c:v>
                      </c:pt>
                      <c:pt idx="750">
                        <c:v>-12235.968120899479</c:v>
                      </c:pt>
                      <c:pt idx="751">
                        <c:v>-1550.9981474899298</c:v>
                      </c:pt>
                      <c:pt idx="752">
                        <c:v>10661.066913399645</c:v>
                      </c:pt>
                      <c:pt idx="753">
                        <c:v>23680.229989156884</c:v>
                      </c:pt>
                      <c:pt idx="754">
                        <c:v>35681.138189594152</c:v>
                      </c:pt>
                      <c:pt idx="755">
                        <c:v>46184.367377637893</c:v>
                      </c:pt>
                      <c:pt idx="756">
                        <c:v>55214.870048785233</c:v>
                      </c:pt>
                      <c:pt idx="757">
                        <c:v>62895.372095073733</c:v>
                      </c:pt>
                      <c:pt idx="758">
                        <c:v>69353.993200946948</c:v>
                      </c:pt>
                      <c:pt idx="759">
                        <c:v>74700.576518345348</c:v>
                      </c:pt>
                      <c:pt idx="760">
                        <c:v>79023.543938417861</c:v>
                      </c:pt>
                      <c:pt idx="761">
                        <c:v>82392.111560843143</c:v>
                      </c:pt>
                      <c:pt idx="762">
                        <c:v>84859.338934633255</c:v>
                      </c:pt>
                      <c:pt idx="763">
                        <c:v>86464.785810802947</c:v>
                      </c:pt>
                      <c:pt idx="764">
                        <c:v>87236.534242475434</c:v>
                      </c:pt>
                      <c:pt idx="765">
                        <c:v>87192.603542692072</c:v>
                      </c:pt>
                      <c:pt idx="766">
                        <c:v>86341.837320268663</c:v>
                      </c:pt>
                      <c:pt idx="767">
                        <c:v>84684.330383450972</c:v>
                      </c:pt>
                      <c:pt idx="768">
                        <c:v>82211.43762487077</c:v>
                      </c:pt>
                      <c:pt idx="769">
                        <c:v>78905.384479926244</c:v>
                      </c:pt>
                      <c:pt idx="770">
                        <c:v>74738.492672613953</c:v>
                      </c:pt>
                      <c:pt idx="771">
                        <c:v>69672.075654977307</c:v>
                      </c:pt>
                      <c:pt idx="772">
                        <c:v>63655.232964866947</c:v>
                      </c:pt>
                      <c:pt idx="773">
                        <c:v>56624.350955212831</c:v>
                      </c:pt>
                      <c:pt idx="774">
                        <c:v>48505.967424969909</c:v>
                      </c:pt>
                      <c:pt idx="775">
                        <c:v>39231.74047456112</c:v>
                      </c:pt>
                      <c:pt idx="776">
                        <c:v>28795.030539946911</c:v>
                      </c:pt>
                      <c:pt idx="777">
                        <c:v>17447.289674931206</c:v>
                      </c:pt>
                      <c:pt idx="778">
                        <c:v>6265.4510172102518</c:v>
                      </c:pt>
                      <c:pt idx="779">
                        <c:v>-2415.208689292404</c:v>
                      </c:pt>
                      <c:pt idx="780">
                        <c:v>-7827.3792328794116</c:v>
                      </c:pt>
                      <c:pt idx="781">
                        <c:v>-12012.808897142015</c:v>
                      </c:pt>
                      <c:pt idx="782">
                        <c:v>-16332.73230339092</c:v>
                      </c:pt>
                      <c:pt idx="783">
                        <c:v>-20473.290088692749</c:v>
                      </c:pt>
                      <c:pt idx="784">
                        <c:v>-24207.173502722188</c:v>
                      </c:pt>
                      <c:pt idx="785">
                        <c:v>-27505.74822203473</c:v>
                      </c:pt>
                      <c:pt idx="786">
                        <c:v>-30394.843309253611</c:v>
                      </c:pt>
                      <c:pt idx="787">
                        <c:v>-32907.838450725976</c:v>
                      </c:pt>
                      <c:pt idx="788">
                        <c:v>-35074.32058784533</c:v>
                      </c:pt>
                      <c:pt idx="789">
                        <c:v>-36918.126424760034</c:v>
                      </c:pt>
                      <c:pt idx="790">
                        <c:v>-38457.672051612433</c:v>
                      </c:pt>
                      <c:pt idx="791">
                        <c:v>-39706.697913235119</c:v>
                      </c:pt>
                      <c:pt idx="792">
                        <c:v>-40674.946460058185</c:v>
                      </c:pt>
                      <c:pt idx="793">
                        <c:v>-41368.667418570309</c:v>
                      </c:pt>
                      <c:pt idx="794">
                        <c:v>-41790.944568602361</c:v>
                      </c:pt>
                      <c:pt idx="795">
                        <c:v>-41941.85687041904</c:v>
                      </c:pt>
                      <c:pt idx="796">
                        <c:v>-41818.482223395193</c:v>
                      </c:pt>
                      <c:pt idx="797">
                        <c:v>-41414.740145598873</c:v>
                      </c:pt>
                      <c:pt idx="798">
                        <c:v>-40721.054180538034</c:v>
                      </c:pt>
                      <c:pt idx="799">
                        <c:v>-39723.796298403584</c:v>
                      </c:pt>
                      <c:pt idx="800">
                        <c:v>-38404.455021848065</c:v>
                      </c:pt>
                      <c:pt idx="801">
                        <c:v>-36738.455313700935</c:v>
                      </c:pt>
                      <c:pt idx="802">
                        <c:v>-34693.59358175948</c:v>
                      </c:pt>
                      <c:pt idx="803">
                        <c:v>-32228.316410733831</c:v>
                      </c:pt>
                      <c:pt idx="804">
                        <c:v>-29291.3664656289</c:v>
                      </c:pt>
                      <c:pt idx="805">
                        <c:v>-25830.530047335531</c:v>
                      </c:pt>
                      <c:pt idx="806">
                        <c:v>-21850.673113570654</c:v>
                      </c:pt>
                      <c:pt idx="807">
                        <c:v>-17731.042951249383</c:v>
                      </c:pt>
                      <c:pt idx="808">
                        <c:v>-14834.184416087515</c:v>
                      </c:pt>
                      <c:pt idx="809">
                        <c:v>-11754.090662268552</c:v>
                      </c:pt>
                      <c:pt idx="810">
                        <c:v>-6905.1701296375704</c:v>
                      </c:pt>
                      <c:pt idx="811">
                        <c:v>-285.02235581360765</c:v>
                      </c:pt>
                      <c:pt idx="812">
                        <c:v>7492.1528149226833</c:v>
                      </c:pt>
                      <c:pt idx="813">
                        <c:v>15790.064372975365</c:v>
                      </c:pt>
                      <c:pt idx="814">
                        <c:v>24142.310396527748</c:v>
                      </c:pt>
                      <c:pt idx="815">
                        <c:v>32245.355379367556</c:v>
                      </c:pt>
                      <c:pt idx="816">
                        <c:v>39907.732174828045</c:v>
                      </c:pt>
                      <c:pt idx="817">
                        <c:v>47007.113785043635</c:v>
                      </c:pt>
                      <c:pt idx="818">
                        <c:v>53461.958897528042</c:v>
                      </c:pt>
                      <c:pt idx="819">
                        <c:v>59214.020759905528</c:v>
                      </c:pt>
                      <c:pt idx="820">
                        <c:v>64217.635339032153</c:v>
                      </c:pt>
                      <c:pt idx="821">
                        <c:v>68433.00312275537</c:v>
                      </c:pt>
                      <c:pt idx="822">
                        <c:v>71821.770074403947</c:v>
                      </c:pt>
                      <c:pt idx="823">
                        <c:v>74343.905457727975</c:v>
                      </c:pt>
                      <c:pt idx="824">
                        <c:v>75955.281747085202</c:v>
                      </c:pt>
                      <c:pt idx="825">
                        <c:v>76605.602731706371</c:v>
                      </c:pt>
                      <c:pt idx="826">
                        <c:v>76236.484514097479</c:v>
                      </c:pt>
                      <c:pt idx="827">
                        <c:v>74779.637008883641</c:v>
                      </c:pt>
                      <c:pt idx="828">
                        <c:v>72155.298517304022</c:v>
                      </c:pt>
                      <c:pt idx="829">
                        <c:v>68271.477570387957</c:v>
                      </c:pt>
                      <c:pt idx="830">
                        <c:v>63025.429694878207</c:v>
                      </c:pt>
                      <c:pt idx="831">
                        <c:v>56310.692628987868</c:v>
                      </c:pt>
                      <c:pt idx="832">
                        <c:v>48036.749690252065</c:v>
                      </c:pt>
                      <c:pt idx="833">
                        <c:v>38173.378939138813</c:v>
                      </c:pt>
                      <c:pt idx="834">
                        <c:v>26823.275466456609</c:v>
                      </c:pt>
                      <c:pt idx="835">
                        <c:v>14233.830011531567</c:v>
                      </c:pt>
                      <c:pt idx="836">
                        <c:v>1796.7954007392839</c:v>
                      </c:pt>
                      <c:pt idx="837">
                        <c:v>-9818.9901603971048</c:v>
                      </c:pt>
                      <c:pt idx="838">
                        <c:v>-21265.019302958575</c:v>
                      </c:pt>
                      <c:pt idx="839">
                        <c:v>-34741.402614628743</c:v>
                      </c:pt>
                      <c:pt idx="840">
                        <c:v>-44188.952321723162</c:v>
                      </c:pt>
                      <c:pt idx="841">
                        <c:v>-50974.147259667254</c:v>
                      </c:pt>
                      <c:pt idx="842">
                        <c:v>-56012.104850882206</c:v>
                      </c:pt>
                      <c:pt idx="843">
                        <c:v>-59719.858907308444</c:v>
                      </c:pt>
                      <c:pt idx="844">
                        <c:v>-62322.242233597986</c:v>
                      </c:pt>
                      <c:pt idx="845">
                        <c:v>-63952.956922468555</c:v>
                      </c:pt>
                      <c:pt idx="846">
                        <c:v>-64694.508639642001</c:v>
                      </c:pt>
                      <c:pt idx="847">
                        <c:v>-64596.429583628727</c:v>
                      </c:pt>
                      <c:pt idx="848">
                        <c:v>-63684.217337289949</c:v>
                      </c:pt>
                      <c:pt idx="849">
                        <c:v>-61963.573835167132</c:v>
                      </c:pt>
                      <c:pt idx="850">
                        <c:v>-59421.791620272132</c:v>
                      </c:pt>
                      <c:pt idx="851">
                        <c:v>-56027.015779380141</c:v>
                      </c:pt>
                      <c:pt idx="852">
                        <c:v>-51725.657733975437</c:v>
                      </c:pt>
                      <c:pt idx="853">
                        <c:v>-46438.469030362539</c:v>
                      </c:pt>
                      <c:pt idx="854">
                        <c:v>-40058.206966336315</c:v>
                      </c:pt>
                      <c:pt idx="855">
                        <c:v>-32463.538501607356</c:v>
                      </c:pt>
                      <c:pt idx="856">
                        <c:v>-23609.229151152886</c:v>
                      </c:pt>
                      <c:pt idx="857">
                        <c:v>-13774.529364074046</c:v>
                      </c:pt>
                      <c:pt idx="858">
                        <c:v>-3059.3784432461125</c:v>
                      </c:pt>
                      <c:pt idx="859">
                        <c:v>9685.8067533336489</c:v>
                      </c:pt>
                      <c:pt idx="860">
                        <c:v>24096.605313922719</c:v>
                      </c:pt>
                      <c:pt idx="861">
                        <c:v>37236.171090843578</c:v>
                      </c:pt>
                      <c:pt idx="862">
                        <c:v>47872.176655108742</c:v>
                      </c:pt>
                      <c:pt idx="863">
                        <c:v>56123.339772425032</c:v>
                      </c:pt>
                      <c:pt idx="864">
                        <c:v>62332.6041785942</c:v>
                      </c:pt>
                      <c:pt idx="865">
                        <c:v>66796.374978313208</c:v>
                      </c:pt>
                      <c:pt idx="866">
                        <c:v>69736.565311643382</c:v>
                      </c:pt>
                      <c:pt idx="867">
                        <c:v>71314.207467770437</c:v>
                      </c:pt>
                      <c:pt idx="868">
                        <c:v>71644.895135474086</c:v>
                      </c:pt>
                      <c:pt idx="869">
                        <c:v>70810.229421108481</c:v>
                      </c:pt>
                      <c:pt idx="870">
                        <c:v>68865.577476296909</c:v>
                      </c:pt>
                      <c:pt idx="871">
                        <c:v>65845.215804295018</c:v>
                      </c:pt>
                      <c:pt idx="872">
                        <c:v>61765.823063981676</c:v>
                      </c:pt>
                      <c:pt idx="873">
                        <c:v>56629.263991573229</c:v>
                      </c:pt>
                      <c:pt idx="874">
                        <c:v>50426.07038613339</c:v>
                      </c:pt>
                      <c:pt idx="875">
                        <c:v>43142.78612544221</c:v>
                      </c:pt>
                      <c:pt idx="876">
                        <c:v>34782.019874231431</c:v>
                      </c:pt>
                      <c:pt idx="877">
                        <c:v>25422.680301208573</c:v>
                      </c:pt>
                      <c:pt idx="878">
                        <c:v>15408.683230050625</c:v>
                      </c:pt>
                      <c:pt idx="879">
                        <c:v>5886.3474451493694</c:v>
                      </c:pt>
                      <c:pt idx="880">
                        <c:v>-697.28577884374045</c:v>
                      </c:pt>
                      <c:pt idx="881">
                        <c:v>-3624.2640347495153</c:v>
                      </c:pt>
                      <c:pt idx="882">
                        <c:v>-4961.3625352393938</c:v>
                      </c:pt>
                      <c:pt idx="883">
                        <c:v>-5716.6077591099074</c:v>
                      </c:pt>
                      <c:pt idx="884">
                        <c:v>-5983.6979715888492</c:v>
                      </c:pt>
                      <c:pt idx="885">
                        <c:v>-5830.6591937541525</c:v>
                      </c:pt>
                      <c:pt idx="886">
                        <c:v>-5361.4906709326569</c:v>
                      </c:pt>
                      <c:pt idx="887">
                        <c:v>-4656.3075911633878</c:v>
                      </c:pt>
                      <c:pt idx="888">
                        <c:v>-3769.0896600356095</c:v>
                      </c:pt>
                      <c:pt idx="889">
                        <c:v>-2736.7377364841841</c:v>
                      </c:pt>
                      <c:pt idx="890">
                        <c:v>-1585.6450902569491</c:v>
                      </c:pt>
                      <c:pt idx="891">
                        <c:v>-335.60874438496211</c:v>
                      </c:pt>
                      <c:pt idx="892">
                        <c:v>997.84581458760147</c:v>
                      </c:pt>
                      <c:pt idx="893">
                        <c:v>2402.0323320568173</c:v>
                      </c:pt>
                      <c:pt idx="894">
                        <c:v>3866.2018992374947</c:v>
                      </c:pt>
                      <c:pt idx="895">
                        <c:v>5381.0225862453453</c:v>
                      </c:pt>
                      <c:pt idx="896">
                        <c:v>6938.4932114667081</c:v>
                      </c:pt>
                      <c:pt idx="897">
                        <c:v>8532.7493627863005</c:v>
                      </c:pt>
                      <c:pt idx="898">
                        <c:v>10163.612349012921</c:v>
                      </c:pt>
                      <c:pt idx="899">
                        <c:v>11851.618618675901</c:v>
                      </c:pt>
                      <c:pt idx="900">
                        <c:v>13729.982644671012</c:v>
                      </c:pt>
                      <c:pt idx="901">
                        <c:v>16687.029233492591</c:v>
                      </c:pt>
                      <c:pt idx="902">
                        <c:v>19457.15572837778</c:v>
                      </c:pt>
                      <c:pt idx="903">
                        <c:v>21996.441779770059</c:v>
                      </c:pt>
                      <c:pt idx="904">
                        <c:v>22463.696504067011</c:v>
                      </c:pt>
                      <c:pt idx="905">
                        <c:v>22166.363205542271</c:v>
                      </c:pt>
                      <c:pt idx="906">
                        <c:v>21513.778062513607</c:v>
                      </c:pt>
                      <c:pt idx="907">
                        <c:v>20652.88336478396</c:v>
                      </c:pt>
                      <c:pt idx="908">
                        <c:v>19656.547806325128</c:v>
                      </c:pt>
                      <c:pt idx="909">
                        <c:v>18569.464361551505</c:v>
                      </c:pt>
                      <c:pt idx="910">
                        <c:v>17424.117217158859</c:v>
                      </c:pt>
                      <c:pt idx="911">
                        <c:v>16248.34891004961</c:v>
                      </c:pt>
                      <c:pt idx="912">
                        <c:v>15070.553193134248</c:v>
                      </c:pt>
                      <c:pt idx="913">
                        <c:v>13925.360659058511</c:v>
                      </c:pt>
                      <c:pt idx="914">
                        <c:v>12863.111916039987</c:v>
                      </c:pt>
                      <c:pt idx="915">
                        <c:v>11970.926100199185</c:v>
                      </c:pt>
                      <c:pt idx="916">
                        <c:v>11431.839070186928</c:v>
                      </c:pt>
                      <c:pt idx="917">
                        <c:v>11740.409144237987</c:v>
                      </c:pt>
                      <c:pt idx="918">
                        <c:v>14704.071980892491</c:v>
                      </c:pt>
                      <c:pt idx="919">
                        <c:v>21376.278856790894</c:v>
                      </c:pt>
                      <c:pt idx="920">
                        <c:v>27246.366243048193</c:v>
                      </c:pt>
                      <c:pt idx="921">
                        <c:v>31803.89167910918</c:v>
                      </c:pt>
                      <c:pt idx="922">
                        <c:v>35095.687701269002</c:v>
                      </c:pt>
                      <c:pt idx="923">
                        <c:v>37293.627721309844</c:v>
                      </c:pt>
                      <c:pt idx="924">
                        <c:v>38523.195324608932</c:v>
                      </c:pt>
                      <c:pt idx="925">
                        <c:v>38848.226583606338</c:v>
                      </c:pt>
                      <c:pt idx="926">
                        <c:v>38280.964964181505</c:v>
                      </c:pt>
                      <c:pt idx="927">
                        <c:v>36784.888028545101</c:v>
                      </c:pt>
                      <c:pt idx="928">
                        <c:v>34267.955963466833</c:v>
                      </c:pt>
                      <c:pt idx="929">
                        <c:v>30574.822310262294</c:v>
                      </c:pt>
                      <c:pt idx="930">
                        <c:v>25536.454388495888</c:v>
                      </c:pt>
                      <c:pt idx="931">
                        <c:v>19174.075074167667</c:v>
                      </c:pt>
                      <c:pt idx="932">
                        <c:v>12774.062257216008</c:v>
                      </c:pt>
                      <c:pt idx="933">
                        <c:v>10959.866126734627</c:v>
                      </c:pt>
                      <c:pt idx="934">
                        <c:v>10876.089638797797</c:v>
                      </c:pt>
                      <c:pt idx="935">
                        <c:v>11529.815952651719</c:v>
                      </c:pt>
                      <c:pt idx="936">
                        <c:v>12578.036772228372</c:v>
                      </c:pt>
                      <c:pt idx="937">
                        <c:v>13865.327802761627</c:v>
                      </c:pt>
                      <c:pt idx="938">
                        <c:v>15304.253826555134</c:v>
                      </c:pt>
                      <c:pt idx="939">
                        <c:v>16834.200147836222</c:v>
                      </c:pt>
                      <c:pt idx="940">
                        <c:v>18400.482560936638</c:v>
                      </c:pt>
                      <c:pt idx="941">
                        <c:v>19931.974466417723</c:v>
                      </c:pt>
                      <c:pt idx="942">
                        <c:v>21278.937400257848</c:v>
                      </c:pt>
                      <c:pt idx="943">
                        <c:v>21861.987229506136</c:v>
                      </c:pt>
                      <c:pt idx="944">
                        <c:v>20260.916868386576</c:v>
                      </c:pt>
                      <c:pt idx="945">
                        <c:v>18141.344533065585</c:v>
                      </c:pt>
                      <c:pt idx="946">
                        <c:v>15735.183265935462</c:v>
                      </c:pt>
                      <c:pt idx="947">
                        <c:v>13105.853827592015</c:v>
                      </c:pt>
                      <c:pt idx="948">
                        <c:v>11915.270668000794</c:v>
                      </c:pt>
                      <c:pt idx="949">
                        <c:v>12047.325480440424</c:v>
                      </c:pt>
                      <c:pt idx="950">
                        <c:v>13082.085510055545</c:v>
                      </c:pt>
                      <c:pt idx="951">
                        <c:v>15167.254731952817</c:v>
                      </c:pt>
                      <c:pt idx="952">
                        <c:v>17024.68127108915</c:v>
                      </c:pt>
                      <c:pt idx="953">
                        <c:v>18429.565631498521</c:v>
                      </c:pt>
                      <c:pt idx="954">
                        <c:v>19545.969419610854</c:v>
                      </c:pt>
                      <c:pt idx="955">
                        <c:v>20388.461908321882</c:v>
                      </c:pt>
                      <c:pt idx="956">
                        <c:v>20470.119471772618</c:v>
                      </c:pt>
                      <c:pt idx="957">
                        <c:v>20127.133569720594</c:v>
                      </c:pt>
                      <c:pt idx="958">
                        <c:v>19568.338007206079</c:v>
                      </c:pt>
                      <c:pt idx="959">
                        <c:v>18881.078416027092</c:v>
                      </c:pt>
                      <c:pt idx="960">
                        <c:v>18121.679943461269</c:v>
                      </c:pt>
                      <c:pt idx="961">
                        <c:v>17346.767847334486</c:v>
                      </c:pt>
                      <c:pt idx="962">
                        <c:v>16646.650386164212</c:v>
                      </c:pt>
                      <c:pt idx="963">
                        <c:v>16241.275646204371</c:v>
                      </c:pt>
                      <c:pt idx="964">
                        <c:v>16930.81214772251</c:v>
                      </c:pt>
                      <c:pt idx="965">
                        <c:v>20244.357099961777</c:v>
                      </c:pt>
                      <c:pt idx="966">
                        <c:v>23038.709690376603</c:v>
                      </c:pt>
                      <c:pt idx="967">
                        <c:v>24880.804953654315</c:v>
                      </c:pt>
                      <c:pt idx="968">
                        <c:v>25568.570582778841</c:v>
                      </c:pt>
                      <c:pt idx="969">
                        <c:v>24958.152249999846</c:v>
                      </c:pt>
                      <c:pt idx="970">
                        <c:v>22951.565926570209</c:v>
                      </c:pt>
                      <c:pt idx="971">
                        <c:v>19363.22840046334</c:v>
                      </c:pt>
                      <c:pt idx="972">
                        <c:v>14221.537641804487</c:v>
                      </c:pt>
                      <c:pt idx="973">
                        <c:v>9267.3408017810507</c:v>
                      </c:pt>
                      <c:pt idx="974">
                        <c:v>5049.5329067934872</c:v>
                      </c:pt>
                      <c:pt idx="975">
                        <c:v>1893.6640874654272</c:v>
                      </c:pt>
                      <c:pt idx="976">
                        <c:v>641.23266505368633</c:v>
                      </c:pt>
                      <c:pt idx="977">
                        <c:v>2826.2358981470184</c:v>
                      </c:pt>
                      <c:pt idx="978">
                        <c:v>9218.7420172959628</c:v>
                      </c:pt>
                      <c:pt idx="979">
                        <c:v>18171.485423308652</c:v>
                      </c:pt>
                      <c:pt idx="980">
                        <c:v>27302.114573507264</c:v>
                      </c:pt>
                      <c:pt idx="981">
                        <c:v>34854.919158650184</c:v>
                      </c:pt>
                      <c:pt idx="982">
                        <c:v>39614.901605480278</c:v>
                      </c:pt>
                      <c:pt idx="983">
                        <c:v>40604.365343202051</c:v>
                      </c:pt>
                      <c:pt idx="984">
                        <c:v>37016.982990251941</c:v>
                      </c:pt>
                      <c:pt idx="985">
                        <c:v>28699.986049538515</c:v>
                      </c:pt>
                      <c:pt idx="986">
                        <c:v>17364.663954564356</c:v>
                      </c:pt>
                      <c:pt idx="987">
                        <c:v>6310.4749666154121</c:v>
                      </c:pt>
                      <c:pt idx="988">
                        <c:v>-2564.412282408106</c:v>
                      </c:pt>
                      <c:pt idx="989">
                        <c:v>-9322.8227313845746</c:v>
                      </c:pt>
                      <c:pt idx="990">
                        <c:v>-14609.562776417948</c:v>
                      </c:pt>
                      <c:pt idx="991">
                        <c:v>-18713.519979848585</c:v>
                      </c:pt>
                      <c:pt idx="992">
                        <c:v>-21647.287113967908</c:v>
                      </c:pt>
                      <c:pt idx="993">
                        <c:v>-23403.268482582174</c:v>
                      </c:pt>
                      <c:pt idx="994">
                        <c:v>-23987.253653858548</c:v>
                      </c:pt>
                      <c:pt idx="995">
                        <c:v>-23407.738058049268</c:v>
                      </c:pt>
                      <c:pt idx="996">
                        <c:v>-21692.827317496063</c:v>
                      </c:pt>
                      <c:pt idx="997">
                        <c:v>-18974.812632296114</c:v>
                      </c:pt>
                      <c:pt idx="998">
                        <c:v>-15699.10160886714</c:v>
                      </c:pt>
                      <c:pt idx="999">
                        <c:v>-12611.443942290502</c:v>
                      </c:pt>
                      <c:pt idx="1000">
                        <c:v>-9795.3057767266782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B683-4322-A2E5-108F22F86DAD}"/>
                  </c:ext>
                </c:extLst>
              </c15:ser>
            </c15:filteredScatterSeries>
          </c:ext>
        </c:extLst>
      </c:scatterChart>
      <c:valAx>
        <c:axId val="1811891231"/>
        <c:scaling>
          <c:orientation val="minMax"/>
          <c:max val="100000"/>
          <c:min val="-100000"/>
        </c:scaling>
        <c:delete val="1"/>
        <c:axPos val="b"/>
        <c:numFmt formatCode="General" sourceLinked="1"/>
        <c:majorTickMark val="none"/>
        <c:minorTickMark val="none"/>
        <c:tickLblPos val="nextTo"/>
        <c:crossAx val="1811894975"/>
        <c:crosses val="autoZero"/>
        <c:crossBetween val="midCat"/>
      </c:valAx>
      <c:valAx>
        <c:axId val="1811894975"/>
        <c:scaling>
          <c:orientation val="minMax"/>
          <c:max val="100000"/>
          <c:min val="-100000"/>
        </c:scaling>
        <c:delete val="1"/>
        <c:axPos val="l"/>
        <c:numFmt formatCode="General" sourceLinked="1"/>
        <c:majorTickMark val="none"/>
        <c:minorTickMark val="none"/>
        <c:tickLblPos val="nextTo"/>
        <c:crossAx val="18118912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97971</xdr:colOff>
      <xdr:row>1</xdr:row>
      <xdr:rowOff>103412</xdr:rowOff>
    </xdr:from>
    <xdr:to>
      <xdr:col>19</xdr:col>
      <xdr:colOff>500742</xdr:colOff>
      <xdr:row>44</xdr:row>
      <xdr:rowOff>32657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</xdr:row>
          <xdr:rowOff>38100</xdr:rowOff>
        </xdr:from>
        <xdr:to>
          <xdr:col>15</xdr:col>
          <xdr:colOff>276225</xdr:colOff>
          <xdr:row>3</xdr:row>
          <xdr:rowOff>104775</xdr:rowOff>
        </xdr:to>
        <xdr:sp macro="" textlink="">
          <xdr:nvSpPr>
            <xdr:cNvPr id="3073" name="Manon, pèse su'l pi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</xdr:row>
      <xdr:rowOff>0</xdr:rowOff>
    </xdr:from>
    <xdr:to>
      <xdr:col>12</xdr:col>
      <xdr:colOff>462148</xdr:colOff>
      <xdr:row>50</xdr:row>
      <xdr:rowOff>43543</xdr:rowOff>
    </xdr:to>
    <xdr:graphicFrame macro="">
      <xdr:nvGraphicFramePr>
        <xdr:cNvPr id="4" name="Graphique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P1076"/>
  <sheetViews>
    <sheetView topLeftCell="A13" zoomScale="70" zoomScaleNormal="70" workbookViewId="0">
      <selection activeCell="F77" sqref="F77"/>
    </sheetView>
  </sheetViews>
  <sheetFormatPr baseColWidth="10" defaultRowHeight="15" x14ac:dyDescent="0.25"/>
  <cols>
    <col min="1" max="1" width="30.5703125" bestFit="1" customWidth="1"/>
    <col min="3" max="3" width="12" bestFit="1" customWidth="1"/>
    <col min="5" max="5" width="16.85546875" bestFit="1" customWidth="1"/>
  </cols>
  <sheetData>
    <row r="2" spans="1:5" ht="11.45" customHeight="1" x14ac:dyDescent="0.25"/>
    <row r="3" spans="1:5" hidden="1" x14ac:dyDescent="0.25"/>
    <row r="4" spans="1:5" ht="22.9" customHeight="1" thickBot="1" x14ac:dyDescent="0.3">
      <c r="A4" s="76" t="s">
        <v>5</v>
      </c>
      <c r="B4" s="77"/>
      <c r="C4" s="77"/>
      <c r="D4" s="77"/>
      <c r="E4" s="78"/>
    </row>
    <row r="5" spans="1:5" ht="15.75" x14ac:dyDescent="0.25">
      <c r="A5" s="29" t="s">
        <v>6</v>
      </c>
      <c r="B5" s="25" t="s">
        <v>23</v>
      </c>
      <c r="C5" s="84">
        <v>0.5</v>
      </c>
      <c r="D5" s="84"/>
      <c r="E5" s="85"/>
    </row>
    <row r="6" spans="1:5" ht="15.75" x14ac:dyDescent="0.25">
      <c r="A6" s="30" t="s">
        <v>7</v>
      </c>
      <c r="B6" s="14" t="s">
        <v>24</v>
      </c>
      <c r="C6" s="74">
        <v>0</v>
      </c>
      <c r="D6" s="74"/>
      <c r="E6" s="86"/>
    </row>
    <row r="7" spans="1:5" ht="15.75" x14ac:dyDescent="0.25">
      <c r="A7" s="31" t="s">
        <v>8</v>
      </c>
      <c r="B7" s="32" t="s">
        <v>25</v>
      </c>
      <c r="C7" s="87">
        <v>1</v>
      </c>
      <c r="D7" s="87"/>
      <c r="E7" s="88"/>
    </row>
    <row r="8" spans="1:5" ht="15.75" x14ac:dyDescent="0.25">
      <c r="A8" s="68"/>
      <c r="B8" s="68"/>
      <c r="C8" s="68"/>
      <c r="D8" s="68"/>
      <c r="E8" s="68"/>
    </row>
    <row r="9" spans="1:5" ht="21.75" thickBot="1" x14ac:dyDescent="0.4">
      <c r="A9" s="79" t="s">
        <v>9</v>
      </c>
      <c r="B9" s="80"/>
      <c r="C9" s="80"/>
      <c r="D9" s="80"/>
      <c r="E9" s="81"/>
    </row>
    <row r="10" spans="1:5" ht="15.75" x14ac:dyDescent="0.25">
      <c r="A10" s="30" t="s">
        <v>10</v>
      </c>
      <c r="B10" s="12" t="s">
        <v>26</v>
      </c>
      <c r="C10" s="74">
        <v>1</v>
      </c>
      <c r="D10" s="74"/>
      <c r="E10" s="33" t="s">
        <v>31</v>
      </c>
    </row>
    <row r="11" spans="1:5" ht="18.75" x14ac:dyDescent="0.35">
      <c r="A11" s="29" t="s">
        <v>11</v>
      </c>
      <c r="B11" s="26" t="s">
        <v>53</v>
      </c>
      <c r="C11" s="27">
        <v>0</v>
      </c>
      <c r="D11" s="27">
        <v>0</v>
      </c>
      <c r="E11" s="34" t="s">
        <v>30</v>
      </c>
    </row>
    <row r="12" spans="1:5" ht="18.75" x14ac:dyDescent="0.35">
      <c r="A12" s="30" t="s">
        <v>12</v>
      </c>
      <c r="B12" s="12" t="s">
        <v>54</v>
      </c>
      <c r="C12" s="15">
        <v>0</v>
      </c>
      <c r="D12" s="15">
        <v>0</v>
      </c>
      <c r="E12" s="33" t="s">
        <v>32</v>
      </c>
    </row>
    <row r="13" spans="1:5" ht="19.5" x14ac:dyDescent="0.35">
      <c r="A13" s="29" t="s">
        <v>27</v>
      </c>
      <c r="B13" s="26" t="s">
        <v>55</v>
      </c>
      <c r="C13" s="27">
        <v>0</v>
      </c>
      <c r="D13" s="27">
        <v>0</v>
      </c>
      <c r="E13" s="34" t="s">
        <v>43</v>
      </c>
    </row>
    <row r="14" spans="1:5" ht="15.75" x14ac:dyDescent="0.25">
      <c r="A14" s="35" t="s">
        <v>28</v>
      </c>
      <c r="B14" s="36" t="s">
        <v>29</v>
      </c>
      <c r="C14" s="73">
        <v>2500</v>
      </c>
      <c r="D14" s="73"/>
      <c r="E14" s="37" t="s">
        <v>30</v>
      </c>
    </row>
    <row r="15" spans="1:5" ht="15.75" x14ac:dyDescent="0.25">
      <c r="A15" s="4"/>
      <c r="B15" s="4"/>
      <c r="C15" s="4"/>
      <c r="D15" s="4"/>
      <c r="E15" s="4"/>
    </row>
    <row r="16" spans="1:5" ht="21.75" thickBot="1" x14ac:dyDescent="0.4">
      <c r="A16" s="79" t="s">
        <v>13</v>
      </c>
      <c r="B16" s="80"/>
      <c r="C16" s="80"/>
      <c r="D16" s="80"/>
      <c r="E16" s="81"/>
    </row>
    <row r="17" spans="1:5" ht="18.75" x14ac:dyDescent="0.3">
      <c r="A17" s="94"/>
      <c r="B17" s="95"/>
      <c r="C17" s="95"/>
      <c r="D17" s="95"/>
      <c r="E17" s="96"/>
    </row>
    <row r="18" spans="1:5" ht="18" customHeight="1" x14ac:dyDescent="0.3">
      <c r="A18" s="103" t="s">
        <v>14</v>
      </c>
      <c r="B18" s="104"/>
      <c r="C18" s="104"/>
      <c r="D18" s="104"/>
      <c r="E18" s="105"/>
    </row>
    <row r="19" spans="1:5" ht="17.45" customHeight="1" x14ac:dyDescent="0.35">
      <c r="A19" s="38" t="s">
        <v>15</v>
      </c>
      <c r="B19" s="10" t="s">
        <v>49</v>
      </c>
      <c r="C19" s="11">
        <v>20000</v>
      </c>
      <c r="D19" s="11">
        <v>15000</v>
      </c>
      <c r="E19" s="39" t="s">
        <v>30</v>
      </c>
    </row>
    <row r="20" spans="1:5" ht="18.75" x14ac:dyDescent="0.35">
      <c r="A20" s="30" t="s">
        <v>4</v>
      </c>
      <c r="B20" s="12" t="s">
        <v>50</v>
      </c>
      <c r="C20" s="74">
        <v>5000</v>
      </c>
      <c r="D20" s="74"/>
      <c r="E20" s="33" t="s">
        <v>30</v>
      </c>
    </row>
    <row r="21" spans="1:5" ht="19.5" x14ac:dyDescent="0.35">
      <c r="A21" s="38" t="s">
        <v>16</v>
      </c>
      <c r="B21" s="8" t="s">
        <v>51</v>
      </c>
      <c r="C21" s="75">
        <v>1</v>
      </c>
      <c r="D21" s="75"/>
      <c r="E21" s="39" t="s">
        <v>44</v>
      </c>
    </row>
    <row r="22" spans="1:5" ht="19.5" x14ac:dyDescent="0.35">
      <c r="A22" s="40" t="s">
        <v>17</v>
      </c>
      <c r="B22" s="13" t="s">
        <v>60</v>
      </c>
      <c r="C22" s="82">
        <f>4/3*PI()*C20^3</f>
        <v>523598775598.29883</v>
      </c>
      <c r="D22" s="82"/>
      <c r="E22" s="41" t="s">
        <v>61</v>
      </c>
    </row>
    <row r="23" spans="1:5" ht="18.75" x14ac:dyDescent="0.35">
      <c r="A23" s="42" t="s">
        <v>18</v>
      </c>
      <c r="B23" s="9" t="s">
        <v>62</v>
      </c>
      <c r="C23" s="83">
        <f>IF(C25="Attraction",C22*C21,(C22*C21)*-1)</f>
        <v>523598775598.29883</v>
      </c>
      <c r="D23" s="83"/>
      <c r="E23" s="43" t="s">
        <v>31</v>
      </c>
    </row>
    <row r="24" spans="1:5" ht="18.75" x14ac:dyDescent="0.35">
      <c r="A24" s="40" t="s">
        <v>19</v>
      </c>
      <c r="B24" s="13" t="s">
        <v>63</v>
      </c>
      <c r="C24" s="82">
        <f>C20*$C$7</f>
        <v>5000</v>
      </c>
      <c r="D24" s="82"/>
      <c r="E24" s="41" t="s">
        <v>30</v>
      </c>
    </row>
    <row r="25" spans="1:5" ht="18.75" x14ac:dyDescent="0.35">
      <c r="A25" s="38" t="s">
        <v>20</v>
      </c>
      <c r="B25" s="8" t="s">
        <v>52</v>
      </c>
      <c r="C25" s="75" t="s">
        <v>33</v>
      </c>
      <c r="D25" s="75"/>
      <c r="E25" s="39" t="s">
        <v>42</v>
      </c>
    </row>
    <row r="26" spans="1:5" ht="18.600000000000001" customHeight="1" x14ac:dyDescent="0.25">
      <c r="A26" s="89"/>
      <c r="B26" s="90"/>
      <c r="C26" s="90"/>
      <c r="D26" s="90"/>
      <c r="E26" s="91"/>
    </row>
    <row r="27" spans="1:5" ht="15" customHeight="1" x14ac:dyDescent="0.3">
      <c r="A27" s="97" t="s">
        <v>21</v>
      </c>
      <c r="B27" s="98"/>
      <c r="C27" s="98"/>
      <c r="D27" s="98"/>
      <c r="E27" s="99"/>
    </row>
    <row r="28" spans="1:5" ht="18.75" x14ac:dyDescent="0.35">
      <c r="A28" s="44" t="s">
        <v>15</v>
      </c>
      <c r="B28" s="20" t="s">
        <v>45</v>
      </c>
      <c r="C28" s="21">
        <v>-20000</v>
      </c>
      <c r="D28" s="22">
        <v>20000</v>
      </c>
      <c r="E28" s="45" t="s">
        <v>30</v>
      </c>
    </row>
    <row r="29" spans="1:5" ht="18.75" x14ac:dyDescent="0.35">
      <c r="A29" s="30" t="s">
        <v>4</v>
      </c>
      <c r="B29" s="12" t="s">
        <v>46</v>
      </c>
      <c r="C29" s="74">
        <v>15000</v>
      </c>
      <c r="D29" s="74"/>
      <c r="E29" s="33" t="s">
        <v>30</v>
      </c>
    </row>
    <row r="30" spans="1:5" ht="19.5" x14ac:dyDescent="0.35">
      <c r="A30" s="44" t="s">
        <v>16</v>
      </c>
      <c r="B30" s="23" t="s">
        <v>47</v>
      </c>
      <c r="C30" s="100">
        <v>1</v>
      </c>
      <c r="D30" s="100"/>
      <c r="E30" s="45" t="s">
        <v>44</v>
      </c>
    </row>
    <row r="31" spans="1:5" ht="19.5" x14ac:dyDescent="0.35">
      <c r="A31" s="46" t="s">
        <v>17</v>
      </c>
      <c r="B31" s="16" t="s">
        <v>68</v>
      </c>
      <c r="C31" s="101">
        <f>4/3*PI()*C29^3</f>
        <v>14137166941154.068</v>
      </c>
      <c r="D31" s="101"/>
      <c r="E31" s="47" t="s">
        <v>65</v>
      </c>
    </row>
    <row r="32" spans="1:5" ht="18.75" x14ac:dyDescent="0.35">
      <c r="A32" s="48" t="s">
        <v>18</v>
      </c>
      <c r="B32" s="24" t="s">
        <v>69</v>
      </c>
      <c r="C32" s="102">
        <f>IF(C34="Attraction",C30*C31,(C31*C30)*-1)</f>
        <v>14137166941154.068</v>
      </c>
      <c r="D32" s="102"/>
      <c r="E32" s="49" t="s">
        <v>31</v>
      </c>
    </row>
    <row r="33" spans="1:14" ht="18.75" x14ac:dyDescent="0.35">
      <c r="A33" s="46" t="s">
        <v>19</v>
      </c>
      <c r="B33" s="16" t="s">
        <v>70</v>
      </c>
      <c r="C33" s="101">
        <f>C29*$C$7</f>
        <v>15000</v>
      </c>
      <c r="D33" s="101"/>
      <c r="E33" s="47" t="s">
        <v>30</v>
      </c>
    </row>
    <row r="34" spans="1:14" ht="18.75" x14ac:dyDescent="0.35">
      <c r="A34" s="44" t="s">
        <v>20</v>
      </c>
      <c r="B34" s="23" t="s">
        <v>48</v>
      </c>
      <c r="C34" s="100" t="s">
        <v>33</v>
      </c>
      <c r="D34" s="100"/>
      <c r="E34" s="45" t="s">
        <v>42</v>
      </c>
    </row>
    <row r="35" spans="1:14" ht="18.600000000000001" customHeight="1" x14ac:dyDescent="0.25">
      <c r="A35" s="89"/>
      <c r="B35" s="90"/>
      <c r="C35" s="90"/>
      <c r="D35" s="90"/>
      <c r="E35" s="91"/>
    </row>
    <row r="36" spans="1:14" ht="15" customHeight="1" x14ac:dyDescent="0.3">
      <c r="A36" s="50" t="s">
        <v>22</v>
      </c>
      <c r="B36" s="28"/>
      <c r="C36" s="28"/>
      <c r="D36" s="28"/>
      <c r="E36" s="51"/>
    </row>
    <row r="37" spans="1:14" ht="18.75" x14ac:dyDescent="0.35">
      <c r="A37" s="52" t="s">
        <v>15</v>
      </c>
      <c r="B37" s="7" t="s">
        <v>56</v>
      </c>
      <c r="C37" s="17">
        <v>-5000</v>
      </c>
      <c r="D37" s="17">
        <v>-30000</v>
      </c>
      <c r="E37" s="53" t="s">
        <v>30</v>
      </c>
    </row>
    <row r="38" spans="1:14" ht="18.75" x14ac:dyDescent="0.35">
      <c r="A38" s="54" t="s">
        <v>4</v>
      </c>
      <c r="B38" s="5" t="s">
        <v>57</v>
      </c>
      <c r="C38" s="68">
        <v>10000</v>
      </c>
      <c r="D38" s="68"/>
      <c r="E38" s="55" t="s">
        <v>30</v>
      </c>
    </row>
    <row r="39" spans="1:14" ht="19.5" x14ac:dyDescent="0.35">
      <c r="A39" s="52" t="s">
        <v>16</v>
      </c>
      <c r="B39" s="18" t="s">
        <v>58</v>
      </c>
      <c r="C39" s="69">
        <v>1</v>
      </c>
      <c r="D39" s="69"/>
      <c r="E39" s="53" t="s">
        <v>44</v>
      </c>
    </row>
    <row r="40" spans="1:14" ht="19.5" x14ac:dyDescent="0.35">
      <c r="A40" s="56" t="s">
        <v>17</v>
      </c>
      <c r="B40" s="6" t="s">
        <v>64</v>
      </c>
      <c r="C40" s="70">
        <f>4/3*PI()*C38^3</f>
        <v>4188790204786.3906</v>
      </c>
      <c r="D40" s="70"/>
      <c r="E40" s="57" t="s">
        <v>65</v>
      </c>
    </row>
    <row r="41" spans="1:14" ht="18.75" x14ac:dyDescent="0.35">
      <c r="A41" s="58" t="s">
        <v>18</v>
      </c>
      <c r="B41" s="19" t="s">
        <v>66</v>
      </c>
      <c r="C41" s="71">
        <f>IF(C43="Attraction",C39*C40,(C40*C39)*-1)</f>
        <v>4188790204786.3906</v>
      </c>
      <c r="D41" s="71"/>
      <c r="E41" s="59" t="s">
        <v>31</v>
      </c>
    </row>
    <row r="42" spans="1:14" ht="18.75" x14ac:dyDescent="0.35">
      <c r="A42" s="56" t="s">
        <v>19</v>
      </c>
      <c r="B42" s="6" t="s">
        <v>67</v>
      </c>
      <c r="C42" s="70">
        <f>C38*$C$7</f>
        <v>10000</v>
      </c>
      <c r="D42" s="70"/>
      <c r="E42" s="57" t="s">
        <v>30</v>
      </c>
    </row>
    <row r="43" spans="1:14" ht="18.75" x14ac:dyDescent="0.35">
      <c r="A43" s="60" t="s">
        <v>20</v>
      </c>
      <c r="B43" s="61" t="s">
        <v>59</v>
      </c>
      <c r="C43" s="72" t="s">
        <v>33</v>
      </c>
      <c r="D43" s="72"/>
      <c r="E43" s="62" t="s">
        <v>42</v>
      </c>
    </row>
    <row r="46" spans="1:14" x14ac:dyDescent="0.25">
      <c r="A46" s="92" t="s">
        <v>71</v>
      </c>
      <c r="B46" s="92"/>
      <c r="C46" s="92"/>
      <c r="D46" s="92"/>
      <c r="E46" s="92"/>
      <c r="F46" s="92"/>
      <c r="G46" s="92"/>
      <c r="H46" s="92"/>
      <c r="I46" s="92"/>
      <c r="J46" s="92"/>
      <c r="K46" s="92"/>
    </row>
    <row r="47" spans="1:14" x14ac:dyDescent="0.25">
      <c r="A47" s="1" t="s">
        <v>0</v>
      </c>
      <c r="B47" s="1" t="s">
        <v>1</v>
      </c>
      <c r="C47" s="1"/>
      <c r="D47" s="1" t="s">
        <v>2</v>
      </c>
      <c r="E47" s="1" t="s">
        <v>3</v>
      </c>
      <c r="F47" s="1"/>
      <c r="G47" s="1" t="s">
        <v>2</v>
      </c>
      <c r="H47" s="1" t="s">
        <v>3</v>
      </c>
      <c r="I47" s="1"/>
      <c r="J47" s="1" t="s">
        <v>2</v>
      </c>
      <c r="K47" s="1" t="s">
        <v>3</v>
      </c>
      <c r="N47" t="s">
        <v>33</v>
      </c>
    </row>
    <row r="48" spans="1:14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N48" t="s">
        <v>83</v>
      </c>
    </row>
    <row r="49" spans="1:11" x14ac:dyDescent="0.25">
      <c r="A49" s="2">
        <v>0</v>
      </c>
      <c r="B49" s="2">
        <f>A49*2*PI()/20</f>
        <v>0</v>
      </c>
      <c r="C49" s="2"/>
      <c r="D49" s="2">
        <f>$C$20*COS(B49)+$C$19</f>
        <v>25000</v>
      </c>
      <c r="E49" s="2">
        <f>$C$20*SIN(B49)+$D$19</f>
        <v>15000</v>
      </c>
      <c r="F49" s="2"/>
      <c r="G49" s="2">
        <f>$C$29*COS(B49)+$C$28</f>
        <v>-5000</v>
      </c>
      <c r="H49" s="2">
        <f>$C$29*SIN(B49)+$D$28</f>
        <v>20000</v>
      </c>
      <c r="I49" s="2"/>
      <c r="J49" s="2">
        <f>$C$38*COS(B49)+$C$37</f>
        <v>5000</v>
      </c>
      <c r="K49" s="2">
        <f>$C$38*SIN(B49)+$D$37</f>
        <v>-30000</v>
      </c>
    </row>
    <row r="50" spans="1:11" x14ac:dyDescent="0.25">
      <c r="A50" s="2">
        <v>1</v>
      </c>
      <c r="B50" s="2">
        <f>A50*2*PI()/20</f>
        <v>0.31415926535897931</v>
      </c>
      <c r="C50" s="2"/>
      <c r="D50" s="2">
        <f t="shared" ref="D50:D69" si="0">$C$20*COS(B50)+$C$19</f>
        <v>24755.282581475767</v>
      </c>
      <c r="E50" s="2">
        <f t="shared" ref="E50:E69" si="1">$C$20*SIN(B50)+$D$19</f>
        <v>16545.084971874738</v>
      </c>
      <c r="F50" s="2"/>
      <c r="G50" s="2">
        <f t="shared" ref="G50:G69" si="2">$C$29*COS(B50)+$C$28</f>
        <v>-5734.152255572697</v>
      </c>
      <c r="H50" s="2">
        <f t="shared" ref="H50:H69" si="3">$C$29*SIN(B50)+$D$28</f>
        <v>24635.254915624209</v>
      </c>
      <c r="I50" s="2"/>
      <c r="J50" s="2">
        <f t="shared" ref="J50:J69" si="4">$C$38*COS(B50)+$C$37</f>
        <v>4510.565162951536</v>
      </c>
      <c r="K50" s="2">
        <f t="shared" ref="K50:K69" si="5">$C$38*SIN(B50)+$D$37</f>
        <v>-26909.830056250525</v>
      </c>
    </row>
    <row r="51" spans="1:11" x14ac:dyDescent="0.25">
      <c r="A51" s="2">
        <v>2</v>
      </c>
      <c r="B51" s="2">
        <f t="shared" ref="B51:B69" si="6">A51*2*PI()/20</f>
        <v>0.62831853071795862</v>
      </c>
      <c r="C51" s="2"/>
      <c r="D51" s="2">
        <f t="shared" si="0"/>
        <v>24045.084971874738</v>
      </c>
      <c r="E51" s="2">
        <f t="shared" si="1"/>
        <v>17938.926261462366</v>
      </c>
      <c r="F51" s="2"/>
      <c r="G51" s="2">
        <f t="shared" si="2"/>
        <v>-7864.7450843757888</v>
      </c>
      <c r="H51" s="2">
        <f t="shared" si="3"/>
        <v>28816.778784387097</v>
      </c>
      <c r="I51" s="2"/>
      <c r="J51" s="2">
        <f t="shared" si="4"/>
        <v>3090.1699437494744</v>
      </c>
      <c r="K51" s="2">
        <f t="shared" si="5"/>
        <v>-24122.147477075268</v>
      </c>
    </row>
    <row r="52" spans="1:11" x14ac:dyDescent="0.25">
      <c r="A52" s="2">
        <v>3</v>
      </c>
      <c r="B52" s="2">
        <f t="shared" si="6"/>
        <v>0.94247779607693793</v>
      </c>
      <c r="C52" s="2"/>
      <c r="D52" s="2">
        <f>$C$20*COS(B52)+$C$19</f>
        <v>22938.926261462366</v>
      </c>
      <c r="E52" s="2">
        <f t="shared" si="1"/>
        <v>19045.084971874738</v>
      </c>
      <c r="F52" s="2"/>
      <c r="G52" s="2">
        <f t="shared" si="2"/>
        <v>-11183.221215612903</v>
      </c>
      <c r="H52" s="2">
        <f t="shared" si="3"/>
        <v>32135.254915624209</v>
      </c>
      <c r="I52" s="2"/>
      <c r="J52" s="2">
        <f t="shared" si="4"/>
        <v>877.8525229247316</v>
      </c>
      <c r="K52" s="2">
        <f t="shared" si="5"/>
        <v>-21909.830056250525</v>
      </c>
    </row>
    <row r="53" spans="1:11" x14ac:dyDescent="0.25">
      <c r="A53" s="2">
        <v>4</v>
      </c>
      <c r="B53" s="2">
        <f t="shared" si="6"/>
        <v>1.2566370614359172</v>
      </c>
      <c r="C53" s="2"/>
      <c r="D53" s="2">
        <f t="shared" si="0"/>
        <v>21545.084971874738</v>
      </c>
      <c r="E53" s="2">
        <f t="shared" si="1"/>
        <v>19755.282581475767</v>
      </c>
      <c r="F53" s="2"/>
      <c r="G53" s="2">
        <f t="shared" si="2"/>
        <v>-15364.745084375787</v>
      </c>
      <c r="H53" s="2">
        <f t="shared" si="3"/>
        <v>34265.847744427301</v>
      </c>
      <c r="I53" s="2"/>
      <c r="J53" s="2">
        <f t="shared" si="4"/>
        <v>-1909.8300562505256</v>
      </c>
      <c r="K53" s="2">
        <f t="shared" si="5"/>
        <v>-20489.434837048466</v>
      </c>
    </row>
    <row r="54" spans="1:11" x14ac:dyDescent="0.25">
      <c r="A54" s="2">
        <v>5</v>
      </c>
      <c r="B54" s="2">
        <f t="shared" si="6"/>
        <v>1.5707963267948966</v>
      </c>
      <c r="C54" s="2"/>
      <c r="D54" s="2">
        <f t="shared" si="0"/>
        <v>20000</v>
      </c>
      <c r="E54" s="2">
        <f t="shared" si="1"/>
        <v>20000</v>
      </c>
      <c r="F54" s="2"/>
      <c r="G54" s="2">
        <f t="shared" si="2"/>
        <v>-20000</v>
      </c>
      <c r="H54" s="2">
        <f t="shared" si="3"/>
        <v>35000</v>
      </c>
      <c r="I54" s="2"/>
      <c r="J54" s="2">
        <f t="shared" si="4"/>
        <v>-4999.9999999999991</v>
      </c>
      <c r="K54" s="2">
        <f t="shared" si="5"/>
        <v>-20000</v>
      </c>
    </row>
    <row r="55" spans="1:11" x14ac:dyDescent="0.25">
      <c r="A55" s="2">
        <v>6</v>
      </c>
      <c r="B55" s="2">
        <f t="shared" si="6"/>
        <v>1.8849555921538759</v>
      </c>
      <c r="C55" s="2"/>
      <c r="D55" s="2">
        <f t="shared" si="0"/>
        <v>18454.915028125262</v>
      </c>
      <c r="E55" s="2">
        <f t="shared" si="1"/>
        <v>19755.282581475767</v>
      </c>
      <c r="F55" s="2"/>
      <c r="G55" s="2">
        <f t="shared" si="2"/>
        <v>-24635.254915624209</v>
      </c>
      <c r="H55" s="2">
        <f t="shared" si="3"/>
        <v>34265.847744427301</v>
      </c>
      <c r="I55" s="2"/>
      <c r="J55" s="2">
        <f t="shared" si="4"/>
        <v>-8090.1699437494735</v>
      </c>
      <c r="K55" s="2">
        <f t="shared" si="5"/>
        <v>-20489.434837048466</v>
      </c>
    </row>
    <row r="56" spans="1:11" x14ac:dyDescent="0.25">
      <c r="A56" s="2">
        <v>7</v>
      </c>
      <c r="B56" s="2">
        <f t="shared" si="6"/>
        <v>2.1991148575128552</v>
      </c>
      <c r="C56" s="2"/>
      <c r="D56" s="2">
        <f t="shared" si="0"/>
        <v>17061.073738537634</v>
      </c>
      <c r="E56" s="2">
        <f t="shared" si="1"/>
        <v>19045.084971874738</v>
      </c>
      <c r="F56" s="2"/>
      <c r="G56" s="2">
        <f t="shared" si="2"/>
        <v>-28816.778784387097</v>
      </c>
      <c r="H56" s="2">
        <f t="shared" si="3"/>
        <v>32135.254915624209</v>
      </c>
      <c r="I56" s="2"/>
      <c r="J56" s="2">
        <f t="shared" si="4"/>
        <v>-10877.852522924732</v>
      </c>
      <c r="K56" s="2">
        <f t="shared" si="5"/>
        <v>-21909.830056250525</v>
      </c>
    </row>
    <row r="57" spans="1:11" x14ac:dyDescent="0.25">
      <c r="A57" s="2">
        <v>8</v>
      </c>
      <c r="B57" s="2">
        <f t="shared" si="6"/>
        <v>2.5132741228718345</v>
      </c>
      <c r="C57" s="2"/>
      <c r="D57" s="2">
        <f t="shared" si="0"/>
        <v>15954.915028125262</v>
      </c>
      <c r="E57" s="2">
        <f t="shared" si="1"/>
        <v>17938.926261462366</v>
      </c>
      <c r="F57" s="2"/>
      <c r="G57" s="2">
        <f t="shared" si="2"/>
        <v>-32135.254915624209</v>
      </c>
      <c r="H57" s="2">
        <f t="shared" si="3"/>
        <v>28816.778784387097</v>
      </c>
      <c r="I57" s="2"/>
      <c r="J57" s="2">
        <f t="shared" si="4"/>
        <v>-13090.169943749474</v>
      </c>
      <c r="K57" s="2">
        <f t="shared" si="5"/>
        <v>-24122.147477075268</v>
      </c>
    </row>
    <row r="58" spans="1:11" x14ac:dyDescent="0.25">
      <c r="A58" s="2">
        <v>9</v>
      </c>
      <c r="B58" s="2">
        <f t="shared" si="6"/>
        <v>2.8274333882308138</v>
      </c>
      <c r="C58" s="2"/>
      <c r="D58" s="2">
        <f t="shared" si="0"/>
        <v>15244.717418524233</v>
      </c>
      <c r="E58" s="2">
        <f t="shared" si="1"/>
        <v>16545.084971874738</v>
      </c>
      <c r="F58" s="2"/>
      <c r="G58" s="2">
        <f t="shared" si="2"/>
        <v>-34265.847744427301</v>
      </c>
      <c r="H58" s="2">
        <f t="shared" si="3"/>
        <v>24635.254915624213</v>
      </c>
      <c r="I58" s="2"/>
      <c r="J58" s="2">
        <f t="shared" si="4"/>
        <v>-14510.565162951536</v>
      </c>
      <c r="K58" s="2">
        <f t="shared" si="5"/>
        <v>-26909.830056250525</v>
      </c>
    </row>
    <row r="59" spans="1:11" x14ac:dyDescent="0.25">
      <c r="A59" s="2">
        <v>10</v>
      </c>
      <c r="B59" s="2">
        <f t="shared" si="6"/>
        <v>3.1415926535897931</v>
      </c>
      <c r="C59" s="2"/>
      <c r="D59" s="2">
        <f t="shared" si="0"/>
        <v>15000</v>
      </c>
      <c r="E59" s="2">
        <f t="shared" si="1"/>
        <v>15000</v>
      </c>
      <c r="F59" s="2"/>
      <c r="G59" s="2">
        <f t="shared" si="2"/>
        <v>-35000</v>
      </c>
      <c r="H59" s="2">
        <f t="shared" si="3"/>
        <v>20000.000000000004</v>
      </c>
      <c r="I59" s="2"/>
      <c r="J59" s="2">
        <f t="shared" si="4"/>
        <v>-15000</v>
      </c>
      <c r="K59" s="2">
        <f t="shared" si="5"/>
        <v>-30000</v>
      </c>
    </row>
    <row r="60" spans="1:11" x14ac:dyDescent="0.25">
      <c r="A60" s="2">
        <v>11</v>
      </c>
      <c r="B60" s="2">
        <f t="shared" si="6"/>
        <v>3.455751918948772</v>
      </c>
      <c r="C60" s="2"/>
      <c r="D60" s="2">
        <f t="shared" si="0"/>
        <v>15244.717418524231</v>
      </c>
      <c r="E60" s="2">
        <f t="shared" si="1"/>
        <v>13454.915028125266</v>
      </c>
      <c r="F60" s="2"/>
      <c r="G60" s="2">
        <f t="shared" si="2"/>
        <v>-34265.847744427308</v>
      </c>
      <c r="H60" s="2">
        <f t="shared" si="3"/>
        <v>15364.745084375798</v>
      </c>
      <c r="I60" s="2"/>
      <c r="J60" s="2">
        <f t="shared" si="4"/>
        <v>-14510.565162951538</v>
      </c>
      <c r="K60" s="2">
        <f t="shared" si="5"/>
        <v>-33090.169943749468</v>
      </c>
    </row>
    <row r="61" spans="1:11" x14ac:dyDescent="0.25">
      <c r="A61" s="2">
        <v>12</v>
      </c>
      <c r="B61" s="2">
        <f t="shared" si="6"/>
        <v>3.7699111843077517</v>
      </c>
      <c r="C61" s="2"/>
      <c r="D61" s="2">
        <f t="shared" si="0"/>
        <v>15954.915028125262</v>
      </c>
      <c r="E61" s="2">
        <f t="shared" si="1"/>
        <v>12061.073738537634</v>
      </c>
      <c r="F61" s="2"/>
      <c r="G61" s="2">
        <f t="shared" si="2"/>
        <v>-32135.254915624213</v>
      </c>
      <c r="H61" s="2">
        <f t="shared" si="3"/>
        <v>11183.221215612904</v>
      </c>
      <c r="I61" s="2"/>
      <c r="J61" s="2">
        <f t="shared" si="4"/>
        <v>-13090.169943749475</v>
      </c>
      <c r="K61" s="2">
        <f t="shared" si="5"/>
        <v>-35877.852522924732</v>
      </c>
    </row>
    <row r="62" spans="1:11" x14ac:dyDescent="0.25">
      <c r="A62" s="2">
        <v>13</v>
      </c>
      <c r="B62" s="2">
        <f t="shared" si="6"/>
        <v>4.0840704496667311</v>
      </c>
      <c r="C62" s="2"/>
      <c r="D62" s="2">
        <f t="shared" si="0"/>
        <v>17061.073738537634</v>
      </c>
      <c r="E62" s="2">
        <f t="shared" si="1"/>
        <v>10954.915028125262</v>
      </c>
      <c r="F62" s="2"/>
      <c r="G62" s="2">
        <f t="shared" si="2"/>
        <v>-28816.778784387097</v>
      </c>
      <c r="H62" s="2">
        <f t="shared" si="3"/>
        <v>7864.7450843757906</v>
      </c>
      <c r="I62" s="2"/>
      <c r="J62" s="2">
        <f t="shared" si="4"/>
        <v>-10877.852522924732</v>
      </c>
      <c r="K62" s="2">
        <f t="shared" si="5"/>
        <v>-38090.169943749475</v>
      </c>
    </row>
    <row r="63" spans="1:11" x14ac:dyDescent="0.25">
      <c r="A63" s="2">
        <v>14</v>
      </c>
      <c r="B63" s="2">
        <f t="shared" si="6"/>
        <v>4.3982297150257104</v>
      </c>
      <c r="C63" s="2"/>
      <c r="D63" s="2">
        <f t="shared" si="0"/>
        <v>18454.915028125262</v>
      </c>
      <c r="E63" s="2">
        <f t="shared" si="1"/>
        <v>10244.717418524233</v>
      </c>
      <c r="F63" s="2"/>
      <c r="G63" s="2">
        <f t="shared" si="2"/>
        <v>-24635.254915624213</v>
      </c>
      <c r="H63" s="2">
        <f t="shared" si="3"/>
        <v>5734.152255572697</v>
      </c>
      <c r="I63" s="2"/>
      <c r="J63" s="2">
        <f t="shared" si="4"/>
        <v>-8090.1699437494754</v>
      </c>
      <c r="K63" s="2">
        <f t="shared" si="5"/>
        <v>-39510.565162951534</v>
      </c>
    </row>
    <row r="64" spans="1:11" x14ac:dyDescent="0.25">
      <c r="A64" s="2">
        <v>15</v>
      </c>
      <c r="B64" s="2">
        <f t="shared" si="6"/>
        <v>4.7123889803846897</v>
      </c>
      <c r="C64" s="2"/>
      <c r="D64" s="2">
        <f t="shared" si="0"/>
        <v>20000</v>
      </c>
      <c r="E64" s="2">
        <f t="shared" si="1"/>
        <v>10000</v>
      </c>
      <c r="F64" s="2"/>
      <c r="G64" s="2">
        <f t="shared" si="2"/>
        <v>-20000.000000000004</v>
      </c>
      <c r="H64" s="2">
        <f t="shared" si="3"/>
        <v>5000</v>
      </c>
      <c r="I64" s="2"/>
      <c r="J64" s="2">
        <f t="shared" si="4"/>
        <v>-5000.0000000000018</v>
      </c>
      <c r="K64" s="2">
        <f t="shared" si="5"/>
        <v>-40000</v>
      </c>
    </row>
    <row r="65" spans="1:16" x14ac:dyDescent="0.25">
      <c r="A65" s="2">
        <v>16</v>
      </c>
      <c r="B65" s="2">
        <f t="shared" si="6"/>
        <v>5.026548245743669</v>
      </c>
      <c r="C65" s="2"/>
      <c r="D65" s="2">
        <f t="shared" si="0"/>
        <v>21545.084971874738</v>
      </c>
      <c r="E65" s="2">
        <f t="shared" si="1"/>
        <v>10244.717418524233</v>
      </c>
      <c r="F65" s="2"/>
      <c r="G65" s="2">
        <f t="shared" si="2"/>
        <v>-15364.745084375791</v>
      </c>
      <c r="H65" s="2">
        <f t="shared" si="3"/>
        <v>5734.1522555726951</v>
      </c>
      <c r="I65" s="2"/>
      <c r="J65" s="2">
        <f t="shared" si="4"/>
        <v>-1909.8300562505278</v>
      </c>
      <c r="K65" s="2">
        <f t="shared" si="5"/>
        <v>-39510.565162951534</v>
      </c>
    </row>
    <row r="66" spans="1:16" x14ac:dyDescent="0.25">
      <c r="A66" s="2">
        <v>17</v>
      </c>
      <c r="B66" s="2">
        <f t="shared" si="6"/>
        <v>5.3407075111026483</v>
      </c>
      <c r="C66" s="2"/>
      <c r="D66" s="2">
        <f t="shared" si="0"/>
        <v>22938.926261462366</v>
      </c>
      <c r="E66" s="2">
        <f t="shared" si="1"/>
        <v>10954.915028125262</v>
      </c>
      <c r="F66" s="2"/>
      <c r="G66" s="2">
        <f t="shared" si="2"/>
        <v>-11183.221215612906</v>
      </c>
      <c r="H66" s="2">
        <f t="shared" si="3"/>
        <v>7864.745084375787</v>
      </c>
      <c r="I66" s="2"/>
      <c r="J66" s="2">
        <f t="shared" si="4"/>
        <v>877.85252292472887</v>
      </c>
      <c r="K66" s="2">
        <f t="shared" si="5"/>
        <v>-38090.169943749475</v>
      </c>
    </row>
    <row r="67" spans="1:16" x14ac:dyDescent="0.25">
      <c r="A67" s="2">
        <v>18</v>
      </c>
      <c r="B67" s="2">
        <f t="shared" si="6"/>
        <v>5.6548667764616276</v>
      </c>
      <c r="C67" s="2"/>
      <c r="D67" s="2">
        <f t="shared" si="0"/>
        <v>24045.084971874738</v>
      </c>
      <c r="E67" s="2">
        <f t="shared" si="1"/>
        <v>12061.073738537634</v>
      </c>
      <c r="F67" s="2"/>
      <c r="G67" s="2">
        <f t="shared" si="2"/>
        <v>-7864.7450843757906</v>
      </c>
      <c r="H67" s="2">
        <f t="shared" si="3"/>
        <v>11183.221215612899</v>
      </c>
      <c r="I67" s="2"/>
      <c r="J67" s="2">
        <f t="shared" si="4"/>
        <v>3090.1699437494735</v>
      </c>
      <c r="K67" s="2">
        <f t="shared" si="5"/>
        <v>-35877.852522924732</v>
      </c>
    </row>
    <row r="68" spans="1:16" x14ac:dyDescent="0.25">
      <c r="A68" s="2">
        <v>19</v>
      </c>
      <c r="B68" s="2">
        <f t="shared" si="6"/>
        <v>5.9690260418206069</v>
      </c>
      <c r="C68" s="2"/>
      <c r="D68" s="2">
        <f t="shared" si="0"/>
        <v>24755.282581475767</v>
      </c>
      <c r="E68" s="2">
        <f t="shared" si="1"/>
        <v>13454.915028125262</v>
      </c>
      <c r="F68" s="2"/>
      <c r="G68" s="2">
        <f t="shared" si="2"/>
        <v>-5734.152255572697</v>
      </c>
      <c r="H68" s="2">
        <f t="shared" si="3"/>
        <v>15364.745084375787</v>
      </c>
      <c r="I68" s="2"/>
      <c r="J68" s="2">
        <f t="shared" si="4"/>
        <v>4510.565162951536</v>
      </c>
      <c r="K68" s="2">
        <f t="shared" si="5"/>
        <v>-33090.169943749475</v>
      </c>
    </row>
    <row r="69" spans="1:16" x14ac:dyDescent="0.25">
      <c r="A69" s="2">
        <v>20</v>
      </c>
      <c r="B69" s="2">
        <f t="shared" si="6"/>
        <v>6.2831853071795862</v>
      </c>
      <c r="C69" s="2"/>
      <c r="D69" s="2">
        <f t="shared" si="0"/>
        <v>25000</v>
      </c>
      <c r="E69" s="2">
        <f t="shared" si="1"/>
        <v>14999.999999999998</v>
      </c>
      <c r="F69" s="2"/>
      <c r="G69" s="2">
        <f t="shared" si="2"/>
        <v>-5000</v>
      </c>
      <c r="H69" s="2">
        <f t="shared" si="3"/>
        <v>19999.999999999996</v>
      </c>
      <c r="I69" s="2"/>
      <c r="J69" s="2">
        <f t="shared" si="4"/>
        <v>5000</v>
      </c>
      <c r="K69" s="2">
        <f t="shared" si="5"/>
        <v>-30000.000000000004</v>
      </c>
    </row>
    <row r="73" spans="1:16" x14ac:dyDescent="0.25">
      <c r="A73" s="93" t="s">
        <v>74</v>
      </c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</row>
    <row r="74" spans="1:16" x14ac:dyDescent="0.25">
      <c r="A74" s="64"/>
      <c r="B74" s="67" t="s">
        <v>38</v>
      </c>
      <c r="C74" s="67"/>
      <c r="D74" s="67" t="s">
        <v>36</v>
      </c>
      <c r="E74" s="67"/>
      <c r="F74" s="67" t="s">
        <v>35</v>
      </c>
      <c r="G74" s="67"/>
      <c r="H74" s="67" t="s">
        <v>39</v>
      </c>
      <c r="I74" s="67"/>
      <c r="J74" s="67"/>
      <c r="K74" s="67" t="s">
        <v>40</v>
      </c>
      <c r="L74" s="67"/>
      <c r="M74" s="67"/>
      <c r="N74" s="67" t="s">
        <v>41</v>
      </c>
      <c r="O74" s="67"/>
      <c r="P74" s="67"/>
    </row>
    <row r="75" spans="1:16" ht="19.5" x14ac:dyDescent="0.35">
      <c r="A75" s="65" t="s">
        <v>34</v>
      </c>
      <c r="B75" s="66" t="s">
        <v>2</v>
      </c>
      <c r="C75" s="66" t="s">
        <v>3</v>
      </c>
      <c r="D75" s="66" t="s">
        <v>2</v>
      </c>
      <c r="E75" s="66" t="s">
        <v>3</v>
      </c>
      <c r="F75" s="66" t="s">
        <v>2</v>
      </c>
      <c r="G75" s="66" t="s">
        <v>3</v>
      </c>
      <c r="H75" s="66" t="s">
        <v>37</v>
      </c>
      <c r="I75" s="66" t="s">
        <v>72</v>
      </c>
      <c r="J75" s="66" t="s">
        <v>73</v>
      </c>
      <c r="K75" s="66" t="s">
        <v>75</v>
      </c>
      <c r="L75" s="66" t="s">
        <v>76</v>
      </c>
      <c r="M75" s="66" t="s">
        <v>77</v>
      </c>
      <c r="N75" s="66" t="s">
        <v>78</v>
      </c>
      <c r="O75" s="66" t="s">
        <v>79</v>
      </c>
      <c r="P75" s="66" t="s">
        <v>80</v>
      </c>
    </row>
    <row r="76" spans="1:16" ht="18.75" x14ac:dyDescent="0.3">
      <c r="A76" s="63">
        <v>0</v>
      </c>
      <c r="B76" s="3">
        <f>$D$11</f>
        <v>0</v>
      </c>
      <c r="C76" s="3">
        <f>$C$11</f>
        <v>0</v>
      </c>
      <c r="D76" s="3">
        <f>$C$12</f>
        <v>0</v>
      </c>
      <c r="E76" s="3">
        <f>$D$12</f>
        <v>0</v>
      </c>
      <c r="F76" s="3">
        <f>$C$13</f>
        <v>0</v>
      </c>
      <c r="G76" s="3">
        <f>$D$13</f>
        <v>0</v>
      </c>
      <c r="H76" s="3"/>
      <c r="I76" s="3"/>
      <c r="J76" s="3"/>
      <c r="K76" s="3"/>
      <c r="L76" s="3"/>
      <c r="M76" s="3"/>
      <c r="N76" s="3"/>
      <c r="O76" s="3"/>
      <c r="P76" s="3"/>
    </row>
    <row r="77" spans="1:16" x14ac:dyDescent="0.25">
      <c r="A77">
        <f>A76+$C$5</f>
        <v>0.5</v>
      </c>
      <c r="B77">
        <f>B76+D76*(A77-A76)+F76*(A77-A76)^2</f>
        <v>0</v>
      </c>
      <c r="C77">
        <f>C76+E76*(A77-A76)+G76*(A77-A76)^2</f>
        <v>0</v>
      </c>
      <c r="D77">
        <f>D76+F76*(A77-A76)</f>
        <v>0</v>
      </c>
      <c r="E77">
        <f>E76+G76*(A77-A76)</f>
        <v>0</v>
      </c>
      <c r="F77">
        <f>$C$23*(H77/(J77^2+$C$24^2)^1.5)+$C$32*(K77/(M77^2+$C$33^2)^1.5)+C$41*(N77/(P77^2+$C$42^2)^1.5)</f>
        <v>-8622.3263855223013</v>
      </c>
      <c r="G77">
        <f>$C$23*(I77/(J77^2+$C$24^2)^1.5)+$C$32*(L77/(M77^2+$C$33^2)^1.5)+C$41*(O77/(P77^2+$C$42^2)^1.5)</f>
        <v>5260.6126784698008</v>
      </c>
      <c r="H77" s="3">
        <f>$C$19-B77</f>
        <v>20000</v>
      </c>
      <c r="I77" s="3">
        <f>$D$19-C77</f>
        <v>15000</v>
      </c>
      <c r="J77" s="3">
        <f>SQRT(H77^2+I77^2)</f>
        <v>25000</v>
      </c>
      <c r="K77" s="3">
        <f>$C$28-B77</f>
        <v>-20000</v>
      </c>
      <c r="L77" s="3">
        <f>$D$28-C77</f>
        <v>20000</v>
      </c>
      <c r="M77" s="3">
        <f>SQRT(K77^2+L77^2)</f>
        <v>28284.2712474619</v>
      </c>
      <c r="N77" s="3">
        <f>$C$37-B77</f>
        <v>-5000</v>
      </c>
      <c r="O77" s="3">
        <f>$D$37-C77</f>
        <v>-30000</v>
      </c>
      <c r="P77" s="3">
        <f>SQRT(N77^2+O77^2)</f>
        <v>30413.812651491098</v>
      </c>
    </row>
    <row r="78" spans="1:16" x14ac:dyDescent="0.25">
      <c r="A78">
        <f>A77+$C$5</f>
        <v>1</v>
      </c>
      <c r="B78">
        <f t="shared" ref="B78:B141" si="7">B77+D77*(A78-A77)+F77*(A78-A77)^2</f>
        <v>-2155.5815963805753</v>
      </c>
      <c r="C78">
        <f t="shared" ref="C78:C141" si="8">C77+E77*(A78-A77)+G77*(A78-A77)^2</f>
        <v>1315.1531696174502</v>
      </c>
      <c r="D78">
        <f t="shared" ref="D78:D141" si="9">D77+F77*(A78-A77)</f>
        <v>-4311.1631927611506</v>
      </c>
      <c r="E78">
        <f t="shared" ref="E78:E141" si="10">E77+G77*(A78-A77)</f>
        <v>2630.3063392349004</v>
      </c>
      <c r="F78">
        <f>$C$23*(H78/(J78^2+$C$24^2)^1.5)+$C$32*(K78/(M78^2+$C$33^2)^1.5)+C$41*(N78/(P78^2+$C$42^2)^1.5)</f>
        <v>-9170.0808820705588</v>
      </c>
      <c r="G78">
        <f>$C$23*(I78/(J78^2+$C$24^2)^1.5)+$C$32*(L78/(M78^2+$C$33^2)^1.5)+C$41*(O78/(P78^2+$C$42^2)^1.5)</f>
        <v>6639.032170492872</v>
      </c>
      <c r="H78" s="3">
        <f t="shared" ref="H78:H141" si="11">$C$19-B78</f>
        <v>22155.581596380576</v>
      </c>
      <c r="I78" s="3">
        <f t="shared" ref="I78:I141" si="12">$D$19-C78</f>
        <v>13684.84683038255</v>
      </c>
      <c r="J78" s="3">
        <f t="shared" ref="J78:J141" si="13">SQRT(H78^2+I78^2)</f>
        <v>26041.214039382055</v>
      </c>
      <c r="K78" s="3">
        <f t="shared" ref="K78:K141" si="14">$C$28-B78</f>
        <v>-17844.418403619424</v>
      </c>
      <c r="L78" s="3">
        <f t="shared" ref="L78:L141" si="15">$D$28-C78</f>
        <v>18684.84683038255</v>
      </c>
      <c r="M78" s="3">
        <f t="shared" ref="M78:M141" si="16">SQRT(K78^2+L78^2)</f>
        <v>25836.926466557288</v>
      </c>
      <c r="N78" s="3">
        <f t="shared" ref="N78:N141" si="17">$C$37-B78</f>
        <v>-2844.4184036194247</v>
      </c>
      <c r="O78" s="3">
        <f t="shared" ref="O78:O141" si="18">$D$37-C78</f>
        <v>-31315.15316961745</v>
      </c>
      <c r="P78" s="3">
        <f t="shared" ref="P78:P141" si="19">SQRT(N78^2+O78^2)</f>
        <v>31444.069935227068</v>
      </c>
    </row>
    <row r="79" spans="1:16" x14ac:dyDescent="0.25">
      <c r="A79">
        <f t="shared" ref="A79:A141" si="20">A78+$C$5</f>
        <v>1.5</v>
      </c>
      <c r="B79">
        <f t="shared" si="7"/>
        <v>-6603.6834132787899</v>
      </c>
      <c r="C79">
        <f t="shared" si="8"/>
        <v>4290.0643818581184</v>
      </c>
      <c r="D79">
        <f t="shared" si="9"/>
        <v>-8896.2036337964309</v>
      </c>
      <c r="E79">
        <f t="shared" si="10"/>
        <v>5949.8224244813364</v>
      </c>
      <c r="F79">
        <f>$C$23*(H79/(J79^2+$C$24^2)^1.5)+$C$32*(K79/(M79^2+$C$33^2)^1.5)+C$41*(N79/(P79^2+$C$42^2)^1.5)</f>
        <v>-10683.365694980706</v>
      </c>
      <c r="G79">
        <f>$C$23*(I79/(J79^2+$C$24^2)^1.5)+$C$32*(L79/(M79^2+$C$33^2)^1.5)+C$41*(O79/(P79^2+$C$42^2)^1.5)</f>
        <v>10447.799268034509</v>
      </c>
      <c r="H79" s="3">
        <f t="shared" si="11"/>
        <v>26603.683413278792</v>
      </c>
      <c r="I79" s="3">
        <f t="shared" si="12"/>
        <v>10709.935618141881</v>
      </c>
      <c r="J79" s="3">
        <f t="shared" si="13"/>
        <v>28678.540620099713</v>
      </c>
      <c r="K79" s="3">
        <f t="shared" si="14"/>
        <v>-13396.31658672121</v>
      </c>
      <c r="L79" s="3">
        <f t="shared" si="15"/>
        <v>15709.935618141881</v>
      </c>
      <c r="M79" s="3">
        <f t="shared" si="16"/>
        <v>20646.146740198878</v>
      </c>
      <c r="N79" s="3">
        <f t="shared" si="17"/>
        <v>1603.6834132787899</v>
      </c>
      <c r="O79" s="3">
        <f t="shared" si="18"/>
        <v>-34290.064381858116</v>
      </c>
      <c r="P79" s="3">
        <f t="shared" si="19"/>
        <v>34327.544564125179</v>
      </c>
    </row>
    <row r="80" spans="1:16" x14ac:dyDescent="0.25">
      <c r="A80">
        <f t="shared" si="20"/>
        <v>2</v>
      </c>
      <c r="B80">
        <f>B79+D79*(A80-A79)+F79*(A80-A79)^2</f>
        <v>-13722.626653922182</v>
      </c>
      <c r="C80">
        <f t="shared" si="8"/>
        <v>9876.9254111074151</v>
      </c>
      <c r="D80">
        <f t="shared" si="9"/>
        <v>-14237.886481286783</v>
      </c>
      <c r="E80">
        <f t="shared" si="10"/>
        <v>11173.722058498592</v>
      </c>
      <c r="F80">
        <f>$C$23*(H80/(J80^2+$C$24^2)^1.5)+$C$32*(K80/(M80^2+$C$33^2)^1.5)+C$41*(N80/(P80^2+$C$42^2)^1.5)</f>
        <v>-11705.285077602155</v>
      </c>
      <c r="G80">
        <f>$C$23*(I80/(J80^2+$C$24^2)^1.5)+$C$32*(L80/(M80^2+$C$33^2)^1.5)+C$41*(O80/(P80^2+$C$42^2)^1.5)</f>
        <v>18180.254441616988</v>
      </c>
      <c r="H80" s="3">
        <f t="shared" si="11"/>
        <v>33722.626653922183</v>
      </c>
      <c r="I80" s="3">
        <f t="shared" si="12"/>
        <v>5123.0745888925849</v>
      </c>
      <c r="J80" s="3">
        <f t="shared" si="13"/>
        <v>34109.550593392167</v>
      </c>
      <c r="K80" s="3">
        <f t="shared" si="14"/>
        <v>-6277.3733460778185</v>
      </c>
      <c r="L80" s="3">
        <f t="shared" si="15"/>
        <v>10123.074588892585</v>
      </c>
      <c r="M80" s="3">
        <f t="shared" si="16"/>
        <v>11911.425408335101</v>
      </c>
      <c r="N80" s="3">
        <f t="shared" si="17"/>
        <v>8722.6266539221815</v>
      </c>
      <c r="O80" s="3">
        <f t="shared" si="18"/>
        <v>-39876.925411107411</v>
      </c>
      <c r="P80" s="3">
        <f t="shared" si="19"/>
        <v>40819.767221123861</v>
      </c>
    </row>
    <row r="81" spans="1:16" x14ac:dyDescent="0.25">
      <c r="A81">
        <f t="shared" si="20"/>
        <v>2.5</v>
      </c>
      <c r="B81">
        <f t="shared" si="7"/>
        <v>-23767.891163966113</v>
      </c>
      <c r="C81">
        <f t="shared" si="8"/>
        <v>20008.850050760957</v>
      </c>
      <c r="D81">
        <f t="shared" si="9"/>
        <v>-20090.529020087859</v>
      </c>
      <c r="E81">
        <f>E80+G80*(A81-A80)</f>
        <v>20263.849279307084</v>
      </c>
      <c r="F81">
        <f>$C$23*(H81/(J81^2+$C$24^2)^1.5)+$C$32*(K81/(M81^2+$C$33^2)^1.5)+C$41*(N81/(P81^2+$C$42^2)^1.5)</f>
        <v>15151.642434373973</v>
      </c>
      <c r="G81">
        <f>$C$23*(I81/(J81^2+$C$24^2)^1.5)+$C$32*(L81/(M81^2+$C$33^2)^1.5)+C$41*(O81/(P81^2+$C$42^2)^1.5)</f>
        <v>-1369.2236359794417</v>
      </c>
      <c r="H81" s="3">
        <f t="shared" si="11"/>
        <v>43767.891163966109</v>
      </c>
      <c r="I81" s="3">
        <f t="shared" si="12"/>
        <v>-5008.8500507609569</v>
      </c>
      <c r="J81" s="3">
        <f t="shared" si="13"/>
        <v>44053.568252433201</v>
      </c>
      <c r="K81" s="3">
        <f t="shared" si="14"/>
        <v>3767.8911639661128</v>
      </c>
      <c r="L81" s="3">
        <f t="shared" si="15"/>
        <v>-8.8500507609569468</v>
      </c>
      <c r="M81" s="3">
        <f t="shared" si="16"/>
        <v>3767.9015574842688</v>
      </c>
      <c r="N81" s="3">
        <f t="shared" si="17"/>
        <v>18767.891163966113</v>
      </c>
      <c r="O81" s="3">
        <f t="shared" si="18"/>
        <v>-50008.850050760957</v>
      </c>
      <c r="P81" s="3">
        <f t="shared" si="19"/>
        <v>53414.593718776625</v>
      </c>
    </row>
    <row r="82" spans="1:16" x14ac:dyDescent="0.25">
      <c r="A82">
        <f t="shared" si="20"/>
        <v>3</v>
      </c>
      <c r="B82">
        <f t="shared" si="7"/>
        <v>-30025.245065416548</v>
      </c>
      <c r="C82">
        <f t="shared" si="8"/>
        <v>29798.468781419637</v>
      </c>
      <c r="D82">
        <f t="shared" si="9"/>
        <v>-12514.707802900874</v>
      </c>
      <c r="E82">
        <f t="shared" si="10"/>
        <v>19579.237461317363</v>
      </c>
      <c r="F82">
        <f>$C$23*(H82/(J82^2+$C$24^2)^1.5)+$C$32*(K82/(M82^2+$C$33^2)^1.5)+C$41*(N82/(P82^2+$C$42^2)^1.5)</f>
        <v>16930.563037503252</v>
      </c>
      <c r="G82">
        <f>$C$23*(I82/(J82^2+$C$24^2)^1.5)+$C$32*(L82/(M82^2+$C$33^2)^1.5)+C$41*(O82/(P82^2+$C$42^2)^1.5)</f>
        <v>-16948.150993058684</v>
      </c>
      <c r="H82" s="3">
        <f t="shared" si="11"/>
        <v>50025.245065416544</v>
      </c>
      <c r="I82" s="3">
        <f t="shared" si="12"/>
        <v>-14798.468781419637</v>
      </c>
      <c r="J82" s="3">
        <f t="shared" si="13"/>
        <v>52168.187836358986</v>
      </c>
      <c r="K82" s="3">
        <f t="shared" si="14"/>
        <v>10025.245065416548</v>
      </c>
      <c r="L82" s="3">
        <f t="shared" si="15"/>
        <v>-9798.4687814196368</v>
      </c>
      <c r="M82" s="3">
        <f t="shared" si="16"/>
        <v>14018.399661948366</v>
      </c>
      <c r="N82" s="3">
        <f t="shared" si="17"/>
        <v>25025.245065416548</v>
      </c>
      <c r="O82" s="3">
        <f t="shared" si="18"/>
        <v>-59798.468781419637</v>
      </c>
      <c r="P82" s="3">
        <f t="shared" si="19"/>
        <v>64823.75921825711</v>
      </c>
    </row>
    <row r="83" spans="1:16" x14ac:dyDescent="0.25">
      <c r="A83">
        <f t="shared" si="20"/>
        <v>3.5</v>
      </c>
      <c r="B83">
        <f t="shared" si="7"/>
        <v>-32049.958207491174</v>
      </c>
      <c r="C83">
        <f t="shared" si="8"/>
        <v>35351.049763813644</v>
      </c>
      <c r="D83">
        <f t="shared" si="9"/>
        <v>-4049.4262841492473</v>
      </c>
      <c r="E83">
        <f t="shared" si="10"/>
        <v>11105.161964788022</v>
      </c>
      <c r="F83">
        <f>$C$23*(H83/(J83^2+$C$24^2)^1.5)+$C$32*(K83/(M83^2+$C$33^2)^1.5)+C$41*(N83/(P83^2+$C$42^2)^1.5)</f>
        <v>11888.500896030897</v>
      </c>
      <c r="G83">
        <f>$C$23*(I83/(J83^2+$C$24^2)^1.5)+$C$32*(L83/(M83^2+$C$33^2)^1.5)+C$41*(O83/(P83^2+$C$42^2)^1.5)</f>
        <v>-15364.159432001463</v>
      </c>
      <c r="H83" s="3">
        <f t="shared" si="11"/>
        <v>52049.958207491174</v>
      </c>
      <c r="I83" s="3">
        <f t="shared" si="12"/>
        <v>-20351.049763813644</v>
      </c>
      <c r="J83" s="3">
        <f t="shared" si="13"/>
        <v>55887.05910933941</v>
      </c>
      <c r="K83" s="3">
        <f t="shared" si="14"/>
        <v>12049.958207491174</v>
      </c>
      <c r="L83" s="3">
        <f t="shared" si="15"/>
        <v>-15351.049763813644</v>
      </c>
      <c r="M83" s="3">
        <f t="shared" si="16"/>
        <v>19515.537954495816</v>
      </c>
      <c r="N83" s="3">
        <f t="shared" si="17"/>
        <v>27049.958207491174</v>
      </c>
      <c r="O83" s="3">
        <f t="shared" si="18"/>
        <v>-65351.049763813644</v>
      </c>
      <c r="P83" s="3">
        <f t="shared" si="19"/>
        <v>70728.070412386238</v>
      </c>
    </row>
    <row r="84" spans="1:16" x14ac:dyDescent="0.25">
      <c r="A84">
        <f t="shared" si="20"/>
        <v>4</v>
      </c>
      <c r="B84">
        <f t="shared" si="7"/>
        <v>-31102.546125558074</v>
      </c>
      <c r="C84">
        <f t="shared" si="8"/>
        <v>37062.590888207284</v>
      </c>
      <c r="D84">
        <f t="shared" si="9"/>
        <v>1894.8241638662012</v>
      </c>
      <c r="E84">
        <f t="shared" si="10"/>
        <v>3423.0822487872902</v>
      </c>
      <c r="F84">
        <f>$C$23*(H84/(J84^2+$C$24^2)^1.5)+$C$32*(K84/(M84^2+$C$33^2)^1.5)+C$41*(N84/(P84^2+$C$42^2)^1.5)</f>
        <v>10146.333912524251</v>
      </c>
      <c r="G84">
        <f>$C$23*(I84/(J84^2+$C$24^2)^1.5)+$C$32*(L84/(M84^2+$C$33^2)^1.5)+C$41*(O84/(P84^2+$C$42^2)^1.5)</f>
        <v>-15717.977320582877</v>
      </c>
      <c r="H84" s="3">
        <f t="shared" si="11"/>
        <v>51102.546125558074</v>
      </c>
      <c r="I84" s="3">
        <f t="shared" si="12"/>
        <v>-22062.590888207284</v>
      </c>
      <c r="J84" s="3">
        <f t="shared" si="13"/>
        <v>55661.729556448365</v>
      </c>
      <c r="K84" s="3">
        <f t="shared" si="14"/>
        <v>11102.546125558074</v>
      </c>
      <c r="L84" s="3">
        <f t="shared" si="15"/>
        <v>-17062.590888207284</v>
      </c>
      <c r="M84" s="3">
        <f t="shared" si="16"/>
        <v>20356.781137706395</v>
      </c>
      <c r="N84" s="3">
        <f t="shared" si="17"/>
        <v>26102.546125558074</v>
      </c>
      <c r="O84" s="3">
        <f t="shared" si="18"/>
        <v>-67062.590888207284</v>
      </c>
      <c r="P84" s="3">
        <f t="shared" si="19"/>
        <v>71963.421339427368</v>
      </c>
    </row>
    <row r="85" spans="1:16" x14ac:dyDescent="0.25">
      <c r="A85">
        <f t="shared" si="20"/>
        <v>4.5</v>
      </c>
      <c r="B85">
        <f t="shared" si="7"/>
        <v>-27618.550565493912</v>
      </c>
      <c r="C85">
        <f t="shared" si="8"/>
        <v>34844.637682455214</v>
      </c>
      <c r="D85">
        <f t="shared" si="9"/>
        <v>6967.9911201283267</v>
      </c>
      <c r="E85">
        <f t="shared" si="10"/>
        <v>-4435.9064115041483</v>
      </c>
      <c r="F85">
        <f>$C$23*(H85/(J85^2+$C$24^2)^1.5)+$C$32*(K85/(M85^2+$C$33^2)^1.5)+C$41*(N85/(P85^2+$C$42^2)^1.5)</f>
        <v>9998.3304196932077</v>
      </c>
      <c r="G85">
        <f>$C$23*(I85/(J85^2+$C$24^2)^1.5)+$C$32*(L85/(M85^2+$C$33^2)^1.5)+C$41*(O85/(P85^2+$C$42^2)^1.5)</f>
        <v>-19467.620503846862</v>
      </c>
      <c r="H85" s="3">
        <f t="shared" si="11"/>
        <v>47618.550565493912</v>
      </c>
      <c r="I85" s="3">
        <f t="shared" si="12"/>
        <v>-19844.637682455214</v>
      </c>
      <c r="J85" s="3">
        <f t="shared" si="13"/>
        <v>51588.138197713844</v>
      </c>
      <c r="K85" s="3">
        <f t="shared" si="14"/>
        <v>7618.5505654939116</v>
      </c>
      <c r="L85" s="3">
        <f t="shared" si="15"/>
        <v>-14844.637682455214</v>
      </c>
      <c r="M85" s="3">
        <f t="shared" si="16"/>
        <v>16685.49012292887</v>
      </c>
      <c r="N85" s="3">
        <f t="shared" si="17"/>
        <v>22618.550565493912</v>
      </c>
      <c r="O85" s="3">
        <f t="shared" si="18"/>
        <v>-64844.637682455214</v>
      </c>
      <c r="P85" s="3">
        <f t="shared" si="19"/>
        <v>68676.239456253679</v>
      </c>
    </row>
    <row r="86" spans="1:16" x14ac:dyDescent="0.25">
      <c r="A86">
        <f t="shared" si="20"/>
        <v>5</v>
      </c>
      <c r="B86">
        <f t="shared" si="7"/>
        <v>-21634.972400506449</v>
      </c>
      <c r="C86">
        <f t="shared" si="8"/>
        <v>27759.779350741424</v>
      </c>
      <c r="D86">
        <f t="shared" si="9"/>
        <v>11967.15632997493</v>
      </c>
      <c r="E86">
        <f t="shared" si="10"/>
        <v>-14169.716663427578</v>
      </c>
      <c r="F86">
        <f>$C$23*(H86/(J86^2+$C$24^2)^1.5)+$C$32*(K86/(M86^2+$C$33^2)^1.5)+C$41*(N86/(P86^2+$C$42^2)^1.5)</f>
        <v>5298.7919724174026</v>
      </c>
      <c r="G86">
        <f>$C$23*(I86/(J86^2+$C$24^2)^1.5)+$C$32*(L86/(M86^2+$C$33^2)^1.5)+C$41*(O86/(P86^2+$C$42^2)^1.5)</f>
        <v>-23607.093685369564</v>
      </c>
      <c r="H86" s="3">
        <f t="shared" si="11"/>
        <v>41634.972400506449</v>
      </c>
      <c r="I86" s="3">
        <f t="shared" si="12"/>
        <v>-12759.779350741424</v>
      </c>
      <c r="J86" s="3">
        <f t="shared" si="13"/>
        <v>43546.330452410584</v>
      </c>
      <c r="K86" s="3">
        <f t="shared" si="14"/>
        <v>1634.972400506449</v>
      </c>
      <c r="L86" s="3">
        <f t="shared" si="15"/>
        <v>-7759.7793507414244</v>
      </c>
      <c r="M86" s="3">
        <f t="shared" si="16"/>
        <v>7930.1519734876974</v>
      </c>
      <c r="N86" s="3">
        <f t="shared" si="17"/>
        <v>16634.972400506449</v>
      </c>
      <c r="O86" s="3">
        <f t="shared" si="18"/>
        <v>-57759.779350741424</v>
      </c>
      <c r="P86" s="3">
        <f t="shared" si="19"/>
        <v>60107.523800369177</v>
      </c>
    </row>
    <row r="87" spans="1:16" x14ac:dyDescent="0.25">
      <c r="A87">
        <f t="shared" si="20"/>
        <v>5.5</v>
      </c>
      <c r="B87">
        <f t="shared" si="7"/>
        <v>-14326.696242414633</v>
      </c>
      <c r="C87">
        <f t="shared" si="8"/>
        <v>14773.147597685245</v>
      </c>
      <c r="D87">
        <f t="shared" si="9"/>
        <v>14616.552316183632</v>
      </c>
      <c r="E87">
        <f t="shared" si="10"/>
        <v>-25973.263506112358</v>
      </c>
      <c r="F87">
        <f>$C$23*(H87/(J87^2+$C$24^2)^1.5)+$C$32*(K87/(M87^2+$C$33^2)^1.5)+C$41*(N87/(P87^2+$C$42^2)^1.5)</f>
        <v>-15901.901465969138</v>
      </c>
      <c r="G87">
        <f>$C$23*(I87/(J87^2+$C$24^2)^1.5)+$C$32*(L87/(M87^2+$C$33^2)^1.5)+C$41*(O87/(P87^2+$C$42^2)^1.5)</f>
        <v>13572.934864160772</v>
      </c>
      <c r="H87" s="3">
        <f t="shared" si="11"/>
        <v>34326.696242414633</v>
      </c>
      <c r="I87" s="3">
        <f t="shared" si="12"/>
        <v>226.85240231475473</v>
      </c>
      <c r="J87" s="3">
        <f t="shared" si="13"/>
        <v>34327.445825919509</v>
      </c>
      <c r="K87" s="3">
        <f t="shared" si="14"/>
        <v>-5673.3037575853668</v>
      </c>
      <c r="L87" s="3">
        <f t="shared" si="15"/>
        <v>5226.8524023147547</v>
      </c>
      <c r="M87" s="3">
        <f t="shared" si="16"/>
        <v>7714.0366580290347</v>
      </c>
      <c r="N87" s="3">
        <f t="shared" si="17"/>
        <v>9326.6962424146332</v>
      </c>
      <c r="O87" s="3">
        <f t="shared" si="18"/>
        <v>-44773.147597685245</v>
      </c>
      <c r="P87" s="3">
        <f t="shared" si="19"/>
        <v>45734.254215001463</v>
      </c>
    </row>
    <row r="88" spans="1:16" x14ac:dyDescent="0.25">
      <c r="A88">
        <f t="shared" si="20"/>
        <v>6</v>
      </c>
      <c r="B88">
        <f t="shared" si="7"/>
        <v>-10993.895450815102</v>
      </c>
      <c r="C88">
        <f t="shared" si="8"/>
        <v>5179.7495606692592</v>
      </c>
      <c r="D88">
        <f t="shared" si="9"/>
        <v>6665.6015831990626</v>
      </c>
      <c r="E88">
        <f t="shared" si="10"/>
        <v>-19186.796074031972</v>
      </c>
      <c r="F88">
        <f>$C$23*(H88/(J88^2+$C$24^2)^1.5)+$C$32*(K88/(M88^2+$C$33^2)^1.5)+C$41*(N88/(P88^2+$C$42^2)^1.5)</f>
        <v>-9612.4816814236437</v>
      </c>
      <c r="G88">
        <f>$C$23*(I88/(J88^2+$C$24^2)^1.5)+$C$32*(L88/(M88^2+$C$33^2)^1.5)+C$41*(O88/(P88^2+$C$42^2)^1.5)</f>
        <v>14629.640706111884</v>
      </c>
      <c r="H88" s="3">
        <f t="shared" si="11"/>
        <v>30993.8954508151</v>
      </c>
      <c r="I88" s="3">
        <f t="shared" si="12"/>
        <v>9820.2504393307408</v>
      </c>
      <c r="J88" s="3">
        <f t="shared" si="13"/>
        <v>32512.441832431359</v>
      </c>
      <c r="K88" s="3">
        <f t="shared" si="14"/>
        <v>-9006.1045491848981</v>
      </c>
      <c r="L88" s="3">
        <f t="shared" si="15"/>
        <v>14820.250439330741</v>
      </c>
      <c r="M88" s="3">
        <f t="shared" si="16"/>
        <v>17342.137764281888</v>
      </c>
      <c r="N88" s="3">
        <f t="shared" si="17"/>
        <v>5993.8954508151019</v>
      </c>
      <c r="O88" s="3">
        <f t="shared" si="18"/>
        <v>-35179.749560669261</v>
      </c>
      <c r="P88" s="3">
        <f t="shared" si="19"/>
        <v>35686.714079986559</v>
      </c>
    </row>
    <row r="89" spans="1:16" x14ac:dyDescent="0.25">
      <c r="A89">
        <f t="shared" si="20"/>
        <v>6.5</v>
      </c>
      <c r="B89">
        <f t="shared" si="7"/>
        <v>-10064.215079571481</v>
      </c>
      <c r="C89">
        <f t="shared" si="8"/>
        <v>-756.23829981875588</v>
      </c>
      <c r="D89">
        <f t="shared" si="9"/>
        <v>1859.3607424872407</v>
      </c>
      <c r="E89">
        <f t="shared" si="10"/>
        <v>-11871.97572097603</v>
      </c>
      <c r="F89">
        <f>$C$23*(H89/(J89^2+$C$24^2)^1.5)+$C$32*(K89/(M89^2+$C$33^2)^1.5)+C$41*(N89/(P89^2+$C$42^2)^1.5)</f>
        <v>-5696.7013737234884</v>
      </c>
      <c r="G89">
        <f>$C$23*(I89/(J89^2+$C$24^2)^1.5)+$C$32*(L89/(M89^2+$C$33^2)^1.5)+C$41*(O89/(P89^2+$C$42^2)^1.5)</f>
        <v>10374.081953320876</v>
      </c>
      <c r="H89" s="3">
        <f t="shared" si="11"/>
        <v>30064.215079571481</v>
      </c>
      <c r="I89" s="3">
        <f t="shared" si="12"/>
        <v>15756.238299818757</v>
      </c>
      <c r="J89" s="3">
        <f t="shared" si="13"/>
        <v>33942.835381143523</v>
      </c>
      <c r="K89" s="3">
        <f t="shared" si="14"/>
        <v>-9935.7849204285194</v>
      </c>
      <c r="L89" s="3">
        <f t="shared" si="15"/>
        <v>20756.238299818757</v>
      </c>
      <c r="M89" s="3">
        <f t="shared" si="16"/>
        <v>23011.763303664451</v>
      </c>
      <c r="N89" s="3">
        <f t="shared" si="17"/>
        <v>5064.2150795714806</v>
      </c>
      <c r="O89" s="3">
        <f t="shared" si="18"/>
        <v>-29243.761700181243</v>
      </c>
      <c r="P89" s="3">
        <f t="shared" si="19"/>
        <v>29679.014012415348</v>
      </c>
    </row>
    <row r="90" spans="1:16" x14ac:dyDescent="0.25">
      <c r="A90">
        <f t="shared" si="20"/>
        <v>7</v>
      </c>
      <c r="B90">
        <f t="shared" si="7"/>
        <v>-10558.710051758733</v>
      </c>
      <c r="C90">
        <f t="shared" si="8"/>
        <v>-4098.7056719765515</v>
      </c>
      <c r="D90">
        <f t="shared" si="9"/>
        <v>-988.98994437450347</v>
      </c>
      <c r="E90">
        <f t="shared" si="10"/>
        <v>-6684.9347443155921</v>
      </c>
      <c r="F90">
        <f>$C$23*(H90/(J90^2+$C$24^2)^1.5)+$C$32*(K90/(M90^2+$C$33^2)^1.5)+C$41*(N90/(P90^2+$C$42^2)^1.5)</f>
        <v>-3627.9986469920996</v>
      </c>
      <c r="G90">
        <f>$C$23*(I90/(J90^2+$C$24^2)^1.5)+$C$32*(L90/(M90^2+$C$33^2)^1.5)+C$41*(O90/(P90^2+$C$42^2)^1.5)</f>
        <v>8155.1214721163497</v>
      </c>
      <c r="H90" s="3">
        <f t="shared" si="11"/>
        <v>30558.710051758731</v>
      </c>
      <c r="I90" s="3">
        <f t="shared" si="12"/>
        <v>19098.705671976553</v>
      </c>
      <c r="J90" s="3">
        <f t="shared" si="13"/>
        <v>36036.028060432101</v>
      </c>
      <c r="K90" s="3">
        <f t="shared" si="14"/>
        <v>-9441.2899482412668</v>
      </c>
      <c r="L90" s="3">
        <f t="shared" si="15"/>
        <v>24098.705671976553</v>
      </c>
      <c r="M90" s="3">
        <f t="shared" si="16"/>
        <v>25882.147726788757</v>
      </c>
      <c r="N90" s="3">
        <f t="shared" si="17"/>
        <v>5558.7100517587332</v>
      </c>
      <c r="O90" s="3">
        <f t="shared" si="18"/>
        <v>-25901.294328023447</v>
      </c>
      <c r="P90" s="3">
        <f t="shared" si="19"/>
        <v>26491.060856568638</v>
      </c>
    </row>
    <row r="91" spans="1:16" x14ac:dyDescent="0.25">
      <c r="A91">
        <f t="shared" si="20"/>
        <v>7.5</v>
      </c>
      <c r="B91">
        <f t="shared" si="7"/>
        <v>-11960.204685694011</v>
      </c>
      <c r="C91">
        <f t="shared" si="8"/>
        <v>-5402.3926761052608</v>
      </c>
      <c r="D91">
        <f t="shared" si="9"/>
        <v>-2802.9892678705532</v>
      </c>
      <c r="E91">
        <f t="shared" si="10"/>
        <v>-2607.3740082574172</v>
      </c>
      <c r="F91">
        <f>$C$23*(H91/(J91^2+$C$24^2)^1.5)+$C$32*(K91/(M91^2+$C$33^2)^1.5)+C$41*(N91/(P91^2+$C$42^2)^1.5)</f>
        <v>-2267.2536882831205</v>
      </c>
      <c r="G91">
        <f>$C$23*(I91/(J91^2+$C$24^2)^1.5)+$C$32*(L91/(M91^2+$C$33^2)^1.5)+C$41*(O91/(P91^2+$C$42^2)^1.5)</f>
        <v>7771.8500727902228</v>
      </c>
      <c r="H91" s="3">
        <f t="shared" si="11"/>
        <v>31960.204685694011</v>
      </c>
      <c r="I91" s="3">
        <f t="shared" si="12"/>
        <v>20402.392676105261</v>
      </c>
      <c r="J91" s="3">
        <f t="shared" si="13"/>
        <v>37917.176984335885</v>
      </c>
      <c r="K91" s="3">
        <f t="shared" si="14"/>
        <v>-8039.7953143059895</v>
      </c>
      <c r="L91" s="3">
        <f t="shared" si="15"/>
        <v>25402.392676105261</v>
      </c>
      <c r="M91" s="3">
        <f t="shared" si="16"/>
        <v>26644.321390626235</v>
      </c>
      <c r="N91" s="3">
        <f t="shared" si="17"/>
        <v>6960.2046856940105</v>
      </c>
      <c r="O91" s="3">
        <f t="shared" si="18"/>
        <v>-24597.607323894739</v>
      </c>
      <c r="P91" s="3">
        <f t="shared" si="19"/>
        <v>25563.386616942542</v>
      </c>
    </row>
    <row r="92" spans="1:16" x14ac:dyDescent="0.25">
      <c r="A92">
        <f t="shared" si="20"/>
        <v>8</v>
      </c>
      <c r="B92">
        <f t="shared" si="7"/>
        <v>-13928.512741700068</v>
      </c>
      <c r="C92">
        <f t="shared" si="8"/>
        <v>-4763.117162036413</v>
      </c>
      <c r="D92">
        <f t="shared" si="9"/>
        <v>-3936.6161120121133</v>
      </c>
      <c r="E92">
        <f t="shared" si="10"/>
        <v>1278.5510281376942</v>
      </c>
      <c r="F92">
        <f>$C$23*(H92/(J92^2+$C$24^2)^1.5)+$C$32*(K92/(M92^2+$C$33^2)^1.5)+C$41*(N92/(P92^2+$C$42^2)^1.5)</f>
        <v>-1426.6924159813545</v>
      </c>
      <c r="G92">
        <f>$C$23*(I92/(J92^2+$C$24^2)^1.5)+$C$32*(L92/(M92^2+$C$33^2)^1.5)+C$41*(O92/(P92^2+$C$42^2)^1.5)</f>
        <v>9160.7280533171324</v>
      </c>
      <c r="H92" s="3">
        <f t="shared" si="11"/>
        <v>33928.512741700069</v>
      </c>
      <c r="I92" s="3">
        <f t="shared" si="12"/>
        <v>19763.117162036411</v>
      </c>
      <c r="J92" s="3">
        <f t="shared" si="13"/>
        <v>39264.803282635738</v>
      </c>
      <c r="K92" s="3">
        <f t="shared" si="14"/>
        <v>-6071.4872582999324</v>
      </c>
      <c r="L92" s="3">
        <f t="shared" si="15"/>
        <v>24763.117162036411</v>
      </c>
      <c r="M92" s="3">
        <f t="shared" si="16"/>
        <v>25496.567006333236</v>
      </c>
      <c r="N92" s="3">
        <f t="shared" si="17"/>
        <v>8928.5127417000676</v>
      </c>
      <c r="O92" s="3">
        <f t="shared" si="18"/>
        <v>-25236.882837963589</v>
      </c>
      <c r="P92" s="3">
        <f t="shared" si="19"/>
        <v>26769.732818162411</v>
      </c>
    </row>
    <row r="93" spans="1:16" x14ac:dyDescent="0.25">
      <c r="A93">
        <f t="shared" si="20"/>
        <v>8.5</v>
      </c>
      <c r="B93">
        <f t="shared" si="7"/>
        <v>-16253.493901701464</v>
      </c>
      <c r="C93">
        <f t="shared" si="8"/>
        <v>-1833.659634638283</v>
      </c>
      <c r="D93">
        <f t="shared" si="9"/>
        <v>-4649.9623200027909</v>
      </c>
      <c r="E93">
        <f t="shared" si="10"/>
        <v>5858.9150547962599</v>
      </c>
      <c r="F93">
        <f>$C$23*(H93/(J93^2+$C$24^2)^1.5)+$C$32*(K93/(M93^2+$C$33^2)^1.5)+C$41*(N93/(P93^2+$C$42^2)^1.5)</f>
        <v>-1028.5367792434765</v>
      </c>
      <c r="G93">
        <f>$C$23*(I93/(J93^2+$C$24^2)^1.5)+$C$32*(L93/(M93^2+$C$33^2)^1.5)+C$41*(O93/(P93^2+$C$42^2)^1.5)</f>
        <v>12632.498486153258</v>
      </c>
      <c r="H93" s="3">
        <f t="shared" si="11"/>
        <v>36253.493901701462</v>
      </c>
      <c r="I93" s="3">
        <f t="shared" si="12"/>
        <v>16833.659634638283</v>
      </c>
      <c r="J93" s="3">
        <f t="shared" si="13"/>
        <v>39971.088511267182</v>
      </c>
      <c r="K93" s="3">
        <f t="shared" si="14"/>
        <v>-3746.506098298536</v>
      </c>
      <c r="L93" s="3">
        <f t="shared" si="15"/>
        <v>21833.659634638283</v>
      </c>
      <c r="M93" s="3">
        <f t="shared" si="16"/>
        <v>22152.765086684354</v>
      </c>
      <c r="N93" s="3">
        <f t="shared" si="17"/>
        <v>11253.493901701464</v>
      </c>
      <c r="O93" s="3">
        <f t="shared" si="18"/>
        <v>-28166.340365361717</v>
      </c>
      <c r="P93" s="3">
        <f t="shared" si="19"/>
        <v>30331.235625556648</v>
      </c>
    </row>
    <row r="94" spans="1:16" x14ac:dyDescent="0.25">
      <c r="A94">
        <f t="shared" si="20"/>
        <v>9</v>
      </c>
      <c r="B94">
        <f t="shared" si="7"/>
        <v>-18835.609256513726</v>
      </c>
      <c r="C94">
        <f t="shared" si="8"/>
        <v>4253.9225142981613</v>
      </c>
      <c r="D94">
        <f t="shared" si="9"/>
        <v>-5164.2307096245295</v>
      </c>
      <c r="E94">
        <f t="shared" si="10"/>
        <v>12175.164297872889</v>
      </c>
      <c r="F94">
        <f>$C$23*(H94/(J94^2+$C$24^2)^1.5)+$C$32*(K94/(M94^2+$C$33^2)^1.5)+C$41*(N94/(P94^2+$C$42^2)^1.5)</f>
        <v>-256.07285227742273</v>
      </c>
      <c r="G94">
        <f>$C$23*(I94/(J94^2+$C$24^2)^1.5)+$C$32*(L94/(M94^2+$C$33^2)^1.5)+C$41*(O94/(P94^2+$C$42^2)^1.5)</f>
        <v>19075.318069108424</v>
      </c>
      <c r="H94" s="3">
        <f t="shared" si="11"/>
        <v>38835.609256513722</v>
      </c>
      <c r="I94" s="3">
        <f t="shared" si="12"/>
        <v>10746.077485701839</v>
      </c>
      <c r="J94" s="3">
        <f t="shared" si="13"/>
        <v>40294.946676392588</v>
      </c>
      <c r="K94" s="3">
        <f t="shared" si="14"/>
        <v>-1164.390743486274</v>
      </c>
      <c r="L94" s="3">
        <f t="shared" si="15"/>
        <v>15746.077485701839</v>
      </c>
      <c r="M94" s="3">
        <f t="shared" si="16"/>
        <v>15789.070966628875</v>
      </c>
      <c r="N94" s="3">
        <f t="shared" si="17"/>
        <v>13835.609256513726</v>
      </c>
      <c r="O94" s="3">
        <f t="shared" si="18"/>
        <v>-34253.92251429816</v>
      </c>
      <c r="P94" s="3">
        <f t="shared" si="19"/>
        <v>36942.594536855024</v>
      </c>
    </row>
    <row r="95" spans="1:16" x14ac:dyDescent="0.25">
      <c r="A95">
        <f t="shared" si="20"/>
        <v>9.5</v>
      </c>
      <c r="B95">
        <f t="shared" si="7"/>
        <v>-21481.742824395347</v>
      </c>
      <c r="C95">
        <f t="shared" si="8"/>
        <v>15110.334180511712</v>
      </c>
      <c r="D95">
        <f t="shared" si="9"/>
        <v>-5292.2671357632407</v>
      </c>
      <c r="E95">
        <f t="shared" si="10"/>
        <v>21712.823332427099</v>
      </c>
      <c r="F95">
        <f>$C$23*(H95/(J95^2+$C$24^2)^1.5)+$C$32*(K95/(M95^2+$C$33^2)^1.5)+C$41*(N95/(P95^2+$C$42^2)^1.5)</f>
        <v>6147.0055441806826</v>
      </c>
      <c r="G95">
        <f>$C$23*(I95/(J95^2+$C$24^2)^1.5)+$C$32*(L95/(M95^2+$C$33^2)^1.5)+C$41*(O95/(P95^2+$C$42^2)^1.5)</f>
        <v>15771.097733023318</v>
      </c>
      <c r="H95" s="3">
        <f t="shared" si="11"/>
        <v>41481.742824395347</v>
      </c>
      <c r="I95" s="3">
        <f t="shared" si="12"/>
        <v>-110.33418051171247</v>
      </c>
      <c r="J95" s="3">
        <f t="shared" si="13"/>
        <v>41481.889558946852</v>
      </c>
      <c r="K95" s="3">
        <f t="shared" si="14"/>
        <v>1481.7428243953473</v>
      </c>
      <c r="L95" s="3">
        <f t="shared" si="15"/>
        <v>4889.6658194882875</v>
      </c>
      <c r="M95" s="3">
        <f t="shared" si="16"/>
        <v>5109.2458958166389</v>
      </c>
      <c r="N95" s="3">
        <f t="shared" si="17"/>
        <v>16481.742824395347</v>
      </c>
      <c r="O95" s="3">
        <f t="shared" si="18"/>
        <v>-45110.334180511709</v>
      </c>
      <c r="P95" s="3">
        <f t="shared" si="19"/>
        <v>48026.972592564591</v>
      </c>
    </row>
    <row r="96" spans="1:16" x14ac:dyDescent="0.25">
      <c r="A96">
        <f t="shared" si="20"/>
        <v>10</v>
      </c>
      <c r="B96">
        <f t="shared" si="7"/>
        <v>-22591.125006231799</v>
      </c>
      <c r="C96">
        <f t="shared" si="8"/>
        <v>29909.52027998109</v>
      </c>
      <c r="D96">
        <f t="shared" si="9"/>
        <v>-2218.7643636728994</v>
      </c>
      <c r="E96">
        <f t="shared" si="10"/>
        <v>29598.372198938756</v>
      </c>
      <c r="F96">
        <f>$C$23*(H96/(J96^2+$C$24^2)^1.5)+$C$32*(K96/(M96^2+$C$33^2)^1.5)+C$41*(N96/(P96^2+$C$42^2)^1.5)</f>
        <v>6642.6853469401094</v>
      </c>
      <c r="G96">
        <f>$C$23*(I96/(J96^2+$C$24^2)^1.5)+$C$32*(L96/(M96^2+$C$33^2)^1.5)+C$41*(O96/(P96^2+$C$42^2)^1.5)</f>
        <v>-24454.408216355081</v>
      </c>
      <c r="H96" s="3">
        <f t="shared" si="11"/>
        <v>42591.125006231799</v>
      </c>
      <c r="I96" s="3">
        <f t="shared" si="12"/>
        <v>-14909.52027998109</v>
      </c>
      <c r="J96" s="3">
        <f t="shared" si="13"/>
        <v>45125.355669242446</v>
      </c>
      <c r="K96" s="3">
        <f t="shared" si="14"/>
        <v>2591.1250062317995</v>
      </c>
      <c r="L96" s="3">
        <f t="shared" si="15"/>
        <v>-9909.5202799810904</v>
      </c>
      <c r="M96" s="3">
        <f t="shared" si="16"/>
        <v>10242.681337290362</v>
      </c>
      <c r="N96" s="3">
        <f t="shared" si="17"/>
        <v>17591.125006231799</v>
      </c>
      <c r="O96" s="3">
        <f t="shared" si="18"/>
        <v>-59909.520279981094</v>
      </c>
      <c r="P96" s="3">
        <f t="shared" si="19"/>
        <v>62438.756387057707</v>
      </c>
    </row>
    <row r="97" spans="1:16" x14ac:dyDescent="0.25">
      <c r="A97">
        <f t="shared" si="20"/>
        <v>10.5</v>
      </c>
      <c r="B97">
        <f t="shared" si="7"/>
        <v>-22039.83585133322</v>
      </c>
      <c r="C97">
        <f t="shared" si="8"/>
        <v>38595.104325361695</v>
      </c>
      <c r="D97">
        <f t="shared" si="9"/>
        <v>1102.5783097971553</v>
      </c>
      <c r="E97">
        <f t="shared" si="10"/>
        <v>17371.168090761217</v>
      </c>
      <c r="F97">
        <f>$C$23*(H97/(J97^2+$C$24^2)^1.5)+$C$32*(K97/(M97^2+$C$33^2)^1.5)+C$41*(N97/(P97^2+$C$42^2)^1.5)</f>
        <v>2481.3859391754586</v>
      </c>
      <c r="G97">
        <f>$C$23*(I97/(J97^2+$C$24^2)^1.5)+$C$32*(L97/(M97^2+$C$33^2)^1.5)+C$41*(O97/(P97^2+$C$42^2)^1.5)</f>
        <v>-19967.458376685572</v>
      </c>
      <c r="H97" s="3">
        <f t="shared" si="11"/>
        <v>42039.83585133322</v>
      </c>
      <c r="I97" s="3">
        <f t="shared" si="12"/>
        <v>-23595.104325361695</v>
      </c>
      <c r="J97" s="3">
        <f t="shared" si="13"/>
        <v>48208.679161866115</v>
      </c>
      <c r="K97" s="3">
        <f t="shared" si="14"/>
        <v>2039.8358513332205</v>
      </c>
      <c r="L97" s="3">
        <f t="shared" si="15"/>
        <v>-18595.104325361695</v>
      </c>
      <c r="M97" s="3">
        <f t="shared" si="16"/>
        <v>18706.652163641404</v>
      </c>
      <c r="N97" s="3">
        <f t="shared" si="17"/>
        <v>17039.83585133322</v>
      </c>
      <c r="O97" s="3">
        <f t="shared" si="18"/>
        <v>-68595.104325361695</v>
      </c>
      <c r="P97" s="3">
        <f t="shared" si="19"/>
        <v>70679.872263945377</v>
      </c>
    </row>
    <row r="98" spans="1:16" x14ac:dyDescent="0.25">
      <c r="A98">
        <f t="shared" si="20"/>
        <v>11</v>
      </c>
      <c r="B98">
        <f t="shared" si="7"/>
        <v>-20868.200211640778</v>
      </c>
      <c r="C98">
        <f t="shared" si="8"/>
        <v>42288.823776570913</v>
      </c>
      <c r="D98">
        <f t="shared" si="9"/>
        <v>2343.2712793848846</v>
      </c>
      <c r="E98">
        <f t="shared" si="10"/>
        <v>7387.4389024184311</v>
      </c>
      <c r="F98">
        <f>$C$23*(H98/(J98^2+$C$24^2)^1.5)+$C$32*(K98/(M98^2+$C$33^2)^1.5)+C$41*(N98/(P98^2+$C$42^2)^1.5)</f>
        <v>969.07918188124791</v>
      </c>
      <c r="G98">
        <f>$C$23*(I98/(J98^2+$C$24^2)^1.5)+$C$32*(L98/(M98^2+$C$33^2)^1.5)+C$41*(O98/(P98^2+$C$42^2)^1.5)</f>
        <v>-17069.275898053464</v>
      </c>
      <c r="H98" s="3">
        <f t="shared" si="11"/>
        <v>40868.200211640782</v>
      </c>
      <c r="I98" s="3">
        <f t="shared" si="12"/>
        <v>-27288.823776570913</v>
      </c>
      <c r="J98" s="3">
        <f t="shared" si="13"/>
        <v>49141.527160310121</v>
      </c>
      <c r="K98" s="3">
        <f t="shared" si="14"/>
        <v>868.20021164077843</v>
      </c>
      <c r="L98" s="3">
        <f t="shared" si="15"/>
        <v>-22288.823776570913</v>
      </c>
      <c r="M98" s="3">
        <f t="shared" si="16"/>
        <v>22305.726550608611</v>
      </c>
      <c r="N98" s="3">
        <f t="shared" si="17"/>
        <v>15868.200211640778</v>
      </c>
      <c r="O98" s="3">
        <f t="shared" si="18"/>
        <v>-72288.823776570905</v>
      </c>
      <c r="P98" s="3">
        <f t="shared" si="19"/>
        <v>74009.957579753012</v>
      </c>
    </row>
    <row r="99" spans="1:16" x14ac:dyDescent="0.25">
      <c r="A99">
        <f t="shared" si="20"/>
        <v>11.5</v>
      </c>
      <c r="B99">
        <f t="shared" si="7"/>
        <v>-19454.294776478026</v>
      </c>
      <c r="C99">
        <f t="shared" si="8"/>
        <v>41715.224253266766</v>
      </c>
      <c r="D99">
        <f t="shared" si="9"/>
        <v>2827.8108703255084</v>
      </c>
      <c r="E99">
        <f t="shared" si="10"/>
        <v>-1147.1990466083007</v>
      </c>
      <c r="F99">
        <f>$C$23*(H99/(J99^2+$C$24^2)^1.5)+$C$32*(K99/(M99^2+$C$33^2)^1.5)+C$41*(N99/(P99^2+$C$42^2)^1.5)</f>
        <v>-81.129192898740087</v>
      </c>
      <c r="G99">
        <f>$C$23*(I99/(J99^2+$C$24^2)^1.5)+$C$32*(L99/(M99^2+$C$33^2)^1.5)+C$41*(O99/(P99^2+$C$42^2)^1.5)</f>
        <v>-17561.980092428214</v>
      </c>
      <c r="H99" s="3">
        <f t="shared" si="11"/>
        <v>39454.294776478026</v>
      </c>
      <c r="I99" s="3">
        <f t="shared" si="12"/>
        <v>-26715.224253266766</v>
      </c>
      <c r="J99" s="3">
        <f t="shared" si="13"/>
        <v>47648.133050640652</v>
      </c>
      <c r="K99" s="3">
        <f t="shared" si="14"/>
        <v>-545.7052235219744</v>
      </c>
      <c r="L99" s="3">
        <f t="shared" si="15"/>
        <v>-21715.224253266766</v>
      </c>
      <c r="M99" s="3">
        <f t="shared" si="16"/>
        <v>21722.079977770187</v>
      </c>
      <c r="N99" s="3">
        <f t="shared" si="17"/>
        <v>14454.294776478026</v>
      </c>
      <c r="O99" s="3">
        <f t="shared" si="18"/>
        <v>-71715.224253266759</v>
      </c>
      <c r="P99" s="3">
        <f t="shared" si="19"/>
        <v>73157.364818462811</v>
      </c>
    </row>
    <row r="100" spans="1:16" x14ac:dyDescent="0.25">
      <c r="A100">
        <f t="shared" si="20"/>
        <v>12</v>
      </c>
      <c r="B100">
        <f t="shared" si="7"/>
        <v>-18060.671639539956</v>
      </c>
      <c r="C100">
        <f t="shared" si="8"/>
        <v>36751.129706855558</v>
      </c>
      <c r="D100">
        <f t="shared" si="9"/>
        <v>2787.2462738761383</v>
      </c>
      <c r="E100">
        <f t="shared" si="10"/>
        <v>-9928.1890928224075</v>
      </c>
      <c r="F100">
        <f>$C$23*(H100/(J100^2+$C$24^2)^1.5)+$C$32*(K100/(M100^2+$C$33^2)^1.5)+C$41*(N100/(P100^2+$C$42^2)^1.5)</f>
        <v>-1984.5361401664502</v>
      </c>
      <c r="G100">
        <f>$C$23*(I100/(J100^2+$C$24^2)^1.5)+$C$32*(L100/(M100^2+$C$33^2)^1.5)+C$41*(O100/(P100^2+$C$42^2)^1.5)</f>
        <v>-21593.137956835413</v>
      </c>
      <c r="H100" s="3">
        <f t="shared" si="11"/>
        <v>38060.671639539956</v>
      </c>
      <c r="I100" s="3">
        <f t="shared" si="12"/>
        <v>-21751.129706855558</v>
      </c>
      <c r="J100" s="3">
        <f t="shared" si="13"/>
        <v>43837.499577158087</v>
      </c>
      <c r="K100" s="3">
        <f t="shared" si="14"/>
        <v>-1939.3283604600438</v>
      </c>
      <c r="L100" s="3">
        <f t="shared" si="15"/>
        <v>-16751.129706855558</v>
      </c>
      <c r="M100" s="3">
        <f t="shared" si="16"/>
        <v>16863.016958586722</v>
      </c>
      <c r="N100" s="3">
        <f t="shared" si="17"/>
        <v>13060.671639539956</v>
      </c>
      <c r="O100" s="3">
        <f t="shared" si="18"/>
        <v>-66751.129706855558</v>
      </c>
      <c r="P100" s="3">
        <f t="shared" si="19"/>
        <v>68016.86894305954</v>
      </c>
    </row>
    <row r="101" spans="1:16" x14ac:dyDescent="0.25">
      <c r="A101">
        <f t="shared" si="20"/>
        <v>12.5</v>
      </c>
      <c r="B101">
        <f t="shared" si="7"/>
        <v>-17163.182537643501</v>
      </c>
      <c r="C101">
        <f t="shared" si="8"/>
        <v>26388.750671235499</v>
      </c>
      <c r="D101">
        <f t="shared" si="9"/>
        <v>1794.9782037929131</v>
      </c>
      <c r="E101">
        <f t="shared" si="10"/>
        <v>-20724.758071240114</v>
      </c>
      <c r="F101">
        <f>$C$23*(H101/(J101^2+$C$24^2)^1.5)+$C$32*(K101/(M101^2+$C$33^2)^1.5)+C$41*(N101/(P101^2+$C$42^2)^1.5)</f>
        <v>-8271.7680872092915</v>
      </c>
      <c r="G101">
        <f>$C$23*(I101/(J101^2+$C$24^2)^1.5)+$C$32*(L101/(M101^2+$C$33^2)^1.5)+C$41*(O101/(P101^2+$C$42^2)^1.5)</f>
        <v>-21204.70700190209</v>
      </c>
      <c r="H101" s="3">
        <f t="shared" si="11"/>
        <v>37163.182537643501</v>
      </c>
      <c r="I101" s="3">
        <f t="shared" si="12"/>
        <v>-11388.750671235499</v>
      </c>
      <c r="J101" s="3">
        <f t="shared" si="13"/>
        <v>38869.085121440381</v>
      </c>
      <c r="K101" s="3">
        <f t="shared" si="14"/>
        <v>-2836.8174623564992</v>
      </c>
      <c r="L101" s="3">
        <f t="shared" si="15"/>
        <v>-6388.7506712354989</v>
      </c>
      <c r="M101" s="3">
        <f t="shared" si="16"/>
        <v>6990.2552495558275</v>
      </c>
      <c r="N101" s="3">
        <f t="shared" si="17"/>
        <v>12163.182537643501</v>
      </c>
      <c r="O101" s="3">
        <f t="shared" si="18"/>
        <v>-56388.750671235495</v>
      </c>
      <c r="P101" s="3">
        <f t="shared" si="19"/>
        <v>57685.649963459698</v>
      </c>
    </row>
    <row r="102" spans="1:16" x14ac:dyDescent="0.25">
      <c r="A102">
        <f t="shared" si="20"/>
        <v>13</v>
      </c>
      <c r="B102">
        <f t="shared" si="7"/>
        <v>-18333.635457549368</v>
      </c>
      <c r="C102">
        <f t="shared" si="8"/>
        <v>10725.194885139919</v>
      </c>
      <c r="D102">
        <f t="shared" si="9"/>
        <v>-2340.9058398117327</v>
      </c>
      <c r="E102">
        <f t="shared" si="10"/>
        <v>-31327.111572191159</v>
      </c>
      <c r="F102">
        <f>$C$23*(H102/(J102^2+$C$24^2)^1.5)+$C$32*(K102/(M102^2+$C$33^2)^1.5)+C$41*(N102/(P102^2+$C$42^2)^1.5)</f>
        <v>-3241.3134637071457</v>
      </c>
      <c r="G102">
        <f>$C$23*(I102/(J102^2+$C$24^2)^1.5)+$C$32*(L102/(M102^2+$C$33^2)^1.5)+C$41*(O102/(P102^2+$C$42^2)^1.5)</f>
        <v>21623.907902770065</v>
      </c>
      <c r="H102" s="3">
        <f t="shared" si="11"/>
        <v>38333.635457549368</v>
      </c>
      <c r="I102" s="3">
        <f t="shared" si="12"/>
        <v>4274.8051148600807</v>
      </c>
      <c r="J102" s="3">
        <f t="shared" si="13"/>
        <v>38571.253105937845</v>
      </c>
      <c r="K102" s="3">
        <f t="shared" si="14"/>
        <v>-1666.3645424506321</v>
      </c>
      <c r="L102" s="3">
        <f t="shared" si="15"/>
        <v>9274.8051148600807</v>
      </c>
      <c r="M102" s="3">
        <f t="shared" si="16"/>
        <v>9423.3104961564022</v>
      </c>
      <c r="N102" s="3">
        <f t="shared" si="17"/>
        <v>13333.635457549368</v>
      </c>
      <c r="O102" s="3">
        <f t="shared" si="18"/>
        <v>-40725.194885139921</v>
      </c>
      <c r="P102" s="3">
        <f t="shared" si="19"/>
        <v>42852.390049417831</v>
      </c>
    </row>
    <row r="103" spans="1:16" x14ac:dyDescent="0.25">
      <c r="A103">
        <f t="shared" si="20"/>
        <v>13.5</v>
      </c>
      <c r="B103">
        <f t="shared" si="7"/>
        <v>-20314.416743382022</v>
      </c>
      <c r="C103">
        <f t="shared" si="8"/>
        <v>467.61607473685581</v>
      </c>
      <c r="D103">
        <f t="shared" si="9"/>
        <v>-3961.5625716653058</v>
      </c>
      <c r="E103">
        <f t="shared" si="10"/>
        <v>-20515.157620806127</v>
      </c>
      <c r="F103">
        <f>$C$23*(H103/(J103^2+$C$24^2)^1.5)+$C$32*(K103/(M103^2+$C$33^2)^1.5)+C$41*(N103/(P103^2+$C$42^2)^1.5)</f>
        <v>1989.8433720646499</v>
      </c>
      <c r="G103">
        <f>$C$23*(I103/(J103^2+$C$24^2)^1.5)+$C$32*(L103/(M103^2+$C$33^2)^1.5)+C$41*(O103/(P103^2+$C$42^2)^1.5)</f>
        <v>15732.850693772078</v>
      </c>
      <c r="H103" s="3">
        <f t="shared" si="11"/>
        <v>40314.416743382026</v>
      </c>
      <c r="I103" s="3">
        <f t="shared" si="12"/>
        <v>14532.383925263144</v>
      </c>
      <c r="J103" s="3">
        <f t="shared" si="13"/>
        <v>42853.732391827056</v>
      </c>
      <c r="K103" s="3">
        <f t="shared" si="14"/>
        <v>314.4167433820221</v>
      </c>
      <c r="L103" s="3">
        <f t="shared" si="15"/>
        <v>19532.383925263144</v>
      </c>
      <c r="M103" s="3">
        <f t="shared" si="16"/>
        <v>19534.914376377415</v>
      </c>
      <c r="N103" s="3">
        <f t="shared" si="17"/>
        <v>15314.416743382022</v>
      </c>
      <c r="O103" s="3">
        <f t="shared" si="18"/>
        <v>-30467.616074736856</v>
      </c>
      <c r="P103" s="3">
        <f t="shared" si="19"/>
        <v>34099.955857266788</v>
      </c>
    </row>
    <row r="104" spans="1:16" x14ac:dyDescent="0.25">
      <c r="A104">
        <f t="shared" si="20"/>
        <v>14</v>
      </c>
      <c r="B104">
        <f t="shared" si="7"/>
        <v>-21797.737186198516</v>
      </c>
      <c r="C104">
        <f t="shared" si="8"/>
        <v>-5856.7500622231883</v>
      </c>
      <c r="D104">
        <f t="shared" si="9"/>
        <v>-2966.6408856329808</v>
      </c>
      <c r="E104">
        <f t="shared" si="10"/>
        <v>-12648.732273920088</v>
      </c>
      <c r="F104">
        <f>$C$23*(H104/(J104^2+$C$24^2)^1.5)+$C$32*(K104/(M104^2+$C$33^2)^1.5)+C$41*(N104/(P104^2+$C$42^2)^1.5)</f>
        <v>3504.3730519099158</v>
      </c>
      <c r="G104">
        <f>$C$23*(I104/(J104^2+$C$24^2)^1.5)+$C$32*(L104/(M104^2+$C$33^2)^1.5)+C$41*(O104/(P104^2+$C$42^2)^1.5)</f>
        <v>10343.056036973583</v>
      </c>
      <c r="H104" s="3">
        <f t="shared" si="11"/>
        <v>41797.737186198516</v>
      </c>
      <c r="I104" s="3">
        <f t="shared" si="12"/>
        <v>20856.750062223189</v>
      </c>
      <c r="J104" s="3">
        <f t="shared" si="13"/>
        <v>46712.47003793066</v>
      </c>
      <c r="K104" s="3">
        <f t="shared" si="14"/>
        <v>1797.7371861985157</v>
      </c>
      <c r="L104" s="3">
        <f t="shared" si="15"/>
        <v>25856.750062223189</v>
      </c>
      <c r="M104" s="3">
        <f t="shared" si="16"/>
        <v>25919.170179057044</v>
      </c>
      <c r="N104" s="3">
        <f t="shared" si="17"/>
        <v>16797.737186198516</v>
      </c>
      <c r="O104" s="3">
        <f t="shared" si="18"/>
        <v>-24143.249937776811</v>
      </c>
      <c r="P104" s="3">
        <f t="shared" si="19"/>
        <v>29411.910718866202</v>
      </c>
    </row>
    <row r="105" spans="1:16" x14ac:dyDescent="0.25">
      <c r="A105">
        <f t="shared" si="20"/>
        <v>14.5</v>
      </c>
      <c r="B105">
        <f t="shared" si="7"/>
        <v>-22404.964366037526</v>
      </c>
      <c r="C105">
        <f t="shared" si="8"/>
        <v>-9595.3521899398365</v>
      </c>
      <c r="D105">
        <f t="shared" si="9"/>
        <v>-1214.4543596780229</v>
      </c>
      <c r="E105">
        <f t="shared" si="10"/>
        <v>-7477.2042554332966</v>
      </c>
      <c r="F105">
        <f>$C$23*(H105/(J105^2+$C$24^2)^1.5)+$C$32*(K105/(M105^2+$C$33^2)^1.5)+C$41*(N105/(P105^2+$C$42^2)^1.5)</f>
        <v>4218.020612559716</v>
      </c>
      <c r="G105">
        <f>$C$23*(I105/(J105^2+$C$24^2)^1.5)+$C$32*(L105/(M105^2+$C$33^2)^1.5)+C$41*(O105/(P105^2+$C$42^2)^1.5)</f>
        <v>7827.6263656030178</v>
      </c>
      <c r="H105" s="3">
        <f t="shared" si="11"/>
        <v>42404.96436603753</v>
      </c>
      <c r="I105" s="3">
        <f t="shared" si="12"/>
        <v>24595.352189939837</v>
      </c>
      <c r="J105" s="3">
        <f t="shared" si="13"/>
        <v>49021.549875866745</v>
      </c>
      <c r="K105" s="3">
        <f t="shared" si="14"/>
        <v>2404.9643660375259</v>
      </c>
      <c r="L105" s="3">
        <f t="shared" si="15"/>
        <v>29595.352189939837</v>
      </c>
      <c r="M105" s="3">
        <f t="shared" si="16"/>
        <v>29692.906978746403</v>
      </c>
      <c r="N105" s="3">
        <f t="shared" si="17"/>
        <v>17404.964366037526</v>
      </c>
      <c r="O105" s="3">
        <f t="shared" si="18"/>
        <v>-20404.647810060163</v>
      </c>
      <c r="P105" s="3">
        <f t="shared" si="19"/>
        <v>26819.441396785824</v>
      </c>
    </row>
    <row r="106" spans="1:16" x14ac:dyDescent="0.25">
      <c r="A106">
        <f t="shared" si="20"/>
        <v>15</v>
      </c>
      <c r="B106">
        <f>B105+D105*(A106-A105)+F105*(A106-A105)^2</f>
        <v>-21957.686392736607</v>
      </c>
      <c r="C106">
        <f t="shared" si="8"/>
        <v>-11377.047726255729</v>
      </c>
      <c r="D106">
        <f t="shared" si="9"/>
        <v>894.5559466018351</v>
      </c>
      <c r="E106">
        <f t="shared" si="10"/>
        <v>-3563.3910726317877</v>
      </c>
      <c r="F106">
        <f>$C$23*(H106/(J106^2+$C$24^2)^1.5)+$C$32*(K106/(M106^2+$C$33^2)^1.5)+C$41*(N106/(P106^2+$C$42^2)^1.5)</f>
        <v>4401.8225368834237</v>
      </c>
      <c r="G106">
        <f>$C$23*(I106/(J106^2+$C$24^2)^1.5)+$C$32*(L106/(M106^2+$C$33^2)^1.5)+C$41*(O106/(P106^2+$C$42^2)^1.5)</f>
        <v>6687.2883242346343</v>
      </c>
      <c r="H106" s="3">
        <f t="shared" si="11"/>
        <v>41957.686392736607</v>
      </c>
      <c r="I106" s="3">
        <f t="shared" si="12"/>
        <v>26377.047726255729</v>
      </c>
      <c r="J106" s="3">
        <f t="shared" si="13"/>
        <v>49560.025163274557</v>
      </c>
      <c r="K106" s="3">
        <f t="shared" si="14"/>
        <v>1957.6863927366066</v>
      </c>
      <c r="L106" s="3">
        <f t="shared" si="15"/>
        <v>31377.047726255729</v>
      </c>
      <c r="M106" s="3">
        <f t="shared" si="16"/>
        <v>31438.060691270952</v>
      </c>
      <c r="N106" s="3">
        <f t="shared" si="17"/>
        <v>16957.686392736607</v>
      </c>
      <c r="O106" s="3">
        <f t="shared" si="18"/>
        <v>-18622.952273744271</v>
      </c>
      <c r="P106" s="3">
        <f t="shared" si="19"/>
        <v>25186.851315409818</v>
      </c>
    </row>
    <row r="107" spans="1:16" x14ac:dyDescent="0.25">
      <c r="A107">
        <f t="shared" si="20"/>
        <v>15.5</v>
      </c>
      <c r="B107">
        <f t="shared" si="7"/>
        <v>-20409.952785214831</v>
      </c>
      <c r="C107">
        <f t="shared" si="8"/>
        <v>-11486.921181512964</v>
      </c>
      <c r="D107">
        <f t="shared" si="9"/>
        <v>3095.4672150435472</v>
      </c>
      <c r="E107">
        <f t="shared" si="10"/>
        <v>-219.74691051447053</v>
      </c>
      <c r="F107">
        <f>$C$23*(H107/(J107^2+$C$24^2)^1.5)+$C$32*(K107/(M107^2+$C$33^2)^1.5)+C$41*(N107/(P107^2+$C$42^2)^1.5)</f>
        <v>3959.7849201375498</v>
      </c>
      <c r="G107">
        <f>$C$23*(I107/(J107^2+$C$24^2)^1.5)+$C$32*(L107/(M107^2+$C$33^2)^1.5)+C$41*(O107/(P107^2+$C$42^2)^1.5)</f>
        <v>6239.6548602011135</v>
      </c>
      <c r="H107" s="3">
        <f t="shared" si="11"/>
        <v>40409.952785214831</v>
      </c>
      <c r="I107" s="3">
        <f t="shared" si="12"/>
        <v>26486.921181512964</v>
      </c>
      <c r="J107" s="3">
        <f t="shared" si="13"/>
        <v>48316.883982506282</v>
      </c>
      <c r="K107" s="3">
        <f t="shared" si="14"/>
        <v>409.95278521483124</v>
      </c>
      <c r="L107" s="3">
        <f t="shared" si="15"/>
        <v>31486.921181512964</v>
      </c>
      <c r="M107" s="3">
        <f t="shared" si="16"/>
        <v>31489.589815952113</v>
      </c>
      <c r="N107" s="3">
        <f t="shared" si="17"/>
        <v>15409.952785214831</v>
      </c>
      <c r="O107" s="3">
        <f t="shared" si="18"/>
        <v>-18513.078818487036</v>
      </c>
      <c r="P107" s="3">
        <f t="shared" si="19"/>
        <v>24087.356272162033</v>
      </c>
    </row>
    <row r="108" spans="1:16" x14ac:dyDescent="0.25">
      <c r="A108">
        <f t="shared" si="20"/>
        <v>16</v>
      </c>
      <c r="B108">
        <f t="shared" si="7"/>
        <v>-17872.272947658668</v>
      </c>
      <c r="C108">
        <f t="shared" si="8"/>
        <v>-10036.88092171992</v>
      </c>
      <c r="D108">
        <f t="shared" si="9"/>
        <v>5075.3596751123223</v>
      </c>
      <c r="E108">
        <f t="shared" si="10"/>
        <v>2900.0805195860862</v>
      </c>
      <c r="F108">
        <f>$C$23*(H108/(J108^2+$C$24^2)^1.5)+$C$32*(K108/(M108^2+$C$33^2)^1.5)+C$41*(N108/(P108^2+$C$42^2)^1.5)</f>
        <v>2567.7961948785742</v>
      </c>
      <c r="G108">
        <f>$C$23*(I108/(J108^2+$C$24^2)^1.5)+$C$32*(L108/(M108^2+$C$33^2)^1.5)+C$41*(O108/(P108^2+$C$42^2)^1.5)</f>
        <v>6405.8927672807749</v>
      </c>
      <c r="H108" s="3">
        <f t="shared" si="11"/>
        <v>37872.272947658668</v>
      </c>
      <c r="I108" s="3">
        <f t="shared" si="12"/>
        <v>25036.88092171992</v>
      </c>
      <c r="J108" s="3">
        <f t="shared" si="13"/>
        <v>45399.939036416574</v>
      </c>
      <c r="K108" s="3">
        <f t="shared" si="14"/>
        <v>-2127.7270523413317</v>
      </c>
      <c r="L108" s="3">
        <f t="shared" si="15"/>
        <v>30036.88092171992</v>
      </c>
      <c r="M108" s="3">
        <f t="shared" si="16"/>
        <v>30112.147680211176</v>
      </c>
      <c r="N108" s="3">
        <f t="shared" si="17"/>
        <v>12872.272947658668</v>
      </c>
      <c r="O108" s="3">
        <f t="shared" si="18"/>
        <v>-19963.11907828008</v>
      </c>
      <c r="P108" s="3">
        <f t="shared" si="19"/>
        <v>23753.347851884275</v>
      </c>
    </row>
    <row r="109" spans="1:16" x14ac:dyDescent="0.25">
      <c r="A109">
        <f t="shared" si="20"/>
        <v>16.5</v>
      </c>
      <c r="B109">
        <f t="shared" si="7"/>
        <v>-14692.644061382864</v>
      </c>
      <c r="C109">
        <f t="shared" si="8"/>
        <v>-6985.367470106683</v>
      </c>
      <c r="D109">
        <f t="shared" si="9"/>
        <v>6359.2577725516094</v>
      </c>
      <c r="E109">
        <f t="shared" si="10"/>
        <v>6103.0269032264732</v>
      </c>
      <c r="F109">
        <f>$C$23*(H109/(J109^2+$C$24^2)^1.5)+$C$32*(K109/(M109^2+$C$33^2)^1.5)+C$41*(N109/(P109^2+$C$42^2)^1.5)</f>
        <v>-98.329064640312026</v>
      </c>
      <c r="G109">
        <f>$C$23*(I109/(J109^2+$C$24^2)^1.5)+$C$32*(L109/(M109^2+$C$33^2)^1.5)+C$41*(O109/(P109^2+$C$42^2)^1.5)</f>
        <v>7618.9810908003319</v>
      </c>
      <c r="H109" s="3">
        <f t="shared" si="11"/>
        <v>34692.64406138286</v>
      </c>
      <c r="I109" s="3">
        <f t="shared" si="12"/>
        <v>21985.367470106685</v>
      </c>
      <c r="J109" s="3">
        <f t="shared" si="13"/>
        <v>41072.325655670247</v>
      </c>
      <c r="K109" s="3">
        <f t="shared" si="14"/>
        <v>-5307.3559386171364</v>
      </c>
      <c r="L109" s="3">
        <f t="shared" si="15"/>
        <v>26985.367470106685</v>
      </c>
      <c r="M109" s="3">
        <f t="shared" si="16"/>
        <v>27502.328711508533</v>
      </c>
      <c r="N109" s="3">
        <f t="shared" si="17"/>
        <v>9692.6440613828636</v>
      </c>
      <c r="O109" s="3">
        <f t="shared" si="18"/>
        <v>-23014.632529893315</v>
      </c>
      <c r="P109" s="3">
        <f t="shared" si="19"/>
        <v>24972.397950270697</v>
      </c>
    </row>
    <row r="110" spans="1:16" x14ac:dyDescent="0.25">
      <c r="A110">
        <f t="shared" si="20"/>
        <v>17</v>
      </c>
      <c r="B110">
        <f t="shared" si="7"/>
        <v>-11537.597441267137</v>
      </c>
      <c r="C110">
        <f t="shared" si="8"/>
        <v>-2029.1087457933634</v>
      </c>
      <c r="D110">
        <f t="shared" si="9"/>
        <v>6310.0932402314538</v>
      </c>
      <c r="E110">
        <f t="shared" si="10"/>
        <v>9912.5174486266387</v>
      </c>
      <c r="F110">
        <f>$C$23*(H110/(J110^2+$C$24^2)^1.5)+$C$32*(K110/(M110^2+$C$33^2)^1.5)+C$41*(N110/(P110^2+$C$42^2)^1.5)</f>
        <v>-4150.1919458158982</v>
      </c>
      <c r="G110">
        <f>$C$23*(I110/(J110^2+$C$24^2)^1.5)+$C$32*(L110/(M110^2+$C$33^2)^1.5)+C$41*(O110/(P110^2+$C$42^2)^1.5)</f>
        <v>10268.385257054757</v>
      </c>
      <c r="H110" s="3">
        <f t="shared" si="11"/>
        <v>31537.597441267135</v>
      </c>
      <c r="I110" s="3">
        <f t="shared" si="12"/>
        <v>17029.108745793365</v>
      </c>
      <c r="J110" s="3">
        <f t="shared" si="13"/>
        <v>35841.46477257138</v>
      </c>
      <c r="K110" s="3">
        <f t="shared" si="14"/>
        <v>-8462.4025587328633</v>
      </c>
      <c r="L110" s="3">
        <f t="shared" si="15"/>
        <v>22029.108745793365</v>
      </c>
      <c r="M110" s="3">
        <f t="shared" si="16"/>
        <v>23598.599305891825</v>
      </c>
      <c r="N110" s="3">
        <f t="shared" si="17"/>
        <v>6537.5974412671367</v>
      </c>
      <c r="O110" s="3">
        <f t="shared" si="18"/>
        <v>-27970.891254206635</v>
      </c>
      <c r="P110" s="3">
        <f t="shared" si="19"/>
        <v>28724.744348013191</v>
      </c>
    </row>
    <row r="111" spans="1:16" x14ac:dyDescent="0.25">
      <c r="A111">
        <f t="shared" si="20"/>
        <v>17.5</v>
      </c>
      <c r="B111">
        <f t="shared" si="7"/>
        <v>-9420.0988076053836</v>
      </c>
      <c r="C111">
        <f t="shared" si="8"/>
        <v>5494.246292783645</v>
      </c>
      <c r="D111">
        <f t="shared" si="9"/>
        <v>4234.9972673235043</v>
      </c>
      <c r="E111">
        <f t="shared" si="10"/>
        <v>15046.710077154017</v>
      </c>
      <c r="F111">
        <f>$C$23*(H111/(J111^2+$C$24^2)^1.5)+$C$32*(K111/(M111^2+$C$33^2)^1.5)+C$41*(N111/(P111^2+$C$42^2)^1.5)</f>
        <v>-10817.225629384204</v>
      </c>
      <c r="G111">
        <f>$C$23*(I111/(J111^2+$C$24^2)^1.5)+$C$32*(L111/(M111^2+$C$33^2)^1.5)+C$41*(O111/(P111^2+$C$42^2)^1.5)</f>
        <v>13273.99089796043</v>
      </c>
      <c r="H111" s="3">
        <f t="shared" si="11"/>
        <v>29420.098807605384</v>
      </c>
      <c r="I111" s="3">
        <f t="shared" si="12"/>
        <v>9505.7537072163541</v>
      </c>
      <c r="J111" s="3">
        <f t="shared" si="13"/>
        <v>30917.657857469105</v>
      </c>
      <c r="K111" s="3">
        <f t="shared" si="14"/>
        <v>-10579.901192394616</v>
      </c>
      <c r="L111" s="3">
        <f t="shared" si="15"/>
        <v>14505.753707216354</v>
      </c>
      <c r="M111" s="3">
        <f t="shared" si="16"/>
        <v>17954.141579458876</v>
      </c>
      <c r="N111" s="3">
        <f t="shared" si="17"/>
        <v>4420.0988076053836</v>
      </c>
      <c r="O111" s="3">
        <f t="shared" si="18"/>
        <v>-35494.246292783646</v>
      </c>
      <c r="P111" s="3">
        <f t="shared" si="19"/>
        <v>35768.404959709624</v>
      </c>
    </row>
    <row r="112" spans="1:16" x14ac:dyDescent="0.25">
      <c r="A112">
        <f t="shared" si="20"/>
        <v>18</v>
      </c>
      <c r="B112">
        <f t="shared" si="7"/>
        <v>-10006.906581289682</v>
      </c>
      <c r="C112">
        <f t="shared" si="8"/>
        <v>16336.09905585076</v>
      </c>
      <c r="D112">
        <f t="shared" si="9"/>
        <v>-1173.6155473685976</v>
      </c>
      <c r="E112">
        <f t="shared" si="10"/>
        <v>21683.705526134232</v>
      </c>
      <c r="F112">
        <f>$C$23*(H112/(J112^2+$C$24^2)^1.5)+$C$32*(K112/(M112^2+$C$33^2)^1.5)+C$41*(N112/(P112^2+$C$42^2)^1.5)</f>
        <v>-21955.621867916594</v>
      </c>
      <c r="G112">
        <f>$C$23*(I112/(J112^2+$C$24^2)^1.5)+$C$32*(L112/(M112^2+$C$33^2)^1.5)+C$41*(O112/(P112^2+$C$42^2)^1.5)</f>
        <v>6508.0227402653945</v>
      </c>
      <c r="H112" s="3">
        <f t="shared" si="11"/>
        <v>30006.906581289681</v>
      </c>
      <c r="I112" s="3">
        <f t="shared" si="12"/>
        <v>-1336.0990558507601</v>
      </c>
      <c r="J112" s="3">
        <f t="shared" si="13"/>
        <v>30036.637682425298</v>
      </c>
      <c r="K112" s="3">
        <f t="shared" si="14"/>
        <v>-9993.0934187103176</v>
      </c>
      <c r="L112" s="3">
        <f t="shared" si="15"/>
        <v>3663.9009441492399</v>
      </c>
      <c r="M112" s="3">
        <f t="shared" si="16"/>
        <v>10643.593669602817</v>
      </c>
      <c r="N112" s="3">
        <f t="shared" si="17"/>
        <v>5006.9065812896824</v>
      </c>
      <c r="O112" s="3">
        <f t="shared" si="18"/>
        <v>-46336.099055850762</v>
      </c>
      <c r="P112" s="3">
        <f t="shared" si="19"/>
        <v>46605.827846175802</v>
      </c>
    </row>
    <row r="113" spans="1:16" x14ac:dyDescent="0.25">
      <c r="A113">
        <f t="shared" si="20"/>
        <v>18.5</v>
      </c>
      <c r="B113">
        <f t="shared" si="7"/>
        <v>-16082.619821953129</v>
      </c>
      <c r="C113">
        <f t="shared" si="8"/>
        <v>28804.957503984228</v>
      </c>
      <c r="D113">
        <f t="shared" si="9"/>
        <v>-12151.426481326895</v>
      </c>
      <c r="E113">
        <f t="shared" si="10"/>
        <v>24937.716896266931</v>
      </c>
      <c r="F113">
        <f>$C$23*(H113/(J113^2+$C$24^2)^1.5)+$C$32*(K113/(M113^2+$C$33^2)^1.5)+C$41*(N113/(P113^2+$C$42^2)^1.5)</f>
        <v>-9244.3967336236365</v>
      </c>
      <c r="G113">
        <f>$C$23*(I113/(J113^2+$C$24^2)^1.5)+$C$32*(L113/(M113^2+$C$33^2)^1.5)+C$41*(O113/(P113^2+$C$42^2)^1.5)</f>
        <v>-23189.156907169036</v>
      </c>
      <c r="H113" s="3">
        <f t="shared" si="11"/>
        <v>36082.619821953129</v>
      </c>
      <c r="I113" s="3">
        <f t="shared" si="12"/>
        <v>-13804.957503984228</v>
      </c>
      <c r="J113" s="3">
        <f t="shared" si="13"/>
        <v>38633.305642960651</v>
      </c>
      <c r="K113" s="3">
        <f t="shared" si="14"/>
        <v>-3917.3801780468712</v>
      </c>
      <c r="L113" s="3">
        <f t="shared" si="15"/>
        <v>-8804.9575039842275</v>
      </c>
      <c r="M113" s="3">
        <f t="shared" si="16"/>
        <v>9637.0713448808037</v>
      </c>
      <c r="N113" s="3">
        <f t="shared" si="17"/>
        <v>11082.619821953129</v>
      </c>
      <c r="O113" s="3">
        <f t="shared" si="18"/>
        <v>-58804.957503984231</v>
      </c>
      <c r="P113" s="3">
        <f t="shared" si="19"/>
        <v>59840.182897141451</v>
      </c>
    </row>
    <row r="114" spans="1:16" x14ac:dyDescent="0.25">
      <c r="A114">
        <f t="shared" si="20"/>
        <v>19</v>
      </c>
      <c r="B114">
        <f t="shared" si="7"/>
        <v>-24469.432246022487</v>
      </c>
      <c r="C114">
        <f t="shared" si="8"/>
        <v>35476.526725325435</v>
      </c>
      <c r="D114">
        <f t="shared" si="9"/>
        <v>-16773.624848138712</v>
      </c>
      <c r="E114">
        <f t="shared" si="10"/>
        <v>13343.138442682413</v>
      </c>
      <c r="F114">
        <f>$C$23*(H114/(J114^2+$C$24^2)^1.5)+$C$32*(K114/(M114^2+$C$33^2)^1.5)+C$41*(N114/(P114^2+$C$42^2)^1.5)</f>
        <v>6368.0386208725477</v>
      </c>
      <c r="G114">
        <f>$C$23*(I114/(J114^2+$C$24^2)^1.5)+$C$32*(L114/(M114^2+$C$33^2)^1.5)+C$41*(O114/(P114^2+$C$42^2)^1.5)</f>
        <v>-21439.670859401165</v>
      </c>
      <c r="H114" s="3">
        <f t="shared" si="11"/>
        <v>44469.432246022487</v>
      </c>
      <c r="I114" s="3">
        <f t="shared" si="12"/>
        <v>-20476.526725325435</v>
      </c>
      <c r="J114" s="3">
        <f t="shared" si="13"/>
        <v>48957.313560044851</v>
      </c>
      <c r="K114" s="3">
        <f t="shared" si="14"/>
        <v>4469.4322460224867</v>
      </c>
      <c r="L114" s="3">
        <f t="shared" si="15"/>
        <v>-15476.526725325435</v>
      </c>
      <c r="M114" s="3">
        <f t="shared" si="16"/>
        <v>16108.963470114953</v>
      </c>
      <c r="N114" s="3">
        <f t="shared" si="17"/>
        <v>19469.432246022487</v>
      </c>
      <c r="O114" s="3">
        <f t="shared" si="18"/>
        <v>-65476.526725325435</v>
      </c>
      <c r="P114" s="3">
        <f t="shared" si="19"/>
        <v>68309.840755155601</v>
      </c>
    </row>
    <row r="115" spans="1:16" x14ac:dyDescent="0.25">
      <c r="A115">
        <f t="shared" si="20"/>
        <v>19.5</v>
      </c>
      <c r="B115">
        <f t="shared" si="7"/>
        <v>-31264.235014873706</v>
      </c>
      <c r="C115">
        <f t="shared" si="8"/>
        <v>36788.178231816346</v>
      </c>
      <c r="D115">
        <f t="shared" si="9"/>
        <v>-13589.605537702439</v>
      </c>
      <c r="E115">
        <f t="shared" si="10"/>
        <v>2623.3030129818308</v>
      </c>
      <c r="F115">
        <f>$C$23*(H115/(J115^2+$C$24^2)^1.5)+$C$32*(K115/(M115^2+$C$33^2)^1.5)+C$41*(N115/(P115^2+$C$42^2)^1.5)</f>
        <v>10424.49087787122</v>
      </c>
      <c r="G115">
        <f>$C$23*(I115/(J115^2+$C$24^2)^1.5)+$C$32*(L115/(M115^2+$C$33^2)^1.5)+C$41*(O115/(P115^2+$C$42^2)^1.5)</f>
        <v>-15677.50804434818</v>
      </c>
      <c r="H115" s="3">
        <f t="shared" si="11"/>
        <v>51264.235014873702</v>
      </c>
      <c r="I115" s="3">
        <f t="shared" si="12"/>
        <v>-21788.178231816346</v>
      </c>
      <c r="J115" s="3">
        <f t="shared" si="13"/>
        <v>55702.302486715918</v>
      </c>
      <c r="K115" s="3">
        <f t="shared" si="14"/>
        <v>11264.235014873706</v>
      </c>
      <c r="L115" s="3">
        <f t="shared" si="15"/>
        <v>-16788.178231816346</v>
      </c>
      <c r="M115" s="3">
        <f t="shared" si="16"/>
        <v>20216.971059323874</v>
      </c>
      <c r="N115" s="3">
        <f t="shared" si="17"/>
        <v>26264.235014873706</v>
      </c>
      <c r="O115" s="3">
        <f t="shared" si="18"/>
        <v>-66788.178231816346</v>
      </c>
      <c r="P115" s="3">
        <f t="shared" si="19"/>
        <v>71766.780563443041</v>
      </c>
    </row>
    <row r="116" spans="1:16" x14ac:dyDescent="0.25">
      <c r="A116">
        <f t="shared" si="20"/>
        <v>20</v>
      </c>
      <c r="B116">
        <f t="shared" si="7"/>
        <v>-35452.915064257119</v>
      </c>
      <c r="C116">
        <f t="shared" si="8"/>
        <v>34180.452727220218</v>
      </c>
      <c r="D116">
        <f t="shared" si="9"/>
        <v>-8377.3600987668287</v>
      </c>
      <c r="E116">
        <f t="shared" si="10"/>
        <v>-5215.4510091922593</v>
      </c>
      <c r="F116">
        <f>$C$23*(H116/(J116^2+$C$24^2)^1.5)+$C$32*(K116/(M116^2+$C$33^2)^1.5)+C$41*(N116/(P116^2+$C$42^2)^1.5)</f>
        <v>13230.332273784199</v>
      </c>
      <c r="G116">
        <f>$C$23*(I116/(J116^2+$C$24^2)^1.5)+$C$32*(L116/(M116^2+$C$33^2)^1.5)+C$41*(O116/(P116^2+$C$42^2)^1.5)</f>
        <v>-12470.698762722934</v>
      </c>
      <c r="H116" s="3">
        <f t="shared" si="11"/>
        <v>55452.915064257119</v>
      </c>
      <c r="I116" s="3">
        <f t="shared" si="12"/>
        <v>-19180.452727220218</v>
      </c>
      <c r="J116" s="3">
        <f t="shared" si="13"/>
        <v>58676.36283841086</v>
      </c>
      <c r="K116" s="3">
        <f t="shared" si="14"/>
        <v>15452.915064257119</v>
      </c>
      <c r="L116" s="3">
        <f t="shared" si="15"/>
        <v>-14180.452727220218</v>
      </c>
      <c r="M116" s="3">
        <f t="shared" si="16"/>
        <v>20973.264493923492</v>
      </c>
      <c r="N116" s="3">
        <f t="shared" si="17"/>
        <v>30452.915064257119</v>
      </c>
      <c r="O116" s="3">
        <f t="shared" si="18"/>
        <v>-64180.452727220218</v>
      </c>
      <c r="P116" s="3">
        <f t="shared" si="19"/>
        <v>71038.796077789826</v>
      </c>
    </row>
    <row r="117" spans="1:16" x14ac:dyDescent="0.25">
      <c r="A117">
        <f t="shared" si="20"/>
        <v>20.5</v>
      </c>
      <c r="B117">
        <f t="shared" si="7"/>
        <v>-36334.012045194482</v>
      </c>
      <c r="C117">
        <f t="shared" si="8"/>
        <v>28455.052531943355</v>
      </c>
      <c r="D117">
        <f t="shared" si="9"/>
        <v>-1762.1939618747292</v>
      </c>
      <c r="E117">
        <f t="shared" si="10"/>
        <v>-11450.800390553726</v>
      </c>
      <c r="F117">
        <f>$C$23*(H117/(J117^2+$C$24^2)^1.5)+$C$32*(K117/(M117^2+$C$33^2)^1.5)+C$41*(N117/(P117^2+$C$42^2)^1.5)</f>
        <v>17857.780003249645</v>
      </c>
      <c r="G117">
        <f>$C$23*(I117/(J117^2+$C$24^2)^1.5)+$C$32*(L117/(M117^2+$C$33^2)^1.5)+C$41*(O117/(P117^2+$C$42^2)^1.5)</f>
        <v>-9788.2507063975463</v>
      </c>
      <c r="H117" s="3">
        <f t="shared" si="11"/>
        <v>56334.012045194482</v>
      </c>
      <c r="I117" s="3">
        <f t="shared" si="12"/>
        <v>-13455.052531943355</v>
      </c>
      <c r="J117" s="3">
        <f t="shared" si="13"/>
        <v>57918.557921839463</v>
      </c>
      <c r="K117" s="3">
        <f t="shared" si="14"/>
        <v>16334.012045194482</v>
      </c>
      <c r="L117" s="3">
        <f t="shared" si="15"/>
        <v>-8455.0525319433546</v>
      </c>
      <c r="M117" s="3">
        <f t="shared" si="16"/>
        <v>18392.603481032264</v>
      </c>
      <c r="N117" s="3">
        <f t="shared" si="17"/>
        <v>31334.012045194482</v>
      </c>
      <c r="O117" s="3">
        <f t="shared" si="18"/>
        <v>-58455.052531943351</v>
      </c>
      <c r="P117" s="3">
        <f t="shared" si="19"/>
        <v>66323.551453165186</v>
      </c>
    </row>
    <row r="118" spans="1:16" x14ac:dyDescent="0.25">
      <c r="A118">
        <f t="shared" si="20"/>
        <v>21</v>
      </c>
      <c r="B118">
        <f t="shared" si="7"/>
        <v>-32750.664025319435</v>
      </c>
      <c r="C118">
        <f t="shared" si="8"/>
        <v>20282.589660067104</v>
      </c>
      <c r="D118">
        <f t="shared" si="9"/>
        <v>7166.6960397500934</v>
      </c>
      <c r="E118">
        <f t="shared" si="10"/>
        <v>-16344.925743752499</v>
      </c>
      <c r="F118">
        <f>$C$23*(H118/(J118^2+$C$24^2)^1.5)+$C$32*(K118/(M118^2+$C$33^2)^1.5)+C$41*(N118/(P118^2+$C$42^2)^1.5)</f>
        <v>24386.39843688887</v>
      </c>
      <c r="G118">
        <f>$C$23*(I118/(J118^2+$C$24^2)^1.5)+$C$32*(L118/(M118^2+$C$33^2)^1.5)+C$41*(O118/(P118^2+$C$42^2)^1.5)</f>
        <v>-1604.8622041423037</v>
      </c>
      <c r="H118" s="3">
        <f t="shared" si="11"/>
        <v>52750.664025319435</v>
      </c>
      <c r="I118" s="3">
        <f t="shared" si="12"/>
        <v>-5282.589660067104</v>
      </c>
      <c r="J118" s="3">
        <f t="shared" si="13"/>
        <v>53014.5103592288</v>
      </c>
      <c r="K118" s="3">
        <f t="shared" si="14"/>
        <v>12750.664025319435</v>
      </c>
      <c r="L118" s="3">
        <f t="shared" si="15"/>
        <v>-282.58966006710398</v>
      </c>
      <c r="M118" s="3">
        <f t="shared" si="16"/>
        <v>12753.795121553116</v>
      </c>
      <c r="N118" s="3">
        <f t="shared" si="17"/>
        <v>27750.664025319435</v>
      </c>
      <c r="O118" s="3">
        <f t="shared" si="18"/>
        <v>-50282.589660067104</v>
      </c>
      <c r="P118" s="3">
        <f t="shared" si="19"/>
        <v>57432.030930212153</v>
      </c>
    </row>
    <row r="119" spans="1:16" x14ac:dyDescent="0.25">
      <c r="A119">
        <f t="shared" si="20"/>
        <v>21.5</v>
      </c>
      <c r="B119">
        <f t="shared" si="7"/>
        <v>-23070.716396222168</v>
      </c>
      <c r="C119">
        <f t="shared" si="8"/>
        <v>11708.911237155278</v>
      </c>
      <c r="D119">
        <f t="shared" si="9"/>
        <v>19359.895258194527</v>
      </c>
      <c r="E119">
        <f t="shared" si="10"/>
        <v>-17147.356845823651</v>
      </c>
      <c r="F119">
        <f>$C$23*(H119/(J119^2+$C$24^2)^1.5)+$C$32*(K119/(M119^2+$C$33^2)^1.5)+C$41*(N119/(P119^2+$C$42^2)^1.5)</f>
        <v>9248.8051603261301</v>
      </c>
      <c r="G119">
        <f>$C$23*(I119/(J119^2+$C$24^2)^1.5)+$C$32*(L119/(M119^2+$C$33^2)^1.5)+C$41*(O119/(P119^2+$C$42^2)^1.5)</f>
        <v>20492.578733777365</v>
      </c>
      <c r="H119" s="3">
        <f t="shared" si="11"/>
        <v>43070.716396222168</v>
      </c>
      <c r="I119" s="3">
        <f t="shared" si="12"/>
        <v>3291.0887628447217</v>
      </c>
      <c r="J119" s="3">
        <f t="shared" si="13"/>
        <v>43196.271553557999</v>
      </c>
      <c r="K119" s="3">
        <f t="shared" si="14"/>
        <v>3070.7163962221675</v>
      </c>
      <c r="L119" s="3">
        <f t="shared" si="15"/>
        <v>8291.0887628447217</v>
      </c>
      <c r="M119" s="3">
        <f t="shared" si="16"/>
        <v>8841.4620996415342</v>
      </c>
      <c r="N119" s="3">
        <f t="shared" si="17"/>
        <v>18070.716396222168</v>
      </c>
      <c r="O119" s="3">
        <f t="shared" si="18"/>
        <v>-41708.911237155276</v>
      </c>
      <c r="P119" s="3">
        <f t="shared" si="19"/>
        <v>45455.297465329495</v>
      </c>
    </row>
    <row r="120" spans="1:16" x14ac:dyDescent="0.25">
      <c r="A120">
        <f t="shared" si="20"/>
        <v>22</v>
      </c>
      <c r="B120">
        <f t="shared" si="7"/>
        <v>-11078.567477043372</v>
      </c>
      <c r="C120">
        <f t="shared" si="8"/>
        <v>8258.3774976877939</v>
      </c>
      <c r="D120">
        <f t="shared" si="9"/>
        <v>23984.29783835759</v>
      </c>
      <c r="E120">
        <f t="shared" si="10"/>
        <v>-6901.0674789349687</v>
      </c>
      <c r="F120">
        <f>$C$23*(H120/(J120^2+$C$24^2)^1.5)+$C$32*(K120/(M120^2+$C$33^2)^1.5)+C$41*(N120/(P120^2+$C$42^2)^1.5)</f>
        <v>-12666.196182823256</v>
      </c>
      <c r="G120">
        <f>$C$23*(I120/(J120^2+$C$24^2)^1.5)+$C$32*(L120/(M120^2+$C$33^2)^1.5)+C$41*(O120/(P120^2+$C$42^2)^1.5)</f>
        <v>15438.736711275495</v>
      </c>
      <c r="H120" s="3">
        <f t="shared" si="11"/>
        <v>31078.567477043372</v>
      </c>
      <c r="I120" s="3">
        <f t="shared" si="12"/>
        <v>6741.6225023122061</v>
      </c>
      <c r="J120" s="3">
        <f t="shared" si="13"/>
        <v>31801.365228380058</v>
      </c>
      <c r="K120" s="3">
        <f t="shared" si="14"/>
        <v>-8921.4325229566275</v>
      </c>
      <c r="L120" s="3">
        <f t="shared" si="15"/>
        <v>11741.622502312206</v>
      </c>
      <c r="M120" s="3">
        <f t="shared" si="16"/>
        <v>14746.44558015499</v>
      </c>
      <c r="N120" s="3">
        <f t="shared" si="17"/>
        <v>6078.5674770433725</v>
      </c>
      <c r="O120" s="3">
        <f t="shared" si="18"/>
        <v>-38258.37749768779</v>
      </c>
      <c r="P120" s="3">
        <f t="shared" si="19"/>
        <v>38738.255398617956</v>
      </c>
    </row>
    <row r="121" spans="1:16" x14ac:dyDescent="0.25">
      <c r="A121">
        <f t="shared" si="20"/>
        <v>22.5</v>
      </c>
      <c r="B121">
        <f t="shared" si="7"/>
        <v>-2252.9676035703915</v>
      </c>
      <c r="C121">
        <f t="shared" si="8"/>
        <v>8667.5279360391833</v>
      </c>
      <c r="D121">
        <f t="shared" si="9"/>
        <v>17651.19974694596</v>
      </c>
      <c r="E121">
        <f t="shared" si="10"/>
        <v>818.30087670277862</v>
      </c>
      <c r="F121">
        <f>$C$23*(H121/(J121^2+$C$24^2)^1.5)+$C$32*(K121/(M121^2+$C$33^2)^1.5)+C$41*(N121/(P121^2+$C$42^2)^1.5)</f>
        <v>-13820.26993197527</v>
      </c>
      <c r="G121">
        <f>$C$23*(I121/(J121^2+$C$24^2)^1.5)+$C$32*(L121/(M121^2+$C$33^2)^1.5)+C$41*(O121/(P121^2+$C$42^2)^1.5)</f>
        <v>6997.1659480533199</v>
      </c>
      <c r="H121" s="3">
        <f t="shared" si="11"/>
        <v>22252.967603570392</v>
      </c>
      <c r="I121" s="3">
        <f t="shared" si="12"/>
        <v>6332.4720639608167</v>
      </c>
      <c r="J121" s="3">
        <f t="shared" si="13"/>
        <v>23136.438135685396</v>
      </c>
      <c r="K121" s="3">
        <f t="shared" si="14"/>
        <v>-17747.032396429608</v>
      </c>
      <c r="L121" s="3">
        <f t="shared" si="15"/>
        <v>11332.472063960817</v>
      </c>
      <c r="M121" s="3">
        <f t="shared" si="16"/>
        <v>21056.639854458601</v>
      </c>
      <c r="N121" s="3">
        <f t="shared" si="17"/>
        <v>-2747.0323964296085</v>
      </c>
      <c r="O121" s="3">
        <f t="shared" si="18"/>
        <v>-38667.527936039187</v>
      </c>
      <c r="P121" s="3">
        <f t="shared" si="19"/>
        <v>38764.982957192238</v>
      </c>
    </row>
    <row r="122" spans="1:16" x14ac:dyDescent="0.25">
      <c r="A122">
        <f t="shared" si="20"/>
        <v>23</v>
      </c>
      <c r="B122">
        <f t="shared" si="7"/>
        <v>3117.5647869087711</v>
      </c>
      <c r="C122">
        <f t="shared" si="8"/>
        <v>10825.969861403903</v>
      </c>
      <c r="D122">
        <f t="shared" si="9"/>
        <v>10741.064780958324</v>
      </c>
      <c r="E122">
        <f t="shared" si="10"/>
        <v>4316.8838507294386</v>
      </c>
      <c r="F122">
        <f>$C$23*(H122/(J122^2+$C$24^2)^1.5)+$C$32*(K122/(M122^2+$C$33^2)^1.5)+C$41*(N122/(P122^2+$C$42^2)^1.5)</f>
        <v>-12280.148884717571</v>
      </c>
      <c r="G122">
        <f>$C$23*(I122/(J122^2+$C$24^2)^1.5)+$C$32*(L122/(M122^2+$C$33^2)^1.5)+C$41*(O122/(P122^2+$C$42^2)^1.5)</f>
        <v>3482.4571071077694</v>
      </c>
      <c r="H122" s="3">
        <f t="shared" si="11"/>
        <v>16882.43521309123</v>
      </c>
      <c r="I122" s="3">
        <f t="shared" si="12"/>
        <v>4174.0301385960975</v>
      </c>
      <c r="J122" s="3">
        <f t="shared" si="13"/>
        <v>17390.777622697937</v>
      </c>
      <c r="K122" s="3">
        <f t="shared" si="14"/>
        <v>-23117.56478690877</v>
      </c>
      <c r="L122" s="3">
        <f t="shared" si="15"/>
        <v>9174.0301385960975</v>
      </c>
      <c r="M122" s="3">
        <f t="shared" si="16"/>
        <v>24871.361656748788</v>
      </c>
      <c r="N122" s="3">
        <f t="shared" si="17"/>
        <v>-8117.5647869087716</v>
      </c>
      <c r="O122" s="3">
        <f t="shared" si="18"/>
        <v>-40825.969861403901</v>
      </c>
      <c r="P122" s="3">
        <f t="shared" si="19"/>
        <v>41625.168746732073</v>
      </c>
    </row>
    <row r="123" spans="1:16" x14ac:dyDescent="0.25">
      <c r="A123">
        <f t="shared" si="20"/>
        <v>23.5</v>
      </c>
      <c r="B123">
        <f t="shared" si="7"/>
        <v>5418.0599562085408</v>
      </c>
      <c r="C123">
        <f t="shared" si="8"/>
        <v>13855.026063545563</v>
      </c>
      <c r="D123">
        <f t="shared" si="9"/>
        <v>4600.9903385995385</v>
      </c>
      <c r="E123">
        <f t="shared" si="10"/>
        <v>6058.1124042833235</v>
      </c>
      <c r="F123">
        <f>$C$23*(H123/(J123^2+$C$24^2)^1.5)+$C$32*(K123/(M123^2+$C$33^2)^1.5)+C$41*(N123/(P123^2+$C$42^2)^1.5)</f>
        <v>-11491.413732172665</v>
      </c>
      <c r="G123">
        <f>$C$23*(I123/(J123^2+$C$24^2)^1.5)+$C$32*(L123/(M123^2+$C$33^2)^1.5)+C$41*(O123/(P123^2+$C$42^2)^1.5)</f>
        <v>1466.6612170735525</v>
      </c>
      <c r="H123" s="3">
        <f t="shared" si="11"/>
        <v>14581.940043791459</v>
      </c>
      <c r="I123" s="3">
        <f t="shared" si="12"/>
        <v>1144.9739364544366</v>
      </c>
      <c r="J123" s="3">
        <f t="shared" si="13"/>
        <v>14626.822647310963</v>
      </c>
      <c r="K123" s="3">
        <f t="shared" si="14"/>
        <v>-25418.059956208541</v>
      </c>
      <c r="L123" s="3">
        <f t="shared" si="15"/>
        <v>6144.9739364544366</v>
      </c>
      <c r="M123" s="3">
        <f t="shared" si="16"/>
        <v>26150.305478466526</v>
      </c>
      <c r="N123" s="3">
        <f t="shared" si="17"/>
        <v>-10418.059956208541</v>
      </c>
      <c r="O123" s="3">
        <f t="shared" si="18"/>
        <v>-43855.026063545563</v>
      </c>
      <c r="P123" s="3">
        <f t="shared" si="19"/>
        <v>45075.484293409609</v>
      </c>
    </row>
    <row r="124" spans="1:16" x14ac:dyDescent="0.25">
      <c r="A124">
        <f t="shared" si="20"/>
        <v>24</v>
      </c>
      <c r="B124">
        <f t="shared" si="7"/>
        <v>4845.7016924651434</v>
      </c>
      <c r="C124">
        <f t="shared" si="8"/>
        <v>17250.747569955613</v>
      </c>
      <c r="D124">
        <f t="shared" si="9"/>
        <v>-1144.7165274867939</v>
      </c>
      <c r="E124">
        <f t="shared" si="10"/>
        <v>6791.4430128201002</v>
      </c>
      <c r="F124">
        <f>$C$23*(H124/(J124^2+$C$24^2)^1.5)+$C$32*(K124/(M124^2+$C$33^2)^1.5)+C$41*(N124/(P124^2+$C$42^2)^1.5)</f>
        <v>-12625.724257308262</v>
      </c>
      <c r="G124">
        <f>$C$23*(I124/(J124^2+$C$24^2)^1.5)+$C$32*(L124/(M124^2+$C$33^2)^1.5)+C$41*(O124/(P124^2+$C$42^2)^1.5)</f>
        <v>-365.55594546196039</v>
      </c>
      <c r="H124" s="3">
        <f t="shared" si="11"/>
        <v>15154.298307534857</v>
      </c>
      <c r="I124" s="3">
        <f t="shared" si="12"/>
        <v>-2250.7475699556126</v>
      </c>
      <c r="J124" s="3">
        <f t="shared" si="13"/>
        <v>15320.529423535432</v>
      </c>
      <c r="K124" s="3">
        <f t="shared" si="14"/>
        <v>-24845.701692465143</v>
      </c>
      <c r="L124" s="3">
        <f t="shared" si="15"/>
        <v>2749.2524300443874</v>
      </c>
      <c r="M124" s="3">
        <f t="shared" si="16"/>
        <v>24997.34548937287</v>
      </c>
      <c r="N124" s="3">
        <f t="shared" si="17"/>
        <v>-9845.7016924651434</v>
      </c>
      <c r="O124" s="3">
        <f t="shared" si="18"/>
        <v>-47250.747569955609</v>
      </c>
      <c r="P124" s="3">
        <f t="shared" si="19"/>
        <v>48265.629465870188</v>
      </c>
    </row>
    <row r="125" spans="1:16" x14ac:dyDescent="0.25">
      <c r="A125">
        <f t="shared" si="20"/>
        <v>24.5</v>
      </c>
      <c r="B125">
        <f t="shared" si="7"/>
        <v>1116.9123643946805</v>
      </c>
      <c r="C125">
        <f t="shared" si="8"/>
        <v>20555.08009000017</v>
      </c>
      <c r="D125">
        <f t="shared" si="9"/>
        <v>-7457.578656140925</v>
      </c>
      <c r="E125">
        <f t="shared" si="10"/>
        <v>6608.6650400891203</v>
      </c>
      <c r="F125">
        <f>$C$23*(H125/(J125^2+$C$24^2)^1.5)+$C$32*(K125/(M125^2+$C$33^2)^1.5)+C$41*(N125/(P125^2+$C$42^2)^1.5)</f>
        <v>-16169.45115529774</v>
      </c>
      <c r="G125">
        <f>$C$23*(I125/(J125^2+$C$24^2)^1.5)+$C$32*(L125/(M125^2+$C$33^2)^1.5)+C$41*(O125/(P125^2+$C$42^2)^1.5)</f>
        <v>-2313.6130648577464</v>
      </c>
      <c r="H125" s="3">
        <f t="shared" si="11"/>
        <v>18883.08763560532</v>
      </c>
      <c r="I125" s="3">
        <f t="shared" si="12"/>
        <v>-5555.0800900001705</v>
      </c>
      <c r="J125" s="3">
        <f t="shared" si="13"/>
        <v>19683.239404637308</v>
      </c>
      <c r="K125" s="3">
        <f t="shared" si="14"/>
        <v>-21116.91236439468</v>
      </c>
      <c r="L125" s="3">
        <f t="shared" si="15"/>
        <v>-555.08009000017046</v>
      </c>
      <c r="M125" s="3">
        <f t="shared" si="16"/>
        <v>21124.206534491172</v>
      </c>
      <c r="N125" s="3">
        <f t="shared" si="17"/>
        <v>-6116.9123643946805</v>
      </c>
      <c r="O125" s="3">
        <f t="shared" si="18"/>
        <v>-50555.08009000017</v>
      </c>
      <c r="P125" s="3">
        <f t="shared" si="19"/>
        <v>50923.793454337392</v>
      </c>
    </row>
    <row r="126" spans="1:16" x14ac:dyDescent="0.25">
      <c r="A126">
        <f t="shared" si="20"/>
        <v>25</v>
      </c>
      <c r="B126">
        <f t="shared" si="7"/>
        <v>-6654.239752500217</v>
      </c>
      <c r="C126">
        <f t="shared" si="8"/>
        <v>23281.009343830294</v>
      </c>
      <c r="D126">
        <f t="shared" si="9"/>
        <v>-15542.304233789795</v>
      </c>
      <c r="E126">
        <f t="shared" si="10"/>
        <v>5451.8585076602467</v>
      </c>
      <c r="F126">
        <f>$C$23*(H126/(J126^2+$C$24^2)^1.5)+$C$32*(K126/(M126^2+$C$33^2)^1.5)+C$41*(N126/(P126^2+$C$42^2)^1.5)</f>
        <v>-21752.405163940355</v>
      </c>
      <c r="G126">
        <f>$C$23*(I126/(J126^2+$C$24^2)^1.5)+$C$32*(L126/(M126^2+$C$33^2)^1.5)+C$41*(O126/(P126^2+$C$42^2)^1.5)</f>
        <v>-7098.0090393644796</v>
      </c>
      <c r="H126" s="3">
        <f t="shared" si="11"/>
        <v>26654.239752500216</v>
      </c>
      <c r="I126" s="3">
        <f t="shared" si="12"/>
        <v>-8281.0093438302938</v>
      </c>
      <c r="J126" s="3">
        <f t="shared" si="13"/>
        <v>27910.99447415601</v>
      </c>
      <c r="K126" s="3">
        <f t="shared" si="14"/>
        <v>-13345.760247499784</v>
      </c>
      <c r="L126" s="3">
        <f t="shared" si="15"/>
        <v>-3281.0093438302938</v>
      </c>
      <c r="M126" s="3">
        <f t="shared" si="16"/>
        <v>13743.156074863124</v>
      </c>
      <c r="N126" s="3">
        <f t="shared" si="17"/>
        <v>1654.239752500217</v>
      </c>
      <c r="O126" s="3">
        <f t="shared" si="18"/>
        <v>-53281.009343830294</v>
      </c>
      <c r="P126" s="3">
        <f t="shared" si="19"/>
        <v>53306.683125627715</v>
      </c>
    </row>
    <row r="127" spans="1:16" x14ac:dyDescent="0.25">
      <c r="A127">
        <f t="shared" si="20"/>
        <v>25.5</v>
      </c>
      <c r="B127">
        <f t="shared" si="7"/>
        <v>-19863.493160380203</v>
      </c>
      <c r="C127">
        <f t="shared" si="8"/>
        <v>24232.436337819297</v>
      </c>
      <c r="D127">
        <f t="shared" si="9"/>
        <v>-26418.506815759974</v>
      </c>
      <c r="E127">
        <f t="shared" si="10"/>
        <v>1902.8539879780069</v>
      </c>
      <c r="F127">
        <f>$C$23*(H127/(J127^2+$C$24^2)^1.5)+$C$32*(K127/(M127^2+$C$33^2)^1.5)+C$41*(N127/(P127^2+$C$42^2)^1.5)</f>
        <v>122.45776937207313</v>
      </c>
      <c r="G127">
        <f>$C$23*(I127/(J127^2+$C$24^2)^1.5)+$C$32*(L127/(M127^2+$C$33^2)^1.5)+C$41*(O127/(P127^2+$C$42^2)^1.5)</f>
        <v>-17090.776571133945</v>
      </c>
      <c r="H127" s="3">
        <f t="shared" si="11"/>
        <v>39863.493160380203</v>
      </c>
      <c r="I127" s="3">
        <f t="shared" si="12"/>
        <v>-9232.4363378192975</v>
      </c>
      <c r="J127" s="3">
        <f t="shared" si="13"/>
        <v>40918.650609221775</v>
      </c>
      <c r="K127" s="3">
        <f t="shared" si="14"/>
        <v>-136.50683961979666</v>
      </c>
      <c r="L127" s="3">
        <f t="shared" si="15"/>
        <v>-4232.4363378192975</v>
      </c>
      <c r="M127" s="3">
        <f t="shared" si="16"/>
        <v>4234.6371120742106</v>
      </c>
      <c r="N127" s="3">
        <f t="shared" si="17"/>
        <v>14863.493160380203</v>
      </c>
      <c r="O127" s="3">
        <f t="shared" si="18"/>
        <v>-54232.436337819294</v>
      </c>
      <c r="P127" s="3">
        <f t="shared" si="19"/>
        <v>56232.380174275851</v>
      </c>
    </row>
    <row r="128" spans="1:16" x14ac:dyDescent="0.25">
      <c r="A128">
        <f t="shared" si="20"/>
        <v>26</v>
      </c>
      <c r="B128">
        <f t="shared" si="7"/>
        <v>-33042.132125917175</v>
      </c>
      <c r="C128">
        <f t="shared" si="8"/>
        <v>20911.169189024815</v>
      </c>
      <c r="D128">
        <f t="shared" si="9"/>
        <v>-26357.277931073939</v>
      </c>
      <c r="E128">
        <f t="shared" si="10"/>
        <v>-6642.5342975889653</v>
      </c>
      <c r="F128">
        <f>$C$23*(H128/(J128^2+$C$24^2)^1.5)+$C$32*(K128/(M128^2+$C$33^2)^1.5)+C$41*(N128/(P128^2+$C$42^2)^1.5)</f>
        <v>24156.771158445365</v>
      </c>
      <c r="G128">
        <f>$C$23*(I128/(J128^2+$C$24^2)^1.5)+$C$32*(L128/(M128^2+$C$33^2)^1.5)+C$41*(O128/(P128^2+$C$42^2)^1.5)</f>
        <v>-2694.7306923451774</v>
      </c>
      <c r="H128" s="3">
        <f t="shared" si="11"/>
        <v>53042.132125917175</v>
      </c>
      <c r="I128" s="3">
        <f t="shared" si="12"/>
        <v>-5911.1691890248148</v>
      </c>
      <c r="J128" s="3">
        <f t="shared" si="13"/>
        <v>53370.49467303569</v>
      </c>
      <c r="K128" s="3">
        <f t="shared" si="14"/>
        <v>13042.132125917175</v>
      </c>
      <c r="L128" s="3">
        <f t="shared" si="15"/>
        <v>-911.16918902481484</v>
      </c>
      <c r="M128" s="3">
        <f t="shared" si="16"/>
        <v>13073.922123100971</v>
      </c>
      <c r="N128" s="3">
        <f t="shared" si="17"/>
        <v>28042.132125917175</v>
      </c>
      <c r="O128" s="3">
        <f t="shared" si="18"/>
        <v>-50911.169189024818</v>
      </c>
      <c r="P128" s="3">
        <f t="shared" si="19"/>
        <v>58123.216724136204</v>
      </c>
    </row>
    <row r="129" spans="1:16" x14ac:dyDescent="0.25">
      <c r="A129">
        <f t="shared" si="20"/>
        <v>26.5</v>
      </c>
      <c r="B129">
        <f t="shared" si="7"/>
        <v>-40181.578301842805</v>
      </c>
      <c r="C129">
        <f t="shared" si="8"/>
        <v>16916.219367144036</v>
      </c>
      <c r="D129">
        <f t="shared" si="9"/>
        <v>-14278.892351851257</v>
      </c>
      <c r="E129">
        <f t="shared" si="10"/>
        <v>-7989.8996437615542</v>
      </c>
      <c r="F129">
        <f>$C$23*(H129/(J129^2+$C$24^2)^1.5)+$C$32*(K129/(M129^2+$C$33^2)^1.5)+C$41*(N129/(P129^2+$C$42^2)^1.5)</f>
        <v>18390.251592456152</v>
      </c>
      <c r="G129">
        <f>$C$23*(I129/(J129^2+$C$24^2)^1.5)+$C$32*(L129/(M129^2+$C$33^2)^1.5)+C$41*(O129/(P129^2+$C$42^2)^1.5)</f>
        <v>1743.2212764579813</v>
      </c>
      <c r="H129" s="3">
        <f t="shared" si="11"/>
        <v>60181.578301842805</v>
      </c>
      <c r="I129" s="3">
        <f t="shared" si="12"/>
        <v>-1916.2193671440364</v>
      </c>
      <c r="J129" s="3">
        <f t="shared" si="13"/>
        <v>60212.077389539169</v>
      </c>
      <c r="K129" s="3">
        <f t="shared" si="14"/>
        <v>20181.578301842805</v>
      </c>
      <c r="L129" s="3">
        <f t="shared" si="15"/>
        <v>3083.7806328559636</v>
      </c>
      <c r="M129" s="3">
        <f t="shared" si="16"/>
        <v>20415.822436164304</v>
      </c>
      <c r="N129" s="3">
        <f t="shared" si="17"/>
        <v>35181.578301842805</v>
      </c>
      <c r="O129" s="3">
        <f t="shared" si="18"/>
        <v>-46916.219367144033</v>
      </c>
      <c r="P129" s="3">
        <f t="shared" si="19"/>
        <v>58641.922645106693</v>
      </c>
    </row>
    <row r="130" spans="1:16" x14ac:dyDescent="0.25">
      <c r="A130">
        <f t="shared" si="20"/>
        <v>27</v>
      </c>
      <c r="B130">
        <f t="shared" si="7"/>
        <v>-42723.461579654395</v>
      </c>
      <c r="C130">
        <f t="shared" si="8"/>
        <v>13357.074864377755</v>
      </c>
      <c r="D130">
        <f t="shared" si="9"/>
        <v>-5083.7665556231805</v>
      </c>
      <c r="E130">
        <f t="shared" si="10"/>
        <v>-7118.2890055325634</v>
      </c>
      <c r="F130">
        <f>$C$23*(H130/(J130^2+$C$24^2)^1.5)+$C$32*(K130/(M130^2+$C$33^2)^1.5)+C$41*(N130/(P130^2+$C$42^2)^1.5)</f>
        <v>15520.255121112061</v>
      </c>
      <c r="G130">
        <f>$C$23*(I130/(J130^2+$C$24^2)^1.5)+$C$32*(L130/(M130^2+$C$33^2)^1.5)+C$41*(O130/(P130^2+$C$42^2)^1.5)</f>
        <v>3354.4935920983826</v>
      </c>
      <c r="H130" s="3">
        <f t="shared" si="11"/>
        <v>62723.461579654395</v>
      </c>
      <c r="I130" s="3">
        <f t="shared" si="12"/>
        <v>1642.9251356222449</v>
      </c>
      <c r="J130" s="3">
        <f t="shared" si="13"/>
        <v>62744.974583911026</v>
      </c>
      <c r="K130" s="3">
        <f t="shared" si="14"/>
        <v>22723.461579654395</v>
      </c>
      <c r="L130" s="3">
        <f t="shared" si="15"/>
        <v>6642.9251356222449</v>
      </c>
      <c r="M130" s="3">
        <f t="shared" si="16"/>
        <v>23674.546680338175</v>
      </c>
      <c r="N130" s="3">
        <f t="shared" si="17"/>
        <v>37723.461579654395</v>
      </c>
      <c r="O130" s="3">
        <f t="shared" si="18"/>
        <v>-43357.074864377755</v>
      </c>
      <c r="P130" s="3">
        <f t="shared" si="19"/>
        <v>57470.822983031299</v>
      </c>
    </row>
    <row r="131" spans="1:16" x14ac:dyDescent="0.25">
      <c r="A131">
        <f t="shared" si="20"/>
        <v>27.5</v>
      </c>
      <c r="B131">
        <f t="shared" si="7"/>
        <v>-41385.281077187967</v>
      </c>
      <c r="C131">
        <f t="shared" si="8"/>
        <v>10636.55375963607</v>
      </c>
      <c r="D131">
        <f t="shared" si="9"/>
        <v>2676.3610049328499</v>
      </c>
      <c r="E131">
        <f t="shared" si="10"/>
        <v>-5441.0422094833721</v>
      </c>
      <c r="F131">
        <f>$C$23*(H131/(J131^2+$C$24^2)^1.5)+$C$32*(K131/(M131^2+$C$33^2)^1.5)+C$41*(N131/(P131^2+$C$42^2)^1.5)</f>
        <v>15179.655644764858</v>
      </c>
      <c r="G131">
        <f>$C$23*(I131/(J131^2+$C$24^2)^1.5)+$C$32*(L131/(M131^2+$C$33^2)^1.5)+C$41*(O131/(P131^2+$C$42^2)^1.5)</f>
        <v>5206.8089511492126</v>
      </c>
      <c r="H131" s="3">
        <f t="shared" si="11"/>
        <v>61385.281077187967</v>
      </c>
      <c r="I131" s="3">
        <f t="shared" si="12"/>
        <v>4363.44624036393</v>
      </c>
      <c r="J131" s="3">
        <f t="shared" si="13"/>
        <v>61540.168963189542</v>
      </c>
      <c r="K131" s="3">
        <f t="shared" si="14"/>
        <v>21385.281077187967</v>
      </c>
      <c r="L131" s="3">
        <f t="shared" si="15"/>
        <v>9363.44624036393</v>
      </c>
      <c r="M131" s="3">
        <f t="shared" si="16"/>
        <v>23345.328702901552</v>
      </c>
      <c r="N131" s="3">
        <f t="shared" si="17"/>
        <v>36385.281077187967</v>
      </c>
      <c r="O131" s="3">
        <f t="shared" si="18"/>
        <v>-40636.553759636066</v>
      </c>
      <c r="P131" s="3">
        <f t="shared" si="19"/>
        <v>54545.560594110357</v>
      </c>
    </row>
    <row r="132" spans="1:16" x14ac:dyDescent="0.25">
      <c r="A132">
        <f t="shared" si="20"/>
        <v>28</v>
      </c>
      <c r="B132">
        <f t="shared" si="7"/>
        <v>-36252.186663530323</v>
      </c>
      <c r="C132">
        <f t="shared" si="8"/>
        <v>9217.7348926816867</v>
      </c>
      <c r="D132">
        <f t="shared" si="9"/>
        <v>10266.18882731528</v>
      </c>
      <c r="E132">
        <f t="shared" si="10"/>
        <v>-2837.6377339087658</v>
      </c>
      <c r="F132">
        <f>$C$23*(H132/(J132^2+$C$24^2)^1.5)+$C$32*(K132/(M132^2+$C$33^2)^1.5)+C$41*(N132/(P132^2+$C$42^2)^1.5)</f>
        <v>16564.926356623102</v>
      </c>
      <c r="G132">
        <f>$C$23*(I132/(J132^2+$C$24^2)^1.5)+$C$32*(L132/(M132^2+$C$33^2)^1.5)+C$41*(O132/(P132^2+$C$42^2)^1.5)</f>
        <v>9021.2603556943704</v>
      </c>
      <c r="H132" s="3">
        <f t="shared" si="11"/>
        <v>56252.186663530323</v>
      </c>
      <c r="I132" s="3">
        <f t="shared" si="12"/>
        <v>5782.2651073183133</v>
      </c>
      <c r="J132" s="3">
        <f t="shared" si="13"/>
        <v>56548.590558916403</v>
      </c>
      <c r="K132" s="3">
        <f t="shared" si="14"/>
        <v>16252.186663530323</v>
      </c>
      <c r="L132" s="3">
        <f t="shared" si="15"/>
        <v>10782.265107318313</v>
      </c>
      <c r="M132" s="3">
        <f t="shared" si="16"/>
        <v>19503.610234793119</v>
      </c>
      <c r="N132" s="3">
        <f t="shared" si="17"/>
        <v>31252.186663530323</v>
      </c>
      <c r="O132" s="3">
        <f t="shared" si="18"/>
        <v>-39217.734892681685</v>
      </c>
      <c r="P132" s="3">
        <f t="shared" si="19"/>
        <v>50147.082680499021</v>
      </c>
    </row>
    <row r="133" spans="1:16" x14ac:dyDescent="0.25">
      <c r="A133">
        <f t="shared" si="20"/>
        <v>28.5</v>
      </c>
      <c r="B133">
        <f t="shared" si="7"/>
        <v>-26977.860660716906</v>
      </c>
      <c r="C133">
        <f t="shared" si="8"/>
        <v>10054.231114650896</v>
      </c>
      <c r="D133">
        <f t="shared" si="9"/>
        <v>18548.652005626831</v>
      </c>
      <c r="E133">
        <f t="shared" si="10"/>
        <v>1672.9924439384195</v>
      </c>
      <c r="F133">
        <f>$C$23*(H133/(J133^2+$C$24^2)^1.5)+$C$32*(K133/(M133^2+$C$33^2)^1.5)+C$41*(N133/(P133^2+$C$42^2)^1.5)</f>
        <v>14844.676556758561</v>
      </c>
      <c r="G133">
        <f>$C$23*(I133/(J133^2+$C$24^2)^1.5)+$C$32*(L133/(M133^2+$C$33^2)^1.5)+C$41*(O133/(P133^2+$C$42^2)^1.5)</f>
        <v>17932.96127805634</v>
      </c>
      <c r="H133" s="3">
        <f t="shared" si="11"/>
        <v>46977.860660716906</v>
      </c>
      <c r="I133" s="3">
        <f t="shared" si="12"/>
        <v>4945.7688853491036</v>
      </c>
      <c r="J133" s="3">
        <f t="shared" si="13"/>
        <v>47237.485349296694</v>
      </c>
      <c r="K133" s="3">
        <f t="shared" si="14"/>
        <v>6977.8606607169058</v>
      </c>
      <c r="L133" s="3">
        <f t="shared" si="15"/>
        <v>9945.7688853491036</v>
      </c>
      <c r="M133" s="3">
        <f t="shared" si="16"/>
        <v>12149.438592838722</v>
      </c>
      <c r="N133" s="3">
        <f t="shared" si="17"/>
        <v>21977.860660716906</v>
      </c>
      <c r="O133" s="3">
        <f t="shared" si="18"/>
        <v>-40054.231114650895</v>
      </c>
      <c r="P133" s="3">
        <f t="shared" si="19"/>
        <v>45687.720334984493</v>
      </c>
    </row>
    <row r="134" spans="1:16" x14ac:dyDescent="0.25">
      <c r="A134">
        <f t="shared" si="20"/>
        <v>29</v>
      </c>
      <c r="B134">
        <f t="shared" si="7"/>
        <v>-13992.365518713848</v>
      </c>
      <c r="C134">
        <f t="shared" si="8"/>
        <v>15373.967656134191</v>
      </c>
      <c r="D134">
        <f t="shared" si="9"/>
        <v>25970.990284006111</v>
      </c>
      <c r="E134">
        <f t="shared" si="10"/>
        <v>10639.47308296659</v>
      </c>
      <c r="F134">
        <f>$C$23*(H134/(J134^2+$C$24^2)^1.5)+$C$32*(K134/(M134^2+$C$33^2)^1.5)+C$41*(N134/(P134^2+$C$42^2)^1.5)</f>
        <v>-17093.678856538201</v>
      </c>
      <c r="G134">
        <f>$C$23*(I134/(J134^2+$C$24^2)^1.5)+$C$32*(L134/(M134^2+$C$33^2)^1.5)+C$41*(O134/(P134^2+$C$42^2)^1.5)</f>
        <v>11976.065901202699</v>
      </c>
      <c r="H134" s="3">
        <f t="shared" si="11"/>
        <v>33992.36551871385</v>
      </c>
      <c r="I134" s="3">
        <f t="shared" si="12"/>
        <v>-373.9676561341912</v>
      </c>
      <c r="J134" s="3">
        <f t="shared" si="13"/>
        <v>33994.422562615779</v>
      </c>
      <c r="K134" s="3">
        <f t="shared" si="14"/>
        <v>-6007.6344812861516</v>
      </c>
      <c r="L134" s="3">
        <f t="shared" si="15"/>
        <v>4626.0323438658088</v>
      </c>
      <c r="M134" s="3">
        <f t="shared" si="16"/>
        <v>7582.3378523533829</v>
      </c>
      <c r="N134" s="3">
        <f t="shared" si="17"/>
        <v>8992.3655187138484</v>
      </c>
      <c r="O134" s="3">
        <f t="shared" si="18"/>
        <v>-45373.967656134191</v>
      </c>
      <c r="P134" s="3">
        <f t="shared" si="19"/>
        <v>46256.454452130951</v>
      </c>
    </row>
    <row r="135" spans="1:16" x14ac:dyDescent="0.25">
      <c r="A135">
        <f t="shared" si="20"/>
        <v>29.5</v>
      </c>
      <c r="B135">
        <f t="shared" si="7"/>
        <v>-5280.290090845343</v>
      </c>
      <c r="C135">
        <f t="shared" si="8"/>
        <v>23687.720672918163</v>
      </c>
      <c r="D135">
        <f t="shared" si="9"/>
        <v>17424.150855737011</v>
      </c>
      <c r="E135">
        <f t="shared" si="10"/>
        <v>16627.506033567937</v>
      </c>
      <c r="F135">
        <f>$C$23*(H135/(J135^2+$C$24^2)^1.5)+$C$32*(K135/(M135^2+$C$33^2)^1.5)+C$41*(N135/(P135^2+$C$42^2)^1.5)</f>
        <v>-20756.626330155581</v>
      </c>
      <c r="G135">
        <f>$C$23*(I135/(J135^2+$C$24^2)^1.5)+$C$32*(L135/(M135^2+$C$33^2)^1.5)+C$41*(O135/(P135^2+$C$42^2)^1.5)</f>
        <v>-6973.717808856406</v>
      </c>
      <c r="H135" s="3">
        <f t="shared" si="11"/>
        <v>25280.290090845345</v>
      </c>
      <c r="I135" s="3">
        <f t="shared" si="12"/>
        <v>-8687.7206729181635</v>
      </c>
      <c r="J135" s="3">
        <f t="shared" si="13"/>
        <v>26731.433885370661</v>
      </c>
      <c r="K135" s="3">
        <f t="shared" si="14"/>
        <v>-14719.709909154657</v>
      </c>
      <c r="L135" s="3">
        <f t="shared" si="15"/>
        <v>-3687.7206729181635</v>
      </c>
      <c r="M135" s="3">
        <f t="shared" si="16"/>
        <v>15174.621694498146</v>
      </c>
      <c r="N135" s="3">
        <f t="shared" si="17"/>
        <v>280.290090845343</v>
      </c>
      <c r="O135" s="3">
        <f t="shared" si="18"/>
        <v>-53687.720672918163</v>
      </c>
      <c r="P135" s="3">
        <f t="shared" si="19"/>
        <v>53688.45232997791</v>
      </c>
    </row>
    <row r="136" spans="1:16" x14ac:dyDescent="0.25">
      <c r="A136">
        <f t="shared" si="20"/>
        <v>30</v>
      </c>
      <c r="B136">
        <f t="shared" si="7"/>
        <v>-1757.3712455157329</v>
      </c>
      <c r="C136">
        <f t="shared" si="8"/>
        <v>30258.044237488029</v>
      </c>
      <c r="D136">
        <f t="shared" si="9"/>
        <v>7045.8376906592202</v>
      </c>
      <c r="E136">
        <f t="shared" si="10"/>
        <v>13140.647129139734</v>
      </c>
      <c r="F136">
        <f>$C$23*(H136/(J136^2+$C$24^2)^1.5)+$C$32*(K136/(M136^2+$C$33^2)^1.5)+C$41*(N136/(P136^2+$C$42^2)^1.5)</f>
        <v>-14589.495547061149</v>
      </c>
      <c r="G136">
        <f>$C$23*(I136/(J136^2+$C$24^2)^1.5)+$C$32*(L136/(M136^2+$C$33^2)^1.5)+C$41*(O136/(P136^2+$C$42^2)^1.5)</f>
        <v>-10001.40689119311</v>
      </c>
      <c r="H136" s="3">
        <f t="shared" si="11"/>
        <v>21757.371245515733</v>
      </c>
      <c r="I136" s="3">
        <f t="shared" si="12"/>
        <v>-15258.044237488029</v>
      </c>
      <c r="J136" s="3">
        <f t="shared" si="13"/>
        <v>26574.256668218142</v>
      </c>
      <c r="K136" s="3">
        <f t="shared" si="14"/>
        <v>-18242.628754484267</v>
      </c>
      <c r="L136" s="3">
        <f t="shared" si="15"/>
        <v>-10258.044237488029</v>
      </c>
      <c r="M136" s="3">
        <f t="shared" si="16"/>
        <v>20928.950653393913</v>
      </c>
      <c r="N136" s="3">
        <f t="shared" si="17"/>
        <v>-3242.6287544842671</v>
      </c>
      <c r="O136" s="3">
        <f t="shared" si="18"/>
        <v>-60258.044237488029</v>
      </c>
      <c r="P136" s="3">
        <f t="shared" si="19"/>
        <v>60345.227951897512</v>
      </c>
    </row>
    <row r="137" spans="1:16" x14ac:dyDescent="0.25">
      <c r="A137">
        <f t="shared" si="20"/>
        <v>30.5</v>
      </c>
      <c r="B137">
        <f t="shared" si="7"/>
        <v>-1881.8262869514101</v>
      </c>
      <c r="C137">
        <f t="shared" si="8"/>
        <v>34328.016079259614</v>
      </c>
      <c r="D137">
        <f t="shared" si="9"/>
        <v>-248.91008287135446</v>
      </c>
      <c r="E137">
        <f t="shared" si="10"/>
        <v>8139.9436835431788</v>
      </c>
      <c r="F137">
        <f>$C$23*(H137/(J137^2+$C$24^2)^1.5)+$C$32*(K137/(M137^2+$C$33^2)^1.5)+C$41*(N137/(P137^2+$C$42^2)^1.5)</f>
        <v>-11866.357046860217</v>
      </c>
      <c r="G137">
        <f>$C$23*(I137/(J137^2+$C$24^2)^1.5)+$C$32*(L137/(M137^2+$C$33^2)^1.5)+C$41*(O137/(P137^2+$C$42^2)^1.5)</f>
        <v>-11058.034374763762</v>
      </c>
      <c r="H137" s="3">
        <f t="shared" si="11"/>
        <v>21881.826286951411</v>
      </c>
      <c r="I137" s="3">
        <f t="shared" si="12"/>
        <v>-19328.016079259614</v>
      </c>
      <c r="J137" s="3">
        <f t="shared" si="13"/>
        <v>29195.659389923632</v>
      </c>
      <c r="K137" s="3">
        <f t="shared" si="14"/>
        <v>-18118.173713048589</v>
      </c>
      <c r="L137" s="3">
        <f t="shared" si="15"/>
        <v>-14328.016079259614</v>
      </c>
      <c r="M137" s="3">
        <f t="shared" si="16"/>
        <v>23098.923426509013</v>
      </c>
      <c r="N137" s="3">
        <f t="shared" si="17"/>
        <v>-3118.1737130485899</v>
      </c>
      <c r="O137" s="3">
        <f t="shared" si="18"/>
        <v>-64328.016079259614</v>
      </c>
      <c r="P137" s="3">
        <f t="shared" si="19"/>
        <v>64403.545399288618</v>
      </c>
    </row>
    <row r="138" spans="1:16" x14ac:dyDescent="0.25">
      <c r="A138">
        <f t="shared" si="20"/>
        <v>31</v>
      </c>
      <c r="B138">
        <f t="shared" si="7"/>
        <v>-4972.8705901021422</v>
      </c>
      <c r="C138">
        <f t="shared" si="8"/>
        <v>35633.479327340268</v>
      </c>
      <c r="D138">
        <f t="shared" si="9"/>
        <v>-6182.0886063014632</v>
      </c>
      <c r="E138">
        <f t="shared" si="10"/>
        <v>2610.926496161298</v>
      </c>
      <c r="F138">
        <f>$C$23*(H138/(J138^2+$C$24^2)^1.5)+$C$32*(K138/(M138^2+$C$33^2)^1.5)+C$41*(N138/(P138^2+$C$42^2)^1.5)</f>
        <v>-11218.320800648171</v>
      </c>
      <c r="G138">
        <f>$C$23*(I138/(J138^2+$C$24^2)^1.5)+$C$32*(L138/(M138^2+$C$33^2)^1.5)+C$41*(O138/(P138^2+$C$42^2)^1.5)</f>
        <v>-13303.12813342329</v>
      </c>
      <c r="H138" s="3">
        <f t="shared" si="11"/>
        <v>24972.870590102142</v>
      </c>
      <c r="I138" s="3">
        <f t="shared" si="12"/>
        <v>-20633.479327340268</v>
      </c>
      <c r="J138" s="3">
        <f t="shared" si="13"/>
        <v>32394.208350595123</v>
      </c>
      <c r="K138" s="3">
        <f t="shared" si="14"/>
        <v>-15027.129409897858</v>
      </c>
      <c r="L138" s="3">
        <f t="shared" si="15"/>
        <v>-15633.479327340268</v>
      </c>
      <c r="M138" s="3">
        <f t="shared" si="16"/>
        <v>21684.56349987688</v>
      </c>
      <c r="N138" s="3">
        <f t="shared" si="17"/>
        <v>-27.12940989785784</v>
      </c>
      <c r="O138" s="3">
        <f t="shared" si="18"/>
        <v>-65633.479327340261</v>
      </c>
      <c r="P138" s="3">
        <f t="shared" si="19"/>
        <v>65633.484934271793</v>
      </c>
    </row>
    <row r="139" spans="1:16" x14ac:dyDescent="0.25">
      <c r="A139">
        <f t="shared" si="20"/>
        <v>31.5</v>
      </c>
      <c r="B139">
        <f t="shared" si="7"/>
        <v>-10868.495093414916</v>
      </c>
      <c r="C139">
        <f t="shared" si="8"/>
        <v>33613.160542065096</v>
      </c>
      <c r="D139">
        <f t="shared" si="9"/>
        <v>-11791.249006625549</v>
      </c>
      <c r="E139">
        <f t="shared" si="10"/>
        <v>-4040.6375705503469</v>
      </c>
      <c r="F139">
        <f>$C$23*(H139/(J139^2+$C$24^2)^1.5)+$C$32*(K139/(M139^2+$C$33^2)^1.5)+C$41*(N139/(P139^2+$C$42^2)^1.5)</f>
        <v>-11341.812343818889</v>
      </c>
      <c r="G139">
        <f>$C$23*(I139/(J139^2+$C$24^2)^1.5)+$C$32*(L139/(M139^2+$C$33^2)^1.5)+C$41*(O139/(P139^2+$C$42^2)^1.5)</f>
        <v>-18731.61765749038</v>
      </c>
      <c r="H139" s="3">
        <f t="shared" si="11"/>
        <v>30868.495093414916</v>
      </c>
      <c r="I139" s="3">
        <f t="shared" si="12"/>
        <v>-18613.160542065096</v>
      </c>
      <c r="J139" s="3">
        <f t="shared" si="13"/>
        <v>36045.994710881125</v>
      </c>
      <c r="K139" s="3">
        <f t="shared" si="14"/>
        <v>-9131.5049065850835</v>
      </c>
      <c r="L139" s="3">
        <f t="shared" si="15"/>
        <v>-13613.160542065096</v>
      </c>
      <c r="M139" s="3">
        <f t="shared" si="16"/>
        <v>16392.148175362054</v>
      </c>
      <c r="N139" s="3">
        <f t="shared" si="17"/>
        <v>5868.4950934149165</v>
      </c>
      <c r="O139" s="3">
        <f t="shared" si="18"/>
        <v>-63613.160542065096</v>
      </c>
      <c r="P139" s="3">
        <f t="shared" si="19"/>
        <v>63883.279728047637</v>
      </c>
    </row>
    <row r="140" spans="1:16" x14ac:dyDescent="0.25">
      <c r="A140">
        <f t="shared" si="20"/>
        <v>32</v>
      </c>
      <c r="B140">
        <f t="shared" si="7"/>
        <v>-19599.572682682414</v>
      </c>
      <c r="C140">
        <f t="shared" si="8"/>
        <v>26909.937342417328</v>
      </c>
      <c r="D140">
        <f t="shared" si="9"/>
        <v>-17462.155178534995</v>
      </c>
      <c r="E140">
        <f t="shared" si="10"/>
        <v>-13406.446399295537</v>
      </c>
      <c r="F140">
        <f>$C$23*(H140/(J140^2+$C$24^2)^1.5)+$C$32*(K140/(M140^2+$C$33^2)^1.5)+C$41*(N140/(P140^2+$C$42^2)^1.5)</f>
        <v>-679.82516118502747</v>
      </c>
      <c r="G140">
        <f>$C$23*(I140/(J140^2+$C$24^2)^1.5)+$C$32*(L140/(M140^2+$C$33^2)^1.5)+C$41*(O140/(P140^2+$C$42^2)^1.5)</f>
        <v>-22880.134300884361</v>
      </c>
      <c r="H140" s="3">
        <f t="shared" si="11"/>
        <v>39599.57268268241</v>
      </c>
      <c r="I140" s="3">
        <f t="shared" si="12"/>
        <v>-11909.937342417328</v>
      </c>
      <c r="J140" s="3">
        <f t="shared" si="13"/>
        <v>41351.816938936965</v>
      </c>
      <c r="K140" s="3">
        <f t="shared" si="14"/>
        <v>-400.42731731758613</v>
      </c>
      <c r="L140" s="3">
        <f t="shared" si="15"/>
        <v>-6909.9373424173282</v>
      </c>
      <c r="M140" s="3">
        <f t="shared" si="16"/>
        <v>6921.5298968210491</v>
      </c>
      <c r="N140" s="3">
        <f t="shared" si="17"/>
        <v>14599.572682682414</v>
      </c>
      <c r="O140" s="3">
        <f t="shared" si="18"/>
        <v>-56909.937342417325</v>
      </c>
      <c r="P140" s="3">
        <f t="shared" si="19"/>
        <v>58752.774324578008</v>
      </c>
    </row>
    <row r="141" spans="1:16" x14ac:dyDescent="0.25">
      <c r="A141">
        <f t="shared" si="20"/>
        <v>32.5</v>
      </c>
      <c r="B141">
        <f t="shared" si="7"/>
        <v>-28500.606562246168</v>
      </c>
      <c r="C141">
        <f t="shared" si="8"/>
        <v>14486.68056754847</v>
      </c>
      <c r="D141">
        <f t="shared" si="9"/>
        <v>-17802.067759127509</v>
      </c>
      <c r="E141">
        <f t="shared" si="10"/>
        <v>-24846.51354973772</v>
      </c>
      <c r="F141">
        <f>$C$23*(H141/(J141^2+$C$24^2)^1.5)+$C$32*(K141/(M141^2+$C$33^2)^1.5)+C$41*(N141/(P141^2+$C$42^2)^1.5)</f>
        <v>21210.380691575796</v>
      </c>
      <c r="G141">
        <f>$C$23*(I141/(J141^2+$C$24^2)^1.5)+$C$32*(L141/(M141^2+$C$33^2)^1.5)+C$41*(O141/(P141^2+$C$42^2)^1.5)</f>
        <v>11763.310695383916</v>
      </c>
      <c r="H141" s="3">
        <f t="shared" si="11"/>
        <v>48500.606562246168</v>
      </c>
      <c r="I141" s="3">
        <f t="shared" si="12"/>
        <v>513.31943245152979</v>
      </c>
      <c r="J141" s="3">
        <f t="shared" si="13"/>
        <v>48503.322914471828</v>
      </c>
      <c r="K141" s="3">
        <f t="shared" si="14"/>
        <v>8500.6065622461683</v>
      </c>
      <c r="L141" s="3">
        <f t="shared" si="15"/>
        <v>5513.3194324515298</v>
      </c>
      <c r="M141" s="3">
        <f t="shared" si="16"/>
        <v>10131.979228677401</v>
      </c>
      <c r="N141" s="3">
        <f t="shared" si="17"/>
        <v>23500.606562246168</v>
      </c>
      <c r="O141" s="3">
        <f t="shared" si="18"/>
        <v>-44486.680567548472</v>
      </c>
      <c r="P141" s="3">
        <f t="shared" si="19"/>
        <v>50312.45627787002</v>
      </c>
    </row>
    <row r="142" spans="1:16" x14ac:dyDescent="0.25">
      <c r="A142">
        <f t="shared" ref="A142:A205" si="21">A141+$C$5</f>
        <v>33</v>
      </c>
      <c r="B142">
        <f t="shared" ref="B142:B205" si="22">B141+D141*(A142-A141)+F141*(A142-A141)^2</f>
        <v>-32099.045268915979</v>
      </c>
      <c r="C142">
        <f t="shared" ref="C142:C205" si="23">C141+E141*(A142-A141)+G141*(A142-A141)^2</f>
        <v>5004.2514665255894</v>
      </c>
      <c r="D142">
        <f t="shared" ref="D142:D205" si="24">D141+F141*(A142-A141)</f>
        <v>-7196.8774133396109</v>
      </c>
      <c r="E142">
        <f t="shared" ref="E142:E205" si="25">E141+G141*(A142-A141)</f>
        <v>-18964.858202045762</v>
      </c>
      <c r="F142">
        <f>$C$23*(H142/(J142^2+$C$24^2)^1.5)+$C$32*(K142/(M142^2+$C$33^2)^1.5)+C$41*(N142/(P142^2+$C$42^2)^1.5)</f>
        <v>13142.593826766262</v>
      </c>
      <c r="G142">
        <f>$C$23*(I142/(J142^2+$C$24^2)^1.5)+$C$32*(L142/(M142^2+$C$33^2)^1.5)+C$41*(O142/(P142^2+$C$42^2)^1.5)</f>
        <v>13026.523934624751</v>
      </c>
      <c r="H142" s="3">
        <f t="shared" ref="H142:H205" si="26">$C$19-B142</f>
        <v>52099.045268915979</v>
      </c>
      <c r="I142" s="3">
        <f t="shared" ref="I142:I205" si="27">$D$19-C142</f>
        <v>9995.7485334744106</v>
      </c>
      <c r="J142" s="3">
        <f t="shared" ref="J142:J205" si="28">SQRT(H142^2+I142^2)</f>
        <v>53049.27432752509</v>
      </c>
      <c r="K142" s="3">
        <f t="shared" ref="K142:K205" si="29">$C$28-B142</f>
        <v>12099.045268915979</v>
      </c>
      <c r="L142" s="3">
        <f t="shared" ref="L142:L205" si="30">$D$28-C142</f>
        <v>14995.748533474411</v>
      </c>
      <c r="M142" s="3">
        <f t="shared" ref="M142:M205" si="31">SQRT(K142^2+L142^2)</f>
        <v>19268.092030569038</v>
      </c>
      <c r="N142" s="3">
        <f t="shared" ref="N142:N205" si="32">$C$37-B142</f>
        <v>27099.045268915979</v>
      </c>
      <c r="O142" s="3">
        <f t="shared" ref="O142:O205" si="33">$D$37-C142</f>
        <v>-35004.251466525588</v>
      </c>
      <c r="P142" s="3">
        <f t="shared" ref="P142:P205" si="34">SQRT(N142^2+O142^2)</f>
        <v>44268.000578504973</v>
      </c>
    </row>
    <row r="143" spans="1:16" x14ac:dyDescent="0.25">
      <c r="A143">
        <f t="shared" si="21"/>
        <v>33.5</v>
      </c>
      <c r="B143">
        <f t="shared" si="22"/>
        <v>-32411.835518894219</v>
      </c>
      <c r="C143">
        <f t="shared" si="23"/>
        <v>-1221.5466508411037</v>
      </c>
      <c r="D143">
        <f t="shared" si="24"/>
        <v>-625.5804999564798</v>
      </c>
      <c r="E143">
        <f t="shared" si="25"/>
        <v>-12451.596234733386</v>
      </c>
      <c r="F143">
        <f>$C$23*(H143/(J143^2+$C$24^2)^1.5)+$C$32*(K143/(M143^2+$C$33^2)^1.5)+C$41*(N143/(P143^2+$C$42^2)^1.5)</f>
        <v>9178.1132441979262</v>
      </c>
      <c r="G143">
        <f>$C$23*(I143/(J143^2+$C$24^2)^1.5)+$C$32*(L143/(M143^2+$C$33^2)^1.5)+C$41*(O143/(P143^2+$C$42^2)^1.5)</f>
        <v>10859.494476903526</v>
      </c>
      <c r="H143" s="3">
        <f t="shared" si="26"/>
        <v>52411.835518894222</v>
      </c>
      <c r="I143" s="3">
        <f t="shared" si="27"/>
        <v>16221.546650841105</v>
      </c>
      <c r="J143" s="3">
        <f t="shared" si="28"/>
        <v>54864.734376510343</v>
      </c>
      <c r="K143" s="3">
        <f t="shared" si="29"/>
        <v>12411.835518894219</v>
      </c>
      <c r="L143" s="3">
        <f t="shared" si="30"/>
        <v>21221.546650841105</v>
      </c>
      <c r="M143" s="3">
        <f t="shared" si="31"/>
        <v>24584.704659643758</v>
      </c>
      <c r="N143" s="3">
        <f t="shared" si="32"/>
        <v>27411.835518894219</v>
      </c>
      <c r="O143" s="3">
        <f t="shared" si="33"/>
        <v>-28778.453349158895</v>
      </c>
      <c r="P143" s="3">
        <f t="shared" si="34"/>
        <v>39744.283912087601</v>
      </c>
    </row>
    <row r="144" spans="1:16" x14ac:dyDescent="0.25">
      <c r="A144">
        <f t="shared" si="21"/>
        <v>34</v>
      </c>
      <c r="B144">
        <f t="shared" si="22"/>
        <v>-30430.097457822976</v>
      </c>
      <c r="C144">
        <f t="shared" si="23"/>
        <v>-4732.4711489819147</v>
      </c>
      <c r="D144">
        <f t="shared" si="24"/>
        <v>3963.4761221424833</v>
      </c>
      <c r="E144">
        <f t="shared" si="25"/>
        <v>-7021.8489962816229</v>
      </c>
      <c r="F144">
        <f>$C$23*(H144/(J144^2+$C$24^2)^1.5)+$C$32*(K144/(M144^2+$C$33^2)^1.5)+C$41*(N144/(P144^2+$C$42^2)^1.5)</f>
        <v>7302.3867871730145</v>
      </c>
      <c r="G144">
        <f>$C$23*(I144/(J144^2+$C$24^2)^1.5)+$C$32*(L144/(M144^2+$C$33^2)^1.5)+C$41*(O144/(P144^2+$C$42^2)^1.5)</f>
        <v>10037.923991968299</v>
      </c>
      <c r="H144" s="3">
        <f t="shared" si="26"/>
        <v>50430.09745782298</v>
      </c>
      <c r="I144" s="3">
        <f t="shared" si="27"/>
        <v>19732.471148981916</v>
      </c>
      <c r="J144" s="3">
        <f t="shared" si="28"/>
        <v>54153.16377877591</v>
      </c>
      <c r="K144" s="3">
        <f t="shared" si="29"/>
        <v>10430.097457822976</v>
      </c>
      <c r="L144" s="3">
        <f t="shared" si="30"/>
        <v>24732.471148981916</v>
      </c>
      <c r="M144" s="3">
        <f t="shared" si="31"/>
        <v>26841.796924105289</v>
      </c>
      <c r="N144" s="3">
        <f t="shared" si="32"/>
        <v>25430.097457822976</v>
      </c>
      <c r="O144" s="3">
        <f t="shared" si="33"/>
        <v>-25267.528851018084</v>
      </c>
      <c r="P144" s="3">
        <f t="shared" si="34"/>
        <v>35848.819659110195</v>
      </c>
    </row>
    <row r="145" spans="1:16" x14ac:dyDescent="0.25">
      <c r="A145">
        <f t="shared" si="21"/>
        <v>34.5</v>
      </c>
      <c r="B145">
        <f t="shared" si="22"/>
        <v>-26622.762699958479</v>
      </c>
      <c r="C145">
        <f t="shared" si="23"/>
        <v>-5733.9146491306519</v>
      </c>
      <c r="D145">
        <f t="shared" si="24"/>
        <v>7614.6695157289905</v>
      </c>
      <c r="E145">
        <f t="shared" si="25"/>
        <v>-2002.8870002974736</v>
      </c>
      <c r="F145">
        <f>$C$23*(H145/(J145^2+$C$24^2)^1.5)+$C$32*(K145/(M145^2+$C$33^2)^1.5)+C$41*(N145/(P145^2+$C$42^2)^1.5)</f>
        <v>5779.8286721427994</v>
      </c>
      <c r="G145">
        <f>$C$23*(I145/(J145^2+$C$24^2)^1.5)+$C$32*(L145/(M145^2+$C$33^2)^1.5)+C$41*(O145/(P145^2+$C$42^2)^1.5)</f>
        <v>10300.640245690958</v>
      </c>
      <c r="H145" s="3">
        <f t="shared" si="26"/>
        <v>46622.762699958475</v>
      </c>
      <c r="I145" s="3">
        <f t="shared" si="27"/>
        <v>20733.914649130653</v>
      </c>
      <c r="J145" s="3">
        <f t="shared" si="28"/>
        <v>51025.260591731167</v>
      </c>
      <c r="K145" s="3">
        <f t="shared" si="29"/>
        <v>6622.7626999584791</v>
      </c>
      <c r="L145" s="3">
        <f t="shared" si="30"/>
        <v>25733.914649130653</v>
      </c>
      <c r="M145" s="3">
        <f t="shared" si="31"/>
        <v>26572.454703107549</v>
      </c>
      <c r="N145" s="3">
        <f t="shared" si="32"/>
        <v>21622.762699958479</v>
      </c>
      <c r="O145" s="3">
        <f t="shared" si="33"/>
        <v>-24266.085350869347</v>
      </c>
      <c r="P145" s="3">
        <f t="shared" si="34"/>
        <v>32502.104009346713</v>
      </c>
    </row>
    <row r="146" spans="1:16" x14ac:dyDescent="0.25">
      <c r="A146">
        <f t="shared" si="21"/>
        <v>35</v>
      </c>
      <c r="B146">
        <f t="shared" si="22"/>
        <v>-21370.470774058285</v>
      </c>
      <c r="C146">
        <f t="shared" si="23"/>
        <v>-4160.1980878566501</v>
      </c>
      <c r="D146">
        <f t="shared" si="24"/>
        <v>10504.583851800391</v>
      </c>
      <c r="E146">
        <f t="shared" si="25"/>
        <v>3147.4331225480055</v>
      </c>
      <c r="F146">
        <f>$C$23*(H146/(J146^2+$C$24^2)^1.5)+$C$32*(K146/(M146^2+$C$33^2)^1.5)+C$41*(N146/(P146^2+$C$42^2)^1.5)</f>
        <v>3121.3655080529643</v>
      </c>
      <c r="G146">
        <f>$C$23*(I146/(J146^2+$C$24^2)^1.5)+$C$32*(L146/(M146^2+$C$33^2)^1.5)+C$41*(O146/(P146^2+$C$42^2)^1.5)</f>
        <v>11656.471915454458</v>
      </c>
      <c r="H146" s="3">
        <f t="shared" si="26"/>
        <v>41370.470774058282</v>
      </c>
      <c r="I146" s="3">
        <f t="shared" si="27"/>
        <v>19160.19808785665</v>
      </c>
      <c r="J146" s="3">
        <f t="shared" si="28"/>
        <v>45591.984414292783</v>
      </c>
      <c r="K146" s="3">
        <f t="shared" si="29"/>
        <v>1370.4707740582853</v>
      </c>
      <c r="L146" s="3">
        <f t="shared" si="30"/>
        <v>24160.19808785665</v>
      </c>
      <c r="M146" s="3">
        <f t="shared" si="31"/>
        <v>24199.036381373124</v>
      </c>
      <c r="N146" s="3">
        <f t="shared" si="32"/>
        <v>16370.470774058285</v>
      </c>
      <c r="O146" s="3">
        <f t="shared" si="33"/>
        <v>-25839.80191214335</v>
      </c>
      <c r="P146" s="3">
        <f t="shared" si="34"/>
        <v>30589.012344681931</v>
      </c>
    </row>
    <row r="147" spans="1:16" x14ac:dyDescent="0.25">
      <c r="A147">
        <f t="shared" si="21"/>
        <v>35.5</v>
      </c>
      <c r="B147">
        <f t="shared" si="22"/>
        <v>-15337.837471144849</v>
      </c>
      <c r="C147">
        <f t="shared" si="23"/>
        <v>327.63645228096721</v>
      </c>
      <c r="D147">
        <f t="shared" si="24"/>
        <v>12065.266605826873</v>
      </c>
      <c r="E147">
        <f t="shared" si="25"/>
        <v>8975.6690802752346</v>
      </c>
      <c r="F147">
        <f>$C$23*(H147/(J147^2+$C$24^2)^1.5)+$C$32*(K147/(M147^2+$C$33^2)^1.5)+C$41*(N147/(P147^2+$C$42^2)^1.5)</f>
        <v>-2664.173817055821</v>
      </c>
      <c r="G147">
        <f>$C$23*(I147/(J147^2+$C$24^2)^1.5)+$C$32*(L147/(M147^2+$C$33^2)^1.5)+C$41*(O147/(P147^2+$C$42^2)^1.5)</f>
        <v>14206.680354772192</v>
      </c>
      <c r="H147" s="3">
        <f t="shared" si="26"/>
        <v>35337.837471144849</v>
      </c>
      <c r="I147" s="3">
        <f t="shared" si="27"/>
        <v>14672.363547719033</v>
      </c>
      <c r="J147" s="3">
        <f t="shared" si="28"/>
        <v>38262.788832147133</v>
      </c>
      <c r="K147" s="3">
        <f t="shared" si="29"/>
        <v>-4662.1625288551513</v>
      </c>
      <c r="L147" s="3">
        <f t="shared" si="30"/>
        <v>19672.363547719033</v>
      </c>
      <c r="M147" s="3">
        <f t="shared" si="31"/>
        <v>20217.261115172983</v>
      </c>
      <c r="N147" s="3">
        <f t="shared" si="32"/>
        <v>10337.837471144849</v>
      </c>
      <c r="O147" s="3">
        <f t="shared" si="33"/>
        <v>-30327.636452280967</v>
      </c>
      <c r="P147" s="3">
        <f t="shared" si="34"/>
        <v>32041.167524944027</v>
      </c>
    </row>
    <row r="148" spans="1:16" x14ac:dyDescent="0.25">
      <c r="A148">
        <f t="shared" si="21"/>
        <v>36</v>
      </c>
      <c r="B148">
        <f t="shared" si="22"/>
        <v>-9971.247622495368</v>
      </c>
      <c r="C148">
        <f t="shared" si="23"/>
        <v>8367.141081111633</v>
      </c>
      <c r="D148">
        <f t="shared" si="24"/>
        <v>10733.179697298963</v>
      </c>
      <c r="E148">
        <f t="shared" si="25"/>
        <v>16079.009257661332</v>
      </c>
      <c r="F148">
        <f>$C$23*(H148/(J148^2+$C$24^2)^1.5)+$C$32*(K148/(M148^2+$C$33^2)^1.5)+C$41*(N148/(P148^2+$C$42^2)^1.5)</f>
        <v>-13480.470385916866</v>
      </c>
      <c r="G148">
        <f>$C$23*(I148/(J148^2+$C$24^2)^1.5)+$C$32*(L148/(M148^2+$C$33^2)^1.5)+C$41*(O148/(P148^2+$C$42^2)^1.5)</f>
        <v>14216.989587044467</v>
      </c>
      <c r="H148" s="3">
        <f t="shared" si="26"/>
        <v>29971.247622495368</v>
      </c>
      <c r="I148" s="3">
        <f t="shared" si="27"/>
        <v>6632.858918888367</v>
      </c>
      <c r="J148" s="3">
        <f t="shared" si="28"/>
        <v>30696.42489748295</v>
      </c>
      <c r="K148" s="3">
        <f t="shared" si="29"/>
        <v>-10028.752377504632</v>
      </c>
      <c r="L148" s="3">
        <f t="shared" si="30"/>
        <v>11632.858918888367</v>
      </c>
      <c r="M148" s="3">
        <f t="shared" si="31"/>
        <v>15359.013017640991</v>
      </c>
      <c r="N148" s="3">
        <f t="shared" si="32"/>
        <v>4971.247622495368</v>
      </c>
      <c r="O148" s="3">
        <f t="shared" si="33"/>
        <v>-38367.141081111637</v>
      </c>
      <c r="P148" s="3">
        <f t="shared" si="34"/>
        <v>38687.863958379639</v>
      </c>
    </row>
    <row r="149" spans="1:16" x14ac:dyDescent="0.25">
      <c r="A149">
        <f t="shared" si="21"/>
        <v>36.5</v>
      </c>
      <c r="B149">
        <f t="shared" si="22"/>
        <v>-7974.7753703251028</v>
      </c>
      <c r="C149">
        <f t="shared" si="23"/>
        <v>19960.893106703414</v>
      </c>
      <c r="D149">
        <f t="shared" si="24"/>
        <v>3992.9445043405303</v>
      </c>
      <c r="E149">
        <f t="shared" si="25"/>
        <v>23187.504051183565</v>
      </c>
      <c r="F149">
        <f>$C$23*(H149/(J149^2+$C$24^2)^1.5)+$C$32*(K149/(M149^2+$C$33^2)^1.5)+C$41*(N149/(P149^2+$C$42^2)^1.5)</f>
        <v>-23220.723507054441</v>
      </c>
      <c r="G149">
        <f>$C$23*(I149/(J149^2+$C$24^2)^1.5)+$C$32*(L149/(M149^2+$C$33^2)^1.5)+C$41*(O149/(P149^2+$C$42^2)^1.5)</f>
        <v>-1604.4565282993647</v>
      </c>
      <c r="H149" s="3">
        <f t="shared" si="26"/>
        <v>27974.775370325104</v>
      </c>
      <c r="I149" s="3">
        <f t="shared" si="27"/>
        <v>-4960.8931067034137</v>
      </c>
      <c r="J149" s="3">
        <f t="shared" si="28"/>
        <v>28411.239280191308</v>
      </c>
      <c r="K149" s="3">
        <f t="shared" si="29"/>
        <v>-12025.224629674896</v>
      </c>
      <c r="L149" s="3">
        <f t="shared" si="30"/>
        <v>39.10689329658635</v>
      </c>
      <c r="M149" s="3">
        <f t="shared" si="31"/>
        <v>12025.288218718213</v>
      </c>
      <c r="N149" s="3">
        <f t="shared" si="32"/>
        <v>2974.7753703251028</v>
      </c>
      <c r="O149" s="3">
        <f t="shared" si="33"/>
        <v>-49960.893106703414</v>
      </c>
      <c r="P149" s="3">
        <f t="shared" si="34"/>
        <v>50049.37690444645</v>
      </c>
    </row>
    <row r="150" spans="1:16" x14ac:dyDescent="0.25">
      <c r="A150">
        <f t="shared" si="21"/>
        <v>37</v>
      </c>
      <c r="B150">
        <f t="shared" si="22"/>
        <v>-11783.483994918448</v>
      </c>
      <c r="C150">
        <f t="shared" si="23"/>
        <v>31153.531000220355</v>
      </c>
      <c r="D150">
        <f t="shared" si="24"/>
        <v>-7617.4172491866902</v>
      </c>
      <c r="E150">
        <f t="shared" si="25"/>
        <v>22385.275787033883</v>
      </c>
      <c r="F150">
        <f>$C$23*(H150/(J150^2+$C$24^2)^1.5)+$C$32*(K150/(M150^2+$C$33^2)^1.5)+C$41*(N150/(P150^2+$C$42^2)^1.5)</f>
        <v>-13171.34708948992</v>
      </c>
      <c r="G150">
        <f>$C$23*(I150/(J150^2+$C$24^2)^1.5)+$C$32*(L150/(M150^2+$C$33^2)^1.5)+C$41*(O150/(P150^2+$C$42^2)^1.5)</f>
        <v>-19761.631034698461</v>
      </c>
      <c r="H150" s="3">
        <f t="shared" si="26"/>
        <v>31783.483994918446</v>
      </c>
      <c r="I150" s="3">
        <f t="shared" si="27"/>
        <v>-16153.531000220355</v>
      </c>
      <c r="J150" s="3">
        <f t="shared" si="28"/>
        <v>35652.859894127949</v>
      </c>
      <c r="K150" s="3">
        <f t="shared" si="29"/>
        <v>-8216.5160050815521</v>
      </c>
      <c r="L150" s="3">
        <f t="shared" si="30"/>
        <v>-11153.531000220355</v>
      </c>
      <c r="M150" s="3">
        <f t="shared" si="31"/>
        <v>13853.24471142547</v>
      </c>
      <c r="N150" s="3">
        <f t="shared" si="32"/>
        <v>6783.4839949184479</v>
      </c>
      <c r="O150" s="3">
        <f t="shared" si="33"/>
        <v>-61153.531000220355</v>
      </c>
      <c r="P150" s="3">
        <f t="shared" si="34"/>
        <v>61528.611303232145</v>
      </c>
    </row>
    <row r="151" spans="1:16" x14ac:dyDescent="0.25">
      <c r="A151">
        <f t="shared" si="21"/>
        <v>37.5</v>
      </c>
      <c r="B151">
        <f t="shared" si="22"/>
        <v>-18885.029391884273</v>
      </c>
      <c r="C151">
        <f t="shared" si="23"/>
        <v>37405.761135062683</v>
      </c>
      <c r="D151">
        <f t="shared" si="24"/>
        <v>-14203.090793931649</v>
      </c>
      <c r="E151">
        <f t="shared" si="25"/>
        <v>12504.460269684652</v>
      </c>
      <c r="F151">
        <f>$C$23*(H151/(J151^2+$C$24^2)^1.5)+$C$32*(K151/(M151^2+$C$33^2)^1.5)+C$41*(N151/(P151^2+$C$42^2)^1.5)</f>
        <v>-900.71675885229149</v>
      </c>
      <c r="G151">
        <f>$C$23*(I151/(J151^2+$C$24^2)^1.5)+$C$32*(L151/(M151^2+$C$33^2)^1.5)+C$41*(O151/(P151^2+$C$42^2)^1.5)</f>
        <v>-21179.445728497485</v>
      </c>
      <c r="H151" s="3">
        <f t="shared" si="26"/>
        <v>38885.029391884273</v>
      </c>
      <c r="I151" s="3">
        <f t="shared" si="27"/>
        <v>-22405.761135062683</v>
      </c>
      <c r="J151" s="3">
        <f t="shared" si="28"/>
        <v>44878.320410295986</v>
      </c>
      <c r="K151" s="3">
        <f t="shared" si="29"/>
        <v>-1114.9706081157274</v>
      </c>
      <c r="L151" s="3">
        <f t="shared" si="30"/>
        <v>-17405.761135062683</v>
      </c>
      <c r="M151" s="3">
        <f t="shared" si="31"/>
        <v>17441.435724957406</v>
      </c>
      <c r="N151" s="3">
        <f t="shared" si="32"/>
        <v>13885.029391884273</v>
      </c>
      <c r="O151" s="3">
        <f t="shared" si="33"/>
        <v>-67405.761135062683</v>
      </c>
      <c r="P151" s="3">
        <f t="shared" si="34"/>
        <v>68821.004609135271</v>
      </c>
    </row>
    <row r="152" spans="1:16" x14ac:dyDescent="0.25">
      <c r="A152">
        <f t="shared" si="21"/>
        <v>38</v>
      </c>
      <c r="B152">
        <f t="shared" si="22"/>
        <v>-26211.753978563171</v>
      </c>
      <c r="C152">
        <f t="shared" si="23"/>
        <v>38363.129837780638</v>
      </c>
      <c r="D152">
        <f t="shared" si="24"/>
        <v>-14653.449173357794</v>
      </c>
      <c r="E152">
        <f t="shared" si="25"/>
        <v>1914.7374054359097</v>
      </c>
      <c r="F152">
        <f>$C$23*(H152/(J152^2+$C$24^2)^1.5)+$C$32*(K152/(M152^2+$C$33^2)^1.5)+C$41*(N152/(P152^2+$C$42^2)^1.5)</f>
        <v>6370.5917351433818</v>
      </c>
      <c r="G152">
        <f>$C$23*(I152/(J152^2+$C$24^2)^1.5)+$C$32*(L152/(M152^2+$C$33^2)^1.5)+C$41*(O152/(P152^2+$C$42^2)^1.5)</f>
        <v>-18474.292286130247</v>
      </c>
      <c r="H152" s="3">
        <f t="shared" si="26"/>
        <v>46211.753978563167</v>
      </c>
      <c r="I152" s="3">
        <f t="shared" si="27"/>
        <v>-23363.129837780638</v>
      </c>
      <c r="J152" s="3">
        <f t="shared" si="28"/>
        <v>51781.869815527563</v>
      </c>
      <c r="K152" s="3">
        <f t="shared" si="29"/>
        <v>6211.7539785631707</v>
      </c>
      <c r="L152" s="3">
        <f t="shared" si="30"/>
        <v>-18363.129837780638</v>
      </c>
      <c r="M152" s="3">
        <f t="shared" si="31"/>
        <v>19385.314671920725</v>
      </c>
      <c r="N152" s="3">
        <f t="shared" si="32"/>
        <v>21211.753978563171</v>
      </c>
      <c r="O152" s="3">
        <f t="shared" si="33"/>
        <v>-68363.129837780638</v>
      </c>
      <c r="P152" s="3">
        <f t="shared" si="34"/>
        <v>71578.320936330609</v>
      </c>
    </row>
    <row r="153" spans="1:16" x14ac:dyDescent="0.25">
      <c r="A153">
        <f t="shared" si="21"/>
        <v>38.5</v>
      </c>
      <c r="B153">
        <f t="shared" si="22"/>
        <v>-31945.830631456221</v>
      </c>
      <c r="C153">
        <f t="shared" si="23"/>
        <v>34701.92546896603</v>
      </c>
      <c r="D153">
        <f t="shared" si="24"/>
        <v>-11468.153305786103</v>
      </c>
      <c r="E153">
        <f t="shared" si="25"/>
        <v>-7322.4087376292136</v>
      </c>
      <c r="F153">
        <f>$C$23*(H153/(J153^2+$C$24^2)^1.5)+$C$32*(K153/(M153^2+$C$33^2)^1.5)+C$41*(N153/(P153^2+$C$42^2)^1.5)</f>
        <v>12445.683037945664</v>
      </c>
      <c r="G153">
        <f>$C$23*(I153/(J153^2+$C$24^2)^1.5)+$C$32*(L153/(M153^2+$C$33^2)^1.5)+C$41*(O153/(P153^2+$C$42^2)^1.5)</f>
        <v>-15555.955608803726</v>
      </c>
      <c r="H153" s="3">
        <f t="shared" si="26"/>
        <v>51945.830631456221</v>
      </c>
      <c r="I153" s="3">
        <f t="shared" si="27"/>
        <v>-19701.92546896603</v>
      </c>
      <c r="J153" s="3">
        <f t="shared" si="28"/>
        <v>55556.594452653662</v>
      </c>
      <c r="K153" s="3">
        <f t="shared" si="29"/>
        <v>11945.830631456221</v>
      </c>
      <c r="L153" s="3">
        <f t="shared" si="30"/>
        <v>-14701.92546896603</v>
      </c>
      <c r="M153" s="3">
        <f t="shared" si="31"/>
        <v>18943.322886190526</v>
      </c>
      <c r="N153" s="3">
        <f t="shared" si="32"/>
        <v>26945.830631456221</v>
      </c>
      <c r="O153" s="3">
        <f t="shared" si="33"/>
        <v>-64701.92546896603</v>
      </c>
      <c r="P153" s="3">
        <f t="shared" si="34"/>
        <v>70088.636367179803</v>
      </c>
    </row>
    <row r="154" spans="1:16" x14ac:dyDescent="0.25">
      <c r="A154">
        <f t="shared" si="21"/>
        <v>39</v>
      </c>
      <c r="B154">
        <f t="shared" si="22"/>
        <v>-34568.486524862863</v>
      </c>
      <c r="C154">
        <f t="shared" si="23"/>
        <v>27151.732197950492</v>
      </c>
      <c r="D154">
        <f t="shared" si="24"/>
        <v>-5245.3117868132713</v>
      </c>
      <c r="E154">
        <f t="shared" si="25"/>
        <v>-15100.386542031076</v>
      </c>
      <c r="F154">
        <f>$C$23*(H154/(J154^2+$C$24^2)^1.5)+$C$32*(K154/(M154^2+$C$33^2)^1.5)+C$41*(N154/(P154^2+$C$42^2)^1.5)</f>
        <v>19692.330468462831</v>
      </c>
      <c r="G154">
        <f>$C$23*(I154/(J154^2+$C$24^2)^1.5)+$C$32*(L154/(M154^2+$C$33^2)^1.5)+C$41*(O154/(P154^2+$C$42^2)^1.5)</f>
        <v>-10270.444468960417</v>
      </c>
      <c r="H154" s="3">
        <f t="shared" si="26"/>
        <v>54568.486524862863</v>
      </c>
      <c r="I154" s="3">
        <f t="shared" si="27"/>
        <v>-12151.732197950492</v>
      </c>
      <c r="J154" s="3">
        <f t="shared" si="28"/>
        <v>55905.136767785894</v>
      </c>
      <c r="K154" s="3">
        <f t="shared" si="29"/>
        <v>14568.486524862863</v>
      </c>
      <c r="L154" s="3">
        <f t="shared" si="30"/>
        <v>-7151.7321979504923</v>
      </c>
      <c r="M154" s="3">
        <f t="shared" si="31"/>
        <v>16229.235134667086</v>
      </c>
      <c r="N154" s="3">
        <f t="shared" si="32"/>
        <v>29568.486524862863</v>
      </c>
      <c r="O154" s="3">
        <f t="shared" si="33"/>
        <v>-57151.732197950492</v>
      </c>
      <c r="P154" s="3">
        <f t="shared" si="34"/>
        <v>64347.617582916369</v>
      </c>
    </row>
    <row r="155" spans="1:16" x14ac:dyDescent="0.25">
      <c r="A155">
        <f t="shared" si="21"/>
        <v>39.5</v>
      </c>
      <c r="B155">
        <f t="shared" si="22"/>
        <v>-32268.059801153788</v>
      </c>
      <c r="C155">
        <f t="shared" si="23"/>
        <v>17033.927809694851</v>
      </c>
      <c r="D155">
        <f t="shared" si="24"/>
        <v>4600.8534474181442</v>
      </c>
      <c r="E155">
        <f t="shared" si="25"/>
        <v>-20235.608776511282</v>
      </c>
      <c r="F155">
        <f>$C$23*(H155/(J155^2+$C$24^2)^1.5)+$C$32*(K155/(M155^2+$C$33^2)^1.5)+C$41*(N155/(P155^2+$C$42^2)^1.5)</f>
        <v>23886.014537435178</v>
      </c>
      <c r="G155">
        <f>$C$23*(I155/(J155^2+$C$24^2)^1.5)+$C$32*(L155/(M155^2+$C$33^2)^1.5)+C$41*(O155/(P155^2+$C$42^2)^1.5)</f>
        <v>4392.1956099527551</v>
      </c>
      <c r="H155" s="3">
        <f t="shared" si="26"/>
        <v>52268.059801153788</v>
      </c>
      <c r="I155" s="3">
        <f t="shared" si="27"/>
        <v>-2033.927809694851</v>
      </c>
      <c r="J155" s="3">
        <f t="shared" si="28"/>
        <v>52307.61835251189</v>
      </c>
      <c r="K155" s="3">
        <f t="shared" si="29"/>
        <v>12268.059801153788</v>
      </c>
      <c r="L155" s="3">
        <f t="shared" si="30"/>
        <v>2966.072190305149</v>
      </c>
      <c r="M155" s="3">
        <f t="shared" si="31"/>
        <v>12621.524294742972</v>
      </c>
      <c r="N155" s="3">
        <f t="shared" si="32"/>
        <v>27268.059801153788</v>
      </c>
      <c r="O155" s="3">
        <f t="shared" si="33"/>
        <v>-47033.927809694855</v>
      </c>
      <c r="P155" s="3">
        <f t="shared" si="34"/>
        <v>54366.69431303403</v>
      </c>
    </row>
    <row r="156" spans="1:16" x14ac:dyDescent="0.25">
      <c r="A156">
        <f t="shared" si="21"/>
        <v>40</v>
      </c>
      <c r="B156">
        <f t="shared" si="22"/>
        <v>-23996.12944308592</v>
      </c>
      <c r="C156">
        <f t="shared" si="23"/>
        <v>8014.1723239273988</v>
      </c>
      <c r="D156">
        <f t="shared" si="24"/>
        <v>16543.860716135732</v>
      </c>
      <c r="E156">
        <f t="shared" si="25"/>
        <v>-18039.510971534906</v>
      </c>
      <c r="F156">
        <f>$C$23*(H156/(J156^2+$C$24^2)^1.5)+$C$32*(K156/(M156^2+$C$33^2)^1.5)+C$41*(N156/(P156^2+$C$42^2)^1.5)</f>
        <v>8701.2914233300198</v>
      </c>
      <c r="G156">
        <f>$C$23*(I156/(J156^2+$C$24^2)^1.5)+$C$32*(L156/(M156^2+$C$33^2)^1.5)+C$41*(O156/(P156^2+$C$42^2)^1.5)</f>
        <v>20589.877773774999</v>
      </c>
      <c r="H156" s="3">
        <f t="shared" si="26"/>
        <v>43996.12944308592</v>
      </c>
      <c r="I156" s="3">
        <f t="shared" si="27"/>
        <v>6985.8276760726012</v>
      </c>
      <c r="J156" s="3">
        <f t="shared" si="28"/>
        <v>44547.291660577459</v>
      </c>
      <c r="K156" s="3">
        <f t="shared" si="29"/>
        <v>3996.1294430859198</v>
      </c>
      <c r="L156" s="3">
        <f t="shared" si="30"/>
        <v>11985.8276760726</v>
      </c>
      <c r="M156" s="3">
        <f t="shared" si="31"/>
        <v>12634.441642051543</v>
      </c>
      <c r="N156" s="3">
        <f t="shared" si="32"/>
        <v>18996.12944308592</v>
      </c>
      <c r="O156" s="3">
        <f t="shared" si="33"/>
        <v>-38014.1723239274</v>
      </c>
      <c r="P156" s="3">
        <f t="shared" si="34"/>
        <v>42496.23784868166</v>
      </c>
    </row>
    <row r="157" spans="1:16" x14ac:dyDescent="0.25">
      <c r="A157">
        <f t="shared" si="21"/>
        <v>40.5</v>
      </c>
      <c r="B157">
        <f t="shared" si="22"/>
        <v>-13548.876229185549</v>
      </c>
      <c r="C157">
        <f t="shared" si="23"/>
        <v>4141.8862816036954</v>
      </c>
      <c r="D157">
        <f t="shared" si="24"/>
        <v>20894.506427800741</v>
      </c>
      <c r="E157">
        <f t="shared" si="25"/>
        <v>-7744.5720846474069</v>
      </c>
      <c r="F157">
        <f>$C$23*(H157/(J157^2+$C$24^2)^1.5)+$C$32*(K157/(M157^2+$C$33^2)^1.5)+C$41*(N157/(P157^2+$C$42^2)^1.5)</f>
        <v>-6613.6970737397914</v>
      </c>
      <c r="G157">
        <f>$C$23*(I157/(J157^2+$C$24^2)^1.5)+$C$32*(L157/(M157^2+$C$33^2)^1.5)+C$41*(O157/(P157^2+$C$42^2)^1.5)</f>
        <v>16216.909611488139</v>
      </c>
      <c r="H157" s="3">
        <f t="shared" si="26"/>
        <v>33548.876229185553</v>
      </c>
      <c r="I157" s="3">
        <f t="shared" si="27"/>
        <v>10858.113718396304</v>
      </c>
      <c r="J157" s="3">
        <f t="shared" si="28"/>
        <v>35262.242267939197</v>
      </c>
      <c r="K157" s="3">
        <f t="shared" si="29"/>
        <v>-6451.1237708144508</v>
      </c>
      <c r="L157" s="3">
        <f t="shared" si="30"/>
        <v>15858.113718396304</v>
      </c>
      <c r="M157" s="3">
        <f t="shared" si="31"/>
        <v>17120.069176611298</v>
      </c>
      <c r="N157" s="3">
        <f t="shared" si="32"/>
        <v>8548.8762291855492</v>
      </c>
      <c r="O157" s="3">
        <f t="shared" si="33"/>
        <v>-34141.886281603693</v>
      </c>
      <c r="P157" s="3">
        <f t="shared" si="34"/>
        <v>35195.90435900024</v>
      </c>
    </row>
    <row r="158" spans="1:16" x14ac:dyDescent="0.25">
      <c r="A158">
        <f t="shared" si="21"/>
        <v>41</v>
      </c>
      <c r="B158">
        <f t="shared" si="22"/>
        <v>-4755.0472837201269</v>
      </c>
      <c r="C158">
        <f t="shared" si="23"/>
        <v>4323.8276421520268</v>
      </c>
      <c r="D158">
        <f t="shared" si="24"/>
        <v>17587.657890930845</v>
      </c>
      <c r="E158">
        <f t="shared" si="25"/>
        <v>363.88272109666286</v>
      </c>
      <c r="F158">
        <f>$C$23*(H158/(J158^2+$C$24^2)^1.5)+$C$32*(K158/(M158^2+$C$33^2)^1.5)+C$41*(N158/(P158^2+$C$42^2)^1.5)</f>
        <v>-10952.525792613285</v>
      </c>
      <c r="G158">
        <f>$C$23*(I158/(J158^2+$C$24^2)^1.5)+$C$32*(L158/(M158^2+$C$33^2)^1.5)+C$41*(O158/(P158^2+$C$42^2)^1.5)</f>
        <v>9010.763510761426</v>
      </c>
      <c r="H158" s="3">
        <f t="shared" si="26"/>
        <v>24755.047283720127</v>
      </c>
      <c r="I158" s="3">
        <f t="shared" si="27"/>
        <v>10676.172357847972</v>
      </c>
      <c r="J158" s="3">
        <f t="shared" si="28"/>
        <v>26959.099061980844</v>
      </c>
      <c r="K158" s="3">
        <f t="shared" si="29"/>
        <v>-15244.952716279873</v>
      </c>
      <c r="L158" s="3">
        <f t="shared" si="30"/>
        <v>15676.172357847972</v>
      </c>
      <c r="M158" s="3">
        <f t="shared" si="31"/>
        <v>21866.66328259906</v>
      </c>
      <c r="N158" s="3">
        <f t="shared" si="32"/>
        <v>-244.95271627987313</v>
      </c>
      <c r="O158" s="3">
        <f t="shared" si="33"/>
        <v>-34323.827642152028</v>
      </c>
      <c r="P158" s="3">
        <f t="shared" si="34"/>
        <v>34324.701686123546</v>
      </c>
    </row>
    <row r="159" spans="1:16" x14ac:dyDescent="0.25">
      <c r="A159">
        <f t="shared" si="21"/>
        <v>41.5</v>
      </c>
      <c r="B159">
        <f t="shared" si="22"/>
        <v>1300.6502135919741</v>
      </c>
      <c r="C159">
        <f t="shared" si="23"/>
        <v>6758.4598803907147</v>
      </c>
      <c r="D159">
        <f t="shared" si="24"/>
        <v>12111.394994624203</v>
      </c>
      <c r="E159">
        <f t="shared" si="25"/>
        <v>4869.2644764773759</v>
      </c>
      <c r="F159">
        <f>$C$23*(H159/(J159^2+$C$24^2)^1.5)+$C$32*(K159/(M159^2+$C$33^2)^1.5)+C$41*(N159/(P159^2+$C$42^2)^1.5)</f>
        <v>-11471.88418605944</v>
      </c>
      <c r="G159">
        <f>$C$23*(I159/(J159^2+$C$24^2)^1.5)+$C$32*(L159/(M159^2+$C$33^2)^1.5)+C$41*(O159/(P159^2+$C$42^2)^1.5)</f>
        <v>5288.8922621170495</v>
      </c>
      <c r="H159" s="3">
        <f t="shared" si="26"/>
        <v>18699.349786408027</v>
      </c>
      <c r="I159" s="3">
        <f t="shared" si="27"/>
        <v>8241.5401196092862</v>
      </c>
      <c r="J159" s="3">
        <f t="shared" si="28"/>
        <v>20434.986321932476</v>
      </c>
      <c r="K159" s="3">
        <f t="shared" si="29"/>
        <v>-21300.650213591973</v>
      </c>
      <c r="L159" s="3">
        <f t="shared" si="30"/>
        <v>13241.540119609286</v>
      </c>
      <c r="M159" s="3">
        <f t="shared" si="31"/>
        <v>25080.990496011476</v>
      </c>
      <c r="N159" s="3">
        <f t="shared" si="32"/>
        <v>-6300.6502135919745</v>
      </c>
      <c r="O159" s="3">
        <f t="shared" si="33"/>
        <v>-36758.459880390714</v>
      </c>
      <c r="P159" s="3">
        <f t="shared" si="34"/>
        <v>37294.538016877625</v>
      </c>
    </row>
    <row r="160" spans="1:16" x14ac:dyDescent="0.25">
      <c r="A160">
        <f t="shared" si="21"/>
        <v>42</v>
      </c>
      <c r="B160">
        <f t="shared" si="22"/>
        <v>4488.3766643892159</v>
      </c>
      <c r="C160">
        <f t="shared" si="23"/>
        <v>10515.315184158666</v>
      </c>
      <c r="D160">
        <f t="shared" si="24"/>
        <v>6375.4529015944827</v>
      </c>
      <c r="E160">
        <f t="shared" si="25"/>
        <v>7513.7106075359006</v>
      </c>
      <c r="F160">
        <f>$C$23*(H160/(J160^2+$C$24^2)^1.5)+$C$32*(K160/(M160^2+$C$33^2)^1.5)+C$41*(N160/(P160^2+$C$42^2)^1.5)</f>
        <v>-11340.874904990889</v>
      </c>
      <c r="G160">
        <f>$C$23*(I160/(J160^2+$C$24^2)^1.5)+$C$32*(L160/(M160^2+$C$33^2)^1.5)+C$41*(O160/(P160^2+$C$42^2)^1.5)</f>
        <v>3168.4503885666832</v>
      </c>
      <c r="H160" s="3">
        <f t="shared" si="26"/>
        <v>15511.623335610784</v>
      </c>
      <c r="I160" s="3">
        <f t="shared" si="27"/>
        <v>4484.6848158413341</v>
      </c>
      <c r="J160" s="3">
        <f t="shared" si="28"/>
        <v>16146.914764229818</v>
      </c>
      <c r="K160" s="3">
        <f t="shared" si="29"/>
        <v>-24488.376664389216</v>
      </c>
      <c r="L160" s="3">
        <f t="shared" si="30"/>
        <v>9484.6848158413341</v>
      </c>
      <c r="M160" s="3">
        <f t="shared" si="31"/>
        <v>26260.994606314009</v>
      </c>
      <c r="N160" s="3">
        <f t="shared" si="32"/>
        <v>-9488.3766643892159</v>
      </c>
      <c r="O160" s="3">
        <f t="shared" si="33"/>
        <v>-40515.315184158666</v>
      </c>
      <c r="P160" s="3">
        <f t="shared" si="34"/>
        <v>41611.537537046665</v>
      </c>
    </row>
    <row r="161" spans="1:16" x14ac:dyDescent="0.25">
      <c r="A161">
        <f t="shared" si="21"/>
        <v>42.5</v>
      </c>
      <c r="B161">
        <f t="shared" si="22"/>
        <v>4840.8843889387354</v>
      </c>
      <c r="C161">
        <f t="shared" si="23"/>
        <v>15064.283085068288</v>
      </c>
      <c r="D161">
        <f t="shared" si="24"/>
        <v>705.01544909903805</v>
      </c>
      <c r="E161">
        <f t="shared" si="25"/>
        <v>9097.9358018192415</v>
      </c>
      <c r="F161">
        <f>$C$23*(H161/(J161^2+$C$24^2)^1.5)+$C$32*(K161/(M161^2+$C$33^2)^1.5)+C$41*(N161/(P161^2+$C$42^2)^1.5)</f>
        <v>-12210.406641999192</v>
      </c>
      <c r="G161">
        <f>$C$23*(I161/(J161^2+$C$24^2)^1.5)+$C$32*(L161/(M161^2+$C$33^2)^1.5)+C$41*(O161/(P161^2+$C$42^2)^1.5)</f>
        <v>932.32013971390006</v>
      </c>
      <c r="H161" s="3">
        <f t="shared" si="26"/>
        <v>15159.115611061265</v>
      </c>
      <c r="I161" s="3">
        <f t="shared" si="27"/>
        <v>-64.283085068287619</v>
      </c>
      <c r="J161" s="3">
        <f t="shared" si="28"/>
        <v>15159.251908473163</v>
      </c>
      <c r="K161" s="3">
        <f t="shared" si="29"/>
        <v>-24840.884388938735</v>
      </c>
      <c r="L161" s="3">
        <f t="shared" si="30"/>
        <v>4935.7169149317124</v>
      </c>
      <c r="M161" s="3">
        <f t="shared" si="31"/>
        <v>25326.484925645786</v>
      </c>
      <c r="N161" s="3">
        <f t="shared" si="32"/>
        <v>-9840.8843889387354</v>
      </c>
      <c r="O161" s="3">
        <f t="shared" si="33"/>
        <v>-45064.283085068288</v>
      </c>
      <c r="P161" s="3">
        <f t="shared" si="34"/>
        <v>46126.268172567674</v>
      </c>
    </row>
    <row r="162" spans="1:16" x14ac:dyDescent="0.25">
      <c r="A162">
        <f t="shared" si="21"/>
        <v>43</v>
      </c>
      <c r="B162">
        <f t="shared" si="22"/>
        <v>2140.7904529884568</v>
      </c>
      <c r="C162">
        <f t="shared" si="23"/>
        <v>19846.331020906386</v>
      </c>
      <c r="D162">
        <f t="shared" si="24"/>
        <v>-5400.1878719005581</v>
      </c>
      <c r="E162">
        <f t="shared" si="25"/>
        <v>9564.0958716761925</v>
      </c>
      <c r="F162">
        <f>$C$23*(H162/(J162^2+$C$24^2)^1.5)+$C$32*(K162/(M162^2+$C$33^2)^1.5)+C$41*(N162/(P162^2+$C$42^2)^1.5)</f>
        <v>-15257.026943253657</v>
      </c>
      <c r="G162">
        <f>$C$23*(I162/(J162^2+$C$24^2)^1.5)+$C$32*(L162/(M162^2+$C$33^2)^1.5)+C$41*(O162/(P162^2+$C$42^2)^1.5)</f>
        <v>-1789.7918114272622</v>
      </c>
      <c r="H162" s="3">
        <f t="shared" si="26"/>
        <v>17859.209547011542</v>
      </c>
      <c r="I162" s="3">
        <f t="shared" si="27"/>
        <v>-4846.3310209063857</v>
      </c>
      <c r="J162" s="3">
        <f t="shared" si="28"/>
        <v>18505.088219413268</v>
      </c>
      <c r="K162" s="3">
        <f t="shared" si="29"/>
        <v>-22140.790452988458</v>
      </c>
      <c r="L162" s="3">
        <f t="shared" si="30"/>
        <v>153.66897909361433</v>
      </c>
      <c r="M162" s="3">
        <f t="shared" si="31"/>
        <v>22141.323719197109</v>
      </c>
      <c r="N162" s="3">
        <f t="shared" si="32"/>
        <v>-7140.7904529884563</v>
      </c>
      <c r="O162" s="3">
        <f t="shared" si="33"/>
        <v>-49846.331020906386</v>
      </c>
      <c r="P162" s="3">
        <f t="shared" si="34"/>
        <v>50355.214273591024</v>
      </c>
    </row>
    <row r="163" spans="1:16" x14ac:dyDescent="0.25">
      <c r="A163">
        <f t="shared" si="21"/>
        <v>43.5</v>
      </c>
      <c r="B163">
        <f t="shared" si="22"/>
        <v>-4373.5602187752365</v>
      </c>
      <c r="C163">
        <f t="shared" si="23"/>
        <v>24180.931003887668</v>
      </c>
      <c r="D163">
        <f t="shared" si="24"/>
        <v>-13028.701343527388</v>
      </c>
      <c r="E163">
        <f t="shared" si="25"/>
        <v>8669.1999659625617</v>
      </c>
      <c r="F163">
        <f>$C$23*(H163/(J163^2+$C$24^2)^1.5)+$C$32*(K163/(M163^2+$C$33^2)^1.5)+C$41*(N163/(P163^2+$C$42^2)^1.5)</f>
        <v>-19908.258262494146</v>
      </c>
      <c r="G163">
        <f>$C$23*(I163/(J163^2+$C$24^2)^1.5)+$C$32*(L163/(M163^2+$C$33^2)^1.5)+C$41*(O163/(P163^2+$C$42^2)^1.5)</f>
        <v>-7119.8245784074916</v>
      </c>
      <c r="H163" s="3">
        <f t="shared" si="26"/>
        <v>24373.560218775237</v>
      </c>
      <c r="I163" s="3">
        <f t="shared" si="27"/>
        <v>-9180.9310038876683</v>
      </c>
      <c r="J163" s="3">
        <f t="shared" si="28"/>
        <v>26045.343764988178</v>
      </c>
      <c r="K163" s="3">
        <f t="shared" si="29"/>
        <v>-15626.439781224763</v>
      </c>
      <c r="L163" s="3">
        <f t="shared" si="30"/>
        <v>-4180.9310038876683</v>
      </c>
      <c r="M163" s="3">
        <f t="shared" si="31"/>
        <v>16176.087422350096</v>
      </c>
      <c r="N163" s="3">
        <f t="shared" si="32"/>
        <v>-626.43978122476346</v>
      </c>
      <c r="O163" s="3">
        <f t="shared" si="33"/>
        <v>-54180.931003887672</v>
      </c>
      <c r="P163" s="3">
        <f t="shared" si="34"/>
        <v>54184.552330415514</v>
      </c>
    </row>
    <row r="164" spans="1:16" x14ac:dyDescent="0.25">
      <c r="A164">
        <f t="shared" si="21"/>
        <v>44</v>
      </c>
      <c r="B164">
        <f t="shared" si="22"/>
        <v>-15864.975456162465</v>
      </c>
      <c r="C164">
        <f t="shared" si="23"/>
        <v>26735.574842267077</v>
      </c>
      <c r="D164">
        <f t="shared" si="24"/>
        <v>-22982.830474774462</v>
      </c>
      <c r="E164">
        <f t="shared" si="25"/>
        <v>5109.2876767588159</v>
      </c>
      <c r="F164">
        <f>$C$23*(H164/(J164^2+$C$24^2)^1.5)+$C$32*(K164/(M164^2+$C$33^2)^1.5)+C$41*(N164/(P164^2+$C$42^2)^1.5)</f>
        <v>-11427.563723676749</v>
      </c>
      <c r="G164">
        <f>$C$23*(I164/(J164^2+$C$24^2)^1.5)+$C$32*(L164/(M164^2+$C$33^2)^1.5)+C$41*(O164/(P164^2+$C$42^2)^1.5)</f>
        <v>-20827.787180561754</v>
      </c>
      <c r="H164" s="3">
        <f t="shared" si="26"/>
        <v>35864.975456162465</v>
      </c>
      <c r="I164" s="3">
        <f t="shared" si="27"/>
        <v>-11735.574842267077</v>
      </c>
      <c r="J164" s="3">
        <f t="shared" si="28"/>
        <v>37736.191929626235</v>
      </c>
      <c r="K164" s="3">
        <f t="shared" si="29"/>
        <v>-4135.024543837535</v>
      </c>
      <c r="L164" s="3">
        <f t="shared" si="30"/>
        <v>-6735.5748422670767</v>
      </c>
      <c r="M164" s="3">
        <f t="shared" si="31"/>
        <v>7903.5685885503626</v>
      </c>
      <c r="N164" s="3">
        <f t="shared" si="32"/>
        <v>10864.975456162465</v>
      </c>
      <c r="O164" s="3">
        <f t="shared" si="33"/>
        <v>-56735.574842267073</v>
      </c>
      <c r="P164" s="3">
        <f t="shared" si="34"/>
        <v>57766.540006698524</v>
      </c>
    </row>
    <row r="165" spans="1:16" x14ac:dyDescent="0.25">
      <c r="A165">
        <f t="shared" si="21"/>
        <v>44.5</v>
      </c>
      <c r="B165">
        <f t="shared" si="22"/>
        <v>-30213.281624468884</v>
      </c>
      <c r="C165">
        <f t="shared" si="23"/>
        <v>24083.271885506045</v>
      </c>
      <c r="D165">
        <f t="shared" si="24"/>
        <v>-28696.612336612838</v>
      </c>
      <c r="E165">
        <f t="shared" si="25"/>
        <v>-5304.6059135220612</v>
      </c>
      <c r="F165">
        <f>$C$23*(H165/(J165^2+$C$24^2)^1.5)+$C$32*(K165/(M165^2+$C$33^2)^1.5)+C$41*(N165/(P165^2+$C$42^2)^1.5)</f>
        <v>23107.78053389963</v>
      </c>
      <c r="G165">
        <f>$C$23*(I165/(J165^2+$C$24^2)^1.5)+$C$32*(L165/(M165^2+$C$33^2)^1.5)+C$41*(O165/(P165^2+$C$42^2)^1.5)</f>
        <v>-10027.986536656485</v>
      </c>
      <c r="H165" s="3">
        <f t="shared" si="26"/>
        <v>50213.281624468887</v>
      </c>
      <c r="I165" s="3">
        <f t="shared" si="27"/>
        <v>-9083.2718855060448</v>
      </c>
      <c r="J165" s="3">
        <f t="shared" si="28"/>
        <v>51028.222383738292</v>
      </c>
      <c r="K165" s="3">
        <f t="shared" si="29"/>
        <v>10213.281624468884</v>
      </c>
      <c r="L165" s="3">
        <f t="shared" si="30"/>
        <v>-4083.2718855060448</v>
      </c>
      <c r="M165" s="3">
        <f t="shared" si="31"/>
        <v>10999.28319626683</v>
      </c>
      <c r="N165" s="3">
        <f t="shared" si="32"/>
        <v>25213.281624468884</v>
      </c>
      <c r="O165" s="3">
        <f t="shared" si="33"/>
        <v>-54083.271885506045</v>
      </c>
      <c r="P165" s="3">
        <f t="shared" si="34"/>
        <v>59671.683972520404</v>
      </c>
    </row>
    <row r="166" spans="1:16" x14ac:dyDescent="0.25">
      <c r="A166">
        <f t="shared" si="21"/>
        <v>45</v>
      </c>
      <c r="B166">
        <f t="shared" si="22"/>
        <v>-38784.642659300393</v>
      </c>
      <c r="C166">
        <f t="shared" si="23"/>
        <v>18923.97229458089</v>
      </c>
      <c r="D166">
        <f t="shared" si="24"/>
        <v>-17142.722069663025</v>
      </c>
      <c r="E166">
        <f t="shared" si="25"/>
        <v>-10318.599181850303</v>
      </c>
      <c r="F166">
        <f>$C$23*(H166/(J166^2+$C$24^2)^1.5)+$C$32*(K166/(M166^2+$C$33^2)^1.5)+C$41*(N166/(P166^2+$C$42^2)^1.5)</f>
        <v>19854.703505200072</v>
      </c>
      <c r="G166">
        <f>$C$23*(I166/(J166^2+$C$24^2)^1.5)+$C$32*(L166/(M166^2+$C$33^2)^1.5)+C$41*(O166/(P166^2+$C$42^2)^1.5)</f>
        <v>146.7576609027418</v>
      </c>
      <c r="H166" s="3">
        <f t="shared" si="26"/>
        <v>58784.642659300393</v>
      </c>
      <c r="I166" s="3">
        <f t="shared" si="27"/>
        <v>-3923.9722945808899</v>
      </c>
      <c r="J166" s="3">
        <f t="shared" si="28"/>
        <v>58915.462920614293</v>
      </c>
      <c r="K166" s="3">
        <f t="shared" si="29"/>
        <v>18784.642659300393</v>
      </c>
      <c r="L166" s="3">
        <f t="shared" si="30"/>
        <v>1076.0277054191101</v>
      </c>
      <c r="M166" s="3">
        <f t="shared" si="31"/>
        <v>18815.43609540947</v>
      </c>
      <c r="N166" s="3">
        <f t="shared" si="32"/>
        <v>33784.642659300393</v>
      </c>
      <c r="O166" s="3">
        <f t="shared" si="33"/>
        <v>-48923.97229458089</v>
      </c>
      <c r="P166" s="3">
        <f t="shared" si="34"/>
        <v>59455.505587771586</v>
      </c>
    </row>
    <row r="167" spans="1:16" x14ac:dyDescent="0.25">
      <c r="A167">
        <f t="shared" si="21"/>
        <v>45.5</v>
      </c>
      <c r="B167">
        <f t="shared" si="22"/>
        <v>-42392.327817831887</v>
      </c>
      <c r="C167">
        <f t="shared" si="23"/>
        <v>13801.362118881423</v>
      </c>
      <c r="D167">
        <f t="shared" si="24"/>
        <v>-7215.3703170629888</v>
      </c>
      <c r="E167">
        <f t="shared" si="25"/>
        <v>-10245.220351398932</v>
      </c>
      <c r="F167">
        <f>$C$23*(H167/(J167^2+$C$24^2)^1.5)+$C$32*(K167/(M167^2+$C$33^2)^1.5)+C$41*(N167/(P167^2+$C$42^2)^1.5)</f>
        <v>15883.40737195875</v>
      </c>
      <c r="G167">
        <f>$C$23*(I167/(J167^2+$C$24^2)^1.5)+$C$32*(L167/(M167^2+$C$33^2)^1.5)+C$41*(O167/(P167^2+$C$42^2)^1.5)</f>
        <v>3226.7809929212308</v>
      </c>
      <c r="H167" s="3">
        <f t="shared" si="26"/>
        <v>62392.327817831887</v>
      </c>
      <c r="I167" s="3">
        <f t="shared" si="27"/>
        <v>1198.6378811185768</v>
      </c>
      <c r="J167" s="3">
        <f t="shared" si="28"/>
        <v>62403.840453115154</v>
      </c>
      <c r="K167" s="3">
        <f t="shared" si="29"/>
        <v>22392.327817831887</v>
      </c>
      <c r="L167" s="3">
        <f t="shared" si="30"/>
        <v>6198.6378811185768</v>
      </c>
      <c r="M167" s="3">
        <f t="shared" si="31"/>
        <v>23234.445478265367</v>
      </c>
      <c r="N167" s="3">
        <f t="shared" si="32"/>
        <v>37392.327817831887</v>
      </c>
      <c r="O167" s="3">
        <f t="shared" si="33"/>
        <v>-43801.362118881421</v>
      </c>
      <c r="P167" s="3">
        <f t="shared" si="34"/>
        <v>57591.192930044308</v>
      </c>
    </row>
    <row r="168" spans="1:16" x14ac:dyDescent="0.25">
      <c r="A168">
        <f t="shared" si="21"/>
        <v>46</v>
      </c>
      <c r="B168">
        <f t="shared" si="22"/>
        <v>-42029.161133373695</v>
      </c>
      <c r="C168">
        <f t="shared" si="23"/>
        <v>9485.4471914122641</v>
      </c>
      <c r="D168">
        <f t="shared" si="24"/>
        <v>726.33336891638646</v>
      </c>
      <c r="E168">
        <f t="shared" si="25"/>
        <v>-8631.8298549383162</v>
      </c>
      <c r="F168">
        <f>$C$23*(H168/(J168^2+$C$24^2)^1.5)+$C$32*(K168/(M168^2+$C$33^2)^1.5)+C$41*(N168/(P168^2+$C$42^2)^1.5)</f>
        <v>14305.63104939034</v>
      </c>
      <c r="G168">
        <f>$C$23*(I168/(J168^2+$C$24^2)^1.5)+$C$32*(L168/(M168^2+$C$33^2)^1.5)+C$41*(O168/(P168^2+$C$42^2)^1.5)</f>
        <v>5341.0175881636715</v>
      </c>
      <c r="H168" s="3">
        <f t="shared" si="26"/>
        <v>62029.161133373695</v>
      </c>
      <c r="I168" s="3">
        <f t="shared" si="27"/>
        <v>5514.5528085877359</v>
      </c>
      <c r="J168" s="3">
        <f t="shared" si="28"/>
        <v>62273.807685003019</v>
      </c>
      <c r="K168" s="3">
        <f t="shared" si="29"/>
        <v>22029.161133373695</v>
      </c>
      <c r="L168" s="3">
        <f t="shared" si="30"/>
        <v>10514.552808587736</v>
      </c>
      <c r="M168" s="3">
        <f t="shared" si="31"/>
        <v>24409.829188356121</v>
      </c>
      <c r="N168" s="3">
        <f t="shared" si="32"/>
        <v>37029.161133373695</v>
      </c>
      <c r="O168" s="3">
        <f t="shared" si="33"/>
        <v>-39485.447191412262</v>
      </c>
      <c r="P168" s="3">
        <f t="shared" si="34"/>
        <v>54131.869671637607</v>
      </c>
    </row>
    <row r="169" spans="1:16" x14ac:dyDescent="0.25">
      <c r="A169">
        <f t="shared" si="21"/>
        <v>46.5</v>
      </c>
      <c r="B169">
        <f t="shared" si="22"/>
        <v>-38089.58668656792</v>
      </c>
      <c r="C169">
        <f t="shared" si="23"/>
        <v>6504.7866609840239</v>
      </c>
      <c r="D169">
        <f t="shared" si="24"/>
        <v>7879.1488936115566</v>
      </c>
      <c r="E169">
        <f t="shared" si="25"/>
        <v>-5961.3210608564805</v>
      </c>
      <c r="F169">
        <f>$C$23*(H169/(J169^2+$C$24^2)^1.5)+$C$32*(K169/(M169^2+$C$33^2)^1.5)+C$41*(N169/(P169^2+$C$42^2)^1.5)</f>
        <v>14090.361984980194</v>
      </c>
      <c r="G169">
        <f>$C$23*(I169/(J169^2+$C$24^2)^1.5)+$C$32*(L169/(M169^2+$C$33^2)^1.5)+C$41*(O169/(P169^2+$C$42^2)^1.5)</f>
        <v>8405.4119790567674</v>
      </c>
      <c r="H169" s="3">
        <f t="shared" si="26"/>
        <v>58089.58668656792</v>
      </c>
      <c r="I169" s="3">
        <f t="shared" si="27"/>
        <v>8495.2133390159761</v>
      </c>
      <c r="J169" s="3">
        <f t="shared" si="28"/>
        <v>58707.484455490718</v>
      </c>
      <c r="K169" s="3">
        <f t="shared" si="29"/>
        <v>18089.58668656792</v>
      </c>
      <c r="L169" s="3">
        <f t="shared" si="30"/>
        <v>13495.213339015976</v>
      </c>
      <c r="M169" s="3">
        <f t="shared" si="31"/>
        <v>22568.870808182011</v>
      </c>
      <c r="N169" s="3">
        <f t="shared" si="32"/>
        <v>33089.58668656792</v>
      </c>
      <c r="O169" s="3">
        <f t="shared" si="33"/>
        <v>-36504.786660984028</v>
      </c>
      <c r="P169" s="3">
        <f t="shared" si="34"/>
        <v>49269.87108012208</v>
      </c>
    </row>
    <row r="170" spans="1:16" x14ac:dyDescent="0.25">
      <c r="A170">
        <f t="shared" si="21"/>
        <v>47</v>
      </c>
      <c r="B170">
        <f t="shared" si="22"/>
        <v>-30627.421743517098</v>
      </c>
      <c r="C170">
        <f t="shared" si="23"/>
        <v>5625.4791253199755</v>
      </c>
      <c r="D170">
        <f t="shared" si="24"/>
        <v>14924.329886101654</v>
      </c>
      <c r="E170">
        <f t="shared" si="25"/>
        <v>-1758.6150713280967</v>
      </c>
      <c r="F170">
        <f>$C$23*(H170/(J170^2+$C$24^2)^1.5)+$C$32*(K170/(M170^2+$C$33^2)^1.5)+C$41*(N170/(P170^2+$C$42^2)^1.5)</f>
        <v>13191.247405825523</v>
      </c>
      <c r="G170">
        <f>$C$23*(I170/(J170^2+$C$24^2)^1.5)+$C$32*(L170/(M170^2+$C$33^2)^1.5)+C$41*(O170/(P170^2+$C$42^2)^1.5)</f>
        <v>14390.012897564386</v>
      </c>
      <c r="H170" s="3">
        <f t="shared" si="26"/>
        <v>50627.421743517101</v>
      </c>
      <c r="I170" s="3">
        <f t="shared" si="27"/>
        <v>9374.5208746800236</v>
      </c>
      <c r="J170" s="3">
        <f t="shared" si="28"/>
        <v>51488.032337872064</v>
      </c>
      <c r="K170" s="3">
        <f t="shared" si="29"/>
        <v>10627.421743517098</v>
      </c>
      <c r="L170" s="3">
        <f t="shared" si="30"/>
        <v>14374.520874680024</v>
      </c>
      <c r="M170" s="3">
        <f t="shared" si="31"/>
        <v>17876.491358518644</v>
      </c>
      <c r="N170" s="3">
        <f t="shared" si="32"/>
        <v>25627.421743517098</v>
      </c>
      <c r="O170" s="3">
        <f t="shared" si="33"/>
        <v>-35625.479125319973</v>
      </c>
      <c r="P170" s="3">
        <f t="shared" si="34"/>
        <v>43885.52731970646</v>
      </c>
    </row>
    <row r="171" spans="1:16" x14ac:dyDescent="0.25">
      <c r="A171">
        <f t="shared" si="21"/>
        <v>47.5</v>
      </c>
      <c r="B171">
        <f t="shared" si="22"/>
        <v>-19867.444949009892</v>
      </c>
      <c r="C171">
        <f t="shared" si="23"/>
        <v>8343.6748140470227</v>
      </c>
      <c r="D171">
        <f t="shared" si="24"/>
        <v>21519.953589014414</v>
      </c>
      <c r="E171">
        <f t="shared" si="25"/>
        <v>5436.3913774540961</v>
      </c>
      <c r="F171">
        <f>$C$23*(H171/(J171^2+$C$24^2)^1.5)+$C$32*(K171/(M171^2+$C$33^2)^1.5)+C$41*(N171/(P171^2+$C$42^2)^1.5)</f>
        <v>857.10921139363836</v>
      </c>
      <c r="G171">
        <f>$C$23*(I171/(J171^2+$C$24^2)^1.5)+$C$32*(L171/(M171^2+$C$33^2)^1.5)+C$41*(O171/(P171^2+$C$42^2)^1.5)</f>
        <v>21969.273126561398</v>
      </c>
      <c r="H171" s="3">
        <f t="shared" si="26"/>
        <v>39867.444949009892</v>
      </c>
      <c r="I171" s="3">
        <f t="shared" si="27"/>
        <v>6656.3251859529773</v>
      </c>
      <c r="J171" s="3">
        <f t="shared" si="28"/>
        <v>40419.300238171942</v>
      </c>
      <c r="K171" s="3">
        <f t="shared" si="29"/>
        <v>-132.5550509901077</v>
      </c>
      <c r="L171" s="3">
        <f t="shared" si="30"/>
        <v>11656.325185952977</v>
      </c>
      <c r="M171" s="3">
        <f t="shared" si="31"/>
        <v>11657.078865746113</v>
      </c>
      <c r="N171" s="3">
        <f t="shared" si="32"/>
        <v>14867.444949009892</v>
      </c>
      <c r="O171" s="3">
        <f t="shared" si="33"/>
        <v>-38343.674814047023</v>
      </c>
      <c r="P171" s="3">
        <f t="shared" si="34"/>
        <v>41125.154316515625</v>
      </c>
    </row>
    <row r="172" spans="1:16" x14ac:dyDescent="0.25">
      <c r="A172">
        <f t="shared" si="21"/>
        <v>48</v>
      </c>
      <c r="B172">
        <f t="shared" si="22"/>
        <v>-8893.1908516542753</v>
      </c>
      <c r="C172">
        <f t="shared" si="23"/>
        <v>16554.188784414422</v>
      </c>
      <c r="D172">
        <f t="shared" si="24"/>
        <v>21948.508194711234</v>
      </c>
      <c r="E172">
        <f t="shared" si="25"/>
        <v>16421.027940734795</v>
      </c>
      <c r="F172">
        <f>$C$23*(H172/(J172^2+$C$24^2)^1.5)+$C$32*(K172/(M172^2+$C$33^2)^1.5)+C$41*(N172/(P172^2+$C$42^2)^1.5)</f>
        <v>-22218.274858978406</v>
      </c>
      <c r="G172">
        <f>$C$23*(I172/(J172^2+$C$24^2)^1.5)+$C$32*(L172/(M172^2+$C$33^2)^1.5)+C$41*(O172/(P172^2+$C$42^2)^1.5)</f>
        <v>5304.3803069542946</v>
      </c>
      <c r="H172" s="3">
        <f t="shared" si="26"/>
        <v>28893.190851654275</v>
      </c>
      <c r="I172" s="3">
        <f t="shared" si="27"/>
        <v>-1554.1887844144221</v>
      </c>
      <c r="J172" s="3">
        <f t="shared" si="28"/>
        <v>28934.961212479928</v>
      </c>
      <c r="K172" s="3">
        <f t="shared" si="29"/>
        <v>-11106.809148345725</v>
      </c>
      <c r="L172" s="3">
        <f t="shared" si="30"/>
        <v>3445.8112155855779</v>
      </c>
      <c r="M172" s="3">
        <f t="shared" si="31"/>
        <v>11629.050880928831</v>
      </c>
      <c r="N172" s="3">
        <f t="shared" si="32"/>
        <v>3893.1908516542753</v>
      </c>
      <c r="O172" s="3">
        <f t="shared" si="33"/>
        <v>-46554.188784414422</v>
      </c>
      <c r="P172" s="3">
        <f t="shared" si="34"/>
        <v>46716.693251794932</v>
      </c>
    </row>
    <row r="173" spans="1:16" x14ac:dyDescent="0.25">
      <c r="A173">
        <f t="shared" si="21"/>
        <v>48.5</v>
      </c>
      <c r="B173">
        <f t="shared" si="22"/>
        <v>-3473.5054690432598</v>
      </c>
      <c r="C173">
        <f t="shared" si="23"/>
        <v>26090.797831520395</v>
      </c>
      <c r="D173">
        <f t="shared" si="24"/>
        <v>10839.370765222031</v>
      </c>
      <c r="E173">
        <f t="shared" si="25"/>
        <v>19073.218094211941</v>
      </c>
      <c r="F173">
        <f>$C$23*(H173/(J173^2+$C$24^2)^1.5)+$C$32*(K173/(M173^2+$C$33^2)^1.5)+C$41*(N173/(P173^2+$C$42^2)^1.5)</f>
        <v>-18238.155969559946</v>
      </c>
      <c r="G173">
        <f>$C$23*(I173/(J173^2+$C$24^2)^1.5)+$C$32*(L173/(M173^2+$C$33^2)^1.5)+C$41*(O173/(P173^2+$C$42^2)^1.5)</f>
        <v>-8537.198583154699</v>
      </c>
      <c r="H173" s="3">
        <f t="shared" si="26"/>
        <v>23473.505469043259</v>
      </c>
      <c r="I173" s="3">
        <f t="shared" si="27"/>
        <v>-11090.797831520395</v>
      </c>
      <c r="J173" s="3">
        <f t="shared" si="28"/>
        <v>25961.726744283813</v>
      </c>
      <c r="K173" s="3">
        <f t="shared" si="29"/>
        <v>-16526.494530956741</v>
      </c>
      <c r="L173" s="3">
        <f t="shared" si="30"/>
        <v>-6090.7978315203945</v>
      </c>
      <c r="M173" s="3">
        <f t="shared" si="31"/>
        <v>17613.143947239991</v>
      </c>
      <c r="N173" s="3">
        <f t="shared" si="32"/>
        <v>-1526.4945309567402</v>
      </c>
      <c r="O173" s="3">
        <f t="shared" si="33"/>
        <v>-56090.797831520395</v>
      </c>
      <c r="P173" s="3">
        <f t="shared" si="34"/>
        <v>56111.565536255839</v>
      </c>
    </row>
    <row r="174" spans="1:16" x14ac:dyDescent="0.25">
      <c r="A174">
        <f t="shared" si="21"/>
        <v>49</v>
      </c>
      <c r="B174">
        <f t="shared" si="22"/>
        <v>-2613.3590788222309</v>
      </c>
      <c r="C174">
        <f t="shared" si="23"/>
        <v>33493.10723283769</v>
      </c>
      <c r="D174">
        <f t="shared" si="24"/>
        <v>1720.2927804420578</v>
      </c>
      <c r="E174">
        <f t="shared" si="25"/>
        <v>14804.618802634592</v>
      </c>
      <c r="F174">
        <f>$C$23*(H174/(J174^2+$C$24^2)^1.5)+$C$32*(K174/(M174^2+$C$33^2)^1.5)+C$41*(N174/(P174^2+$C$42^2)^1.5)</f>
        <v>-12592.775998992265</v>
      </c>
      <c r="G174">
        <f>$C$23*(I174/(J174^2+$C$24^2)^1.5)+$C$32*(L174/(M174^2+$C$33^2)^1.5)+C$41*(O174/(P174^2+$C$42^2)^1.5)</f>
        <v>-11468.044508575958</v>
      </c>
      <c r="H174" s="3">
        <f t="shared" si="26"/>
        <v>22613.359078822232</v>
      </c>
      <c r="I174" s="3">
        <f t="shared" si="27"/>
        <v>-18493.10723283769</v>
      </c>
      <c r="J174" s="3">
        <f t="shared" si="28"/>
        <v>29212.309459421136</v>
      </c>
      <c r="K174" s="3">
        <f t="shared" si="29"/>
        <v>-17386.640921177768</v>
      </c>
      <c r="L174" s="3">
        <f t="shared" si="30"/>
        <v>-13493.10723283769</v>
      </c>
      <c r="M174" s="3">
        <f t="shared" si="31"/>
        <v>22008.162697481817</v>
      </c>
      <c r="N174" s="3">
        <f t="shared" si="32"/>
        <v>-2386.6409211777691</v>
      </c>
      <c r="O174" s="3">
        <f t="shared" si="33"/>
        <v>-63493.10723283769</v>
      </c>
      <c r="P174" s="3">
        <f t="shared" si="34"/>
        <v>63537.947094372401</v>
      </c>
    </row>
    <row r="175" spans="1:16" x14ac:dyDescent="0.25">
      <c r="A175">
        <f t="shared" si="21"/>
        <v>49.5</v>
      </c>
      <c r="B175">
        <f t="shared" si="22"/>
        <v>-4901.4066883492687</v>
      </c>
      <c r="C175">
        <f t="shared" si="23"/>
        <v>38028.405507010997</v>
      </c>
      <c r="D175">
        <f t="shared" si="24"/>
        <v>-4576.0952190540747</v>
      </c>
      <c r="E175">
        <f t="shared" si="25"/>
        <v>9070.5965483466134</v>
      </c>
      <c r="F175">
        <f>$C$23*(H175/(J175^2+$C$24^2)^1.5)+$C$32*(K175/(M175^2+$C$33^2)^1.5)+C$41*(N175/(P175^2+$C$42^2)^1.5)</f>
        <v>-9514.1336120680498</v>
      </c>
      <c r="G175">
        <f>$C$23*(I175/(J175^2+$C$24^2)^1.5)+$C$32*(L175/(M175^2+$C$33^2)^1.5)+C$41*(O175/(P175^2+$C$42^2)^1.5)</f>
        <v>-12920.909215944295</v>
      </c>
      <c r="H175" s="3">
        <f t="shared" si="26"/>
        <v>24901.406688349271</v>
      </c>
      <c r="I175" s="3">
        <f t="shared" si="27"/>
        <v>-23028.405507010997</v>
      </c>
      <c r="J175" s="3">
        <f t="shared" si="28"/>
        <v>33917.363035087204</v>
      </c>
      <c r="K175" s="3">
        <f t="shared" si="29"/>
        <v>-15098.593311650731</v>
      </c>
      <c r="L175" s="3">
        <f t="shared" si="30"/>
        <v>-18028.405507010997</v>
      </c>
      <c r="M175" s="3">
        <f t="shared" si="31"/>
        <v>23515.759080154072</v>
      </c>
      <c r="N175" s="3">
        <f t="shared" si="32"/>
        <v>-98.593311650731266</v>
      </c>
      <c r="O175" s="3">
        <f t="shared" si="33"/>
        <v>-68028.40550701099</v>
      </c>
      <c r="P175" s="3">
        <f t="shared" si="34"/>
        <v>68028.476952430923</v>
      </c>
    </row>
    <row r="176" spans="1:16" x14ac:dyDescent="0.25">
      <c r="A176">
        <f t="shared" si="21"/>
        <v>50</v>
      </c>
      <c r="B176">
        <f t="shared" si="22"/>
        <v>-9567.9877008933181</v>
      </c>
      <c r="C176">
        <f t="shared" si="23"/>
        <v>39333.47647719823</v>
      </c>
      <c r="D176">
        <f t="shared" si="24"/>
        <v>-9333.1620250880987</v>
      </c>
      <c r="E176">
        <f t="shared" si="25"/>
        <v>2610.1419403744658</v>
      </c>
      <c r="F176">
        <f>$C$23*(H176/(J176^2+$C$24^2)^1.5)+$C$32*(K176/(M176^2+$C$33^2)^1.5)+C$41*(N176/(P176^2+$C$42^2)^1.5)</f>
        <v>-7510.8916005494993</v>
      </c>
      <c r="G176">
        <f>$C$23*(I176/(J176^2+$C$24^2)^1.5)+$C$32*(L176/(M176^2+$C$33^2)^1.5)+C$41*(O176/(P176^2+$C$42^2)^1.5)</f>
        <v>-15581.215301070742</v>
      </c>
      <c r="H176" s="3">
        <f t="shared" si="26"/>
        <v>29567.987700893318</v>
      </c>
      <c r="I176" s="3">
        <f t="shared" si="27"/>
        <v>-24333.47647719823</v>
      </c>
      <c r="J176" s="3">
        <f t="shared" si="28"/>
        <v>38293.393348546932</v>
      </c>
      <c r="K176" s="3">
        <f t="shared" si="29"/>
        <v>-10432.012299106682</v>
      </c>
      <c r="L176" s="3">
        <f t="shared" si="30"/>
        <v>-19333.47647719823</v>
      </c>
      <c r="M176" s="3">
        <f t="shared" si="31"/>
        <v>21968.390776365264</v>
      </c>
      <c r="N176" s="3">
        <f t="shared" si="32"/>
        <v>4567.9877008933181</v>
      </c>
      <c r="O176" s="3">
        <f t="shared" si="33"/>
        <v>-69333.47647719823</v>
      </c>
      <c r="P176" s="3">
        <f t="shared" si="34"/>
        <v>69483.792873228449</v>
      </c>
    </row>
    <row r="177" spans="1:16" x14ac:dyDescent="0.25">
      <c r="A177">
        <f t="shared" si="21"/>
        <v>50.5</v>
      </c>
      <c r="B177">
        <f t="shared" si="22"/>
        <v>-16112.291613574742</v>
      </c>
      <c r="C177">
        <f t="shared" si="23"/>
        <v>36743.243622117778</v>
      </c>
      <c r="D177">
        <f t="shared" si="24"/>
        <v>-13088.607825362848</v>
      </c>
      <c r="E177">
        <f t="shared" si="25"/>
        <v>-5180.4657101609055</v>
      </c>
      <c r="F177">
        <f>$C$23*(H177/(J177^2+$C$24^2)^1.5)+$C$32*(K177/(M177^2+$C$33^2)^1.5)+C$41*(N177/(P177^2+$C$42^2)^1.5)</f>
        <v>-4236.3124610271079</v>
      </c>
      <c r="G177">
        <f>$C$23*(I177/(J177^2+$C$24^2)^1.5)+$C$32*(L177/(M177^2+$C$33^2)^1.5)+C$41*(O177/(P177^2+$C$42^2)^1.5)</f>
        <v>-20958.356302904511</v>
      </c>
      <c r="H177" s="3">
        <f t="shared" si="26"/>
        <v>36112.291613574744</v>
      </c>
      <c r="I177" s="3">
        <f t="shared" si="27"/>
        <v>-21743.243622117778</v>
      </c>
      <c r="J177" s="3">
        <f t="shared" si="28"/>
        <v>42152.89134560791</v>
      </c>
      <c r="K177" s="3">
        <f t="shared" si="29"/>
        <v>-3887.7083864252581</v>
      </c>
      <c r="L177" s="3">
        <f t="shared" si="30"/>
        <v>-16743.243622117778</v>
      </c>
      <c r="M177" s="3">
        <f t="shared" si="31"/>
        <v>17188.673115964157</v>
      </c>
      <c r="N177" s="3">
        <f t="shared" si="32"/>
        <v>11112.291613574742</v>
      </c>
      <c r="O177" s="3">
        <f t="shared" si="33"/>
        <v>-66743.243622117778</v>
      </c>
      <c r="P177" s="3">
        <f t="shared" si="34"/>
        <v>67661.980418152772</v>
      </c>
    </row>
    <row r="178" spans="1:16" x14ac:dyDescent="0.25">
      <c r="A178">
        <f t="shared" si="21"/>
        <v>51</v>
      </c>
      <c r="B178">
        <f t="shared" si="22"/>
        <v>-23715.673641512942</v>
      </c>
      <c r="C178">
        <f t="shared" si="23"/>
        <v>28913.421691311196</v>
      </c>
      <c r="D178">
        <f t="shared" si="24"/>
        <v>-15206.764055876401</v>
      </c>
      <c r="E178">
        <f t="shared" si="25"/>
        <v>-15659.64386161316</v>
      </c>
      <c r="F178">
        <f>$C$23*(H178/(J178^2+$C$24^2)^1.5)+$C$32*(K178/(M178^2+$C$33^2)^1.5)+C$41*(N178/(P178^2+$C$42^2)^1.5)</f>
        <v>9804.212368864979</v>
      </c>
      <c r="G178">
        <f>$C$23*(I178/(J178^2+$C$24^2)^1.5)+$C$32*(L178/(M178^2+$C$33^2)^1.5)+C$41*(O178/(P178^2+$C$42^2)^1.5)</f>
        <v>-23273.59275028824</v>
      </c>
      <c r="H178" s="3">
        <f t="shared" si="26"/>
        <v>43715.673641512942</v>
      </c>
      <c r="I178" s="3">
        <f t="shared" si="27"/>
        <v>-13913.421691311196</v>
      </c>
      <c r="J178" s="3">
        <f t="shared" si="28"/>
        <v>45876.392895382676</v>
      </c>
      <c r="K178" s="3">
        <f t="shared" si="29"/>
        <v>3715.6736415129417</v>
      </c>
      <c r="L178" s="3">
        <f t="shared" si="30"/>
        <v>-8913.4216913111959</v>
      </c>
      <c r="M178" s="3">
        <f t="shared" si="31"/>
        <v>9656.8792504292487</v>
      </c>
      <c r="N178" s="3">
        <f t="shared" si="32"/>
        <v>18715.673641512942</v>
      </c>
      <c r="O178" s="3">
        <f t="shared" si="33"/>
        <v>-58913.421691311196</v>
      </c>
      <c r="P178" s="3">
        <f t="shared" si="34"/>
        <v>61814.785409591765</v>
      </c>
    </row>
    <row r="179" spans="1:16" x14ac:dyDescent="0.25">
      <c r="A179">
        <f t="shared" si="21"/>
        <v>51.5</v>
      </c>
      <c r="B179">
        <f t="shared" si="22"/>
        <v>-28868.0025772349</v>
      </c>
      <c r="C179">
        <f t="shared" si="23"/>
        <v>15265.201572932554</v>
      </c>
      <c r="D179">
        <f t="shared" si="24"/>
        <v>-10304.657871443913</v>
      </c>
      <c r="E179">
        <f t="shared" si="25"/>
        <v>-27296.44023675728</v>
      </c>
      <c r="F179">
        <f>$C$23*(H179/(J179^2+$C$24^2)^1.5)+$C$32*(K179/(M179^2+$C$33^2)^1.5)+C$41*(N179/(P179^2+$C$42^2)^1.5)</f>
        <v>22214.429039933217</v>
      </c>
      <c r="G179">
        <f>$C$23*(I179/(J179^2+$C$24^2)^1.5)+$C$32*(L179/(M179^2+$C$33^2)^1.5)+C$41*(O179/(P179^2+$C$42^2)^1.5)</f>
        <v>10030.105077413589</v>
      </c>
      <c r="H179" s="3">
        <f t="shared" si="26"/>
        <v>48868.002577234904</v>
      </c>
      <c r="I179" s="3">
        <f t="shared" si="27"/>
        <v>-265.20157293255397</v>
      </c>
      <c r="J179" s="3">
        <f t="shared" si="28"/>
        <v>48868.722182628459</v>
      </c>
      <c r="K179" s="3">
        <f t="shared" si="29"/>
        <v>8868.0025772348999</v>
      </c>
      <c r="L179" s="3">
        <f t="shared" si="30"/>
        <v>4734.798427067446</v>
      </c>
      <c r="M179" s="3">
        <f t="shared" si="31"/>
        <v>10052.849638525644</v>
      </c>
      <c r="N179" s="3">
        <f t="shared" si="32"/>
        <v>23868.0025772349</v>
      </c>
      <c r="O179" s="3">
        <f t="shared" si="33"/>
        <v>-45265.20157293255</v>
      </c>
      <c r="P179" s="3">
        <f t="shared" si="34"/>
        <v>51172.45372722621</v>
      </c>
    </row>
    <row r="180" spans="1:16" x14ac:dyDescent="0.25">
      <c r="A180">
        <f t="shared" si="21"/>
        <v>52</v>
      </c>
      <c r="B180">
        <f t="shared" si="22"/>
        <v>-28466.724252973552</v>
      </c>
      <c r="C180">
        <f t="shared" si="23"/>
        <v>4124.5077239073107</v>
      </c>
      <c r="D180">
        <f t="shared" si="24"/>
        <v>802.55664852269547</v>
      </c>
      <c r="E180">
        <f t="shared" si="25"/>
        <v>-22281.387698050487</v>
      </c>
      <c r="F180">
        <f>$C$23*(H180/(J180^2+$C$24^2)^1.5)+$C$32*(K180/(M180^2+$C$33^2)^1.5)+C$41*(N180/(P180^2+$C$42^2)^1.5)</f>
        <v>10787.286813092465</v>
      </c>
      <c r="G180">
        <f>$C$23*(I180/(J180^2+$C$24^2)^1.5)+$C$32*(L180/(M180^2+$C$33^2)^1.5)+C$41*(O180/(P180^2+$C$42^2)^1.5)</f>
        <v>15658.366335852241</v>
      </c>
      <c r="H180" s="3">
        <f t="shared" si="26"/>
        <v>48466.724252973552</v>
      </c>
      <c r="I180" s="3">
        <f t="shared" si="27"/>
        <v>10875.492276092689</v>
      </c>
      <c r="J180" s="3">
        <f t="shared" si="28"/>
        <v>49671.920559417937</v>
      </c>
      <c r="K180" s="3">
        <f t="shared" si="29"/>
        <v>8466.7242529735522</v>
      </c>
      <c r="L180" s="3">
        <f t="shared" si="30"/>
        <v>15875.492276092689</v>
      </c>
      <c r="M180" s="3">
        <f t="shared" si="31"/>
        <v>17992.128128272354</v>
      </c>
      <c r="N180" s="3">
        <f t="shared" si="32"/>
        <v>23466.724252973552</v>
      </c>
      <c r="O180" s="3">
        <f t="shared" si="33"/>
        <v>-34124.507723907314</v>
      </c>
      <c r="P180" s="3">
        <f t="shared" si="34"/>
        <v>41414.600982794786</v>
      </c>
    </row>
    <row r="181" spans="1:16" x14ac:dyDescent="0.25">
      <c r="A181">
        <f t="shared" si="21"/>
        <v>52.5</v>
      </c>
      <c r="B181">
        <f t="shared" si="22"/>
        <v>-25368.624225439089</v>
      </c>
      <c r="C181">
        <f t="shared" si="23"/>
        <v>-3101.5945411548723</v>
      </c>
      <c r="D181">
        <f t="shared" si="24"/>
        <v>6196.2000550689281</v>
      </c>
      <c r="E181">
        <f t="shared" si="25"/>
        <v>-14452.204530124367</v>
      </c>
      <c r="F181">
        <f>$C$23*(H181/(J181^2+$C$24^2)^1.5)+$C$32*(K181/(M181^2+$C$33^2)^1.5)+C$41*(N181/(P181^2+$C$42^2)^1.5)</f>
        <v>5592.7584674348054</v>
      </c>
      <c r="G181">
        <f>$C$23*(I181/(J181^2+$C$24^2)^1.5)+$C$32*(L181/(M181^2+$C$33^2)^1.5)+C$41*(O181/(P181^2+$C$42^2)^1.5)</f>
        <v>12272.975207399455</v>
      </c>
      <c r="H181" s="3">
        <f t="shared" si="26"/>
        <v>45368.624225439089</v>
      </c>
      <c r="I181" s="3">
        <f t="shared" si="27"/>
        <v>18101.594541154871</v>
      </c>
      <c r="J181" s="3">
        <f t="shared" si="28"/>
        <v>48846.492085322432</v>
      </c>
      <c r="K181" s="3">
        <f t="shared" si="29"/>
        <v>5368.6242254390891</v>
      </c>
      <c r="L181" s="3">
        <f t="shared" si="30"/>
        <v>23101.594541154871</v>
      </c>
      <c r="M181" s="3">
        <f t="shared" si="31"/>
        <v>23717.204650166681</v>
      </c>
      <c r="N181" s="3">
        <f t="shared" si="32"/>
        <v>20368.624225439089</v>
      </c>
      <c r="O181" s="3">
        <f t="shared" si="33"/>
        <v>-26898.405458845129</v>
      </c>
      <c r="P181" s="3">
        <f t="shared" si="34"/>
        <v>33740.258876682819</v>
      </c>
    </row>
    <row r="182" spans="1:16" x14ac:dyDescent="0.25">
      <c r="A182">
        <f t="shared" si="21"/>
        <v>53</v>
      </c>
      <c r="B182">
        <f t="shared" si="22"/>
        <v>-20872.334581045925</v>
      </c>
      <c r="C182">
        <f t="shared" si="23"/>
        <v>-7259.453004367193</v>
      </c>
      <c r="D182">
        <f t="shared" si="24"/>
        <v>8992.5792887863317</v>
      </c>
      <c r="E182">
        <f t="shared" si="25"/>
        <v>-8315.7169264246404</v>
      </c>
      <c r="F182">
        <f>$C$23*(H182/(J182^2+$C$24^2)^1.5)+$C$32*(K182/(M182^2+$C$33^2)^1.5)+C$41*(N182/(P182^2+$C$42^2)^1.5)</f>
        <v>3212.7043197741359</v>
      </c>
      <c r="G182">
        <f>$C$23*(I182/(J182^2+$C$24^2)^1.5)+$C$32*(L182/(M182^2+$C$33^2)^1.5)+C$41*(O182/(P182^2+$C$42^2)^1.5)</f>
        <v>9174.7767868827905</v>
      </c>
      <c r="H182" s="3">
        <f t="shared" si="26"/>
        <v>40872.334581045929</v>
      </c>
      <c r="I182" s="3">
        <f t="shared" si="27"/>
        <v>22259.453004367191</v>
      </c>
      <c r="J182" s="3">
        <f t="shared" si="28"/>
        <v>46540.637964671201</v>
      </c>
      <c r="K182" s="3">
        <f t="shared" si="29"/>
        <v>872.33458104592501</v>
      </c>
      <c r="L182" s="3">
        <f t="shared" si="30"/>
        <v>27259.453004367191</v>
      </c>
      <c r="M182" s="3">
        <f t="shared" si="31"/>
        <v>27273.407299393159</v>
      </c>
      <c r="N182" s="3">
        <f t="shared" si="32"/>
        <v>15872.334581045925</v>
      </c>
      <c r="O182" s="3">
        <f t="shared" si="33"/>
        <v>-22740.546995632809</v>
      </c>
      <c r="P182" s="3">
        <f t="shared" si="34"/>
        <v>27731.993846697187</v>
      </c>
    </row>
    <row r="183" spans="1:16" x14ac:dyDescent="0.25">
      <c r="A183">
        <f t="shared" si="21"/>
        <v>53.5</v>
      </c>
      <c r="B183">
        <f t="shared" si="22"/>
        <v>-15572.868856709225</v>
      </c>
      <c r="C183">
        <f t="shared" si="23"/>
        <v>-9123.6172708588165</v>
      </c>
      <c r="D183">
        <f t="shared" si="24"/>
        <v>10598.9314486734</v>
      </c>
      <c r="E183">
        <f t="shared" si="25"/>
        <v>-3728.3285329832452</v>
      </c>
      <c r="F183">
        <f>$C$23*(H183/(J183^2+$C$24^2)^1.5)+$C$32*(K183/(M183^2+$C$33^2)^1.5)+C$41*(N183/(P183^2+$C$42^2)^1.5)</f>
        <v>1184.6308421499966</v>
      </c>
      <c r="G183">
        <f>$C$23*(I183/(J183^2+$C$24^2)^1.5)+$C$32*(L183/(M183^2+$C$33^2)^1.5)+C$41*(O183/(P183^2+$C$42^2)^1.5)</f>
        <v>6247.2134468259328</v>
      </c>
      <c r="H183" s="3">
        <f t="shared" si="26"/>
        <v>35572.868856709225</v>
      </c>
      <c r="I183" s="3">
        <f t="shared" si="27"/>
        <v>24123.617270858816</v>
      </c>
      <c r="J183" s="3">
        <f t="shared" si="28"/>
        <v>42981.134337375399</v>
      </c>
      <c r="K183" s="3">
        <f t="shared" si="29"/>
        <v>-4427.1311432907751</v>
      </c>
      <c r="L183" s="3">
        <f t="shared" si="30"/>
        <v>29123.617270858816</v>
      </c>
      <c r="M183" s="3">
        <f t="shared" si="31"/>
        <v>29458.183465708826</v>
      </c>
      <c r="N183" s="3">
        <f t="shared" si="32"/>
        <v>10572.868856709225</v>
      </c>
      <c r="O183" s="3">
        <f t="shared" si="33"/>
        <v>-20876.382729141184</v>
      </c>
      <c r="P183" s="3">
        <f t="shared" si="34"/>
        <v>23401.045098771894</v>
      </c>
    </row>
    <row r="184" spans="1:16" x14ac:dyDescent="0.25">
      <c r="A184">
        <f t="shared" si="21"/>
        <v>54</v>
      </c>
      <c r="B184">
        <f t="shared" si="22"/>
        <v>-9977.2454218350249</v>
      </c>
      <c r="C184">
        <f t="shared" si="23"/>
        <v>-9425.9781756439552</v>
      </c>
      <c r="D184">
        <f t="shared" si="24"/>
        <v>11191.246869748398</v>
      </c>
      <c r="E184">
        <f t="shared" si="25"/>
        <v>-604.72180957027877</v>
      </c>
      <c r="F184">
        <f>$C$23*(H184/(J184^2+$C$24^2)^1.5)+$C$32*(K184/(M184^2+$C$33^2)^1.5)+C$41*(N184/(P184^2+$C$42^2)^1.5)</f>
        <v>-1556.1151346947554</v>
      </c>
      <c r="G184">
        <f>$C$23*(I184/(J184^2+$C$24^2)^1.5)+$C$32*(L184/(M184^2+$C$33^2)^1.5)+C$41*(O184/(P184^2+$C$42^2)^1.5)</f>
        <v>3615.643308802265</v>
      </c>
      <c r="H184" s="3">
        <f t="shared" si="26"/>
        <v>29977.245421835025</v>
      </c>
      <c r="I184" s="3">
        <f t="shared" si="27"/>
        <v>24425.978175643955</v>
      </c>
      <c r="J184" s="3">
        <f t="shared" si="28"/>
        <v>38668.63913972101</v>
      </c>
      <c r="K184" s="3">
        <f t="shared" si="29"/>
        <v>-10022.754578164975</v>
      </c>
      <c r="L184" s="3">
        <f t="shared" si="30"/>
        <v>29425.978175643955</v>
      </c>
      <c r="M184" s="3">
        <f t="shared" si="31"/>
        <v>31086.070850585176</v>
      </c>
      <c r="N184" s="3">
        <f t="shared" si="32"/>
        <v>4977.2454218350249</v>
      </c>
      <c r="O184" s="3">
        <f t="shared" si="33"/>
        <v>-20574.021824356045</v>
      </c>
      <c r="P184" s="3">
        <f t="shared" si="34"/>
        <v>21167.506844648866</v>
      </c>
    </row>
    <row r="185" spans="1:16" x14ac:dyDescent="0.25">
      <c r="A185">
        <f t="shared" si="21"/>
        <v>54.5</v>
      </c>
      <c r="B185">
        <f t="shared" si="22"/>
        <v>-4770.6507706345146</v>
      </c>
      <c r="C185">
        <f t="shared" si="23"/>
        <v>-8824.428253228527</v>
      </c>
      <c r="D185">
        <f t="shared" si="24"/>
        <v>10413.189302401021</v>
      </c>
      <c r="E185">
        <f t="shared" si="25"/>
        <v>1203.0998448308537</v>
      </c>
      <c r="F185">
        <f>$C$23*(H185/(J185^2+$C$24^2)^1.5)+$C$32*(K185/(M185^2+$C$33^2)^1.5)+C$41*(N185/(P185^2+$C$42^2)^1.5)</f>
        <v>-4424.0587367788103</v>
      </c>
      <c r="G185">
        <f>$C$23*(I185/(J185^2+$C$24^2)^1.5)+$C$32*(L185/(M185^2+$C$33^2)^1.5)+C$41*(O185/(P185^2+$C$42^2)^1.5)</f>
        <v>2209.8547784330231</v>
      </c>
      <c r="H185" s="3">
        <f t="shared" si="26"/>
        <v>24770.650770634515</v>
      </c>
      <c r="I185" s="3">
        <f t="shared" si="27"/>
        <v>23824.428253228529</v>
      </c>
      <c r="J185" s="3">
        <f t="shared" si="28"/>
        <v>34368.42331550824</v>
      </c>
      <c r="K185" s="3">
        <f t="shared" si="29"/>
        <v>-15229.349229365485</v>
      </c>
      <c r="L185" s="3">
        <f t="shared" si="30"/>
        <v>28824.428253228529</v>
      </c>
      <c r="M185" s="3">
        <f t="shared" si="31"/>
        <v>32600.318128440009</v>
      </c>
      <c r="N185" s="3">
        <f t="shared" si="32"/>
        <v>-229.34922936548537</v>
      </c>
      <c r="O185" s="3">
        <f t="shared" si="33"/>
        <v>-21175.571746771471</v>
      </c>
      <c r="P185" s="3">
        <f t="shared" si="34"/>
        <v>21176.813732752071</v>
      </c>
    </row>
    <row r="186" spans="1:16" x14ac:dyDescent="0.25">
      <c r="A186">
        <f t="shared" si="21"/>
        <v>55</v>
      </c>
      <c r="B186">
        <f t="shared" si="22"/>
        <v>-670.07080362870693</v>
      </c>
      <c r="C186">
        <f t="shared" si="23"/>
        <v>-7670.414636204845</v>
      </c>
      <c r="D186">
        <f t="shared" si="24"/>
        <v>8201.1599340116154</v>
      </c>
      <c r="E186">
        <f t="shared" si="25"/>
        <v>2308.0272340473653</v>
      </c>
      <c r="F186">
        <f>$C$23*(H186/(J186^2+$C$24^2)^1.5)+$C$32*(K186/(M186^2+$C$33^2)^1.5)+C$41*(N186/(P186^2+$C$42^2)^1.5)</f>
        <v>-6244.8980669316152</v>
      </c>
      <c r="G186">
        <f>$C$23*(I186/(J186^2+$C$24^2)^1.5)+$C$32*(L186/(M186^2+$C$33^2)^1.5)+C$41*(O186/(P186^2+$C$42^2)^1.5)</f>
        <v>2060.3056565370089</v>
      </c>
      <c r="H186" s="3">
        <f t="shared" si="26"/>
        <v>20670.070803628707</v>
      </c>
      <c r="I186" s="3">
        <f t="shared" si="27"/>
        <v>22670.414636204845</v>
      </c>
      <c r="J186" s="3">
        <f t="shared" si="28"/>
        <v>30678.975321944421</v>
      </c>
      <c r="K186" s="3">
        <f t="shared" si="29"/>
        <v>-19329.929196371293</v>
      </c>
      <c r="L186" s="3">
        <f t="shared" si="30"/>
        <v>27670.414636204845</v>
      </c>
      <c r="M186" s="3">
        <f t="shared" si="31"/>
        <v>33753.488840062542</v>
      </c>
      <c r="N186" s="3">
        <f t="shared" si="32"/>
        <v>-4329.9291963712931</v>
      </c>
      <c r="O186" s="3">
        <f t="shared" si="33"/>
        <v>-22329.585363795155</v>
      </c>
      <c r="P186" s="3">
        <f t="shared" si="34"/>
        <v>22745.519764661422</v>
      </c>
    </row>
    <row r="187" spans="1:16" x14ac:dyDescent="0.25">
      <c r="A187">
        <f t="shared" si="21"/>
        <v>55.5</v>
      </c>
      <c r="B187">
        <f t="shared" si="22"/>
        <v>1869.284646644197</v>
      </c>
      <c r="C187">
        <f t="shared" si="23"/>
        <v>-6001.3246050469097</v>
      </c>
      <c r="D187">
        <f t="shared" si="24"/>
        <v>5078.7109005458078</v>
      </c>
      <c r="E187">
        <f t="shared" si="25"/>
        <v>3338.1800623158697</v>
      </c>
      <c r="F187">
        <f>$C$23*(H187/(J187^2+$C$24^2)^1.5)+$C$32*(K187/(M187^2+$C$33^2)^1.5)+C$41*(N187/(P187^2+$C$42^2)^1.5)</f>
        <v>-7091.2526219808442</v>
      </c>
      <c r="G187">
        <f>$C$23*(I187/(J187^2+$C$24^2)^1.5)+$C$32*(L187/(M187^2+$C$33^2)^1.5)+C$41*(O187/(P187^2+$C$42^2)^1.5)</f>
        <v>2496.6865482174189</v>
      </c>
      <c r="H187" s="3">
        <f t="shared" si="26"/>
        <v>18130.715353355801</v>
      </c>
      <c r="I187" s="3">
        <f t="shared" si="27"/>
        <v>21001.32460504691</v>
      </c>
      <c r="J187" s="3">
        <f t="shared" si="28"/>
        <v>27744.881949486837</v>
      </c>
      <c r="K187" s="3">
        <f t="shared" si="29"/>
        <v>-21869.284646644199</v>
      </c>
      <c r="L187" s="3">
        <f t="shared" si="30"/>
        <v>26001.32460504691</v>
      </c>
      <c r="M187" s="3">
        <f t="shared" si="31"/>
        <v>33975.498409485706</v>
      </c>
      <c r="N187" s="3">
        <f t="shared" si="32"/>
        <v>-6869.284646644197</v>
      </c>
      <c r="O187" s="3">
        <f t="shared" si="33"/>
        <v>-23998.67539495309</v>
      </c>
      <c r="P187" s="3">
        <f t="shared" si="34"/>
        <v>24962.441632759976</v>
      </c>
    </row>
    <row r="188" spans="1:16" x14ac:dyDescent="0.25">
      <c r="A188">
        <f t="shared" si="21"/>
        <v>56</v>
      </c>
      <c r="B188">
        <f t="shared" si="22"/>
        <v>2635.8269414218898</v>
      </c>
      <c r="C188">
        <f t="shared" si="23"/>
        <v>-3708.0629368346199</v>
      </c>
      <c r="D188">
        <f t="shared" si="24"/>
        <v>1533.0845895553857</v>
      </c>
      <c r="E188">
        <f t="shared" si="25"/>
        <v>4586.5233364245796</v>
      </c>
      <c r="F188">
        <f>$C$23*(H188/(J188^2+$C$24^2)^1.5)+$C$32*(K188/(M188^2+$C$33^2)^1.5)+C$41*(N188/(P188^2+$C$42^2)^1.5)</f>
        <v>-7606.4704318885852</v>
      </c>
      <c r="G188">
        <f>$C$23*(I188/(J188^2+$C$24^2)^1.5)+$C$32*(L188/(M188^2+$C$33^2)^1.5)+C$41*(O188/(P188^2+$C$42^2)^1.5)</f>
        <v>3264.3802525811398</v>
      </c>
      <c r="H188" s="3">
        <f t="shared" si="26"/>
        <v>17364.173058578112</v>
      </c>
      <c r="I188" s="3">
        <f t="shared" si="27"/>
        <v>18708.06293683462</v>
      </c>
      <c r="J188" s="3">
        <f t="shared" si="28"/>
        <v>25524.618015884491</v>
      </c>
      <c r="K188" s="3">
        <f t="shared" si="29"/>
        <v>-22635.826941421888</v>
      </c>
      <c r="L188" s="3">
        <f t="shared" si="30"/>
        <v>23708.06293683462</v>
      </c>
      <c r="M188" s="3">
        <f t="shared" si="31"/>
        <v>32778.848508434705</v>
      </c>
      <c r="N188" s="3">
        <f t="shared" si="32"/>
        <v>-7635.8269414218903</v>
      </c>
      <c r="O188" s="3">
        <f t="shared" si="33"/>
        <v>-26291.93706316538</v>
      </c>
      <c r="P188" s="3">
        <f t="shared" si="34"/>
        <v>27378.309071467393</v>
      </c>
    </row>
    <row r="189" spans="1:16" x14ac:dyDescent="0.25">
      <c r="A189">
        <f t="shared" si="21"/>
        <v>56.5</v>
      </c>
      <c r="B189">
        <f t="shared" si="22"/>
        <v>1500.7516282274364</v>
      </c>
      <c r="C189">
        <f t="shared" si="23"/>
        <v>-598.70620547704516</v>
      </c>
      <c r="D189">
        <f t="shared" si="24"/>
        <v>-2270.1506263889069</v>
      </c>
      <c r="E189">
        <f t="shared" si="25"/>
        <v>6218.7134627151499</v>
      </c>
      <c r="F189">
        <f>$C$23*(H189/(J189^2+$C$24^2)^1.5)+$C$32*(K189/(M189^2+$C$33^2)^1.5)+C$41*(N189/(P189^2+$C$42^2)^1.5)</f>
        <v>-8412.0747847006078</v>
      </c>
      <c r="G189">
        <f>$C$23*(I189/(J189^2+$C$24^2)^1.5)+$C$32*(L189/(M189^2+$C$33^2)^1.5)+C$41*(O189/(P189^2+$C$42^2)^1.5)</f>
        <v>4543.1841168998981</v>
      </c>
      <c r="H189" s="3">
        <f t="shared" si="26"/>
        <v>18499.248371772563</v>
      </c>
      <c r="I189" s="3">
        <f t="shared" si="27"/>
        <v>15598.706205477045</v>
      </c>
      <c r="J189" s="3">
        <f t="shared" si="28"/>
        <v>24197.971518400416</v>
      </c>
      <c r="K189" s="3">
        <f t="shared" si="29"/>
        <v>-21500.751628227437</v>
      </c>
      <c r="L189" s="3">
        <f t="shared" si="30"/>
        <v>20598.706205477047</v>
      </c>
      <c r="M189" s="3">
        <f t="shared" si="31"/>
        <v>29775.644710371653</v>
      </c>
      <c r="N189" s="3">
        <f t="shared" si="32"/>
        <v>-6500.7516282274364</v>
      </c>
      <c r="O189" s="3">
        <f t="shared" si="33"/>
        <v>-29401.293794522953</v>
      </c>
      <c r="P189" s="3">
        <f t="shared" si="34"/>
        <v>30111.390677345931</v>
      </c>
    </row>
    <row r="190" spans="1:16" x14ac:dyDescent="0.25">
      <c r="A190">
        <f t="shared" si="21"/>
        <v>57</v>
      </c>
      <c r="B190">
        <f t="shared" si="22"/>
        <v>-1737.342381142169</v>
      </c>
      <c r="C190">
        <f t="shared" si="23"/>
        <v>3646.4465551055046</v>
      </c>
      <c r="D190">
        <f t="shared" si="24"/>
        <v>-6476.1880187392107</v>
      </c>
      <c r="E190">
        <f t="shared" si="25"/>
        <v>8490.305521165099</v>
      </c>
      <c r="F190">
        <f>$C$23*(H190/(J190^2+$C$24^2)^1.5)+$C$32*(K190/(M190^2+$C$33^2)^1.5)+C$41*(N190/(P190^2+$C$42^2)^1.5)</f>
        <v>-10462.399807663629</v>
      </c>
      <c r="G190">
        <f>$C$23*(I190/(J190^2+$C$24^2)^1.5)+$C$32*(L190/(M190^2+$C$33^2)^1.5)+C$41*(O190/(P190^2+$C$42^2)^1.5)</f>
        <v>6901.5056804238411</v>
      </c>
      <c r="H190" s="3">
        <f t="shared" si="26"/>
        <v>21737.342381142167</v>
      </c>
      <c r="I190" s="3">
        <f t="shared" si="27"/>
        <v>11353.553444894496</v>
      </c>
      <c r="J190" s="3">
        <f t="shared" si="28"/>
        <v>24523.768666766435</v>
      </c>
      <c r="K190" s="3">
        <f t="shared" si="29"/>
        <v>-18262.657618857833</v>
      </c>
      <c r="L190" s="3">
        <f t="shared" si="30"/>
        <v>16353.553444894496</v>
      </c>
      <c r="M190" s="3">
        <f t="shared" si="31"/>
        <v>24514.554321436208</v>
      </c>
      <c r="N190" s="3">
        <f t="shared" si="32"/>
        <v>-3262.657618857831</v>
      </c>
      <c r="O190" s="3">
        <f t="shared" si="33"/>
        <v>-33646.446555105504</v>
      </c>
      <c r="P190" s="3">
        <f t="shared" si="34"/>
        <v>33804.26453161586</v>
      </c>
    </row>
    <row r="191" spans="1:16" x14ac:dyDescent="0.25">
      <c r="A191">
        <f t="shared" si="21"/>
        <v>57.5</v>
      </c>
      <c r="B191">
        <f t="shared" si="22"/>
        <v>-7591.036342427682</v>
      </c>
      <c r="C191">
        <f t="shared" si="23"/>
        <v>9616.9757357940143</v>
      </c>
      <c r="D191">
        <f t="shared" si="24"/>
        <v>-11707.387922571026</v>
      </c>
      <c r="E191">
        <f t="shared" si="25"/>
        <v>11941.05836137702</v>
      </c>
      <c r="F191">
        <f>$C$23*(H191/(J191^2+$C$24^2)^1.5)+$C$32*(K191/(M191^2+$C$33^2)^1.5)+C$41*(N191/(P191^2+$C$42^2)^1.5)</f>
        <v>-15554.969146620577</v>
      </c>
      <c r="G191">
        <f>$C$23*(I191/(J191^2+$C$24^2)^1.5)+$C$32*(L191/(M191^2+$C$33^2)^1.5)+C$41*(O191/(P191^2+$C$42^2)^1.5)</f>
        <v>11370.02379017712</v>
      </c>
      <c r="H191" s="3">
        <f t="shared" si="26"/>
        <v>27591.03634242768</v>
      </c>
      <c r="I191" s="3">
        <f t="shared" si="27"/>
        <v>5383.0242642059857</v>
      </c>
      <c r="J191" s="3">
        <f t="shared" si="28"/>
        <v>28111.247511951427</v>
      </c>
      <c r="K191" s="3">
        <f t="shared" si="29"/>
        <v>-12408.963657572318</v>
      </c>
      <c r="L191" s="3">
        <f t="shared" si="30"/>
        <v>10383.024264205986</v>
      </c>
      <c r="M191" s="3">
        <f t="shared" si="31"/>
        <v>16179.912605636682</v>
      </c>
      <c r="N191" s="3">
        <f t="shared" si="32"/>
        <v>2591.036342427682</v>
      </c>
      <c r="O191" s="3">
        <f t="shared" si="33"/>
        <v>-39616.975735794011</v>
      </c>
      <c r="P191" s="3">
        <f t="shared" si="34"/>
        <v>39701.615027329462</v>
      </c>
    </row>
    <row r="192" spans="1:16" x14ac:dyDescent="0.25">
      <c r="A192">
        <f t="shared" si="21"/>
        <v>58</v>
      </c>
      <c r="B192">
        <f t="shared" si="22"/>
        <v>-17333.472590368339</v>
      </c>
      <c r="C192">
        <f t="shared" si="23"/>
        <v>18430.010864026804</v>
      </c>
      <c r="D192">
        <f t="shared" si="24"/>
        <v>-19484.872495881315</v>
      </c>
      <c r="E192">
        <f t="shared" si="25"/>
        <v>17626.07025646558</v>
      </c>
      <c r="F192">
        <f>$C$23*(H192/(J192^2+$C$24^2)^1.5)+$C$32*(K192/(M192^2+$C$33^2)^1.5)+C$41*(N192/(P192^2+$C$42^2)^1.5)</f>
        <v>-9741.1429310921867</v>
      </c>
      <c r="G192">
        <f>$C$23*(I192/(J192^2+$C$24^2)^1.5)+$C$32*(L192/(M192^2+$C$33^2)^1.5)+C$41*(O192/(P192^2+$C$42^2)^1.5)</f>
        <v>4612.3147493225079</v>
      </c>
      <c r="H192" s="3">
        <f t="shared" si="26"/>
        <v>37333.472590368343</v>
      </c>
      <c r="I192" s="3">
        <f t="shared" si="27"/>
        <v>-3430.0108640268045</v>
      </c>
      <c r="J192" s="3">
        <f t="shared" si="28"/>
        <v>37490.707517772003</v>
      </c>
      <c r="K192" s="3">
        <f t="shared" si="29"/>
        <v>-2666.5274096316607</v>
      </c>
      <c r="L192" s="3">
        <f t="shared" si="30"/>
        <v>1569.9891359731955</v>
      </c>
      <c r="M192" s="3">
        <f t="shared" si="31"/>
        <v>3094.387550613335</v>
      </c>
      <c r="N192" s="3">
        <f t="shared" si="32"/>
        <v>12333.472590368339</v>
      </c>
      <c r="O192" s="3">
        <f t="shared" si="33"/>
        <v>-48430.010864026801</v>
      </c>
      <c r="P192" s="3">
        <f t="shared" si="34"/>
        <v>49975.799127448889</v>
      </c>
    </row>
    <row r="193" spans="1:16" x14ac:dyDescent="0.25">
      <c r="A193">
        <f t="shared" si="21"/>
        <v>58.5</v>
      </c>
      <c r="B193">
        <f t="shared" si="22"/>
        <v>-29511.194571082044</v>
      </c>
      <c r="C193">
        <f t="shared" si="23"/>
        <v>28396.124679590223</v>
      </c>
      <c r="D193">
        <f t="shared" si="24"/>
        <v>-24355.443961427409</v>
      </c>
      <c r="E193">
        <f t="shared" si="25"/>
        <v>19932.227631126836</v>
      </c>
      <c r="F193">
        <f>$C$23*(H193/(J193^2+$C$24^2)^1.5)+$C$32*(K193/(M193^2+$C$33^2)^1.5)+C$41*(N193/(P193^2+$C$42^2)^1.5)</f>
        <v>18312.1758300779</v>
      </c>
      <c r="G193">
        <f>$C$23*(I193/(J193^2+$C$24^2)^1.5)+$C$32*(L193/(M193^2+$C$33^2)^1.5)+C$41*(O193/(P193^2+$C$42^2)^1.5)</f>
        <v>-16633.515408673193</v>
      </c>
      <c r="H193" s="3">
        <f t="shared" si="26"/>
        <v>49511.194571082044</v>
      </c>
      <c r="I193" s="3">
        <f t="shared" si="27"/>
        <v>-13396.124679590223</v>
      </c>
      <c r="J193" s="3">
        <f t="shared" si="28"/>
        <v>51291.466583503636</v>
      </c>
      <c r="K193" s="3">
        <f t="shared" si="29"/>
        <v>9511.1945710820437</v>
      </c>
      <c r="L193" s="3">
        <f t="shared" si="30"/>
        <v>-8396.1246795902225</v>
      </c>
      <c r="M193" s="3">
        <f t="shared" si="31"/>
        <v>12686.911830867453</v>
      </c>
      <c r="N193" s="3">
        <f t="shared" si="32"/>
        <v>24511.194571082044</v>
      </c>
      <c r="O193" s="3">
        <f t="shared" si="33"/>
        <v>-58396.124679590226</v>
      </c>
      <c r="P193" s="3">
        <f t="shared" si="34"/>
        <v>63331.714305675392</v>
      </c>
    </row>
    <row r="194" spans="1:16" x14ac:dyDescent="0.25">
      <c r="A194">
        <f t="shared" si="21"/>
        <v>59</v>
      </c>
      <c r="B194">
        <f t="shared" si="22"/>
        <v>-37110.872594276269</v>
      </c>
      <c r="C194">
        <f t="shared" si="23"/>
        <v>34203.859642985335</v>
      </c>
      <c r="D194">
        <f t="shared" si="24"/>
        <v>-15199.356046388459</v>
      </c>
      <c r="E194">
        <f t="shared" si="25"/>
        <v>11615.46992679024</v>
      </c>
      <c r="F194">
        <f>$C$23*(H194/(J194^2+$C$24^2)^1.5)+$C$32*(K194/(M194^2+$C$33^2)^1.5)+C$41*(N194/(P194^2+$C$42^2)^1.5)</f>
        <v>13021.702971978937</v>
      </c>
      <c r="G194">
        <f>$C$23*(I194/(J194^2+$C$24^2)^1.5)+$C$32*(L194/(M194^2+$C$33^2)^1.5)+C$41*(O194/(P194^2+$C$42^2)^1.5)</f>
        <v>-11155.674794797276</v>
      </c>
      <c r="H194" s="3">
        <f t="shared" si="26"/>
        <v>57110.872594276269</v>
      </c>
      <c r="I194" s="3">
        <f t="shared" si="27"/>
        <v>-19203.859642985335</v>
      </c>
      <c r="J194" s="3">
        <f t="shared" si="28"/>
        <v>60253.13264608851</v>
      </c>
      <c r="K194" s="3">
        <f t="shared" si="29"/>
        <v>17110.872594276269</v>
      </c>
      <c r="L194" s="3">
        <f t="shared" si="30"/>
        <v>-14203.859642985335</v>
      </c>
      <c r="M194" s="3">
        <f t="shared" si="31"/>
        <v>22238.066231018878</v>
      </c>
      <c r="N194" s="3">
        <f t="shared" si="32"/>
        <v>32110.872594276269</v>
      </c>
      <c r="O194" s="3">
        <f t="shared" si="33"/>
        <v>-64203.859642985335</v>
      </c>
      <c r="P194" s="3">
        <f t="shared" si="34"/>
        <v>71786.097064974936</v>
      </c>
    </row>
    <row r="195" spans="1:16" x14ac:dyDescent="0.25">
      <c r="A195">
        <f t="shared" si="21"/>
        <v>59.5</v>
      </c>
      <c r="B195">
        <f t="shared" si="22"/>
        <v>-41455.124874475769</v>
      </c>
      <c r="C195">
        <f t="shared" si="23"/>
        <v>37222.675907681143</v>
      </c>
      <c r="D195">
        <f t="shared" si="24"/>
        <v>-8688.5045603989893</v>
      </c>
      <c r="E195">
        <f t="shared" si="25"/>
        <v>6037.6325293916016</v>
      </c>
      <c r="F195">
        <f>$C$23*(H195/(J195^2+$C$24^2)^1.5)+$C$32*(K195/(M195^2+$C$33^2)^1.5)+C$41*(N195/(P195^2+$C$42^2)^1.5)</f>
        <v>10304.625788482843</v>
      </c>
      <c r="G195">
        <f>$C$23*(I195/(J195^2+$C$24^2)^1.5)+$C$32*(L195/(M195^2+$C$33^2)^1.5)+C$41*(O195/(P195^2+$C$42^2)^1.5)</f>
        <v>-8568.0432415750129</v>
      </c>
      <c r="H195" s="3">
        <f t="shared" si="26"/>
        <v>61455.124874475769</v>
      </c>
      <c r="I195" s="3">
        <f t="shared" si="27"/>
        <v>-22222.675907681143</v>
      </c>
      <c r="J195" s="3">
        <f t="shared" si="28"/>
        <v>65349.672515133861</v>
      </c>
      <c r="K195" s="3">
        <f t="shared" si="29"/>
        <v>21455.124874475769</v>
      </c>
      <c r="L195" s="3">
        <f t="shared" si="30"/>
        <v>-17222.675907681143</v>
      </c>
      <c r="M195" s="3">
        <f t="shared" si="31"/>
        <v>27512.59618430019</v>
      </c>
      <c r="N195" s="3">
        <f t="shared" si="32"/>
        <v>36455.124874475769</v>
      </c>
      <c r="O195" s="3">
        <f t="shared" si="33"/>
        <v>-67222.675907681143</v>
      </c>
      <c r="P195" s="3">
        <f t="shared" si="34"/>
        <v>76471.329828915332</v>
      </c>
    </row>
    <row r="196" spans="1:16" x14ac:dyDescent="0.25">
      <c r="A196">
        <f t="shared" si="21"/>
        <v>60</v>
      </c>
      <c r="B196">
        <f t="shared" si="22"/>
        <v>-43223.220707554552</v>
      </c>
      <c r="C196">
        <f t="shared" si="23"/>
        <v>38099.481361983191</v>
      </c>
      <c r="D196">
        <f t="shared" si="24"/>
        <v>-3536.1916661575679</v>
      </c>
      <c r="E196">
        <f t="shared" si="25"/>
        <v>1753.6109086040951</v>
      </c>
      <c r="F196">
        <f>$C$23*(H196/(J196^2+$C$24^2)^1.5)+$C$32*(K196/(M196^2+$C$33^2)^1.5)+C$41*(N196/(P196^2+$C$42^2)^1.5)</f>
        <v>9534.9737282039441</v>
      </c>
      <c r="G196">
        <f>$C$23*(I196/(J196^2+$C$24^2)^1.5)+$C$32*(L196/(M196^2+$C$33^2)^1.5)+C$41*(O196/(P196^2+$C$42^2)^1.5)</f>
        <v>-7715.5231753689477</v>
      </c>
      <c r="H196" s="3">
        <f t="shared" si="26"/>
        <v>63223.220707554552</v>
      </c>
      <c r="I196" s="3">
        <f t="shared" si="27"/>
        <v>-23099.481361983191</v>
      </c>
      <c r="J196" s="3">
        <f t="shared" si="28"/>
        <v>67310.932810567741</v>
      </c>
      <c r="K196" s="3">
        <f t="shared" si="29"/>
        <v>23223.220707554552</v>
      </c>
      <c r="L196" s="3">
        <f t="shared" si="30"/>
        <v>-18099.481361983191</v>
      </c>
      <c r="M196" s="3">
        <f t="shared" si="31"/>
        <v>29443.321918638314</v>
      </c>
      <c r="N196" s="3">
        <f t="shared" si="32"/>
        <v>38223.220707554552</v>
      </c>
      <c r="O196" s="3">
        <f t="shared" si="33"/>
        <v>-68099.481361983198</v>
      </c>
      <c r="P196" s="3">
        <f t="shared" si="34"/>
        <v>78093.238907280087</v>
      </c>
    </row>
    <row r="197" spans="1:16" x14ac:dyDescent="0.25">
      <c r="A197">
        <f t="shared" si="21"/>
        <v>60.5</v>
      </c>
      <c r="B197">
        <f t="shared" si="22"/>
        <v>-42607.57310858235</v>
      </c>
      <c r="C197">
        <f t="shared" si="23"/>
        <v>37047.406022443</v>
      </c>
      <c r="D197">
        <f t="shared" si="24"/>
        <v>1231.2951979444042</v>
      </c>
      <c r="E197">
        <f t="shared" si="25"/>
        <v>-2104.1506790803787</v>
      </c>
      <c r="F197">
        <f>$C$23*(H197/(J197^2+$C$24^2)^1.5)+$C$32*(K197/(M197^2+$C$33^2)^1.5)+C$41*(N197/(P197^2+$C$42^2)^1.5)</f>
        <v>10164.230494638658</v>
      </c>
      <c r="G197">
        <f>$C$23*(I197/(J197^2+$C$24^2)^1.5)+$C$32*(L197/(M197^2+$C$33^2)^1.5)+C$41*(O197/(P197^2+$C$42^2)^1.5)</f>
        <v>-7967.5979414152489</v>
      </c>
      <c r="H197" s="3">
        <f t="shared" si="26"/>
        <v>62607.57310858235</v>
      </c>
      <c r="I197" s="3">
        <f t="shared" si="27"/>
        <v>-22047.406022443</v>
      </c>
      <c r="J197" s="3">
        <f t="shared" si="28"/>
        <v>66376.172854910372</v>
      </c>
      <c r="K197" s="3">
        <f t="shared" si="29"/>
        <v>22607.57310858235</v>
      </c>
      <c r="L197" s="3">
        <f t="shared" si="30"/>
        <v>-17047.406022443</v>
      </c>
      <c r="M197" s="3">
        <f t="shared" si="31"/>
        <v>28314.597188622014</v>
      </c>
      <c r="N197" s="3">
        <f t="shared" si="32"/>
        <v>37607.57310858235</v>
      </c>
      <c r="O197" s="3">
        <f t="shared" si="33"/>
        <v>-67047.406022443</v>
      </c>
      <c r="P197" s="3">
        <f t="shared" si="34"/>
        <v>76874.470466180719</v>
      </c>
    </row>
    <row r="198" spans="1:16" x14ac:dyDescent="0.25">
      <c r="A198">
        <f t="shared" si="21"/>
        <v>61</v>
      </c>
      <c r="B198">
        <f t="shared" si="22"/>
        <v>-39450.867885950487</v>
      </c>
      <c r="C198">
        <f t="shared" si="23"/>
        <v>34003.431197548998</v>
      </c>
      <c r="D198">
        <f t="shared" si="24"/>
        <v>6313.410445263733</v>
      </c>
      <c r="E198">
        <f t="shared" si="25"/>
        <v>-6087.9496497880027</v>
      </c>
      <c r="F198">
        <f>$C$23*(H198/(J198^2+$C$24^2)^1.5)+$C$32*(K198/(M198^2+$C$33^2)^1.5)+C$41*(N198/(P198^2+$C$42^2)^1.5)</f>
        <v>12657.628507958087</v>
      </c>
      <c r="G198">
        <f>$C$23*(I198/(J198^2+$C$24^2)^1.5)+$C$32*(L198/(M198^2+$C$33^2)^1.5)+C$41*(O198/(P198^2+$C$42^2)^1.5)</f>
        <v>-9477.6872272259752</v>
      </c>
      <c r="H198" s="3">
        <f t="shared" si="26"/>
        <v>59450.867885950487</v>
      </c>
      <c r="I198" s="3">
        <f t="shared" si="27"/>
        <v>-19003.431197548998</v>
      </c>
      <c r="J198" s="3">
        <f t="shared" si="28"/>
        <v>62414.229865253626</v>
      </c>
      <c r="K198" s="3">
        <f t="shared" si="29"/>
        <v>19450.867885950487</v>
      </c>
      <c r="L198" s="3">
        <f t="shared" si="30"/>
        <v>-14003.431197548998</v>
      </c>
      <c r="M198" s="3">
        <f t="shared" si="31"/>
        <v>23967.318306835845</v>
      </c>
      <c r="N198" s="3">
        <f t="shared" si="32"/>
        <v>34450.867885950487</v>
      </c>
      <c r="O198" s="3">
        <f t="shared" si="33"/>
        <v>-64003.431197548998</v>
      </c>
      <c r="P198" s="3">
        <f t="shared" si="34"/>
        <v>72686.322669086803</v>
      </c>
    </row>
    <row r="199" spans="1:16" x14ac:dyDescent="0.25">
      <c r="A199">
        <f t="shared" si="21"/>
        <v>61.5</v>
      </c>
      <c r="B199">
        <f t="shared" si="22"/>
        <v>-33129.755536329103</v>
      </c>
      <c r="C199">
        <f t="shared" si="23"/>
        <v>28590.034565848502</v>
      </c>
      <c r="D199">
        <f t="shared" si="24"/>
        <v>12642.224699242775</v>
      </c>
      <c r="E199">
        <f t="shared" si="25"/>
        <v>-10826.79326340099</v>
      </c>
      <c r="F199">
        <f>$C$23*(H199/(J199^2+$C$24^2)^1.5)+$C$32*(K199/(M199^2+$C$33^2)^1.5)+C$41*(N199/(P199^2+$C$42^2)^1.5)</f>
        <v>18729.448144046248</v>
      </c>
      <c r="G199">
        <f>$C$23*(I199/(J199^2+$C$24^2)^1.5)+$C$32*(L199/(M199^2+$C$33^2)^1.5)+C$41*(O199/(P199^2+$C$42^2)^1.5)</f>
        <v>-12779.217983166996</v>
      </c>
      <c r="H199" s="3">
        <f t="shared" si="26"/>
        <v>53129.755536329103</v>
      </c>
      <c r="I199" s="3">
        <f t="shared" si="27"/>
        <v>-13590.034565848502</v>
      </c>
      <c r="J199" s="3">
        <f t="shared" si="28"/>
        <v>54840.313300081078</v>
      </c>
      <c r="K199" s="3">
        <f t="shared" si="29"/>
        <v>13129.755536329103</v>
      </c>
      <c r="L199" s="3">
        <f t="shared" si="30"/>
        <v>-8590.0345658485021</v>
      </c>
      <c r="M199" s="3">
        <f t="shared" si="31"/>
        <v>15690.097969300154</v>
      </c>
      <c r="N199" s="3">
        <f t="shared" si="32"/>
        <v>28129.755536329103</v>
      </c>
      <c r="O199" s="3">
        <f t="shared" si="33"/>
        <v>-58590.034565848502</v>
      </c>
      <c r="P199" s="3">
        <f t="shared" si="34"/>
        <v>64992.886510455588</v>
      </c>
    </row>
    <row r="200" spans="1:16" x14ac:dyDescent="0.25">
      <c r="A200">
        <f t="shared" si="21"/>
        <v>62</v>
      </c>
      <c r="B200">
        <f t="shared" si="22"/>
        <v>-22126.281150696152</v>
      </c>
      <c r="C200">
        <f t="shared" si="23"/>
        <v>19981.833438356258</v>
      </c>
      <c r="D200">
        <f t="shared" si="24"/>
        <v>22006.948771265899</v>
      </c>
      <c r="E200">
        <f t="shared" si="25"/>
        <v>-17216.402254984489</v>
      </c>
      <c r="F200">
        <f>$C$23*(H200/(J200^2+$C$24^2)^1.5)+$C$32*(K200/(M200^2+$C$33^2)^1.5)+C$41*(N200/(P200^2+$C$42^2)^1.5)</f>
        <v>9389.1034872301243</v>
      </c>
      <c r="G200">
        <f>$C$23*(I200/(J200^2+$C$24^2)^1.5)+$C$32*(L200/(M200^2+$C$33^2)^1.5)+C$41*(O200/(P200^2+$C$42^2)^1.5)</f>
        <v>-1306.1490219176708</v>
      </c>
      <c r="H200" s="3">
        <f t="shared" si="26"/>
        <v>42126.281150696152</v>
      </c>
      <c r="I200" s="3">
        <f t="shared" si="27"/>
        <v>-4981.8334383562578</v>
      </c>
      <c r="J200" s="3">
        <f t="shared" si="28"/>
        <v>42419.832955765189</v>
      </c>
      <c r="K200" s="3">
        <f t="shared" si="29"/>
        <v>2126.2811506961516</v>
      </c>
      <c r="L200" s="3">
        <f t="shared" si="30"/>
        <v>18.16656164374217</v>
      </c>
      <c r="M200" s="3">
        <f t="shared" si="31"/>
        <v>2126.3587551887163</v>
      </c>
      <c r="N200" s="3">
        <f t="shared" si="32"/>
        <v>17126.281150696152</v>
      </c>
      <c r="O200" s="3">
        <f t="shared" si="33"/>
        <v>-49981.833438356261</v>
      </c>
      <c r="P200" s="3">
        <f t="shared" si="34"/>
        <v>52834.583181021488</v>
      </c>
    </row>
    <row r="201" spans="1:16" x14ac:dyDescent="0.25">
      <c r="A201">
        <f t="shared" si="21"/>
        <v>62.5</v>
      </c>
      <c r="B201">
        <f t="shared" si="22"/>
        <v>-8775.5308932556709</v>
      </c>
      <c r="C201">
        <f t="shared" si="23"/>
        <v>11047.095055384596</v>
      </c>
      <c r="D201">
        <f t="shared" si="24"/>
        <v>26701.500514880961</v>
      </c>
      <c r="E201">
        <f t="shared" si="25"/>
        <v>-17869.476765943324</v>
      </c>
      <c r="F201">
        <f>$C$23*(H201/(J201^2+$C$24^2)^1.5)+$C$32*(K201/(M201^2+$C$33^2)^1.5)+C$41*(N201/(P201^2+$C$42^2)^1.5)</f>
        <v>-16929.646565490249</v>
      </c>
      <c r="G201">
        <f>$C$23*(I201/(J201^2+$C$24^2)^1.5)+$C$32*(L201/(M201^2+$C$33^2)^1.5)+C$41*(O201/(P201^2+$C$42^2)^1.5)</f>
        <v>11965.935573965842</v>
      </c>
      <c r="H201" s="3">
        <f t="shared" si="26"/>
        <v>28775.530893255673</v>
      </c>
      <c r="I201" s="3">
        <f t="shared" si="27"/>
        <v>3952.904944615404</v>
      </c>
      <c r="J201" s="3">
        <f t="shared" si="28"/>
        <v>29045.767948013985</v>
      </c>
      <c r="K201" s="3">
        <f t="shared" si="29"/>
        <v>-11224.469106744329</v>
      </c>
      <c r="L201" s="3">
        <f t="shared" si="30"/>
        <v>8952.904944615404</v>
      </c>
      <c r="M201" s="3">
        <f t="shared" si="31"/>
        <v>14357.688312384304</v>
      </c>
      <c r="N201" s="3">
        <f t="shared" si="32"/>
        <v>3775.5308932556709</v>
      </c>
      <c r="O201" s="3">
        <f t="shared" si="33"/>
        <v>-41047.095055384598</v>
      </c>
      <c r="P201" s="3">
        <f t="shared" si="34"/>
        <v>41220.366883516537</v>
      </c>
    </row>
    <row r="202" spans="1:16" x14ac:dyDescent="0.25">
      <c r="A202">
        <f t="shared" si="21"/>
        <v>63</v>
      </c>
      <c r="B202">
        <f t="shared" si="22"/>
        <v>342.80772281224745</v>
      </c>
      <c r="C202">
        <f t="shared" si="23"/>
        <v>5103.8405659043947</v>
      </c>
      <c r="D202">
        <f t="shared" si="24"/>
        <v>18236.677232135837</v>
      </c>
      <c r="E202">
        <f t="shared" si="25"/>
        <v>-11886.508978960403</v>
      </c>
      <c r="F202">
        <f>$C$23*(H202/(J202^2+$C$24^2)^1.5)+$C$32*(K202/(M202^2+$C$33^2)^1.5)+C$41*(N202/(P202^2+$C$42^2)^1.5)</f>
        <v>-10939.18846587736</v>
      </c>
      <c r="G202">
        <f>$C$23*(I202/(J202^2+$C$24^2)^1.5)+$C$32*(L202/(M202^2+$C$33^2)^1.5)+C$41*(O202/(P202^2+$C$42^2)^1.5)</f>
        <v>5861.1278665389318</v>
      </c>
      <c r="H202" s="3">
        <f t="shared" si="26"/>
        <v>19657.192277187751</v>
      </c>
      <c r="I202" s="3">
        <f t="shared" si="27"/>
        <v>9896.1594340956053</v>
      </c>
      <c r="J202" s="3">
        <f t="shared" si="28"/>
        <v>22007.707281027007</v>
      </c>
      <c r="K202" s="3">
        <f t="shared" si="29"/>
        <v>-20342.807722812249</v>
      </c>
      <c r="L202" s="3">
        <f t="shared" si="30"/>
        <v>14896.159434095605</v>
      </c>
      <c r="M202" s="3">
        <f t="shared" si="31"/>
        <v>25213.595378947946</v>
      </c>
      <c r="N202" s="3">
        <f t="shared" si="32"/>
        <v>-5342.8077228122474</v>
      </c>
      <c r="O202" s="3">
        <f t="shared" si="33"/>
        <v>-35103.840565904393</v>
      </c>
      <c r="P202" s="3">
        <f t="shared" si="34"/>
        <v>35508.100721375922</v>
      </c>
    </row>
    <row r="203" spans="1:16" x14ac:dyDescent="0.25">
      <c r="A203">
        <f t="shared" si="21"/>
        <v>63.5</v>
      </c>
      <c r="B203">
        <f t="shared" si="22"/>
        <v>6726.3492224108259</v>
      </c>
      <c r="C203">
        <f t="shared" si="23"/>
        <v>625.86804305892633</v>
      </c>
      <c r="D203">
        <f t="shared" si="24"/>
        <v>12767.082999197157</v>
      </c>
      <c r="E203">
        <f t="shared" si="25"/>
        <v>-8955.9450456909362</v>
      </c>
      <c r="F203">
        <f>$C$23*(H203/(J203^2+$C$24^2)^1.5)+$C$32*(K203/(M203^2+$C$33^2)^1.5)+C$41*(N203/(P203^2+$C$42^2)^1.5)</f>
        <v>-8301.4530006675905</v>
      </c>
      <c r="G203">
        <f>$C$23*(I203/(J203^2+$C$24^2)^1.5)+$C$32*(L203/(M203^2+$C$33^2)^1.5)+C$41*(O203/(P203^2+$C$42^2)^1.5)</f>
        <v>3476.6775449240345</v>
      </c>
      <c r="H203" s="3">
        <f t="shared" si="26"/>
        <v>13273.650777589173</v>
      </c>
      <c r="I203" s="3">
        <f t="shared" si="27"/>
        <v>14374.131956941073</v>
      </c>
      <c r="J203" s="3">
        <f t="shared" si="28"/>
        <v>19565.415264720254</v>
      </c>
      <c r="K203" s="3">
        <f t="shared" si="29"/>
        <v>-26726.349222410827</v>
      </c>
      <c r="L203" s="3">
        <f t="shared" si="30"/>
        <v>19374.131956941073</v>
      </c>
      <c r="M203" s="3">
        <f t="shared" si="31"/>
        <v>33009.918688830861</v>
      </c>
      <c r="N203" s="3">
        <f t="shared" si="32"/>
        <v>-11726.349222410827</v>
      </c>
      <c r="O203" s="3">
        <f t="shared" si="33"/>
        <v>-30625.868043058927</v>
      </c>
      <c r="P203" s="3">
        <f t="shared" si="34"/>
        <v>32794.07049264841</v>
      </c>
    </row>
    <row r="204" spans="1:16" x14ac:dyDescent="0.25">
      <c r="A204">
        <f t="shared" si="21"/>
        <v>64</v>
      </c>
      <c r="B204">
        <f t="shared" si="22"/>
        <v>11034.527471842506</v>
      </c>
      <c r="C204">
        <f t="shared" si="23"/>
        <v>-2982.9350935555331</v>
      </c>
      <c r="D204">
        <f t="shared" si="24"/>
        <v>8616.3564988633625</v>
      </c>
      <c r="E204">
        <f t="shared" si="25"/>
        <v>-7217.6062732289192</v>
      </c>
      <c r="F204">
        <f>$C$23*(H204/(J204^2+$C$24^2)^1.5)+$C$32*(K204/(M204^2+$C$33^2)^1.5)+C$41*(N204/(P204^2+$C$42^2)^1.5)</f>
        <v>-7515.475645867753</v>
      </c>
      <c r="G204">
        <f>$C$23*(I204/(J204^2+$C$24^2)^1.5)+$C$32*(L204/(M204^2+$C$33^2)^1.5)+C$41*(O204/(P204^2+$C$42^2)^1.5)</f>
        <v>2472.2528123934371</v>
      </c>
      <c r="H204" s="3">
        <f t="shared" si="26"/>
        <v>8965.4725281574938</v>
      </c>
      <c r="I204" s="3">
        <f t="shared" si="27"/>
        <v>17982.935093555534</v>
      </c>
      <c r="J204" s="3">
        <f t="shared" si="28"/>
        <v>20093.920777990988</v>
      </c>
      <c r="K204" s="3">
        <f t="shared" si="29"/>
        <v>-31034.527471842506</v>
      </c>
      <c r="L204" s="3">
        <f t="shared" si="30"/>
        <v>22982.935093555534</v>
      </c>
      <c r="M204" s="3">
        <f t="shared" si="31"/>
        <v>38618.094216508587</v>
      </c>
      <c r="N204" s="3">
        <f t="shared" si="32"/>
        <v>-16034.527471842506</v>
      </c>
      <c r="O204" s="3">
        <f t="shared" si="33"/>
        <v>-27017.064906444466</v>
      </c>
      <c r="P204" s="3">
        <f t="shared" si="34"/>
        <v>31416.999656305583</v>
      </c>
    </row>
    <row r="205" spans="1:16" x14ac:dyDescent="0.25">
      <c r="A205">
        <f t="shared" si="21"/>
        <v>64.5</v>
      </c>
      <c r="B205">
        <f t="shared" si="22"/>
        <v>13463.83680980725</v>
      </c>
      <c r="C205">
        <f t="shared" si="23"/>
        <v>-5973.6750270716329</v>
      </c>
      <c r="D205">
        <f t="shared" si="24"/>
        <v>4858.618675929486</v>
      </c>
      <c r="E205">
        <f t="shared" si="25"/>
        <v>-5981.4798670322007</v>
      </c>
      <c r="F205">
        <f>$C$23*(H205/(J205^2+$C$24^2)^1.5)+$C$32*(K205/(M205^2+$C$33^2)^1.5)+C$41*(N205/(P205^2+$C$42^2)^1.5)</f>
        <v>-7294.2695386213873</v>
      </c>
      <c r="G205">
        <f>$C$23*(I205/(J205^2+$C$24^2)^1.5)+$C$32*(L205/(M205^2+$C$33^2)^1.5)+C$41*(O205/(P205^2+$C$42^2)^1.5)</f>
        <v>1908.6661832998152</v>
      </c>
      <c r="H205" s="3">
        <f t="shared" si="26"/>
        <v>6536.1631901927503</v>
      </c>
      <c r="I205" s="3">
        <f t="shared" si="27"/>
        <v>20973.675027071633</v>
      </c>
      <c r="J205" s="3">
        <f t="shared" si="28"/>
        <v>21968.533710515116</v>
      </c>
      <c r="K205" s="3">
        <f t="shared" si="29"/>
        <v>-33463.836809807253</v>
      </c>
      <c r="L205" s="3">
        <f t="shared" si="30"/>
        <v>25973.675027071633</v>
      </c>
      <c r="M205" s="3">
        <f t="shared" si="31"/>
        <v>42361.069019151713</v>
      </c>
      <c r="N205" s="3">
        <f t="shared" si="32"/>
        <v>-18463.83680980725</v>
      </c>
      <c r="O205" s="3">
        <f t="shared" si="33"/>
        <v>-24026.324972928367</v>
      </c>
      <c r="P205" s="3">
        <f t="shared" si="34"/>
        <v>30301.444873866236</v>
      </c>
    </row>
    <row r="206" spans="1:16" x14ac:dyDescent="0.25">
      <c r="A206">
        <f t="shared" ref="A206:A269" si="35">A205+$C$5</f>
        <v>65</v>
      </c>
      <c r="B206">
        <f t="shared" ref="B206:B269" si="36">B205+D205*(A206-A205)+F205*(A206-A205)^2</f>
        <v>14069.578763116646</v>
      </c>
      <c r="C206">
        <f t="shared" ref="C206:C269" si="37">C205+E205*(A206-A205)+G205*(A206-A205)^2</f>
        <v>-8487.2484147627802</v>
      </c>
      <c r="D206">
        <f t="shared" ref="D206:D269" si="38">D205+F205*(A206-A205)</f>
        <v>1211.4839066187924</v>
      </c>
      <c r="E206">
        <f t="shared" ref="E206:E269" si="39">E205+G205*(A206-A205)</f>
        <v>-5027.1467753822926</v>
      </c>
      <c r="F206">
        <f>$C$23*(H206/(J206^2+$C$24^2)^1.5)+$C$32*(K206/(M206^2+$C$33^2)^1.5)+C$41*(N206/(P206^2+$C$42^2)^1.5)</f>
        <v>-7303.8523034323771</v>
      </c>
      <c r="G206">
        <f>$C$23*(I206/(J206^2+$C$24^2)^1.5)+$C$32*(L206/(M206^2+$C$33^2)^1.5)+C$41*(O206/(P206^2+$C$42^2)^1.5)</f>
        <v>1527.1521233103999</v>
      </c>
      <c r="H206" s="3">
        <f t="shared" ref="H206:H269" si="40">$C$19-B206</f>
        <v>5930.4212368833541</v>
      </c>
      <c r="I206" s="3">
        <f t="shared" ref="I206:I269" si="41">$D$19-C206</f>
        <v>23487.24841476278</v>
      </c>
      <c r="J206" s="3">
        <f t="shared" ref="J206:J269" si="42">SQRT(H206^2+I206^2)</f>
        <v>24224.383049804466</v>
      </c>
      <c r="K206" s="3">
        <f t="shared" ref="K206:K269" si="43">$C$28-B206</f>
        <v>-34069.578763116646</v>
      </c>
      <c r="L206" s="3">
        <f t="shared" ref="L206:L269" si="44">$D$28-C206</f>
        <v>28487.24841476278</v>
      </c>
      <c r="M206" s="3">
        <f t="shared" ref="M206:M269" si="45">SQRT(K206^2+L206^2)</f>
        <v>44410.128567035397</v>
      </c>
      <c r="N206" s="3">
        <f t="shared" ref="N206:N269" si="46">$C$37-B206</f>
        <v>-19069.578763116646</v>
      </c>
      <c r="O206" s="3">
        <f t="shared" ref="O206:O269" si="47">$D$37-C206</f>
        <v>-21512.75158523722</v>
      </c>
      <c r="P206" s="3">
        <f t="shared" ref="P206:P269" si="48">SQRT(N206^2+O206^2)</f>
        <v>28747.99671230738</v>
      </c>
    </row>
    <row r="207" spans="1:16" x14ac:dyDescent="0.25">
      <c r="A207">
        <f t="shared" si="35"/>
        <v>65.5</v>
      </c>
      <c r="B207">
        <f t="shared" si="36"/>
        <v>12849.357640567949</v>
      </c>
      <c r="C207">
        <f t="shared" si="37"/>
        <v>-10619.033771626328</v>
      </c>
      <c r="D207">
        <f t="shared" si="38"/>
        <v>-2440.4422450973962</v>
      </c>
      <c r="E207">
        <f t="shared" si="39"/>
        <v>-4263.5707137270929</v>
      </c>
      <c r="F207">
        <f>$C$23*(H207/(J207^2+$C$24^2)^1.5)+$C$32*(K207/(M207^2+$C$33^2)^1.5)+C$41*(N207/(P207^2+$C$42^2)^1.5)</f>
        <v>-7527.2626798434248</v>
      </c>
      <c r="G207">
        <f>$C$23*(I207/(J207^2+$C$24^2)^1.5)+$C$32*(L207/(M207^2+$C$33^2)^1.5)+C$41*(O207/(P207^2+$C$42^2)^1.5)</f>
        <v>1128.2774215745771</v>
      </c>
      <c r="H207" s="3">
        <f t="shared" si="40"/>
        <v>7150.6423594320513</v>
      </c>
      <c r="I207" s="3">
        <f t="shared" si="41"/>
        <v>25619.033771626328</v>
      </c>
      <c r="J207" s="3">
        <f t="shared" si="42"/>
        <v>26598.243880832328</v>
      </c>
      <c r="K207" s="3">
        <f t="shared" si="43"/>
        <v>-32849.357640567949</v>
      </c>
      <c r="L207" s="3">
        <f t="shared" si="44"/>
        <v>30619.033771626328</v>
      </c>
      <c r="M207" s="3">
        <f t="shared" si="45"/>
        <v>44906.631208608087</v>
      </c>
      <c r="N207" s="3">
        <f t="shared" si="46"/>
        <v>-17849.357640567949</v>
      </c>
      <c r="O207" s="3">
        <f t="shared" si="47"/>
        <v>-19380.966228373672</v>
      </c>
      <c r="P207" s="3">
        <f t="shared" si="48"/>
        <v>26348.081906018553</v>
      </c>
    </row>
    <row r="208" spans="1:16" x14ac:dyDescent="0.25">
      <c r="A208">
        <f t="shared" si="35"/>
        <v>66</v>
      </c>
      <c r="B208">
        <f t="shared" si="36"/>
        <v>9747.3208480583962</v>
      </c>
      <c r="C208">
        <f t="shared" si="37"/>
        <v>-12468.749773096231</v>
      </c>
      <c r="D208">
        <f t="shared" si="38"/>
        <v>-6204.0735850191086</v>
      </c>
      <c r="E208">
        <f t="shared" si="39"/>
        <v>-3699.4320029398041</v>
      </c>
      <c r="F208">
        <f>$C$23*(H208/(J208^2+$C$24^2)^1.5)+$C$32*(K208/(M208^2+$C$33^2)^1.5)+C$41*(N208/(P208^2+$C$42^2)^1.5)</f>
        <v>-7928.327772352709</v>
      </c>
      <c r="G208">
        <f>$C$23*(I208/(J208^2+$C$24^2)^1.5)+$C$32*(L208/(M208^2+$C$33^2)^1.5)+C$41*(O208/(P208^2+$C$42^2)^1.5)</f>
        <v>404.22540922923417</v>
      </c>
      <c r="H208" s="3">
        <f t="shared" si="40"/>
        <v>10252.679151941604</v>
      </c>
      <c r="I208" s="3">
        <f t="shared" si="41"/>
        <v>27468.749773096231</v>
      </c>
      <c r="J208" s="3">
        <f t="shared" si="42"/>
        <v>29319.782466615135</v>
      </c>
      <c r="K208" s="3">
        <f t="shared" si="43"/>
        <v>-29747.320848058396</v>
      </c>
      <c r="L208" s="3">
        <f t="shared" si="44"/>
        <v>32468.749773096231</v>
      </c>
      <c r="M208" s="3">
        <f t="shared" si="45"/>
        <v>44035.472172616319</v>
      </c>
      <c r="N208" s="3">
        <f t="shared" si="46"/>
        <v>-14747.320848058396</v>
      </c>
      <c r="O208" s="3">
        <f t="shared" si="47"/>
        <v>-17531.250226903769</v>
      </c>
      <c r="P208" s="3">
        <f t="shared" si="48"/>
        <v>22909.129331205306</v>
      </c>
    </row>
    <row r="209" spans="1:16" x14ac:dyDescent="0.25">
      <c r="A209">
        <f t="shared" si="35"/>
        <v>66.5</v>
      </c>
      <c r="B209">
        <f t="shared" si="36"/>
        <v>4663.2021124606645</v>
      </c>
      <c r="C209">
        <f t="shared" si="37"/>
        <v>-14217.409422258825</v>
      </c>
      <c r="D209">
        <f t="shared" si="38"/>
        <v>-10168.237471195464</v>
      </c>
      <c r="E209">
        <f t="shared" si="39"/>
        <v>-3497.319298325187</v>
      </c>
      <c r="F209">
        <f>$C$23*(H209/(J209^2+$C$24^2)^1.5)+$C$32*(K209/(M209^2+$C$33^2)^1.5)+C$41*(N209/(P209^2+$C$42^2)^1.5)</f>
        <v>-8019.2220138483126</v>
      </c>
      <c r="G209">
        <f>$C$23*(I209/(J209^2+$C$24^2)^1.5)+$C$32*(L209/(M209^2+$C$33^2)^1.5)+C$41*(O209/(P209^2+$C$42^2)^1.5)</f>
        <v>-1299.790960901355</v>
      </c>
      <c r="H209" s="3">
        <f t="shared" si="40"/>
        <v>15336.797887539335</v>
      </c>
      <c r="I209" s="3">
        <f t="shared" si="41"/>
        <v>29217.409422258825</v>
      </c>
      <c r="J209" s="3">
        <f t="shared" si="42"/>
        <v>32998.096654066721</v>
      </c>
      <c r="K209" s="3">
        <f t="shared" si="43"/>
        <v>-24663.202112460665</v>
      </c>
      <c r="L209" s="3">
        <f t="shared" si="44"/>
        <v>34217.409422258825</v>
      </c>
      <c r="M209" s="3">
        <f t="shared" si="45"/>
        <v>42179.433922358076</v>
      </c>
      <c r="N209" s="3">
        <f t="shared" si="46"/>
        <v>-9663.2021124606654</v>
      </c>
      <c r="O209" s="3">
        <f t="shared" si="47"/>
        <v>-15782.590577741175</v>
      </c>
      <c r="P209" s="3">
        <f t="shared" si="48"/>
        <v>18505.881238429818</v>
      </c>
    </row>
    <row r="210" spans="1:16" x14ac:dyDescent="0.25">
      <c r="A210">
        <f t="shared" si="35"/>
        <v>67</v>
      </c>
      <c r="B210">
        <f t="shared" si="36"/>
        <v>-2425.7221265991457</v>
      </c>
      <c r="C210">
        <f t="shared" si="37"/>
        <v>-16291.016811646758</v>
      </c>
      <c r="D210">
        <f t="shared" si="38"/>
        <v>-14177.84847811962</v>
      </c>
      <c r="E210">
        <f t="shared" si="39"/>
        <v>-4147.214778775864</v>
      </c>
      <c r="F210">
        <f>$C$23*(H210/(J210^2+$C$24^2)^1.5)+$C$32*(K210/(M210^2+$C$33^2)^1.5)+C$41*(N210/(P210^2+$C$42^2)^1.5)</f>
        <v>-5052.3198672713297</v>
      </c>
      <c r="G210">
        <f>$C$23*(I210/(J210^2+$C$24^2)^1.5)+$C$32*(L210/(M210^2+$C$33^2)^1.5)+C$41*(O210/(P210^2+$C$42^2)^1.5)</f>
        <v>-4635.5713263928719</v>
      </c>
      <c r="H210" s="3">
        <f t="shared" si="40"/>
        <v>22425.722126599147</v>
      </c>
      <c r="I210" s="3">
        <f t="shared" si="41"/>
        <v>31291.016811646758</v>
      </c>
      <c r="J210" s="3">
        <f t="shared" si="42"/>
        <v>38497.282319745616</v>
      </c>
      <c r="K210" s="3">
        <f t="shared" si="43"/>
        <v>-17574.277873400853</v>
      </c>
      <c r="L210" s="3">
        <f t="shared" si="44"/>
        <v>36291.016811646754</v>
      </c>
      <c r="M210" s="3">
        <f t="shared" si="45"/>
        <v>40322.365307540356</v>
      </c>
      <c r="N210" s="3">
        <f t="shared" si="46"/>
        <v>-2574.2778734008543</v>
      </c>
      <c r="O210" s="3">
        <f t="shared" si="47"/>
        <v>-13708.983188353242</v>
      </c>
      <c r="P210" s="3">
        <f t="shared" si="48"/>
        <v>13948.588696639996</v>
      </c>
    </row>
    <row r="211" spans="1:16" x14ac:dyDescent="0.25">
      <c r="A211">
        <f t="shared" si="35"/>
        <v>67.5</v>
      </c>
      <c r="B211">
        <f t="shared" si="36"/>
        <v>-10777.726332476788</v>
      </c>
      <c r="C211">
        <f t="shared" si="37"/>
        <v>-19523.51703263291</v>
      </c>
      <c r="D211">
        <f t="shared" si="38"/>
        <v>-16704.008411755283</v>
      </c>
      <c r="E211">
        <f t="shared" si="39"/>
        <v>-6465.0004419723</v>
      </c>
      <c r="F211">
        <f>$C$23*(H211/(J211^2+$C$24^2)^1.5)+$C$32*(K211/(M211^2+$C$33^2)^1.5)+C$41*(N211/(P211^2+$C$42^2)^1.5)</f>
        <v>4934.1631765205475</v>
      </c>
      <c r="G211">
        <f>$C$23*(I211/(J211^2+$C$24^2)^1.5)+$C$32*(L211/(M211^2+$C$33^2)^1.5)+C$41*(O211/(P211^2+$C$42^2)^1.5)</f>
        <v>-4497.7999686413541</v>
      </c>
      <c r="H211" s="3">
        <f t="shared" si="40"/>
        <v>30777.726332476788</v>
      </c>
      <c r="I211" s="3">
        <f t="shared" si="41"/>
        <v>34523.51703263291</v>
      </c>
      <c r="J211" s="3">
        <f t="shared" si="42"/>
        <v>46250.855846128186</v>
      </c>
      <c r="K211" s="3">
        <f t="shared" si="43"/>
        <v>-9222.2736675232118</v>
      </c>
      <c r="L211" s="3">
        <f t="shared" si="44"/>
        <v>39523.51703263291</v>
      </c>
      <c r="M211" s="3">
        <f t="shared" si="45"/>
        <v>40585.203340965483</v>
      </c>
      <c r="N211" s="3">
        <f t="shared" si="46"/>
        <v>5777.7263324767882</v>
      </c>
      <c r="O211" s="3">
        <f t="shared" si="47"/>
        <v>-10476.48296736709</v>
      </c>
      <c r="P211" s="3">
        <f t="shared" si="48"/>
        <v>11964.063562959218</v>
      </c>
    </row>
    <row r="212" spans="1:16" x14ac:dyDescent="0.25">
      <c r="A212">
        <f t="shared" si="35"/>
        <v>68</v>
      </c>
      <c r="B212">
        <f t="shared" si="36"/>
        <v>-17896.189744224292</v>
      </c>
      <c r="C212">
        <f t="shared" si="37"/>
        <v>-23880.467245779397</v>
      </c>
      <c r="D212">
        <f t="shared" si="38"/>
        <v>-14236.92682349501</v>
      </c>
      <c r="E212">
        <f t="shared" si="39"/>
        <v>-8713.9004262929775</v>
      </c>
      <c r="F212">
        <f>$C$23*(H212/(J212^2+$C$24^2)^1.5)+$C$32*(K212/(M212^2+$C$33^2)^1.5)+C$41*(N212/(P212^2+$C$42^2)^1.5)</f>
        <v>10028.696223231966</v>
      </c>
      <c r="G212">
        <f>$C$23*(I212/(J212^2+$C$24^2)^1.5)+$C$32*(L212/(M212^2+$C$33^2)^1.5)+C$41*(O212/(P212^2+$C$42^2)^1.5)</f>
        <v>1485.1132436700882</v>
      </c>
      <c r="H212" s="3">
        <f t="shared" si="40"/>
        <v>37896.189744224292</v>
      </c>
      <c r="I212" s="3">
        <f t="shared" si="41"/>
        <v>38880.467245779393</v>
      </c>
      <c r="J212" s="3">
        <f t="shared" si="42"/>
        <v>54293.755906000602</v>
      </c>
      <c r="K212" s="3">
        <f t="shared" si="43"/>
        <v>-2103.8102557757084</v>
      </c>
      <c r="L212" s="3">
        <f t="shared" si="44"/>
        <v>43880.467245779393</v>
      </c>
      <c r="M212" s="3">
        <f t="shared" si="45"/>
        <v>43930.870959955086</v>
      </c>
      <c r="N212" s="3">
        <f t="shared" si="46"/>
        <v>12896.189744224292</v>
      </c>
      <c r="O212" s="3">
        <f t="shared" si="47"/>
        <v>-6119.5327542206032</v>
      </c>
      <c r="P212" s="3">
        <f t="shared" si="48"/>
        <v>14274.466401551219</v>
      </c>
    </row>
    <row r="213" spans="1:16" x14ac:dyDescent="0.25">
      <c r="A213">
        <f t="shared" si="35"/>
        <v>68.5</v>
      </c>
      <c r="B213">
        <f t="shared" si="36"/>
        <v>-22507.479100163808</v>
      </c>
      <c r="C213">
        <f t="shared" si="37"/>
        <v>-27866.139148008362</v>
      </c>
      <c r="D213">
        <f t="shared" si="38"/>
        <v>-9222.5787118790286</v>
      </c>
      <c r="E213">
        <f t="shared" si="39"/>
        <v>-7971.3438044579334</v>
      </c>
      <c r="F213">
        <f>$C$23*(H213/(J213^2+$C$24^2)^1.5)+$C$32*(K213/(M213^2+$C$33^2)^1.5)+C$41*(N213/(P213^2+$C$42^2)^1.5)</f>
        <v>9179.2034893922973</v>
      </c>
      <c r="G213">
        <f>$C$23*(I213/(J213^2+$C$24^2)^1.5)+$C$32*(L213/(M213^2+$C$33^2)^1.5)+C$41*(O213/(P213^2+$C$42^2)^1.5)</f>
        <v>4369.9057419893161</v>
      </c>
      <c r="H213" s="3">
        <f t="shared" si="40"/>
        <v>42507.479100163808</v>
      </c>
      <c r="I213" s="3">
        <f t="shared" si="41"/>
        <v>42866.139148008362</v>
      </c>
      <c r="J213" s="3">
        <f t="shared" si="42"/>
        <v>60368.797113304136</v>
      </c>
      <c r="K213" s="3">
        <f t="shared" si="43"/>
        <v>2507.4791001638077</v>
      </c>
      <c r="L213" s="3">
        <f t="shared" si="44"/>
        <v>47866.139148008362</v>
      </c>
      <c r="M213" s="3">
        <f t="shared" si="45"/>
        <v>47931.77159645006</v>
      </c>
      <c r="N213" s="3">
        <f t="shared" si="46"/>
        <v>17507.479100163808</v>
      </c>
      <c r="O213" s="3">
        <f t="shared" si="47"/>
        <v>-2133.8608519916379</v>
      </c>
      <c r="P213" s="3">
        <f t="shared" si="48"/>
        <v>17637.040187580653</v>
      </c>
    </row>
    <row r="214" spans="1:16" x14ac:dyDescent="0.25">
      <c r="A214">
        <f t="shared" si="35"/>
        <v>69</v>
      </c>
      <c r="B214">
        <f t="shared" si="36"/>
        <v>-24823.96758375525</v>
      </c>
      <c r="C214">
        <f t="shared" si="37"/>
        <v>-30759.334614739997</v>
      </c>
      <c r="D214">
        <f t="shared" si="38"/>
        <v>-4632.9769671828799</v>
      </c>
      <c r="E214">
        <f t="shared" si="39"/>
        <v>-5786.3909334632754</v>
      </c>
      <c r="F214">
        <f>$C$23*(H214/(J214^2+$C$24^2)^1.5)+$C$32*(K214/(M214^2+$C$33^2)^1.5)+C$41*(N214/(P214^2+$C$42^2)^1.5)</f>
        <v>8115.6102713568189</v>
      </c>
      <c r="G214">
        <f>$C$23*(I214/(J214^2+$C$24^2)^1.5)+$C$32*(L214/(M214^2+$C$33^2)^1.5)+C$41*(O214/(P214^2+$C$42^2)^1.5)</f>
        <v>5160.1108779672995</v>
      </c>
      <c r="H214" s="3">
        <f t="shared" si="40"/>
        <v>44823.96758375525</v>
      </c>
      <c r="I214" s="3">
        <f t="shared" si="41"/>
        <v>45759.334614740001</v>
      </c>
      <c r="J214" s="3">
        <f t="shared" si="42"/>
        <v>64055.48200063195</v>
      </c>
      <c r="K214" s="3">
        <f t="shared" si="43"/>
        <v>4823.9675837552495</v>
      </c>
      <c r="L214" s="3">
        <f t="shared" si="44"/>
        <v>50759.334614740001</v>
      </c>
      <c r="M214" s="3">
        <f t="shared" si="45"/>
        <v>50988.044812291671</v>
      </c>
      <c r="N214" s="3">
        <f t="shared" si="46"/>
        <v>19823.96758375525</v>
      </c>
      <c r="O214" s="3">
        <f t="shared" si="47"/>
        <v>759.33461473999705</v>
      </c>
      <c r="P214" s="3">
        <f t="shared" si="48"/>
        <v>19838.50497943132</v>
      </c>
    </row>
    <row r="215" spans="1:16" x14ac:dyDescent="0.25">
      <c r="A215">
        <f t="shared" si="35"/>
        <v>69.5</v>
      </c>
      <c r="B215">
        <f t="shared" si="36"/>
        <v>-25111.553499507485</v>
      </c>
      <c r="C215">
        <f t="shared" si="37"/>
        <v>-32362.502361979808</v>
      </c>
      <c r="D215">
        <f t="shared" si="38"/>
        <v>-575.17183150447045</v>
      </c>
      <c r="E215">
        <f t="shared" si="39"/>
        <v>-3206.3354944796256</v>
      </c>
      <c r="F215">
        <f>$C$23*(H215/(J215^2+$C$24^2)^1.5)+$C$32*(K215/(M215^2+$C$33^2)^1.5)+C$41*(N215/(P215^2+$C$42^2)^1.5)</f>
        <v>7838.2042362024695</v>
      </c>
      <c r="G215">
        <f>$C$23*(I215/(J215^2+$C$24^2)^1.5)+$C$32*(L215/(M215^2+$C$33^2)^1.5)+C$41*(O215/(P215^2+$C$42^2)^1.5)</f>
        <v>5467.8985509236536</v>
      </c>
      <c r="H215" s="3">
        <f t="shared" si="40"/>
        <v>45111.553499507485</v>
      </c>
      <c r="I215" s="3">
        <f t="shared" si="41"/>
        <v>47362.502361979808</v>
      </c>
      <c r="J215" s="3">
        <f t="shared" si="42"/>
        <v>65408.400753477144</v>
      </c>
      <c r="K215" s="3">
        <f t="shared" si="43"/>
        <v>5111.553499507485</v>
      </c>
      <c r="L215" s="3">
        <f t="shared" si="44"/>
        <v>52362.502361979808</v>
      </c>
      <c r="M215" s="3">
        <f t="shared" si="45"/>
        <v>52611.402117665217</v>
      </c>
      <c r="N215" s="3">
        <f t="shared" si="46"/>
        <v>20111.553499507485</v>
      </c>
      <c r="O215" s="3">
        <f t="shared" si="47"/>
        <v>2362.5023619798085</v>
      </c>
      <c r="P215" s="3">
        <f t="shared" si="48"/>
        <v>20249.839544399158</v>
      </c>
    </row>
    <row r="216" spans="1:16" x14ac:dyDescent="0.25">
      <c r="A216">
        <f t="shared" si="35"/>
        <v>70</v>
      </c>
      <c r="B216">
        <f t="shared" si="36"/>
        <v>-23439.588356209104</v>
      </c>
      <c r="C216">
        <f t="shared" si="37"/>
        <v>-32598.695471488711</v>
      </c>
      <c r="D216">
        <f t="shared" si="38"/>
        <v>3343.9302865967643</v>
      </c>
      <c r="E216">
        <f t="shared" si="39"/>
        <v>-472.38621901779879</v>
      </c>
      <c r="F216">
        <f>$C$23*(H216/(J216^2+$C$24^2)^1.5)+$C$32*(K216/(M216^2+$C$33^2)^1.5)+C$41*(N216/(P216^2+$C$42^2)^1.5)</f>
        <v>8558.8641442435783</v>
      </c>
      <c r="G216">
        <f>$C$23*(I216/(J216^2+$C$24^2)^1.5)+$C$32*(L216/(M216^2+$C$33^2)^1.5)+C$41*(O216/(P216^2+$C$42^2)^1.5)</f>
        <v>5762.578792252436</v>
      </c>
      <c r="H216" s="3">
        <f t="shared" si="40"/>
        <v>43439.588356209104</v>
      </c>
      <c r="I216" s="3">
        <f t="shared" si="41"/>
        <v>47598.695471488711</v>
      </c>
      <c r="J216" s="3">
        <f t="shared" si="42"/>
        <v>64440.931457765393</v>
      </c>
      <c r="K216" s="3">
        <f t="shared" si="43"/>
        <v>3439.5883562091039</v>
      </c>
      <c r="L216" s="3">
        <f t="shared" si="44"/>
        <v>52598.695471488711</v>
      </c>
      <c r="M216" s="3">
        <f t="shared" si="45"/>
        <v>52711.038059998173</v>
      </c>
      <c r="N216" s="3">
        <f t="shared" si="46"/>
        <v>18439.588356209104</v>
      </c>
      <c r="O216" s="3">
        <f t="shared" si="47"/>
        <v>2598.6954714887106</v>
      </c>
      <c r="P216" s="3">
        <f t="shared" si="48"/>
        <v>18621.805414620201</v>
      </c>
    </row>
    <row r="217" spans="1:16" x14ac:dyDescent="0.25">
      <c r="A217">
        <f t="shared" si="35"/>
        <v>70.5</v>
      </c>
      <c r="B217">
        <f t="shared" si="36"/>
        <v>-19627.907176849829</v>
      </c>
      <c r="C217">
        <f t="shared" si="37"/>
        <v>-31394.243882934505</v>
      </c>
      <c r="D217">
        <f t="shared" si="38"/>
        <v>7623.3623587185539</v>
      </c>
      <c r="E217">
        <f t="shared" si="39"/>
        <v>2408.9031771084192</v>
      </c>
      <c r="F217">
        <f>$C$23*(H217/(J217^2+$C$24^2)^1.5)+$C$32*(K217/(M217^2+$C$33^2)^1.5)+C$41*(N217/(P217^2+$C$42^2)^1.5)</f>
        <v>10968.200086259092</v>
      </c>
      <c r="G217">
        <f>$C$23*(I217/(J217^2+$C$24^2)^1.5)+$C$32*(L217/(M217^2+$C$33^2)^1.5)+C$41*(O217/(P217^2+$C$42^2)^1.5)</f>
        <v>5880.1550342352302</v>
      </c>
      <c r="H217" s="3">
        <f t="shared" si="40"/>
        <v>39627.907176849825</v>
      </c>
      <c r="I217" s="3">
        <f t="shared" si="41"/>
        <v>46394.243882934505</v>
      </c>
      <c r="J217" s="3">
        <f t="shared" si="42"/>
        <v>61014.726850869629</v>
      </c>
      <c r="K217" s="3">
        <f t="shared" si="43"/>
        <v>-372.09282315017117</v>
      </c>
      <c r="L217" s="3">
        <f t="shared" si="44"/>
        <v>51394.243882934505</v>
      </c>
      <c r="M217" s="3">
        <f t="shared" si="45"/>
        <v>51395.590835864416</v>
      </c>
      <c r="N217" s="3">
        <f t="shared" si="46"/>
        <v>14627.907176849829</v>
      </c>
      <c r="O217" s="3">
        <f t="shared" si="47"/>
        <v>1394.2438829345047</v>
      </c>
      <c r="P217" s="3">
        <f t="shared" si="48"/>
        <v>14694.202407059562</v>
      </c>
    </row>
    <row r="218" spans="1:16" x14ac:dyDescent="0.25">
      <c r="A218">
        <f t="shared" si="35"/>
        <v>71</v>
      </c>
      <c r="B218">
        <f t="shared" si="36"/>
        <v>-13074.175975925778</v>
      </c>
      <c r="C218">
        <f t="shared" si="37"/>
        <v>-28719.753535821488</v>
      </c>
      <c r="D218">
        <f t="shared" si="38"/>
        <v>13107.462401848101</v>
      </c>
      <c r="E218">
        <f t="shared" si="39"/>
        <v>5348.9806942260348</v>
      </c>
      <c r="F218">
        <f>$C$23*(H218/(J218^2+$C$24^2)^1.5)+$C$32*(K218/(M218^2+$C$33^2)^1.5)+C$41*(N218/(P218^2+$C$42^2)^1.5)</f>
        <v>15080.011847715181</v>
      </c>
      <c r="G218">
        <f>$C$23*(I218/(J218^2+$C$24^2)^1.5)+$C$32*(L218/(M218^2+$C$33^2)^1.5)+C$41*(O218/(P218^2+$C$42^2)^1.5)</f>
        <v>2707.2752549817119</v>
      </c>
      <c r="H218" s="3">
        <f t="shared" si="40"/>
        <v>33074.175975925777</v>
      </c>
      <c r="I218" s="3">
        <f t="shared" si="41"/>
        <v>43719.753535821488</v>
      </c>
      <c r="J218" s="3">
        <f t="shared" si="42"/>
        <v>54820.780418737944</v>
      </c>
      <c r="K218" s="3">
        <f t="shared" si="43"/>
        <v>-6925.8240240742216</v>
      </c>
      <c r="L218" s="3">
        <f t="shared" si="44"/>
        <v>48719.753535821488</v>
      </c>
      <c r="M218" s="3">
        <f t="shared" si="45"/>
        <v>49209.566376911251</v>
      </c>
      <c r="N218" s="3">
        <f t="shared" si="46"/>
        <v>8074.1759759257784</v>
      </c>
      <c r="O218" s="3">
        <f t="shared" si="47"/>
        <v>-1280.2464641785118</v>
      </c>
      <c r="P218" s="3">
        <f t="shared" si="48"/>
        <v>8175.0442628317669</v>
      </c>
    </row>
    <row r="219" spans="1:16" x14ac:dyDescent="0.25">
      <c r="A219">
        <f t="shared" si="35"/>
        <v>71.5</v>
      </c>
      <c r="B219">
        <f t="shared" si="36"/>
        <v>-2750.4418130729327</v>
      </c>
      <c r="C219">
        <f t="shared" si="37"/>
        <v>-25368.444374963045</v>
      </c>
      <c r="D219">
        <f t="shared" si="38"/>
        <v>20647.468325705689</v>
      </c>
      <c r="E219">
        <f t="shared" si="39"/>
        <v>6702.6183217168909</v>
      </c>
      <c r="F219">
        <f>$C$23*(H219/(J219^2+$C$24^2)^1.5)+$C$32*(K219/(M219^2+$C$33^2)^1.5)+C$41*(N219/(P219^2+$C$42^2)^1.5)</f>
        <v>-8364.2729146071251</v>
      </c>
      <c r="G219">
        <f>$C$23*(I219/(J219^2+$C$24^2)^1.5)+$C$32*(L219/(M219^2+$C$33^2)^1.5)+C$41*(O219/(P219^2+$C$42^2)^1.5)</f>
        <v>-8533.2198788117585</v>
      </c>
      <c r="H219" s="3">
        <f t="shared" si="40"/>
        <v>22750.441813072932</v>
      </c>
      <c r="I219" s="3">
        <f t="shared" si="41"/>
        <v>40368.444374963045</v>
      </c>
      <c r="J219" s="3">
        <f t="shared" si="42"/>
        <v>46337.823685888645</v>
      </c>
      <c r="K219" s="3">
        <f t="shared" si="43"/>
        <v>-17249.558186927068</v>
      </c>
      <c r="L219" s="3">
        <f t="shared" si="44"/>
        <v>45368.444374963045</v>
      </c>
      <c r="M219" s="3">
        <f t="shared" si="45"/>
        <v>48537.027130308445</v>
      </c>
      <c r="N219" s="3">
        <f t="shared" si="46"/>
        <v>-2249.5581869270673</v>
      </c>
      <c r="O219" s="3">
        <f t="shared" si="47"/>
        <v>-4631.5556250369555</v>
      </c>
      <c r="P219" s="3">
        <f t="shared" si="48"/>
        <v>5148.9629581287591</v>
      </c>
    </row>
    <row r="220" spans="1:16" x14ac:dyDescent="0.25">
      <c r="A220">
        <f t="shared" si="35"/>
        <v>72</v>
      </c>
      <c r="B220">
        <f t="shared" si="36"/>
        <v>5482.2241211281307</v>
      </c>
      <c r="C220">
        <f t="shared" si="37"/>
        <v>-24150.440183807539</v>
      </c>
      <c r="D220">
        <f t="shared" si="38"/>
        <v>16465.331868402129</v>
      </c>
      <c r="E220">
        <f t="shared" si="39"/>
        <v>2436.0083823110117</v>
      </c>
      <c r="F220">
        <f>$C$23*(H220/(J220^2+$C$24^2)^1.5)+$C$32*(K220/(M220^2+$C$33^2)^1.5)+C$41*(N220/(P220^2+$C$42^2)^1.5)</f>
        <v>-13812.249344128324</v>
      </c>
      <c r="G220">
        <f>$C$23*(I220/(J220^2+$C$24^2)^1.5)+$C$32*(L220/(M220^2+$C$33^2)^1.5)+C$41*(O220/(P220^2+$C$42^2)^1.5)</f>
        <v>-1989.4220328135671</v>
      </c>
      <c r="H220" s="3">
        <f t="shared" si="40"/>
        <v>14517.775878871869</v>
      </c>
      <c r="I220" s="3">
        <f t="shared" si="41"/>
        <v>39150.440183807543</v>
      </c>
      <c r="J220" s="3">
        <f t="shared" si="42"/>
        <v>41755.512008057645</v>
      </c>
      <c r="K220" s="3">
        <f t="shared" si="43"/>
        <v>-25482.224121128129</v>
      </c>
      <c r="L220" s="3">
        <f t="shared" si="44"/>
        <v>44150.440183807543</v>
      </c>
      <c r="M220" s="3">
        <f t="shared" si="45"/>
        <v>50976.515324052627</v>
      </c>
      <c r="N220" s="3">
        <f t="shared" si="46"/>
        <v>-10482.224121128131</v>
      </c>
      <c r="O220" s="3">
        <f t="shared" si="47"/>
        <v>-5849.5598161924609</v>
      </c>
      <c r="P220" s="3">
        <f t="shared" si="48"/>
        <v>12003.931546321563</v>
      </c>
    </row>
    <row r="221" spans="1:16" x14ac:dyDescent="0.25">
      <c r="A221">
        <f t="shared" si="35"/>
        <v>72.5</v>
      </c>
      <c r="B221">
        <f t="shared" si="36"/>
        <v>10261.827719297115</v>
      </c>
      <c r="C221">
        <f t="shared" si="37"/>
        <v>-23429.791500855426</v>
      </c>
      <c r="D221">
        <f t="shared" si="38"/>
        <v>9559.2071963379676</v>
      </c>
      <c r="E221">
        <f t="shared" si="39"/>
        <v>1441.2973659042282</v>
      </c>
      <c r="F221">
        <f>$C$23*(H221/(J221^2+$C$24^2)^1.5)+$C$32*(K221/(M221^2+$C$33^2)^1.5)+C$41*(N221/(P221^2+$C$42^2)^1.5)</f>
        <v>-11254.103960312663</v>
      </c>
      <c r="G221">
        <f>$C$23*(I221/(J221^2+$C$24^2)^1.5)+$C$32*(L221/(M221^2+$C$33^2)^1.5)+C$41*(O221/(P221^2+$C$42^2)^1.5)</f>
        <v>228.80682710227757</v>
      </c>
      <c r="H221" s="3">
        <f t="shared" si="40"/>
        <v>9738.1722807028855</v>
      </c>
      <c r="I221" s="3">
        <f t="shared" si="41"/>
        <v>38429.791500855426</v>
      </c>
      <c r="J221" s="3">
        <f t="shared" si="42"/>
        <v>39644.430556736086</v>
      </c>
      <c r="K221" s="3">
        <f t="shared" si="43"/>
        <v>-30261.827719297115</v>
      </c>
      <c r="L221" s="3">
        <f t="shared" si="44"/>
        <v>43429.791500855426</v>
      </c>
      <c r="M221" s="3">
        <f t="shared" si="45"/>
        <v>52933.212699780401</v>
      </c>
      <c r="N221" s="3">
        <f t="shared" si="46"/>
        <v>-15261.827719297115</v>
      </c>
      <c r="O221" s="3">
        <f t="shared" si="47"/>
        <v>-6570.2084991445736</v>
      </c>
      <c r="P221" s="3">
        <f t="shared" si="48"/>
        <v>16615.987032245099</v>
      </c>
    </row>
    <row r="222" spans="1:16" x14ac:dyDescent="0.25">
      <c r="A222">
        <f t="shared" si="35"/>
        <v>73</v>
      </c>
      <c r="B222">
        <f t="shared" si="36"/>
        <v>12227.905327387933</v>
      </c>
      <c r="C222">
        <f t="shared" si="37"/>
        <v>-22651.941111127744</v>
      </c>
      <c r="D222">
        <f t="shared" si="38"/>
        <v>3932.1552161816362</v>
      </c>
      <c r="E222">
        <f t="shared" si="39"/>
        <v>1555.700779455367</v>
      </c>
      <c r="F222">
        <f>$C$23*(H222/(J222^2+$C$24^2)^1.5)+$C$32*(K222/(M222^2+$C$33^2)^1.5)+C$41*(N222/(P222^2+$C$42^2)^1.5)</f>
        <v>-10131.618446014912</v>
      </c>
      <c r="G222">
        <f>$C$23*(I222/(J222^2+$C$24^2)^1.5)+$C$32*(L222/(M222^2+$C$33^2)^1.5)+C$41*(O222/(P222^2+$C$42^2)^1.5)</f>
        <v>645.19704710785163</v>
      </c>
      <c r="H222" s="3">
        <f t="shared" si="40"/>
        <v>7772.0946726120674</v>
      </c>
      <c r="I222" s="3">
        <f t="shared" si="41"/>
        <v>37651.941111127744</v>
      </c>
      <c r="J222" s="3">
        <f t="shared" si="42"/>
        <v>38445.729607277273</v>
      </c>
      <c r="K222" s="3">
        <f t="shared" si="43"/>
        <v>-32227.905327387933</v>
      </c>
      <c r="L222" s="3">
        <f t="shared" si="44"/>
        <v>42651.941111127744</v>
      </c>
      <c r="M222" s="3">
        <f t="shared" si="45"/>
        <v>53458.6378645976</v>
      </c>
      <c r="N222" s="3">
        <f t="shared" si="46"/>
        <v>-17227.905327387933</v>
      </c>
      <c r="O222" s="3">
        <f t="shared" si="47"/>
        <v>-7348.0588888722559</v>
      </c>
      <c r="P222" s="3">
        <f t="shared" si="48"/>
        <v>18729.513912640021</v>
      </c>
    </row>
    <row r="223" spans="1:16" x14ac:dyDescent="0.25">
      <c r="A223">
        <f t="shared" si="35"/>
        <v>73.5</v>
      </c>
      <c r="B223">
        <f t="shared" si="36"/>
        <v>11661.078323975024</v>
      </c>
      <c r="C223">
        <f t="shared" si="37"/>
        <v>-21712.791459623098</v>
      </c>
      <c r="D223">
        <f t="shared" si="38"/>
        <v>-1133.65400682582</v>
      </c>
      <c r="E223">
        <f t="shared" si="39"/>
        <v>1878.2993030092928</v>
      </c>
      <c r="F223">
        <f>$C$23*(H223/(J223^2+$C$24^2)^1.5)+$C$32*(K223/(M223^2+$C$33^2)^1.5)+C$41*(N223/(P223^2+$C$42^2)^1.5)</f>
        <v>-10092.128104034577</v>
      </c>
      <c r="G223">
        <f>$C$23*(I223/(J223^2+$C$24^2)^1.5)+$C$32*(L223/(M223^2+$C$33^2)^1.5)+C$41*(O223/(P223^2+$C$42^2)^1.5)</f>
        <v>316.90891577014281</v>
      </c>
      <c r="H223" s="3">
        <f t="shared" si="40"/>
        <v>8338.9216760249765</v>
      </c>
      <c r="I223" s="3">
        <f t="shared" si="41"/>
        <v>36712.791459623098</v>
      </c>
      <c r="J223" s="3">
        <f t="shared" si="42"/>
        <v>37647.930507222496</v>
      </c>
      <c r="K223" s="3">
        <f t="shared" si="43"/>
        <v>-31661.078323975024</v>
      </c>
      <c r="L223" s="3">
        <f t="shared" si="44"/>
        <v>41712.791459623098</v>
      </c>
      <c r="M223" s="3">
        <f t="shared" si="45"/>
        <v>52367.74629474603</v>
      </c>
      <c r="N223" s="3">
        <f t="shared" si="46"/>
        <v>-16661.078323975024</v>
      </c>
      <c r="O223" s="3">
        <f t="shared" si="47"/>
        <v>-8287.2085403769015</v>
      </c>
      <c r="P223" s="3">
        <f t="shared" si="48"/>
        <v>18608.314171609589</v>
      </c>
    </row>
    <row r="224" spans="1:16" x14ac:dyDescent="0.25">
      <c r="A224">
        <f t="shared" si="35"/>
        <v>74</v>
      </c>
      <c r="B224">
        <f t="shared" si="36"/>
        <v>8571.2192945534698</v>
      </c>
      <c r="C224">
        <f t="shared" si="37"/>
        <v>-20694.414579175918</v>
      </c>
      <c r="D224">
        <f t="shared" si="38"/>
        <v>-6179.7180588431083</v>
      </c>
      <c r="E224">
        <f t="shared" si="39"/>
        <v>2036.7537608943642</v>
      </c>
      <c r="F224">
        <f>$C$23*(H224/(J224^2+$C$24^2)^1.5)+$C$32*(K224/(M224^2+$C$33^2)^1.5)+C$41*(N224/(P224^2+$C$42^2)^1.5)</f>
        <v>-10735.034019473915</v>
      </c>
      <c r="G224">
        <f>$C$23*(I224/(J224^2+$C$24^2)^1.5)+$C$32*(L224/(M224^2+$C$33^2)^1.5)+C$41*(O224/(P224^2+$C$42^2)^1.5)</f>
        <v>-1007.3350990157323</v>
      </c>
      <c r="H224" s="3">
        <f t="shared" si="40"/>
        <v>11428.78070544653</v>
      </c>
      <c r="I224" s="3">
        <f t="shared" si="41"/>
        <v>35694.414579175922</v>
      </c>
      <c r="J224" s="3">
        <f t="shared" si="42"/>
        <v>37479.437836809579</v>
      </c>
      <c r="K224" s="3">
        <f t="shared" si="43"/>
        <v>-28571.21929455347</v>
      </c>
      <c r="L224" s="3">
        <f t="shared" si="44"/>
        <v>40694.414579175922</v>
      </c>
      <c r="M224" s="3">
        <f t="shared" si="45"/>
        <v>49722.730716638143</v>
      </c>
      <c r="N224" s="3">
        <f t="shared" si="46"/>
        <v>-13571.21929455347</v>
      </c>
      <c r="O224" s="3">
        <f t="shared" si="47"/>
        <v>-9305.5854208240817</v>
      </c>
      <c r="P224" s="3">
        <f t="shared" si="48"/>
        <v>16455.148530630588</v>
      </c>
    </row>
    <row r="225" spans="1:16" x14ac:dyDescent="0.25">
      <c r="A225">
        <f t="shared" si="35"/>
        <v>74.5</v>
      </c>
      <c r="B225">
        <f t="shared" si="36"/>
        <v>2797.6017602634374</v>
      </c>
      <c r="C225">
        <f t="shared" si="37"/>
        <v>-19927.871473482668</v>
      </c>
      <c r="D225">
        <f t="shared" si="38"/>
        <v>-11547.235068580067</v>
      </c>
      <c r="E225">
        <f t="shared" si="39"/>
        <v>1533.086211386498</v>
      </c>
      <c r="F225">
        <f>$C$23*(H225/(J225^2+$C$24^2)^1.5)+$C$32*(K225/(M225^2+$C$33^2)^1.5)+C$41*(N225/(P225^2+$C$42^2)^1.5)</f>
        <v>-10391.11005157689</v>
      </c>
      <c r="G225">
        <f>$C$23*(I225/(J225^2+$C$24^2)^1.5)+$C$32*(L225/(M225^2+$C$33^2)^1.5)+C$41*(O225/(P225^2+$C$42^2)^1.5)</f>
        <v>-4641.8828025524199</v>
      </c>
      <c r="H225" s="3">
        <f t="shared" si="40"/>
        <v>17202.398239736562</v>
      </c>
      <c r="I225" s="3">
        <f t="shared" si="41"/>
        <v>34927.871473482664</v>
      </c>
      <c r="J225" s="3">
        <f t="shared" si="42"/>
        <v>38934.287085634627</v>
      </c>
      <c r="K225" s="3">
        <f t="shared" si="43"/>
        <v>-22797.601760263438</v>
      </c>
      <c r="L225" s="3">
        <f t="shared" si="44"/>
        <v>39927.871473482664</v>
      </c>
      <c r="M225" s="3">
        <f t="shared" si="45"/>
        <v>45977.881273744199</v>
      </c>
      <c r="N225" s="3">
        <f t="shared" si="46"/>
        <v>-7797.6017602634374</v>
      </c>
      <c r="O225" s="3">
        <f t="shared" si="47"/>
        <v>-10072.128526517332</v>
      </c>
      <c r="P225" s="3">
        <f t="shared" si="48"/>
        <v>12737.75358006064</v>
      </c>
    </row>
    <row r="226" spans="1:16" x14ac:dyDescent="0.25">
      <c r="A226">
        <f t="shared" si="35"/>
        <v>75</v>
      </c>
      <c r="B226">
        <f t="shared" si="36"/>
        <v>-5573.793286920818</v>
      </c>
      <c r="C226">
        <f t="shared" si="37"/>
        <v>-20321.799068427521</v>
      </c>
      <c r="D226">
        <f t="shared" si="38"/>
        <v>-16742.790094368513</v>
      </c>
      <c r="E226">
        <f t="shared" si="39"/>
        <v>-787.85518988971194</v>
      </c>
      <c r="F226">
        <f>$C$23*(H226/(J226^2+$C$24^2)^1.5)+$C$32*(K226/(M226^2+$C$33^2)^1.5)+C$41*(N226/(P226^2+$C$42^2)^1.5)</f>
        <v>-1135.0871952676875</v>
      </c>
      <c r="G226">
        <f>$C$23*(I226/(J226^2+$C$24^2)^1.5)+$C$32*(L226/(M226^2+$C$33^2)^1.5)+C$41*(O226/(P226^2+$C$42^2)^1.5)</f>
        <v>-8683.3630917486153</v>
      </c>
      <c r="H226" s="3">
        <f t="shared" si="40"/>
        <v>25573.793286920816</v>
      </c>
      <c r="I226" s="3">
        <f t="shared" si="41"/>
        <v>35321.799068427521</v>
      </c>
      <c r="J226" s="3">
        <f t="shared" si="42"/>
        <v>43607.893694978244</v>
      </c>
      <c r="K226" s="3">
        <f t="shared" si="43"/>
        <v>-14426.206713079182</v>
      </c>
      <c r="L226" s="3">
        <f t="shared" si="44"/>
        <v>40321.799068427521</v>
      </c>
      <c r="M226" s="3">
        <f t="shared" si="45"/>
        <v>42824.793288971443</v>
      </c>
      <c r="N226" s="3">
        <f t="shared" si="46"/>
        <v>573.79328692081799</v>
      </c>
      <c r="O226" s="3">
        <f t="shared" si="47"/>
        <v>-9678.200931572479</v>
      </c>
      <c r="P226" s="3">
        <f t="shared" si="48"/>
        <v>9695.1953053048801</v>
      </c>
    </row>
    <row r="227" spans="1:16" x14ac:dyDescent="0.25">
      <c r="A227">
        <f t="shared" si="35"/>
        <v>75.5</v>
      </c>
      <c r="B227">
        <f t="shared" si="36"/>
        <v>-14228.960132921997</v>
      </c>
      <c r="C227">
        <f t="shared" si="37"/>
        <v>-22886.567436309531</v>
      </c>
      <c r="D227">
        <f t="shared" si="38"/>
        <v>-17310.333692002358</v>
      </c>
      <c r="E227">
        <f t="shared" si="39"/>
        <v>-5129.5367357640198</v>
      </c>
      <c r="F227">
        <f>$C$23*(H227/(J227^2+$C$24^2)^1.5)+$C$32*(K227/(M227^2+$C$33^2)^1.5)+C$41*(N227/(P227^2+$C$42^2)^1.5)</f>
        <v>9961.6046835269026</v>
      </c>
      <c r="G227">
        <f>$C$23*(I227/(J227^2+$C$24^2)^1.5)+$C$32*(L227/(M227^2+$C$33^2)^1.5)+C$41*(O227/(P227^2+$C$42^2)^1.5)</f>
        <v>-1772.3237355363553</v>
      </c>
      <c r="H227" s="3">
        <f t="shared" si="40"/>
        <v>34228.960132921995</v>
      </c>
      <c r="I227" s="3">
        <f t="shared" si="41"/>
        <v>37886.567436309531</v>
      </c>
      <c r="J227" s="3">
        <f t="shared" si="42"/>
        <v>51058.92384184368</v>
      </c>
      <c r="K227" s="3">
        <f t="shared" si="43"/>
        <v>-5771.0398670780032</v>
      </c>
      <c r="L227" s="3">
        <f t="shared" si="44"/>
        <v>42886.567436309531</v>
      </c>
      <c r="M227" s="3">
        <f t="shared" si="45"/>
        <v>43273.115991531376</v>
      </c>
      <c r="N227" s="3">
        <f t="shared" si="46"/>
        <v>9228.9601329219968</v>
      </c>
      <c r="O227" s="3">
        <f t="shared" si="47"/>
        <v>-7113.4325636904687</v>
      </c>
      <c r="P227" s="3">
        <f t="shared" si="48"/>
        <v>11652.237037291832</v>
      </c>
    </row>
    <row r="228" spans="1:16" x14ac:dyDescent="0.25">
      <c r="A228">
        <f t="shared" si="35"/>
        <v>76</v>
      </c>
      <c r="B228">
        <f t="shared" si="36"/>
        <v>-20393.725808041447</v>
      </c>
      <c r="C228">
        <f t="shared" si="37"/>
        <v>-25894.41673807563</v>
      </c>
      <c r="D228">
        <f t="shared" si="38"/>
        <v>-12329.531350238907</v>
      </c>
      <c r="E228">
        <f t="shared" si="39"/>
        <v>-6015.698603532197</v>
      </c>
      <c r="F228">
        <f>$C$23*(H228/(J228^2+$C$24^2)^1.5)+$C$32*(K228/(M228^2+$C$33^2)^1.5)+C$41*(N228/(P228^2+$C$42^2)^1.5)</f>
        <v>9848.0007843288404</v>
      </c>
      <c r="G228">
        <f>$C$23*(I228/(J228^2+$C$24^2)^1.5)+$C$32*(L228/(M228^2+$C$33^2)^1.5)+C$41*(O228/(P228^2+$C$42^2)^1.5)</f>
        <v>3290.9704833933915</v>
      </c>
      <c r="H228" s="3">
        <f t="shared" si="40"/>
        <v>40393.725808041447</v>
      </c>
      <c r="I228" s="3">
        <f t="shared" si="41"/>
        <v>40894.416738075626</v>
      </c>
      <c r="J228" s="3">
        <f t="shared" si="42"/>
        <v>57480.487167408675</v>
      </c>
      <c r="K228" s="3">
        <f t="shared" si="43"/>
        <v>393.72580804144673</v>
      </c>
      <c r="L228" s="3">
        <f t="shared" si="44"/>
        <v>45894.416738075626</v>
      </c>
      <c r="M228" s="3">
        <f t="shared" si="45"/>
        <v>45896.105583590353</v>
      </c>
      <c r="N228" s="3">
        <f t="shared" si="46"/>
        <v>15393.725808041447</v>
      </c>
      <c r="O228" s="3">
        <f t="shared" si="47"/>
        <v>-4105.5832619243702</v>
      </c>
      <c r="P228" s="3">
        <f t="shared" si="48"/>
        <v>15931.81120192412</v>
      </c>
    </row>
    <row r="229" spans="1:16" x14ac:dyDescent="0.25">
      <c r="A229">
        <f t="shared" si="35"/>
        <v>76.5</v>
      </c>
      <c r="B229">
        <f t="shared" si="36"/>
        <v>-24096.491287078687</v>
      </c>
      <c r="C229">
        <f t="shared" si="37"/>
        <v>-28079.52341899338</v>
      </c>
      <c r="D229">
        <f t="shared" si="38"/>
        <v>-7405.530958074487</v>
      </c>
      <c r="E229">
        <f t="shared" si="39"/>
        <v>-4370.213361835501</v>
      </c>
      <c r="F229">
        <f>$C$23*(H229/(J229^2+$C$24^2)^1.5)+$C$32*(K229/(M229^2+$C$33^2)^1.5)+C$41*(N229/(P229^2+$C$42^2)^1.5)</f>
        <v>8438.0556094664498</v>
      </c>
      <c r="G229">
        <f>$C$23*(I229/(J229^2+$C$24^2)^1.5)+$C$32*(L229/(M229^2+$C$33^2)^1.5)+C$41*(O229/(P229^2+$C$42^2)^1.5)</f>
        <v>4569.614346155593</v>
      </c>
      <c r="H229" s="3">
        <f t="shared" si="40"/>
        <v>44096.491287078687</v>
      </c>
      <c r="I229" s="3">
        <f t="shared" si="41"/>
        <v>43079.523418993384</v>
      </c>
      <c r="J229" s="3">
        <f t="shared" si="42"/>
        <v>61646.945438026414</v>
      </c>
      <c r="K229" s="3">
        <f t="shared" si="43"/>
        <v>4096.4912870786866</v>
      </c>
      <c r="L229" s="3">
        <f t="shared" si="44"/>
        <v>48079.523418993384</v>
      </c>
      <c r="M229" s="3">
        <f t="shared" si="45"/>
        <v>48253.723307768123</v>
      </c>
      <c r="N229" s="3">
        <f t="shared" si="46"/>
        <v>19096.491287078687</v>
      </c>
      <c r="O229" s="3">
        <f t="shared" si="47"/>
        <v>-1920.4765810066201</v>
      </c>
      <c r="P229" s="3">
        <f t="shared" si="48"/>
        <v>19192.81661913298</v>
      </c>
    </row>
    <row r="230" spans="1:16" x14ac:dyDescent="0.25">
      <c r="A230">
        <f t="shared" si="35"/>
        <v>77</v>
      </c>
      <c r="B230">
        <f t="shared" si="36"/>
        <v>-25689.742863749318</v>
      </c>
      <c r="C230">
        <f t="shared" si="37"/>
        <v>-29122.226513372232</v>
      </c>
      <c r="D230">
        <f t="shared" si="38"/>
        <v>-3186.5031533412621</v>
      </c>
      <c r="E230">
        <f t="shared" si="39"/>
        <v>-2085.4061887577045</v>
      </c>
      <c r="F230">
        <f>$C$23*(H230/(J230^2+$C$24^2)^1.5)+$C$32*(K230/(M230^2+$C$33^2)^1.5)+C$41*(N230/(P230^2+$C$42^2)^1.5)</f>
        <v>7801.674929789363</v>
      </c>
      <c r="G230">
        <f>$C$23*(I230/(J230^2+$C$24^2)^1.5)+$C$32*(L230/(M230^2+$C$33^2)^1.5)+C$41*(O230/(P230^2+$C$42^2)^1.5)</f>
        <v>4819.4941596960798</v>
      </c>
      <c r="H230" s="3">
        <f t="shared" si="40"/>
        <v>45689.742863749314</v>
      </c>
      <c r="I230" s="3">
        <f t="shared" si="41"/>
        <v>44122.226513372232</v>
      </c>
      <c r="J230" s="3">
        <f t="shared" si="42"/>
        <v>63516.324480033152</v>
      </c>
      <c r="K230" s="3">
        <f t="shared" si="43"/>
        <v>5689.7428637493176</v>
      </c>
      <c r="L230" s="3">
        <f t="shared" si="44"/>
        <v>49122.226513372232</v>
      </c>
      <c r="M230" s="3">
        <f t="shared" si="45"/>
        <v>49450.645207991336</v>
      </c>
      <c r="N230" s="3">
        <f t="shared" si="46"/>
        <v>20689.742863749318</v>
      </c>
      <c r="O230" s="3">
        <f t="shared" si="47"/>
        <v>-877.77348662776785</v>
      </c>
      <c r="P230" s="3">
        <f t="shared" si="48"/>
        <v>20708.354499136152</v>
      </c>
    </row>
    <row r="231" spans="1:16" x14ac:dyDescent="0.25">
      <c r="A231">
        <f t="shared" si="35"/>
        <v>77.5</v>
      </c>
      <c r="B231">
        <f t="shared" si="36"/>
        <v>-25332.575707972606</v>
      </c>
      <c r="C231">
        <f t="shared" si="37"/>
        <v>-28960.056067827063</v>
      </c>
      <c r="D231">
        <f t="shared" si="38"/>
        <v>714.33431155341941</v>
      </c>
      <c r="E231">
        <f t="shared" si="39"/>
        <v>324.34089109033539</v>
      </c>
      <c r="F231">
        <f>$C$23*(H231/(J231^2+$C$24^2)^1.5)+$C$32*(K231/(M231^2+$C$33^2)^1.5)+C$41*(N231/(P231^2+$C$42^2)^1.5)</f>
        <v>7943.9357977514956</v>
      </c>
      <c r="G231">
        <f>$C$23*(I231/(J231^2+$C$24^2)^1.5)+$C$32*(L231/(M231^2+$C$33^2)^1.5)+C$41*(O231/(P231^2+$C$42^2)^1.5)</f>
        <v>4789.6075186098751</v>
      </c>
      <c r="H231" s="3">
        <f t="shared" si="40"/>
        <v>45332.575707972603</v>
      </c>
      <c r="I231" s="3">
        <f t="shared" si="41"/>
        <v>43960.056067827063</v>
      </c>
      <c r="J231" s="3">
        <f t="shared" si="42"/>
        <v>63146.883927914976</v>
      </c>
      <c r="K231" s="3">
        <f t="shared" si="43"/>
        <v>5332.5757079726063</v>
      </c>
      <c r="L231" s="3">
        <f t="shared" si="44"/>
        <v>48960.056067827063</v>
      </c>
      <c r="M231" s="3">
        <f t="shared" si="45"/>
        <v>49249.603590750143</v>
      </c>
      <c r="N231" s="3">
        <f t="shared" si="46"/>
        <v>20332.575707972606</v>
      </c>
      <c r="O231" s="3">
        <f t="shared" si="47"/>
        <v>-1039.9439321729369</v>
      </c>
      <c r="P231" s="3">
        <f t="shared" si="48"/>
        <v>20359.153182352675</v>
      </c>
    </row>
    <row r="232" spans="1:16" x14ac:dyDescent="0.25">
      <c r="A232">
        <f t="shared" si="35"/>
        <v>78</v>
      </c>
      <c r="B232">
        <f t="shared" si="36"/>
        <v>-22989.424602758023</v>
      </c>
      <c r="C232">
        <f t="shared" si="37"/>
        <v>-27600.483742629425</v>
      </c>
      <c r="D232">
        <f t="shared" si="38"/>
        <v>4686.3022104291667</v>
      </c>
      <c r="E232">
        <f t="shared" si="39"/>
        <v>2719.1446503952729</v>
      </c>
      <c r="F232">
        <f>$C$23*(H232/(J232^2+$C$24^2)^1.5)+$C$32*(K232/(M232^2+$C$33^2)^1.5)+C$41*(N232/(P232^2+$C$42^2)^1.5)</f>
        <v>8907.9560288718694</v>
      </c>
      <c r="G232">
        <f>$C$23*(I232/(J232^2+$C$24^2)^1.5)+$C$32*(L232/(M232^2+$C$33^2)^1.5)+C$41*(O232/(P232^2+$C$42^2)^1.5)</f>
        <v>4354.2396485023655</v>
      </c>
      <c r="H232" s="3">
        <f t="shared" si="40"/>
        <v>42989.424602758023</v>
      </c>
      <c r="I232" s="3">
        <f t="shared" si="41"/>
        <v>42600.483742629425</v>
      </c>
      <c r="J232" s="3">
        <f t="shared" si="42"/>
        <v>60521.829473192985</v>
      </c>
      <c r="K232" s="3">
        <f t="shared" si="43"/>
        <v>2989.424602758023</v>
      </c>
      <c r="L232" s="3">
        <f t="shared" si="44"/>
        <v>47600.483742629425</v>
      </c>
      <c r="M232" s="3">
        <f t="shared" si="45"/>
        <v>47694.26288336893</v>
      </c>
      <c r="N232" s="3">
        <f t="shared" si="46"/>
        <v>17989.424602758023</v>
      </c>
      <c r="O232" s="3">
        <f t="shared" si="47"/>
        <v>-2399.5162573705747</v>
      </c>
      <c r="P232" s="3">
        <f t="shared" si="48"/>
        <v>18148.748601699826</v>
      </c>
    </row>
    <row r="233" spans="1:16" x14ac:dyDescent="0.25">
      <c r="A233">
        <f t="shared" si="35"/>
        <v>78.5</v>
      </c>
      <c r="B233">
        <f t="shared" si="36"/>
        <v>-18419.284490325474</v>
      </c>
      <c r="C233">
        <f t="shared" si="37"/>
        <v>-25152.351505306196</v>
      </c>
      <c r="D233">
        <f t="shared" si="38"/>
        <v>9140.2802248651024</v>
      </c>
      <c r="E233">
        <f t="shared" si="39"/>
        <v>4896.2644746464557</v>
      </c>
      <c r="F233">
        <f>$C$23*(H233/(J233^2+$C$24^2)^1.5)+$C$32*(K233/(M233^2+$C$33^2)^1.5)+C$41*(N233/(P233^2+$C$42^2)^1.5)</f>
        <v>10535.770385758517</v>
      </c>
      <c r="G233">
        <f>$C$23*(I233/(J233^2+$C$24^2)^1.5)+$C$32*(L233/(M233^2+$C$33^2)^1.5)+C$41*(O233/(P233^2+$C$42^2)^1.5)</f>
        <v>2198.8262112132174</v>
      </c>
      <c r="H233" s="3">
        <f t="shared" si="40"/>
        <v>38419.284490325474</v>
      </c>
      <c r="I233" s="3">
        <f t="shared" si="41"/>
        <v>40152.3515053062</v>
      </c>
      <c r="J233" s="3">
        <f t="shared" si="42"/>
        <v>55572.050098536303</v>
      </c>
      <c r="K233" s="3">
        <f t="shared" si="43"/>
        <v>-1580.7155096745264</v>
      </c>
      <c r="L233" s="3">
        <f t="shared" si="44"/>
        <v>45152.3515053062</v>
      </c>
      <c r="M233" s="3">
        <f t="shared" si="45"/>
        <v>45180.012261853721</v>
      </c>
      <c r="N233" s="3">
        <f t="shared" si="46"/>
        <v>13419.284490325474</v>
      </c>
      <c r="O233" s="3">
        <f t="shared" si="47"/>
        <v>-4847.6484946938035</v>
      </c>
      <c r="P233" s="3">
        <f t="shared" si="48"/>
        <v>14268.037431980507</v>
      </c>
    </row>
    <row r="234" spans="1:16" x14ac:dyDescent="0.25">
      <c r="A234">
        <f t="shared" si="35"/>
        <v>79</v>
      </c>
      <c r="B234">
        <f t="shared" si="36"/>
        <v>-11215.201781453294</v>
      </c>
      <c r="C234">
        <f t="shared" si="37"/>
        <v>-22154.512715179662</v>
      </c>
      <c r="D234">
        <f t="shared" si="38"/>
        <v>14408.16541774436</v>
      </c>
      <c r="E234">
        <f t="shared" si="39"/>
        <v>5995.6775802530647</v>
      </c>
      <c r="F234">
        <f>$C$23*(H234/(J234^2+$C$24^2)^1.5)+$C$32*(K234/(M234^2+$C$33^2)^1.5)+C$41*(N234/(P234^2+$C$42^2)^1.5)</f>
        <v>8022.8534064322366</v>
      </c>
      <c r="G234">
        <f>$C$23*(I234/(J234^2+$C$24^2)^1.5)+$C$32*(L234/(M234^2+$C$33^2)^1.5)+C$41*(O234/(P234^2+$C$42^2)^1.5)</f>
        <v>-5149.6589750885059</v>
      </c>
      <c r="H234" s="3">
        <f t="shared" si="40"/>
        <v>31215.201781453296</v>
      </c>
      <c r="I234" s="3">
        <f t="shared" si="41"/>
        <v>37154.512715179662</v>
      </c>
      <c r="J234" s="3">
        <f t="shared" si="42"/>
        <v>48526.762073718579</v>
      </c>
      <c r="K234" s="3">
        <f t="shared" si="43"/>
        <v>-8784.7982185467063</v>
      </c>
      <c r="L234" s="3">
        <f t="shared" si="44"/>
        <v>42154.512715179662</v>
      </c>
      <c r="M234" s="3">
        <f t="shared" si="45"/>
        <v>43060.139595626315</v>
      </c>
      <c r="N234" s="3">
        <f t="shared" si="46"/>
        <v>6215.2017814532937</v>
      </c>
      <c r="O234" s="3">
        <f t="shared" si="47"/>
        <v>-7845.4872848203377</v>
      </c>
      <c r="P234" s="3">
        <f t="shared" si="48"/>
        <v>10009.016131491535</v>
      </c>
    </row>
    <row r="235" spans="1:16" x14ac:dyDescent="0.25">
      <c r="A235">
        <f t="shared" si="35"/>
        <v>79.5</v>
      </c>
      <c r="B235">
        <f t="shared" si="36"/>
        <v>-2005.4057209730547</v>
      </c>
      <c r="C235">
        <f t="shared" si="37"/>
        <v>-20444.088668825258</v>
      </c>
      <c r="D235">
        <f t="shared" si="38"/>
        <v>18419.592120960478</v>
      </c>
      <c r="E235">
        <f t="shared" si="39"/>
        <v>3420.8480927088117</v>
      </c>
      <c r="F235">
        <f>$C$23*(H235/(J235^2+$C$24^2)^1.5)+$C$32*(K235/(M235^2+$C$33^2)^1.5)+C$41*(N235/(P235^2+$C$42^2)^1.5)</f>
        <v>-6761.7007703580202</v>
      </c>
      <c r="G235">
        <f>$C$23*(I235/(J235^2+$C$24^2)^1.5)+$C$32*(L235/(M235^2+$C$33^2)^1.5)+C$41*(O235/(P235^2+$C$42^2)^1.5)</f>
        <v>-8271.8718705643405</v>
      </c>
      <c r="H235" s="3">
        <f t="shared" si="40"/>
        <v>22005.405720973056</v>
      </c>
      <c r="I235" s="3">
        <f t="shared" si="41"/>
        <v>35444.088668825258</v>
      </c>
      <c r="J235" s="3">
        <f t="shared" si="42"/>
        <v>41719.555396818178</v>
      </c>
      <c r="K235" s="3">
        <f t="shared" si="43"/>
        <v>-17994.594279026944</v>
      </c>
      <c r="L235" s="3">
        <f t="shared" si="44"/>
        <v>40444.088668825258</v>
      </c>
      <c r="M235" s="3">
        <f t="shared" si="45"/>
        <v>44266.575782621687</v>
      </c>
      <c r="N235" s="3">
        <f t="shared" si="46"/>
        <v>-2994.5942790269455</v>
      </c>
      <c r="O235" s="3">
        <f t="shared" si="47"/>
        <v>-9555.9113311747424</v>
      </c>
      <c r="P235" s="3">
        <f t="shared" si="48"/>
        <v>10014.141813717975</v>
      </c>
    </row>
    <row r="236" spans="1:16" x14ac:dyDescent="0.25">
      <c r="A236">
        <f t="shared" si="35"/>
        <v>80</v>
      </c>
      <c r="B236">
        <f t="shared" si="36"/>
        <v>5513.9651469176797</v>
      </c>
      <c r="C236">
        <f t="shared" si="37"/>
        <v>-20801.632590111938</v>
      </c>
      <c r="D236">
        <f t="shared" si="38"/>
        <v>15038.741735781468</v>
      </c>
      <c r="E236">
        <f t="shared" si="39"/>
        <v>-715.08784257335856</v>
      </c>
      <c r="F236">
        <f>$C$23*(H236/(J236^2+$C$24^2)^1.5)+$C$32*(K236/(M236^2+$C$33^2)^1.5)+C$41*(N236/(P236^2+$C$42^2)^1.5)</f>
        <v>-11373.293165264535</v>
      </c>
      <c r="G236">
        <f>$C$23*(I236/(J236^2+$C$24^2)^1.5)+$C$32*(L236/(M236^2+$C$33^2)^1.5)+C$41*(O236/(P236^2+$C$42^2)^1.5)</f>
        <v>-2777.0809806878988</v>
      </c>
      <c r="H236" s="3">
        <f t="shared" si="40"/>
        <v>14486.034853082321</v>
      </c>
      <c r="I236" s="3">
        <f t="shared" si="41"/>
        <v>35801.632590111942</v>
      </c>
      <c r="J236" s="3">
        <f t="shared" si="42"/>
        <v>38621.264892311352</v>
      </c>
      <c r="K236" s="3">
        <f t="shared" si="43"/>
        <v>-25513.965146917679</v>
      </c>
      <c r="L236" s="3">
        <f t="shared" si="44"/>
        <v>40801.632590111942</v>
      </c>
      <c r="M236" s="3">
        <f t="shared" si="45"/>
        <v>48122.090972199192</v>
      </c>
      <c r="N236" s="3">
        <f t="shared" si="46"/>
        <v>-10513.965146917679</v>
      </c>
      <c r="O236" s="3">
        <f t="shared" si="47"/>
        <v>-9198.367409888062</v>
      </c>
      <c r="P236" s="3">
        <f t="shared" si="48"/>
        <v>13969.732499868796</v>
      </c>
    </row>
    <row r="237" spans="1:16" x14ac:dyDescent="0.25">
      <c r="A237">
        <f t="shared" si="35"/>
        <v>80.5</v>
      </c>
      <c r="B237">
        <f t="shared" si="36"/>
        <v>10190.01272349228</v>
      </c>
      <c r="C237">
        <f t="shared" si="37"/>
        <v>-21853.446756570593</v>
      </c>
      <c r="D237">
        <f t="shared" si="38"/>
        <v>9352.095153149201</v>
      </c>
      <c r="E237">
        <f t="shared" si="39"/>
        <v>-2103.6283329173079</v>
      </c>
      <c r="F237">
        <f>$C$23*(H237/(J237^2+$C$24^2)^1.5)+$C$32*(K237/(M237^2+$C$33^2)^1.5)+C$41*(N237/(P237^2+$C$42^2)^1.5)</f>
        <v>-10700.174308527834</v>
      </c>
      <c r="G237">
        <f>$C$23*(I237/(J237^2+$C$24^2)^1.5)+$C$32*(L237/(M237^2+$C$33^2)^1.5)+C$41*(O237/(P237^2+$C$42^2)^1.5)</f>
        <v>-161.07752966651697</v>
      </c>
      <c r="H237" s="3">
        <f t="shared" si="40"/>
        <v>9809.9872765077198</v>
      </c>
      <c r="I237" s="3">
        <f t="shared" si="41"/>
        <v>36853.446756570593</v>
      </c>
      <c r="J237" s="3">
        <f t="shared" si="42"/>
        <v>38136.759015477794</v>
      </c>
      <c r="K237" s="3">
        <f t="shared" si="43"/>
        <v>-30190.01272349228</v>
      </c>
      <c r="L237" s="3">
        <f t="shared" si="44"/>
        <v>41853.446756570593</v>
      </c>
      <c r="M237" s="3">
        <f t="shared" si="45"/>
        <v>51605.696135695289</v>
      </c>
      <c r="N237" s="3">
        <f t="shared" si="46"/>
        <v>-15190.01272349228</v>
      </c>
      <c r="O237" s="3">
        <f t="shared" si="47"/>
        <v>-8146.5532434294073</v>
      </c>
      <c r="P237" s="3">
        <f t="shared" si="48"/>
        <v>17236.670684557605</v>
      </c>
    </row>
    <row r="238" spans="1:16" x14ac:dyDescent="0.25">
      <c r="A238">
        <f t="shared" si="35"/>
        <v>81</v>
      </c>
      <c r="B238">
        <f t="shared" si="36"/>
        <v>12191.016722934923</v>
      </c>
      <c r="C238">
        <f t="shared" si="37"/>
        <v>-22945.530305445878</v>
      </c>
      <c r="D238">
        <f t="shared" si="38"/>
        <v>4002.007998885284</v>
      </c>
      <c r="E238">
        <f t="shared" si="39"/>
        <v>-2184.1670977505664</v>
      </c>
      <c r="F238">
        <f>$C$23*(H238/(J238^2+$C$24^2)^1.5)+$C$32*(K238/(M238^2+$C$33^2)^1.5)+C$41*(N238/(P238^2+$C$42^2)^1.5)</f>
        <v>-10224.263579440722</v>
      </c>
      <c r="G238">
        <f>$C$23*(I238/(J238^2+$C$24^2)^1.5)+$C$32*(L238/(M238^2+$C$33^2)^1.5)+C$41*(O238/(P238^2+$C$42^2)^1.5)</f>
        <v>696.70127749318135</v>
      </c>
      <c r="H238" s="3">
        <f t="shared" si="40"/>
        <v>7808.9832770650773</v>
      </c>
      <c r="I238" s="3">
        <f t="shared" si="41"/>
        <v>37945.530305445878</v>
      </c>
      <c r="J238" s="3">
        <f t="shared" si="42"/>
        <v>38740.721340509313</v>
      </c>
      <c r="K238" s="3">
        <f t="shared" si="43"/>
        <v>-32191.016722934924</v>
      </c>
      <c r="L238" s="3">
        <f t="shared" si="44"/>
        <v>42945.530305445878</v>
      </c>
      <c r="M238" s="3">
        <f t="shared" si="45"/>
        <v>53671.036238107481</v>
      </c>
      <c r="N238" s="3">
        <f t="shared" si="46"/>
        <v>-17191.016722934924</v>
      </c>
      <c r="O238" s="3">
        <f t="shared" si="47"/>
        <v>-7054.4696945541218</v>
      </c>
      <c r="P238" s="3">
        <f t="shared" si="48"/>
        <v>18582.158072721551</v>
      </c>
    </row>
    <row r="239" spans="1:16" x14ac:dyDescent="0.25">
      <c r="A239">
        <f t="shared" si="35"/>
        <v>81.5</v>
      </c>
      <c r="B239">
        <f t="shared" si="36"/>
        <v>11635.954827517384</v>
      </c>
      <c r="C239">
        <f t="shared" si="37"/>
        <v>-23863.438534947865</v>
      </c>
      <c r="D239">
        <f t="shared" si="38"/>
        <v>-1110.1237908350768</v>
      </c>
      <c r="E239">
        <f t="shared" si="39"/>
        <v>-1835.8164590039758</v>
      </c>
      <c r="F239">
        <f>$C$23*(H239/(J239^2+$C$24^2)^1.5)+$C$32*(K239/(M239^2+$C$33^2)^1.5)+C$41*(N239/(P239^2+$C$42^2)^1.5)</f>
        <v>-10721.997481246073</v>
      </c>
      <c r="G239">
        <f>$C$23*(I239/(J239^2+$C$24^2)^1.5)+$C$32*(L239/(M239^2+$C$33^2)^1.5)+C$41*(O239/(P239^2+$C$42^2)^1.5)</f>
        <v>777.21364927069908</v>
      </c>
      <c r="H239" s="3">
        <f t="shared" si="40"/>
        <v>8364.0451724826162</v>
      </c>
      <c r="I239" s="3">
        <f t="shared" si="41"/>
        <v>38863.438534947869</v>
      </c>
      <c r="J239" s="3">
        <f t="shared" si="42"/>
        <v>39753.29051043449</v>
      </c>
      <c r="K239" s="3">
        <f t="shared" si="43"/>
        <v>-31635.954827517384</v>
      </c>
      <c r="L239" s="3">
        <f t="shared" si="44"/>
        <v>43863.438534947869</v>
      </c>
      <c r="M239" s="3">
        <f t="shared" si="45"/>
        <v>54081.742556595476</v>
      </c>
      <c r="N239" s="3">
        <f t="shared" si="46"/>
        <v>-16635.954827517384</v>
      </c>
      <c r="O239" s="3">
        <f t="shared" si="47"/>
        <v>-6136.5614650521347</v>
      </c>
      <c r="P239" s="3">
        <f t="shared" si="48"/>
        <v>17731.677293408025</v>
      </c>
    </row>
    <row r="240" spans="1:16" x14ac:dyDescent="0.25">
      <c r="A240">
        <f t="shared" si="35"/>
        <v>82</v>
      </c>
      <c r="B240">
        <f t="shared" si="36"/>
        <v>8400.3935617883271</v>
      </c>
      <c r="C240">
        <f t="shared" si="37"/>
        <v>-24587.043352132179</v>
      </c>
      <c r="D240">
        <f t="shared" si="38"/>
        <v>-6471.1225314581134</v>
      </c>
      <c r="E240">
        <f t="shared" si="39"/>
        <v>-1447.2096343686262</v>
      </c>
      <c r="F240">
        <f>$C$23*(H240/(J240^2+$C$24^2)^1.5)+$C$32*(K240/(M240^2+$C$33^2)^1.5)+C$41*(N240/(P240^2+$C$42^2)^1.5)</f>
        <v>-12675.564960930296</v>
      </c>
      <c r="G240">
        <f>$C$23*(I240/(J240^2+$C$24^2)^1.5)+$C$32*(L240/(M240^2+$C$33^2)^1.5)+C$41*(O240/(P240^2+$C$42^2)^1.5)</f>
        <v>-89.220589663177634</v>
      </c>
      <c r="H240" s="3">
        <f t="shared" si="40"/>
        <v>11599.606438211673</v>
      </c>
      <c r="I240" s="3">
        <f t="shared" si="41"/>
        <v>39587.043352132183</v>
      </c>
      <c r="J240" s="3">
        <f t="shared" si="42"/>
        <v>41251.4832567872</v>
      </c>
      <c r="K240" s="3">
        <f t="shared" si="43"/>
        <v>-28400.393561788325</v>
      </c>
      <c r="L240" s="3">
        <f t="shared" si="44"/>
        <v>44587.043352132183</v>
      </c>
      <c r="M240" s="3">
        <f t="shared" si="45"/>
        <v>52863.851442638785</v>
      </c>
      <c r="N240" s="3">
        <f t="shared" si="46"/>
        <v>-13400.393561788327</v>
      </c>
      <c r="O240" s="3">
        <f t="shared" si="47"/>
        <v>-5412.9566478678207</v>
      </c>
      <c r="P240" s="3">
        <f t="shared" si="48"/>
        <v>14452.357845089309</v>
      </c>
    </row>
    <row r="241" spans="1:16" x14ac:dyDescent="0.25">
      <c r="A241">
        <f t="shared" si="35"/>
        <v>82.5</v>
      </c>
      <c r="B241">
        <f t="shared" si="36"/>
        <v>1995.9410558266964</v>
      </c>
      <c r="C241">
        <f t="shared" si="37"/>
        <v>-25332.953316732288</v>
      </c>
      <c r="D241">
        <f t="shared" si="38"/>
        <v>-12808.905011923262</v>
      </c>
      <c r="E241">
        <f t="shared" si="39"/>
        <v>-1491.819929200215</v>
      </c>
      <c r="F241">
        <f>$C$23*(H241/(J241^2+$C$24^2)^1.5)+$C$32*(K241/(M241^2+$C$33^2)^1.5)+C$41*(N241/(P241^2+$C$42^2)^1.5)</f>
        <v>-15169.549524625401</v>
      </c>
      <c r="G241">
        <f>$C$23*(I241/(J241^2+$C$24^2)^1.5)+$C$32*(L241/(M241^2+$C$33^2)^1.5)+C$41*(O241/(P241^2+$C$42^2)^1.5)</f>
        <v>-4112.6882861017402</v>
      </c>
      <c r="H241" s="3">
        <f t="shared" si="40"/>
        <v>18004.058944173303</v>
      </c>
      <c r="I241" s="3">
        <f t="shared" si="41"/>
        <v>40332.953316732288</v>
      </c>
      <c r="J241" s="3">
        <f t="shared" si="42"/>
        <v>44168.917370872616</v>
      </c>
      <c r="K241" s="3">
        <f t="shared" si="43"/>
        <v>-21995.941055826697</v>
      </c>
      <c r="L241" s="3">
        <f t="shared" si="44"/>
        <v>45332.953316732288</v>
      </c>
      <c r="M241" s="3">
        <f t="shared" si="45"/>
        <v>50387.47939070213</v>
      </c>
      <c r="N241" s="3">
        <f t="shared" si="46"/>
        <v>-6995.9410558266964</v>
      </c>
      <c r="O241" s="3">
        <f t="shared" si="47"/>
        <v>-4667.0466832677121</v>
      </c>
      <c r="P241" s="3">
        <f t="shared" si="48"/>
        <v>8409.7869176574095</v>
      </c>
    </row>
    <row r="242" spans="1:16" x14ac:dyDescent="0.25">
      <c r="A242">
        <f t="shared" si="35"/>
        <v>83</v>
      </c>
      <c r="B242">
        <f t="shared" si="36"/>
        <v>-8200.8988312912843</v>
      </c>
      <c r="C242">
        <f t="shared" si="37"/>
        <v>-27107.035352857831</v>
      </c>
      <c r="D242">
        <f t="shared" si="38"/>
        <v>-20393.679774235963</v>
      </c>
      <c r="E242">
        <f t="shared" si="39"/>
        <v>-3548.1640722510851</v>
      </c>
      <c r="F242">
        <f>$C$23*(H242/(J242^2+$C$24^2)^1.5)+$C$32*(K242/(M242^2+$C$33^2)^1.5)+C$41*(N242/(P242^2+$C$42^2)^1.5)</f>
        <v>9220.2753907947099</v>
      </c>
      <c r="G242">
        <f>$C$23*(I242/(J242^2+$C$24^2)^1.5)+$C$32*(L242/(M242^2+$C$33^2)^1.5)+C$41*(O242/(P242^2+$C$42^2)^1.5)</f>
        <v>-4141.3725278660104</v>
      </c>
      <c r="H242" s="3">
        <f t="shared" si="40"/>
        <v>28200.898831291284</v>
      </c>
      <c r="I242" s="3">
        <f t="shared" si="41"/>
        <v>42107.035352857827</v>
      </c>
      <c r="J242" s="3">
        <f t="shared" si="42"/>
        <v>50678.329896510448</v>
      </c>
      <c r="K242" s="3">
        <f t="shared" si="43"/>
        <v>-11799.101168708716</v>
      </c>
      <c r="L242" s="3">
        <f t="shared" si="44"/>
        <v>47107.035352857827</v>
      </c>
      <c r="M242" s="3">
        <f t="shared" si="45"/>
        <v>48562.244265734058</v>
      </c>
      <c r="N242" s="3">
        <f t="shared" si="46"/>
        <v>3200.8988312912843</v>
      </c>
      <c r="O242" s="3">
        <f t="shared" si="47"/>
        <v>-2892.9646471421693</v>
      </c>
      <c r="P242" s="3">
        <f t="shared" si="48"/>
        <v>4314.5101434318503</v>
      </c>
    </row>
    <row r="243" spans="1:16" x14ac:dyDescent="0.25">
      <c r="A243">
        <f t="shared" si="35"/>
        <v>83.5</v>
      </c>
      <c r="B243">
        <f t="shared" si="36"/>
        <v>-16092.669870710588</v>
      </c>
      <c r="C243">
        <f t="shared" si="37"/>
        <v>-29916.460520949877</v>
      </c>
      <c r="D243">
        <f t="shared" si="38"/>
        <v>-15783.542078838607</v>
      </c>
      <c r="E243">
        <f t="shared" si="39"/>
        <v>-5618.8503361840903</v>
      </c>
      <c r="F243">
        <f>$C$23*(H243/(J243^2+$C$24^2)^1.5)+$C$32*(K243/(M243^2+$C$33^2)^1.5)+C$41*(N243/(P243^2+$C$42^2)^1.5)</f>
        <v>13658.727263928082</v>
      </c>
      <c r="G243">
        <f>$C$23*(I243/(J243^2+$C$24^2)^1.5)+$C$32*(L243/(M243^2+$C$33^2)^1.5)+C$41*(O243/(P243^2+$C$42^2)^1.5)</f>
        <v>4958.5297419109638</v>
      </c>
      <c r="H243" s="3">
        <f t="shared" si="40"/>
        <v>36092.66987071059</v>
      </c>
      <c r="I243" s="3">
        <f t="shared" si="41"/>
        <v>44916.460520949877</v>
      </c>
      <c r="J243" s="3">
        <f t="shared" si="42"/>
        <v>57620.909782180192</v>
      </c>
      <c r="K243" s="3">
        <f t="shared" si="43"/>
        <v>-3907.3301292894121</v>
      </c>
      <c r="L243" s="3">
        <f t="shared" si="44"/>
        <v>49916.460520949877</v>
      </c>
      <c r="M243" s="3">
        <f t="shared" si="45"/>
        <v>50069.154772961774</v>
      </c>
      <c r="N243" s="3">
        <f t="shared" si="46"/>
        <v>11092.669870710588</v>
      </c>
      <c r="O243" s="3">
        <f t="shared" si="47"/>
        <v>-83.539479050123191</v>
      </c>
      <c r="P243" s="3">
        <f t="shared" si="48"/>
        <v>11092.98443635122</v>
      </c>
    </row>
    <row r="244" spans="1:16" x14ac:dyDescent="0.25">
      <c r="A244">
        <f t="shared" si="35"/>
        <v>84</v>
      </c>
      <c r="B244">
        <f t="shared" si="36"/>
        <v>-20569.75909414787</v>
      </c>
      <c r="C244">
        <f t="shared" si="37"/>
        <v>-31486.25325356418</v>
      </c>
      <c r="D244">
        <f t="shared" si="38"/>
        <v>-8954.1784468745664</v>
      </c>
      <c r="E244">
        <f t="shared" si="39"/>
        <v>-3139.5854652286084</v>
      </c>
      <c r="F244">
        <f>$C$23*(H244/(J244^2+$C$24^2)^1.5)+$C$32*(K244/(M244^2+$C$33^2)^1.5)+C$41*(N244/(P244^2+$C$42^2)^1.5)</f>
        <v>10335.847558383162</v>
      </c>
      <c r="G244">
        <f>$C$23*(I244/(J244^2+$C$24^2)^1.5)+$C$32*(L244/(M244^2+$C$33^2)^1.5)+C$41*(O244/(P244^2+$C$42^2)^1.5)</f>
        <v>5794.5469080066805</v>
      </c>
      <c r="H244" s="3">
        <f t="shared" si="40"/>
        <v>40569.75909414787</v>
      </c>
      <c r="I244" s="3">
        <f t="shared" si="41"/>
        <v>46486.25325356418</v>
      </c>
      <c r="J244" s="3">
        <f t="shared" si="42"/>
        <v>61699.895417348154</v>
      </c>
      <c r="K244" s="3">
        <f t="shared" si="43"/>
        <v>569.7590941478702</v>
      </c>
      <c r="L244" s="3">
        <f t="shared" si="44"/>
        <v>51486.25325356418</v>
      </c>
      <c r="M244" s="3">
        <f t="shared" si="45"/>
        <v>51489.405701712189</v>
      </c>
      <c r="N244" s="3">
        <f t="shared" si="46"/>
        <v>15569.75909414787</v>
      </c>
      <c r="O244" s="3">
        <f t="shared" si="47"/>
        <v>1486.2532535641803</v>
      </c>
      <c r="P244" s="3">
        <f t="shared" si="48"/>
        <v>15640.535380335623</v>
      </c>
    </row>
    <row r="245" spans="1:16" x14ac:dyDescent="0.25">
      <c r="A245">
        <f t="shared" si="35"/>
        <v>84.5</v>
      </c>
      <c r="B245">
        <f t="shared" si="36"/>
        <v>-22462.886427989364</v>
      </c>
      <c r="C245">
        <f t="shared" si="37"/>
        <v>-31607.409259176813</v>
      </c>
      <c r="D245">
        <f t="shared" si="38"/>
        <v>-3786.2546676829852</v>
      </c>
      <c r="E245">
        <f t="shared" si="39"/>
        <v>-242.31201122526818</v>
      </c>
      <c r="F245">
        <f>$C$23*(H245/(J245^2+$C$24^2)^1.5)+$C$32*(K245/(M245^2+$C$33^2)^1.5)+C$41*(N245/(P245^2+$C$42^2)^1.5)</f>
        <v>9202.5720181483539</v>
      </c>
      <c r="G245">
        <f>$C$23*(I245/(J245^2+$C$24^2)^1.5)+$C$32*(L245/(M245^2+$C$33^2)^1.5)+C$41*(O245/(P245^2+$C$42^2)^1.5)</f>
        <v>5600.166087875039</v>
      </c>
      <c r="H245" s="3">
        <f t="shared" si="40"/>
        <v>42462.886427989361</v>
      </c>
      <c r="I245" s="3">
        <f t="shared" si="41"/>
        <v>46607.409259176813</v>
      </c>
      <c r="J245" s="3">
        <f t="shared" si="42"/>
        <v>63050.355444269495</v>
      </c>
      <c r="K245" s="3">
        <f t="shared" si="43"/>
        <v>2462.8864279893642</v>
      </c>
      <c r="L245" s="3">
        <f t="shared" si="44"/>
        <v>51607.409259176813</v>
      </c>
      <c r="M245" s="3">
        <f t="shared" si="45"/>
        <v>51666.144621031504</v>
      </c>
      <c r="N245" s="3">
        <f t="shared" si="46"/>
        <v>17462.886427989364</v>
      </c>
      <c r="O245" s="3">
        <f t="shared" si="47"/>
        <v>1607.4092591768131</v>
      </c>
      <c r="P245" s="3">
        <f t="shared" si="48"/>
        <v>17536.709124671666</v>
      </c>
    </row>
    <row r="246" spans="1:16" x14ac:dyDescent="0.25">
      <c r="A246">
        <f t="shared" si="35"/>
        <v>85</v>
      </c>
      <c r="B246">
        <f t="shared" si="36"/>
        <v>-22055.370757293771</v>
      </c>
      <c r="C246">
        <f t="shared" si="37"/>
        <v>-30328.523742820686</v>
      </c>
      <c r="D246">
        <f t="shared" si="38"/>
        <v>815.03134139119175</v>
      </c>
      <c r="E246">
        <f t="shared" si="39"/>
        <v>2557.7710327122513</v>
      </c>
      <c r="F246">
        <f>$C$23*(H246/(J246^2+$C$24^2)^1.5)+$C$32*(K246/(M246^2+$C$33^2)^1.5)+C$41*(N246/(P246^2+$C$42^2)^1.5)</f>
        <v>9532.8930201565108</v>
      </c>
      <c r="G246">
        <f>$C$23*(I246/(J246^2+$C$24^2)^1.5)+$C$32*(L246/(M246^2+$C$33^2)^1.5)+C$41*(O246/(P246^2+$C$42^2)^1.5)</f>
        <v>5178.5535241122334</v>
      </c>
      <c r="H246" s="3">
        <f t="shared" si="40"/>
        <v>42055.370757293771</v>
      </c>
      <c r="I246" s="3">
        <f t="shared" si="41"/>
        <v>45328.523742820689</v>
      </c>
      <c r="J246" s="3">
        <f t="shared" si="42"/>
        <v>61833.075891766042</v>
      </c>
      <c r="K246" s="3">
        <f t="shared" si="43"/>
        <v>2055.370757293771</v>
      </c>
      <c r="L246" s="3">
        <f t="shared" si="44"/>
        <v>50328.523742820689</v>
      </c>
      <c r="M246" s="3">
        <f t="shared" si="45"/>
        <v>50370.475986252146</v>
      </c>
      <c r="N246" s="3">
        <f t="shared" si="46"/>
        <v>17055.370757293771</v>
      </c>
      <c r="O246" s="3">
        <f t="shared" si="47"/>
        <v>328.52374282068558</v>
      </c>
      <c r="P246" s="3">
        <f t="shared" si="48"/>
        <v>17058.534506760785</v>
      </c>
    </row>
    <row r="247" spans="1:16" x14ac:dyDescent="0.25">
      <c r="A247">
        <f t="shared" si="35"/>
        <v>85.5</v>
      </c>
      <c r="B247">
        <f t="shared" si="36"/>
        <v>-19264.631831559047</v>
      </c>
      <c r="C247">
        <f t="shared" si="37"/>
        <v>-27754.999845436501</v>
      </c>
      <c r="D247">
        <f t="shared" si="38"/>
        <v>5581.4778514694472</v>
      </c>
      <c r="E247">
        <f t="shared" si="39"/>
        <v>5147.0477947683685</v>
      </c>
      <c r="F247">
        <f>$C$23*(H247/(J247^2+$C$24^2)^1.5)+$C$32*(K247/(M247^2+$C$33^2)^1.5)+C$41*(N247/(P247^2+$C$42^2)^1.5)</f>
        <v>11047.249024439672</v>
      </c>
      <c r="G247">
        <f>$C$23*(I247/(J247^2+$C$24^2)^1.5)+$C$32*(L247/(M247^2+$C$33^2)^1.5)+C$41*(O247/(P247^2+$C$42^2)^1.5)</f>
        <v>3759.1774209061286</v>
      </c>
      <c r="H247" s="3">
        <f t="shared" si="40"/>
        <v>39264.631831559047</v>
      </c>
      <c r="I247" s="3">
        <f t="shared" si="41"/>
        <v>42754.999845436498</v>
      </c>
      <c r="J247" s="3">
        <f t="shared" si="42"/>
        <v>58049.12854342565</v>
      </c>
      <c r="K247" s="3">
        <f t="shared" si="43"/>
        <v>-735.36816844095301</v>
      </c>
      <c r="L247" s="3">
        <f t="shared" si="44"/>
        <v>47754.999845436498</v>
      </c>
      <c r="M247" s="3">
        <f t="shared" si="45"/>
        <v>47760.661391785565</v>
      </c>
      <c r="N247" s="3">
        <f t="shared" si="46"/>
        <v>14264.631831559047</v>
      </c>
      <c r="O247" s="3">
        <f t="shared" si="47"/>
        <v>-2245.0001545634987</v>
      </c>
      <c r="P247" s="3">
        <f t="shared" si="48"/>
        <v>14440.212844134872</v>
      </c>
    </row>
    <row r="248" spans="1:16" x14ac:dyDescent="0.25">
      <c r="A248">
        <f t="shared" si="35"/>
        <v>86</v>
      </c>
      <c r="B248">
        <f t="shared" si="36"/>
        <v>-13712.080649714404</v>
      </c>
      <c r="C248">
        <f t="shared" si="37"/>
        <v>-24241.681592825786</v>
      </c>
      <c r="D248">
        <f t="shared" si="38"/>
        <v>11105.102363689282</v>
      </c>
      <c r="E248">
        <f t="shared" si="39"/>
        <v>7026.6365052214333</v>
      </c>
      <c r="F248">
        <f>$C$23*(H248/(J248^2+$C$24^2)^1.5)+$C$32*(K248/(M248^2+$C$33^2)^1.5)+C$41*(N248/(P248^2+$C$42^2)^1.5)</f>
        <v>11349.75586685587</v>
      </c>
      <c r="G248">
        <f>$C$23*(I248/(J248^2+$C$24^2)^1.5)+$C$32*(L248/(M248^2+$C$33^2)^1.5)+C$41*(O248/(P248^2+$C$42^2)^1.5)</f>
        <v>-1861.3113858178485</v>
      </c>
      <c r="H248" s="3">
        <f t="shared" si="40"/>
        <v>33712.080649714408</v>
      </c>
      <c r="I248" s="3">
        <f t="shared" si="41"/>
        <v>39241.681592825786</v>
      </c>
      <c r="J248" s="3">
        <f t="shared" si="42"/>
        <v>51734.069586352576</v>
      </c>
      <c r="K248" s="3">
        <f t="shared" si="43"/>
        <v>-6287.919350285596</v>
      </c>
      <c r="L248" s="3">
        <f t="shared" si="44"/>
        <v>44241.681592825786</v>
      </c>
      <c r="M248" s="3">
        <f t="shared" si="45"/>
        <v>44686.287828781169</v>
      </c>
      <c r="N248" s="3">
        <f t="shared" si="46"/>
        <v>8712.080649714404</v>
      </c>
      <c r="O248" s="3">
        <f t="shared" si="47"/>
        <v>-5758.3184071742144</v>
      </c>
      <c r="P248" s="3">
        <f t="shared" si="48"/>
        <v>10443.111611274177</v>
      </c>
    </row>
    <row r="249" spans="1:16" x14ac:dyDescent="0.25">
      <c r="A249">
        <f t="shared" si="35"/>
        <v>86.5</v>
      </c>
      <c r="B249">
        <f t="shared" si="36"/>
        <v>-5322.0905011557952</v>
      </c>
      <c r="C249">
        <f t="shared" si="37"/>
        <v>-21193.691186669534</v>
      </c>
      <c r="D249">
        <f t="shared" si="38"/>
        <v>16779.980297117218</v>
      </c>
      <c r="E249">
        <f t="shared" si="39"/>
        <v>6095.9808123125094</v>
      </c>
      <c r="F249">
        <f>$C$23*(H249/(J249^2+$C$24^2)^1.5)+$C$32*(K249/(M249^2+$C$33^2)^1.5)+C$41*(N249/(P249^2+$C$42^2)^1.5)</f>
        <v>-1379.2589819055902</v>
      </c>
      <c r="G249">
        <f>$C$23*(I249/(J249^2+$C$24^2)^1.5)+$C$32*(L249/(M249^2+$C$33^2)^1.5)+C$41*(O249/(P249^2+$C$42^2)^1.5)</f>
        <v>-9468.9331042351005</v>
      </c>
      <c r="H249" s="3">
        <f t="shared" si="40"/>
        <v>25322.090501155795</v>
      </c>
      <c r="I249" s="3">
        <f t="shared" si="41"/>
        <v>36193.69118666953</v>
      </c>
      <c r="J249" s="3">
        <f t="shared" si="42"/>
        <v>44172.293907660314</v>
      </c>
      <c r="K249" s="3">
        <f t="shared" si="43"/>
        <v>-14677.909498844205</v>
      </c>
      <c r="L249" s="3">
        <f t="shared" si="44"/>
        <v>41193.69118666953</v>
      </c>
      <c r="M249" s="3">
        <f t="shared" si="45"/>
        <v>43730.552487236608</v>
      </c>
      <c r="N249" s="3">
        <f t="shared" si="46"/>
        <v>322.09050115579521</v>
      </c>
      <c r="O249" s="3">
        <f t="shared" si="47"/>
        <v>-8806.3088133304664</v>
      </c>
      <c r="P249" s="3">
        <f t="shared" si="48"/>
        <v>8812.197070349519</v>
      </c>
    </row>
    <row r="250" spans="1:16" x14ac:dyDescent="0.25">
      <c r="A250">
        <f t="shared" si="35"/>
        <v>87</v>
      </c>
      <c r="B250">
        <f t="shared" si="36"/>
        <v>2723.084901926416</v>
      </c>
      <c r="C250">
        <f t="shared" si="37"/>
        <v>-20512.934056572052</v>
      </c>
      <c r="D250">
        <f t="shared" si="38"/>
        <v>16090.350806164422</v>
      </c>
      <c r="E250">
        <f t="shared" si="39"/>
        <v>1361.5142601949592</v>
      </c>
      <c r="F250">
        <f>$C$23*(H250/(J250^2+$C$24^2)^1.5)+$C$32*(K250/(M250^2+$C$33^2)^1.5)+C$41*(N250/(P250^2+$C$42^2)^1.5)</f>
        <v>-10819.984540056943</v>
      </c>
      <c r="G250">
        <f>$C$23*(I250/(J250^2+$C$24^2)^1.5)+$C$32*(L250/(M250^2+$C$33^2)^1.5)+C$41*(O250/(P250^2+$C$42^2)^1.5)</f>
        <v>-4855.1135635315559</v>
      </c>
      <c r="H250" s="3">
        <f t="shared" si="40"/>
        <v>17276.915098073583</v>
      </c>
      <c r="I250" s="3">
        <f t="shared" si="41"/>
        <v>35512.934056572049</v>
      </c>
      <c r="J250" s="3">
        <f t="shared" si="42"/>
        <v>39492.534492135062</v>
      </c>
      <c r="K250" s="3">
        <f t="shared" si="43"/>
        <v>-22723.084901926417</v>
      </c>
      <c r="L250" s="3">
        <f t="shared" si="44"/>
        <v>40512.934056572049</v>
      </c>
      <c r="M250" s="3">
        <f t="shared" si="45"/>
        <v>46450.365050581808</v>
      </c>
      <c r="N250" s="3">
        <f t="shared" si="46"/>
        <v>-7723.084901926416</v>
      </c>
      <c r="O250" s="3">
        <f t="shared" si="47"/>
        <v>-9487.0659434279478</v>
      </c>
      <c r="P250" s="3">
        <f t="shared" si="48"/>
        <v>12233.170505527754</v>
      </c>
    </row>
    <row r="251" spans="1:16" x14ac:dyDescent="0.25">
      <c r="A251">
        <f t="shared" si="35"/>
        <v>87.5</v>
      </c>
      <c r="B251">
        <f t="shared" si="36"/>
        <v>8063.2641699943915</v>
      </c>
      <c r="C251">
        <f t="shared" si="37"/>
        <v>-21045.955317357464</v>
      </c>
      <c r="D251">
        <f t="shared" si="38"/>
        <v>10680.358536135951</v>
      </c>
      <c r="E251">
        <f t="shared" si="39"/>
        <v>-1066.0425215708187</v>
      </c>
      <c r="F251">
        <f>$C$23*(H251/(J251^2+$C$24^2)^1.5)+$C$32*(K251/(M251^2+$C$33^2)^1.5)+C$41*(N251/(P251^2+$C$42^2)^1.5)</f>
        <v>-11048.152061201181</v>
      </c>
      <c r="G251">
        <f>$C$23*(I251/(J251^2+$C$24^2)^1.5)+$C$32*(L251/(M251^2+$C$33^2)^1.5)+C$41*(O251/(P251^2+$C$42^2)^1.5)</f>
        <v>-1229.668559675305</v>
      </c>
      <c r="H251" s="3">
        <f t="shared" si="40"/>
        <v>11936.735830005608</v>
      </c>
      <c r="I251" s="3">
        <f t="shared" si="41"/>
        <v>36045.955317357468</v>
      </c>
      <c r="J251" s="3">
        <f t="shared" si="42"/>
        <v>37970.996260517983</v>
      </c>
      <c r="K251" s="3">
        <f t="shared" si="43"/>
        <v>-28063.264169994392</v>
      </c>
      <c r="L251" s="3">
        <f t="shared" si="44"/>
        <v>41045.955317357468</v>
      </c>
      <c r="M251" s="3">
        <f t="shared" si="45"/>
        <v>49722.401830456627</v>
      </c>
      <c r="N251" s="3">
        <f t="shared" si="46"/>
        <v>-13063.264169994392</v>
      </c>
      <c r="O251" s="3">
        <f t="shared" si="47"/>
        <v>-8954.0446826425359</v>
      </c>
      <c r="P251" s="3">
        <f t="shared" si="48"/>
        <v>15837.41730692913</v>
      </c>
    </row>
    <row r="252" spans="1:16" x14ac:dyDescent="0.25">
      <c r="A252">
        <f t="shared" si="35"/>
        <v>88</v>
      </c>
      <c r="B252">
        <f t="shared" si="36"/>
        <v>10641.405422762073</v>
      </c>
      <c r="C252">
        <f t="shared" si="37"/>
        <v>-21886.393718061699</v>
      </c>
      <c r="D252">
        <f t="shared" si="38"/>
        <v>5156.2825055353605</v>
      </c>
      <c r="E252">
        <f t="shared" si="39"/>
        <v>-1680.8768014084712</v>
      </c>
      <c r="F252">
        <f>$C$23*(H252/(J252^2+$C$24^2)^1.5)+$C$32*(K252/(M252^2+$C$33^2)^1.5)+C$41*(N252/(P252^2+$C$42^2)^1.5)</f>
        <v>-10539.058662479732</v>
      </c>
      <c r="G252">
        <f>$C$23*(I252/(J252^2+$C$24^2)^1.5)+$C$32*(L252/(M252^2+$C$33^2)^1.5)+C$41*(O252/(P252^2+$C$42^2)^1.5)</f>
        <v>11.009244666972336</v>
      </c>
      <c r="H252" s="3">
        <f t="shared" si="40"/>
        <v>9358.5945772379273</v>
      </c>
      <c r="I252" s="3">
        <f t="shared" si="41"/>
        <v>36886.393718061699</v>
      </c>
      <c r="J252" s="3">
        <f t="shared" si="42"/>
        <v>38055.082892893144</v>
      </c>
      <c r="K252" s="3">
        <f t="shared" si="43"/>
        <v>-30641.405422762073</v>
      </c>
      <c r="L252" s="3">
        <f t="shared" si="44"/>
        <v>41886.393718061699</v>
      </c>
      <c r="M252" s="3">
        <f t="shared" si="45"/>
        <v>51897.646430127745</v>
      </c>
      <c r="N252" s="3">
        <f t="shared" si="46"/>
        <v>-15641.405422762073</v>
      </c>
      <c r="O252" s="3">
        <f t="shared" si="47"/>
        <v>-8113.6062819383005</v>
      </c>
      <c r="P252" s="3">
        <f t="shared" si="48"/>
        <v>17620.561015402418</v>
      </c>
    </row>
    <row r="253" spans="1:16" x14ac:dyDescent="0.25">
      <c r="A253">
        <f t="shared" si="35"/>
        <v>88.5</v>
      </c>
      <c r="B253">
        <f t="shared" si="36"/>
        <v>10584.782009909821</v>
      </c>
      <c r="C253">
        <f t="shared" si="37"/>
        <v>-22724.079807599192</v>
      </c>
      <c r="D253">
        <f t="shared" si="38"/>
        <v>-113.24682570450568</v>
      </c>
      <c r="E253">
        <f t="shared" si="39"/>
        <v>-1675.3721790749851</v>
      </c>
      <c r="F253">
        <f>$C$23*(H253/(J253^2+$C$24^2)^1.5)+$C$32*(K253/(M253^2+$C$33^2)^1.5)+C$41*(N253/(P253^2+$C$42^2)^1.5)</f>
        <v>-10858.023550948439</v>
      </c>
      <c r="G253">
        <f>$C$23*(I253/(J253^2+$C$24^2)^1.5)+$C$32*(L253/(M253^2+$C$33^2)^1.5)+C$41*(O253/(P253^2+$C$42^2)^1.5)</f>
        <v>159.88326428117671</v>
      </c>
      <c r="H253" s="3">
        <f t="shared" si="40"/>
        <v>9415.2179900901792</v>
      </c>
      <c r="I253" s="3">
        <f t="shared" si="41"/>
        <v>37724.079807599192</v>
      </c>
      <c r="J253" s="3">
        <f t="shared" si="42"/>
        <v>38881.261902503</v>
      </c>
      <c r="K253" s="3">
        <f t="shared" si="43"/>
        <v>-30584.782009909821</v>
      </c>
      <c r="L253" s="3">
        <f t="shared" si="44"/>
        <v>42724.079807599192</v>
      </c>
      <c r="M253" s="3">
        <f t="shared" si="45"/>
        <v>52543.085996159462</v>
      </c>
      <c r="N253" s="3">
        <f t="shared" si="46"/>
        <v>-15584.782009909821</v>
      </c>
      <c r="O253" s="3">
        <f t="shared" si="47"/>
        <v>-7275.9201924008084</v>
      </c>
      <c r="P253" s="3">
        <f t="shared" si="48"/>
        <v>17199.547812154673</v>
      </c>
    </row>
    <row r="254" spans="1:16" x14ac:dyDescent="0.25">
      <c r="A254">
        <f t="shared" si="35"/>
        <v>89</v>
      </c>
      <c r="B254">
        <f t="shared" si="36"/>
        <v>7813.6527093204586</v>
      </c>
      <c r="C254">
        <f t="shared" si="37"/>
        <v>-23521.79508106639</v>
      </c>
      <c r="D254">
        <f t="shared" si="38"/>
        <v>-5542.2586011787253</v>
      </c>
      <c r="E254">
        <f t="shared" si="39"/>
        <v>-1595.4305469343967</v>
      </c>
      <c r="F254">
        <f>$C$23*(H254/(J254^2+$C$24^2)^1.5)+$C$32*(K254/(M254^2+$C$33^2)^1.5)+C$41*(N254/(P254^2+$C$42^2)^1.5)</f>
        <v>-12452.217392811932</v>
      </c>
      <c r="G254">
        <f>$C$23*(I254/(J254^2+$C$24^2)^1.5)+$C$32*(L254/(M254^2+$C$33^2)^1.5)+C$41*(O254/(P254^2+$C$42^2)^1.5)</f>
        <v>-812.03123806575786</v>
      </c>
      <c r="H254" s="3">
        <f t="shared" si="40"/>
        <v>12186.347290679541</v>
      </c>
      <c r="I254" s="3">
        <f t="shared" si="41"/>
        <v>38521.79508106639</v>
      </c>
      <c r="J254" s="3">
        <f t="shared" si="42"/>
        <v>40403.412684533505</v>
      </c>
      <c r="K254" s="3">
        <f t="shared" si="43"/>
        <v>-27813.652709320457</v>
      </c>
      <c r="L254" s="3">
        <f t="shared" si="44"/>
        <v>43521.79508106639</v>
      </c>
      <c r="M254" s="3">
        <f t="shared" si="45"/>
        <v>51650.226757614757</v>
      </c>
      <c r="N254" s="3">
        <f t="shared" si="46"/>
        <v>-12813.652709320459</v>
      </c>
      <c r="O254" s="3">
        <f t="shared" si="47"/>
        <v>-6478.2049189336103</v>
      </c>
      <c r="P254" s="3">
        <f t="shared" si="48"/>
        <v>14358.162651494486</v>
      </c>
    </row>
    <row r="255" spans="1:16" x14ac:dyDescent="0.25">
      <c r="A255">
        <f t="shared" si="35"/>
        <v>89.5</v>
      </c>
      <c r="B255">
        <f t="shared" si="36"/>
        <v>1929.4690605281135</v>
      </c>
      <c r="C255">
        <f t="shared" si="37"/>
        <v>-24522.518164050027</v>
      </c>
      <c r="D255">
        <f t="shared" si="38"/>
        <v>-11768.367297584691</v>
      </c>
      <c r="E255">
        <f t="shared" si="39"/>
        <v>-2001.4461659672756</v>
      </c>
      <c r="F255">
        <f>$C$23*(H255/(J255^2+$C$24^2)^1.5)+$C$32*(K255/(M255^2+$C$33^2)^1.5)+C$41*(N255/(P255^2+$C$42^2)^1.5)</f>
        <v>-14331.709442338171</v>
      </c>
      <c r="G255">
        <f>$C$23*(I255/(J255^2+$C$24^2)^1.5)+$C$32*(L255/(M255^2+$C$33^2)^1.5)+C$41*(O255/(P255^2+$C$42^2)^1.5)</f>
        <v>-4896.4500744552697</v>
      </c>
      <c r="H255" s="3">
        <f t="shared" si="40"/>
        <v>18070.530939471886</v>
      </c>
      <c r="I255" s="3">
        <f t="shared" si="41"/>
        <v>39522.518164050023</v>
      </c>
      <c r="J255" s="3">
        <f t="shared" si="42"/>
        <v>43457.721183491369</v>
      </c>
      <c r="K255" s="3">
        <f t="shared" si="43"/>
        <v>-21929.469060528114</v>
      </c>
      <c r="L255" s="3">
        <f t="shared" si="44"/>
        <v>44522.518164050023</v>
      </c>
      <c r="M255" s="3">
        <f t="shared" si="45"/>
        <v>49630.194810667672</v>
      </c>
      <c r="N255" s="3">
        <f t="shared" si="46"/>
        <v>-6929.4690605281139</v>
      </c>
      <c r="O255" s="3">
        <f t="shared" si="47"/>
        <v>-5477.4818359499732</v>
      </c>
      <c r="P255" s="3">
        <f t="shared" si="48"/>
        <v>8832.9128108443529</v>
      </c>
    </row>
    <row r="256" spans="1:16" x14ac:dyDescent="0.25">
      <c r="A256">
        <f t="shared" si="35"/>
        <v>90</v>
      </c>
      <c r="B256">
        <f t="shared" si="36"/>
        <v>-7537.6419488487754</v>
      </c>
      <c r="C256">
        <f t="shared" si="37"/>
        <v>-26747.35376564748</v>
      </c>
      <c r="D256">
        <f t="shared" si="38"/>
        <v>-18934.222018753775</v>
      </c>
      <c r="E256">
        <f t="shared" si="39"/>
        <v>-4449.67120319491</v>
      </c>
      <c r="F256">
        <f>$C$23*(H256/(J256^2+$C$24^2)^1.5)+$C$32*(K256/(M256^2+$C$33^2)^1.5)+C$41*(N256/(P256^2+$C$42^2)^1.5)</f>
        <v>7154.9953222739405</v>
      </c>
      <c r="G256">
        <f>$C$23*(I256/(J256^2+$C$24^2)^1.5)+$C$32*(L256/(M256^2+$C$33^2)^1.5)+C$41*(O256/(P256^2+$C$42^2)^1.5)</f>
        <v>-5505.5274340642682</v>
      </c>
      <c r="H256" s="3">
        <f t="shared" si="40"/>
        <v>27537.641948848774</v>
      </c>
      <c r="I256" s="3">
        <f t="shared" si="41"/>
        <v>41747.35376564748</v>
      </c>
      <c r="J256" s="3">
        <f t="shared" si="42"/>
        <v>50011.631352487559</v>
      </c>
      <c r="K256" s="3">
        <f t="shared" si="43"/>
        <v>-12462.358051151225</v>
      </c>
      <c r="L256" s="3">
        <f t="shared" si="44"/>
        <v>46747.35376564748</v>
      </c>
      <c r="M256" s="3">
        <f t="shared" si="45"/>
        <v>48380.010875212596</v>
      </c>
      <c r="N256" s="3">
        <f t="shared" si="46"/>
        <v>2537.6419488487754</v>
      </c>
      <c r="O256" s="3">
        <f t="shared" si="47"/>
        <v>-3252.64623435252</v>
      </c>
      <c r="P256" s="3">
        <f t="shared" si="48"/>
        <v>4125.4495738530895</v>
      </c>
    </row>
    <row r="257" spans="1:16" x14ac:dyDescent="0.25">
      <c r="A257">
        <f t="shared" si="35"/>
        <v>90.5</v>
      </c>
      <c r="B257">
        <f t="shared" si="36"/>
        <v>-15216.004127657176</v>
      </c>
      <c r="C257">
        <f t="shared" si="37"/>
        <v>-30348.571225761003</v>
      </c>
      <c r="D257">
        <f t="shared" si="38"/>
        <v>-15356.724357616804</v>
      </c>
      <c r="E257">
        <f t="shared" si="39"/>
        <v>-7202.4349202270441</v>
      </c>
      <c r="F257">
        <f>$C$23*(H257/(J257^2+$C$24^2)^1.5)+$C$32*(K257/(M257^2+$C$33^2)^1.5)+C$41*(N257/(P257^2+$C$42^2)^1.5)</f>
        <v>14269.759507559109</v>
      </c>
      <c r="G257">
        <f>$C$23*(I257/(J257^2+$C$24^2)^1.5)+$C$32*(L257/(M257^2+$C$33^2)^1.5)+C$41*(O257/(P257^2+$C$42^2)^1.5)</f>
        <v>5471.8924912901712</v>
      </c>
      <c r="H257" s="3">
        <f t="shared" si="40"/>
        <v>35216.004127657172</v>
      </c>
      <c r="I257" s="3">
        <f t="shared" si="41"/>
        <v>45348.571225760999</v>
      </c>
      <c r="J257" s="3">
        <f t="shared" si="42"/>
        <v>57416.546908857948</v>
      </c>
      <c r="K257" s="3">
        <f t="shared" si="43"/>
        <v>-4783.9958723428244</v>
      </c>
      <c r="L257" s="3">
        <f t="shared" si="44"/>
        <v>50348.571225760999</v>
      </c>
      <c r="M257" s="3">
        <f t="shared" si="45"/>
        <v>50575.342223084575</v>
      </c>
      <c r="N257" s="3">
        <f t="shared" si="46"/>
        <v>10216.004127657176</v>
      </c>
      <c r="O257" s="3">
        <f t="shared" si="47"/>
        <v>348.57122576100301</v>
      </c>
      <c r="P257" s="3">
        <f t="shared" si="48"/>
        <v>10221.949042904536</v>
      </c>
    </row>
    <row r="258" spans="1:16" x14ac:dyDescent="0.25">
      <c r="A258">
        <f t="shared" si="35"/>
        <v>91</v>
      </c>
      <c r="B258">
        <f t="shared" si="36"/>
        <v>-19326.9264295758</v>
      </c>
      <c r="C258">
        <f t="shared" si="37"/>
        <v>-32581.815563051983</v>
      </c>
      <c r="D258">
        <f t="shared" si="38"/>
        <v>-8221.8446038372495</v>
      </c>
      <c r="E258">
        <f t="shared" si="39"/>
        <v>-4466.4886745819585</v>
      </c>
      <c r="F258">
        <f>$C$23*(H258/(J258^2+$C$24^2)^1.5)+$C$32*(K258/(M258^2+$C$33^2)^1.5)+C$41*(N258/(P258^2+$C$42^2)^1.5)</f>
        <v>10921.881784125277</v>
      </c>
      <c r="G258">
        <f>$C$23*(I258/(J258^2+$C$24^2)^1.5)+$C$32*(L258/(M258^2+$C$33^2)^1.5)+C$41*(O258/(P258^2+$C$42^2)^1.5)</f>
        <v>6613.9066483544557</v>
      </c>
      <c r="H258" s="3">
        <f t="shared" si="40"/>
        <v>39326.926429575804</v>
      </c>
      <c r="I258" s="3">
        <f t="shared" si="41"/>
        <v>47581.815563051983</v>
      </c>
      <c r="J258" s="3">
        <f t="shared" si="42"/>
        <v>61730.351648711381</v>
      </c>
      <c r="K258" s="3">
        <f t="shared" si="43"/>
        <v>-673.07357042419972</v>
      </c>
      <c r="L258" s="3">
        <f t="shared" si="44"/>
        <v>52581.815563051983</v>
      </c>
      <c r="M258" s="3">
        <f t="shared" si="45"/>
        <v>52586.123225980627</v>
      </c>
      <c r="N258" s="3">
        <f t="shared" si="46"/>
        <v>14326.9264295758</v>
      </c>
      <c r="O258" s="3">
        <f t="shared" si="47"/>
        <v>2581.8155630519832</v>
      </c>
      <c r="P258" s="3">
        <f t="shared" si="48"/>
        <v>14557.698737097668</v>
      </c>
    </row>
    <row r="259" spans="1:16" x14ac:dyDescent="0.25">
      <c r="A259">
        <f t="shared" si="35"/>
        <v>91.5</v>
      </c>
      <c r="B259">
        <f t="shared" si="36"/>
        <v>-20707.378285463106</v>
      </c>
      <c r="C259">
        <f t="shared" si="37"/>
        <v>-33161.583238254345</v>
      </c>
      <c r="D259">
        <f t="shared" si="38"/>
        <v>-2760.9037117746111</v>
      </c>
      <c r="E259">
        <f t="shared" si="39"/>
        <v>-1159.5353504047307</v>
      </c>
      <c r="F259">
        <f>$C$23*(H259/(J259^2+$C$24^2)^1.5)+$C$32*(K259/(M259^2+$C$33^2)^1.5)+C$41*(N259/(P259^2+$C$42^2)^1.5)</f>
        <v>9909.2806979137767</v>
      </c>
      <c r="G259">
        <f>$C$23*(I259/(J259^2+$C$24^2)^1.5)+$C$32*(L259/(M259^2+$C$33^2)^1.5)+C$41*(O259/(P259^2+$C$42^2)^1.5)</f>
        <v>6523.4494639853219</v>
      </c>
      <c r="H259" s="3">
        <f t="shared" si="40"/>
        <v>40707.378285463106</v>
      </c>
      <c r="I259" s="3">
        <f t="shared" si="41"/>
        <v>48161.583238254345</v>
      </c>
      <c r="J259" s="3">
        <f t="shared" si="42"/>
        <v>63060.516544753227</v>
      </c>
      <c r="K259" s="3">
        <f t="shared" si="43"/>
        <v>707.37828546310629</v>
      </c>
      <c r="L259" s="3">
        <f t="shared" si="44"/>
        <v>53161.583238254345</v>
      </c>
      <c r="M259" s="3">
        <f t="shared" si="45"/>
        <v>53166.289285943123</v>
      </c>
      <c r="N259" s="3">
        <f t="shared" si="46"/>
        <v>15707.378285463106</v>
      </c>
      <c r="O259" s="3">
        <f t="shared" si="47"/>
        <v>3161.5832382543449</v>
      </c>
      <c r="P259" s="3">
        <f t="shared" si="48"/>
        <v>16022.401229998228</v>
      </c>
    </row>
    <row r="260" spans="1:16" x14ac:dyDescent="0.25">
      <c r="A260">
        <f t="shared" si="35"/>
        <v>92</v>
      </c>
      <c r="B260">
        <f t="shared" si="36"/>
        <v>-19610.509966871967</v>
      </c>
      <c r="C260">
        <f t="shared" si="37"/>
        <v>-32110.488547460383</v>
      </c>
      <c r="D260">
        <f t="shared" si="38"/>
        <v>2193.7366371822773</v>
      </c>
      <c r="E260">
        <f t="shared" si="39"/>
        <v>2102.1893815879303</v>
      </c>
      <c r="F260">
        <f>$C$23*(H260/(J260^2+$C$24^2)^1.5)+$C$32*(K260/(M260^2+$C$33^2)^1.5)+C$41*(N260/(P260^2+$C$42^2)^1.5)</f>
        <v>10849.840231639808</v>
      </c>
      <c r="G260">
        <f>$C$23*(I260/(J260^2+$C$24^2)^1.5)+$C$32*(L260/(M260^2+$C$33^2)^1.5)+C$41*(O260/(P260^2+$C$42^2)^1.5)</f>
        <v>6284.0562223104826</v>
      </c>
      <c r="H260" s="3">
        <f t="shared" si="40"/>
        <v>39610.509966871963</v>
      </c>
      <c r="I260" s="3">
        <f t="shared" si="41"/>
        <v>47110.48854746038</v>
      </c>
      <c r="J260" s="3">
        <f t="shared" si="42"/>
        <v>61549.903582508225</v>
      </c>
      <c r="K260" s="3">
        <f t="shared" si="43"/>
        <v>-389.49003312803325</v>
      </c>
      <c r="L260" s="3">
        <f t="shared" si="44"/>
        <v>52110.48854746038</v>
      </c>
      <c r="M260" s="3">
        <f t="shared" si="45"/>
        <v>52111.944112083416</v>
      </c>
      <c r="N260" s="3">
        <f t="shared" si="46"/>
        <v>14610.509966871967</v>
      </c>
      <c r="O260" s="3">
        <f t="shared" si="47"/>
        <v>2110.4885474603834</v>
      </c>
      <c r="P260" s="3">
        <f t="shared" si="48"/>
        <v>14762.153074705144</v>
      </c>
    </row>
    <row r="261" spans="1:16" x14ac:dyDescent="0.25">
      <c r="A261">
        <f t="shared" si="35"/>
        <v>92.5</v>
      </c>
      <c r="B261">
        <f t="shared" si="36"/>
        <v>-15801.181590370876</v>
      </c>
      <c r="C261">
        <f t="shared" si="37"/>
        <v>-29488.379801088799</v>
      </c>
      <c r="D261">
        <f t="shared" si="38"/>
        <v>7618.6567530021812</v>
      </c>
      <c r="E261">
        <f t="shared" si="39"/>
        <v>5244.2174927431715</v>
      </c>
      <c r="F261">
        <f>$C$23*(H261/(J261^2+$C$24^2)^1.5)+$C$32*(K261/(M261^2+$C$33^2)^1.5)+C$41*(N261/(P261^2+$C$42^2)^1.5)</f>
        <v>13835.294100349156</v>
      </c>
      <c r="G261">
        <f>$C$23*(I261/(J261^2+$C$24^2)^1.5)+$C$32*(L261/(M261^2+$C$33^2)^1.5)+C$41*(O261/(P261^2+$C$42^2)^1.5)</f>
        <v>4462.6881504271014</v>
      </c>
      <c r="H261" s="3">
        <f t="shared" si="40"/>
        <v>35801.181590370878</v>
      </c>
      <c r="I261" s="3">
        <f t="shared" si="41"/>
        <v>44488.379801088799</v>
      </c>
      <c r="J261" s="3">
        <f t="shared" si="42"/>
        <v>57104.645525496751</v>
      </c>
      <c r="K261" s="3">
        <f t="shared" si="43"/>
        <v>-4198.8184096291243</v>
      </c>
      <c r="L261" s="3">
        <f t="shared" si="44"/>
        <v>49488.379801088799</v>
      </c>
      <c r="M261" s="3">
        <f t="shared" si="45"/>
        <v>49666.183781058258</v>
      </c>
      <c r="N261" s="3">
        <f t="shared" si="46"/>
        <v>10801.181590370876</v>
      </c>
      <c r="O261" s="3">
        <f t="shared" si="47"/>
        <v>-511.62019891120144</v>
      </c>
      <c r="P261" s="3">
        <f t="shared" si="48"/>
        <v>10813.291773373207</v>
      </c>
    </row>
    <row r="262" spans="1:16" x14ac:dyDescent="0.25">
      <c r="A262">
        <f t="shared" si="35"/>
        <v>93</v>
      </c>
      <c r="B262">
        <f t="shared" si="36"/>
        <v>-8533.0296887824952</v>
      </c>
      <c r="C262">
        <f t="shared" si="37"/>
        <v>-25750.599017110439</v>
      </c>
      <c r="D262">
        <f t="shared" si="38"/>
        <v>14536.303803176759</v>
      </c>
      <c r="E262">
        <f t="shared" si="39"/>
        <v>7475.5615679567218</v>
      </c>
      <c r="F262">
        <f>$C$23*(H262/(J262^2+$C$24^2)^1.5)+$C$32*(K262/(M262^2+$C$33^2)^1.5)+C$41*(N262/(P262^2+$C$42^2)^1.5)</f>
        <v>8704.9497651567963</v>
      </c>
      <c r="G262">
        <f>$C$23*(I262/(J262^2+$C$24^2)^1.5)+$C$32*(L262/(M262^2+$C$33^2)^1.5)+C$41*(O262/(P262^2+$C$42^2)^1.5)</f>
        <v>-6428.9768624367161</v>
      </c>
      <c r="H262" s="3">
        <f t="shared" si="40"/>
        <v>28533.029688782495</v>
      </c>
      <c r="I262" s="3">
        <f t="shared" si="41"/>
        <v>40750.599017110435</v>
      </c>
      <c r="J262" s="3">
        <f t="shared" si="42"/>
        <v>49746.809982895036</v>
      </c>
      <c r="K262" s="3">
        <f t="shared" si="43"/>
        <v>-11466.970311217505</v>
      </c>
      <c r="L262" s="3">
        <f t="shared" si="44"/>
        <v>45750.599017110435</v>
      </c>
      <c r="M262" s="3">
        <f t="shared" si="45"/>
        <v>47165.757902770631</v>
      </c>
      <c r="N262" s="3">
        <f t="shared" si="46"/>
        <v>3533.0296887824952</v>
      </c>
      <c r="O262" s="3">
        <f t="shared" si="47"/>
        <v>-4249.4009828895614</v>
      </c>
      <c r="P262" s="3">
        <f t="shared" si="48"/>
        <v>5526.2742870039765</v>
      </c>
    </row>
    <row r="263" spans="1:16" x14ac:dyDescent="0.25">
      <c r="A263">
        <f t="shared" si="35"/>
        <v>93.5</v>
      </c>
      <c r="B263">
        <f t="shared" si="36"/>
        <v>911.35965409508344</v>
      </c>
      <c r="C263">
        <f t="shared" si="37"/>
        <v>-23620.062448741257</v>
      </c>
      <c r="D263">
        <f t="shared" si="38"/>
        <v>18888.778685755158</v>
      </c>
      <c r="E263">
        <f t="shared" si="39"/>
        <v>4261.0731367383632</v>
      </c>
      <c r="F263">
        <f>$C$23*(H263/(J263^2+$C$24^2)^1.5)+$C$32*(K263/(M263^2+$C$33^2)^1.5)+C$41*(N263/(P263^2+$C$42^2)^1.5)</f>
        <v>-12789.997893635747</v>
      </c>
      <c r="G263">
        <f>$C$23*(I263/(J263^2+$C$24^2)^1.5)+$C$32*(L263/(M263^2+$C$33^2)^1.5)+C$41*(O263/(P263^2+$C$42^2)^1.5)</f>
        <v>-6485.0860253792998</v>
      </c>
      <c r="H263" s="3">
        <f t="shared" si="40"/>
        <v>19088.640345904918</v>
      </c>
      <c r="I263" s="3">
        <f t="shared" si="41"/>
        <v>38620.062448741257</v>
      </c>
      <c r="J263" s="3">
        <f t="shared" si="42"/>
        <v>43079.988553851588</v>
      </c>
      <c r="K263" s="3">
        <f t="shared" si="43"/>
        <v>-20911.359654095082</v>
      </c>
      <c r="L263" s="3">
        <f t="shared" si="44"/>
        <v>43620.062448741257</v>
      </c>
      <c r="M263" s="3">
        <f t="shared" si="45"/>
        <v>48373.49285109566</v>
      </c>
      <c r="N263" s="3">
        <f t="shared" si="46"/>
        <v>-5911.3596540950839</v>
      </c>
      <c r="O263" s="3">
        <f t="shared" si="47"/>
        <v>-6379.937551258743</v>
      </c>
      <c r="P263" s="3">
        <f t="shared" si="48"/>
        <v>8697.5730015921436</v>
      </c>
    </row>
    <row r="264" spans="1:16" x14ac:dyDescent="0.25">
      <c r="A264">
        <f t="shared" si="35"/>
        <v>94</v>
      </c>
      <c r="B264">
        <f t="shared" si="36"/>
        <v>7158.2495235637261</v>
      </c>
      <c r="C264">
        <f t="shared" si="37"/>
        <v>-23110.797386716898</v>
      </c>
      <c r="D264">
        <f t="shared" si="38"/>
        <v>12493.779738937284</v>
      </c>
      <c r="E264">
        <f t="shared" si="39"/>
        <v>1018.5301240487133</v>
      </c>
      <c r="F264">
        <f>$C$23*(H264/(J264^2+$C$24^2)^1.5)+$C$32*(K264/(M264^2+$C$33^2)^1.5)+C$41*(N264/(P264^2+$C$42^2)^1.5)</f>
        <v>-12498.195173997334</v>
      </c>
      <c r="G264">
        <f>$C$23*(I264/(J264^2+$C$24^2)^1.5)+$C$32*(L264/(M264^2+$C$33^2)^1.5)+C$41*(O264/(P264^2+$C$42^2)^1.5)</f>
        <v>-1319.9607617668935</v>
      </c>
      <c r="H264" s="3">
        <f t="shared" si="40"/>
        <v>12841.750476436275</v>
      </c>
      <c r="I264" s="3">
        <f t="shared" si="41"/>
        <v>38110.797386716898</v>
      </c>
      <c r="J264" s="3">
        <f t="shared" si="42"/>
        <v>40216.208582491199</v>
      </c>
      <c r="K264" s="3">
        <f t="shared" si="43"/>
        <v>-27158.249523563725</v>
      </c>
      <c r="L264" s="3">
        <f t="shared" si="44"/>
        <v>43110.797386716898</v>
      </c>
      <c r="M264" s="3">
        <f t="shared" si="45"/>
        <v>50952.049698738374</v>
      </c>
      <c r="N264" s="3">
        <f t="shared" si="46"/>
        <v>-12158.249523563725</v>
      </c>
      <c r="O264" s="3">
        <f t="shared" si="47"/>
        <v>-6889.2026132831015</v>
      </c>
      <c r="P264" s="3">
        <f t="shared" si="48"/>
        <v>13974.410331892515</v>
      </c>
    </row>
    <row r="265" spans="1:16" x14ac:dyDescent="0.25">
      <c r="A265">
        <f t="shared" si="35"/>
        <v>94.5</v>
      </c>
      <c r="B265">
        <f t="shared" si="36"/>
        <v>10280.590599533036</v>
      </c>
      <c r="C265">
        <f t="shared" si="37"/>
        <v>-22931.522515134264</v>
      </c>
      <c r="D265">
        <f t="shared" si="38"/>
        <v>6244.6821519386176</v>
      </c>
      <c r="E265">
        <f t="shared" si="39"/>
        <v>358.54974316526659</v>
      </c>
      <c r="F265">
        <f>$C$23*(H265/(J265^2+$C$24^2)^1.5)+$C$32*(K265/(M265^2+$C$33^2)^1.5)+C$41*(N265/(P265^2+$C$42^2)^1.5)</f>
        <v>-11066.221067396818</v>
      </c>
      <c r="G265">
        <f>$C$23*(I265/(J265^2+$C$24^2)^1.5)+$C$32*(L265/(M265^2+$C$33^2)^1.5)+C$41*(O265/(P265^2+$C$42^2)^1.5)</f>
        <v>101.28417529201488</v>
      </c>
      <c r="H265" s="3">
        <f t="shared" si="40"/>
        <v>9719.4094004669641</v>
      </c>
      <c r="I265" s="3">
        <f t="shared" si="41"/>
        <v>37931.52251513426</v>
      </c>
      <c r="J265" s="3">
        <f t="shared" si="42"/>
        <v>39156.95748407967</v>
      </c>
      <c r="K265" s="3">
        <f t="shared" si="43"/>
        <v>-30280.590599533036</v>
      </c>
      <c r="L265" s="3">
        <f t="shared" si="44"/>
        <v>42931.52251513426</v>
      </c>
      <c r="M265" s="3">
        <f t="shared" si="45"/>
        <v>52535.985690990972</v>
      </c>
      <c r="N265" s="3">
        <f t="shared" si="46"/>
        <v>-15280.590599533036</v>
      </c>
      <c r="O265" s="3">
        <f t="shared" si="47"/>
        <v>-7068.4774848657362</v>
      </c>
      <c r="P265" s="3">
        <f t="shared" si="48"/>
        <v>16836.265115060145</v>
      </c>
    </row>
    <row r="266" spans="1:16" x14ac:dyDescent="0.25">
      <c r="A266">
        <f t="shared" si="35"/>
        <v>95</v>
      </c>
      <c r="B266">
        <f t="shared" si="36"/>
        <v>10636.376408653141</v>
      </c>
      <c r="C266">
        <f t="shared" si="37"/>
        <v>-22726.926599728624</v>
      </c>
      <c r="D266">
        <f t="shared" si="38"/>
        <v>711.57161824020841</v>
      </c>
      <c r="E266">
        <f t="shared" si="39"/>
        <v>409.19183081127403</v>
      </c>
      <c r="F266">
        <f>$C$23*(H266/(J266^2+$C$24^2)^1.5)+$C$32*(K266/(M266^2+$C$33^2)^1.5)+C$41*(N266/(P266^2+$C$42^2)^1.5)</f>
        <v>-10836.574532179853</v>
      </c>
      <c r="G266">
        <f>$C$23*(I266/(J266^2+$C$24^2)^1.5)+$C$32*(L266/(M266^2+$C$33^2)^1.5)+C$41*(O266/(P266^2+$C$42^2)^1.5)</f>
        <v>178.48639658816774</v>
      </c>
      <c r="H266" s="3">
        <f t="shared" si="40"/>
        <v>9363.623591346859</v>
      </c>
      <c r="I266" s="3">
        <f t="shared" si="41"/>
        <v>37726.926599728627</v>
      </c>
      <c r="J266" s="3">
        <f t="shared" si="42"/>
        <v>38871.563351912395</v>
      </c>
      <c r="K266" s="3">
        <f t="shared" si="43"/>
        <v>-30636.376408653141</v>
      </c>
      <c r="L266" s="3">
        <f t="shared" si="44"/>
        <v>42726.926599728627</v>
      </c>
      <c r="M266" s="3">
        <f t="shared" si="45"/>
        <v>52575.448796099467</v>
      </c>
      <c r="N266" s="3">
        <f t="shared" si="46"/>
        <v>-15636.376408653141</v>
      </c>
      <c r="O266" s="3">
        <f t="shared" si="47"/>
        <v>-7273.0734002713762</v>
      </c>
      <c r="P266" s="3">
        <f t="shared" si="48"/>
        <v>17245.11130375271</v>
      </c>
    </row>
    <row r="267" spans="1:16" x14ac:dyDescent="0.25">
      <c r="A267">
        <f t="shared" si="35"/>
        <v>95.5</v>
      </c>
      <c r="B267">
        <f t="shared" si="36"/>
        <v>8283.0185847282828</v>
      </c>
      <c r="C267">
        <f t="shared" si="37"/>
        <v>-22477.709085175946</v>
      </c>
      <c r="D267">
        <f t="shared" si="38"/>
        <v>-4706.7156478497182</v>
      </c>
      <c r="E267">
        <f t="shared" si="39"/>
        <v>498.4350291053579</v>
      </c>
      <c r="F267">
        <f>$C$23*(H267/(J267^2+$C$24^2)^1.5)+$C$32*(K267/(M267^2+$C$33^2)^1.5)+C$41*(N267/(P267^2+$C$42^2)^1.5)</f>
        <v>-11713.283884825196</v>
      </c>
      <c r="G267">
        <f>$C$23*(I267/(J267^2+$C$24^2)^1.5)+$C$32*(L267/(M267^2+$C$33^2)^1.5)+C$41*(O267/(P267^2+$C$42^2)^1.5)</f>
        <v>-878.01716370660597</v>
      </c>
      <c r="H267" s="3">
        <f t="shared" si="40"/>
        <v>11716.981415271717</v>
      </c>
      <c r="I267" s="3">
        <f t="shared" si="41"/>
        <v>37477.709085175942</v>
      </c>
      <c r="J267" s="3">
        <f t="shared" si="42"/>
        <v>39266.605808993758</v>
      </c>
      <c r="K267" s="3">
        <f t="shared" si="43"/>
        <v>-28283.018584728285</v>
      </c>
      <c r="L267" s="3">
        <f t="shared" si="44"/>
        <v>42477.709085175942</v>
      </c>
      <c r="M267" s="3">
        <f t="shared" si="45"/>
        <v>51032.194832173591</v>
      </c>
      <c r="N267" s="3">
        <f t="shared" si="46"/>
        <v>-13283.018584728283</v>
      </c>
      <c r="O267" s="3">
        <f t="shared" si="47"/>
        <v>-7522.2909148240542</v>
      </c>
      <c r="P267" s="3">
        <f t="shared" si="48"/>
        <v>15265.105414948221</v>
      </c>
    </row>
    <row r="268" spans="1:16" x14ac:dyDescent="0.25">
      <c r="A268">
        <f t="shared" si="35"/>
        <v>96</v>
      </c>
      <c r="B268">
        <f t="shared" si="36"/>
        <v>3001.3397895971248</v>
      </c>
      <c r="C268">
        <f t="shared" si="37"/>
        <v>-22447.99586154992</v>
      </c>
      <c r="D268">
        <f t="shared" si="38"/>
        <v>-10563.357590262316</v>
      </c>
      <c r="E268">
        <f t="shared" si="39"/>
        <v>59.426447252054913</v>
      </c>
      <c r="F268">
        <f>$C$23*(H268/(J268^2+$C$24^2)^1.5)+$C$32*(K268/(M268^2+$C$33^2)^1.5)+C$41*(N268/(P268^2+$C$42^2)^1.5)</f>
        <v>-12589.070763401422</v>
      </c>
      <c r="G268">
        <f>$C$23*(I268/(J268^2+$C$24^2)^1.5)+$C$32*(L268/(M268^2+$C$33^2)^1.5)+C$41*(O268/(P268^2+$C$42^2)^1.5)</f>
        <v>-4705.1400901804082</v>
      </c>
      <c r="H268" s="3">
        <f t="shared" si="40"/>
        <v>16998.660210402875</v>
      </c>
      <c r="I268" s="3">
        <f t="shared" si="41"/>
        <v>37447.99586154992</v>
      </c>
      <c r="J268" s="3">
        <f t="shared" si="42"/>
        <v>41125.501127589843</v>
      </c>
      <c r="K268" s="3">
        <f t="shared" si="43"/>
        <v>-23001.339789597125</v>
      </c>
      <c r="L268" s="3">
        <f t="shared" si="44"/>
        <v>42447.99586154992</v>
      </c>
      <c r="M268" s="3">
        <f t="shared" si="45"/>
        <v>48279.332894921645</v>
      </c>
      <c r="N268" s="3">
        <f t="shared" si="46"/>
        <v>-8001.3397895971248</v>
      </c>
      <c r="O268" s="3">
        <f t="shared" si="47"/>
        <v>-7552.0041384500801</v>
      </c>
      <c r="P268" s="3">
        <f t="shared" si="48"/>
        <v>11002.463584841229</v>
      </c>
    </row>
    <row r="269" spans="1:16" x14ac:dyDescent="0.25">
      <c r="A269">
        <f t="shared" si="35"/>
        <v>96.5</v>
      </c>
      <c r="B269">
        <f t="shared" si="36"/>
        <v>-5427.6066963843887</v>
      </c>
      <c r="C269">
        <f t="shared" si="37"/>
        <v>-23594.567660468994</v>
      </c>
      <c r="D269">
        <f t="shared" si="38"/>
        <v>-16857.892971963025</v>
      </c>
      <c r="E269">
        <f t="shared" si="39"/>
        <v>-2293.1435978381492</v>
      </c>
      <c r="F269">
        <f>$C$23*(H269/(J269^2+$C$24^2)^1.5)+$C$32*(K269/(M269^2+$C$33^2)^1.5)+C$41*(N269/(P269^2+$C$42^2)^1.5)</f>
        <v>-622.59930518627584</v>
      </c>
      <c r="G269">
        <f>$C$23*(I269/(J269^2+$C$24^2)^1.5)+$C$32*(L269/(M269^2+$C$33^2)^1.5)+C$41*(O269/(P269^2+$C$42^2)^1.5)</f>
        <v>-10335.884904365061</v>
      </c>
      <c r="H269" s="3">
        <f t="shared" si="40"/>
        <v>25427.606696384388</v>
      </c>
      <c r="I269" s="3">
        <f t="shared" si="41"/>
        <v>38594.567660468994</v>
      </c>
      <c r="J269" s="3">
        <f t="shared" si="42"/>
        <v>46218.003366702585</v>
      </c>
      <c r="K269" s="3">
        <f t="shared" si="43"/>
        <v>-14572.393303615612</v>
      </c>
      <c r="L269" s="3">
        <f t="shared" si="44"/>
        <v>43594.567660468994</v>
      </c>
      <c r="M269" s="3">
        <f t="shared" si="45"/>
        <v>45965.649958403395</v>
      </c>
      <c r="N269" s="3">
        <f t="shared" si="46"/>
        <v>427.60669638438867</v>
      </c>
      <c r="O269" s="3">
        <f t="shared" si="47"/>
        <v>-6405.4323395310057</v>
      </c>
      <c r="P269" s="3">
        <f t="shared" si="48"/>
        <v>6419.6893182694148</v>
      </c>
    </row>
    <row r="270" spans="1:16" x14ac:dyDescent="0.25">
      <c r="A270">
        <f t="shared" ref="A270:A333" si="49">A269+$C$5</f>
        <v>97</v>
      </c>
      <c r="B270">
        <f t="shared" ref="B270:B333" si="50">B269+D269*(A270-A269)+F269*(A270-A269)^2</f>
        <v>-14012.203008662469</v>
      </c>
      <c r="C270">
        <f t="shared" ref="C270:C333" si="51">C269+E269*(A270-A269)+G269*(A270-A269)^2</f>
        <v>-27325.110685479332</v>
      </c>
      <c r="D270">
        <f t="shared" ref="D270:D333" si="52">D269+F269*(A270-A269)</f>
        <v>-17169.192624556163</v>
      </c>
      <c r="E270">
        <f t="shared" ref="E270:E333" si="53">E269+G269*(A270-A269)</f>
        <v>-7461.08605002068</v>
      </c>
      <c r="F270">
        <f>$C$23*(H270/(J270^2+$C$24^2)^1.5)+$C$32*(K270/(M270^2+$C$33^2)^1.5)+C$41*(N270/(P270^2+$C$42^2)^1.5)</f>
        <v>14033.942944058603</v>
      </c>
      <c r="G270">
        <f>$C$23*(I270/(J270^2+$C$24^2)^1.5)+$C$32*(L270/(M270^2+$C$33^2)^1.5)+C$41*(O270/(P270^2+$C$42^2)^1.5)</f>
        <v>1153.6569316781033</v>
      </c>
      <c r="H270" s="3">
        <f t="shared" ref="H270:H333" si="54">$C$19-B270</f>
        <v>34012.203008662473</v>
      </c>
      <c r="I270" s="3">
        <f t="shared" ref="I270:I333" si="55">$D$19-C270</f>
        <v>42325.110685479332</v>
      </c>
      <c r="J270" s="3">
        <f t="shared" ref="J270:J333" si="56">SQRT(H270^2+I270^2)</f>
        <v>54297.743489398759</v>
      </c>
      <c r="K270" s="3">
        <f t="shared" ref="K270:K333" si="57">$C$28-B270</f>
        <v>-5987.7969913375309</v>
      </c>
      <c r="L270" s="3">
        <f t="shared" ref="L270:L333" si="58">$D$28-C270</f>
        <v>47325.110685479332</v>
      </c>
      <c r="M270" s="3">
        <f t="shared" ref="M270:M333" si="59">SQRT(K270^2+L270^2)</f>
        <v>47702.408893077307</v>
      </c>
      <c r="N270" s="3">
        <f t="shared" ref="N270:N333" si="60">$C$37-B270</f>
        <v>9012.2030086624691</v>
      </c>
      <c r="O270" s="3">
        <f t="shared" ref="O270:O333" si="61">$D$37-C270</f>
        <v>-2674.8893145206675</v>
      </c>
      <c r="P270" s="3">
        <f t="shared" ref="P270:P333" si="62">SQRT(N270^2+O270^2)</f>
        <v>9400.7891112545294</v>
      </c>
    </row>
    <row r="271" spans="1:16" x14ac:dyDescent="0.25">
      <c r="A271">
        <f t="shared" si="49"/>
        <v>97.5</v>
      </c>
      <c r="B271">
        <f t="shared" si="50"/>
        <v>-19088.313584925898</v>
      </c>
      <c r="C271">
        <f t="shared" si="51"/>
        <v>-30767.239477570143</v>
      </c>
      <c r="D271">
        <f t="shared" si="52"/>
        <v>-10152.221152526861</v>
      </c>
      <c r="E271">
        <f t="shared" si="53"/>
        <v>-6884.2575841816288</v>
      </c>
      <c r="F271">
        <f>$C$23*(H271/(J271^2+$C$24^2)^1.5)+$C$32*(K271/(M271^2+$C$33^2)^1.5)+C$41*(N271/(P271^2+$C$42^2)^1.5)</f>
        <v>11416.177117466126</v>
      </c>
      <c r="G271">
        <f>$C$23*(I271/(J271^2+$C$24^2)^1.5)+$C$32*(L271/(M271^2+$C$33^2)^1.5)+C$41*(O271/(P271^2+$C$42^2)^1.5)</f>
        <v>5566.0741548028009</v>
      </c>
      <c r="H271" s="3">
        <f t="shared" si="54"/>
        <v>39088.313584925898</v>
      </c>
      <c r="I271" s="3">
        <f t="shared" si="55"/>
        <v>45767.23947757014</v>
      </c>
      <c r="J271" s="3">
        <f t="shared" si="56"/>
        <v>60187.510899776848</v>
      </c>
      <c r="K271" s="3">
        <f t="shared" si="57"/>
        <v>-911.68641507410211</v>
      </c>
      <c r="L271" s="3">
        <f t="shared" si="58"/>
        <v>50767.23947757014</v>
      </c>
      <c r="M271" s="3">
        <f t="shared" si="59"/>
        <v>50775.4249247841</v>
      </c>
      <c r="N271" s="3">
        <f t="shared" si="60"/>
        <v>14088.313584925898</v>
      </c>
      <c r="O271" s="3">
        <f t="shared" si="61"/>
        <v>767.23947757014321</v>
      </c>
      <c r="P271" s="3">
        <f t="shared" si="62"/>
        <v>14109.189774156051</v>
      </c>
    </row>
    <row r="272" spans="1:16" x14ac:dyDescent="0.25">
      <c r="A272">
        <f t="shared" si="49"/>
        <v>98</v>
      </c>
      <c r="B272">
        <f t="shared" si="50"/>
        <v>-21310.379881822799</v>
      </c>
      <c r="C272">
        <f t="shared" si="51"/>
        <v>-32817.849730960261</v>
      </c>
      <c r="D272">
        <f t="shared" si="52"/>
        <v>-4444.1325937937982</v>
      </c>
      <c r="E272">
        <f t="shared" si="53"/>
        <v>-4101.2205067802279</v>
      </c>
      <c r="F272">
        <f>$C$23*(H272/(J272^2+$C$24^2)^1.5)+$C$32*(K272/(M272^2+$C$33^2)^1.5)+C$41*(N272/(P272^2+$C$42^2)^1.5)</f>
        <v>9643.8682954703945</v>
      </c>
      <c r="G272">
        <f>$C$23*(I272/(J272^2+$C$24^2)^1.5)+$C$32*(L272/(M272^2+$C$33^2)^1.5)+C$41*(O272/(P272^2+$C$42^2)^1.5)</f>
        <v>6237.5611288259697</v>
      </c>
      <c r="H272" s="3">
        <f t="shared" si="54"/>
        <v>41310.379881822795</v>
      </c>
      <c r="I272" s="3">
        <f t="shared" si="55"/>
        <v>47817.849730960261</v>
      </c>
      <c r="J272" s="3">
        <f t="shared" si="56"/>
        <v>63190.934783979945</v>
      </c>
      <c r="K272" s="3">
        <f t="shared" si="57"/>
        <v>1310.3798818227988</v>
      </c>
      <c r="L272" s="3">
        <f t="shared" si="58"/>
        <v>52817.849730960261</v>
      </c>
      <c r="M272" s="3">
        <f t="shared" si="59"/>
        <v>52834.102108742081</v>
      </c>
      <c r="N272" s="3">
        <f t="shared" si="60"/>
        <v>16310.379881822799</v>
      </c>
      <c r="O272" s="3">
        <f t="shared" si="61"/>
        <v>2817.8497309602608</v>
      </c>
      <c r="P272" s="3">
        <f t="shared" si="62"/>
        <v>16552.001963377203</v>
      </c>
    </row>
    <row r="273" spans="1:16" x14ac:dyDescent="0.25">
      <c r="A273">
        <f t="shared" si="49"/>
        <v>98.5</v>
      </c>
      <c r="B273">
        <f t="shared" si="50"/>
        <v>-21121.4791048521</v>
      </c>
      <c r="C273">
        <f t="shared" si="51"/>
        <v>-33309.069702143883</v>
      </c>
      <c r="D273">
        <f t="shared" si="52"/>
        <v>377.80155394139911</v>
      </c>
      <c r="E273">
        <f t="shared" si="53"/>
        <v>-982.43994236724302</v>
      </c>
      <c r="F273">
        <f>$C$23*(H273/(J273^2+$C$24^2)^1.5)+$C$32*(K273/(M273^2+$C$33^2)^1.5)+C$41*(N273/(P273^2+$C$42^2)^1.5)</f>
        <v>9632.5127401427017</v>
      </c>
      <c r="G273">
        <f>$C$23*(I273/(J273^2+$C$24^2)^1.5)+$C$32*(L273/(M273^2+$C$33^2)^1.5)+C$41*(O273/(P273^2+$C$42^2)^1.5)</f>
        <v>6473.6230574739375</v>
      </c>
      <c r="H273" s="3">
        <f t="shared" si="54"/>
        <v>41121.4791048521</v>
      </c>
      <c r="I273" s="3">
        <f t="shared" si="55"/>
        <v>48309.069702143883</v>
      </c>
      <c r="J273" s="3">
        <f t="shared" si="56"/>
        <v>63440.856388114626</v>
      </c>
      <c r="K273" s="3">
        <f t="shared" si="57"/>
        <v>1121.4791048521001</v>
      </c>
      <c r="L273" s="3">
        <f t="shared" si="58"/>
        <v>53309.069702143883</v>
      </c>
      <c r="M273" s="3">
        <f t="shared" si="59"/>
        <v>53320.864845674201</v>
      </c>
      <c r="N273" s="3">
        <f t="shared" si="60"/>
        <v>16121.4791048521</v>
      </c>
      <c r="O273" s="3">
        <f t="shared" si="61"/>
        <v>3309.0697021438828</v>
      </c>
      <c r="P273" s="3">
        <f t="shared" si="62"/>
        <v>16457.582775785439</v>
      </c>
    </row>
    <row r="274" spans="1:16" x14ac:dyDescent="0.25">
      <c r="A274">
        <f t="shared" si="49"/>
        <v>99</v>
      </c>
      <c r="B274">
        <f t="shared" si="50"/>
        <v>-18524.450142845726</v>
      </c>
      <c r="C274">
        <f t="shared" si="51"/>
        <v>-32181.883908959022</v>
      </c>
      <c r="D274">
        <f t="shared" si="52"/>
        <v>5194.0579240127499</v>
      </c>
      <c r="E274">
        <f t="shared" si="53"/>
        <v>2254.3715863697257</v>
      </c>
      <c r="F274">
        <f>$C$23*(H274/(J274^2+$C$24^2)^1.5)+$C$32*(K274/(M274^2+$C$33^2)^1.5)+C$41*(N274/(P274^2+$C$42^2)^1.5)</f>
        <v>11569.006160965951</v>
      </c>
      <c r="G274">
        <f>$C$23*(I274/(J274^2+$C$24^2)^1.5)+$C$32*(L274/(M274^2+$C$33^2)^1.5)+C$41*(O274/(P274^2+$C$42^2)^1.5)</f>
        <v>6585.228680943429</v>
      </c>
      <c r="H274" s="3">
        <f t="shared" si="54"/>
        <v>38524.45014284573</v>
      </c>
      <c r="I274" s="3">
        <f t="shared" si="55"/>
        <v>47181.883908959018</v>
      </c>
      <c r="J274" s="3">
        <f t="shared" si="56"/>
        <v>60911.931737608618</v>
      </c>
      <c r="K274" s="3">
        <f t="shared" si="57"/>
        <v>-1475.5498571542739</v>
      </c>
      <c r="L274" s="3">
        <f t="shared" si="58"/>
        <v>52181.883908959018</v>
      </c>
      <c r="M274" s="3">
        <f t="shared" si="59"/>
        <v>52202.741840530027</v>
      </c>
      <c r="N274" s="3">
        <f t="shared" si="60"/>
        <v>13524.450142845726</v>
      </c>
      <c r="O274" s="3">
        <f t="shared" si="61"/>
        <v>2181.8839089590219</v>
      </c>
      <c r="P274" s="3">
        <f t="shared" si="62"/>
        <v>13699.320021756339</v>
      </c>
    </row>
    <row r="275" spans="1:16" x14ac:dyDescent="0.25">
      <c r="A275">
        <f t="shared" si="49"/>
        <v>99.5</v>
      </c>
      <c r="B275">
        <f t="shared" si="50"/>
        <v>-13035.169640597864</v>
      </c>
      <c r="C275">
        <f t="shared" si="51"/>
        <v>-29408.3909455383</v>
      </c>
      <c r="D275">
        <f t="shared" si="52"/>
        <v>10978.561004495725</v>
      </c>
      <c r="E275">
        <f t="shared" si="53"/>
        <v>5546.9859268414402</v>
      </c>
      <c r="F275">
        <f>$C$23*(H275/(J275^2+$C$24^2)^1.5)+$C$32*(K275/(M275^2+$C$33^2)^1.5)+C$41*(N275/(P275^2+$C$42^2)^1.5)</f>
        <v>15297.343641718098</v>
      </c>
      <c r="G275">
        <f>$C$23*(I275/(J275^2+$C$24^2)^1.5)+$C$32*(L275/(M275^2+$C$33^2)^1.5)+C$41*(O275/(P275^2+$C$42^2)^1.5)</f>
        <v>3903.6739765656803</v>
      </c>
      <c r="H275" s="3">
        <f t="shared" si="54"/>
        <v>33035.169640597866</v>
      </c>
      <c r="I275" s="3">
        <f t="shared" si="55"/>
        <v>44408.390945538296</v>
      </c>
      <c r="J275" s="3">
        <f t="shared" si="56"/>
        <v>55348.239534377666</v>
      </c>
      <c r="K275" s="3">
        <f t="shared" si="57"/>
        <v>-6964.8303594021363</v>
      </c>
      <c r="L275" s="3">
        <f t="shared" si="58"/>
        <v>49408.390945538296</v>
      </c>
      <c r="M275" s="3">
        <f t="shared" si="59"/>
        <v>49896.873226309486</v>
      </c>
      <c r="N275" s="3">
        <f t="shared" si="60"/>
        <v>8035.1696405978637</v>
      </c>
      <c r="O275" s="3">
        <f t="shared" si="61"/>
        <v>-591.6090544617</v>
      </c>
      <c r="P275" s="3">
        <f t="shared" si="62"/>
        <v>8056.9195370505386</v>
      </c>
    </row>
    <row r="276" spans="1:16" x14ac:dyDescent="0.25">
      <c r="A276">
        <f t="shared" si="49"/>
        <v>100</v>
      </c>
      <c r="B276">
        <f t="shared" si="50"/>
        <v>-3721.5532279204767</v>
      </c>
      <c r="C276">
        <f t="shared" si="51"/>
        <v>-25658.979487976161</v>
      </c>
      <c r="D276">
        <f t="shared" si="52"/>
        <v>18627.232825354775</v>
      </c>
      <c r="E276">
        <f t="shared" si="53"/>
        <v>7498.8229151242804</v>
      </c>
      <c r="F276">
        <f>$C$23*(H276/(J276^2+$C$24^2)^1.5)+$C$32*(K276/(M276^2+$C$33^2)^1.5)+C$41*(N276/(P276^2+$C$42^2)^1.5)</f>
        <v>-5693.9226797299425</v>
      </c>
      <c r="G276">
        <f>$C$23*(I276/(J276^2+$C$24^2)^1.5)+$C$32*(L276/(M276^2+$C$33^2)^1.5)+C$41*(O276/(P276^2+$C$42^2)^1.5)</f>
        <v>-8608.937782892328</v>
      </c>
      <c r="H276" s="3">
        <f t="shared" si="54"/>
        <v>23721.553227920478</v>
      </c>
      <c r="I276" s="3">
        <f t="shared" si="55"/>
        <v>40658.979487976161</v>
      </c>
      <c r="J276" s="3">
        <f t="shared" si="56"/>
        <v>47072.972081107553</v>
      </c>
      <c r="K276" s="3">
        <f t="shared" si="57"/>
        <v>-16278.446772079524</v>
      </c>
      <c r="L276" s="3">
        <f t="shared" si="58"/>
        <v>45658.979487976161</v>
      </c>
      <c r="M276" s="3">
        <f t="shared" si="59"/>
        <v>48474.0161034224</v>
      </c>
      <c r="N276" s="3">
        <f t="shared" si="60"/>
        <v>-1278.4467720795233</v>
      </c>
      <c r="O276" s="3">
        <f t="shared" si="61"/>
        <v>-4341.0205120238388</v>
      </c>
      <c r="P276" s="3">
        <f t="shared" si="62"/>
        <v>4525.3602326060482</v>
      </c>
    </row>
    <row r="277" spans="1:16" x14ac:dyDescent="0.25">
      <c r="A277">
        <f t="shared" si="49"/>
        <v>100.5</v>
      </c>
      <c r="B277">
        <f t="shared" si="50"/>
        <v>4168.5825148244257</v>
      </c>
      <c r="C277">
        <f t="shared" si="51"/>
        <v>-24061.802476137105</v>
      </c>
      <c r="D277">
        <f t="shared" si="52"/>
        <v>15780.271485489804</v>
      </c>
      <c r="E277">
        <f t="shared" si="53"/>
        <v>3194.3540236781164</v>
      </c>
      <c r="F277">
        <f>$C$23*(H277/(J277^2+$C$24^2)^1.5)+$C$32*(K277/(M277^2+$C$33^2)^1.5)+C$41*(N277/(P277^2+$C$42^2)^1.5)</f>
        <v>-14083.963308903187</v>
      </c>
      <c r="G277">
        <f>$C$23*(I277/(J277^2+$C$24^2)^1.5)+$C$32*(L277/(M277^2+$C$33^2)^1.5)+C$41*(O277/(P277^2+$C$42^2)^1.5)</f>
        <v>-3072.3284784854486</v>
      </c>
      <c r="H277" s="3">
        <f t="shared" si="54"/>
        <v>15831.417485175574</v>
      </c>
      <c r="I277" s="3">
        <f t="shared" si="55"/>
        <v>39061.802476137105</v>
      </c>
      <c r="J277" s="3">
        <f t="shared" si="56"/>
        <v>42148.050871596351</v>
      </c>
      <c r="K277" s="3">
        <f t="shared" si="57"/>
        <v>-24168.582514824426</v>
      </c>
      <c r="L277" s="3">
        <f t="shared" si="58"/>
        <v>44061.802476137105</v>
      </c>
      <c r="M277" s="3">
        <f t="shared" si="59"/>
        <v>50254.978044189804</v>
      </c>
      <c r="N277" s="3">
        <f t="shared" si="60"/>
        <v>-9168.5825148244257</v>
      </c>
      <c r="O277" s="3">
        <f t="shared" si="61"/>
        <v>-5938.1975238628947</v>
      </c>
      <c r="P277" s="3">
        <f t="shared" si="62"/>
        <v>10923.60266411936</v>
      </c>
    </row>
    <row r="278" spans="1:16" x14ac:dyDescent="0.25">
      <c r="A278">
        <f t="shared" si="49"/>
        <v>101</v>
      </c>
      <c r="B278">
        <f t="shared" si="50"/>
        <v>8537.7274303435315</v>
      </c>
      <c r="C278">
        <f t="shared" si="51"/>
        <v>-23232.707583919408</v>
      </c>
      <c r="D278">
        <f t="shared" si="52"/>
        <v>8738.2898310382116</v>
      </c>
      <c r="E278">
        <f t="shared" si="53"/>
        <v>1658.1897844353921</v>
      </c>
      <c r="F278">
        <f>$C$23*(H278/(J278^2+$C$24^2)^1.5)+$C$32*(K278/(M278^2+$C$33^2)^1.5)+C$41*(N278/(P278^2+$C$42^2)^1.5)</f>
        <v>-11979.565317372257</v>
      </c>
      <c r="G278">
        <f>$C$23*(I278/(J278^2+$C$24^2)^1.5)+$C$32*(L278/(M278^2+$C$33^2)^1.5)+C$41*(O278/(P278^2+$C$42^2)^1.5)</f>
        <v>-544.65855018941784</v>
      </c>
      <c r="H278" s="3">
        <f t="shared" si="54"/>
        <v>11462.272569656468</v>
      </c>
      <c r="I278" s="3">
        <f t="shared" si="55"/>
        <v>38232.707583919408</v>
      </c>
      <c r="J278" s="3">
        <f t="shared" si="56"/>
        <v>39913.952719050358</v>
      </c>
      <c r="K278" s="3">
        <f t="shared" si="57"/>
        <v>-28537.727430343533</v>
      </c>
      <c r="L278" s="3">
        <f t="shared" si="58"/>
        <v>43232.707583919408</v>
      </c>
      <c r="M278" s="3">
        <f t="shared" si="59"/>
        <v>51802.209334402563</v>
      </c>
      <c r="N278" s="3">
        <f t="shared" si="60"/>
        <v>-13537.727430343532</v>
      </c>
      <c r="O278" s="3">
        <f t="shared" si="61"/>
        <v>-6767.2924160805924</v>
      </c>
      <c r="P278" s="3">
        <f t="shared" si="62"/>
        <v>15134.936756492165</v>
      </c>
    </row>
    <row r="279" spans="1:16" x14ac:dyDescent="0.25">
      <c r="A279">
        <f t="shared" si="49"/>
        <v>101.5</v>
      </c>
      <c r="B279">
        <f t="shared" si="50"/>
        <v>9911.981016519574</v>
      </c>
      <c r="C279">
        <f t="shared" si="51"/>
        <v>-22539.777329249064</v>
      </c>
      <c r="D279">
        <f t="shared" si="52"/>
        <v>2748.5071723520832</v>
      </c>
      <c r="E279">
        <f t="shared" si="53"/>
        <v>1385.8605093406832</v>
      </c>
      <c r="F279">
        <f>$C$23*(H279/(J279^2+$C$24^2)^1.5)+$C$32*(K279/(M279^2+$C$33^2)^1.5)+C$41*(N279/(P279^2+$C$42^2)^1.5)</f>
        <v>-11078.02855937877</v>
      </c>
      <c r="G279">
        <f>$C$23*(I279/(J279^2+$C$24^2)^1.5)+$C$32*(L279/(M279^2+$C$33^2)^1.5)+C$41*(O279/(P279^2+$C$42^2)^1.5)</f>
        <v>-132.06729204139174</v>
      </c>
      <c r="H279" s="3">
        <f t="shared" si="54"/>
        <v>10088.018983480426</v>
      </c>
      <c r="I279" s="3">
        <f t="shared" si="55"/>
        <v>37539.77732924906</v>
      </c>
      <c r="J279" s="3">
        <f t="shared" si="56"/>
        <v>38871.622154737292</v>
      </c>
      <c r="K279" s="3">
        <f t="shared" si="57"/>
        <v>-29911.981016519574</v>
      </c>
      <c r="L279" s="3">
        <f t="shared" si="58"/>
        <v>42539.77732924906</v>
      </c>
      <c r="M279" s="3">
        <f t="shared" si="59"/>
        <v>52003.454342521516</v>
      </c>
      <c r="N279" s="3">
        <f t="shared" si="60"/>
        <v>-14911.981016519574</v>
      </c>
      <c r="O279" s="3">
        <f t="shared" si="61"/>
        <v>-7460.2226707509362</v>
      </c>
      <c r="P279" s="3">
        <f t="shared" si="62"/>
        <v>16673.994726346365</v>
      </c>
    </row>
    <row r="280" spans="1:16" x14ac:dyDescent="0.25">
      <c r="A280">
        <f t="shared" si="49"/>
        <v>102</v>
      </c>
      <c r="B280">
        <f t="shared" si="50"/>
        <v>8516.7274628509222</v>
      </c>
      <c r="C280">
        <f t="shared" si="51"/>
        <v>-21879.863897589072</v>
      </c>
      <c r="D280">
        <f t="shared" si="52"/>
        <v>-2790.5071073373019</v>
      </c>
      <c r="E280">
        <f t="shared" si="53"/>
        <v>1319.8268633199873</v>
      </c>
      <c r="F280">
        <f>$C$23*(H280/(J280^2+$C$24^2)^1.5)+$C$32*(K280/(M280^2+$C$33^2)^1.5)+C$41*(N280/(P280^2+$C$42^2)^1.5)</f>
        <v>-11328.285072976141</v>
      </c>
      <c r="G280">
        <f>$C$23*(I280/(J280^2+$C$24^2)^1.5)+$C$32*(L280/(M280^2+$C$33^2)^1.5)+C$41*(O280/(P280^2+$C$42^2)^1.5)</f>
        <v>-885.24553542919057</v>
      </c>
      <c r="H280" s="3">
        <f t="shared" si="54"/>
        <v>11483.272537149078</v>
      </c>
      <c r="I280" s="3">
        <f t="shared" si="55"/>
        <v>36879.863897589072</v>
      </c>
      <c r="J280" s="3">
        <f t="shared" si="56"/>
        <v>38626.285211849405</v>
      </c>
      <c r="K280" s="3">
        <f t="shared" si="57"/>
        <v>-28516.727462850922</v>
      </c>
      <c r="L280" s="3">
        <f t="shared" si="58"/>
        <v>41879.863897589072</v>
      </c>
      <c r="M280" s="3">
        <f t="shared" si="59"/>
        <v>50666.820950905341</v>
      </c>
      <c r="N280" s="3">
        <f t="shared" si="60"/>
        <v>-13516.727462850922</v>
      </c>
      <c r="O280" s="3">
        <f t="shared" si="61"/>
        <v>-8120.1361024109283</v>
      </c>
      <c r="P280" s="3">
        <f t="shared" si="62"/>
        <v>15768.276114612709</v>
      </c>
    </row>
    <row r="281" spans="1:16" x14ac:dyDescent="0.25">
      <c r="A281">
        <f t="shared" si="49"/>
        <v>102.5</v>
      </c>
      <c r="B281">
        <f t="shared" si="50"/>
        <v>4289.4026409382359</v>
      </c>
      <c r="C281">
        <f t="shared" si="51"/>
        <v>-21441.261849786377</v>
      </c>
      <c r="D281">
        <f t="shared" si="52"/>
        <v>-8454.6496438253726</v>
      </c>
      <c r="E281">
        <f t="shared" si="53"/>
        <v>877.20409560539201</v>
      </c>
      <c r="F281">
        <f>$C$23*(H281/(J281^2+$C$24^2)^1.5)+$C$32*(K281/(M281^2+$C$33^2)^1.5)+C$41*(N281/(P281^2+$C$42^2)^1.5)</f>
        <v>-11871.911937863724</v>
      </c>
      <c r="G281">
        <f>$C$23*(I281/(J281^2+$C$24^2)^1.5)+$C$32*(L281/(M281^2+$C$33^2)^1.5)+C$41*(O281/(P281^2+$C$42^2)^1.5)</f>
        <v>-3678.3605906990861</v>
      </c>
      <c r="H281" s="3">
        <f t="shared" si="54"/>
        <v>15710.597359061765</v>
      </c>
      <c r="I281" s="3">
        <f t="shared" si="55"/>
        <v>36441.261849786373</v>
      </c>
      <c r="J281" s="3">
        <f t="shared" si="56"/>
        <v>39683.604102743164</v>
      </c>
      <c r="K281" s="3">
        <f t="shared" si="57"/>
        <v>-24289.402640938235</v>
      </c>
      <c r="L281" s="3">
        <f t="shared" si="58"/>
        <v>41441.261849786373</v>
      </c>
      <c r="M281" s="3">
        <f t="shared" si="59"/>
        <v>48034.91713697627</v>
      </c>
      <c r="N281" s="3">
        <f t="shared" si="60"/>
        <v>-9289.402640938235</v>
      </c>
      <c r="O281" s="3">
        <f t="shared" si="61"/>
        <v>-8558.7381502136232</v>
      </c>
      <c r="P281" s="3">
        <f t="shared" si="62"/>
        <v>12631.112387647905</v>
      </c>
    </row>
    <row r="282" spans="1:16" x14ac:dyDescent="0.25">
      <c r="A282">
        <f t="shared" si="49"/>
        <v>103</v>
      </c>
      <c r="B282">
        <f t="shared" si="50"/>
        <v>-2905.9001654403814</v>
      </c>
      <c r="C282">
        <f t="shared" si="51"/>
        <v>-21922.249949658453</v>
      </c>
      <c r="D282">
        <f t="shared" si="52"/>
        <v>-14390.605612757234</v>
      </c>
      <c r="E282">
        <f t="shared" si="53"/>
        <v>-961.97619974415102</v>
      </c>
      <c r="F282">
        <f>$C$23*(H282/(J282^2+$C$24^2)^1.5)+$C$32*(K282/(M282^2+$C$33^2)^1.5)+C$41*(N282/(P282^2+$C$42^2)^1.5)</f>
        <v>-6054.3924051011436</v>
      </c>
      <c r="G282">
        <f>$C$23*(I282/(J282^2+$C$24^2)^1.5)+$C$32*(L282/(M282^2+$C$33^2)^1.5)+C$41*(O282/(P282^2+$C$42^2)^1.5)</f>
        <v>-9620.5695624774635</v>
      </c>
      <c r="H282" s="3">
        <f t="shared" si="54"/>
        <v>22905.90016544038</v>
      </c>
      <c r="I282" s="3">
        <f t="shared" si="55"/>
        <v>36922.24994965845</v>
      </c>
      <c r="J282" s="3">
        <f t="shared" si="56"/>
        <v>43450.348718211404</v>
      </c>
      <c r="K282" s="3">
        <f t="shared" si="57"/>
        <v>-17094.09983455962</v>
      </c>
      <c r="L282" s="3">
        <f t="shared" si="58"/>
        <v>41922.24994965845</v>
      </c>
      <c r="M282" s="3">
        <f t="shared" si="59"/>
        <v>45273.428078681311</v>
      </c>
      <c r="N282" s="3">
        <f t="shared" si="60"/>
        <v>-2094.0998345596186</v>
      </c>
      <c r="O282" s="3">
        <f t="shared" si="61"/>
        <v>-8077.7500503415467</v>
      </c>
      <c r="P282" s="3">
        <f t="shared" si="62"/>
        <v>8344.776809052204</v>
      </c>
    </row>
    <row r="283" spans="1:16" x14ac:dyDescent="0.25">
      <c r="A283">
        <f t="shared" si="49"/>
        <v>103.5</v>
      </c>
      <c r="B283">
        <f t="shared" si="50"/>
        <v>-11614.801073094284</v>
      </c>
      <c r="C283">
        <f t="shared" si="51"/>
        <v>-24808.380440149896</v>
      </c>
      <c r="D283">
        <f t="shared" si="52"/>
        <v>-17417.801815307805</v>
      </c>
      <c r="E283">
        <f t="shared" si="53"/>
        <v>-5772.2609809828828</v>
      </c>
      <c r="F283">
        <f>$C$23*(H283/(J283^2+$C$24^2)^1.5)+$C$32*(K283/(M283^2+$C$33^2)^1.5)+C$41*(N283/(P283^2+$C$42^2)^1.5)</f>
        <v>11474.570867878425</v>
      </c>
      <c r="G283">
        <f>$C$23*(I283/(J283^2+$C$24^2)^1.5)+$C$32*(L283/(M283^2+$C$33^2)^1.5)+C$41*(O283/(P283^2+$C$42^2)^1.5)</f>
        <v>-3862.4200180964044</v>
      </c>
      <c r="H283" s="3">
        <f t="shared" si="54"/>
        <v>31614.801073094284</v>
      </c>
      <c r="I283" s="3">
        <f t="shared" si="55"/>
        <v>39808.380440149893</v>
      </c>
      <c r="J283" s="3">
        <f t="shared" si="56"/>
        <v>50835.054835802352</v>
      </c>
      <c r="K283" s="3">
        <f t="shared" si="57"/>
        <v>-8385.1989269057158</v>
      </c>
      <c r="L283" s="3">
        <f t="shared" si="58"/>
        <v>44808.380440149893</v>
      </c>
      <c r="M283" s="3">
        <f t="shared" si="59"/>
        <v>45586.209742782834</v>
      </c>
      <c r="N283" s="3">
        <f t="shared" si="60"/>
        <v>6614.8010730942842</v>
      </c>
      <c r="O283" s="3">
        <f t="shared" si="61"/>
        <v>-5191.6195598501035</v>
      </c>
      <c r="P283" s="3">
        <f t="shared" si="62"/>
        <v>8408.8350495670602</v>
      </c>
    </row>
    <row r="284" spans="1:16" x14ac:dyDescent="0.25">
      <c r="A284">
        <f t="shared" si="49"/>
        <v>104</v>
      </c>
      <c r="B284">
        <f t="shared" si="50"/>
        <v>-17455.059263778578</v>
      </c>
      <c r="C284">
        <f t="shared" si="51"/>
        <v>-28660.115935165439</v>
      </c>
      <c r="D284">
        <f t="shared" si="52"/>
        <v>-11680.516381368592</v>
      </c>
      <c r="E284">
        <f t="shared" si="53"/>
        <v>-7703.4709900310845</v>
      </c>
      <c r="F284">
        <f>$C$23*(H284/(J284^2+$C$24^2)^1.5)+$C$32*(K284/(M284^2+$C$33^2)^1.5)+C$41*(N284/(P284^2+$C$42^2)^1.5)</f>
        <v>12498.955461894471</v>
      </c>
      <c r="G284">
        <f>$C$23*(I284/(J284^2+$C$24^2)^1.5)+$C$32*(L284/(M284^2+$C$33^2)^1.5)+C$41*(O284/(P284^2+$C$42^2)^1.5)</f>
        <v>3946.9394535716588</v>
      </c>
      <c r="H284" s="3">
        <f t="shared" si="54"/>
        <v>37455.059263778574</v>
      </c>
      <c r="I284" s="3">
        <f t="shared" si="55"/>
        <v>43660.115935165435</v>
      </c>
      <c r="J284" s="3">
        <f t="shared" si="56"/>
        <v>57524.665908853844</v>
      </c>
      <c r="K284" s="3">
        <f t="shared" si="57"/>
        <v>-2544.9407362214224</v>
      </c>
      <c r="L284" s="3">
        <f t="shared" si="58"/>
        <v>48660.115935165435</v>
      </c>
      <c r="M284" s="3">
        <f t="shared" si="59"/>
        <v>48726.62112413111</v>
      </c>
      <c r="N284" s="3">
        <f t="shared" si="60"/>
        <v>12455.059263778578</v>
      </c>
      <c r="O284" s="3">
        <f t="shared" si="61"/>
        <v>-1339.8840648345613</v>
      </c>
      <c r="P284" s="3">
        <f t="shared" si="62"/>
        <v>12526.922629737686</v>
      </c>
    </row>
    <row r="285" spans="1:16" x14ac:dyDescent="0.25">
      <c r="A285">
        <f t="shared" si="49"/>
        <v>104.5</v>
      </c>
      <c r="B285">
        <f t="shared" si="50"/>
        <v>-20170.578588989258</v>
      </c>
      <c r="C285">
        <f t="shared" si="51"/>
        <v>-31525.116566788067</v>
      </c>
      <c r="D285">
        <f t="shared" si="52"/>
        <v>-5431.0386504213566</v>
      </c>
      <c r="E285">
        <f t="shared" si="53"/>
        <v>-5730.0012632452554</v>
      </c>
      <c r="F285">
        <f>$C$23*(H285/(J285^2+$C$24^2)^1.5)+$C$32*(K285/(M285^2+$C$33^2)^1.5)+C$41*(N285/(P285^2+$C$42^2)^1.5)</f>
        <v>10587.595878652561</v>
      </c>
      <c r="G285">
        <f>$C$23*(I285/(J285^2+$C$24^2)^1.5)+$C$32*(L285/(M285^2+$C$33^2)^1.5)+C$41*(O285/(P285^2+$C$42^2)^1.5)</f>
        <v>5870.9358193159278</v>
      </c>
      <c r="H285" s="3">
        <f t="shared" si="54"/>
        <v>40170.578588989258</v>
      </c>
      <c r="I285" s="3">
        <f t="shared" si="55"/>
        <v>46525.11656678807</v>
      </c>
      <c r="J285" s="3">
        <f t="shared" si="56"/>
        <v>61467.567511065376</v>
      </c>
      <c r="K285" s="3">
        <f t="shared" si="57"/>
        <v>170.5785889892577</v>
      </c>
      <c r="L285" s="3">
        <f t="shared" si="58"/>
        <v>51525.11656678807</v>
      </c>
      <c r="M285" s="3">
        <f t="shared" si="59"/>
        <v>51525.398923988163</v>
      </c>
      <c r="N285" s="3">
        <f t="shared" si="60"/>
        <v>15170.578588989258</v>
      </c>
      <c r="O285" s="3">
        <f t="shared" si="61"/>
        <v>1525.1165667880668</v>
      </c>
      <c r="P285" s="3">
        <f t="shared" si="62"/>
        <v>15247.046771981475</v>
      </c>
    </row>
    <row r="286" spans="1:16" x14ac:dyDescent="0.25">
      <c r="A286">
        <f t="shared" si="49"/>
        <v>105</v>
      </c>
      <c r="B286">
        <f t="shared" si="50"/>
        <v>-20239.198944536794</v>
      </c>
      <c r="C286">
        <f t="shared" si="51"/>
        <v>-32922.383243581709</v>
      </c>
      <c r="D286">
        <f t="shared" si="52"/>
        <v>-137.24071109507622</v>
      </c>
      <c r="E286">
        <f t="shared" si="53"/>
        <v>-2794.5333535872915</v>
      </c>
      <c r="F286">
        <f>$C$23*(H286/(J286^2+$C$24^2)^1.5)+$C$32*(K286/(M286^2+$C$33^2)^1.5)+C$41*(N286/(P286^2+$C$42^2)^1.5)</f>
        <v>10252.820682426878</v>
      </c>
      <c r="G286">
        <f>$C$23*(I286/(J286^2+$C$24^2)^1.5)+$C$32*(L286/(M286^2+$C$33^2)^1.5)+C$41*(O286/(P286^2+$C$42^2)^1.5)</f>
        <v>6542.4015943251634</v>
      </c>
      <c r="H286" s="3">
        <f t="shared" si="54"/>
        <v>40239.198944536794</v>
      </c>
      <c r="I286" s="3">
        <f t="shared" si="55"/>
        <v>47922.383243581709</v>
      </c>
      <c r="J286" s="3">
        <f t="shared" si="56"/>
        <v>62575.937447574302</v>
      </c>
      <c r="K286" s="3">
        <f t="shared" si="57"/>
        <v>239.19894453679444</v>
      </c>
      <c r="L286" s="3">
        <f t="shared" si="58"/>
        <v>52922.383243581709</v>
      </c>
      <c r="M286" s="3">
        <f t="shared" si="59"/>
        <v>52922.92380732196</v>
      </c>
      <c r="N286" s="3">
        <f t="shared" si="60"/>
        <v>15239.198944536794</v>
      </c>
      <c r="O286" s="3">
        <f t="shared" si="61"/>
        <v>2922.3832435817094</v>
      </c>
      <c r="P286" s="3">
        <f t="shared" si="62"/>
        <v>15516.878174862961</v>
      </c>
    </row>
    <row r="287" spans="1:16" x14ac:dyDescent="0.25">
      <c r="A287">
        <f t="shared" si="49"/>
        <v>105.5</v>
      </c>
      <c r="B287">
        <f t="shared" si="50"/>
        <v>-17744.61412947761</v>
      </c>
      <c r="C287">
        <f t="shared" si="51"/>
        <v>-32684.049521794066</v>
      </c>
      <c r="D287">
        <f t="shared" si="52"/>
        <v>4989.1696301183629</v>
      </c>
      <c r="E287">
        <f t="shared" si="53"/>
        <v>476.66744357529024</v>
      </c>
      <c r="F287">
        <f>$C$23*(H287/(J287^2+$C$24^2)^1.5)+$C$32*(K287/(M287^2+$C$33^2)^1.5)+C$41*(N287/(P287^2+$C$42^2)^1.5)</f>
        <v>11951.195679556971</v>
      </c>
      <c r="G287">
        <f>$C$23*(I287/(J287^2+$C$24^2)^1.5)+$C$32*(L287/(M287^2+$C$33^2)^1.5)+C$41*(O287/(P287^2+$C$42^2)^1.5)</f>
        <v>7169.1242034742972</v>
      </c>
      <c r="H287" s="3">
        <f t="shared" si="54"/>
        <v>37744.61412947761</v>
      </c>
      <c r="I287" s="3">
        <f t="shared" si="55"/>
        <v>47684.049521794062</v>
      </c>
      <c r="J287" s="3">
        <f t="shared" si="56"/>
        <v>60814.673184849635</v>
      </c>
      <c r="K287" s="3">
        <f t="shared" si="57"/>
        <v>-2255.3858705223902</v>
      </c>
      <c r="L287" s="3">
        <f t="shared" si="58"/>
        <v>52684.049521794062</v>
      </c>
      <c r="M287" s="3">
        <f t="shared" si="59"/>
        <v>52732.303566597591</v>
      </c>
      <c r="N287" s="3">
        <f t="shared" si="60"/>
        <v>12744.61412947761</v>
      </c>
      <c r="O287" s="3">
        <f t="shared" si="61"/>
        <v>2684.0495217940661</v>
      </c>
      <c r="P287" s="3">
        <f t="shared" si="62"/>
        <v>13024.181784078541</v>
      </c>
    </row>
    <row r="288" spans="1:16" x14ac:dyDescent="0.25">
      <c r="A288">
        <f t="shared" si="49"/>
        <v>106</v>
      </c>
      <c r="B288">
        <f t="shared" si="50"/>
        <v>-12262.230394529186</v>
      </c>
      <c r="C288">
        <f t="shared" si="51"/>
        <v>-30653.43474913785</v>
      </c>
      <c r="D288">
        <f t="shared" si="52"/>
        <v>10964.767469896848</v>
      </c>
      <c r="E288">
        <f t="shared" si="53"/>
        <v>4061.2295453124389</v>
      </c>
      <c r="F288">
        <f>$C$23*(H288/(J288^2+$C$24^2)^1.5)+$C$32*(K288/(M288^2+$C$33^2)^1.5)+C$41*(N288/(P288^2+$C$42^2)^1.5)</f>
        <v>15424.450686312242</v>
      </c>
      <c r="G288">
        <f>$C$23*(I288/(J288^2+$C$24^2)^1.5)+$C$32*(L288/(M288^2+$C$33^2)^1.5)+C$41*(O288/(P288^2+$C$42^2)^1.5)</f>
        <v>6284.0943063464174</v>
      </c>
      <c r="H288" s="3">
        <f t="shared" si="54"/>
        <v>32262.230394529186</v>
      </c>
      <c r="I288" s="3">
        <f t="shared" si="55"/>
        <v>45653.43474913785</v>
      </c>
      <c r="J288" s="3">
        <f t="shared" si="56"/>
        <v>55902.48307922887</v>
      </c>
      <c r="K288" s="3">
        <f t="shared" si="57"/>
        <v>-7737.769605470814</v>
      </c>
      <c r="L288" s="3">
        <f t="shared" si="58"/>
        <v>50653.43474913785</v>
      </c>
      <c r="M288" s="3">
        <f t="shared" si="59"/>
        <v>51241.03365811929</v>
      </c>
      <c r="N288" s="3">
        <f t="shared" si="60"/>
        <v>7262.230394529186</v>
      </c>
      <c r="O288" s="3">
        <f t="shared" si="61"/>
        <v>653.4347491378503</v>
      </c>
      <c r="P288" s="3">
        <f t="shared" si="62"/>
        <v>7291.5682314989263</v>
      </c>
    </row>
    <row r="289" spans="1:16" x14ac:dyDescent="0.25">
      <c r="A289">
        <f t="shared" si="49"/>
        <v>106.5</v>
      </c>
      <c r="B289">
        <f t="shared" si="50"/>
        <v>-2923.7339880027016</v>
      </c>
      <c r="C289">
        <f t="shared" si="51"/>
        <v>-27051.796399895025</v>
      </c>
      <c r="D289">
        <f t="shared" si="52"/>
        <v>18676.99281305297</v>
      </c>
      <c r="E289">
        <f t="shared" si="53"/>
        <v>7203.276698485648</v>
      </c>
      <c r="F289">
        <f>$C$23*(H289/(J289^2+$C$24^2)^1.5)+$C$32*(K289/(M289^2+$C$33^2)^1.5)+C$41*(N289/(P289^2+$C$42^2)^1.5)</f>
        <v>-8824.4920292055958</v>
      </c>
      <c r="G289">
        <f>$C$23*(I289/(J289^2+$C$24^2)^1.5)+$C$32*(L289/(M289^2+$C$33^2)^1.5)+C$41*(O289/(P289^2+$C$42^2)^1.5)</f>
        <v>-5421.1619933005059</v>
      </c>
      <c r="H289" s="3">
        <f t="shared" si="54"/>
        <v>22923.733988002703</v>
      </c>
      <c r="I289" s="3">
        <f t="shared" si="55"/>
        <v>42051.796399895029</v>
      </c>
      <c r="J289" s="3">
        <f t="shared" si="56"/>
        <v>47894.166246119523</v>
      </c>
      <c r="K289" s="3">
        <f t="shared" si="57"/>
        <v>-17076.266011997297</v>
      </c>
      <c r="L289" s="3">
        <f t="shared" si="58"/>
        <v>47051.796399895029</v>
      </c>
      <c r="M289" s="3">
        <f t="shared" si="59"/>
        <v>50054.674161057817</v>
      </c>
      <c r="N289" s="3">
        <f t="shared" si="60"/>
        <v>-2076.2660119972984</v>
      </c>
      <c r="O289" s="3">
        <f t="shared" si="61"/>
        <v>-2948.2036001049746</v>
      </c>
      <c r="P289" s="3">
        <f t="shared" si="62"/>
        <v>3605.937467600776</v>
      </c>
    </row>
    <row r="290" spans="1:16" x14ac:dyDescent="0.25">
      <c r="A290">
        <f t="shared" si="49"/>
        <v>107</v>
      </c>
      <c r="B290">
        <f t="shared" si="50"/>
        <v>4208.6394112223843</v>
      </c>
      <c r="C290">
        <f t="shared" si="51"/>
        <v>-24805.448548977329</v>
      </c>
      <c r="D290">
        <f t="shared" si="52"/>
        <v>14264.746798450171</v>
      </c>
      <c r="E290">
        <f t="shared" si="53"/>
        <v>4492.6957018353951</v>
      </c>
      <c r="F290">
        <f>$C$23*(H290/(J290^2+$C$24^2)^1.5)+$C$32*(K290/(M290^2+$C$33^2)^1.5)+C$41*(N290/(P290^2+$C$42^2)^1.5)</f>
        <v>-14699.46322790004</v>
      </c>
      <c r="G290">
        <f>$C$23*(I290/(J290^2+$C$24^2)^1.5)+$C$32*(L290/(M290^2+$C$33^2)^1.5)+C$41*(O290/(P290^2+$C$42^2)^1.5)</f>
        <v>-2566.9114424420577</v>
      </c>
      <c r="H290" s="3">
        <f t="shared" si="54"/>
        <v>15791.360588777616</v>
      </c>
      <c r="I290" s="3">
        <f t="shared" si="55"/>
        <v>39805.448548977329</v>
      </c>
      <c r="J290" s="3">
        <f t="shared" si="56"/>
        <v>42823.367492878002</v>
      </c>
      <c r="K290" s="3">
        <f t="shared" si="57"/>
        <v>-24208.639411222386</v>
      </c>
      <c r="L290" s="3">
        <f t="shared" si="58"/>
        <v>44805.448548977329</v>
      </c>
      <c r="M290" s="3">
        <f t="shared" si="59"/>
        <v>50927.266192263298</v>
      </c>
      <c r="N290" s="3">
        <f t="shared" si="60"/>
        <v>-9208.6394112223843</v>
      </c>
      <c r="O290" s="3">
        <f t="shared" si="61"/>
        <v>-5194.5514510226712</v>
      </c>
      <c r="P290" s="3">
        <f t="shared" si="62"/>
        <v>10572.719829033582</v>
      </c>
    </row>
    <row r="291" spans="1:16" x14ac:dyDescent="0.25">
      <c r="A291">
        <f t="shared" si="49"/>
        <v>107.5</v>
      </c>
      <c r="B291">
        <f t="shared" si="50"/>
        <v>7666.1470034724598</v>
      </c>
      <c r="C291">
        <f t="shared" si="51"/>
        <v>-23200.828558670146</v>
      </c>
      <c r="D291">
        <f t="shared" si="52"/>
        <v>6915.015184500151</v>
      </c>
      <c r="E291">
        <f t="shared" si="53"/>
        <v>3209.2399806143662</v>
      </c>
      <c r="F291">
        <f>$C$23*(H291/(J291^2+$C$24^2)^1.5)+$C$32*(K291/(M291^2+$C$33^2)^1.5)+C$41*(N291/(P291^2+$C$42^2)^1.5)</f>
        <v>-12343.807300247194</v>
      </c>
      <c r="G291">
        <f>$C$23*(I291/(J291^2+$C$24^2)^1.5)+$C$32*(L291/(M291^2+$C$33^2)^1.5)+C$41*(O291/(P291^2+$C$42^2)^1.5)</f>
        <v>-1001.3824055204195</v>
      </c>
      <c r="H291" s="3">
        <f t="shared" si="54"/>
        <v>12333.852996527541</v>
      </c>
      <c r="I291" s="3">
        <f t="shared" si="55"/>
        <v>38200.828558670146</v>
      </c>
      <c r="J291" s="3">
        <f t="shared" si="56"/>
        <v>40142.586268311861</v>
      </c>
      <c r="K291" s="3">
        <f t="shared" si="57"/>
        <v>-27666.147003472459</v>
      </c>
      <c r="L291" s="3">
        <f t="shared" si="58"/>
        <v>43200.828558670146</v>
      </c>
      <c r="M291" s="3">
        <f t="shared" si="59"/>
        <v>51300.363333736321</v>
      </c>
      <c r="N291" s="3">
        <f t="shared" si="60"/>
        <v>-12666.147003472459</v>
      </c>
      <c r="O291" s="3">
        <f t="shared" si="61"/>
        <v>-6799.1714413298541</v>
      </c>
      <c r="P291" s="3">
        <f t="shared" si="62"/>
        <v>14375.674321650788</v>
      </c>
    </row>
    <row r="292" spans="1:16" x14ac:dyDescent="0.25">
      <c r="A292">
        <f t="shared" si="49"/>
        <v>108</v>
      </c>
      <c r="B292">
        <f t="shared" si="50"/>
        <v>8037.7027706607369</v>
      </c>
      <c r="C292">
        <f t="shared" si="51"/>
        <v>-21846.554169743067</v>
      </c>
      <c r="D292">
        <f t="shared" si="52"/>
        <v>743.11153437655412</v>
      </c>
      <c r="E292">
        <f t="shared" si="53"/>
        <v>2708.5487778541565</v>
      </c>
      <c r="F292">
        <f>$C$23*(H292/(J292^2+$C$24^2)^1.5)+$C$32*(K292/(M292^2+$C$33^2)^1.5)+C$41*(N292/(P292^2+$C$42^2)^1.5)</f>
        <v>-11474.099683086499</v>
      </c>
      <c r="G292">
        <f>$C$23*(I292/(J292^2+$C$24^2)^1.5)+$C$32*(L292/(M292^2+$C$33^2)^1.5)+C$41*(O292/(P292^2+$C$42^2)^1.5)</f>
        <v>-1135.1467482177241</v>
      </c>
      <c r="H292" s="3">
        <f t="shared" si="54"/>
        <v>11962.297229339263</v>
      </c>
      <c r="I292" s="3">
        <f t="shared" si="55"/>
        <v>36846.554169743067</v>
      </c>
      <c r="J292" s="3">
        <f t="shared" si="56"/>
        <v>38739.709719961349</v>
      </c>
      <c r="K292" s="3">
        <f t="shared" si="57"/>
        <v>-28037.702770660737</v>
      </c>
      <c r="L292" s="3">
        <f t="shared" si="58"/>
        <v>41846.554169743067</v>
      </c>
      <c r="M292" s="3">
        <f t="shared" si="59"/>
        <v>50371.091635353281</v>
      </c>
      <c r="N292" s="3">
        <f t="shared" si="60"/>
        <v>-13037.702770660737</v>
      </c>
      <c r="O292" s="3">
        <f t="shared" si="61"/>
        <v>-8153.4458302569328</v>
      </c>
      <c r="P292" s="3">
        <f t="shared" si="62"/>
        <v>15377.268042244332</v>
      </c>
    </row>
    <row r="293" spans="1:16" x14ac:dyDescent="0.25">
      <c r="A293">
        <f t="shared" si="49"/>
        <v>108.5</v>
      </c>
      <c r="B293">
        <f t="shared" si="50"/>
        <v>5540.7336170773906</v>
      </c>
      <c r="C293">
        <f t="shared" si="51"/>
        <v>-20776.06646787042</v>
      </c>
      <c r="D293">
        <f t="shared" si="52"/>
        <v>-4993.9383071666953</v>
      </c>
      <c r="E293">
        <f t="shared" si="53"/>
        <v>2140.9754037452944</v>
      </c>
      <c r="F293">
        <f>$C$23*(H293/(J293^2+$C$24^2)^1.5)+$C$32*(K293/(M293^2+$C$33^2)^1.5)+C$41*(N293/(P293^2+$C$42^2)^1.5)</f>
        <v>-11353.881584173603</v>
      </c>
      <c r="G293">
        <f>$C$23*(I293/(J293^2+$C$24^2)^1.5)+$C$32*(L293/(M293^2+$C$33^2)^1.5)+C$41*(O293/(P293^2+$C$42^2)^1.5)</f>
        <v>-2758.6308528181007</v>
      </c>
      <c r="H293" s="3">
        <f t="shared" si="54"/>
        <v>14459.266382922609</v>
      </c>
      <c r="I293" s="3">
        <f t="shared" si="55"/>
        <v>35776.06646787042</v>
      </c>
      <c r="J293" s="3">
        <f t="shared" si="56"/>
        <v>38587.527988273599</v>
      </c>
      <c r="K293" s="3">
        <f t="shared" si="57"/>
        <v>-25540.733617077392</v>
      </c>
      <c r="L293" s="3">
        <f t="shared" si="58"/>
        <v>40776.06646787042</v>
      </c>
      <c r="M293" s="3">
        <f t="shared" si="59"/>
        <v>48114.620130379226</v>
      </c>
      <c r="N293" s="3">
        <f t="shared" si="60"/>
        <v>-10540.733617077391</v>
      </c>
      <c r="O293" s="3">
        <f t="shared" si="61"/>
        <v>-9223.9335321295803</v>
      </c>
      <c r="P293" s="3">
        <f t="shared" si="62"/>
        <v>14006.713211575721</v>
      </c>
    </row>
    <row r="294" spans="1:16" x14ac:dyDescent="0.25">
      <c r="A294">
        <f t="shared" si="49"/>
        <v>109</v>
      </c>
      <c r="B294">
        <f t="shared" si="50"/>
        <v>205.29406745064216</v>
      </c>
      <c r="C294">
        <f t="shared" si="51"/>
        <v>-20395.236479202296</v>
      </c>
      <c r="D294">
        <f t="shared" si="52"/>
        <v>-10670.879099253496</v>
      </c>
      <c r="E294">
        <f t="shared" si="53"/>
        <v>761.65997733624408</v>
      </c>
      <c r="F294">
        <f>$C$23*(H294/(J294^2+$C$24^2)^1.5)+$C$32*(K294/(M294^2+$C$33^2)^1.5)+C$41*(N294/(P294^2+$C$42^2)^1.5)</f>
        <v>-9209.6839850216948</v>
      </c>
      <c r="G294">
        <f>$C$23*(I294/(J294^2+$C$24^2)^1.5)+$C$32*(L294/(M294^2+$C$33^2)^1.5)+C$41*(O294/(P294^2+$C$42^2)^1.5)</f>
        <v>-6815.2358324160896</v>
      </c>
      <c r="H294" s="3">
        <f t="shared" si="54"/>
        <v>19794.705932549357</v>
      </c>
      <c r="I294" s="3">
        <f t="shared" si="55"/>
        <v>35395.2364792023</v>
      </c>
      <c r="J294" s="3">
        <f t="shared" si="56"/>
        <v>40554.32342395516</v>
      </c>
      <c r="K294" s="3">
        <f t="shared" si="57"/>
        <v>-20205.294067450643</v>
      </c>
      <c r="L294" s="3">
        <f t="shared" si="58"/>
        <v>40395.2364792023</v>
      </c>
      <c r="M294" s="3">
        <f t="shared" si="59"/>
        <v>45166.680623694636</v>
      </c>
      <c r="N294" s="3">
        <f t="shared" si="60"/>
        <v>-5205.2940674506426</v>
      </c>
      <c r="O294" s="3">
        <f t="shared" si="61"/>
        <v>-9604.7635207977037</v>
      </c>
      <c r="P294" s="3">
        <f t="shared" si="62"/>
        <v>10924.585512461475</v>
      </c>
    </row>
    <row r="295" spans="1:16" x14ac:dyDescent="0.25">
      <c r="A295">
        <f t="shared" si="49"/>
        <v>109.5</v>
      </c>
      <c r="B295">
        <f t="shared" si="50"/>
        <v>-7432.5664784315286</v>
      </c>
      <c r="C295">
        <f t="shared" si="51"/>
        <v>-21718.215448638195</v>
      </c>
      <c r="D295">
        <f t="shared" si="52"/>
        <v>-15275.721091764342</v>
      </c>
      <c r="E295">
        <f t="shared" si="53"/>
        <v>-2645.9579388718007</v>
      </c>
      <c r="F295">
        <f>$C$23*(H295/(J295^2+$C$24^2)^1.5)+$C$32*(K295/(M295^2+$C$33^2)^1.5)+C$41*(N295/(P295^2+$C$42^2)^1.5)</f>
        <v>2750.8983856782879</v>
      </c>
      <c r="G295">
        <f>$C$23*(I295/(J295^2+$C$24^2)^1.5)+$C$32*(L295/(M295^2+$C$33^2)^1.5)+C$41*(O295/(P295^2+$C$42^2)^1.5)</f>
        <v>-8824.8021095472941</v>
      </c>
      <c r="H295" s="3">
        <f t="shared" si="54"/>
        <v>27432.56647843153</v>
      </c>
      <c r="I295" s="3">
        <f t="shared" si="55"/>
        <v>36718.215448638191</v>
      </c>
      <c r="J295" s="3">
        <f t="shared" si="56"/>
        <v>45834.190833112538</v>
      </c>
      <c r="K295" s="3">
        <f t="shared" si="57"/>
        <v>-12567.433521568471</v>
      </c>
      <c r="L295" s="3">
        <f t="shared" si="58"/>
        <v>41718.215448638191</v>
      </c>
      <c r="M295" s="3">
        <f t="shared" si="59"/>
        <v>43570.0572129305</v>
      </c>
      <c r="N295" s="3">
        <f t="shared" si="60"/>
        <v>2432.5664784315286</v>
      </c>
      <c r="O295" s="3">
        <f t="shared" si="61"/>
        <v>-8281.7845513618049</v>
      </c>
      <c r="P295" s="3">
        <f t="shared" si="62"/>
        <v>8631.6472951090745</v>
      </c>
    </row>
    <row r="296" spans="1:16" x14ac:dyDescent="0.25">
      <c r="A296">
        <f t="shared" si="49"/>
        <v>110</v>
      </c>
      <c r="B296">
        <f t="shared" si="50"/>
        <v>-14382.702427894128</v>
      </c>
      <c r="C296">
        <f t="shared" si="51"/>
        <v>-25247.394945460917</v>
      </c>
      <c r="D296">
        <f t="shared" si="52"/>
        <v>-13900.271898925199</v>
      </c>
      <c r="E296">
        <f t="shared" si="53"/>
        <v>-7058.3589936454482</v>
      </c>
      <c r="F296">
        <f>$C$23*(H296/(J296^2+$C$24^2)^1.5)+$C$32*(K296/(M296^2+$C$33^2)^1.5)+C$41*(N296/(P296^2+$C$42^2)^1.5)</f>
        <v>12259.242378133831</v>
      </c>
      <c r="G296">
        <f>$C$23*(I296/(J296^2+$C$24^2)^1.5)+$C$32*(L296/(M296^2+$C$33^2)^1.5)+C$41*(O296/(P296^2+$C$42^2)^1.5)</f>
        <v>-588.03822237442546</v>
      </c>
      <c r="H296" s="3">
        <f t="shared" si="54"/>
        <v>34382.702427894124</v>
      </c>
      <c r="I296" s="3">
        <f t="shared" si="55"/>
        <v>40247.394945460917</v>
      </c>
      <c r="J296" s="3">
        <f t="shared" si="56"/>
        <v>52934.138569934519</v>
      </c>
      <c r="K296" s="3">
        <f t="shared" si="57"/>
        <v>-5617.297572105872</v>
      </c>
      <c r="L296" s="3">
        <f t="shared" si="58"/>
        <v>45247.394945460917</v>
      </c>
      <c r="M296" s="3">
        <f t="shared" si="59"/>
        <v>45594.745106910166</v>
      </c>
      <c r="N296" s="3">
        <f t="shared" si="60"/>
        <v>9382.702427894128</v>
      </c>
      <c r="O296" s="3">
        <f t="shared" si="61"/>
        <v>-4752.6050545390826</v>
      </c>
      <c r="P296" s="3">
        <f t="shared" si="62"/>
        <v>10517.716465794312</v>
      </c>
    </row>
    <row r="297" spans="1:16" x14ac:dyDescent="0.25">
      <c r="A297">
        <f t="shared" si="49"/>
        <v>110.5</v>
      </c>
      <c r="B297">
        <f t="shared" si="50"/>
        <v>-18268.027782823268</v>
      </c>
      <c r="C297">
        <f t="shared" si="51"/>
        <v>-28923.583997877249</v>
      </c>
      <c r="D297">
        <f t="shared" si="52"/>
        <v>-7770.6507098582833</v>
      </c>
      <c r="E297">
        <f t="shared" si="53"/>
        <v>-7352.3781048326609</v>
      </c>
      <c r="F297">
        <f>$C$23*(H297/(J297^2+$C$24^2)^1.5)+$C$32*(K297/(M297^2+$C$33^2)^1.5)+C$41*(N297/(P297^2+$C$42^2)^1.5)</f>
        <v>11960.049467621729</v>
      </c>
      <c r="G297">
        <f>$C$23*(I297/(J297^2+$C$24^2)^1.5)+$C$32*(L297/(M297^2+$C$33^2)^1.5)+C$41*(O297/(P297^2+$C$42^2)^1.5)</f>
        <v>4290.9844513902281</v>
      </c>
      <c r="H297" s="3">
        <f t="shared" si="54"/>
        <v>38268.027782823265</v>
      </c>
      <c r="I297" s="3">
        <f t="shared" si="55"/>
        <v>43923.583997877249</v>
      </c>
      <c r="J297" s="3">
        <f t="shared" si="56"/>
        <v>58255.670810707445</v>
      </c>
      <c r="K297" s="3">
        <f t="shared" si="57"/>
        <v>-1731.9722171767316</v>
      </c>
      <c r="L297" s="3">
        <f t="shared" si="58"/>
        <v>48923.583997877249</v>
      </c>
      <c r="M297" s="3">
        <f t="shared" si="59"/>
        <v>48954.231675703209</v>
      </c>
      <c r="N297" s="3">
        <f t="shared" si="60"/>
        <v>13268.027782823268</v>
      </c>
      <c r="O297" s="3">
        <f t="shared" si="61"/>
        <v>-1076.4160021227508</v>
      </c>
      <c r="P297" s="3">
        <f t="shared" si="62"/>
        <v>13311.620211506788</v>
      </c>
    </row>
    <row r="298" spans="1:16" x14ac:dyDescent="0.25">
      <c r="A298">
        <f t="shared" si="49"/>
        <v>111</v>
      </c>
      <c r="B298">
        <f t="shared" si="50"/>
        <v>-19163.340770846975</v>
      </c>
      <c r="C298">
        <f t="shared" si="51"/>
        <v>-31527.026937446026</v>
      </c>
      <c r="D298">
        <f t="shared" si="52"/>
        <v>-1790.6259760474186</v>
      </c>
      <c r="E298">
        <f t="shared" si="53"/>
        <v>-5206.8858791375469</v>
      </c>
      <c r="F298">
        <f>$C$23*(H298/(J298^2+$C$24^2)^1.5)+$C$32*(K298/(M298^2+$C$33^2)^1.5)+C$41*(N298/(P298^2+$C$42^2)^1.5)</f>
        <v>11265.92658650609</v>
      </c>
      <c r="G298">
        <f>$C$23*(I298/(J298^2+$C$24^2)^1.5)+$C$32*(L298/(M298^2+$C$33^2)^1.5)+C$41*(O298/(P298^2+$C$42^2)^1.5)</f>
        <v>6031.6974827909598</v>
      </c>
      <c r="H298" s="3">
        <f t="shared" si="54"/>
        <v>39163.340770846975</v>
      </c>
      <c r="I298" s="3">
        <f t="shared" si="55"/>
        <v>46527.026937446026</v>
      </c>
      <c r="J298" s="3">
        <f t="shared" si="56"/>
        <v>60815.553076259312</v>
      </c>
      <c r="K298" s="3">
        <f t="shared" si="57"/>
        <v>-836.65922915302508</v>
      </c>
      <c r="L298" s="3">
        <f t="shared" si="58"/>
        <v>51527.026937446026</v>
      </c>
      <c r="M298" s="3">
        <f t="shared" si="59"/>
        <v>51533.819028653561</v>
      </c>
      <c r="N298" s="3">
        <f t="shared" si="60"/>
        <v>14163.340770846975</v>
      </c>
      <c r="O298" s="3">
        <f t="shared" si="61"/>
        <v>1527.0269374460258</v>
      </c>
      <c r="P298" s="3">
        <f t="shared" si="62"/>
        <v>14245.421477050862</v>
      </c>
    </row>
    <row r="299" spans="1:16" x14ac:dyDescent="0.25">
      <c r="A299">
        <f t="shared" si="49"/>
        <v>111.5</v>
      </c>
      <c r="B299">
        <f t="shared" si="50"/>
        <v>-17242.172112244163</v>
      </c>
      <c r="C299">
        <f t="shared" si="51"/>
        <v>-32622.545506317063</v>
      </c>
      <c r="D299">
        <f t="shared" si="52"/>
        <v>3842.3373172056263</v>
      </c>
      <c r="E299">
        <f t="shared" si="53"/>
        <v>-2191.037137742067</v>
      </c>
      <c r="F299">
        <f>$C$23*(H299/(J299^2+$C$24^2)^1.5)+$C$32*(K299/(M299^2+$C$33^2)^1.5)+C$41*(N299/(P299^2+$C$42^2)^1.5)</f>
        <v>12315.082786203375</v>
      </c>
      <c r="G299">
        <f>$C$23*(I299/(J299^2+$C$24^2)^1.5)+$C$32*(L299/(M299^2+$C$33^2)^1.5)+C$41*(O299/(P299^2+$C$42^2)^1.5)</f>
        <v>7305.4431534310634</v>
      </c>
      <c r="H299" s="3">
        <f t="shared" si="54"/>
        <v>37242.172112244167</v>
      </c>
      <c r="I299" s="3">
        <f t="shared" si="55"/>
        <v>47622.545506317067</v>
      </c>
      <c r="J299" s="3">
        <f t="shared" si="56"/>
        <v>60455.655022001512</v>
      </c>
      <c r="K299" s="3">
        <f t="shared" si="57"/>
        <v>-2757.8278877558369</v>
      </c>
      <c r="L299" s="3">
        <f t="shared" si="58"/>
        <v>52622.545506317067</v>
      </c>
      <c r="M299" s="3">
        <f t="shared" si="59"/>
        <v>52694.761696234047</v>
      </c>
      <c r="N299" s="3">
        <f t="shared" si="60"/>
        <v>12242.172112244163</v>
      </c>
      <c r="O299" s="3">
        <f t="shared" si="61"/>
        <v>2622.545506317063</v>
      </c>
      <c r="P299" s="3">
        <f t="shared" si="62"/>
        <v>12519.925038054842</v>
      </c>
    </row>
    <row r="300" spans="1:16" x14ac:dyDescent="0.25">
      <c r="A300">
        <f t="shared" si="49"/>
        <v>112</v>
      </c>
      <c r="B300">
        <f t="shared" si="50"/>
        <v>-12242.232757090505</v>
      </c>
      <c r="C300">
        <f t="shared" si="51"/>
        <v>-31891.703286830336</v>
      </c>
      <c r="D300">
        <f t="shared" si="52"/>
        <v>9999.8787103073137</v>
      </c>
      <c r="E300">
        <f t="shared" si="53"/>
        <v>1461.6844389734647</v>
      </c>
      <c r="F300">
        <f>$C$23*(H300/(J300^2+$C$24^2)^1.5)+$C$32*(K300/(M300^2+$C$33^2)^1.5)+C$41*(N300/(P300^2+$C$42^2)^1.5)</f>
        <v>14980.896577183948</v>
      </c>
      <c r="G300">
        <f>$C$23*(I300/(J300^2+$C$24^2)^1.5)+$C$32*(L300/(M300^2+$C$33^2)^1.5)+C$41*(O300/(P300^2+$C$42^2)^1.5)</f>
        <v>8711.6828823563956</v>
      </c>
      <c r="H300" s="3">
        <f t="shared" si="54"/>
        <v>32242.232757090504</v>
      </c>
      <c r="I300" s="3">
        <f t="shared" si="55"/>
        <v>46891.703286830336</v>
      </c>
      <c r="J300" s="3">
        <f t="shared" si="56"/>
        <v>56906.883681172832</v>
      </c>
      <c r="K300" s="3">
        <f t="shared" si="57"/>
        <v>-7757.7672429094946</v>
      </c>
      <c r="L300" s="3">
        <f t="shared" si="58"/>
        <v>51891.703286830336</v>
      </c>
      <c r="M300" s="3">
        <f t="shared" si="59"/>
        <v>52468.388793668877</v>
      </c>
      <c r="N300" s="3">
        <f t="shared" si="60"/>
        <v>7242.2327570905054</v>
      </c>
      <c r="O300" s="3">
        <f t="shared" si="61"/>
        <v>1891.7032868303359</v>
      </c>
      <c r="P300" s="3">
        <f t="shared" si="62"/>
        <v>7485.2172068203499</v>
      </c>
    </row>
    <row r="301" spans="1:16" x14ac:dyDescent="0.25">
      <c r="A301">
        <f t="shared" si="49"/>
        <v>112.5</v>
      </c>
      <c r="B301">
        <f t="shared" si="50"/>
        <v>-3497.0692576408615</v>
      </c>
      <c r="C301">
        <f t="shared" si="51"/>
        <v>-28982.940346754505</v>
      </c>
      <c r="D301">
        <f t="shared" si="52"/>
        <v>17490.326998899287</v>
      </c>
      <c r="E301">
        <f t="shared" si="53"/>
        <v>5817.5258801516629</v>
      </c>
      <c r="F301">
        <f>$C$23*(H301/(J301^2+$C$24^2)^1.5)+$C$32*(K301/(M301^2+$C$33^2)^1.5)+C$41*(N301/(P301^2+$C$42^2)^1.5)</f>
        <v>-7395.5520268983119</v>
      </c>
      <c r="G301">
        <f>$C$23*(I301/(J301^2+$C$24^2)^1.5)+$C$32*(L301/(M301^2+$C$33^2)^1.5)+C$41*(O301/(P301^2+$C$42^2)^1.5)</f>
        <v>566.60110534939986</v>
      </c>
      <c r="H301" s="3">
        <f t="shared" si="54"/>
        <v>23497.069257640862</v>
      </c>
      <c r="I301" s="3">
        <f t="shared" si="55"/>
        <v>43982.940346754505</v>
      </c>
      <c r="J301" s="3">
        <f t="shared" si="56"/>
        <v>49865.933313681562</v>
      </c>
      <c r="K301" s="3">
        <f t="shared" si="57"/>
        <v>-16502.930742359138</v>
      </c>
      <c r="L301" s="3">
        <f t="shared" si="58"/>
        <v>48982.940346754505</v>
      </c>
      <c r="M301" s="3">
        <f t="shared" si="59"/>
        <v>51688.249806903048</v>
      </c>
      <c r="N301" s="3">
        <f t="shared" si="60"/>
        <v>-1502.9307423591385</v>
      </c>
      <c r="O301" s="3">
        <f t="shared" si="61"/>
        <v>-1017.0596532454947</v>
      </c>
      <c r="P301" s="3">
        <f t="shared" si="62"/>
        <v>1814.7206822505873</v>
      </c>
    </row>
    <row r="302" spans="1:16" x14ac:dyDescent="0.25">
      <c r="A302">
        <f t="shared" si="49"/>
        <v>113</v>
      </c>
      <c r="B302">
        <f t="shared" si="50"/>
        <v>3399.2062350842034</v>
      </c>
      <c r="C302">
        <f t="shared" si="51"/>
        <v>-25932.527130341325</v>
      </c>
      <c r="D302">
        <f t="shared" si="52"/>
        <v>13792.550985450131</v>
      </c>
      <c r="E302">
        <f t="shared" si="53"/>
        <v>6100.8264328263631</v>
      </c>
      <c r="F302">
        <f>$C$23*(H302/(J302^2+$C$24^2)^1.5)+$C$32*(K302/(M302^2+$C$33^2)^1.5)+C$41*(N302/(P302^2+$C$42^2)^1.5)</f>
        <v>-15787.017111652942</v>
      </c>
      <c r="G302">
        <f>$C$23*(I302/(J302^2+$C$24^2)^1.5)+$C$32*(L302/(M302^2+$C$33^2)^1.5)+C$41*(O302/(P302^2+$C$42^2)^1.5)</f>
        <v>-2217.5329756665578</v>
      </c>
      <c r="H302" s="3">
        <f t="shared" si="54"/>
        <v>16600.793764915798</v>
      </c>
      <c r="I302" s="3">
        <f t="shared" si="55"/>
        <v>40932.527130341325</v>
      </c>
      <c r="J302" s="3">
        <f t="shared" si="56"/>
        <v>44170.783679955188</v>
      </c>
      <c r="K302" s="3">
        <f t="shared" si="57"/>
        <v>-23399.206235084202</v>
      </c>
      <c r="L302" s="3">
        <f t="shared" si="58"/>
        <v>45932.527130341325</v>
      </c>
      <c r="M302" s="3">
        <f t="shared" si="59"/>
        <v>51549.198839667188</v>
      </c>
      <c r="N302" s="3">
        <f t="shared" si="60"/>
        <v>-8399.2062350842025</v>
      </c>
      <c r="O302" s="3">
        <f t="shared" si="61"/>
        <v>-4067.4728696586753</v>
      </c>
      <c r="P302" s="3">
        <f t="shared" si="62"/>
        <v>9332.2559397439763</v>
      </c>
    </row>
    <row r="303" spans="1:16" x14ac:dyDescent="0.25">
      <c r="A303">
        <f t="shared" si="49"/>
        <v>113.5</v>
      </c>
      <c r="B303">
        <f t="shared" si="50"/>
        <v>6348.7274498960332</v>
      </c>
      <c r="C303">
        <f t="shared" si="51"/>
        <v>-23436.497157844784</v>
      </c>
      <c r="D303">
        <f t="shared" si="52"/>
        <v>5899.0424296236597</v>
      </c>
      <c r="E303">
        <f t="shared" si="53"/>
        <v>4992.0599449930842</v>
      </c>
      <c r="F303">
        <f>$C$23*(H303/(J303^2+$C$24^2)^1.5)+$C$32*(K303/(M303^2+$C$33^2)^1.5)+C$41*(N303/(P303^2+$C$42^2)^1.5)</f>
        <v>-13007.478456909606</v>
      </c>
      <c r="G303">
        <f>$C$23*(I303/(J303^2+$C$24^2)^1.5)+$C$32*(L303/(M303^2+$C$33^2)^1.5)+C$41*(O303/(P303^2+$C$42^2)^1.5)</f>
        <v>-1711.6962261688104</v>
      </c>
      <c r="H303" s="3">
        <f t="shared" si="54"/>
        <v>13651.272550103968</v>
      </c>
      <c r="I303" s="3">
        <f t="shared" si="55"/>
        <v>38436.497157844788</v>
      </c>
      <c r="J303" s="3">
        <f t="shared" si="56"/>
        <v>40788.743005910743</v>
      </c>
      <c r="K303" s="3">
        <f t="shared" si="57"/>
        <v>-26348.727449896032</v>
      </c>
      <c r="L303" s="3">
        <f t="shared" si="58"/>
        <v>43436.497157844788</v>
      </c>
      <c r="M303" s="3">
        <f t="shared" si="59"/>
        <v>50803.392835246377</v>
      </c>
      <c r="N303" s="3">
        <f t="shared" si="60"/>
        <v>-11348.727449896032</v>
      </c>
      <c r="O303" s="3">
        <f t="shared" si="61"/>
        <v>-6563.5028421552161</v>
      </c>
      <c r="P303" s="3">
        <f t="shared" si="62"/>
        <v>13110.041353519953</v>
      </c>
    </row>
    <row r="304" spans="1:16" x14ac:dyDescent="0.25">
      <c r="A304">
        <f t="shared" si="49"/>
        <v>114</v>
      </c>
      <c r="B304">
        <f t="shared" si="50"/>
        <v>6046.3790504804601</v>
      </c>
      <c r="C304">
        <f t="shared" si="51"/>
        <v>-21368.391241890447</v>
      </c>
      <c r="D304">
        <f t="shared" si="52"/>
        <v>-604.6967988311435</v>
      </c>
      <c r="E304">
        <f t="shared" si="53"/>
        <v>4136.2118319086785</v>
      </c>
      <c r="F304">
        <f>$C$23*(H304/(J304^2+$C$24^2)^1.5)+$C$32*(K304/(M304^2+$C$33^2)^1.5)+C$41*(N304/(P304^2+$C$42^2)^1.5)</f>
        <v>-11695.120180516147</v>
      </c>
      <c r="G304">
        <f>$C$23*(I304/(J304^2+$C$24^2)^1.5)+$C$32*(L304/(M304^2+$C$33^2)^1.5)+C$41*(O304/(P304^2+$C$42^2)^1.5)</f>
        <v>-2392.3991541674668</v>
      </c>
      <c r="H304" s="3">
        <f t="shared" si="54"/>
        <v>13953.62094951954</v>
      </c>
      <c r="I304" s="3">
        <f t="shared" si="55"/>
        <v>36368.391241890451</v>
      </c>
      <c r="J304" s="3">
        <f t="shared" si="56"/>
        <v>38953.349267118028</v>
      </c>
      <c r="K304" s="3">
        <f t="shared" si="57"/>
        <v>-26046.37905048046</v>
      </c>
      <c r="L304" s="3">
        <f t="shared" si="58"/>
        <v>41368.391241890451</v>
      </c>
      <c r="M304" s="3">
        <f t="shared" si="59"/>
        <v>48885.147597030184</v>
      </c>
      <c r="N304" s="3">
        <f t="shared" si="60"/>
        <v>-11046.37905048046</v>
      </c>
      <c r="O304" s="3">
        <f t="shared" si="61"/>
        <v>-8631.6087581095526</v>
      </c>
      <c r="P304" s="3">
        <f t="shared" si="62"/>
        <v>14018.814496239229</v>
      </c>
    </row>
    <row r="305" spans="1:16" x14ac:dyDescent="0.25">
      <c r="A305">
        <f t="shared" si="49"/>
        <v>114.5</v>
      </c>
      <c r="B305">
        <f t="shared" si="50"/>
        <v>2820.2506059358511</v>
      </c>
      <c r="C305">
        <f t="shared" si="51"/>
        <v>-19898.385114477973</v>
      </c>
      <c r="D305">
        <f t="shared" si="52"/>
        <v>-6452.2568890892171</v>
      </c>
      <c r="E305">
        <f t="shared" si="53"/>
        <v>2940.0122548249451</v>
      </c>
      <c r="F305">
        <f>$C$23*(H305/(J305^2+$C$24^2)^1.5)+$C$32*(K305/(M305^2+$C$33^2)^1.5)+C$41*(N305/(P305^2+$C$42^2)^1.5)</f>
        <v>-10376.820477150828</v>
      </c>
      <c r="G305">
        <f>$C$23*(I305/(J305^2+$C$24^2)^1.5)+$C$32*(L305/(M305^2+$C$33^2)^1.5)+C$41*(O305/(P305^2+$C$42^2)^1.5)</f>
        <v>-4616.029780799824</v>
      </c>
      <c r="H305" s="3">
        <f t="shared" si="54"/>
        <v>17179.749394064151</v>
      </c>
      <c r="I305" s="3">
        <f t="shared" si="55"/>
        <v>34898.385114477976</v>
      </c>
      <c r="J305" s="3">
        <f t="shared" si="56"/>
        <v>38897.828639157553</v>
      </c>
      <c r="K305" s="3">
        <f t="shared" si="57"/>
        <v>-22820.250605935849</v>
      </c>
      <c r="L305" s="3">
        <f t="shared" si="58"/>
        <v>39898.385114477976</v>
      </c>
      <c r="M305" s="3">
        <f t="shared" si="59"/>
        <v>45963.517842533693</v>
      </c>
      <c r="N305" s="3">
        <f t="shared" si="60"/>
        <v>-7820.2506059358511</v>
      </c>
      <c r="O305" s="3">
        <f t="shared" si="61"/>
        <v>-10101.614885522027</v>
      </c>
      <c r="P305" s="3">
        <f t="shared" si="62"/>
        <v>12774.93416167145</v>
      </c>
    </row>
    <row r="306" spans="1:16" x14ac:dyDescent="0.25">
      <c r="A306">
        <f t="shared" si="49"/>
        <v>115</v>
      </c>
      <c r="B306">
        <f t="shared" si="50"/>
        <v>-3000.0829578964644</v>
      </c>
      <c r="C306">
        <f t="shared" si="51"/>
        <v>-19582.386432265459</v>
      </c>
      <c r="D306">
        <f t="shared" si="52"/>
        <v>-11640.66712766463</v>
      </c>
      <c r="E306">
        <f t="shared" si="53"/>
        <v>631.99736442503308</v>
      </c>
      <c r="F306">
        <f>$C$23*(H306/(J306^2+$C$24^2)^1.5)+$C$32*(K306/(M306^2+$C$33^2)^1.5)+C$41*(N306/(P306^2+$C$42^2)^1.5)</f>
        <v>-5071.401536173923</v>
      </c>
      <c r="G306">
        <f>$C$23*(I306/(J306^2+$C$24^2)^1.5)+$C$32*(L306/(M306^2+$C$33^2)^1.5)+C$41*(O306/(P306^2+$C$42^2)^1.5)</f>
        <v>-7941.3912000783894</v>
      </c>
      <c r="H306" s="3">
        <f t="shared" si="54"/>
        <v>23000.082957896466</v>
      </c>
      <c r="I306" s="3">
        <f t="shared" si="55"/>
        <v>34582.386432265455</v>
      </c>
      <c r="J306" s="3">
        <f t="shared" si="56"/>
        <v>41532.460406538128</v>
      </c>
      <c r="K306" s="3">
        <f t="shared" si="57"/>
        <v>-16999.917042103534</v>
      </c>
      <c r="L306" s="3">
        <f t="shared" si="58"/>
        <v>39582.386432265455</v>
      </c>
      <c r="M306" s="3">
        <f t="shared" si="59"/>
        <v>43078.561896976025</v>
      </c>
      <c r="N306" s="3">
        <f t="shared" si="60"/>
        <v>-1999.9170421035356</v>
      </c>
      <c r="O306" s="3">
        <f t="shared" si="61"/>
        <v>-10417.613567734541</v>
      </c>
      <c r="P306" s="3">
        <f t="shared" si="62"/>
        <v>10607.843353950084</v>
      </c>
    </row>
    <row r="307" spans="1:16" x14ac:dyDescent="0.25">
      <c r="A307">
        <f t="shared" si="49"/>
        <v>115.5</v>
      </c>
      <c r="B307">
        <f t="shared" si="50"/>
        <v>-10088.26690577226</v>
      </c>
      <c r="C307">
        <f t="shared" si="51"/>
        <v>-21251.735550072539</v>
      </c>
      <c r="D307">
        <f t="shared" si="52"/>
        <v>-14176.367895751591</v>
      </c>
      <c r="E307">
        <f t="shared" si="53"/>
        <v>-3338.6982356141616</v>
      </c>
      <c r="F307">
        <f>$C$23*(H307/(J307^2+$C$24^2)^1.5)+$C$32*(K307/(M307^2+$C$33^2)^1.5)+C$41*(N307/(P307^2+$C$42^2)^1.5)</f>
        <v>6011.0394144263237</v>
      </c>
      <c r="G307">
        <f>$C$23*(I307/(J307^2+$C$24^2)^1.5)+$C$32*(L307/(M307^2+$C$33^2)^1.5)+C$41*(O307/(P307^2+$C$42^2)^1.5)</f>
        <v>-6145.3919404327571</v>
      </c>
      <c r="H307" s="3">
        <f t="shared" si="54"/>
        <v>30088.26690577226</v>
      </c>
      <c r="I307" s="3">
        <f t="shared" si="55"/>
        <v>36251.735550072539</v>
      </c>
      <c r="J307" s="3">
        <f t="shared" si="56"/>
        <v>47111.486240463513</v>
      </c>
      <c r="K307" s="3">
        <f t="shared" si="57"/>
        <v>-9911.7330942277404</v>
      </c>
      <c r="L307" s="3">
        <f t="shared" si="58"/>
        <v>41251.735550072539</v>
      </c>
      <c r="M307" s="3">
        <f t="shared" si="59"/>
        <v>42425.795676973787</v>
      </c>
      <c r="N307" s="3">
        <f t="shared" si="60"/>
        <v>5088.2669057722596</v>
      </c>
      <c r="O307" s="3">
        <f t="shared" si="61"/>
        <v>-8748.2644499274611</v>
      </c>
      <c r="P307" s="3">
        <f t="shared" si="62"/>
        <v>10120.404685102361</v>
      </c>
    </row>
    <row r="308" spans="1:16" x14ac:dyDescent="0.25">
      <c r="A308">
        <f t="shared" si="49"/>
        <v>116</v>
      </c>
      <c r="B308">
        <f t="shared" si="50"/>
        <v>-15673.691000041475</v>
      </c>
      <c r="C308">
        <f t="shared" si="51"/>
        <v>-24457.432652987809</v>
      </c>
      <c r="D308">
        <f t="shared" si="52"/>
        <v>-11170.84818853843</v>
      </c>
      <c r="E308">
        <f t="shared" si="53"/>
        <v>-6411.3942058305402</v>
      </c>
      <c r="F308">
        <f>$C$23*(H308/(J308^2+$C$24^2)^1.5)+$C$32*(K308/(M308^2+$C$33^2)^1.5)+C$41*(N308/(P308^2+$C$42^2)^1.5)</f>
        <v>11221.821099683868</v>
      </c>
      <c r="G308">
        <f>$C$23*(I308/(J308^2+$C$24^2)^1.5)+$C$32*(L308/(M308^2+$C$33^2)^1.5)+C$41*(O308/(P308^2+$C$42^2)^1.5)</f>
        <v>76.197447676409865</v>
      </c>
      <c r="H308" s="3">
        <f t="shared" si="54"/>
        <v>35673.691000041479</v>
      </c>
      <c r="I308" s="3">
        <f t="shared" si="55"/>
        <v>39457.432652987809</v>
      </c>
      <c r="J308" s="3">
        <f t="shared" si="56"/>
        <v>53193.056136412284</v>
      </c>
      <c r="K308" s="3">
        <f t="shared" si="57"/>
        <v>-4326.3089999585245</v>
      </c>
      <c r="L308" s="3">
        <f t="shared" si="58"/>
        <v>44457.432652987809</v>
      </c>
      <c r="M308" s="3">
        <f t="shared" si="59"/>
        <v>44667.440800409291</v>
      </c>
      <c r="N308" s="3">
        <f t="shared" si="60"/>
        <v>10673.691000041475</v>
      </c>
      <c r="O308" s="3">
        <f t="shared" si="61"/>
        <v>-5542.567347012191</v>
      </c>
      <c r="P308" s="3">
        <f t="shared" si="62"/>
        <v>12026.958566509331</v>
      </c>
    </row>
    <row r="309" spans="1:16" x14ac:dyDescent="0.25">
      <c r="A309">
        <f t="shared" si="49"/>
        <v>116.5</v>
      </c>
      <c r="B309">
        <f t="shared" si="50"/>
        <v>-18453.659819389723</v>
      </c>
      <c r="C309">
        <f t="shared" si="51"/>
        <v>-27644.080393983975</v>
      </c>
      <c r="D309">
        <f t="shared" si="52"/>
        <v>-5559.9376386964959</v>
      </c>
      <c r="E309">
        <f t="shared" si="53"/>
        <v>-6373.2954819923352</v>
      </c>
      <c r="F309">
        <f>$C$23*(H309/(J309^2+$C$24^2)^1.5)+$C$32*(K309/(M309^2+$C$33^2)^1.5)+C$41*(N309/(P309^2+$C$42^2)^1.5)</f>
        <v>11547.822765479606</v>
      </c>
      <c r="G309">
        <f>$C$23*(I309/(J309^2+$C$24^2)^1.5)+$C$32*(L309/(M309^2+$C$33^2)^1.5)+C$41*(O309/(P309^2+$C$42^2)^1.5)</f>
        <v>3479.1615711356035</v>
      </c>
      <c r="H309" s="3">
        <f t="shared" si="54"/>
        <v>38453.659819389723</v>
      </c>
      <c r="I309" s="3">
        <f t="shared" si="55"/>
        <v>42644.080393983975</v>
      </c>
      <c r="J309" s="3">
        <f t="shared" si="56"/>
        <v>57421.263885027089</v>
      </c>
      <c r="K309" s="3">
        <f t="shared" si="57"/>
        <v>-1546.3401806102775</v>
      </c>
      <c r="L309" s="3">
        <f t="shared" si="58"/>
        <v>47644.080393983975</v>
      </c>
      <c r="M309" s="3">
        <f t="shared" si="59"/>
        <v>47669.167860815207</v>
      </c>
      <c r="N309" s="3">
        <f t="shared" si="60"/>
        <v>13453.659819389723</v>
      </c>
      <c r="O309" s="3">
        <f t="shared" si="61"/>
        <v>-2355.9196060160248</v>
      </c>
      <c r="P309" s="3">
        <f t="shared" si="62"/>
        <v>13658.379103168581</v>
      </c>
    </row>
    <row r="310" spans="1:16" x14ac:dyDescent="0.25">
      <c r="A310">
        <f t="shared" si="49"/>
        <v>117</v>
      </c>
      <c r="B310">
        <f t="shared" si="50"/>
        <v>-18346.672947368068</v>
      </c>
      <c r="C310">
        <f t="shared" si="51"/>
        <v>-29960.937742196242</v>
      </c>
      <c r="D310">
        <f t="shared" si="52"/>
        <v>213.97374404330731</v>
      </c>
      <c r="E310">
        <f t="shared" si="53"/>
        <v>-4633.714696424533</v>
      </c>
      <c r="F310">
        <f>$C$23*(H310/(J310^2+$C$24^2)^1.5)+$C$32*(K310/(M310^2+$C$33^2)^1.5)+C$41*(N310/(P310^2+$C$42^2)^1.5)</f>
        <v>11984.363070828944</v>
      </c>
      <c r="G310">
        <f>$C$23*(I310/(J310^2+$C$24^2)^1.5)+$C$32*(L310/(M310^2+$C$33^2)^1.5)+C$41*(O310/(P310^2+$C$42^2)^1.5)</f>
        <v>5046.0735679604913</v>
      </c>
      <c r="H310" s="3">
        <f t="shared" si="54"/>
        <v>38346.672947368068</v>
      </c>
      <c r="I310" s="3">
        <f t="shared" si="55"/>
        <v>44960.937742196242</v>
      </c>
      <c r="J310" s="3">
        <f t="shared" si="56"/>
        <v>59092.751237271536</v>
      </c>
      <c r="K310" s="3">
        <f t="shared" si="57"/>
        <v>-1653.327052631932</v>
      </c>
      <c r="L310" s="3">
        <f t="shared" si="58"/>
        <v>49960.937742196242</v>
      </c>
      <c r="M310" s="3">
        <f t="shared" si="59"/>
        <v>49988.286532172453</v>
      </c>
      <c r="N310" s="3">
        <f t="shared" si="60"/>
        <v>13346.672947368068</v>
      </c>
      <c r="O310" s="3">
        <f t="shared" si="61"/>
        <v>-39.062257803758257</v>
      </c>
      <c r="P310" s="3">
        <f t="shared" si="62"/>
        <v>13346.7301098056</v>
      </c>
    </row>
    <row r="311" spans="1:16" x14ac:dyDescent="0.25">
      <c r="A311">
        <f t="shared" si="49"/>
        <v>117.5</v>
      </c>
      <c r="B311">
        <f t="shared" si="50"/>
        <v>-15243.595307639178</v>
      </c>
      <c r="C311">
        <f t="shared" si="51"/>
        <v>-31016.276698418384</v>
      </c>
      <c r="D311">
        <f t="shared" si="52"/>
        <v>6206.1552794577792</v>
      </c>
      <c r="E311">
        <f t="shared" si="53"/>
        <v>-2110.6779124442874</v>
      </c>
      <c r="F311">
        <f>$C$23*(H311/(J311^2+$C$24^2)^1.5)+$C$32*(K311/(M311^2+$C$33^2)^1.5)+C$41*(N311/(P311^2+$C$42^2)^1.5)</f>
        <v>14168.061931116161</v>
      </c>
      <c r="G311">
        <f>$C$23*(I311/(J311^2+$C$24^2)^1.5)+$C$32*(L311/(M311^2+$C$33^2)^1.5)+C$41*(O311/(P311^2+$C$42^2)^1.5)</f>
        <v>6302.1013763285519</v>
      </c>
      <c r="H311" s="3">
        <f t="shared" si="54"/>
        <v>35243.595307639174</v>
      </c>
      <c r="I311" s="3">
        <f t="shared" si="55"/>
        <v>46016.276698418384</v>
      </c>
      <c r="J311" s="3">
        <f t="shared" si="56"/>
        <v>57962.1318741301</v>
      </c>
      <c r="K311" s="3">
        <f t="shared" si="57"/>
        <v>-4756.4046923608221</v>
      </c>
      <c r="L311" s="3">
        <f t="shared" si="58"/>
        <v>51016.276698418384</v>
      </c>
      <c r="M311" s="3">
        <f t="shared" si="59"/>
        <v>51237.524079204872</v>
      </c>
      <c r="N311" s="3">
        <f t="shared" si="60"/>
        <v>10243.595307639178</v>
      </c>
      <c r="O311" s="3">
        <f t="shared" si="61"/>
        <v>1016.2766984183836</v>
      </c>
      <c r="P311" s="3">
        <f t="shared" si="62"/>
        <v>10293.884745538759</v>
      </c>
    </row>
    <row r="312" spans="1:16" x14ac:dyDescent="0.25">
      <c r="A312">
        <f t="shared" si="49"/>
        <v>118</v>
      </c>
      <c r="B312">
        <f t="shared" si="50"/>
        <v>-8598.5021851312486</v>
      </c>
      <c r="C312">
        <f t="shared" si="51"/>
        <v>-30496.090310558386</v>
      </c>
      <c r="D312">
        <f t="shared" si="52"/>
        <v>13290.186245015859</v>
      </c>
      <c r="E312">
        <f t="shared" si="53"/>
        <v>1040.3727757199886</v>
      </c>
      <c r="F312">
        <f>$C$23*(H312/(J312^2+$C$24^2)^1.5)+$C$32*(K312/(M312^2+$C$33^2)^1.5)+C$41*(N312/(P312^2+$C$42^2)^1.5)</f>
        <v>11581.784674403276</v>
      </c>
      <c r="G312">
        <f>$C$23*(I312/(J312^2+$C$24^2)^1.5)+$C$32*(L312/(M312^2+$C$33^2)^1.5)+C$41*(O312/(P312^2+$C$42^2)^1.5)</f>
        <v>6436.6860104178677</v>
      </c>
      <c r="H312" s="3">
        <f t="shared" si="54"/>
        <v>28598.502185131249</v>
      </c>
      <c r="I312" s="3">
        <f t="shared" si="55"/>
        <v>45496.090310558386</v>
      </c>
      <c r="J312" s="3">
        <f t="shared" si="56"/>
        <v>53737.962008057591</v>
      </c>
      <c r="K312" s="3">
        <f t="shared" si="57"/>
        <v>-11401.497814868751</v>
      </c>
      <c r="L312" s="3">
        <f t="shared" si="58"/>
        <v>50496.090310558386</v>
      </c>
      <c r="M312" s="3">
        <f t="shared" si="59"/>
        <v>51767.260783960024</v>
      </c>
      <c r="N312" s="3">
        <f t="shared" si="60"/>
        <v>3598.5021851312486</v>
      </c>
      <c r="O312" s="3">
        <f t="shared" si="61"/>
        <v>496.09031055838568</v>
      </c>
      <c r="P312" s="3">
        <f t="shared" si="62"/>
        <v>3632.5367957701801</v>
      </c>
    </row>
    <row r="313" spans="1:16" x14ac:dyDescent="0.25">
      <c r="A313">
        <f t="shared" si="49"/>
        <v>118.5</v>
      </c>
      <c r="B313">
        <f t="shared" si="50"/>
        <v>942.03710597749978</v>
      </c>
      <c r="C313">
        <f t="shared" si="51"/>
        <v>-28366.732420093926</v>
      </c>
      <c r="D313">
        <f t="shared" si="52"/>
        <v>19081.078582217495</v>
      </c>
      <c r="E313">
        <f t="shared" si="53"/>
        <v>4258.715780928922</v>
      </c>
      <c r="F313">
        <f>$C$23*(H313/(J313^2+$C$24^2)^1.5)+$C$32*(K313/(M313^2+$C$33^2)^1.5)+C$41*(N313/(P313^2+$C$42^2)^1.5)</f>
        <v>-17064.357970991812</v>
      </c>
      <c r="G313">
        <f>$C$23*(I313/(J313^2+$C$24^2)^1.5)+$C$32*(L313/(M313^2+$C$33^2)^1.5)+C$41*(O313/(P313^2+$C$42^2)^1.5)</f>
        <v>144.06747133359841</v>
      </c>
      <c r="H313" s="3">
        <f t="shared" si="54"/>
        <v>19057.962894022501</v>
      </c>
      <c r="I313" s="3">
        <f t="shared" si="55"/>
        <v>43366.732420093926</v>
      </c>
      <c r="J313" s="3">
        <f t="shared" si="56"/>
        <v>47369.60449978408</v>
      </c>
      <c r="K313" s="3">
        <f t="shared" si="57"/>
        <v>-20942.037105977499</v>
      </c>
      <c r="L313" s="3">
        <f t="shared" si="58"/>
        <v>48366.732420093926</v>
      </c>
      <c r="M313" s="3">
        <f t="shared" si="59"/>
        <v>52705.87939827115</v>
      </c>
      <c r="N313" s="3">
        <f t="shared" si="60"/>
        <v>-5942.0371059774998</v>
      </c>
      <c r="O313" s="3">
        <f t="shared" si="61"/>
        <v>-1633.2675799060744</v>
      </c>
      <c r="P313" s="3">
        <f t="shared" si="62"/>
        <v>6162.415756534584</v>
      </c>
    </row>
    <row r="314" spans="1:16" x14ac:dyDescent="0.25">
      <c r="A314">
        <f t="shared" si="49"/>
        <v>119</v>
      </c>
      <c r="B314">
        <f t="shared" si="50"/>
        <v>6216.4869043382932</v>
      </c>
      <c r="C314">
        <f t="shared" si="51"/>
        <v>-26201.357661796064</v>
      </c>
      <c r="D314">
        <f t="shared" si="52"/>
        <v>10548.899596721589</v>
      </c>
      <c r="E314">
        <f t="shared" si="53"/>
        <v>4330.7495165957207</v>
      </c>
      <c r="F314">
        <f>$C$23*(H314/(J314^2+$C$24^2)^1.5)+$C$32*(K314/(M314^2+$C$33^2)^1.5)+C$41*(N314/(P314^2+$C$42^2)^1.5)</f>
        <v>-14735.110897643046</v>
      </c>
      <c r="G314">
        <f>$C$23*(I314/(J314^2+$C$24^2)^1.5)+$C$32*(L314/(M314^2+$C$33^2)^1.5)+C$41*(O314/(P314^2+$C$42^2)^1.5)</f>
        <v>-131.63608074505009</v>
      </c>
      <c r="H314" s="3">
        <f t="shared" si="54"/>
        <v>13783.513095661707</v>
      </c>
      <c r="I314" s="3">
        <f t="shared" si="55"/>
        <v>41201.357661796064</v>
      </c>
      <c r="J314" s="3">
        <f t="shared" si="56"/>
        <v>43445.795037420125</v>
      </c>
      <c r="K314" s="3">
        <f t="shared" si="57"/>
        <v>-26216.486904338293</v>
      </c>
      <c r="L314" s="3">
        <f t="shared" si="58"/>
        <v>46201.357661796064</v>
      </c>
      <c r="M314" s="3">
        <f t="shared" si="59"/>
        <v>53121.272908304287</v>
      </c>
      <c r="N314" s="3">
        <f t="shared" si="60"/>
        <v>-11216.486904338293</v>
      </c>
      <c r="O314" s="3">
        <f t="shared" si="61"/>
        <v>-3798.6423382039357</v>
      </c>
      <c r="P314" s="3">
        <f t="shared" si="62"/>
        <v>11842.265918682449</v>
      </c>
    </row>
    <row r="315" spans="1:16" x14ac:dyDescent="0.25">
      <c r="A315">
        <f t="shared" si="49"/>
        <v>119.5</v>
      </c>
      <c r="B315">
        <f t="shared" si="50"/>
        <v>7807.1589782883257</v>
      </c>
      <c r="C315">
        <f t="shared" si="51"/>
        <v>-24068.891923684467</v>
      </c>
      <c r="D315">
        <f t="shared" si="52"/>
        <v>3181.3441479000658</v>
      </c>
      <c r="E315">
        <f t="shared" si="53"/>
        <v>4264.9314762231952</v>
      </c>
      <c r="F315">
        <f>$C$23*(H315/(J315^2+$C$24^2)^1.5)+$C$32*(K315/(M315^2+$C$33^2)^1.5)+C$41*(N315/(P315^2+$C$42^2)^1.5)</f>
        <v>-12740.204386421919</v>
      </c>
      <c r="G315">
        <f>$C$23*(I315/(J315^2+$C$24^2)^1.5)+$C$32*(L315/(M315^2+$C$33^2)^1.5)+C$41*(O315/(P315^2+$C$42^2)^1.5)</f>
        <v>-601.01998361343794</v>
      </c>
      <c r="H315" s="3">
        <f t="shared" si="54"/>
        <v>12192.841021711674</v>
      </c>
      <c r="I315" s="3">
        <f t="shared" si="55"/>
        <v>39068.891923684467</v>
      </c>
      <c r="J315" s="3">
        <f t="shared" si="56"/>
        <v>40927.297593724317</v>
      </c>
      <c r="K315" s="3">
        <f t="shared" si="57"/>
        <v>-27807.158978288324</v>
      </c>
      <c r="L315" s="3">
        <f t="shared" si="58"/>
        <v>44068.891923684467</v>
      </c>
      <c r="M315" s="3">
        <f t="shared" si="59"/>
        <v>52108.591669946167</v>
      </c>
      <c r="N315" s="3">
        <f t="shared" si="60"/>
        <v>-12807.158978288326</v>
      </c>
      <c r="O315" s="3">
        <f t="shared" si="61"/>
        <v>-5931.1080763155333</v>
      </c>
      <c r="P315" s="3">
        <f t="shared" si="62"/>
        <v>14113.871336670411</v>
      </c>
    </row>
    <row r="316" spans="1:16" x14ac:dyDescent="0.25">
      <c r="A316">
        <f t="shared" si="49"/>
        <v>120</v>
      </c>
      <c r="B316">
        <f t="shared" si="50"/>
        <v>6212.7799556328782</v>
      </c>
      <c r="C316">
        <f t="shared" si="51"/>
        <v>-22086.68118147623</v>
      </c>
      <c r="D316">
        <f t="shared" si="52"/>
        <v>-3188.758045310894</v>
      </c>
      <c r="E316">
        <f t="shared" si="53"/>
        <v>3964.4214844164762</v>
      </c>
      <c r="F316">
        <f>$C$23*(H316/(J316^2+$C$24^2)^1.5)+$C$32*(K316/(M316^2+$C$33^2)^1.5)+C$41*(N316/(P316^2+$C$42^2)^1.5)</f>
        <v>-12144.546109355468</v>
      </c>
      <c r="G316">
        <f>$C$23*(I316/(J316^2+$C$24^2)^1.5)+$C$32*(L316/(M316^2+$C$33^2)^1.5)+C$41*(O316/(P316^2+$C$42^2)^1.5)</f>
        <v>-2183.2868583598593</v>
      </c>
      <c r="H316" s="3">
        <f t="shared" si="54"/>
        <v>13787.220044367121</v>
      </c>
      <c r="I316" s="3">
        <f t="shared" si="55"/>
        <v>37086.681181476233</v>
      </c>
      <c r="J316" s="3">
        <f t="shared" si="56"/>
        <v>39566.518138550709</v>
      </c>
      <c r="K316" s="3">
        <f t="shared" si="57"/>
        <v>-26212.779955632879</v>
      </c>
      <c r="L316" s="3">
        <f t="shared" si="58"/>
        <v>42086.681181476233</v>
      </c>
      <c r="M316" s="3">
        <f t="shared" si="59"/>
        <v>49582.240428137717</v>
      </c>
      <c r="N316" s="3">
        <f t="shared" si="60"/>
        <v>-11212.779955632879</v>
      </c>
      <c r="O316" s="3">
        <f t="shared" si="61"/>
        <v>-7913.3188185237705</v>
      </c>
      <c r="P316" s="3">
        <f t="shared" si="62"/>
        <v>13723.958942558991</v>
      </c>
    </row>
    <row r="317" spans="1:16" x14ac:dyDescent="0.25">
      <c r="A317">
        <f t="shared" si="49"/>
        <v>120.5</v>
      </c>
      <c r="B317">
        <f t="shared" si="50"/>
        <v>1582.2644056385639</v>
      </c>
      <c r="C317">
        <f t="shared" si="51"/>
        <v>-20650.292153857958</v>
      </c>
      <c r="D317">
        <f t="shared" si="52"/>
        <v>-9261.0310999886278</v>
      </c>
      <c r="E317">
        <f t="shared" si="53"/>
        <v>2872.7780552365466</v>
      </c>
      <c r="F317">
        <f>$C$23*(H317/(J317^2+$C$24^2)^1.5)+$C$32*(K317/(M317^2+$C$33^2)^1.5)+C$41*(N317/(P317^2+$C$42^2)^1.5)</f>
        <v>-10410.340076622208</v>
      </c>
      <c r="G317">
        <f>$C$23*(I317/(J317^2+$C$24^2)^1.5)+$C$32*(L317/(M317^2+$C$33^2)^1.5)+C$41*(O317/(P317^2+$C$42^2)^1.5)</f>
        <v>-5824.8780707708302</v>
      </c>
      <c r="H317" s="3">
        <f t="shared" si="54"/>
        <v>18417.735594361435</v>
      </c>
      <c r="I317" s="3">
        <f t="shared" si="55"/>
        <v>35650.292153857954</v>
      </c>
      <c r="J317" s="3">
        <f t="shared" si="56"/>
        <v>40126.75310910707</v>
      </c>
      <c r="K317" s="3">
        <f t="shared" si="57"/>
        <v>-21582.264405638565</v>
      </c>
      <c r="L317" s="3">
        <f t="shared" si="58"/>
        <v>40650.292153857954</v>
      </c>
      <c r="M317" s="3">
        <f t="shared" si="59"/>
        <v>46024.345612609191</v>
      </c>
      <c r="N317" s="3">
        <f t="shared" si="60"/>
        <v>-6582.2644056385634</v>
      </c>
      <c r="O317" s="3">
        <f t="shared" si="61"/>
        <v>-9349.7078461420424</v>
      </c>
      <c r="P317" s="3">
        <f t="shared" si="62"/>
        <v>11434.301094249113</v>
      </c>
    </row>
    <row r="318" spans="1:16" x14ac:dyDescent="0.25">
      <c r="A318">
        <f t="shared" si="49"/>
        <v>121</v>
      </c>
      <c r="B318">
        <f t="shared" si="50"/>
        <v>-5650.8361635113015</v>
      </c>
      <c r="C318">
        <f t="shared" si="51"/>
        <v>-20670.122643932395</v>
      </c>
      <c r="D318">
        <f t="shared" si="52"/>
        <v>-14466.201138299732</v>
      </c>
      <c r="E318">
        <f t="shared" si="53"/>
        <v>-39.660980148868475</v>
      </c>
      <c r="F318">
        <f>$C$23*(H318/(J318^2+$C$24^2)^1.5)+$C$32*(K318/(M318^2+$C$33^2)^1.5)+C$41*(N318/(P318^2+$C$42^2)^1.5)</f>
        <v>-913.37498480290219</v>
      </c>
      <c r="G318">
        <f>$C$23*(I318/(J318^2+$C$24^2)^1.5)+$C$32*(L318/(M318^2+$C$33^2)^1.5)+C$41*(O318/(P318^2+$C$42^2)^1.5)</f>
        <v>-8969.9241898772743</v>
      </c>
      <c r="H318" s="3">
        <f t="shared" si="54"/>
        <v>25650.836163511303</v>
      </c>
      <c r="I318" s="3">
        <f t="shared" si="55"/>
        <v>35670.122643932395</v>
      </c>
      <c r="J318" s="3">
        <f t="shared" si="56"/>
        <v>43935.441790432451</v>
      </c>
      <c r="K318" s="3">
        <f t="shared" si="57"/>
        <v>-14349.163836488699</v>
      </c>
      <c r="L318" s="3">
        <f t="shared" si="58"/>
        <v>40670.122643932395</v>
      </c>
      <c r="M318" s="3">
        <f t="shared" si="59"/>
        <v>43127.223173755316</v>
      </c>
      <c r="N318" s="3">
        <f t="shared" si="60"/>
        <v>650.83616351130149</v>
      </c>
      <c r="O318" s="3">
        <f t="shared" si="61"/>
        <v>-9329.8773560676054</v>
      </c>
      <c r="P318" s="3">
        <f t="shared" si="62"/>
        <v>9352.5504110374713</v>
      </c>
    </row>
    <row r="319" spans="1:16" x14ac:dyDescent="0.25">
      <c r="A319">
        <f t="shared" si="49"/>
        <v>121.5</v>
      </c>
      <c r="B319">
        <f t="shared" si="50"/>
        <v>-13112.280478861894</v>
      </c>
      <c r="C319">
        <f t="shared" si="51"/>
        <v>-22932.434181476146</v>
      </c>
      <c r="D319">
        <f t="shared" si="52"/>
        <v>-14922.888630701184</v>
      </c>
      <c r="E319">
        <f t="shared" si="53"/>
        <v>-4524.6230750875056</v>
      </c>
      <c r="F319">
        <f>$C$23*(H319/(J319^2+$C$24^2)^1.5)+$C$32*(K319/(M319^2+$C$33^2)^1.5)+C$41*(N319/(P319^2+$C$42^2)^1.5)</f>
        <v>9855.2077814134555</v>
      </c>
      <c r="G319">
        <f>$C$23*(I319/(J319^2+$C$24^2)^1.5)+$C$32*(L319/(M319^2+$C$33^2)^1.5)+C$41*(O319/(P319^2+$C$42^2)^1.5)</f>
        <v>-2950.7423416542697</v>
      </c>
      <c r="H319" s="3">
        <f t="shared" si="54"/>
        <v>33112.280478861896</v>
      </c>
      <c r="I319" s="3">
        <f t="shared" si="55"/>
        <v>37932.434181476143</v>
      </c>
      <c r="J319" s="3">
        <f t="shared" si="56"/>
        <v>50351.689956175636</v>
      </c>
      <c r="K319" s="3">
        <f t="shared" si="57"/>
        <v>-6887.7195211381058</v>
      </c>
      <c r="L319" s="3">
        <f t="shared" si="58"/>
        <v>42932.434181476143</v>
      </c>
      <c r="M319" s="3">
        <f t="shared" si="59"/>
        <v>43481.428046335459</v>
      </c>
      <c r="N319" s="3">
        <f t="shared" si="60"/>
        <v>8112.2804788618942</v>
      </c>
      <c r="O319" s="3">
        <f t="shared" si="61"/>
        <v>-7067.5658185238535</v>
      </c>
      <c r="P319" s="3">
        <f t="shared" si="62"/>
        <v>10759.162661048049</v>
      </c>
    </row>
    <row r="320" spans="1:16" x14ac:dyDescent="0.25">
      <c r="A320">
        <f t="shared" si="49"/>
        <v>122</v>
      </c>
      <c r="B320">
        <f t="shared" si="50"/>
        <v>-18109.922848859122</v>
      </c>
      <c r="C320">
        <f t="shared" si="51"/>
        <v>-25932.431304433467</v>
      </c>
      <c r="D320">
        <f t="shared" si="52"/>
        <v>-9995.2847399944549</v>
      </c>
      <c r="E320">
        <f t="shared" si="53"/>
        <v>-5999.9942459146405</v>
      </c>
      <c r="F320">
        <f>$C$23*(H320/(J320^2+$C$24^2)^1.5)+$C$32*(K320/(M320^2+$C$33^2)^1.5)+C$41*(N320/(P320^2+$C$42^2)^1.5)</f>
        <v>11087.853941750702</v>
      </c>
      <c r="G320">
        <f>$C$23*(I320/(J320^2+$C$24^2)^1.5)+$C$32*(L320/(M320^2+$C$33^2)^1.5)+C$41*(O320/(P320^2+$C$42^2)^1.5)</f>
        <v>2385.209205576718</v>
      </c>
      <c r="H320" s="3">
        <f t="shared" si="54"/>
        <v>38109.922848859118</v>
      </c>
      <c r="I320" s="3">
        <f t="shared" si="55"/>
        <v>40932.43130443347</v>
      </c>
      <c r="J320" s="3">
        <f t="shared" si="56"/>
        <v>55927.00735814638</v>
      </c>
      <c r="K320" s="3">
        <f t="shared" si="57"/>
        <v>-1890.0771511408784</v>
      </c>
      <c r="L320" s="3">
        <f t="shared" si="58"/>
        <v>45932.43130443347</v>
      </c>
      <c r="M320" s="3">
        <f t="shared" si="59"/>
        <v>45971.302321924319</v>
      </c>
      <c r="N320" s="3">
        <f t="shared" si="60"/>
        <v>13109.922848859122</v>
      </c>
      <c r="O320" s="3">
        <f t="shared" si="61"/>
        <v>-4067.5686955665333</v>
      </c>
      <c r="P320" s="3">
        <f t="shared" si="62"/>
        <v>13726.441352229327</v>
      </c>
    </row>
    <row r="321" spans="1:16" x14ac:dyDescent="0.25">
      <c r="A321">
        <f t="shared" si="49"/>
        <v>122.5</v>
      </c>
      <c r="B321">
        <f t="shared" si="50"/>
        <v>-20335.601733418673</v>
      </c>
      <c r="C321">
        <f t="shared" si="51"/>
        <v>-28336.126125996609</v>
      </c>
      <c r="D321">
        <f t="shared" si="52"/>
        <v>-4451.357769119104</v>
      </c>
      <c r="E321">
        <f t="shared" si="53"/>
        <v>-4807.389643126282</v>
      </c>
      <c r="F321">
        <f>$C$23*(H321/(J321^2+$C$24^2)^1.5)+$C$32*(K321/(M321^2+$C$33^2)^1.5)+C$41*(N321/(P321^2+$C$42^2)^1.5)</f>
        <v>10477.10266450517</v>
      </c>
      <c r="G321">
        <f>$C$23*(I321/(J321^2+$C$24^2)^1.5)+$C$32*(L321/(M321^2+$C$33^2)^1.5)+C$41*(O321/(P321^2+$C$42^2)^1.5)</f>
        <v>4257.3634889432005</v>
      </c>
      <c r="H321" s="3">
        <f t="shared" si="54"/>
        <v>40335.601733418676</v>
      </c>
      <c r="I321" s="3">
        <f t="shared" si="55"/>
        <v>43336.126125996612</v>
      </c>
      <c r="J321" s="3">
        <f t="shared" si="56"/>
        <v>59202.876575427093</v>
      </c>
      <c r="K321" s="3">
        <f t="shared" si="57"/>
        <v>335.60173341867267</v>
      </c>
      <c r="L321" s="3">
        <f t="shared" si="58"/>
        <v>48336.126125996612</v>
      </c>
      <c r="M321" s="3">
        <f t="shared" si="59"/>
        <v>48337.291167293661</v>
      </c>
      <c r="N321" s="3">
        <f t="shared" si="60"/>
        <v>15335.601733418673</v>
      </c>
      <c r="O321" s="3">
        <f t="shared" si="61"/>
        <v>-1663.8738740033914</v>
      </c>
      <c r="P321" s="3">
        <f t="shared" si="62"/>
        <v>15425.600694774412</v>
      </c>
    </row>
    <row r="322" spans="1:16" x14ac:dyDescent="0.25">
      <c r="A322">
        <f t="shared" si="49"/>
        <v>123</v>
      </c>
      <c r="B322">
        <f t="shared" si="50"/>
        <v>-19942.00495185193</v>
      </c>
      <c r="C322">
        <f t="shared" si="51"/>
        <v>-29675.480075323951</v>
      </c>
      <c r="D322">
        <f t="shared" si="52"/>
        <v>787.19356313348089</v>
      </c>
      <c r="E322">
        <f t="shared" si="53"/>
        <v>-2678.7078986546817</v>
      </c>
      <c r="F322">
        <f>$C$23*(H322/(J322^2+$C$24^2)^1.5)+$C$32*(K322/(M322^2+$C$33^2)^1.5)+C$41*(N322/(P322^2+$C$42^2)^1.5)</f>
        <v>10853.721264225398</v>
      </c>
      <c r="G322">
        <f>$C$23*(I322/(J322^2+$C$24^2)^1.5)+$C$32*(L322/(M322^2+$C$33^2)^1.5)+C$41*(O322/(P322^2+$C$42^2)^1.5)</f>
        <v>4899.9214780835273</v>
      </c>
      <c r="H322" s="3">
        <f t="shared" si="54"/>
        <v>39942.00495185193</v>
      </c>
      <c r="I322" s="3">
        <f t="shared" si="55"/>
        <v>44675.480075323954</v>
      </c>
      <c r="J322" s="3">
        <f t="shared" si="56"/>
        <v>59927.141426355651</v>
      </c>
      <c r="K322" s="3">
        <f t="shared" si="57"/>
        <v>-57.995048148070055</v>
      </c>
      <c r="L322" s="3">
        <f t="shared" si="58"/>
        <v>49675.480075323954</v>
      </c>
      <c r="M322" s="3">
        <f t="shared" si="59"/>
        <v>49675.51392929435</v>
      </c>
      <c r="N322" s="3">
        <f t="shared" si="60"/>
        <v>14942.00495185193</v>
      </c>
      <c r="O322" s="3">
        <f t="shared" si="61"/>
        <v>-324.51992467604941</v>
      </c>
      <c r="P322" s="3">
        <f t="shared" si="62"/>
        <v>14945.528600978934</v>
      </c>
    </row>
    <row r="323" spans="1:16" x14ac:dyDescent="0.25">
      <c r="A323">
        <f t="shared" si="49"/>
        <v>123.5</v>
      </c>
      <c r="B323">
        <f t="shared" si="50"/>
        <v>-16834.97785422884</v>
      </c>
      <c r="C323">
        <f t="shared" si="51"/>
        <v>-29789.85365513041</v>
      </c>
      <c r="D323">
        <f t="shared" si="52"/>
        <v>6214.0541952461799</v>
      </c>
      <c r="E323">
        <f t="shared" si="53"/>
        <v>-228.74715961291804</v>
      </c>
      <c r="F323">
        <f>$C$23*(H323/(J323^2+$C$24^2)^1.5)+$C$32*(K323/(M323^2+$C$33^2)^1.5)+C$41*(N323/(P323^2+$C$42^2)^1.5)</f>
        <v>13105.461858070656</v>
      </c>
      <c r="G323">
        <f>$C$23*(I323/(J323^2+$C$24^2)^1.5)+$C$32*(L323/(M323^2+$C$33^2)^1.5)+C$41*(O323/(P323^2+$C$42^2)^1.5)</f>
        <v>4860.5929460665948</v>
      </c>
      <c r="H323" s="3">
        <f t="shared" si="54"/>
        <v>36834.97785422884</v>
      </c>
      <c r="I323" s="3">
        <f t="shared" si="55"/>
        <v>44789.853655130413</v>
      </c>
      <c r="J323" s="3">
        <f t="shared" si="56"/>
        <v>57990.918116283763</v>
      </c>
      <c r="K323" s="3">
        <f t="shared" si="57"/>
        <v>-3165.0221457711596</v>
      </c>
      <c r="L323" s="3">
        <f t="shared" si="58"/>
        <v>49789.853655130413</v>
      </c>
      <c r="M323" s="3">
        <f t="shared" si="59"/>
        <v>49890.348687722413</v>
      </c>
      <c r="N323" s="3">
        <f t="shared" si="60"/>
        <v>11834.97785422884</v>
      </c>
      <c r="O323" s="3">
        <f t="shared" si="61"/>
        <v>-210.14634486959039</v>
      </c>
      <c r="P323" s="3">
        <f t="shared" si="62"/>
        <v>11836.843426198944</v>
      </c>
    </row>
    <row r="324" spans="1:16" x14ac:dyDescent="0.25">
      <c r="A324">
        <f t="shared" si="49"/>
        <v>124</v>
      </c>
      <c r="B324">
        <f t="shared" si="50"/>
        <v>-10451.585292088086</v>
      </c>
      <c r="C324">
        <f t="shared" si="51"/>
        <v>-28689.07899842022</v>
      </c>
      <c r="D324">
        <f t="shared" si="52"/>
        <v>12766.785124281509</v>
      </c>
      <c r="E324">
        <f t="shared" si="53"/>
        <v>2201.5493134203793</v>
      </c>
      <c r="F324">
        <f>$C$23*(H324/(J324^2+$C$24^2)^1.5)+$C$32*(K324/(M324^2+$C$33^2)^1.5)+C$41*(N324/(P324^2+$C$42^2)^1.5)</f>
        <v>14288.97179474193</v>
      </c>
      <c r="G324">
        <f>$C$23*(I324/(J324^2+$C$24^2)^1.5)+$C$32*(L324/(M324^2+$C$33^2)^1.5)+C$41*(O324/(P324^2+$C$42^2)^1.5)</f>
        <v>1447.8871394565249</v>
      </c>
      <c r="H324" s="3">
        <f t="shared" si="54"/>
        <v>30451.585292088086</v>
      </c>
      <c r="I324" s="3">
        <f t="shared" si="55"/>
        <v>43689.07899842022</v>
      </c>
      <c r="J324" s="3">
        <f t="shared" si="56"/>
        <v>53254.433341568081</v>
      </c>
      <c r="K324" s="3">
        <f t="shared" si="57"/>
        <v>-9548.4147079119139</v>
      </c>
      <c r="L324" s="3">
        <f t="shared" si="58"/>
        <v>48689.07899842022</v>
      </c>
      <c r="M324" s="3">
        <f t="shared" si="59"/>
        <v>49616.515769939688</v>
      </c>
      <c r="N324" s="3">
        <f t="shared" si="60"/>
        <v>5451.5852920880861</v>
      </c>
      <c r="O324" s="3">
        <f t="shared" si="61"/>
        <v>-1310.9210015797798</v>
      </c>
      <c r="P324" s="3">
        <f t="shared" si="62"/>
        <v>5606.9863625029511</v>
      </c>
    </row>
    <row r="325" spans="1:16" x14ac:dyDescent="0.25">
      <c r="A325">
        <f t="shared" si="49"/>
        <v>124.5</v>
      </c>
      <c r="B325">
        <f t="shared" si="50"/>
        <v>-495.94978126184924</v>
      </c>
      <c r="C325">
        <f t="shared" si="51"/>
        <v>-27226.3325568459</v>
      </c>
      <c r="D325">
        <f t="shared" si="52"/>
        <v>19911.271021652472</v>
      </c>
      <c r="E325">
        <f t="shared" si="53"/>
        <v>2925.4928831486418</v>
      </c>
      <c r="F325">
        <f>$C$23*(H325/(J325^2+$C$24^2)^1.5)+$C$32*(K325/(M325^2+$C$33^2)^1.5)+C$41*(N325/(P325^2+$C$42^2)^1.5)</f>
        <v>-14754.988277360037</v>
      </c>
      <c r="G325">
        <f>$C$23*(I325/(J325^2+$C$24^2)^1.5)+$C$32*(L325/(M325^2+$C$33^2)^1.5)+C$41*(O325/(P325^2+$C$42^2)^1.5)</f>
        <v>-3393.2486609552325</v>
      </c>
      <c r="H325" s="3">
        <f t="shared" si="54"/>
        <v>20495.94978126185</v>
      </c>
      <c r="I325" s="3">
        <f t="shared" si="55"/>
        <v>42226.332556845897</v>
      </c>
      <c r="J325" s="3">
        <f t="shared" si="56"/>
        <v>46937.694006388418</v>
      </c>
      <c r="K325" s="3">
        <f t="shared" si="57"/>
        <v>-19504.05021873815</v>
      </c>
      <c r="L325" s="3">
        <f t="shared" si="58"/>
        <v>47226.332556845897</v>
      </c>
      <c r="M325" s="3">
        <f t="shared" si="59"/>
        <v>51095.346771549186</v>
      </c>
      <c r="N325" s="3">
        <f t="shared" si="60"/>
        <v>-4504.0502187381508</v>
      </c>
      <c r="O325" s="3">
        <f t="shared" si="61"/>
        <v>-2773.6674431540996</v>
      </c>
      <c r="P325" s="3">
        <f t="shared" si="62"/>
        <v>5289.5840534136696</v>
      </c>
    </row>
    <row r="326" spans="1:16" x14ac:dyDescent="0.25">
      <c r="A326">
        <f t="shared" si="49"/>
        <v>125</v>
      </c>
      <c r="B326">
        <f t="shared" si="50"/>
        <v>5770.9386602243767</v>
      </c>
      <c r="C326">
        <f t="shared" si="51"/>
        <v>-26611.898280510388</v>
      </c>
      <c r="D326">
        <f t="shared" si="52"/>
        <v>12533.776882972454</v>
      </c>
      <c r="E326">
        <f t="shared" si="53"/>
        <v>1228.8685526710256</v>
      </c>
      <c r="F326">
        <f>$C$23*(H326/(J326^2+$C$24^2)^1.5)+$C$32*(K326/(M326^2+$C$33^2)^1.5)+C$41*(N326/(P326^2+$C$42^2)^1.5)</f>
        <v>-15213.481546088573</v>
      </c>
      <c r="G326">
        <f>$C$23*(I326/(J326^2+$C$24^2)^1.5)+$C$32*(L326/(M326^2+$C$33^2)^1.5)+C$41*(O326/(P326^2+$C$42^2)^1.5)</f>
        <v>4.6261753412609323</v>
      </c>
      <c r="H326" s="3">
        <f t="shared" si="54"/>
        <v>14229.061339775624</v>
      </c>
      <c r="I326" s="3">
        <f t="shared" si="55"/>
        <v>41611.898280510388</v>
      </c>
      <c r="J326" s="3">
        <f t="shared" si="56"/>
        <v>43977.451780641415</v>
      </c>
      <c r="K326" s="3">
        <f t="shared" si="57"/>
        <v>-25770.938660224376</v>
      </c>
      <c r="L326" s="3">
        <f t="shared" si="58"/>
        <v>46611.898280510388</v>
      </c>
      <c r="M326" s="3">
        <f t="shared" si="59"/>
        <v>53261.715525710344</v>
      </c>
      <c r="N326" s="3">
        <f t="shared" si="60"/>
        <v>-10770.938660224376</v>
      </c>
      <c r="O326" s="3">
        <f t="shared" si="61"/>
        <v>-3388.1017194896122</v>
      </c>
      <c r="P326" s="3">
        <f t="shared" si="62"/>
        <v>11291.251165567284</v>
      </c>
    </row>
    <row r="327" spans="1:16" x14ac:dyDescent="0.25">
      <c r="A327">
        <f t="shared" si="49"/>
        <v>125.5</v>
      </c>
      <c r="B327">
        <f t="shared" si="50"/>
        <v>8234.4567151884603</v>
      </c>
      <c r="C327">
        <f t="shared" si="51"/>
        <v>-25996.307460339562</v>
      </c>
      <c r="D327">
        <f t="shared" si="52"/>
        <v>4927.0361099281672</v>
      </c>
      <c r="E327">
        <f t="shared" si="53"/>
        <v>1231.181640341656</v>
      </c>
      <c r="F327">
        <f>$C$23*(H327/(J327^2+$C$24^2)^1.5)+$C$32*(K327/(M327^2+$C$33^2)^1.5)+C$41*(N327/(P327^2+$C$42^2)^1.5)</f>
        <v>-13350.197144677455</v>
      </c>
      <c r="G327">
        <f>$C$23*(I327/(J327^2+$C$24^2)^1.5)+$C$32*(L327/(M327^2+$C$33^2)^1.5)+C$41*(O327/(P327^2+$C$42^2)^1.5)</f>
        <v>595.26228930804609</v>
      </c>
      <c r="H327" s="3">
        <f t="shared" si="54"/>
        <v>11765.54328481154</v>
      </c>
      <c r="I327" s="3">
        <f t="shared" si="55"/>
        <v>40996.307460339565</v>
      </c>
      <c r="J327" s="3">
        <f t="shared" si="56"/>
        <v>42651.20436950717</v>
      </c>
      <c r="K327" s="3">
        <f t="shared" si="57"/>
        <v>-28234.456715188462</v>
      </c>
      <c r="L327" s="3">
        <f t="shared" si="58"/>
        <v>45996.307460339565</v>
      </c>
      <c r="M327" s="3">
        <f t="shared" si="59"/>
        <v>53970.777704123735</v>
      </c>
      <c r="N327" s="3">
        <f t="shared" si="60"/>
        <v>-13234.45671518846</v>
      </c>
      <c r="O327" s="3">
        <f t="shared" si="61"/>
        <v>-4003.6925396604383</v>
      </c>
      <c r="P327" s="3">
        <f t="shared" si="62"/>
        <v>13826.800009341625</v>
      </c>
    </row>
    <row r="328" spans="1:16" x14ac:dyDescent="0.25">
      <c r="A328">
        <f t="shared" si="49"/>
        <v>126</v>
      </c>
      <c r="B328">
        <f t="shared" si="50"/>
        <v>7360.425483983181</v>
      </c>
      <c r="C328">
        <f t="shared" si="51"/>
        <v>-25231.901067841725</v>
      </c>
      <c r="D328">
        <f t="shared" si="52"/>
        <v>-1748.0624624105603</v>
      </c>
      <c r="E328">
        <f t="shared" si="53"/>
        <v>1528.8127849956791</v>
      </c>
      <c r="F328">
        <f>$C$23*(H328/(J328^2+$C$24^2)^1.5)+$C$32*(K328/(M328^2+$C$33^2)^1.5)+C$41*(N328/(P328^2+$C$42^2)^1.5)</f>
        <v>-13566.289951324106</v>
      </c>
      <c r="G328">
        <f>$C$23*(I328/(J328^2+$C$24^2)^1.5)+$C$32*(L328/(M328^2+$C$33^2)^1.5)+C$41*(O328/(P328^2+$C$42^2)^1.5)</f>
        <v>-238.35860939500162</v>
      </c>
      <c r="H328" s="3">
        <f t="shared" si="54"/>
        <v>12639.574516016819</v>
      </c>
      <c r="I328" s="3">
        <f t="shared" si="55"/>
        <v>40231.901067841725</v>
      </c>
      <c r="J328" s="3">
        <f t="shared" si="56"/>
        <v>42170.66169125813</v>
      </c>
      <c r="K328" s="3">
        <f t="shared" si="57"/>
        <v>-27360.425483983181</v>
      </c>
      <c r="L328" s="3">
        <f t="shared" si="58"/>
        <v>45231.901067841725</v>
      </c>
      <c r="M328" s="3">
        <f t="shared" si="59"/>
        <v>52863.198511588547</v>
      </c>
      <c r="N328" s="3">
        <f t="shared" si="60"/>
        <v>-12360.425483983181</v>
      </c>
      <c r="O328" s="3">
        <f t="shared" si="61"/>
        <v>-4768.0989321582747</v>
      </c>
      <c r="P328" s="3">
        <f t="shared" si="62"/>
        <v>13248.203107287785</v>
      </c>
    </row>
    <row r="329" spans="1:16" x14ac:dyDescent="0.25">
      <c r="A329">
        <f t="shared" si="49"/>
        <v>126.5</v>
      </c>
      <c r="B329">
        <f t="shared" si="50"/>
        <v>3094.8217649468743</v>
      </c>
      <c r="C329">
        <f t="shared" si="51"/>
        <v>-24527.084327692635</v>
      </c>
      <c r="D329">
        <f t="shared" si="52"/>
        <v>-8531.2074380726135</v>
      </c>
      <c r="E329">
        <f t="shared" si="53"/>
        <v>1409.6334802981783</v>
      </c>
      <c r="F329">
        <f>$C$23*(H329/(J329^2+$C$24^2)^1.5)+$C$32*(K329/(M329^2+$C$33^2)^1.5)+C$41*(N329/(P329^2+$C$42^2)^1.5)</f>
        <v>-14572.350082473069</v>
      </c>
      <c r="G329">
        <f>$C$23*(I329/(J329^2+$C$24^2)^1.5)+$C$32*(L329/(M329^2+$C$33^2)^1.5)+C$41*(O329/(P329^2+$C$42^2)^1.5)</f>
        <v>-3746.2215431066934</v>
      </c>
      <c r="H329" s="3">
        <f t="shared" si="54"/>
        <v>16905.178235053125</v>
      </c>
      <c r="I329" s="3">
        <f t="shared" si="55"/>
        <v>39527.084327692632</v>
      </c>
      <c r="J329" s="3">
        <f t="shared" si="56"/>
        <v>42990.411100702891</v>
      </c>
      <c r="K329" s="3">
        <f t="shared" si="57"/>
        <v>-23094.821764946875</v>
      </c>
      <c r="L329" s="3">
        <f t="shared" si="58"/>
        <v>44527.084327692632</v>
      </c>
      <c r="M329" s="3">
        <f t="shared" si="59"/>
        <v>50160.064105622063</v>
      </c>
      <c r="N329" s="3">
        <f t="shared" si="60"/>
        <v>-8094.8217649468743</v>
      </c>
      <c r="O329" s="3">
        <f t="shared" si="61"/>
        <v>-5472.9156723073647</v>
      </c>
      <c r="P329" s="3">
        <f t="shared" si="62"/>
        <v>9771.3328344932142</v>
      </c>
    </row>
    <row r="330" spans="1:16" x14ac:dyDescent="0.25">
      <c r="A330">
        <f t="shared" si="49"/>
        <v>127</v>
      </c>
      <c r="B330">
        <f t="shared" si="50"/>
        <v>-4813.8694747076997</v>
      </c>
      <c r="C330">
        <f t="shared" si="51"/>
        <v>-24758.822973320217</v>
      </c>
      <c r="D330">
        <f t="shared" si="52"/>
        <v>-15817.382479309148</v>
      </c>
      <c r="E330">
        <f t="shared" si="53"/>
        <v>-463.47729125516844</v>
      </c>
      <c r="F330">
        <f>$C$23*(H330/(J330^2+$C$24^2)^1.5)+$C$32*(K330/(M330^2+$C$33^2)^1.5)+C$41*(N330/(P330^2+$C$42^2)^1.5)</f>
        <v>-2178.1129301499568</v>
      </c>
      <c r="G330">
        <f>$C$23*(I330/(J330^2+$C$24^2)^1.5)+$C$32*(L330/(M330^2+$C$33^2)^1.5)+C$41*(O330/(P330^2+$C$42^2)^1.5)</f>
        <v>-9860.408595344652</v>
      </c>
      <c r="H330" s="3">
        <f t="shared" si="54"/>
        <v>24813.869474707699</v>
      </c>
      <c r="I330" s="3">
        <f t="shared" si="55"/>
        <v>39758.822973320217</v>
      </c>
      <c r="J330" s="3">
        <f t="shared" si="56"/>
        <v>46866.748580754414</v>
      </c>
      <c r="K330" s="3">
        <f t="shared" si="57"/>
        <v>-15186.130525292301</v>
      </c>
      <c r="L330" s="3">
        <f t="shared" si="58"/>
        <v>44758.822973320217</v>
      </c>
      <c r="M330" s="3">
        <f t="shared" si="59"/>
        <v>47264.900235674169</v>
      </c>
      <c r="N330" s="3">
        <f t="shared" si="60"/>
        <v>-186.13052529230026</v>
      </c>
      <c r="O330" s="3">
        <f t="shared" si="61"/>
        <v>-5241.177026679783</v>
      </c>
      <c r="P330" s="3">
        <f t="shared" si="62"/>
        <v>5244.4810226981963</v>
      </c>
    </row>
    <row r="331" spans="1:16" x14ac:dyDescent="0.25">
      <c r="A331">
        <f t="shared" si="49"/>
        <v>127.5</v>
      </c>
      <c r="B331">
        <f t="shared" si="50"/>
        <v>-13267.088946899763</v>
      </c>
      <c r="C331">
        <f t="shared" si="51"/>
        <v>-27455.663767783964</v>
      </c>
      <c r="D331">
        <f t="shared" si="52"/>
        <v>-16906.438944384128</v>
      </c>
      <c r="E331">
        <f t="shared" si="53"/>
        <v>-5393.6815889274949</v>
      </c>
      <c r="F331">
        <f>$C$23*(H331/(J331^2+$C$24^2)^1.5)+$C$32*(K331/(M331^2+$C$33^2)^1.5)+C$41*(N331/(P331^2+$C$42^2)^1.5)</f>
        <v>14339.905857936928</v>
      </c>
      <c r="G331">
        <f>$C$23*(I331/(J331^2+$C$24^2)^1.5)+$C$32*(L331/(M331^2+$C$33^2)^1.5)+C$41*(O331/(P331^2+$C$42^2)^1.5)</f>
        <v>824.86109780359766</v>
      </c>
      <c r="H331" s="3">
        <f t="shared" si="54"/>
        <v>33267.088946899763</v>
      </c>
      <c r="I331" s="3">
        <f t="shared" si="55"/>
        <v>42455.663767783961</v>
      </c>
      <c r="J331" s="3">
        <f t="shared" si="56"/>
        <v>53936.838922614515</v>
      </c>
      <c r="K331" s="3">
        <f t="shared" si="57"/>
        <v>-6732.911053100237</v>
      </c>
      <c r="L331" s="3">
        <f t="shared" si="58"/>
        <v>47455.663767783961</v>
      </c>
      <c r="M331" s="3">
        <f t="shared" si="59"/>
        <v>47930.909806615637</v>
      </c>
      <c r="N331" s="3">
        <f t="shared" si="60"/>
        <v>8267.088946899763</v>
      </c>
      <c r="O331" s="3">
        <f t="shared" si="61"/>
        <v>-2544.3362322160356</v>
      </c>
      <c r="P331" s="3">
        <f t="shared" si="62"/>
        <v>8649.7633793370042</v>
      </c>
    </row>
    <row r="332" spans="1:16" x14ac:dyDescent="0.25">
      <c r="A332">
        <f t="shared" si="49"/>
        <v>128</v>
      </c>
      <c r="B332">
        <f t="shared" si="50"/>
        <v>-18135.331954607595</v>
      </c>
      <c r="C332">
        <f t="shared" si="51"/>
        <v>-29946.289287796812</v>
      </c>
      <c r="D332">
        <f t="shared" si="52"/>
        <v>-9736.4860154156631</v>
      </c>
      <c r="E332">
        <f t="shared" si="53"/>
        <v>-4981.2510400256961</v>
      </c>
      <c r="F332">
        <f>$C$23*(H332/(J332^2+$C$24^2)^1.5)+$C$32*(K332/(M332^2+$C$33^2)^1.5)+C$41*(N332/(P332^2+$C$42^2)^1.5)</f>
        <v>12139.768709640706</v>
      </c>
      <c r="G332">
        <f>$C$23*(I332/(J332^2+$C$24^2)^1.5)+$C$32*(L332/(M332^2+$C$33^2)^1.5)+C$41*(O332/(P332^2+$C$42^2)^1.5)</f>
        <v>5032.6672245843602</v>
      </c>
      <c r="H332" s="3">
        <f t="shared" si="54"/>
        <v>38135.331954607595</v>
      </c>
      <c r="I332" s="3">
        <f t="shared" si="55"/>
        <v>44946.289287796812</v>
      </c>
      <c r="J332" s="3">
        <f t="shared" si="56"/>
        <v>58944.655941233839</v>
      </c>
      <c r="K332" s="3">
        <f t="shared" si="57"/>
        <v>-1864.6680453924055</v>
      </c>
      <c r="L332" s="3">
        <f t="shared" si="58"/>
        <v>49946.289287796812</v>
      </c>
      <c r="M332" s="3">
        <f t="shared" si="59"/>
        <v>49981.084427409078</v>
      </c>
      <c r="N332" s="3">
        <f t="shared" si="60"/>
        <v>13135.331954607595</v>
      </c>
      <c r="O332" s="3">
        <f t="shared" si="61"/>
        <v>-53.71071220318845</v>
      </c>
      <c r="P332" s="3">
        <f t="shared" si="62"/>
        <v>13135.441766394488</v>
      </c>
    </row>
    <row r="333" spans="1:16" x14ac:dyDescent="0.25">
      <c r="A333">
        <f t="shared" si="49"/>
        <v>128.5</v>
      </c>
      <c r="B333">
        <f t="shared" si="50"/>
        <v>-19968.63278490525</v>
      </c>
      <c r="C333">
        <f t="shared" si="51"/>
        <v>-31178.748001663567</v>
      </c>
      <c r="D333">
        <f t="shared" si="52"/>
        <v>-3666.60166059531</v>
      </c>
      <c r="E333">
        <f t="shared" si="53"/>
        <v>-2464.917427733516</v>
      </c>
      <c r="F333">
        <f>$C$23*(H333/(J333^2+$C$24^2)^1.5)+$C$32*(K333/(M333^2+$C$33^2)^1.5)+C$41*(N333/(P333^2+$C$42^2)^1.5)</f>
        <v>10767.394616682537</v>
      </c>
      <c r="G333">
        <f>$C$23*(I333/(J333^2+$C$24^2)^1.5)+$C$32*(L333/(M333^2+$C$33^2)^1.5)+C$41*(O333/(P333^2+$C$42^2)^1.5)</f>
        <v>5715.8243077450225</v>
      </c>
      <c r="H333" s="3">
        <f t="shared" si="54"/>
        <v>39968.632784905247</v>
      </c>
      <c r="I333" s="3">
        <f t="shared" si="55"/>
        <v>46178.748001663567</v>
      </c>
      <c r="J333" s="3">
        <f t="shared" si="56"/>
        <v>61073.467018794254</v>
      </c>
      <c r="K333" s="3">
        <f t="shared" si="57"/>
        <v>-31.367215094749554</v>
      </c>
      <c r="L333" s="3">
        <f t="shared" si="58"/>
        <v>51178.748001663567</v>
      </c>
      <c r="M333" s="3">
        <f t="shared" si="59"/>
        <v>51178.757614072318</v>
      </c>
      <c r="N333" s="3">
        <f t="shared" si="60"/>
        <v>14968.63278490525</v>
      </c>
      <c r="O333" s="3">
        <f t="shared" si="61"/>
        <v>1178.7480016635673</v>
      </c>
      <c r="P333" s="3">
        <f t="shared" si="62"/>
        <v>15014.973003664249</v>
      </c>
    </row>
    <row r="334" spans="1:16" x14ac:dyDescent="0.25">
      <c r="A334">
        <f t="shared" ref="A334:A397" si="63">A333+$C$5</f>
        <v>129</v>
      </c>
      <c r="B334">
        <f t="shared" ref="B334:B397" si="64">B333+D333*(A334-A333)+F333*(A334-A333)^2</f>
        <v>-19110.084961032273</v>
      </c>
      <c r="C334">
        <f t="shared" ref="C334:C397" si="65">C333+E333*(A334-A333)+G333*(A334-A333)^2</f>
        <v>-30982.250638594072</v>
      </c>
      <c r="D334">
        <f t="shared" ref="D334:D397" si="66">D333+F333*(A334-A333)</f>
        <v>1717.0956477459586</v>
      </c>
      <c r="E334">
        <f t="shared" ref="E334:E397" si="67">E333+G333*(A334-A333)</f>
        <v>392.99472613899525</v>
      </c>
      <c r="F334">
        <f>$C$23*(H334/(J334^2+$C$24^2)^1.5)+$C$32*(K334/(M334^2+$C$33^2)^1.5)+C$41*(N334/(P334^2+$C$42^2)^1.5)</f>
        <v>11379.589234575529</v>
      </c>
      <c r="G334">
        <f>$C$23*(I334/(J334^2+$C$24^2)^1.5)+$C$32*(L334/(M334^2+$C$33^2)^1.5)+C$41*(O334/(P334^2+$C$42^2)^1.5)</f>
        <v>5700.110244921806</v>
      </c>
      <c r="H334" s="3">
        <f t="shared" ref="H334:H397" si="68">$C$19-B334</f>
        <v>39110.084961032277</v>
      </c>
      <c r="I334" s="3">
        <f t="shared" ref="I334:I397" si="69">$D$19-C334</f>
        <v>45982.250638594072</v>
      </c>
      <c r="J334" s="3">
        <f t="shared" ref="J334:J397" si="70">SQRT(H334^2+I334^2)</f>
        <v>60365.27246231601</v>
      </c>
      <c r="K334" s="3">
        <f t="shared" ref="K334:K397" si="71">$C$28-B334</f>
        <v>-889.91503896772701</v>
      </c>
      <c r="L334" s="3">
        <f t="shared" ref="L334:L397" si="72">$D$28-C334</f>
        <v>50982.250638594072</v>
      </c>
      <c r="M334" s="3">
        <f t="shared" ref="M334:M397" si="73">SQRT(K334^2+L334^2)</f>
        <v>50990.016953841136</v>
      </c>
      <c r="N334" s="3">
        <f t="shared" ref="N334:N397" si="74">$C$37-B334</f>
        <v>14110.084961032273</v>
      </c>
      <c r="O334" s="3">
        <f t="shared" ref="O334:O397" si="75">$D$37-C334</f>
        <v>982.25063859407237</v>
      </c>
      <c r="P334" s="3">
        <f t="shared" ref="P334:P397" si="76">SQRT(N334^2+O334^2)</f>
        <v>14144.232532186665</v>
      </c>
    </row>
    <row r="335" spans="1:16" x14ac:dyDescent="0.25">
      <c r="A335">
        <f t="shared" si="63"/>
        <v>129.5</v>
      </c>
      <c r="B335">
        <f t="shared" si="64"/>
        <v>-15406.63982851541</v>
      </c>
      <c r="C335">
        <f t="shared" si="65"/>
        <v>-29360.725714294123</v>
      </c>
      <c r="D335">
        <f t="shared" si="66"/>
        <v>7406.8902650337232</v>
      </c>
      <c r="E335">
        <f t="shared" si="67"/>
        <v>3243.0498485998983</v>
      </c>
      <c r="F335">
        <f>$C$23*(H335/(J335^2+$C$24^2)^1.5)+$C$32*(K335/(M335^2+$C$33^2)^1.5)+C$41*(N335/(P335^2+$C$42^2)^1.5)</f>
        <v>14090.379836254768</v>
      </c>
      <c r="G335">
        <f>$C$23*(I335/(J335^2+$C$24^2)^1.5)+$C$32*(L335/(M335^2+$C$33^2)^1.5)+C$41*(O335/(P335^2+$C$42^2)^1.5)</f>
        <v>4259.8890372992582</v>
      </c>
      <c r="H335" s="3">
        <f t="shared" si="68"/>
        <v>35406.639828515414</v>
      </c>
      <c r="I335" s="3">
        <f t="shared" si="69"/>
        <v>44360.725714294123</v>
      </c>
      <c r="J335" s="3">
        <f t="shared" si="70"/>
        <v>56758.295691863845</v>
      </c>
      <c r="K335" s="3">
        <f t="shared" si="71"/>
        <v>-4593.36017148459</v>
      </c>
      <c r="L335" s="3">
        <f t="shared" si="72"/>
        <v>49360.725714294123</v>
      </c>
      <c r="M335" s="3">
        <f t="shared" si="73"/>
        <v>49573.987137477234</v>
      </c>
      <c r="N335" s="3">
        <f t="shared" si="74"/>
        <v>10406.63982851541</v>
      </c>
      <c r="O335" s="3">
        <f t="shared" si="75"/>
        <v>-639.27428570587654</v>
      </c>
      <c r="P335" s="3">
        <f t="shared" si="76"/>
        <v>10426.25647741355</v>
      </c>
    </row>
    <row r="336" spans="1:16" x14ac:dyDescent="0.25">
      <c r="A336">
        <f t="shared" si="63"/>
        <v>130</v>
      </c>
      <c r="B336">
        <f t="shared" si="64"/>
        <v>-8180.599736934857</v>
      </c>
      <c r="C336">
        <f t="shared" si="65"/>
        <v>-26674.228530669359</v>
      </c>
      <c r="D336">
        <f t="shared" si="66"/>
        <v>14452.080183161106</v>
      </c>
      <c r="E336">
        <f t="shared" si="67"/>
        <v>5372.9943672495274</v>
      </c>
      <c r="F336">
        <f>$C$23*(H336/(J336^2+$C$24^2)^1.5)+$C$32*(K336/(M336^2+$C$33^2)^1.5)+C$41*(N336/(P336^2+$C$42^2)^1.5)</f>
        <v>8799.0963337430112</v>
      </c>
      <c r="G336">
        <f>$C$23*(I336/(J336^2+$C$24^2)^1.5)+$C$32*(L336/(M336^2+$C$33^2)^1.5)+C$41*(O336/(P336^2+$C$42^2)^1.5)</f>
        <v>-5129.8868521039249</v>
      </c>
      <c r="H336" s="3">
        <f t="shared" si="68"/>
        <v>28180.599736934855</v>
      </c>
      <c r="I336" s="3">
        <f t="shared" si="69"/>
        <v>41674.228530669359</v>
      </c>
      <c r="J336" s="3">
        <f t="shared" si="70"/>
        <v>50307.927060849855</v>
      </c>
      <c r="K336" s="3">
        <f t="shared" si="71"/>
        <v>-11819.400263065143</v>
      </c>
      <c r="L336" s="3">
        <f t="shared" si="72"/>
        <v>46674.228530669359</v>
      </c>
      <c r="M336" s="3">
        <f t="shared" si="73"/>
        <v>48147.500781574257</v>
      </c>
      <c r="N336" s="3">
        <f t="shared" si="74"/>
        <v>3180.599736934857</v>
      </c>
      <c r="O336" s="3">
        <f t="shared" si="75"/>
        <v>-3325.7714693306407</v>
      </c>
      <c r="P336" s="3">
        <f t="shared" si="76"/>
        <v>4601.8442556005484</v>
      </c>
    </row>
    <row r="337" spans="1:16" x14ac:dyDescent="0.25">
      <c r="A337">
        <f t="shared" si="63"/>
        <v>130.5</v>
      </c>
      <c r="B337">
        <f t="shared" si="64"/>
        <v>1245.2144380814489</v>
      </c>
      <c r="C337">
        <f t="shared" si="65"/>
        <v>-25270.203060070577</v>
      </c>
      <c r="D337">
        <f t="shared" si="66"/>
        <v>18851.62835003261</v>
      </c>
      <c r="E337">
        <f t="shared" si="67"/>
        <v>2808.050941197565</v>
      </c>
      <c r="F337">
        <f>$C$23*(H337/(J337^2+$C$24^2)^1.5)+$C$32*(K337/(M337^2+$C$33^2)^1.5)+C$41*(N337/(P337^2+$C$42^2)^1.5)</f>
        <v>-14761.688163199227</v>
      </c>
      <c r="G337">
        <f>$C$23*(I337/(J337^2+$C$24^2)^1.5)+$C$32*(L337/(M337^2+$C$33^2)^1.5)+C$41*(O337/(P337^2+$C$42^2)^1.5)</f>
        <v>-4931.3028891172307</v>
      </c>
      <c r="H337" s="3">
        <f t="shared" si="68"/>
        <v>18754.78556191855</v>
      </c>
      <c r="I337" s="3">
        <f t="shared" si="69"/>
        <v>40270.203060070577</v>
      </c>
      <c r="J337" s="3">
        <f t="shared" si="70"/>
        <v>44423.318606030167</v>
      </c>
      <c r="K337" s="3">
        <f t="shared" si="71"/>
        <v>-21245.21443808145</v>
      </c>
      <c r="L337" s="3">
        <f t="shared" si="72"/>
        <v>45270.203060070577</v>
      </c>
      <c r="M337" s="3">
        <f t="shared" si="73"/>
        <v>50007.503653152773</v>
      </c>
      <c r="N337" s="3">
        <f t="shared" si="74"/>
        <v>-6245.2144380814489</v>
      </c>
      <c r="O337" s="3">
        <f t="shared" si="75"/>
        <v>-4729.7969399294234</v>
      </c>
      <c r="P337" s="3">
        <f t="shared" si="76"/>
        <v>7834.1357194387901</v>
      </c>
    </row>
    <row r="338" spans="1:16" x14ac:dyDescent="0.25">
      <c r="A338">
        <f t="shared" si="63"/>
        <v>131</v>
      </c>
      <c r="B338">
        <f t="shared" si="64"/>
        <v>6980.6065722979474</v>
      </c>
      <c r="C338">
        <f t="shared" si="65"/>
        <v>-25099.003311751101</v>
      </c>
      <c r="D338">
        <f t="shared" si="66"/>
        <v>11470.784268432995</v>
      </c>
      <c r="E338">
        <f t="shared" si="67"/>
        <v>342.39949663894959</v>
      </c>
      <c r="F338">
        <f>$C$23*(H338/(J338^2+$C$24^2)^1.5)+$C$32*(K338/(M338^2+$C$33^2)^1.5)+C$41*(N338/(P338^2+$C$42^2)^1.5)</f>
        <v>-13714.506570011039</v>
      </c>
      <c r="G338">
        <f>$C$23*(I338/(J338^2+$C$24^2)^1.5)+$C$32*(L338/(M338^2+$C$33^2)^1.5)+C$41*(O338/(P338^2+$C$42^2)^1.5)</f>
        <v>-510.75668105288696</v>
      </c>
      <c r="H338" s="3">
        <f t="shared" si="68"/>
        <v>13019.393427702053</v>
      </c>
      <c r="I338" s="3">
        <f t="shared" si="69"/>
        <v>40099.003311751105</v>
      </c>
      <c r="J338" s="3">
        <f t="shared" si="70"/>
        <v>42159.633203114063</v>
      </c>
      <c r="K338" s="3">
        <f t="shared" si="71"/>
        <v>-26980.606572297947</v>
      </c>
      <c r="L338" s="3">
        <f t="shared" si="72"/>
        <v>45099.003311751105</v>
      </c>
      <c r="M338" s="3">
        <f t="shared" si="73"/>
        <v>52553.52729096749</v>
      </c>
      <c r="N338" s="3">
        <f t="shared" si="74"/>
        <v>-11980.606572297947</v>
      </c>
      <c r="O338" s="3">
        <f t="shared" si="75"/>
        <v>-4900.9966882488989</v>
      </c>
      <c r="P338" s="3">
        <f t="shared" si="76"/>
        <v>12944.292270279417</v>
      </c>
    </row>
    <row r="339" spans="1:16" x14ac:dyDescent="0.25">
      <c r="A339">
        <f t="shared" si="63"/>
        <v>131.5</v>
      </c>
      <c r="B339">
        <f t="shared" si="64"/>
        <v>9287.3720640116844</v>
      </c>
      <c r="C339">
        <f t="shared" si="65"/>
        <v>-25055.492733694846</v>
      </c>
      <c r="D339">
        <f t="shared" si="66"/>
        <v>4613.5309834274758</v>
      </c>
      <c r="E339">
        <f t="shared" si="67"/>
        <v>87.021156112506105</v>
      </c>
      <c r="F339">
        <f>$C$23*(H339/(J339^2+$C$24^2)^1.5)+$C$32*(K339/(M339^2+$C$33^2)^1.5)+C$41*(N339/(P339^2+$C$42^2)^1.5)</f>
        <v>-12355.234545142706</v>
      </c>
      <c r="G339">
        <f>$C$23*(I339/(J339^2+$C$24^2)^1.5)+$C$32*(L339/(M339^2+$C$33^2)^1.5)+C$41*(O339/(P339^2+$C$42^2)^1.5)</f>
        <v>478.21204532655838</v>
      </c>
      <c r="H339" s="3">
        <f t="shared" si="68"/>
        <v>10712.627935988316</v>
      </c>
      <c r="I339" s="3">
        <f t="shared" si="69"/>
        <v>40055.492733694846</v>
      </c>
      <c r="J339" s="3">
        <f t="shared" si="70"/>
        <v>41463.27164411894</v>
      </c>
      <c r="K339" s="3">
        <f t="shared" si="71"/>
        <v>-29287.372064011684</v>
      </c>
      <c r="L339" s="3">
        <f t="shared" si="72"/>
        <v>45055.492733694846</v>
      </c>
      <c r="M339" s="3">
        <f t="shared" si="73"/>
        <v>53737.766867370672</v>
      </c>
      <c r="N339" s="3">
        <f t="shared" si="74"/>
        <v>-14287.372064011684</v>
      </c>
      <c r="O339" s="3">
        <f t="shared" si="75"/>
        <v>-4944.5072663051542</v>
      </c>
      <c r="P339" s="3">
        <f t="shared" si="76"/>
        <v>15118.768223702815</v>
      </c>
    </row>
    <row r="340" spans="1:16" x14ac:dyDescent="0.25">
      <c r="A340">
        <f t="shared" si="63"/>
        <v>132</v>
      </c>
      <c r="B340">
        <f t="shared" si="64"/>
        <v>8505.3289194397439</v>
      </c>
      <c r="C340">
        <f t="shared" si="65"/>
        <v>-24892.429144306956</v>
      </c>
      <c r="D340">
        <f t="shared" si="66"/>
        <v>-1564.0862891438774</v>
      </c>
      <c r="E340">
        <f t="shared" si="67"/>
        <v>326.1271787757853</v>
      </c>
      <c r="F340">
        <f>$C$23*(H340/(J340^2+$C$24^2)^1.5)+$C$32*(K340/(M340^2+$C$33^2)^1.5)+C$41*(N340/(P340^2+$C$42^2)^1.5)</f>
        <v>-12747.929598749755</v>
      </c>
      <c r="G340">
        <f>$C$23*(I340/(J340^2+$C$24^2)^1.5)+$C$32*(L340/(M340^2+$C$33^2)^1.5)+C$41*(O340/(P340^2+$C$42^2)^1.5)</f>
        <v>99.369833744251537</v>
      </c>
      <c r="H340" s="3">
        <f t="shared" si="68"/>
        <v>11494.671080560256</v>
      </c>
      <c r="I340" s="3">
        <f t="shared" si="69"/>
        <v>39892.429144306952</v>
      </c>
      <c r="J340" s="3">
        <f t="shared" si="70"/>
        <v>41515.459364962095</v>
      </c>
      <c r="K340" s="3">
        <f t="shared" si="71"/>
        <v>-28505.328919439744</v>
      </c>
      <c r="L340" s="3">
        <f t="shared" si="72"/>
        <v>44892.429144306952</v>
      </c>
      <c r="M340" s="3">
        <f t="shared" si="73"/>
        <v>53177.852262780114</v>
      </c>
      <c r="N340" s="3">
        <f t="shared" si="74"/>
        <v>-13505.328919439744</v>
      </c>
      <c r="O340" s="3">
        <f t="shared" si="75"/>
        <v>-5107.570855693044</v>
      </c>
      <c r="P340" s="3">
        <f t="shared" si="76"/>
        <v>14438.877701129697</v>
      </c>
    </row>
    <row r="341" spans="1:16" x14ac:dyDescent="0.25">
      <c r="A341">
        <f t="shared" si="63"/>
        <v>132.5</v>
      </c>
      <c r="B341">
        <f t="shared" si="64"/>
        <v>4536.3033751803669</v>
      </c>
      <c r="C341">
        <f t="shared" si="65"/>
        <v>-24704.523096483001</v>
      </c>
      <c r="D341">
        <f t="shared" si="66"/>
        <v>-7938.051088518755</v>
      </c>
      <c r="E341">
        <f t="shared" si="67"/>
        <v>375.81209564791106</v>
      </c>
      <c r="F341">
        <f>$C$23*(H341/(J341^2+$C$24^2)^1.5)+$C$32*(K341/(M341^2+$C$33^2)^1.5)+C$41*(N341/(P341^2+$C$42^2)^1.5)</f>
        <v>-14533.852712731141</v>
      </c>
      <c r="G341">
        <f>$C$23*(I341/(J341^2+$C$24^2)^1.5)+$C$32*(L341/(M341^2+$C$33^2)^1.5)+C$41*(O341/(P341^2+$C$42^2)^1.5)</f>
        <v>-2373.8932670165614</v>
      </c>
      <c r="H341" s="3">
        <f t="shared" si="68"/>
        <v>15463.696624819633</v>
      </c>
      <c r="I341" s="3">
        <f t="shared" si="69"/>
        <v>39704.523096482997</v>
      </c>
      <c r="J341" s="3">
        <f t="shared" si="70"/>
        <v>42609.565447486202</v>
      </c>
      <c r="K341" s="3">
        <f t="shared" si="71"/>
        <v>-24536.303375180367</v>
      </c>
      <c r="L341" s="3">
        <f t="shared" si="72"/>
        <v>44704.523096482997</v>
      </c>
      <c r="M341" s="3">
        <f t="shared" si="73"/>
        <v>50995.338694853956</v>
      </c>
      <c r="N341" s="3">
        <f t="shared" si="74"/>
        <v>-9536.3033751803669</v>
      </c>
      <c r="O341" s="3">
        <f t="shared" si="75"/>
        <v>-5295.4769035169993</v>
      </c>
      <c r="P341" s="3">
        <f t="shared" si="76"/>
        <v>10907.940121725936</v>
      </c>
    </row>
    <row r="342" spans="1:16" x14ac:dyDescent="0.25">
      <c r="A342">
        <f t="shared" si="63"/>
        <v>133</v>
      </c>
      <c r="B342">
        <f t="shared" si="64"/>
        <v>-3066.1853472617959</v>
      </c>
      <c r="C342">
        <f t="shared" si="65"/>
        <v>-25110.090365413187</v>
      </c>
      <c r="D342">
        <f t="shared" si="66"/>
        <v>-15204.977444884325</v>
      </c>
      <c r="E342">
        <f t="shared" si="67"/>
        <v>-811.13453786036962</v>
      </c>
      <c r="F342">
        <f>$C$23*(H342/(J342^2+$C$24^2)^1.5)+$C$32*(K342/(M342^2+$C$33^2)^1.5)+C$41*(N342/(P342^2+$C$42^2)^1.5)</f>
        <v>-7359.4686853546154</v>
      </c>
      <c r="G342">
        <f>$C$23*(I342/(J342^2+$C$24^2)^1.5)+$C$32*(L342/(M342^2+$C$33^2)^1.5)+C$41*(O342/(P342^2+$C$42^2)^1.5)</f>
        <v>-9031.5673544889505</v>
      </c>
      <c r="H342" s="3">
        <f t="shared" si="68"/>
        <v>23066.185347261795</v>
      </c>
      <c r="I342" s="3">
        <f t="shared" si="69"/>
        <v>40110.090365413183</v>
      </c>
      <c r="J342" s="3">
        <f t="shared" si="70"/>
        <v>46269.517563897796</v>
      </c>
      <c r="K342" s="3">
        <f t="shared" si="71"/>
        <v>-16933.814652738205</v>
      </c>
      <c r="L342" s="3">
        <f t="shared" si="72"/>
        <v>45110.090365413183</v>
      </c>
      <c r="M342" s="3">
        <f t="shared" si="73"/>
        <v>48183.755887944579</v>
      </c>
      <c r="N342" s="3">
        <f t="shared" si="74"/>
        <v>-1933.8146527382041</v>
      </c>
      <c r="O342" s="3">
        <f t="shared" si="75"/>
        <v>-4889.9096345868129</v>
      </c>
      <c r="P342" s="3">
        <f t="shared" si="76"/>
        <v>5258.4080619109354</v>
      </c>
    </row>
    <row r="343" spans="1:16" x14ac:dyDescent="0.25">
      <c r="A343">
        <f t="shared" si="63"/>
        <v>133.5</v>
      </c>
      <c r="B343">
        <f t="shared" si="64"/>
        <v>-12508.541241042612</v>
      </c>
      <c r="C343">
        <f t="shared" si="65"/>
        <v>-27773.549472965613</v>
      </c>
      <c r="D343">
        <f t="shared" si="66"/>
        <v>-18884.711787561631</v>
      </c>
      <c r="E343">
        <f t="shared" si="67"/>
        <v>-5326.9182151048444</v>
      </c>
      <c r="F343">
        <f>$C$23*(H343/(J343^2+$C$24^2)^1.5)+$C$32*(K343/(M343^2+$C$33^2)^1.5)+C$41*(N343/(P343^2+$C$42^2)^1.5)</f>
        <v>14640.287698673445</v>
      </c>
      <c r="G343">
        <f>$C$23*(I343/(J343^2+$C$24^2)^1.5)+$C$32*(L343/(M343^2+$C$33^2)^1.5)+C$41*(O343/(P343^2+$C$42^2)^1.5)</f>
        <v>795.31352681276167</v>
      </c>
      <c r="H343" s="3">
        <f t="shared" si="68"/>
        <v>32508.541241042614</v>
      </c>
      <c r="I343" s="3">
        <f t="shared" si="69"/>
        <v>42773.549472965613</v>
      </c>
      <c r="J343" s="3">
        <f t="shared" si="70"/>
        <v>53725.057358152771</v>
      </c>
      <c r="K343" s="3">
        <f t="shared" si="71"/>
        <v>-7491.4587589573875</v>
      </c>
      <c r="L343" s="3">
        <f t="shared" si="72"/>
        <v>47773.549472965613</v>
      </c>
      <c r="M343" s="3">
        <f t="shared" si="73"/>
        <v>48357.357078143265</v>
      </c>
      <c r="N343" s="3">
        <f t="shared" si="74"/>
        <v>7508.5412410426125</v>
      </c>
      <c r="O343" s="3">
        <f t="shared" si="75"/>
        <v>-2226.4505270343871</v>
      </c>
      <c r="P343" s="3">
        <f t="shared" si="76"/>
        <v>7831.6839516013051</v>
      </c>
    </row>
    <row r="344" spans="1:16" x14ac:dyDescent="0.25">
      <c r="A344">
        <f t="shared" si="63"/>
        <v>134</v>
      </c>
      <c r="B344">
        <f t="shared" si="64"/>
        <v>-18290.825210155064</v>
      </c>
      <c r="C344">
        <f t="shared" si="65"/>
        <v>-30238.180198814844</v>
      </c>
      <c r="D344">
        <f t="shared" si="66"/>
        <v>-11564.567938224909</v>
      </c>
      <c r="E344">
        <f t="shared" si="67"/>
        <v>-4929.2614516984631</v>
      </c>
      <c r="F344">
        <f>$C$23*(H344/(J344^2+$C$24^2)^1.5)+$C$32*(K344/(M344^2+$C$33^2)^1.5)+C$41*(N344/(P344^2+$C$42^2)^1.5)</f>
        <v>12023.296981927369</v>
      </c>
      <c r="G344">
        <f>$C$23*(I344/(J344^2+$C$24^2)^1.5)+$C$32*(L344/(M344^2+$C$33^2)^1.5)+C$41*(O344/(P344^2+$C$42^2)^1.5)</f>
        <v>5249.4055813929699</v>
      </c>
      <c r="H344" s="3">
        <f t="shared" si="68"/>
        <v>38290.825210155061</v>
      </c>
      <c r="I344" s="3">
        <f t="shared" si="69"/>
        <v>45238.180198814844</v>
      </c>
      <c r="J344" s="3">
        <f t="shared" si="70"/>
        <v>59267.868554344772</v>
      </c>
      <c r="K344" s="3">
        <f t="shared" si="71"/>
        <v>-1709.1747898449357</v>
      </c>
      <c r="L344" s="3">
        <f t="shared" si="72"/>
        <v>50238.180198814844</v>
      </c>
      <c r="M344" s="3">
        <f t="shared" si="73"/>
        <v>50267.246076852403</v>
      </c>
      <c r="N344" s="3">
        <f t="shared" si="74"/>
        <v>13290.825210155064</v>
      </c>
      <c r="O344" s="3">
        <f t="shared" si="75"/>
        <v>238.18019881484361</v>
      </c>
      <c r="P344" s="3">
        <f t="shared" si="76"/>
        <v>13292.959210574631</v>
      </c>
    </row>
    <row r="345" spans="1:16" x14ac:dyDescent="0.25">
      <c r="A345">
        <f t="shared" si="63"/>
        <v>134.5</v>
      </c>
      <c r="B345">
        <f t="shared" si="64"/>
        <v>-21067.284933785675</v>
      </c>
      <c r="C345">
        <f t="shared" si="65"/>
        <v>-31390.459529315831</v>
      </c>
      <c r="D345">
        <f t="shared" si="66"/>
        <v>-5552.9194472612244</v>
      </c>
      <c r="E345">
        <f t="shared" si="67"/>
        <v>-2304.5586610019782</v>
      </c>
      <c r="F345">
        <f>$C$23*(H345/(J345^2+$C$24^2)^1.5)+$C$32*(K345/(M345^2+$C$33^2)^1.5)+C$41*(N345/(P345^2+$C$42^2)^1.5)</f>
        <v>10037.285478173952</v>
      </c>
      <c r="G345">
        <f>$C$23*(I345/(J345^2+$C$24^2)^1.5)+$C$32*(L345/(M345^2+$C$33^2)^1.5)+C$41*(O345/(P345^2+$C$42^2)^1.5)</f>
        <v>5685.8600491939596</v>
      </c>
      <c r="H345" s="3">
        <f t="shared" si="68"/>
        <v>41067.284933785675</v>
      </c>
      <c r="I345" s="3">
        <f t="shared" si="69"/>
        <v>46390.459529315835</v>
      </c>
      <c r="J345" s="3">
        <f t="shared" si="70"/>
        <v>61956.409088760382</v>
      </c>
      <c r="K345" s="3">
        <f t="shared" si="71"/>
        <v>1067.2849337856751</v>
      </c>
      <c r="L345" s="3">
        <f t="shared" si="72"/>
        <v>51390.459529315835</v>
      </c>
      <c r="M345" s="3">
        <f t="shared" si="73"/>
        <v>51401.541103007155</v>
      </c>
      <c r="N345" s="3">
        <f t="shared" si="74"/>
        <v>16067.284933785675</v>
      </c>
      <c r="O345" s="3">
        <f t="shared" si="75"/>
        <v>1390.4595293158309</v>
      </c>
      <c r="P345" s="3">
        <f t="shared" si="76"/>
        <v>16127.337748249751</v>
      </c>
    </row>
    <row r="346" spans="1:16" x14ac:dyDescent="0.25">
      <c r="A346">
        <f t="shared" si="63"/>
        <v>135</v>
      </c>
      <c r="B346">
        <f t="shared" si="64"/>
        <v>-21334.4232878728</v>
      </c>
      <c r="C346">
        <f t="shared" si="65"/>
        <v>-31121.273847518329</v>
      </c>
      <c r="D346">
        <f t="shared" si="66"/>
        <v>-534.2767081742486</v>
      </c>
      <c r="E346">
        <f t="shared" si="67"/>
        <v>538.37136359500164</v>
      </c>
      <c r="F346">
        <f>$C$23*(H346/(J346^2+$C$24^2)^1.5)+$C$32*(K346/(M346^2+$C$33^2)^1.5)+C$41*(N346/(P346^2+$C$42^2)^1.5)</f>
        <v>9904.2292081267751</v>
      </c>
      <c r="G346">
        <f>$C$23*(I346/(J346^2+$C$24^2)^1.5)+$C$32*(L346/(M346^2+$C$33^2)^1.5)+C$41*(O346/(P346^2+$C$42^2)^1.5)</f>
        <v>5540.5231777498984</v>
      </c>
      <c r="H346" s="3">
        <f t="shared" si="68"/>
        <v>41334.4232878728</v>
      </c>
      <c r="I346" s="3">
        <f t="shared" si="69"/>
        <v>46121.273847518329</v>
      </c>
      <c r="J346" s="3">
        <f t="shared" si="70"/>
        <v>61933.080416356002</v>
      </c>
      <c r="K346" s="3">
        <f t="shared" si="71"/>
        <v>1334.4232878727998</v>
      </c>
      <c r="L346" s="3">
        <f t="shared" si="72"/>
        <v>51121.273847518329</v>
      </c>
      <c r="M346" s="3">
        <f t="shared" si="73"/>
        <v>51138.687168367731</v>
      </c>
      <c r="N346" s="3">
        <f t="shared" si="74"/>
        <v>16334.4232878728</v>
      </c>
      <c r="O346" s="3">
        <f t="shared" si="75"/>
        <v>1121.2738475183287</v>
      </c>
      <c r="P346" s="3">
        <f t="shared" si="76"/>
        <v>16372.86288919961</v>
      </c>
    </row>
    <row r="347" spans="1:16" x14ac:dyDescent="0.25">
      <c r="A347">
        <f t="shared" si="63"/>
        <v>135.5</v>
      </c>
      <c r="B347">
        <f t="shared" si="64"/>
        <v>-19125.504339928229</v>
      </c>
      <c r="C347">
        <f t="shared" si="65"/>
        <v>-29466.957371283352</v>
      </c>
      <c r="D347">
        <f t="shared" si="66"/>
        <v>4417.837895889139</v>
      </c>
      <c r="E347">
        <f t="shared" si="67"/>
        <v>3308.6329524699509</v>
      </c>
      <c r="F347">
        <f>$C$23*(H347/(J347^2+$C$24^2)^1.5)+$C$32*(K347/(M347^2+$C$33^2)^1.5)+C$41*(N347/(P347^2+$C$42^2)^1.5)</f>
        <v>11405.711105566139</v>
      </c>
      <c r="G347">
        <f>$C$23*(I347/(J347^2+$C$24^2)^1.5)+$C$32*(L347/(M347^2+$C$33^2)^1.5)+C$41*(O347/(P347^2+$C$42^2)^1.5)</f>
        <v>4741.8219224996101</v>
      </c>
      <c r="H347" s="3">
        <f t="shared" si="68"/>
        <v>39125.504339928229</v>
      </c>
      <c r="I347" s="3">
        <f t="shared" si="69"/>
        <v>44466.957371283352</v>
      </c>
      <c r="J347" s="3">
        <f t="shared" si="70"/>
        <v>59229.345663389468</v>
      </c>
      <c r="K347" s="3">
        <f t="shared" si="71"/>
        <v>-874.49566007177054</v>
      </c>
      <c r="L347" s="3">
        <f t="shared" si="72"/>
        <v>49466.957371283352</v>
      </c>
      <c r="M347" s="3">
        <f t="shared" si="73"/>
        <v>49474.68660064305</v>
      </c>
      <c r="N347" s="3">
        <f t="shared" si="74"/>
        <v>14125.504339928229</v>
      </c>
      <c r="O347" s="3">
        <f t="shared" si="75"/>
        <v>-533.04262871664832</v>
      </c>
      <c r="P347" s="3">
        <f t="shared" si="76"/>
        <v>14135.558259275096</v>
      </c>
    </row>
    <row r="348" spans="1:16" x14ac:dyDescent="0.25">
      <c r="A348">
        <f t="shared" si="63"/>
        <v>136</v>
      </c>
      <c r="B348">
        <f t="shared" si="64"/>
        <v>-14065.157615592125</v>
      </c>
      <c r="C348">
        <f t="shared" si="65"/>
        <v>-26627.185414423471</v>
      </c>
      <c r="D348">
        <f t="shared" si="66"/>
        <v>10120.693448672209</v>
      </c>
      <c r="E348">
        <f t="shared" si="67"/>
        <v>5679.5439137197554</v>
      </c>
      <c r="F348">
        <f>$C$23*(H348/(J348^2+$C$24^2)^1.5)+$C$32*(K348/(M348^2+$C$33^2)^1.5)+C$41*(N348/(P348^2+$C$42^2)^1.5)</f>
        <v>13516.043559464324</v>
      </c>
      <c r="G348">
        <f>$C$23*(I348/(J348^2+$C$24^2)^1.5)+$C$32*(L348/(M348^2+$C$33^2)^1.5)+C$41*(O348/(P348^2+$C$42^2)^1.5)</f>
        <v>379.89308274336872</v>
      </c>
      <c r="H348" s="3">
        <f t="shared" si="68"/>
        <v>34065.157615592121</v>
      </c>
      <c r="I348" s="3">
        <f t="shared" si="69"/>
        <v>41627.185414423468</v>
      </c>
      <c r="J348" s="3">
        <f t="shared" si="70"/>
        <v>53789.00936903304</v>
      </c>
      <c r="K348" s="3">
        <f t="shared" si="71"/>
        <v>-5934.8423844078752</v>
      </c>
      <c r="L348" s="3">
        <f t="shared" si="72"/>
        <v>46627.185414423468</v>
      </c>
      <c r="M348" s="3">
        <f t="shared" si="73"/>
        <v>47003.36981322497</v>
      </c>
      <c r="N348" s="3">
        <f t="shared" si="74"/>
        <v>9065.1576155921248</v>
      </c>
      <c r="O348" s="3">
        <f t="shared" si="75"/>
        <v>-3372.8145855765288</v>
      </c>
      <c r="P348" s="3">
        <f t="shared" si="76"/>
        <v>9672.2779542466451</v>
      </c>
    </row>
    <row r="349" spans="1:16" x14ac:dyDescent="0.25">
      <c r="A349">
        <f t="shared" si="63"/>
        <v>136.5</v>
      </c>
      <c r="B349">
        <f t="shared" si="64"/>
        <v>-5625.8000013899391</v>
      </c>
      <c r="C349">
        <f t="shared" si="65"/>
        <v>-23692.440186877753</v>
      </c>
      <c r="D349">
        <f t="shared" si="66"/>
        <v>16878.71522840437</v>
      </c>
      <c r="E349">
        <f t="shared" si="67"/>
        <v>5869.4904550914398</v>
      </c>
      <c r="F349">
        <f>$C$23*(H349/(J349^2+$C$24^2)^1.5)+$C$32*(K349/(M349^2+$C$33^2)^1.5)+C$41*(N349/(P349^2+$C$42^2)^1.5)</f>
        <v>-83.099092171627944</v>
      </c>
      <c r="G349">
        <f>$C$23*(I349/(J349^2+$C$24^2)^1.5)+$C$32*(L349/(M349^2+$C$33^2)^1.5)+C$41*(O349/(P349^2+$C$42^2)^1.5)</f>
        <v>-10265.879454581867</v>
      </c>
      <c r="H349" s="3">
        <f t="shared" si="68"/>
        <v>25625.80000138994</v>
      </c>
      <c r="I349" s="3">
        <f t="shared" si="69"/>
        <v>38692.44018687775</v>
      </c>
      <c r="J349" s="3">
        <f t="shared" si="70"/>
        <v>46408.905969935862</v>
      </c>
      <c r="K349" s="3">
        <f t="shared" si="71"/>
        <v>-14374.19999861006</v>
      </c>
      <c r="L349" s="3">
        <f t="shared" si="72"/>
        <v>43692.44018687775</v>
      </c>
      <c r="M349" s="3">
        <f t="shared" si="73"/>
        <v>45996.162395181746</v>
      </c>
      <c r="N349" s="3">
        <f t="shared" si="74"/>
        <v>625.8000013899391</v>
      </c>
      <c r="O349" s="3">
        <f t="shared" si="75"/>
        <v>-6307.5598131222469</v>
      </c>
      <c r="P349" s="3">
        <f t="shared" si="76"/>
        <v>6338.5279393447809</v>
      </c>
    </row>
    <row r="350" spans="1:16" x14ac:dyDescent="0.25">
      <c r="A350">
        <f t="shared" si="63"/>
        <v>137</v>
      </c>
      <c r="B350">
        <f t="shared" si="64"/>
        <v>2792.7828397693388</v>
      </c>
      <c r="C350">
        <f t="shared" si="65"/>
        <v>-23324.164822977498</v>
      </c>
      <c r="D350">
        <f t="shared" si="66"/>
        <v>16837.165682318555</v>
      </c>
      <c r="E350">
        <f t="shared" si="67"/>
        <v>736.55072780050614</v>
      </c>
      <c r="F350">
        <f>$C$23*(H350/(J350^2+$C$24^2)^1.5)+$C$32*(K350/(M350^2+$C$33^2)^1.5)+C$41*(N350/(P350^2+$C$42^2)^1.5)</f>
        <v>-13378.973895908397</v>
      </c>
      <c r="G350">
        <f>$C$23*(I350/(J350^2+$C$24^2)^1.5)+$C$32*(L350/(M350^2+$C$33^2)^1.5)+C$41*(O350/(P350^2+$C$42^2)^1.5)</f>
        <v>-4678.4823348961399</v>
      </c>
      <c r="H350" s="3">
        <f t="shared" si="68"/>
        <v>17207.217160230663</v>
      </c>
      <c r="I350" s="3">
        <f t="shared" si="69"/>
        <v>38324.164822977502</v>
      </c>
      <c r="J350" s="3">
        <f t="shared" si="70"/>
        <v>42009.878978379391</v>
      </c>
      <c r="K350" s="3">
        <f t="shared" si="71"/>
        <v>-22792.782839769337</v>
      </c>
      <c r="L350" s="3">
        <f t="shared" si="72"/>
        <v>43324.164822977502</v>
      </c>
      <c r="M350" s="3">
        <f t="shared" si="73"/>
        <v>48954.000931378476</v>
      </c>
      <c r="N350" s="3">
        <f t="shared" si="74"/>
        <v>-7792.7828397693393</v>
      </c>
      <c r="O350" s="3">
        <f t="shared" si="75"/>
        <v>-6675.8351770225017</v>
      </c>
      <c r="P350" s="3">
        <f t="shared" si="76"/>
        <v>10261.298148800401</v>
      </c>
    </row>
    <row r="351" spans="1:16" x14ac:dyDescent="0.25">
      <c r="A351">
        <f t="shared" si="63"/>
        <v>137.5</v>
      </c>
      <c r="B351">
        <f t="shared" si="64"/>
        <v>7866.622206951517</v>
      </c>
      <c r="C351">
        <f t="shared" si="65"/>
        <v>-24125.510042801281</v>
      </c>
      <c r="D351">
        <f t="shared" si="66"/>
        <v>10147.678734364355</v>
      </c>
      <c r="E351">
        <f t="shared" si="67"/>
        <v>-1602.6904396475638</v>
      </c>
      <c r="F351">
        <f>$C$23*(H351/(J351^2+$C$24^2)^1.5)+$C$32*(K351/(M351^2+$C$33^2)^1.5)+C$41*(N351/(P351^2+$C$42^2)^1.5)</f>
        <v>-12739.209212281708</v>
      </c>
      <c r="G351">
        <f>$C$23*(I351/(J351^2+$C$24^2)^1.5)+$C$32*(L351/(M351^2+$C$33^2)^1.5)+C$41*(O351/(P351^2+$C$42^2)^1.5)</f>
        <v>-546.65138070809826</v>
      </c>
      <c r="H351" s="3">
        <f t="shared" si="68"/>
        <v>12133.377793048483</v>
      </c>
      <c r="I351" s="3">
        <f t="shared" si="69"/>
        <v>39125.510042801281</v>
      </c>
      <c r="J351" s="3">
        <f t="shared" si="70"/>
        <v>40963.696034149383</v>
      </c>
      <c r="K351" s="3">
        <f t="shared" si="71"/>
        <v>-27866.622206951517</v>
      </c>
      <c r="L351" s="3">
        <f t="shared" si="72"/>
        <v>44125.510042801281</v>
      </c>
      <c r="M351" s="3">
        <f t="shared" si="73"/>
        <v>52188.210064748535</v>
      </c>
      <c r="N351" s="3">
        <f t="shared" si="74"/>
        <v>-12866.622206951517</v>
      </c>
      <c r="O351" s="3">
        <f t="shared" si="75"/>
        <v>-5874.4899571987189</v>
      </c>
      <c r="P351" s="3">
        <f t="shared" si="76"/>
        <v>14144.242619300849</v>
      </c>
    </row>
    <row r="352" spans="1:16" x14ac:dyDescent="0.25">
      <c r="A352">
        <f t="shared" si="63"/>
        <v>138</v>
      </c>
      <c r="B352">
        <f t="shared" si="64"/>
        <v>9755.6592710632685</v>
      </c>
      <c r="C352">
        <f t="shared" si="65"/>
        <v>-25063.518107802087</v>
      </c>
      <c r="D352">
        <f t="shared" si="66"/>
        <v>3778.0741282235012</v>
      </c>
      <c r="E352">
        <f t="shared" si="67"/>
        <v>-1876.016130001613</v>
      </c>
      <c r="F352">
        <f>$C$23*(H352/(J352^2+$C$24^2)^1.5)+$C$32*(K352/(M352^2+$C$33^2)^1.5)+C$41*(N352/(P352^2+$C$42^2)^1.5)</f>
        <v>-12083.610237260775</v>
      </c>
      <c r="G352">
        <f>$C$23*(I352/(J352^2+$C$24^2)^1.5)+$C$32*(L352/(M352^2+$C$33^2)^1.5)+C$41*(O352/(P352^2+$C$42^2)^1.5)</f>
        <v>641.0447385329212</v>
      </c>
      <c r="H352" s="3">
        <f t="shared" si="68"/>
        <v>10244.340728936731</v>
      </c>
      <c r="I352" s="3">
        <f t="shared" si="69"/>
        <v>40063.518107802083</v>
      </c>
      <c r="J352" s="3">
        <f t="shared" si="70"/>
        <v>41352.533176877296</v>
      </c>
      <c r="K352" s="3">
        <f t="shared" si="71"/>
        <v>-29755.659271063269</v>
      </c>
      <c r="L352" s="3">
        <f t="shared" si="72"/>
        <v>45063.518107802083</v>
      </c>
      <c r="M352" s="3">
        <f t="shared" si="73"/>
        <v>54001.110385878361</v>
      </c>
      <c r="N352" s="3">
        <f t="shared" si="74"/>
        <v>-14755.659271063269</v>
      </c>
      <c r="O352" s="3">
        <f t="shared" si="75"/>
        <v>-4936.4818921979131</v>
      </c>
      <c r="P352" s="3">
        <f t="shared" si="76"/>
        <v>15559.509439430063</v>
      </c>
    </row>
    <row r="353" spans="1:16" x14ac:dyDescent="0.25">
      <c r="A353">
        <f t="shared" si="63"/>
        <v>138.5</v>
      </c>
      <c r="B353">
        <f t="shared" si="64"/>
        <v>8623.7937758598273</v>
      </c>
      <c r="C353">
        <f t="shared" si="65"/>
        <v>-25841.264988169663</v>
      </c>
      <c r="D353">
        <f t="shared" si="66"/>
        <v>-2263.7309904068861</v>
      </c>
      <c r="E353">
        <f t="shared" si="67"/>
        <v>-1555.4937607351524</v>
      </c>
      <c r="F353">
        <f>$C$23*(H353/(J353^2+$C$24^2)^1.5)+$C$32*(K353/(M353^2+$C$33^2)^1.5)+C$41*(N353/(P353^2+$C$42^2)^1.5)</f>
        <v>-13042.06181290759</v>
      </c>
      <c r="G353">
        <f>$C$23*(I353/(J353^2+$C$24^2)^1.5)+$C$32*(L353/(M353^2+$C$33^2)^1.5)+C$41*(O353/(P353^2+$C$42^2)^1.5)</f>
        <v>643.56128067987538</v>
      </c>
      <c r="H353" s="3">
        <f t="shared" si="68"/>
        <v>11376.206224140173</v>
      </c>
      <c r="I353" s="3">
        <f t="shared" si="69"/>
        <v>40841.264988169663</v>
      </c>
      <c r="J353" s="3">
        <f t="shared" si="70"/>
        <v>42396.072859264437</v>
      </c>
      <c r="K353" s="3">
        <f t="shared" si="71"/>
        <v>-28623.793775859827</v>
      </c>
      <c r="L353" s="3">
        <f t="shared" si="72"/>
        <v>45841.264988169663</v>
      </c>
      <c r="M353" s="3">
        <f t="shared" si="73"/>
        <v>54043.900172346381</v>
      </c>
      <c r="N353" s="3">
        <f t="shared" si="74"/>
        <v>-13623.793775859827</v>
      </c>
      <c r="O353" s="3">
        <f t="shared" si="75"/>
        <v>-4158.7350118303366</v>
      </c>
      <c r="P353" s="3">
        <f t="shared" si="76"/>
        <v>14244.396573592734</v>
      </c>
    </row>
    <row r="354" spans="1:16" x14ac:dyDescent="0.25">
      <c r="A354">
        <f t="shared" si="63"/>
        <v>139</v>
      </c>
      <c r="B354">
        <f t="shared" si="64"/>
        <v>4231.4128274294872</v>
      </c>
      <c r="C354">
        <f t="shared" si="65"/>
        <v>-26458.121548367271</v>
      </c>
      <c r="D354">
        <f t="shared" si="66"/>
        <v>-8784.7618968606803</v>
      </c>
      <c r="E354">
        <f t="shared" si="67"/>
        <v>-1233.7131203952147</v>
      </c>
      <c r="F354">
        <f>$C$23*(H354/(J354^2+$C$24^2)^1.5)+$C$32*(K354/(M354^2+$C$33^2)^1.5)+C$41*(N354/(P354^2+$C$42^2)^1.5)</f>
        <v>-15926.941190513446</v>
      </c>
      <c r="G354">
        <f>$C$23*(I354/(J354^2+$C$24^2)^1.5)+$C$32*(L354/(M354^2+$C$33^2)^1.5)+C$41*(O354/(P354^2+$C$42^2)^1.5)</f>
        <v>-1033.7913389231417</v>
      </c>
      <c r="H354" s="3">
        <f t="shared" si="68"/>
        <v>15768.587172570513</v>
      </c>
      <c r="I354" s="3">
        <f t="shared" si="69"/>
        <v>41458.121548367271</v>
      </c>
      <c r="J354" s="3">
        <f t="shared" si="70"/>
        <v>44355.655600364538</v>
      </c>
      <c r="K354" s="3">
        <f t="shared" si="71"/>
        <v>-24231.412827429485</v>
      </c>
      <c r="L354" s="3">
        <f t="shared" si="72"/>
        <v>46458.121548367271</v>
      </c>
      <c r="M354" s="3">
        <f t="shared" si="73"/>
        <v>52397.694848305888</v>
      </c>
      <c r="N354" s="3">
        <f t="shared" si="74"/>
        <v>-9231.4128274294872</v>
      </c>
      <c r="O354" s="3">
        <f t="shared" si="75"/>
        <v>-3541.8784516327287</v>
      </c>
      <c r="P354" s="3">
        <f t="shared" si="76"/>
        <v>9887.5621745994558</v>
      </c>
    </row>
    <row r="355" spans="1:16" x14ac:dyDescent="0.25">
      <c r="A355">
        <f t="shared" si="63"/>
        <v>139.5</v>
      </c>
      <c r="B355">
        <f t="shared" si="64"/>
        <v>-4142.7034186292149</v>
      </c>
      <c r="C355">
        <f t="shared" si="65"/>
        <v>-27333.425943295664</v>
      </c>
      <c r="D355">
        <f t="shared" si="66"/>
        <v>-16748.232492117404</v>
      </c>
      <c r="E355">
        <f t="shared" si="67"/>
        <v>-1750.6087898567855</v>
      </c>
      <c r="F355">
        <f>$C$23*(H355/(J355^2+$C$24^2)^1.5)+$C$32*(K355/(M355^2+$C$33^2)^1.5)+C$41*(N355/(P355^2+$C$42^2)^1.5)</f>
        <v>-4681.8679323638717</v>
      </c>
      <c r="G355">
        <f>$C$23*(I355/(J355^2+$C$24^2)^1.5)+$C$32*(L355/(M355^2+$C$33^2)^1.5)+C$41*(O355/(P355^2+$C$42^2)^1.5)</f>
        <v>-5059.5949001687159</v>
      </c>
      <c r="H355" s="3">
        <f t="shared" si="68"/>
        <v>24142.703418629215</v>
      </c>
      <c r="I355" s="3">
        <f t="shared" si="69"/>
        <v>42333.425943295661</v>
      </c>
      <c r="J355" s="3">
        <f t="shared" si="70"/>
        <v>48733.859691762453</v>
      </c>
      <c r="K355" s="3">
        <f t="shared" si="71"/>
        <v>-15857.296581370785</v>
      </c>
      <c r="L355" s="3">
        <f t="shared" si="72"/>
        <v>47333.425943295661</v>
      </c>
      <c r="M355" s="3">
        <f t="shared" si="73"/>
        <v>49919.005062190576</v>
      </c>
      <c r="N355" s="3">
        <f t="shared" si="74"/>
        <v>-857.29658137078513</v>
      </c>
      <c r="O355" s="3">
        <f t="shared" si="75"/>
        <v>-2666.5740567043358</v>
      </c>
      <c r="P355" s="3">
        <f t="shared" si="76"/>
        <v>2800.9952924484992</v>
      </c>
    </row>
    <row r="356" spans="1:16" x14ac:dyDescent="0.25">
      <c r="A356">
        <f t="shared" si="63"/>
        <v>140</v>
      </c>
      <c r="B356">
        <f t="shared" si="64"/>
        <v>-13687.286647778885</v>
      </c>
      <c r="C356">
        <f t="shared" si="65"/>
        <v>-29473.629063266235</v>
      </c>
      <c r="D356">
        <f t="shared" si="66"/>
        <v>-19089.16645829934</v>
      </c>
      <c r="E356">
        <f t="shared" si="67"/>
        <v>-4280.4062399411432</v>
      </c>
      <c r="F356">
        <f>$C$23*(H356/(J356^2+$C$24^2)^1.5)+$C$32*(K356/(M356^2+$C$33^2)^1.5)+C$41*(N356/(P356^2+$C$42^2)^1.5)</f>
        <v>15087.320236043326</v>
      </c>
      <c r="G356">
        <f>$C$23*(I356/(J356^2+$C$24^2)^1.5)+$C$32*(L356/(M356^2+$C$33^2)^1.5)+C$41*(O356/(P356^2+$C$42^2)^1.5)</f>
        <v>4137.0335106182274</v>
      </c>
      <c r="H356" s="3">
        <f t="shared" si="68"/>
        <v>33687.286647778885</v>
      </c>
      <c r="I356" s="3">
        <f t="shared" si="69"/>
        <v>44473.629063266235</v>
      </c>
      <c r="J356" s="3">
        <f t="shared" si="70"/>
        <v>55791.907690512075</v>
      </c>
      <c r="K356" s="3">
        <f t="shared" si="71"/>
        <v>-6312.7133522211152</v>
      </c>
      <c r="L356" s="3">
        <f t="shared" si="72"/>
        <v>49473.629063266235</v>
      </c>
      <c r="M356" s="3">
        <f t="shared" si="73"/>
        <v>49874.746340778234</v>
      </c>
      <c r="N356" s="3">
        <f t="shared" si="74"/>
        <v>8687.2866477788848</v>
      </c>
      <c r="O356" s="3">
        <f t="shared" si="75"/>
        <v>-526.37093673376512</v>
      </c>
      <c r="P356" s="3">
        <f t="shared" si="76"/>
        <v>8703.2186956157366</v>
      </c>
    </row>
    <row r="357" spans="1:16" x14ac:dyDescent="0.25">
      <c r="A357">
        <f t="shared" si="63"/>
        <v>140.5</v>
      </c>
      <c r="B357">
        <f t="shared" si="64"/>
        <v>-19460.039817917725</v>
      </c>
      <c r="C357">
        <f t="shared" si="65"/>
        <v>-30579.573805582248</v>
      </c>
      <c r="D357">
        <f t="shared" si="66"/>
        <v>-11545.506340277676</v>
      </c>
      <c r="E357">
        <f t="shared" si="67"/>
        <v>-2211.8894846320295</v>
      </c>
      <c r="F357">
        <f>$C$23*(H357/(J357^2+$C$24^2)^1.5)+$C$32*(K357/(M357^2+$C$33^2)^1.5)+C$41*(N357/(P357^2+$C$42^2)^1.5)</f>
        <v>11169.353869625129</v>
      </c>
      <c r="G357">
        <f>$C$23*(I357/(J357^2+$C$24^2)^1.5)+$C$32*(L357/(M357^2+$C$33^2)^1.5)+C$41*(O357/(P357^2+$C$42^2)^1.5)</f>
        <v>5422.7225783884942</v>
      </c>
      <c r="H357" s="3">
        <f t="shared" si="68"/>
        <v>39460.039817917728</v>
      </c>
      <c r="I357" s="3">
        <f t="shared" si="69"/>
        <v>45579.573805582244</v>
      </c>
      <c r="J357" s="3">
        <f t="shared" si="70"/>
        <v>60287.579904406281</v>
      </c>
      <c r="K357" s="3">
        <f t="shared" si="71"/>
        <v>-539.96018208227542</v>
      </c>
      <c r="L357" s="3">
        <f t="shared" si="72"/>
        <v>50579.573805582244</v>
      </c>
      <c r="M357" s="3">
        <f t="shared" si="73"/>
        <v>50582.45588494667</v>
      </c>
      <c r="N357" s="3">
        <f t="shared" si="74"/>
        <v>14460.039817917725</v>
      </c>
      <c r="O357" s="3">
        <f t="shared" si="75"/>
        <v>579.57380558224759</v>
      </c>
      <c r="P357" s="3">
        <f t="shared" si="76"/>
        <v>14471.650124705307</v>
      </c>
    </row>
    <row r="358" spans="1:16" x14ac:dyDescent="0.25">
      <c r="A358">
        <f t="shared" si="63"/>
        <v>141</v>
      </c>
      <c r="B358">
        <f t="shared" si="64"/>
        <v>-22440.454520650281</v>
      </c>
      <c r="C358">
        <f t="shared" si="65"/>
        <v>-30329.837903301141</v>
      </c>
      <c r="D358">
        <f t="shared" si="66"/>
        <v>-5960.8294054651114</v>
      </c>
      <c r="E358">
        <f t="shared" si="67"/>
        <v>499.47180456221759</v>
      </c>
      <c r="F358">
        <f>$C$23*(H358/(J358^2+$C$24^2)^1.5)+$C$32*(K358/(M358^2+$C$33^2)^1.5)+C$41*(N358/(P358^2+$C$42^2)^1.5)</f>
        <v>9316.558938983304</v>
      </c>
      <c r="G358">
        <f>$C$23*(I358/(J358^2+$C$24^2)^1.5)+$C$32*(L358/(M358^2+$C$33^2)^1.5)+C$41*(O358/(P358^2+$C$42^2)^1.5)</f>
        <v>5164.4526462377371</v>
      </c>
      <c r="H358" s="3">
        <f t="shared" si="68"/>
        <v>42440.454520650281</v>
      </c>
      <c r="I358" s="3">
        <f t="shared" si="69"/>
        <v>45329.837903301144</v>
      </c>
      <c r="J358" s="3">
        <f t="shared" si="70"/>
        <v>62096.589151570493</v>
      </c>
      <c r="K358" s="3">
        <f t="shared" si="71"/>
        <v>2440.4545206502808</v>
      </c>
      <c r="L358" s="3">
        <f t="shared" si="72"/>
        <v>50329.837903301144</v>
      </c>
      <c r="M358" s="3">
        <f t="shared" si="73"/>
        <v>50388.971031763795</v>
      </c>
      <c r="N358" s="3">
        <f t="shared" si="74"/>
        <v>17440.454520650281</v>
      </c>
      <c r="O358" s="3">
        <f t="shared" si="75"/>
        <v>329.83790330114061</v>
      </c>
      <c r="P358" s="3">
        <f t="shared" si="76"/>
        <v>17443.573227103581</v>
      </c>
    </row>
    <row r="359" spans="1:16" x14ac:dyDescent="0.25">
      <c r="A359">
        <f t="shared" si="63"/>
        <v>141.5</v>
      </c>
      <c r="B359">
        <f t="shared" si="64"/>
        <v>-23091.729488637011</v>
      </c>
      <c r="C359">
        <f t="shared" si="65"/>
        <v>-28788.988839460595</v>
      </c>
      <c r="D359">
        <f t="shared" si="66"/>
        <v>-1302.5499359734595</v>
      </c>
      <c r="E359">
        <f t="shared" si="67"/>
        <v>3081.6981276810861</v>
      </c>
      <c r="F359">
        <f>$C$23*(H359/(J359^2+$C$24^2)^1.5)+$C$32*(K359/(M359^2+$C$33^2)^1.5)+C$41*(N359/(P359^2+$C$42^2)^1.5)</f>
        <v>8958.5601501641268</v>
      </c>
      <c r="G359">
        <f>$C$23*(I359/(J359^2+$C$24^2)^1.5)+$C$32*(L359/(M359^2+$C$33^2)^1.5)+C$41*(O359/(P359^2+$C$42^2)^1.5)</f>
        <v>4684.7387823477857</v>
      </c>
      <c r="H359" s="3">
        <f t="shared" si="68"/>
        <v>43091.729488637007</v>
      </c>
      <c r="I359" s="3">
        <f t="shared" si="69"/>
        <v>43788.988839460595</v>
      </c>
      <c r="J359" s="3">
        <f t="shared" si="70"/>
        <v>61435.923480519712</v>
      </c>
      <c r="K359" s="3">
        <f t="shared" si="71"/>
        <v>3091.7294886370109</v>
      </c>
      <c r="L359" s="3">
        <f t="shared" si="72"/>
        <v>48788.988839460595</v>
      </c>
      <c r="M359" s="3">
        <f t="shared" si="73"/>
        <v>48886.851230243068</v>
      </c>
      <c r="N359" s="3">
        <f t="shared" si="74"/>
        <v>18091.729488637011</v>
      </c>
      <c r="O359" s="3">
        <f t="shared" si="75"/>
        <v>-1211.011160539405</v>
      </c>
      <c r="P359" s="3">
        <f t="shared" si="76"/>
        <v>18132.215085889784</v>
      </c>
    </row>
    <row r="360" spans="1:16" x14ac:dyDescent="0.25">
      <c r="A360">
        <f t="shared" si="63"/>
        <v>142</v>
      </c>
      <c r="B360">
        <f t="shared" si="64"/>
        <v>-21503.364419082711</v>
      </c>
      <c r="C360">
        <f t="shared" si="65"/>
        <v>-26076.955080033105</v>
      </c>
      <c r="D360">
        <f t="shared" si="66"/>
        <v>3176.7301391086039</v>
      </c>
      <c r="E360">
        <f t="shared" si="67"/>
        <v>5424.0675188549794</v>
      </c>
      <c r="F360">
        <f>$C$23*(H360/(J360^2+$C$24^2)^1.5)+$C$32*(K360/(M360^2+$C$33^2)^1.5)+C$41*(N360/(P360^2+$C$42^2)^1.5)</f>
        <v>9348.2769359176109</v>
      </c>
      <c r="G360">
        <f>$C$23*(I360/(J360^2+$C$24^2)^1.5)+$C$32*(L360/(M360^2+$C$33^2)^1.5)+C$41*(O360/(P360^2+$C$42^2)^1.5)</f>
        <v>3671.3844216025855</v>
      </c>
      <c r="H360" s="3">
        <f t="shared" si="68"/>
        <v>41503.364419082711</v>
      </c>
      <c r="I360" s="3">
        <f t="shared" si="69"/>
        <v>41076.955080033105</v>
      </c>
      <c r="J360" s="3">
        <f t="shared" si="70"/>
        <v>58393.882357231894</v>
      </c>
      <c r="K360" s="3">
        <f t="shared" si="71"/>
        <v>1503.3644190827108</v>
      </c>
      <c r="L360" s="3">
        <f t="shared" si="72"/>
        <v>46076.955080033105</v>
      </c>
      <c r="M360" s="3">
        <f t="shared" si="73"/>
        <v>46101.473881254082</v>
      </c>
      <c r="N360" s="3">
        <f t="shared" si="74"/>
        <v>16503.364419082711</v>
      </c>
      <c r="O360" s="3">
        <f t="shared" si="75"/>
        <v>-3923.0449199668947</v>
      </c>
      <c r="P360" s="3">
        <f t="shared" si="76"/>
        <v>16963.234319938027</v>
      </c>
    </row>
    <row r="361" spans="1:16" x14ac:dyDescent="0.25">
      <c r="A361">
        <f t="shared" si="63"/>
        <v>142.5</v>
      </c>
      <c r="B361">
        <f t="shared" si="64"/>
        <v>-17577.930115549003</v>
      </c>
      <c r="C361">
        <f t="shared" si="65"/>
        <v>-22447.075215204968</v>
      </c>
      <c r="D361">
        <f t="shared" si="66"/>
        <v>7850.8686070674094</v>
      </c>
      <c r="E361">
        <f t="shared" si="67"/>
        <v>7259.7597296562726</v>
      </c>
      <c r="F361">
        <f>$C$23*(H361/(J361^2+$C$24^2)^1.5)+$C$32*(K361/(M361^2+$C$33^2)^1.5)+C$41*(N361/(P361^2+$C$42^2)^1.5)</f>
        <v>9169.0711798973916</v>
      </c>
      <c r="G361">
        <f>$C$23*(I361/(J361^2+$C$24^2)^1.5)+$C$32*(L361/(M361^2+$C$33^2)^1.5)+C$41*(O361/(P361^2+$C$42^2)^1.5)</f>
        <v>1025.6288316406863</v>
      </c>
      <c r="H361" s="3">
        <f t="shared" si="68"/>
        <v>37577.930115549003</v>
      </c>
      <c r="I361" s="3">
        <f t="shared" si="69"/>
        <v>37447.075215204968</v>
      </c>
      <c r="J361" s="3">
        <f t="shared" si="70"/>
        <v>53050.770719588065</v>
      </c>
      <c r="K361" s="3">
        <f t="shared" si="71"/>
        <v>-2422.0698844509971</v>
      </c>
      <c r="L361" s="3">
        <f t="shared" si="72"/>
        <v>42447.075215204968</v>
      </c>
      <c r="M361" s="3">
        <f t="shared" si="73"/>
        <v>42516.121846311806</v>
      </c>
      <c r="N361" s="3">
        <f t="shared" si="74"/>
        <v>12577.930115549003</v>
      </c>
      <c r="O361" s="3">
        <f t="shared" si="75"/>
        <v>-7552.9247847950319</v>
      </c>
      <c r="P361" s="3">
        <f t="shared" si="76"/>
        <v>14671.434789972165</v>
      </c>
    </row>
    <row r="362" spans="1:16" x14ac:dyDescent="0.25">
      <c r="A362">
        <f t="shared" si="63"/>
        <v>143</v>
      </c>
      <c r="B362">
        <f t="shared" si="64"/>
        <v>-11360.22801704095</v>
      </c>
      <c r="C362">
        <f t="shared" si="65"/>
        <v>-18560.788142466659</v>
      </c>
      <c r="D362">
        <f t="shared" si="66"/>
        <v>12435.404197016105</v>
      </c>
      <c r="E362">
        <f t="shared" si="67"/>
        <v>7772.5741454766157</v>
      </c>
      <c r="F362">
        <f>$C$23*(H362/(J362^2+$C$24^2)^1.5)+$C$32*(K362/(M362^2+$C$33^2)^1.5)+C$41*(N362/(P362^2+$C$42^2)^1.5)</f>
        <v>4510.6834950093471</v>
      </c>
      <c r="G362">
        <f>$C$23*(I362/(J362^2+$C$24^2)^1.5)+$C$32*(L362/(M362^2+$C$33^2)^1.5)+C$41*(O362/(P362^2+$C$42^2)^1.5)</f>
        <v>-3325.2526358833393</v>
      </c>
      <c r="H362" s="3">
        <f t="shared" si="68"/>
        <v>31360.22801704095</v>
      </c>
      <c r="I362" s="3">
        <f t="shared" si="69"/>
        <v>33560.788142466656</v>
      </c>
      <c r="J362" s="3">
        <f t="shared" si="70"/>
        <v>45932.454778994019</v>
      </c>
      <c r="K362" s="3">
        <f t="shared" si="71"/>
        <v>-8639.7719829590496</v>
      </c>
      <c r="L362" s="3">
        <f t="shared" si="72"/>
        <v>38560.788142466656</v>
      </c>
      <c r="M362" s="3">
        <f t="shared" si="73"/>
        <v>39516.832389321404</v>
      </c>
      <c r="N362" s="3">
        <f t="shared" si="74"/>
        <v>6360.2280170409504</v>
      </c>
      <c r="O362" s="3">
        <f t="shared" si="75"/>
        <v>-11439.211857533341</v>
      </c>
      <c r="P362" s="3">
        <f t="shared" si="76"/>
        <v>13088.470817871888</v>
      </c>
    </row>
    <row r="363" spans="1:16" x14ac:dyDescent="0.25">
      <c r="A363">
        <f t="shared" si="63"/>
        <v>143.5</v>
      </c>
      <c r="B363">
        <f t="shared" si="64"/>
        <v>-4014.855044780561</v>
      </c>
      <c r="C363">
        <f t="shared" si="65"/>
        <v>-15505.814228699186</v>
      </c>
      <c r="D363">
        <f t="shared" si="66"/>
        <v>14690.745944520779</v>
      </c>
      <c r="E363">
        <f t="shared" si="67"/>
        <v>6109.9478275349466</v>
      </c>
      <c r="F363">
        <f>$C$23*(H363/(J363^2+$C$24^2)^1.5)+$C$32*(K363/(M363^2+$C$33^2)^1.5)+C$41*(N363/(P363^2+$C$42^2)^1.5)</f>
        <v>-3652.9390526983757</v>
      </c>
      <c r="G363">
        <f>$C$23*(I363/(J363^2+$C$24^2)^1.5)+$C$32*(L363/(M363^2+$C$33^2)^1.5)+C$41*(O363/(P363^2+$C$42^2)^1.5)</f>
        <v>-3892.1343488732191</v>
      </c>
      <c r="H363" s="3">
        <f t="shared" si="68"/>
        <v>24014.855044780561</v>
      </c>
      <c r="I363" s="3">
        <f t="shared" si="69"/>
        <v>30505.814228699186</v>
      </c>
      <c r="J363" s="3">
        <f t="shared" si="70"/>
        <v>38824.193031893505</v>
      </c>
      <c r="K363" s="3">
        <f t="shared" si="71"/>
        <v>-15985.144955219439</v>
      </c>
      <c r="L363" s="3">
        <f t="shared" si="72"/>
        <v>35505.814228699186</v>
      </c>
      <c r="M363" s="3">
        <f t="shared" si="73"/>
        <v>38938.255010750996</v>
      </c>
      <c r="N363" s="3">
        <f t="shared" si="74"/>
        <v>-985.144955219439</v>
      </c>
      <c r="O363" s="3">
        <f t="shared" si="75"/>
        <v>-14494.185771300814</v>
      </c>
      <c r="P363" s="3">
        <f t="shared" si="76"/>
        <v>14527.626501110677</v>
      </c>
    </row>
    <row r="364" spans="1:16" x14ac:dyDescent="0.25">
      <c r="A364">
        <f t="shared" si="63"/>
        <v>144</v>
      </c>
      <c r="B364">
        <f t="shared" si="64"/>
        <v>2417.2831643052345</v>
      </c>
      <c r="C364">
        <f t="shared" si="65"/>
        <v>-13423.873902150017</v>
      </c>
      <c r="D364">
        <f t="shared" si="66"/>
        <v>12864.27641817159</v>
      </c>
      <c r="E364">
        <f t="shared" si="67"/>
        <v>4163.8806530983366</v>
      </c>
      <c r="F364">
        <f>$C$23*(H364/(J364^2+$C$24^2)^1.5)+$C$32*(K364/(M364^2+$C$33^2)^1.5)+C$41*(N364/(P364^2+$C$42^2)^1.5)</f>
        <v>-7248.5198559286564</v>
      </c>
      <c r="G364">
        <f>$C$23*(I364/(J364^2+$C$24^2)^1.5)+$C$32*(L364/(M364^2+$C$33^2)^1.5)+C$41*(O364/(P364^2+$C$42^2)^1.5)</f>
        <v>-1443.2907984413587</v>
      </c>
      <c r="H364" s="3">
        <f t="shared" si="68"/>
        <v>17582.716835694766</v>
      </c>
      <c r="I364" s="3">
        <f t="shared" si="69"/>
        <v>28423.873902150015</v>
      </c>
      <c r="J364" s="3">
        <f t="shared" si="70"/>
        <v>33422.575288710905</v>
      </c>
      <c r="K364" s="3">
        <f t="shared" si="71"/>
        <v>-22417.283164305234</v>
      </c>
      <c r="L364" s="3">
        <f t="shared" si="72"/>
        <v>33423.873902150015</v>
      </c>
      <c r="M364" s="3">
        <f t="shared" si="73"/>
        <v>40245.37154873176</v>
      </c>
      <c r="N364" s="3">
        <f t="shared" si="74"/>
        <v>-7417.2831643052341</v>
      </c>
      <c r="O364" s="3">
        <f t="shared" si="75"/>
        <v>-16576.126097849985</v>
      </c>
      <c r="P364" s="3">
        <f t="shared" si="76"/>
        <v>18159.957212265377</v>
      </c>
    </row>
    <row r="365" spans="1:16" x14ac:dyDescent="0.25">
      <c r="A365">
        <f t="shared" si="63"/>
        <v>144.5</v>
      </c>
      <c r="B365">
        <f t="shared" si="64"/>
        <v>7037.2914094088646</v>
      </c>
      <c r="C365">
        <f t="shared" si="65"/>
        <v>-11702.756275211188</v>
      </c>
      <c r="D365">
        <f t="shared" si="66"/>
        <v>9240.0164902072611</v>
      </c>
      <c r="E365">
        <f t="shared" si="67"/>
        <v>3442.2352538776572</v>
      </c>
      <c r="F365">
        <f>$C$23*(H365/(J365^2+$C$24^2)^1.5)+$C$32*(K365/(M365^2+$C$33^2)^1.5)+C$41*(N365/(P365^2+$C$42^2)^1.5)</f>
        <v>-7765.1319335373591</v>
      </c>
      <c r="G365">
        <f>$C$23*(I365/(J365^2+$C$24^2)^1.5)+$C$32*(L365/(M365^2+$C$33^2)^1.5)+C$41*(O365/(P365^2+$C$42^2)^1.5)</f>
        <v>182.00183476532129</v>
      </c>
      <c r="H365" s="3">
        <f t="shared" si="68"/>
        <v>12962.708590591135</v>
      </c>
      <c r="I365" s="3">
        <f t="shared" si="69"/>
        <v>26702.756275211188</v>
      </c>
      <c r="J365" s="3">
        <f t="shared" si="70"/>
        <v>29682.806583911766</v>
      </c>
      <c r="K365" s="3">
        <f t="shared" si="71"/>
        <v>-27037.291409408863</v>
      </c>
      <c r="L365" s="3">
        <f t="shared" si="72"/>
        <v>31702.756275211188</v>
      </c>
      <c r="M365" s="3">
        <f t="shared" si="73"/>
        <v>41666.291918080933</v>
      </c>
      <c r="N365" s="3">
        <f t="shared" si="74"/>
        <v>-12037.291409408865</v>
      </c>
      <c r="O365" s="3">
        <f t="shared" si="75"/>
        <v>-18297.243724788812</v>
      </c>
      <c r="P365" s="3">
        <f t="shared" si="76"/>
        <v>21901.723959527753</v>
      </c>
    </row>
    <row r="366" spans="1:16" x14ac:dyDescent="0.25">
      <c r="A366">
        <f t="shared" si="63"/>
        <v>145</v>
      </c>
      <c r="B366">
        <f t="shared" si="64"/>
        <v>9716.0166711281563</v>
      </c>
      <c r="C366">
        <f t="shared" si="65"/>
        <v>-9936.1381895810282</v>
      </c>
      <c r="D366">
        <f t="shared" si="66"/>
        <v>5357.4505234385815</v>
      </c>
      <c r="E366">
        <f t="shared" si="67"/>
        <v>3533.2361712603179</v>
      </c>
      <c r="F366">
        <f>$C$23*(H366/(J366^2+$C$24^2)^1.5)+$C$32*(K366/(M366^2+$C$33^2)^1.5)+C$41*(N366/(P366^2+$C$42^2)^1.5)</f>
        <v>-7617.7575730198751</v>
      </c>
      <c r="G366">
        <f>$C$23*(I366/(J366^2+$C$24^2)^1.5)+$C$32*(L366/(M366^2+$C$33^2)^1.5)+C$41*(O366/(P366^2+$C$42^2)^1.5)</f>
        <v>991.02013173658452</v>
      </c>
      <c r="H366" s="3">
        <f t="shared" si="68"/>
        <v>10283.983328871844</v>
      </c>
      <c r="I366" s="3">
        <f t="shared" si="69"/>
        <v>24936.138189581026</v>
      </c>
      <c r="J366" s="3">
        <f t="shared" si="70"/>
        <v>26973.529634039282</v>
      </c>
      <c r="K366" s="3">
        <f t="shared" si="71"/>
        <v>-29716.016671128156</v>
      </c>
      <c r="L366" s="3">
        <f t="shared" si="72"/>
        <v>29936.138189581026</v>
      </c>
      <c r="M366" s="3">
        <f t="shared" si="73"/>
        <v>42180.730393207486</v>
      </c>
      <c r="N366" s="3">
        <f t="shared" si="74"/>
        <v>-14716.016671128156</v>
      </c>
      <c r="O366" s="3">
        <f t="shared" si="75"/>
        <v>-20063.861810418974</v>
      </c>
      <c r="P366" s="3">
        <f t="shared" si="76"/>
        <v>24882.116015574535</v>
      </c>
    </row>
    <row r="367" spans="1:16" x14ac:dyDescent="0.25">
      <c r="A367">
        <f t="shared" si="63"/>
        <v>145.5</v>
      </c>
      <c r="B367">
        <f t="shared" si="64"/>
        <v>10490.302539592478</v>
      </c>
      <c r="C367">
        <f t="shared" si="65"/>
        <v>-7921.7650710167236</v>
      </c>
      <c r="D367">
        <f t="shared" si="66"/>
        <v>1548.571736928644</v>
      </c>
      <c r="E367">
        <f t="shared" si="67"/>
        <v>4028.7462371286101</v>
      </c>
      <c r="F367">
        <f>$C$23*(H367/(J367^2+$C$24^2)^1.5)+$C$32*(K367/(M367^2+$C$33^2)^1.5)+C$41*(N367/(P367^2+$C$42^2)^1.5)</f>
        <v>-7486.3088714629794</v>
      </c>
      <c r="G367">
        <f>$C$23*(I367/(J367^2+$C$24^2)^1.5)+$C$32*(L367/(M367^2+$C$33^2)^1.5)+C$41*(O367/(P367^2+$C$42^2)^1.5)</f>
        <v>1494.0784910077687</v>
      </c>
      <c r="H367" s="3">
        <f t="shared" si="68"/>
        <v>9509.6974604075222</v>
      </c>
      <c r="I367" s="3">
        <f t="shared" si="69"/>
        <v>22921.765071016722</v>
      </c>
      <c r="J367" s="3">
        <f t="shared" si="70"/>
        <v>24816.157231919762</v>
      </c>
      <c r="K367" s="3">
        <f t="shared" si="71"/>
        <v>-30490.302539592478</v>
      </c>
      <c r="L367" s="3">
        <f t="shared" si="72"/>
        <v>27921.765071016722</v>
      </c>
      <c r="M367" s="3">
        <f t="shared" si="73"/>
        <v>41343.4821179461</v>
      </c>
      <c r="N367" s="3">
        <f t="shared" si="74"/>
        <v>-15490.302539592478</v>
      </c>
      <c r="O367" s="3">
        <f t="shared" si="75"/>
        <v>-22078.234928983278</v>
      </c>
      <c r="P367" s="3">
        <f t="shared" si="76"/>
        <v>26970.31572576566</v>
      </c>
    </row>
    <row r="368" spans="1:16" x14ac:dyDescent="0.25">
      <c r="A368">
        <f t="shared" si="63"/>
        <v>146</v>
      </c>
      <c r="B368">
        <f t="shared" si="64"/>
        <v>9393.011190191055</v>
      </c>
      <c r="C368">
        <f t="shared" si="65"/>
        <v>-5533.8723297004772</v>
      </c>
      <c r="D368">
        <f t="shared" si="66"/>
        <v>-2194.5826988028457</v>
      </c>
      <c r="E368">
        <f t="shared" si="67"/>
        <v>4775.7854826324947</v>
      </c>
      <c r="F368">
        <f>$C$23*(H368/(J368^2+$C$24^2)^1.5)+$C$32*(K368/(M368^2+$C$33^2)^1.5)+C$41*(N368/(P368^2+$C$42^2)^1.5)</f>
        <v>-7512.1756306708558</v>
      </c>
      <c r="G368">
        <f>$C$23*(I368/(J368^2+$C$24^2)^1.5)+$C$32*(L368/(M368^2+$C$33^2)^1.5)+C$41*(O368/(P368^2+$C$42^2)^1.5)</f>
        <v>2023.0153789428114</v>
      </c>
      <c r="H368" s="3">
        <f t="shared" si="68"/>
        <v>10606.988809808945</v>
      </c>
      <c r="I368" s="3">
        <f t="shared" si="69"/>
        <v>20533.872329700476</v>
      </c>
      <c r="J368" s="3">
        <f t="shared" si="70"/>
        <v>23111.644780583036</v>
      </c>
      <c r="K368" s="3">
        <f t="shared" si="71"/>
        <v>-29393.011190191057</v>
      </c>
      <c r="L368" s="3">
        <f t="shared" si="72"/>
        <v>25533.872329700476</v>
      </c>
      <c r="M368" s="3">
        <f t="shared" si="73"/>
        <v>38934.916758305008</v>
      </c>
      <c r="N368" s="3">
        <f t="shared" si="74"/>
        <v>-14393.011190191055</v>
      </c>
      <c r="O368" s="3">
        <f t="shared" si="75"/>
        <v>-24466.127670299524</v>
      </c>
      <c r="P368" s="3">
        <f t="shared" si="76"/>
        <v>28385.738924684716</v>
      </c>
    </row>
    <row r="369" spans="1:16" x14ac:dyDescent="0.25">
      <c r="A369">
        <f t="shared" si="63"/>
        <v>146.5</v>
      </c>
      <c r="B369">
        <f t="shared" si="64"/>
        <v>6417.6759331219182</v>
      </c>
      <c r="C369">
        <f t="shared" si="65"/>
        <v>-2640.225743648527</v>
      </c>
      <c r="D369">
        <f t="shared" si="66"/>
        <v>-5950.6705141382736</v>
      </c>
      <c r="E369">
        <f t="shared" si="67"/>
        <v>5787.2931721039004</v>
      </c>
      <c r="F369">
        <f>$C$23*(H369/(J369^2+$C$24^2)^1.5)+$C$32*(K369/(M369^2+$C$33^2)^1.5)+C$41*(N369/(P369^2+$C$42^2)^1.5)</f>
        <v>-7829.8557977079781</v>
      </c>
      <c r="G369">
        <f>$C$23*(I369/(J369^2+$C$24^2)^1.5)+$C$32*(L369/(M369^2+$C$33^2)^1.5)+C$41*(O369/(P369^2+$C$42^2)^1.5)</f>
        <v>2920.7134948046191</v>
      </c>
      <c r="H369" s="3">
        <f t="shared" si="68"/>
        <v>13582.324066878082</v>
      </c>
      <c r="I369" s="3">
        <f t="shared" si="69"/>
        <v>17640.225743648527</v>
      </c>
      <c r="J369" s="3">
        <f t="shared" si="70"/>
        <v>22263.357593691384</v>
      </c>
      <c r="K369" s="3">
        <f t="shared" si="71"/>
        <v>-26417.675933121918</v>
      </c>
      <c r="L369" s="3">
        <f t="shared" si="72"/>
        <v>22640.225743648527</v>
      </c>
      <c r="M369" s="3">
        <f t="shared" si="73"/>
        <v>34791.858579713939</v>
      </c>
      <c r="N369" s="3">
        <f t="shared" si="74"/>
        <v>-11417.675933121918</v>
      </c>
      <c r="O369" s="3">
        <f t="shared" si="75"/>
        <v>-27359.774256351473</v>
      </c>
      <c r="P369" s="3">
        <f t="shared" si="76"/>
        <v>29646.594594865433</v>
      </c>
    </row>
    <row r="370" spans="1:16" x14ac:dyDescent="0.25">
      <c r="A370">
        <f t="shared" si="63"/>
        <v>147</v>
      </c>
      <c r="B370">
        <f t="shared" si="64"/>
        <v>1484.8767266257869</v>
      </c>
      <c r="C370">
        <f t="shared" si="65"/>
        <v>983.59921610457798</v>
      </c>
      <c r="D370">
        <f t="shared" si="66"/>
        <v>-9865.5984129922617</v>
      </c>
      <c r="E370">
        <f t="shared" si="67"/>
        <v>7247.6499195062097</v>
      </c>
      <c r="F370">
        <f>$C$23*(H370/(J370^2+$C$24^2)^1.5)+$C$32*(K370/(M370^2+$C$33^2)^1.5)+C$41*(N370/(P370^2+$C$42^2)^1.5)</f>
        <v>-8969.0606270520075</v>
      </c>
      <c r="G370">
        <f>$C$23*(I370/(J370^2+$C$24^2)^1.5)+$C$32*(L370/(M370^2+$C$33^2)^1.5)+C$41*(O370/(P370^2+$C$42^2)^1.5)</f>
        <v>4921.5415029665519</v>
      </c>
      <c r="H370" s="3">
        <f t="shared" si="68"/>
        <v>18515.123273374214</v>
      </c>
      <c r="I370" s="3">
        <f t="shared" si="69"/>
        <v>14016.400783895422</v>
      </c>
      <c r="J370" s="3">
        <f t="shared" si="70"/>
        <v>23222.172180117595</v>
      </c>
      <c r="K370" s="3">
        <f t="shared" si="71"/>
        <v>-21484.876726625786</v>
      </c>
      <c r="L370" s="3">
        <f t="shared" si="72"/>
        <v>19016.40078389542</v>
      </c>
      <c r="M370" s="3">
        <f t="shared" si="73"/>
        <v>28691.870394452235</v>
      </c>
      <c r="N370" s="3">
        <f t="shared" si="74"/>
        <v>-6484.8767266257873</v>
      </c>
      <c r="O370" s="3">
        <f t="shared" si="75"/>
        <v>-30983.59921610458</v>
      </c>
      <c r="P370" s="3">
        <f t="shared" si="76"/>
        <v>31654.968749688083</v>
      </c>
    </row>
    <row r="371" spans="1:16" x14ac:dyDescent="0.25">
      <c r="A371">
        <f t="shared" si="63"/>
        <v>147.5</v>
      </c>
      <c r="B371">
        <f t="shared" si="64"/>
        <v>-5690.1876366333454</v>
      </c>
      <c r="C371">
        <f t="shared" si="65"/>
        <v>5837.8095515993209</v>
      </c>
      <c r="D371">
        <f t="shared" si="66"/>
        <v>-14350.128726518265</v>
      </c>
      <c r="E371">
        <f t="shared" si="67"/>
        <v>9708.4206709894861</v>
      </c>
      <c r="F371">
        <f>$C$23*(H371/(J371^2+$C$24^2)^1.5)+$C$32*(K371/(M371^2+$C$33^2)^1.5)+C$41*(N371/(P371^2+$C$42^2)^1.5)</f>
        <v>-12096.123824728153</v>
      </c>
      <c r="G371">
        <f>$C$23*(I371/(J371^2+$C$24^2)^1.5)+$C$32*(L371/(M371^2+$C$33^2)^1.5)+C$41*(O371/(P371^2+$C$42^2)^1.5)</f>
        <v>9963.2240635392991</v>
      </c>
      <c r="H371" s="3">
        <f t="shared" si="68"/>
        <v>25690.187636633345</v>
      </c>
      <c r="I371" s="3">
        <f t="shared" si="69"/>
        <v>9162.1904484006791</v>
      </c>
      <c r="J371" s="3">
        <f t="shared" si="70"/>
        <v>27275.107233853239</v>
      </c>
      <c r="K371" s="3">
        <f t="shared" si="71"/>
        <v>-14309.812363366655</v>
      </c>
      <c r="L371" s="3">
        <f t="shared" si="72"/>
        <v>14162.190448400679</v>
      </c>
      <c r="M371" s="3">
        <f t="shared" si="73"/>
        <v>20133.016867114889</v>
      </c>
      <c r="N371" s="3">
        <f t="shared" si="74"/>
        <v>690.18763663334539</v>
      </c>
      <c r="O371" s="3">
        <f t="shared" si="75"/>
        <v>-35837.809551599319</v>
      </c>
      <c r="P371" s="3">
        <f t="shared" si="76"/>
        <v>35844.454974660519</v>
      </c>
    </row>
    <row r="372" spans="1:16" x14ac:dyDescent="0.25">
      <c r="A372">
        <f t="shared" si="63"/>
        <v>148</v>
      </c>
      <c r="B372">
        <f t="shared" si="64"/>
        <v>-15889.282956074516</v>
      </c>
      <c r="C372">
        <f t="shared" si="65"/>
        <v>13182.82590297889</v>
      </c>
      <c r="D372">
        <f t="shared" si="66"/>
        <v>-20398.190638882341</v>
      </c>
      <c r="E372">
        <f t="shared" si="67"/>
        <v>14690.032702759136</v>
      </c>
      <c r="F372">
        <f>$C$23*(H372/(J372^2+$C$24^2)^1.5)+$C$32*(K372/(M372^2+$C$33^2)^1.5)+C$41*(N372/(P372^2+$C$42^2)^1.5)</f>
        <v>-10994.118951467048</v>
      </c>
      <c r="G372">
        <f>$C$23*(I372/(J372^2+$C$24^2)^1.5)+$C$32*(L372/(M372^2+$C$33^2)^1.5)+C$41*(O372/(P372^2+$C$42^2)^1.5)</f>
        <v>17798.258793718454</v>
      </c>
      <c r="H372" s="3">
        <f t="shared" si="68"/>
        <v>35889.282956074516</v>
      </c>
      <c r="I372" s="3">
        <f t="shared" si="69"/>
        <v>1817.1740970211104</v>
      </c>
      <c r="J372" s="3">
        <f t="shared" si="70"/>
        <v>35935.257795096797</v>
      </c>
      <c r="K372" s="3">
        <f t="shared" si="71"/>
        <v>-4110.7170439254842</v>
      </c>
      <c r="L372" s="3">
        <f t="shared" si="72"/>
        <v>6817.1740970211104</v>
      </c>
      <c r="M372" s="3">
        <f t="shared" si="73"/>
        <v>7960.6442757050172</v>
      </c>
      <c r="N372" s="3">
        <f t="shared" si="74"/>
        <v>10889.282956074516</v>
      </c>
      <c r="O372" s="3">
        <f t="shared" si="75"/>
        <v>-43182.82590297889</v>
      </c>
      <c r="P372" s="3">
        <f t="shared" si="76"/>
        <v>44534.626261645433</v>
      </c>
    </row>
    <row r="373" spans="1:16" x14ac:dyDescent="0.25">
      <c r="A373">
        <f t="shared" si="63"/>
        <v>148.5</v>
      </c>
      <c r="B373">
        <f t="shared" si="64"/>
        <v>-28836.908013382446</v>
      </c>
      <c r="C373">
        <f t="shared" si="65"/>
        <v>24977.406952788071</v>
      </c>
      <c r="D373">
        <f t="shared" si="66"/>
        <v>-25895.250114615865</v>
      </c>
      <c r="E373">
        <f t="shared" si="67"/>
        <v>23589.162099618363</v>
      </c>
      <c r="F373">
        <f>$C$23*(H373/(J373^2+$C$24^2)^1.5)+$C$32*(K373/(M373^2+$C$33^2)^1.5)+C$41*(N373/(P373^2+$C$42^2)^1.5)</f>
        <v>21692.270974116116</v>
      </c>
      <c r="G373">
        <f>$C$23*(I373/(J373^2+$C$24^2)^1.5)+$C$32*(L373/(M373^2+$C$33^2)^1.5)+C$41*(O373/(P373^2+$C$42^2)^1.5)</f>
        <v>-12921.467242505732</v>
      </c>
      <c r="H373" s="3">
        <f t="shared" si="68"/>
        <v>48836.908013382446</v>
      </c>
      <c r="I373" s="3">
        <f t="shared" si="69"/>
        <v>-9977.4069527880711</v>
      </c>
      <c r="J373" s="3">
        <f t="shared" si="70"/>
        <v>49845.684204443642</v>
      </c>
      <c r="K373" s="3">
        <f t="shared" si="71"/>
        <v>8836.9080133824464</v>
      </c>
      <c r="L373" s="3">
        <f t="shared" si="72"/>
        <v>-4977.4069527880711</v>
      </c>
      <c r="M373" s="3">
        <f t="shared" si="73"/>
        <v>10142.264205326439</v>
      </c>
      <c r="N373" s="3">
        <f t="shared" si="74"/>
        <v>23836.908013382446</v>
      </c>
      <c r="O373" s="3">
        <f t="shared" si="75"/>
        <v>-54977.406952788071</v>
      </c>
      <c r="P373" s="3">
        <f t="shared" si="76"/>
        <v>59922.562185631934</v>
      </c>
    </row>
    <row r="374" spans="1:16" x14ac:dyDescent="0.25">
      <c r="A374">
        <f t="shared" si="63"/>
        <v>149</v>
      </c>
      <c r="B374">
        <f t="shared" si="64"/>
        <v>-36361.46532716135</v>
      </c>
      <c r="C374">
        <f t="shared" si="65"/>
        <v>33541.621191970822</v>
      </c>
      <c r="D374">
        <f t="shared" si="66"/>
        <v>-15049.114627557807</v>
      </c>
      <c r="E374">
        <f t="shared" si="67"/>
        <v>17128.428478365495</v>
      </c>
      <c r="F374">
        <f>$C$23*(H374/(J374^2+$C$24^2)^1.5)+$C$32*(K374/(M374^2+$C$33^2)^1.5)+C$41*(N374/(P374^2+$C$42^2)^1.5)</f>
        <v>13656.382658954622</v>
      </c>
      <c r="G374">
        <f>$C$23*(I374/(J374^2+$C$24^2)^1.5)+$C$32*(L374/(M374^2+$C$33^2)^1.5)+C$41*(O374/(P374^2+$C$42^2)^1.5)</f>
        <v>-11662.638613583384</v>
      </c>
      <c r="H374" s="3">
        <f t="shared" si="68"/>
        <v>56361.46532716135</v>
      </c>
      <c r="I374" s="3">
        <f t="shared" si="69"/>
        <v>-18541.621191970822</v>
      </c>
      <c r="J374" s="3">
        <f t="shared" si="70"/>
        <v>59333.013493765444</v>
      </c>
      <c r="K374" s="3">
        <f t="shared" si="71"/>
        <v>16361.46532716135</v>
      </c>
      <c r="L374" s="3">
        <f t="shared" si="72"/>
        <v>-13541.621191970822</v>
      </c>
      <c r="M374" s="3">
        <f t="shared" si="73"/>
        <v>21238.48045785612</v>
      </c>
      <c r="N374" s="3">
        <f t="shared" si="74"/>
        <v>31361.46532716135</v>
      </c>
      <c r="O374" s="3">
        <f t="shared" si="75"/>
        <v>-63541.621191970822</v>
      </c>
      <c r="P374" s="3">
        <f t="shared" si="76"/>
        <v>70859.573320551819</v>
      </c>
    </row>
    <row r="375" spans="1:16" x14ac:dyDescent="0.25">
      <c r="A375">
        <f t="shared" si="63"/>
        <v>149.5</v>
      </c>
      <c r="B375">
        <f t="shared" si="64"/>
        <v>-40471.926976201597</v>
      </c>
      <c r="C375">
        <f t="shared" si="65"/>
        <v>39190.175777757722</v>
      </c>
      <c r="D375">
        <f t="shared" si="66"/>
        <v>-8220.9232980804954</v>
      </c>
      <c r="E375">
        <f t="shared" si="67"/>
        <v>11297.109171573804</v>
      </c>
      <c r="F375">
        <f>$C$23*(H375/(J375^2+$C$24^2)^1.5)+$C$32*(K375/(M375^2+$C$33^2)^1.5)+C$41*(N375/(P375^2+$C$42^2)^1.5)</f>
        <v>9406.9867780514032</v>
      </c>
      <c r="G375">
        <f>$C$23*(I375/(J375^2+$C$24^2)^1.5)+$C$32*(L375/(M375^2+$C$33^2)^1.5)+C$41*(O375/(P375^2+$C$42^2)^1.5)</f>
        <v>-9069.4464452978082</v>
      </c>
      <c r="H375" s="3">
        <f t="shared" si="68"/>
        <v>60471.926976201597</v>
      </c>
      <c r="I375" s="3">
        <f t="shared" si="69"/>
        <v>-24190.175777757722</v>
      </c>
      <c r="J375" s="3">
        <f t="shared" si="70"/>
        <v>65130.780406608632</v>
      </c>
      <c r="K375" s="3">
        <f t="shared" si="71"/>
        <v>20471.926976201597</v>
      </c>
      <c r="L375" s="3">
        <f t="shared" si="72"/>
        <v>-19190.175777757722</v>
      </c>
      <c r="M375" s="3">
        <f t="shared" si="73"/>
        <v>28059.982902706299</v>
      </c>
      <c r="N375" s="3">
        <f t="shared" si="74"/>
        <v>35471.926976201597</v>
      </c>
      <c r="O375" s="3">
        <f t="shared" si="75"/>
        <v>-69190.175777757715</v>
      </c>
      <c r="P375" s="3">
        <f t="shared" si="76"/>
        <v>77753.057994923831</v>
      </c>
    </row>
    <row r="376" spans="1:16" x14ac:dyDescent="0.25">
      <c r="A376">
        <f t="shared" si="63"/>
        <v>150</v>
      </c>
      <c r="B376">
        <f t="shared" si="64"/>
        <v>-42230.641930728991</v>
      </c>
      <c r="C376">
        <f t="shared" si="65"/>
        <v>42571.368752220173</v>
      </c>
      <c r="D376">
        <f t="shared" si="66"/>
        <v>-3517.4299090547938</v>
      </c>
      <c r="E376">
        <f t="shared" si="67"/>
        <v>6762.3859489248998</v>
      </c>
      <c r="F376">
        <f>$C$23*(H376/(J376^2+$C$24^2)^1.5)+$C$32*(K376/(M376^2+$C$33^2)^1.5)+C$41*(N376/(P376^2+$C$42^2)^1.5)</f>
        <v>7680.8473832331183</v>
      </c>
      <c r="G376">
        <f>$C$23*(I376/(J376^2+$C$24^2)^1.5)+$C$32*(L376/(M376^2+$C$33^2)^1.5)+C$41*(O376/(P376^2+$C$42^2)^1.5)</f>
        <v>-8002.3800608779839</v>
      </c>
      <c r="H376" s="3">
        <f t="shared" si="68"/>
        <v>62230.641930728991</v>
      </c>
      <c r="I376" s="3">
        <f t="shared" si="69"/>
        <v>-27571.368752220173</v>
      </c>
      <c r="J376" s="3">
        <f t="shared" si="70"/>
        <v>68064.918790677388</v>
      </c>
      <c r="K376" s="3">
        <f t="shared" si="71"/>
        <v>22230.641930728991</v>
      </c>
      <c r="L376" s="3">
        <f t="shared" si="72"/>
        <v>-22571.368752220173</v>
      </c>
      <c r="M376" s="3">
        <f t="shared" si="73"/>
        <v>31680.721708966594</v>
      </c>
      <c r="N376" s="3">
        <f t="shared" si="74"/>
        <v>37230.641930728991</v>
      </c>
      <c r="O376" s="3">
        <f t="shared" si="75"/>
        <v>-72571.36875222018</v>
      </c>
      <c r="P376" s="3">
        <f t="shared" si="76"/>
        <v>81564.233957935721</v>
      </c>
    </row>
    <row r="377" spans="1:16" x14ac:dyDescent="0.25">
      <c r="A377">
        <f t="shared" si="63"/>
        <v>150.5</v>
      </c>
      <c r="B377">
        <f t="shared" si="64"/>
        <v>-42069.145039448114</v>
      </c>
      <c r="C377">
        <f t="shared" si="65"/>
        <v>43951.96671146313</v>
      </c>
      <c r="D377">
        <f t="shared" si="66"/>
        <v>322.99378256176533</v>
      </c>
      <c r="E377">
        <f t="shared" si="67"/>
        <v>2761.1959184859079</v>
      </c>
      <c r="F377">
        <f>$C$23*(H377/(J377^2+$C$24^2)^1.5)+$C$32*(K377/(M377^2+$C$33^2)^1.5)+C$41*(N377/(P377^2+$C$42^2)^1.5)</f>
        <v>7136.0655532818728</v>
      </c>
      <c r="G377">
        <f>$C$23*(I377/(J377^2+$C$24^2)^1.5)+$C$32*(L377/(M377^2+$C$33^2)^1.5)+C$41*(O377/(P377^2+$C$42^2)^1.5)</f>
        <v>-7926.9202024501355</v>
      </c>
      <c r="H377" s="3">
        <f t="shared" si="68"/>
        <v>62069.145039448114</v>
      </c>
      <c r="I377" s="3">
        <f t="shared" si="69"/>
        <v>-28951.96671146313</v>
      </c>
      <c r="J377" s="3">
        <f t="shared" si="70"/>
        <v>68489.379778106595</v>
      </c>
      <c r="K377" s="3">
        <f t="shared" si="71"/>
        <v>22069.145039448114</v>
      </c>
      <c r="L377" s="3">
        <f t="shared" si="72"/>
        <v>-23951.96671146313</v>
      </c>
      <c r="M377" s="3">
        <f t="shared" si="73"/>
        <v>32569.063113931221</v>
      </c>
      <c r="N377" s="3">
        <f t="shared" si="74"/>
        <v>37069.145039448114</v>
      </c>
      <c r="O377" s="3">
        <f t="shared" si="75"/>
        <v>-73951.96671146313</v>
      </c>
      <c r="P377" s="3">
        <f t="shared" si="76"/>
        <v>82722.517457153052</v>
      </c>
    </row>
    <row r="378" spans="1:16" x14ac:dyDescent="0.25">
      <c r="A378">
        <f t="shared" si="63"/>
        <v>151</v>
      </c>
      <c r="B378">
        <f t="shared" si="64"/>
        <v>-40123.631759846765</v>
      </c>
      <c r="C378">
        <f t="shared" si="65"/>
        <v>43350.834620093548</v>
      </c>
      <c r="D378">
        <f t="shared" si="66"/>
        <v>3891.0265592027017</v>
      </c>
      <c r="E378">
        <f t="shared" si="67"/>
        <v>-1202.2641827391599</v>
      </c>
      <c r="F378">
        <f>$C$23*(H378/(J378^2+$C$24^2)^1.5)+$C$32*(K378/(M378^2+$C$33^2)^1.5)+C$41*(N378/(P378^2+$C$42^2)^1.5)</f>
        <v>7435.0777857945968</v>
      </c>
      <c r="G378">
        <f>$C$23*(I378/(J378^2+$C$24^2)^1.5)+$C$32*(L378/(M378^2+$C$33^2)^1.5)+C$41*(O378/(P378^2+$C$42^2)^1.5)</f>
        <v>-8802.4017110297918</v>
      </c>
      <c r="H378" s="3">
        <f t="shared" si="68"/>
        <v>60123.631759846765</v>
      </c>
      <c r="I378" s="3">
        <f t="shared" si="69"/>
        <v>-28350.834620093548</v>
      </c>
      <c r="J378" s="3">
        <f t="shared" si="70"/>
        <v>66472.708081208402</v>
      </c>
      <c r="K378" s="3">
        <f t="shared" si="71"/>
        <v>20123.631759846765</v>
      </c>
      <c r="L378" s="3">
        <f t="shared" si="72"/>
        <v>-23350.834620093548</v>
      </c>
      <c r="M378" s="3">
        <f t="shared" si="73"/>
        <v>30825.671649793338</v>
      </c>
      <c r="N378" s="3">
        <f t="shared" si="74"/>
        <v>35123.631759846765</v>
      </c>
      <c r="O378" s="3">
        <f t="shared" si="75"/>
        <v>-73350.834620093548</v>
      </c>
      <c r="P378" s="3">
        <f t="shared" si="76"/>
        <v>81326.5912691884</v>
      </c>
    </row>
    <row r="379" spans="1:16" x14ac:dyDescent="0.25">
      <c r="A379">
        <f t="shared" si="63"/>
        <v>151.5</v>
      </c>
      <c r="B379">
        <f t="shared" si="64"/>
        <v>-36319.349033796767</v>
      </c>
      <c r="C379">
        <f t="shared" si="65"/>
        <v>40549.10210096652</v>
      </c>
      <c r="D379">
        <f t="shared" si="66"/>
        <v>7608.5654520999997</v>
      </c>
      <c r="E379">
        <f t="shared" si="67"/>
        <v>-5603.4650382540558</v>
      </c>
      <c r="F379">
        <f>$C$23*(H379/(J379^2+$C$24^2)^1.5)+$C$32*(K379/(M379^2+$C$33^2)^1.5)+C$41*(N379/(P379^2+$C$42^2)^1.5)</f>
        <v>8756.5735375942822</v>
      </c>
      <c r="G379">
        <f>$C$23*(I379/(J379^2+$C$24^2)^1.5)+$C$32*(L379/(M379^2+$C$33^2)^1.5)+C$41*(O379/(P379^2+$C$42^2)^1.5)</f>
        <v>-11203.092478511056</v>
      </c>
      <c r="H379" s="3">
        <f t="shared" si="68"/>
        <v>56319.349033796767</v>
      </c>
      <c r="I379" s="3">
        <f t="shared" si="69"/>
        <v>-25549.10210096652</v>
      </c>
      <c r="J379" s="3">
        <f t="shared" si="70"/>
        <v>61843.558223603504</v>
      </c>
      <c r="K379" s="3">
        <f t="shared" si="71"/>
        <v>16319.349033796767</v>
      </c>
      <c r="L379" s="3">
        <f t="shared" si="72"/>
        <v>-20549.10210096652</v>
      </c>
      <c r="M379" s="3">
        <f t="shared" si="73"/>
        <v>26240.936531359359</v>
      </c>
      <c r="N379" s="3">
        <f t="shared" si="74"/>
        <v>31319.349033796767</v>
      </c>
      <c r="O379" s="3">
        <f t="shared" si="75"/>
        <v>-70549.102100966527</v>
      </c>
      <c r="P379" s="3">
        <f t="shared" si="76"/>
        <v>77188.583554521756</v>
      </c>
    </row>
    <row r="380" spans="1:16" x14ac:dyDescent="0.25">
      <c r="A380">
        <f t="shared" si="63"/>
        <v>152</v>
      </c>
      <c r="B380">
        <f t="shared" si="64"/>
        <v>-30325.922923348196</v>
      </c>
      <c r="C380">
        <f t="shared" si="65"/>
        <v>34946.596462211724</v>
      </c>
      <c r="D380">
        <f t="shared" si="66"/>
        <v>11986.852220897141</v>
      </c>
      <c r="E380">
        <f t="shared" si="67"/>
        <v>-11205.011277509584</v>
      </c>
      <c r="F380">
        <f>$C$23*(H380/(J380^2+$C$24^2)^1.5)+$C$32*(K380/(M380^2+$C$33^2)^1.5)+C$41*(N380/(P380^2+$C$42^2)^1.5)</f>
        <v>11631.788925257631</v>
      </c>
      <c r="G380">
        <f>$C$23*(I380/(J380^2+$C$24^2)^1.5)+$C$32*(L380/(M380^2+$C$33^2)^1.5)+C$41*(O380/(P380^2+$C$42^2)^1.5)</f>
        <v>-17003.696700010558</v>
      </c>
      <c r="H380" s="3">
        <f t="shared" si="68"/>
        <v>50325.922923348196</v>
      </c>
      <c r="I380" s="3">
        <f t="shared" si="69"/>
        <v>-19946.596462211724</v>
      </c>
      <c r="J380" s="3">
        <f t="shared" si="70"/>
        <v>54134.69523801811</v>
      </c>
      <c r="K380" s="3">
        <f t="shared" si="71"/>
        <v>10325.922923348196</v>
      </c>
      <c r="L380" s="3">
        <f t="shared" si="72"/>
        <v>-14946.596462211724</v>
      </c>
      <c r="M380" s="3">
        <f t="shared" si="73"/>
        <v>18166.602049451289</v>
      </c>
      <c r="N380" s="3">
        <f t="shared" si="74"/>
        <v>25325.922923348196</v>
      </c>
      <c r="O380" s="3">
        <f t="shared" si="75"/>
        <v>-64946.596462211724</v>
      </c>
      <c r="P380" s="3">
        <f t="shared" si="76"/>
        <v>69709.846965437711</v>
      </c>
    </row>
    <row r="381" spans="1:16" x14ac:dyDescent="0.25">
      <c r="A381">
        <f t="shared" si="63"/>
        <v>152.5</v>
      </c>
      <c r="B381">
        <f t="shared" si="64"/>
        <v>-21424.549581585219</v>
      </c>
      <c r="C381">
        <f t="shared" si="65"/>
        <v>25093.166648454295</v>
      </c>
      <c r="D381">
        <f t="shared" si="66"/>
        <v>17802.746683525955</v>
      </c>
      <c r="E381">
        <f t="shared" si="67"/>
        <v>-19706.859627514863</v>
      </c>
      <c r="F381">
        <f>$C$23*(H381/(J381^2+$C$24^2)^1.5)+$C$32*(K381/(M381^2+$C$33^2)^1.5)+C$41*(N381/(P381^2+$C$42^2)^1.5)</f>
        <v>5625.8093074313474</v>
      </c>
      <c r="G381">
        <f>$C$23*(I381/(J381^2+$C$24^2)^1.5)+$C$32*(L381/(M381^2+$C$33^2)^1.5)+C$41*(O381/(P381^2+$C$42^2)^1.5)</f>
        <v>-19123.919680483144</v>
      </c>
      <c r="H381" s="3">
        <f t="shared" si="68"/>
        <v>41424.549581585219</v>
      </c>
      <c r="I381" s="3">
        <f t="shared" si="69"/>
        <v>-10093.166648454295</v>
      </c>
      <c r="J381" s="3">
        <f t="shared" si="70"/>
        <v>42636.431851536101</v>
      </c>
      <c r="K381" s="3">
        <f t="shared" si="71"/>
        <v>1424.5495815852191</v>
      </c>
      <c r="L381" s="3">
        <f t="shared" si="72"/>
        <v>-5093.1666484542948</v>
      </c>
      <c r="M381" s="3">
        <f t="shared" si="73"/>
        <v>5288.6376335802943</v>
      </c>
      <c r="N381" s="3">
        <f t="shared" si="74"/>
        <v>16424.549581585219</v>
      </c>
      <c r="O381" s="3">
        <f t="shared" si="75"/>
        <v>-55093.166648454295</v>
      </c>
      <c r="P381" s="3">
        <f t="shared" si="76"/>
        <v>57489.328055842743</v>
      </c>
    </row>
    <row r="382" spans="1:16" x14ac:dyDescent="0.25">
      <c r="A382">
        <f t="shared" si="63"/>
        <v>153</v>
      </c>
      <c r="B382">
        <f t="shared" si="64"/>
        <v>-11116.723912964404</v>
      </c>
      <c r="C382">
        <f t="shared" si="65"/>
        <v>10458.756914576077</v>
      </c>
      <c r="D382">
        <f t="shared" si="66"/>
        <v>20615.65133724163</v>
      </c>
      <c r="E382">
        <f t="shared" si="67"/>
        <v>-29268.819467756435</v>
      </c>
      <c r="F382">
        <f>$C$23*(H382/(J382^2+$C$24^2)^1.5)+$C$32*(K382/(M382^2+$C$33^2)^1.5)+C$41*(N382/(P382^2+$C$42^2)^1.5)</f>
        <v>-15152.720511853257</v>
      </c>
      <c r="G382">
        <f>$C$23*(I382/(J382^2+$C$24^2)^1.5)+$C$32*(L382/(M382^2+$C$33^2)^1.5)+C$41*(O382/(P382^2+$C$42^2)^1.5)</f>
        <v>14991.453021427644</v>
      </c>
      <c r="H382" s="3">
        <f t="shared" si="68"/>
        <v>31116.723912964404</v>
      </c>
      <c r="I382" s="3">
        <f t="shared" si="69"/>
        <v>4541.2430854239228</v>
      </c>
      <c r="J382" s="3">
        <f t="shared" si="70"/>
        <v>31446.35743351782</v>
      </c>
      <c r="K382" s="3">
        <f t="shared" si="71"/>
        <v>-8883.276087035596</v>
      </c>
      <c r="L382" s="3">
        <f t="shared" si="72"/>
        <v>9541.2430854239228</v>
      </c>
      <c r="M382" s="3">
        <f t="shared" si="73"/>
        <v>13036.407237181886</v>
      </c>
      <c r="N382" s="3">
        <f t="shared" si="74"/>
        <v>6116.723912964404</v>
      </c>
      <c r="O382" s="3">
        <f t="shared" si="75"/>
        <v>-40458.756914576079</v>
      </c>
      <c r="P382" s="3">
        <f t="shared" si="76"/>
        <v>40918.520531663758</v>
      </c>
    </row>
    <row r="383" spans="1:16" x14ac:dyDescent="0.25">
      <c r="A383">
        <f t="shared" si="63"/>
        <v>153.5</v>
      </c>
      <c r="B383">
        <f t="shared" si="64"/>
        <v>-4597.0783723069035</v>
      </c>
      <c r="C383">
        <f t="shared" si="65"/>
        <v>-427.78956394522947</v>
      </c>
      <c r="D383">
        <f t="shared" si="66"/>
        <v>13039.291081315001</v>
      </c>
      <c r="E383">
        <f t="shared" si="67"/>
        <v>-21773.092957042612</v>
      </c>
      <c r="F383">
        <f>$C$23*(H383/(J383^2+$C$24^2)^1.5)+$C$32*(K383/(M383^2+$C$33^2)^1.5)+C$41*(N383/(P383^2+$C$42^2)^1.5)</f>
        <v>-7899.8021780471663</v>
      </c>
      <c r="G383">
        <f>$C$23*(I383/(J383^2+$C$24^2)^1.5)+$C$32*(L383/(M383^2+$C$33^2)^1.5)+C$41*(O383/(P383^2+$C$42^2)^1.5)</f>
        <v>7316.3121105934752</v>
      </c>
      <c r="H383" s="3">
        <f t="shared" si="68"/>
        <v>24597.078372306903</v>
      </c>
      <c r="I383" s="3">
        <f t="shared" si="69"/>
        <v>15427.789563945229</v>
      </c>
      <c r="J383" s="3">
        <f t="shared" si="70"/>
        <v>29035.029796485233</v>
      </c>
      <c r="K383" s="3">
        <f t="shared" si="71"/>
        <v>-15402.921627693097</v>
      </c>
      <c r="L383" s="3">
        <f t="shared" si="72"/>
        <v>20427.789563945229</v>
      </c>
      <c r="M383" s="3">
        <f t="shared" si="73"/>
        <v>25584.068893311036</v>
      </c>
      <c r="N383" s="3">
        <f t="shared" si="74"/>
        <v>-402.92162769309653</v>
      </c>
      <c r="O383" s="3">
        <f t="shared" si="75"/>
        <v>-29572.210436054771</v>
      </c>
      <c r="P383" s="3">
        <f t="shared" si="76"/>
        <v>29574.955214038273</v>
      </c>
    </row>
    <row r="384" spans="1:16" x14ac:dyDescent="0.25">
      <c r="A384">
        <f t="shared" si="63"/>
        <v>154</v>
      </c>
      <c r="B384">
        <f t="shared" si="64"/>
        <v>-52.383376161194519</v>
      </c>
      <c r="C384">
        <f t="shared" si="65"/>
        <v>-9485.258014818166</v>
      </c>
      <c r="D384">
        <f t="shared" si="66"/>
        <v>9089.389992291417</v>
      </c>
      <c r="E384">
        <f t="shared" si="67"/>
        <v>-18114.936901745874</v>
      </c>
      <c r="F384">
        <f>$C$23*(H384/(J384^2+$C$24^2)^1.5)+$C$32*(K384/(M384^2+$C$33^2)^1.5)+C$41*(N384/(P384^2+$C$42^2)^1.5)</f>
        <v>-6200.0663740049013</v>
      </c>
      <c r="G384">
        <f>$C$23*(I384/(J384^2+$C$24^2)^1.5)+$C$32*(L384/(M384^2+$C$33^2)^1.5)+C$41*(O384/(P384^2+$C$42^2)^1.5)</f>
        <v>872.79667174827318</v>
      </c>
      <c r="H384" s="3">
        <f t="shared" si="68"/>
        <v>20052.383376161193</v>
      </c>
      <c r="I384" s="3">
        <f t="shared" si="69"/>
        <v>24485.258014818166</v>
      </c>
      <c r="J384" s="3">
        <f t="shared" si="70"/>
        <v>31648.474514844518</v>
      </c>
      <c r="K384" s="3">
        <f t="shared" si="71"/>
        <v>-19947.616623838807</v>
      </c>
      <c r="L384" s="3">
        <f t="shared" si="72"/>
        <v>29485.258014818166</v>
      </c>
      <c r="M384" s="3">
        <f t="shared" si="73"/>
        <v>35598.986631251872</v>
      </c>
      <c r="N384" s="3">
        <f t="shared" si="74"/>
        <v>-4947.616623838805</v>
      </c>
      <c r="O384" s="3">
        <f t="shared" si="75"/>
        <v>-20514.741985181834</v>
      </c>
      <c r="P384" s="3">
        <f t="shared" si="76"/>
        <v>21102.927497744677</v>
      </c>
    </row>
    <row r="385" spans="1:16" x14ac:dyDescent="0.25">
      <c r="A385">
        <f t="shared" si="63"/>
        <v>154.5</v>
      </c>
      <c r="B385">
        <f t="shared" si="64"/>
        <v>2942.295026483288</v>
      </c>
      <c r="C385">
        <f t="shared" si="65"/>
        <v>-18324.527297754033</v>
      </c>
      <c r="D385">
        <f t="shared" si="66"/>
        <v>5989.3568052889659</v>
      </c>
      <c r="E385">
        <f t="shared" si="67"/>
        <v>-17678.538565871739</v>
      </c>
      <c r="F385">
        <f>$C$23*(H385/(J385^2+$C$24^2)^1.5)+$C$32*(K385/(M385^2+$C$33^2)^1.5)+C$41*(N385/(P385^2+$C$42^2)^1.5)</f>
        <v>-9356.6578833410258</v>
      </c>
      <c r="G385">
        <f>$C$23*(I385/(J385^2+$C$24^2)^1.5)+$C$32*(L385/(M385^2+$C$33^2)^1.5)+C$41*(O385/(P385^2+$C$42^2)^1.5)</f>
        <v>-3937.2376073042378</v>
      </c>
      <c r="H385" s="3">
        <f t="shared" si="68"/>
        <v>17057.704973516713</v>
      </c>
      <c r="I385" s="3">
        <f t="shared" si="69"/>
        <v>33324.52729775403</v>
      </c>
      <c r="J385" s="3">
        <f t="shared" si="70"/>
        <v>37436.47176995036</v>
      </c>
      <c r="K385" s="3">
        <f t="shared" si="71"/>
        <v>-22942.295026483287</v>
      </c>
      <c r="L385" s="3">
        <f t="shared" si="72"/>
        <v>38324.52729775403</v>
      </c>
      <c r="M385" s="3">
        <f t="shared" si="73"/>
        <v>44666.747068467987</v>
      </c>
      <c r="N385" s="3">
        <f t="shared" si="74"/>
        <v>-7942.295026483288</v>
      </c>
      <c r="O385" s="3">
        <f t="shared" si="75"/>
        <v>-11675.472702245967</v>
      </c>
      <c r="P385" s="3">
        <f t="shared" si="76"/>
        <v>14120.79010213635</v>
      </c>
    </row>
    <row r="386" spans="1:16" x14ac:dyDescent="0.25">
      <c r="A386">
        <f t="shared" si="63"/>
        <v>155</v>
      </c>
      <c r="B386">
        <f t="shared" si="64"/>
        <v>3597.8089582925145</v>
      </c>
      <c r="C386">
        <f t="shared" si="65"/>
        <v>-28148.105982515961</v>
      </c>
      <c r="D386">
        <f t="shared" si="66"/>
        <v>1311.027863618453</v>
      </c>
      <c r="E386">
        <f t="shared" si="67"/>
        <v>-19647.157369523859</v>
      </c>
      <c r="F386">
        <f>$C$23*(H386/(J386^2+$C$24^2)^1.5)+$C$32*(K386/(M386^2+$C$33^2)^1.5)+C$41*(N386/(P386^2+$C$42^2)^1.5)</f>
        <v>-17095.280706630227</v>
      </c>
      <c r="G386">
        <f>$C$23*(I386/(J386^2+$C$24^2)^1.5)+$C$32*(L386/(M386^2+$C$33^2)^1.5)+C$41*(O386/(P386^2+$C$42^2)^1.5)</f>
        <v>884.81797403957125</v>
      </c>
      <c r="H386" s="3">
        <f t="shared" si="68"/>
        <v>16402.191041707487</v>
      </c>
      <c r="I386" s="3">
        <f t="shared" si="69"/>
        <v>43148.105982515961</v>
      </c>
      <c r="J386" s="3">
        <f t="shared" si="70"/>
        <v>46160.490907778476</v>
      </c>
      <c r="K386" s="3">
        <f t="shared" si="71"/>
        <v>-23597.808958292513</v>
      </c>
      <c r="L386" s="3">
        <f t="shared" si="72"/>
        <v>48148.105982515961</v>
      </c>
      <c r="M386" s="3">
        <f t="shared" si="73"/>
        <v>53619.928173540662</v>
      </c>
      <c r="N386" s="3">
        <f t="shared" si="74"/>
        <v>-8597.8089582925149</v>
      </c>
      <c r="O386" s="3">
        <f t="shared" si="75"/>
        <v>-1851.8940174840391</v>
      </c>
      <c r="P386" s="3">
        <f t="shared" si="76"/>
        <v>8794.9889332101029</v>
      </c>
    </row>
    <row r="387" spans="1:16" x14ac:dyDescent="0.25">
      <c r="A387">
        <f t="shared" si="63"/>
        <v>155.5</v>
      </c>
      <c r="B387">
        <f t="shared" si="64"/>
        <v>-20.497286555815663</v>
      </c>
      <c r="C387">
        <f t="shared" si="65"/>
        <v>-37750.480173768003</v>
      </c>
      <c r="D387">
        <f t="shared" si="66"/>
        <v>-7236.6124896966603</v>
      </c>
      <c r="E387">
        <f t="shared" si="67"/>
        <v>-19204.748382504073</v>
      </c>
      <c r="F387">
        <f>$C$23*(H387/(J387^2+$C$24^2)^1.5)+$C$32*(K387/(M387^2+$C$33^2)^1.5)+C$41*(N387/(P387^2+$C$42^2)^1.5)</f>
        <v>-9374.4139565117639</v>
      </c>
      <c r="G387">
        <f>$C$23*(I387/(J387^2+$C$24^2)^1.5)+$C$32*(L387/(M387^2+$C$33^2)^1.5)+C$41*(O387/(P387^2+$C$42^2)^1.5)</f>
        <v>16345.258101701904</v>
      </c>
      <c r="H387" s="3">
        <f t="shared" si="68"/>
        <v>20020.497286555816</v>
      </c>
      <c r="I387" s="3">
        <f t="shared" si="69"/>
        <v>52750.480173768003</v>
      </c>
      <c r="J387" s="3">
        <f t="shared" si="70"/>
        <v>56421.92366593043</v>
      </c>
      <c r="K387" s="3">
        <f t="shared" si="71"/>
        <v>-19979.502713444184</v>
      </c>
      <c r="L387" s="3">
        <f t="shared" si="72"/>
        <v>57750.480173768003</v>
      </c>
      <c r="M387" s="3">
        <f t="shared" si="73"/>
        <v>61108.90678925041</v>
      </c>
      <c r="N387" s="3">
        <f t="shared" si="74"/>
        <v>-4979.5027134441843</v>
      </c>
      <c r="O387" s="3">
        <f t="shared" si="75"/>
        <v>7750.4801737680027</v>
      </c>
      <c r="P387" s="3">
        <f t="shared" si="76"/>
        <v>9212.2413232160216</v>
      </c>
    </row>
    <row r="388" spans="1:16" x14ac:dyDescent="0.25">
      <c r="A388">
        <f t="shared" si="63"/>
        <v>156</v>
      </c>
      <c r="B388">
        <f t="shared" si="64"/>
        <v>-5982.4070205320868</v>
      </c>
      <c r="C388">
        <f t="shared" si="65"/>
        <v>-43266.539839594559</v>
      </c>
      <c r="D388">
        <f t="shared" si="66"/>
        <v>-11923.819467952542</v>
      </c>
      <c r="E388">
        <f t="shared" si="67"/>
        <v>-11032.119331653121</v>
      </c>
      <c r="F388">
        <f>$C$23*(H388/(J388^2+$C$24^2)^1.5)+$C$32*(K388/(M388^2+$C$33^2)^1.5)+C$41*(N388/(P388^2+$C$42^2)^1.5)</f>
        <v>271.2564240589362</v>
      </c>
      <c r="G388">
        <f>$C$23*(I388/(J388^2+$C$24^2)^1.5)+$C$32*(L388/(M388^2+$C$33^2)^1.5)+C$41*(O388/(P388^2+$C$42^2)^1.5)</f>
        <v>15211.927984167593</v>
      </c>
      <c r="H388" s="3">
        <f t="shared" si="68"/>
        <v>25982.407020532086</v>
      </c>
      <c r="I388" s="3">
        <f t="shared" si="69"/>
        <v>58266.539839594559</v>
      </c>
      <c r="J388" s="3">
        <f t="shared" si="70"/>
        <v>63797.14052729679</v>
      </c>
      <c r="K388" s="3">
        <f t="shared" si="71"/>
        <v>-14017.592979467914</v>
      </c>
      <c r="L388" s="3">
        <f t="shared" si="72"/>
        <v>63266.539839594559</v>
      </c>
      <c r="M388" s="3">
        <f t="shared" si="73"/>
        <v>64800.833144435994</v>
      </c>
      <c r="N388" s="3">
        <f t="shared" si="74"/>
        <v>982.40702053208679</v>
      </c>
      <c r="O388" s="3">
        <f t="shared" si="75"/>
        <v>13266.539839594559</v>
      </c>
      <c r="P388" s="3">
        <f t="shared" si="76"/>
        <v>13302.864461067787</v>
      </c>
    </row>
    <row r="389" spans="1:16" x14ac:dyDescent="0.25">
      <c r="A389">
        <f t="shared" si="63"/>
        <v>156.5</v>
      </c>
      <c r="B389">
        <f t="shared" si="64"/>
        <v>-11876.502648493624</v>
      </c>
      <c r="C389">
        <f t="shared" si="65"/>
        <v>-44979.617509379226</v>
      </c>
      <c r="D389">
        <f t="shared" si="66"/>
        <v>-11788.191255923075</v>
      </c>
      <c r="E389">
        <f t="shared" si="67"/>
        <v>-3426.1553395693245</v>
      </c>
      <c r="F389">
        <f>$C$23*(H389/(J389^2+$C$24^2)^1.5)+$C$32*(K389/(M389^2+$C$33^2)^1.5)+C$41*(N389/(P389^2+$C$42^2)^1.5)</f>
        <v>3693.9339236754322</v>
      </c>
      <c r="G389">
        <f>$C$23*(I389/(J389^2+$C$24^2)^1.5)+$C$32*(L389/(M389^2+$C$33^2)^1.5)+C$41*(O389/(P389^2+$C$42^2)^1.5)</f>
        <v>11885.823368434336</v>
      </c>
      <c r="H389" s="3">
        <f t="shared" si="68"/>
        <v>31876.502648493624</v>
      </c>
      <c r="I389" s="3">
        <f t="shared" si="69"/>
        <v>59979.617509379226</v>
      </c>
      <c r="J389" s="3">
        <f t="shared" si="70"/>
        <v>67923.971745407034</v>
      </c>
      <c r="K389" s="3">
        <f t="shared" si="71"/>
        <v>-8123.4973515063757</v>
      </c>
      <c r="L389" s="3">
        <f t="shared" si="72"/>
        <v>64979.617509379226</v>
      </c>
      <c r="M389" s="3">
        <f t="shared" si="73"/>
        <v>65485.432738015515</v>
      </c>
      <c r="N389" s="3">
        <f t="shared" si="74"/>
        <v>6876.5026484936243</v>
      </c>
      <c r="O389" s="3">
        <f t="shared" si="75"/>
        <v>14979.617509379226</v>
      </c>
      <c r="P389" s="3">
        <f t="shared" si="76"/>
        <v>16482.573506647575</v>
      </c>
    </row>
    <row r="390" spans="1:16" x14ac:dyDescent="0.25">
      <c r="A390">
        <f t="shared" si="63"/>
        <v>157</v>
      </c>
      <c r="B390">
        <f t="shared" si="64"/>
        <v>-16847.114795536305</v>
      </c>
      <c r="C390">
        <f t="shared" si="65"/>
        <v>-43721.239337055304</v>
      </c>
      <c r="D390">
        <f t="shared" si="66"/>
        <v>-9941.2242940853594</v>
      </c>
      <c r="E390">
        <f t="shared" si="67"/>
        <v>2516.7563446478434</v>
      </c>
      <c r="F390">
        <f>$C$23*(H390/(J390^2+$C$24^2)^1.5)+$C$32*(K390/(M390^2+$C$33^2)^1.5)+C$41*(N390/(P390^2+$C$42^2)^1.5)</f>
        <v>5491.3242421218702</v>
      </c>
      <c r="G390">
        <f>$C$23*(I390/(J390^2+$C$24^2)^1.5)+$C$32*(L390/(M390^2+$C$33^2)^1.5)+C$41*(O390/(P390^2+$C$42^2)^1.5)</f>
        <v>9768.4183411554241</v>
      </c>
      <c r="H390" s="3">
        <f t="shared" si="68"/>
        <v>36847.114795536305</v>
      </c>
      <c r="I390" s="3">
        <f t="shared" si="69"/>
        <v>58721.239337055304</v>
      </c>
      <c r="J390" s="3">
        <f t="shared" si="70"/>
        <v>69324.554221683691</v>
      </c>
      <c r="K390" s="3">
        <f t="shared" si="71"/>
        <v>-3152.8852044636951</v>
      </c>
      <c r="L390" s="3">
        <f t="shared" si="72"/>
        <v>63721.239337055304</v>
      </c>
      <c r="M390" s="3">
        <f t="shared" si="73"/>
        <v>63799.193002441731</v>
      </c>
      <c r="N390" s="3">
        <f t="shared" si="74"/>
        <v>11847.114795536305</v>
      </c>
      <c r="O390" s="3">
        <f t="shared" si="75"/>
        <v>13721.239337055304</v>
      </c>
      <c r="P390" s="3">
        <f t="shared" si="76"/>
        <v>18128.059408645182</v>
      </c>
    </row>
    <row r="391" spans="1:16" x14ac:dyDescent="0.25">
      <c r="A391">
        <f t="shared" si="63"/>
        <v>157.5</v>
      </c>
      <c r="B391">
        <f t="shared" si="64"/>
        <v>-20444.895882048517</v>
      </c>
      <c r="C391">
        <f t="shared" si="65"/>
        <v>-40020.756579442525</v>
      </c>
      <c r="D391">
        <f t="shared" si="66"/>
        <v>-7195.5621730244238</v>
      </c>
      <c r="E391">
        <f t="shared" si="67"/>
        <v>7400.9655152255555</v>
      </c>
      <c r="F391">
        <f>$C$23*(H391/(J391^2+$C$24^2)^1.5)+$C$32*(K391/(M391^2+$C$33^2)^1.5)+C$41*(N391/(P391^2+$C$42^2)^1.5)</f>
        <v>7127.071625157645</v>
      </c>
      <c r="G391">
        <f>$C$23*(I391/(J391^2+$C$24^2)^1.5)+$C$32*(L391/(M391^2+$C$33^2)^1.5)+C$41*(O391/(P391^2+$C$42^2)^1.5)</f>
        <v>8236.9072030925563</v>
      </c>
      <c r="H391" s="3">
        <f t="shared" si="68"/>
        <v>40444.895882048513</v>
      </c>
      <c r="I391" s="3">
        <f t="shared" si="69"/>
        <v>55020.756579442525</v>
      </c>
      <c r="J391" s="3">
        <f t="shared" si="70"/>
        <v>68286.698979259585</v>
      </c>
      <c r="K391" s="3">
        <f t="shared" si="71"/>
        <v>444.8958820485168</v>
      </c>
      <c r="L391" s="3">
        <f t="shared" si="72"/>
        <v>60020.756579442525</v>
      </c>
      <c r="M391" s="3">
        <f t="shared" si="73"/>
        <v>60022.405422596625</v>
      </c>
      <c r="N391" s="3">
        <f t="shared" si="74"/>
        <v>15444.895882048517</v>
      </c>
      <c r="O391" s="3">
        <f t="shared" si="75"/>
        <v>10020.756579442525</v>
      </c>
      <c r="P391" s="3">
        <f t="shared" si="76"/>
        <v>18410.876438446918</v>
      </c>
    </row>
    <row r="392" spans="1:16" x14ac:dyDescent="0.25">
      <c r="A392">
        <f t="shared" si="63"/>
        <v>158</v>
      </c>
      <c r="B392">
        <f t="shared" si="64"/>
        <v>-22260.909062271319</v>
      </c>
      <c r="C392">
        <f t="shared" si="65"/>
        <v>-34261.047021056605</v>
      </c>
      <c r="D392">
        <f t="shared" si="66"/>
        <v>-3632.0263604456013</v>
      </c>
      <c r="E392">
        <f t="shared" si="67"/>
        <v>11519.419116771835</v>
      </c>
      <c r="F392">
        <f>$C$23*(H392/(J392^2+$C$24^2)^1.5)+$C$32*(K392/(M392^2+$C$33^2)^1.5)+C$41*(N392/(P392^2+$C$42^2)^1.5)</f>
        <v>8777.4207463067396</v>
      </c>
      <c r="G392">
        <f>$C$23*(I392/(J392^2+$C$24^2)^1.5)+$C$32*(L392/(M392^2+$C$33^2)^1.5)+C$41*(O392/(P392^2+$C$42^2)^1.5)</f>
        <v>6485.4605004543519</v>
      </c>
      <c r="H392" s="3">
        <f t="shared" si="68"/>
        <v>42260.909062271319</v>
      </c>
      <c r="I392" s="3">
        <f t="shared" si="69"/>
        <v>49261.047021056605</v>
      </c>
      <c r="J392" s="3">
        <f t="shared" si="70"/>
        <v>64904.816372749381</v>
      </c>
      <c r="K392" s="3">
        <f t="shared" si="71"/>
        <v>2260.9090622713193</v>
      </c>
      <c r="L392" s="3">
        <f t="shared" si="72"/>
        <v>54261.047021056605</v>
      </c>
      <c r="M392" s="3">
        <f t="shared" si="73"/>
        <v>54308.129535173422</v>
      </c>
      <c r="N392" s="3">
        <f t="shared" si="74"/>
        <v>17260.909062271319</v>
      </c>
      <c r="O392" s="3">
        <f t="shared" si="75"/>
        <v>4261.0470210566054</v>
      </c>
      <c r="P392" s="3">
        <f t="shared" si="76"/>
        <v>17779.07487389756</v>
      </c>
    </row>
    <row r="393" spans="1:16" x14ac:dyDescent="0.25">
      <c r="A393">
        <f t="shared" si="63"/>
        <v>158.5</v>
      </c>
      <c r="B393">
        <f t="shared" si="64"/>
        <v>-21882.567055917432</v>
      </c>
      <c r="C393">
        <f t="shared" si="65"/>
        <v>-26879.972337557097</v>
      </c>
      <c r="D393">
        <f t="shared" si="66"/>
        <v>756.68401270776849</v>
      </c>
      <c r="E393">
        <f t="shared" si="67"/>
        <v>14762.14936699901</v>
      </c>
      <c r="F393">
        <f>$C$23*(H393/(J393^2+$C$24^2)^1.5)+$C$32*(K393/(M393^2+$C$33^2)^1.5)+C$41*(N393/(P393^2+$C$42^2)^1.5)</f>
        <v>9343.5443241025096</v>
      </c>
      <c r="G393">
        <f>$C$23*(I393/(J393^2+$C$24^2)^1.5)+$C$32*(L393/(M393^2+$C$33^2)^1.5)+C$41*(O393/(P393^2+$C$42^2)^1.5)</f>
        <v>3983.5967780368628</v>
      </c>
      <c r="H393" s="3">
        <f t="shared" si="68"/>
        <v>41882.567055917432</v>
      </c>
      <c r="I393" s="3">
        <f t="shared" si="69"/>
        <v>41879.972337557097</v>
      </c>
      <c r="J393" s="3">
        <f t="shared" si="70"/>
        <v>59229.059642948647</v>
      </c>
      <c r="K393" s="3">
        <f t="shared" si="71"/>
        <v>1882.5670559174323</v>
      </c>
      <c r="L393" s="3">
        <f t="shared" si="72"/>
        <v>46879.972337557097</v>
      </c>
      <c r="M393" s="3">
        <f t="shared" si="73"/>
        <v>46917.756394462682</v>
      </c>
      <c r="N393" s="3">
        <f t="shared" si="74"/>
        <v>16882.567055917432</v>
      </c>
      <c r="O393" s="3">
        <f t="shared" si="75"/>
        <v>-3120.0276624429025</v>
      </c>
      <c r="P393" s="3">
        <f t="shared" si="76"/>
        <v>17168.449056684112</v>
      </c>
    </row>
    <row r="394" spans="1:16" x14ac:dyDescent="0.25">
      <c r="A394">
        <f t="shared" si="63"/>
        <v>159</v>
      </c>
      <c r="B394">
        <f t="shared" si="64"/>
        <v>-19168.338968537922</v>
      </c>
      <c r="C394">
        <f t="shared" si="65"/>
        <v>-18502.998459548377</v>
      </c>
      <c r="D394">
        <f t="shared" si="66"/>
        <v>5428.4561747590233</v>
      </c>
      <c r="E394">
        <f t="shared" si="67"/>
        <v>16753.947756017442</v>
      </c>
      <c r="F394">
        <f>$C$23*(H394/(J394^2+$C$24^2)^1.5)+$C$32*(K394/(M394^2+$C$33^2)^1.5)+C$41*(N394/(P394^2+$C$42^2)^1.5)</f>
        <v>6569.7280941741201</v>
      </c>
      <c r="G394">
        <f>$C$23*(I394/(J394^2+$C$24^2)^1.5)+$C$32*(L394/(M394^2+$C$33^2)^1.5)+C$41*(O394/(P394^2+$C$42^2)^1.5)</f>
        <v>2490.0626478339309</v>
      </c>
      <c r="H394" s="3">
        <f t="shared" si="68"/>
        <v>39168.338968537922</v>
      </c>
      <c r="I394" s="3">
        <f t="shared" si="69"/>
        <v>33502.998459548377</v>
      </c>
      <c r="J394" s="3">
        <f t="shared" si="70"/>
        <v>51542.309642998996</v>
      </c>
      <c r="K394" s="3">
        <f t="shared" si="71"/>
        <v>-831.66103146207752</v>
      </c>
      <c r="L394" s="3">
        <f t="shared" si="72"/>
        <v>38502.998459548377</v>
      </c>
      <c r="M394" s="3">
        <f t="shared" si="73"/>
        <v>38511.979310952549</v>
      </c>
      <c r="N394" s="3">
        <f t="shared" si="74"/>
        <v>14168.338968537922</v>
      </c>
      <c r="O394" s="3">
        <f t="shared" si="75"/>
        <v>-11497.001540451623</v>
      </c>
      <c r="P394" s="3">
        <f t="shared" si="76"/>
        <v>18246.174216764928</v>
      </c>
    </row>
    <row r="395" spans="1:16" x14ac:dyDescent="0.25">
      <c r="A395">
        <f t="shared" si="63"/>
        <v>159.5</v>
      </c>
      <c r="B395">
        <f t="shared" si="64"/>
        <v>-14811.678857614883</v>
      </c>
      <c r="C395">
        <f t="shared" si="65"/>
        <v>-9503.5089195811724</v>
      </c>
      <c r="D395">
        <f t="shared" si="66"/>
        <v>8713.3202218460829</v>
      </c>
      <c r="E395">
        <f t="shared" si="67"/>
        <v>17998.979079934408</v>
      </c>
      <c r="F395">
        <f>$C$23*(H395/(J395^2+$C$24^2)^1.5)+$C$32*(K395/(M395^2+$C$33^2)^1.5)+C$41*(N395/(P395^2+$C$42^2)^1.5)</f>
        <v>966.53307667616173</v>
      </c>
      <c r="G395">
        <f>$C$23*(I395/(J395^2+$C$24^2)^1.5)+$C$32*(L395/(M395^2+$C$33^2)^1.5)+C$41*(O395/(P395^2+$C$42^2)^1.5)</f>
        <v>5644.9120230812032</v>
      </c>
      <c r="H395" s="3">
        <f t="shared" si="68"/>
        <v>34811.678857614883</v>
      </c>
      <c r="I395" s="3">
        <f t="shared" si="69"/>
        <v>24503.508919581174</v>
      </c>
      <c r="J395" s="3">
        <f t="shared" si="70"/>
        <v>42570.822569662727</v>
      </c>
      <c r="K395" s="3">
        <f t="shared" si="71"/>
        <v>-5188.3211423851171</v>
      </c>
      <c r="L395" s="3">
        <f t="shared" si="72"/>
        <v>29503.508919581174</v>
      </c>
      <c r="M395" s="3">
        <f t="shared" si="73"/>
        <v>29956.229983833517</v>
      </c>
      <c r="N395" s="3">
        <f t="shared" si="74"/>
        <v>9811.6788576148829</v>
      </c>
      <c r="O395" s="3">
        <f t="shared" si="75"/>
        <v>-20496.491080418826</v>
      </c>
      <c r="P395" s="3">
        <f t="shared" si="76"/>
        <v>22723.890261455133</v>
      </c>
    </row>
    <row r="396" spans="1:16" x14ac:dyDescent="0.25">
      <c r="A396">
        <f t="shared" si="63"/>
        <v>160</v>
      </c>
      <c r="B396">
        <f t="shared" si="64"/>
        <v>-10213.385477522801</v>
      </c>
      <c r="C396">
        <f t="shared" si="65"/>
        <v>907.20862615633246</v>
      </c>
      <c r="D396">
        <f t="shared" si="66"/>
        <v>9196.5867601841637</v>
      </c>
      <c r="E396">
        <f t="shared" si="67"/>
        <v>20821.43509147501</v>
      </c>
      <c r="F396">
        <f>$C$23*(H396/(J396^2+$C$24^2)^1.5)+$C$32*(K396/(M396^2+$C$33^2)^1.5)+C$41*(N396/(P396^2+$C$42^2)^1.5)</f>
        <v>-6685.780368595696</v>
      </c>
      <c r="G396">
        <f>$C$23*(I396/(J396^2+$C$24^2)^1.5)+$C$32*(L396/(M396^2+$C$33^2)^1.5)+C$41*(O396/(P396^2+$C$42^2)^1.5)</f>
        <v>11602.489126986617</v>
      </c>
      <c r="H396" s="3">
        <f t="shared" si="68"/>
        <v>30213.385477522803</v>
      </c>
      <c r="I396" s="3">
        <f t="shared" si="69"/>
        <v>14092.791373843667</v>
      </c>
      <c r="J396" s="3">
        <f t="shared" si="70"/>
        <v>33338.497727403199</v>
      </c>
      <c r="K396" s="3">
        <f t="shared" si="71"/>
        <v>-9786.614522477199</v>
      </c>
      <c r="L396" s="3">
        <f t="shared" si="72"/>
        <v>19092.791373843669</v>
      </c>
      <c r="M396" s="3">
        <f t="shared" si="73"/>
        <v>21454.894692276652</v>
      </c>
      <c r="N396" s="3">
        <f t="shared" si="74"/>
        <v>5213.385477522801</v>
      </c>
      <c r="O396" s="3">
        <f t="shared" si="75"/>
        <v>-30907.208626156331</v>
      </c>
      <c r="P396" s="3">
        <f t="shared" si="76"/>
        <v>31343.818101788394</v>
      </c>
    </row>
    <row r="397" spans="1:16" x14ac:dyDescent="0.25">
      <c r="A397">
        <f t="shared" si="63"/>
        <v>160.5</v>
      </c>
      <c r="B397">
        <f t="shared" si="64"/>
        <v>-7286.5371895796434</v>
      </c>
      <c r="C397">
        <f t="shared" si="65"/>
        <v>14218.548453640491</v>
      </c>
      <c r="D397">
        <f t="shared" si="66"/>
        <v>5853.6965758863153</v>
      </c>
      <c r="E397">
        <f t="shared" si="67"/>
        <v>26622.67965496832</v>
      </c>
      <c r="F397">
        <f>$C$23*(H397/(J397^2+$C$24^2)^1.5)+$C$32*(K397/(M397^2+$C$33^2)^1.5)+C$41*(N397/(P397^2+$C$42^2)^1.5)</f>
        <v>-20105.920931153374</v>
      </c>
      <c r="G397">
        <f>$C$23*(I397/(J397^2+$C$24^2)^1.5)+$C$32*(L397/(M397^2+$C$33^2)^1.5)+C$41*(O397/(P397^2+$C$42^2)^1.5)</f>
        <v>7532.5616172434839</v>
      </c>
      <c r="H397" s="3">
        <f t="shared" si="68"/>
        <v>27286.537189579642</v>
      </c>
      <c r="I397" s="3">
        <f t="shared" si="69"/>
        <v>781.45154635950894</v>
      </c>
      <c r="J397" s="3">
        <f t="shared" si="70"/>
        <v>27297.724782802328</v>
      </c>
      <c r="K397" s="3">
        <f t="shared" si="71"/>
        <v>-12713.462810420357</v>
      </c>
      <c r="L397" s="3">
        <f t="shared" si="72"/>
        <v>5781.4515463595089</v>
      </c>
      <c r="M397" s="3">
        <f t="shared" si="73"/>
        <v>13966.292228606855</v>
      </c>
      <c r="N397" s="3">
        <f t="shared" si="74"/>
        <v>2286.5371895796434</v>
      </c>
      <c r="O397" s="3">
        <f t="shared" si="75"/>
        <v>-44218.548453640491</v>
      </c>
      <c r="P397" s="3">
        <f t="shared" si="76"/>
        <v>44277.627303936271</v>
      </c>
    </row>
    <row r="398" spans="1:16" x14ac:dyDescent="0.25">
      <c r="A398">
        <f t="shared" ref="A398:A461" si="77">A397+$C$5</f>
        <v>161</v>
      </c>
      <c r="B398">
        <f t="shared" ref="B398:B461" si="78">B397+D397*(A398-A397)+F397*(A398-A397)^2</f>
        <v>-9386.1691344248284</v>
      </c>
      <c r="C398">
        <f t="shared" ref="C398:C461" si="79">C397+E397*(A398-A397)+G397*(A398-A397)^2</f>
        <v>29413.028685435522</v>
      </c>
      <c r="D398">
        <f t="shared" ref="D398:D461" si="80">D397+F397*(A398-A397)</f>
        <v>-4199.2638896903718</v>
      </c>
      <c r="E398">
        <f t="shared" ref="E398:E461" si="81">E397+G397*(A398-A397)</f>
        <v>30388.960463590061</v>
      </c>
      <c r="F398">
        <f>$C$23*(H398/(J398^2+$C$24^2)^1.5)+$C$32*(K398/(M398^2+$C$33^2)^1.5)+C$41*(N398/(P398^2+$C$42^2)^1.5)</f>
        <v>-16542.781054565199</v>
      </c>
      <c r="G398">
        <f>$C$23*(I398/(J398^2+$C$24^2)^1.5)+$C$32*(L398/(M398^2+$C$33^2)^1.5)+C$41*(O398/(P398^2+$C$42^2)^1.5)</f>
        <v>-16457.937636165476</v>
      </c>
      <c r="H398" s="3">
        <f t="shared" ref="H398:H461" si="82">$C$19-B398</f>
        <v>29386.169134424828</v>
      </c>
      <c r="I398" s="3">
        <f t="shared" ref="I398:I461" si="83">$D$19-C398</f>
        <v>-14413.028685435522</v>
      </c>
      <c r="J398" s="3">
        <f t="shared" ref="J398:J461" si="84">SQRT(H398^2+I398^2)</f>
        <v>32730.449619340852</v>
      </c>
      <c r="K398" s="3">
        <f t="shared" ref="K398:K461" si="85">$C$28-B398</f>
        <v>-10613.830865575172</v>
      </c>
      <c r="L398" s="3">
        <f t="shared" ref="L398:L461" si="86">$D$28-C398</f>
        <v>-9413.0286854355218</v>
      </c>
      <c r="M398" s="3">
        <f t="shared" ref="M398:M461" si="87">SQRT(K398^2+L398^2)</f>
        <v>14186.561058828464</v>
      </c>
      <c r="N398" s="3">
        <f t="shared" ref="N398:N461" si="88">$C$37-B398</f>
        <v>4386.1691344248284</v>
      </c>
      <c r="O398" s="3">
        <f t="shared" ref="O398:O461" si="89">$D$37-C398</f>
        <v>-59413.028685435522</v>
      </c>
      <c r="P398" s="3">
        <f t="shared" ref="P398:P461" si="90">SQRT(N398^2+O398^2)</f>
        <v>59574.713236843745</v>
      </c>
    </row>
    <row r="399" spans="1:16" x14ac:dyDescent="0.25">
      <c r="A399">
        <f t="shared" si="77"/>
        <v>161.5</v>
      </c>
      <c r="B399">
        <f t="shared" si="78"/>
        <v>-15621.496342911316</v>
      </c>
      <c r="C399">
        <f t="shared" si="79"/>
        <v>40493.024508189184</v>
      </c>
      <c r="D399">
        <f t="shared" si="80"/>
        <v>-12470.654416972971</v>
      </c>
      <c r="E399">
        <f t="shared" si="81"/>
        <v>22159.991645507325</v>
      </c>
      <c r="F399">
        <f>$C$23*(H399/(J399^2+$C$24^2)^1.5)+$C$32*(K399/(M399^2+$C$33^2)^1.5)+C$41*(N399/(P399^2+$C$42^2)^1.5)</f>
        <v>-3279.7166219744277</v>
      </c>
      <c r="G399">
        <f>$C$23*(I399/(J399^2+$C$24^2)^1.5)+$C$32*(L399/(M399^2+$C$33^2)^1.5)+C$41*(O399/(P399^2+$C$42^2)^1.5)</f>
        <v>-17874.44548077818</v>
      </c>
      <c r="H399" s="3">
        <f t="shared" si="82"/>
        <v>35621.496342911312</v>
      </c>
      <c r="I399" s="3">
        <f t="shared" si="83"/>
        <v>-25493.024508189184</v>
      </c>
      <c r="J399" s="3">
        <f t="shared" si="84"/>
        <v>43803.94160669994</v>
      </c>
      <c r="K399" s="3">
        <f t="shared" si="85"/>
        <v>-4378.5036570886841</v>
      </c>
      <c r="L399" s="3">
        <f t="shared" si="86"/>
        <v>-20493.024508189184</v>
      </c>
      <c r="M399" s="3">
        <f t="shared" si="87"/>
        <v>20955.556489112416</v>
      </c>
      <c r="N399" s="3">
        <f t="shared" si="88"/>
        <v>10621.496342911316</v>
      </c>
      <c r="O399" s="3">
        <f t="shared" si="89"/>
        <v>-70493.024508189177</v>
      </c>
      <c r="P399" s="3">
        <f t="shared" si="90"/>
        <v>71288.727642416488</v>
      </c>
    </row>
    <row r="400" spans="1:16" x14ac:dyDescent="0.25">
      <c r="A400">
        <f t="shared" si="77"/>
        <v>162</v>
      </c>
      <c r="B400">
        <f t="shared" si="78"/>
        <v>-22676.752706891406</v>
      </c>
      <c r="C400">
        <f t="shared" si="79"/>
        <v>47104.408960748304</v>
      </c>
      <c r="D400">
        <f t="shared" si="80"/>
        <v>-14110.512727960186</v>
      </c>
      <c r="E400">
        <f t="shared" si="81"/>
        <v>13222.768905118235</v>
      </c>
      <c r="F400">
        <f>$C$23*(H400/(J400^2+$C$24^2)^1.5)+$C$32*(K400/(M400^2+$C$33^2)^1.5)+C$41*(N400/(P400^2+$C$42^2)^1.5)</f>
        <v>1549.6707894536737</v>
      </c>
      <c r="G400">
        <f>$C$23*(I400/(J400^2+$C$24^2)^1.5)+$C$32*(L400/(M400^2+$C$33^2)^1.5)+C$41*(O400/(P400^2+$C$42^2)^1.5)</f>
        <v>-13492.479557172906</v>
      </c>
      <c r="H400" s="3">
        <f t="shared" si="82"/>
        <v>42676.752706891406</v>
      </c>
      <c r="I400" s="3">
        <f t="shared" si="83"/>
        <v>-32104.408960748304</v>
      </c>
      <c r="J400" s="3">
        <f t="shared" si="84"/>
        <v>53404.103740481769</v>
      </c>
      <c r="K400" s="3">
        <f t="shared" si="85"/>
        <v>2676.752706891406</v>
      </c>
      <c r="L400" s="3">
        <f t="shared" si="86"/>
        <v>-27104.408960748304</v>
      </c>
      <c r="M400" s="3">
        <f t="shared" si="87"/>
        <v>27236.262411816777</v>
      </c>
      <c r="N400" s="3">
        <f t="shared" si="88"/>
        <v>17676.752706891406</v>
      </c>
      <c r="O400" s="3">
        <f t="shared" si="89"/>
        <v>-77104.408960748304</v>
      </c>
      <c r="P400" s="3">
        <f t="shared" si="90"/>
        <v>79104.724684729896</v>
      </c>
    </row>
    <row r="401" spans="1:16" x14ac:dyDescent="0.25">
      <c r="A401">
        <f t="shared" si="77"/>
        <v>162.5</v>
      </c>
      <c r="B401">
        <f t="shared" si="78"/>
        <v>-29344.591373508083</v>
      </c>
      <c r="C401">
        <f t="shared" si="79"/>
        <v>50342.673524014193</v>
      </c>
      <c r="D401">
        <f t="shared" si="80"/>
        <v>-13335.677333233349</v>
      </c>
      <c r="E401">
        <f t="shared" si="81"/>
        <v>6476.5291265317819</v>
      </c>
      <c r="F401">
        <f>$C$23*(H401/(J401^2+$C$24^2)^1.5)+$C$32*(K401/(M401^2+$C$33^2)^1.5)+C$41*(N401/(P401^2+$C$42^2)^1.5)</f>
        <v>3334.3885540519095</v>
      </c>
      <c r="G401">
        <f>$C$23*(I401/(J401^2+$C$24^2)^1.5)+$C$32*(L401/(M401^2+$C$33^2)^1.5)+C$41*(O401/(P401^2+$C$42^2)^1.5)</f>
        <v>-10546.527461987171</v>
      </c>
      <c r="H401" s="3">
        <f t="shared" si="82"/>
        <v>49344.591373508083</v>
      </c>
      <c r="I401" s="3">
        <f t="shared" si="83"/>
        <v>-35342.673524014193</v>
      </c>
      <c r="J401" s="3">
        <f t="shared" si="84"/>
        <v>60695.908178752397</v>
      </c>
      <c r="K401" s="3">
        <f t="shared" si="85"/>
        <v>9344.5913735080831</v>
      </c>
      <c r="L401" s="3">
        <f t="shared" si="86"/>
        <v>-30342.673524014193</v>
      </c>
      <c r="M401" s="3">
        <f t="shared" si="87"/>
        <v>31749.003520154041</v>
      </c>
      <c r="N401" s="3">
        <f t="shared" si="88"/>
        <v>24344.591373508083</v>
      </c>
      <c r="O401" s="3">
        <f t="shared" si="89"/>
        <v>-80342.673524014186</v>
      </c>
      <c r="P401" s="3">
        <f t="shared" si="90"/>
        <v>83950.010828643819</v>
      </c>
    </row>
    <row r="402" spans="1:16" x14ac:dyDescent="0.25">
      <c r="A402">
        <f t="shared" si="77"/>
        <v>163</v>
      </c>
      <c r="B402">
        <f t="shared" si="78"/>
        <v>-35178.832901611786</v>
      </c>
      <c r="C402">
        <f t="shared" si="79"/>
        <v>50944.306221783292</v>
      </c>
      <c r="D402">
        <f t="shared" si="80"/>
        <v>-11668.483056207395</v>
      </c>
      <c r="E402">
        <f t="shared" si="81"/>
        <v>1203.2653955381966</v>
      </c>
      <c r="F402">
        <f>$C$23*(H402/(J402^2+$C$24^2)^1.5)+$C$32*(K402/(M402^2+$C$33^2)^1.5)+C$41*(N402/(P402^2+$C$42^2)^1.5)</f>
        <v>4332.7896336606946</v>
      </c>
      <c r="G402">
        <f>$C$23*(I402/(J402^2+$C$24^2)^1.5)+$C$32*(L402/(M402^2+$C$33^2)^1.5)+C$41*(O402/(P402^2+$C$42^2)^1.5)</f>
        <v>-8817.5873148697337</v>
      </c>
      <c r="H402" s="3">
        <f t="shared" si="82"/>
        <v>55178.832901611786</v>
      </c>
      <c r="I402" s="3">
        <f t="shared" si="83"/>
        <v>-35944.306221783292</v>
      </c>
      <c r="J402" s="3">
        <f t="shared" si="84"/>
        <v>65853.60088977158</v>
      </c>
      <c r="K402" s="3">
        <f t="shared" si="85"/>
        <v>15178.832901611786</v>
      </c>
      <c r="L402" s="3">
        <f t="shared" si="86"/>
        <v>-30944.306221783292</v>
      </c>
      <c r="M402" s="3">
        <f t="shared" si="87"/>
        <v>34466.607837188574</v>
      </c>
      <c r="N402" s="3">
        <f t="shared" si="88"/>
        <v>30178.832901611786</v>
      </c>
      <c r="O402" s="3">
        <f t="shared" si="89"/>
        <v>-80944.306221783292</v>
      </c>
      <c r="P402" s="3">
        <f t="shared" si="90"/>
        <v>86387.167247394042</v>
      </c>
    </row>
    <row r="403" spans="1:16" x14ac:dyDescent="0.25">
      <c r="A403">
        <f t="shared" si="77"/>
        <v>163.5</v>
      </c>
      <c r="B403">
        <f t="shared" si="78"/>
        <v>-39929.877021300308</v>
      </c>
      <c r="C403">
        <f t="shared" si="79"/>
        <v>49341.542090834955</v>
      </c>
      <c r="D403">
        <f t="shared" si="80"/>
        <v>-9502.088239377048</v>
      </c>
      <c r="E403">
        <f t="shared" si="81"/>
        <v>-3205.5282618966703</v>
      </c>
      <c r="F403">
        <f>$C$23*(H403/(J403^2+$C$24^2)^1.5)+$C$32*(K403/(M403^2+$C$33^2)^1.5)+C$41*(N403/(P403^2+$C$42^2)^1.5)</f>
        <v>5247.52475945897</v>
      </c>
      <c r="G403">
        <f>$C$23*(I403/(J403^2+$C$24^2)^1.5)+$C$32*(L403/(M403^2+$C$33^2)^1.5)+C$41*(O403/(P403^2+$C$42^2)^1.5)</f>
        <v>-7816.6204334601262</v>
      </c>
      <c r="H403" s="3">
        <f t="shared" si="82"/>
        <v>59929.877021300308</v>
      </c>
      <c r="I403" s="3">
        <f t="shared" si="83"/>
        <v>-34341.542090834955</v>
      </c>
      <c r="J403" s="3">
        <f t="shared" si="84"/>
        <v>69071.931151262645</v>
      </c>
      <c r="K403" s="3">
        <f t="shared" si="85"/>
        <v>19929.877021300308</v>
      </c>
      <c r="L403" s="3">
        <f t="shared" si="86"/>
        <v>-29341.542090834955</v>
      </c>
      <c r="M403" s="3">
        <f t="shared" si="87"/>
        <v>35470.073165309281</v>
      </c>
      <c r="N403" s="3">
        <f t="shared" si="88"/>
        <v>34929.877021300308</v>
      </c>
      <c r="O403" s="3">
        <f t="shared" si="89"/>
        <v>-79341.542090834962</v>
      </c>
      <c r="P403" s="3">
        <f t="shared" si="90"/>
        <v>86690.118295425695</v>
      </c>
    </row>
    <row r="404" spans="1:16" x14ac:dyDescent="0.25">
      <c r="A404">
        <f t="shared" si="77"/>
        <v>164</v>
      </c>
      <c r="B404">
        <f t="shared" si="78"/>
        <v>-43369.03995112409</v>
      </c>
      <c r="C404">
        <f t="shared" si="79"/>
        <v>45784.622851521584</v>
      </c>
      <c r="D404">
        <f t="shared" si="80"/>
        <v>-6878.3258596475625</v>
      </c>
      <c r="E404">
        <f t="shared" si="81"/>
        <v>-7113.8384786267334</v>
      </c>
      <c r="F404">
        <f>$C$23*(H404/(J404^2+$C$24^2)^1.5)+$C$32*(K404/(M404^2+$C$33^2)^1.5)+C$41*(N404/(P404^2+$C$42^2)^1.5)</f>
        <v>6422.4613513932309</v>
      </c>
      <c r="G404">
        <f>$C$23*(I404/(J404^2+$C$24^2)^1.5)+$C$32*(L404/(M404^2+$C$33^2)^1.5)+C$41*(O404/(P404^2+$C$42^2)^1.5)</f>
        <v>-7252.1004898099736</v>
      </c>
      <c r="H404" s="3">
        <f t="shared" si="82"/>
        <v>63369.03995112409</v>
      </c>
      <c r="I404" s="3">
        <f t="shared" si="83"/>
        <v>-30784.622851521584</v>
      </c>
      <c r="J404" s="3">
        <f t="shared" si="84"/>
        <v>70450.892318249491</v>
      </c>
      <c r="K404" s="3">
        <f t="shared" si="85"/>
        <v>23369.03995112409</v>
      </c>
      <c r="L404" s="3">
        <f t="shared" si="86"/>
        <v>-25784.622851521584</v>
      </c>
      <c r="M404" s="3">
        <f t="shared" si="87"/>
        <v>34798.833368842163</v>
      </c>
      <c r="N404" s="3">
        <f t="shared" si="88"/>
        <v>38369.03995112409</v>
      </c>
      <c r="O404" s="3">
        <f t="shared" si="89"/>
        <v>-75784.622851521592</v>
      </c>
      <c r="P404" s="3">
        <f t="shared" si="90"/>
        <v>84944.053867933137</v>
      </c>
    </row>
    <row r="405" spans="1:16" x14ac:dyDescent="0.25">
      <c r="A405">
        <f t="shared" si="77"/>
        <v>164.5</v>
      </c>
      <c r="B405">
        <f t="shared" si="78"/>
        <v>-45202.587543099566</v>
      </c>
      <c r="C405">
        <f t="shared" si="79"/>
        <v>40414.67848975573</v>
      </c>
      <c r="D405">
        <f t="shared" si="80"/>
        <v>-3667.0951839509471</v>
      </c>
      <c r="E405">
        <f t="shared" si="81"/>
        <v>-10739.88872353172</v>
      </c>
      <c r="F405">
        <f>$C$23*(H405/(J405^2+$C$24^2)^1.5)+$C$32*(K405/(M405^2+$C$33^2)^1.5)+C$41*(N405/(P405^2+$C$42^2)^1.5)</f>
        <v>8215.9980748145517</v>
      </c>
      <c r="G405">
        <f>$C$23*(I405/(J405^2+$C$24^2)^1.5)+$C$32*(L405/(M405^2+$C$33^2)^1.5)+C$41*(O405/(P405^2+$C$42^2)^1.5)</f>
        <v>-6904.3572545370926</v>
      </c>
      <c r="H405" s="3">
        <f t="shared" si="82"/>
        <v>65202.587543099566</v>
      </c>
      <c r="I405" s="3">
        <f t="shared" si="83"/>
        <v>-25414.67848975573</v>
      </c>
      <c r="J405" s="3">
        <f t="shared" si="84"/>
        <v>69980.59234568692</v>
      </c>
      <c r="K405" s="3">
        <f t="shared" si="85"/>
        <v>25202.587543099566</v>
      </c>
      <c r="L405" s="3">
        <f t="shared" si="86"/>
        <v>-20414.67848975573</v>
      </c>
      <c r="M405" s="3">
        <f t="shared" si="87"/>
        <v>32433.462915755583</v>
      </c>
      <c r="N405" s="3">
        <f t="shared" si="88"/>
        <v>40202.587543099566</v>
      </c>
      <c r="O405" s="3">
        <f t="shared" si="89"/>
        <v>-70414.678489755723</v>
      </c>
      <c r="P405" s="3">
        <f t="shared" si="90"/>
        <v>81083.136298346595</v>
      </c>
    </row>
    <row r="406" spans="1:16" x14ac:dyDescent="0.25">
      <c r="A406">
        <f t="shared" si="77"/>
        <v>165</v>
      </c>
      <c r="B406">
        <f t="shared" si="78"/>
        <v>-44982.135616371401</v>
      </c>
      <c r="C406">
        <f t="shared" si="79"/>
        <v>33318.644814355597</v>
      </c>
      <c r="D406">
        <f t="shared" si="80"/>
        <v>440.90385345632876</v>
      </c>
      <c r="E406">
        <f t="shared" si="81"/>
        <v>-14192.067350800266</v>
      </c>
      <c r="F406">
        <f>$C$23*(H406/(J406^2+$C$24^2)^1.5)+$C$32*(K406/(M406^2+$C$33^2)^1.5)+C$41*(N406/(P406^2+$C$42^2)^1.5)</f>
        <v>11236.877163872028</v>
      </c>
      <c r="G406">
        <f>$C$23*(I406/(J406^2+$C$24^2)^1.5)+$C$32*(L406/(M406^2+$C$33^2)^1.5)+C$41*(O406/(P406^2+$C$42^2)^1.5)</f>
        <v>-6371.1355210908578</v>
      </c>
      <c r="H406" s="3">
        <f t="shared" si="82"/>
        <v>64982.135616371401</v>
      </c>
      <c r="I406" s="3">
        <f t="shared" si="83"/>
        <v>-18318.644814355597</v>
      </c>
      <c r="J406" s="3">
        <f t="shared" si="84"/>
        <v>67514.818351966271</v>
      </c>
      <c r="K406" s="3">
        <f t="shared" si="85"/>
        <v>24982.135616371401</v>
      </c>
      <c r="L406" s="3">
        <f t="shared" si="86"/>
        <v>-13318.644814355597</v>
      </c>
      <c r="M406" s="3">
        <f t="shared" si="87"/>
        <v>28310.65876389551</v>
      </c>
      <c r="N406" s="3">
        <f t="shared" si="88"/>
        <v>39982.135616371401</v>
      </c>
      <c r="O406" s="3">
        <f t="shared" si="89"/>
        <v>-63318.644814355597</v>
      </c>
      <c r="P406" s="3">
        <f t="shared" si="90"/>
        <v>74885.392097340562</v>
      </c>
    </row>
    <row r="407" spans="1:16" x14ac:dyDescent="0.25">
      <c r="A407">
        <f t="shared" si="77"/>
        <v>165.5</v>
      </c>
      <c r="B407">
        <f t="shared" si="78"/>
        <v>-41952.464398675227</v>
      </c>
      <c r="C407">
        <f t="shared" si="79"/>
        <v>24629.827258682752</v>
      </c>
      <c r="D407">
        <f t="shared" si="80"/>
        <v>6059.3424353923428</v>
      </c>
      <c r="E407">
        <f t="shared" si="81"/>
        <v>-17377.635111345695</v>
      </c>
      <c r="F407">
        <f>$C$23*(H407/(J407^2+$C$24^2)^1.5)+$C$32*(K407/(M407^2+$C$33^2)^1.5)+C$41*(N407/(P407^2+$C$42^2)^1.5)</f>
        <v>16440.252974330437</v>
      </c>
      <c r="G407">
        <f>$C$23*(I407/(J407^2+$C$24^2)^1.5)+$C$32*(L407/(M407^2+$C$33^2)^1.5)+C$41*(O407/(P407^2+$C$42^2)^1.5)</f>
        <v>-4120.9745959854763</v>
      </c>
      <c r="H407" s="3">
        <f t="shared" si="82"/>
        <v>61952.464398675227</v>
      </c>
      <c r="I407" s="3">
        <f t="shared" si="83"/>
        <v>-9629.8272586827516</v>
      </c>
      <c r="J407" s="3">
        <f t="shared" si="84"/>
        <v>62696.422689824904</v>
      </c>
      <c r="K407" s="3">
        <f t="shared" si="85"/>
        <v>21952.464398675227</v>
      </c>
      <c r="L407" s="3">
        <f t="shared" si="86"/>
        <v>-4629.8272586827516</v>
      </c>
      <c r="M407" s="3">
        <f t="shared" si="87"/>
        <v>22435.373712518034</v>
      </c>
      <c r="N407" s="3">
        <f t="shared" si="88"/>
        <v>36952.464398675227</v>
      </c>
      <c r="O407" s="3">
        <f t="shared" si="89"/>
        <v>-54629.827258682752</v>
      </c>
      <c r="P407" s="3">
        <f t="shared" si="90"/>
        <v>65953.791789774128</v>
      </c>
    </row>
    <row r="408" spans="1:16" x14ac:dyDescent="0.25">
      <c r="A408">
        <f t="shared" si="77"/>
        <v>166</v>
      </c>
      <c r="B408">
        <f t="shared" si="78"/>
        <v>-34812.729937396442</v>
      </c>
      <c r="C408">
        <f t="shared" si="79"/>
        <v>14910.766054013535</v>
      </c>
      <c r="D408">
        <f t="shared" si="80"/>
        <v>14279.46892255756</v>
      </c>
      <c r="E408">
        <f t="shared" si="81"/>
        <v>-19438.122409338433</v>
      </c>
      <c r="F408">
        <f>$C$23*(H408/(J408^2+$C$24^2)^1.5)+$C$32*(K408/(M408^2+$C$33^2)^1.5)+C$41*(N408/(P408^2+$C$42^2)^1.5)</f>
        <v>21460.970518216956</v>
      </c>
      <c r="G408">
        <f>$C$23*(I408/(J408^2+$C$24^2)^1.5)+$C$32*(L408/(M408^2+$C$33^2)^1.5)+C$41*(O408/(P408^2+$C$42^2)^1.5)</f>
        <v>5912.5914571464291</v>
      </c>
      <c r="H408" s="3">
        <f t="shared" si="82"/>
        <v>54812.729937396442</v>
      </c>
      <c r="I408" s="3">
        <f t="shared" si="83"/>
        <v>89.233945986465187</v>
      </c>
      <c r="J408" s="3">
        <f t="shared" si="84"/>
        <v>54812.802572821187</v>
      </c>
      <c r="K408" s="3">
        <f t="shared" si="85"/>
        <v>14812.729937396442</v>
      </c>
      <c r="L408" s="3">
        <f t="shared" si="86"/>
        <v>5089.2339459864652</v>
      </c>
      <c r="M408" s="3">
        <f t="shared" si="87"/>
        <v>15662.60739325422</v>
      </c>
      <c r="N408" s="3">
        <f t="shared" si="88"/>
        <v>29812.729937396442</v>
      </c>
      <c r="O408" s="3">
        <f t="shared" si="89"/>
        <v>-44910.766054013533</v>
      </c>
      <c r="P408" s="3">
        <f t="shared" si="90"/>
        <v>53905.248110721732</v>
      </c>
    </row>
    <row r="409" spans="1:16" x14ac:dyDescent="0.25">
      <c r="A409">
        <f t="shared" si="77"/>
        <v>166.5</v>
      </c>
      <c r="B409">
        <f t="shared" si="78"/>
        <v>-22307.752846563424</v>
      </c>
      <c r="C409">
        <f t="shared" si="79"/>
        <v>6669.8527136309258</v>
      </c>
      <c r="D409">
        <f t="shared" si="80"/>
        <v>25009.954181666038</v>
      </c>
      <c r="E409">
        <f t="shared" si="81"/>
        <v>-16481.826680765218</v>
      </c>
      <c r="F409">
        <f>$C$23*(H409/(J409^2+$C$24^2)^1.5)+$C$32*(K409/(M409^2+$C$33^2)^1.5)+C$41*(N409/(P409^2+$C$42^2)^1.5)</f>
        <v>5224.5555852704065</v>
      </c>
      <c r="G409">
        <f>$C$23*(I409/(J409^2+$C$24^2)^1.5)+$C$32*(L409/(M409^2+$C$33^2)^1.5)+C$41*(O409/(P409^2+$C$42^2)^1.5)</f>
        <v>20810.074381234826</v>
      </c>
      <c r="H409" s="3">
        <f t="shared" si="82"/>
        <v>42307.752846563424</v>
      </c>
      <c r="I409" s="3">
        <f t="shared" si="83"/>
        <v>8330.1472863690742</v>
      </c>
      <c r="J409" s="3">
        <f t="shared" si="84"/>
        <v>43120.033682019515</v>
      </c>
      <c r="K409" s="3">
        <f t="shared" si="85"/>
        <v>2307.7528465634241</v>
      </c>
      <c r="L409" s="3">
        <f t="shared" si="86"/>
        <v>13330.147286369074</v>
      </c>
      <c r="M409" s="3">
        <f t="shared" si="87"/>
        <v>13528.434864281766</v>
      </c>
      <c r="N409" s="3">
        <f t="shared" si="88"/>
        <v>17307.752846563424</v>
      </c>
      <c r="O409" s="3">
        <f t="shared" si="89"/>
        <v>-36669.852713630928</v>
      </c>
      <c r="P409" s="3">
        <f t="shared" si="90"/>
        <v>40549.185030492408</v>
      </c>
    </row>
    <row r="410" spans="1:16" x14ac:dyDescent="0.25">
      <c r="A410">
        <f t="shared" si="77"/>
        <v>167</v>
      </c>
      <c r="B410">
        <f t="shared" si="78"/>
        <v>-8496.6368594128035</v>
      </c>
      <c r="C410">
        <f t="shared" si="79"/>
        <v>3631.4579685570234</v>
      </c>
      <c r="D410">
        <f t="shared" si="80"/>
        <v>27622.231974301241</v>
      </c>
      <c r="E410">
        <f t="shared" si="81"/>
        <v>-6076.7894901478048</v>
      </c>
      <c r="F410">
        <f>$C$23*(H410/(J410^2+$C$24^2)^1.5)+$C$32*(K410/(M410^2+$C$33^2)^1.5)+C$41*(N410/(P410^2+$C$42^2)^1.5)</f>
        <v>-9570.7617850687911</v>
      </c>
      <c r="G410">
        <f>$C$23*(I410/(J410^2+$C$24^2)^1.5)+$C$32*(L410/(M410^2+$C$33^2)^1.5)+C$41*(O410/(P410^2+$C$42^2)^1.5)</f>
        <v>11785.526740424199</v>
      </c>
      <c r="H410" s="3">
        <f t="shared" si="82"/>
        <v>28496.636859412803</v>
      </c>
      <c r="I410" s="3">
        <f t="shared" si="83"/>
        <v>11368.542031442976</v>
      </c>
      <c r="J410" s="3">
        <f t="shared" si="84"/>
        <v>30680.646346156562</v>
      </c>
      <c r="K410" s="3">
        <f t="shared" si="85"/>
        <v>-11503.363140587197</v>
      </c>
      <c r="L410" s="3">
        <f t="shared" si="86"/>
        <v>16368.542031442976</v>
      </c>
      <c r="M410" s="3">
        <f t="shared" si="87"/>
        <v>20006.412266554329</v>
      </c>
      <c r="N410" s="3">
        <f t="shared" si="88"/>
        <v>3496.6368594128035</v>
      </c>
      <c r="O410" s="3">
        <f t="shared" si="89"/>
        <v>-33631.457968557021</v>
      </c>
      <c r="P410" s="3">
        <f t="shared" si="90"/>
        <v>33812.740711415594</v>
      </c>
    </row>
    <row r="411" spans="1:16" x14ac:dyDescent="0.25">
      <c r="A411">
        <f t="shared" si="77"/>
        <v>167.5</v>
      </c>
      <c r="B411">
        <f t="shared" si="78"/>
        <v>2921.7886814706194</v>
      </c>
      <c r="C411">
        <f t="shared" si="79"/>
        <v>3539.4449085891706</v>
      </c>
      <c r="D411">
        <f t="shared" si="80"/>
        <v>22836.851081766847</v>
      </c>
      <c r="E411">
        <f t="shared" si="81"/>
        <v>-184.02611993570554</v>
      </c>
      <c r="F411">
        <f>$C$23*(H411/(J411^2+$C$24^2)^1.5)+$C$32*(K411/(M411^2+$C$33^2)^1.5)+C$41*(N411/(P411^2+$C$42^2)^1.5)</f>
        <v>-9702.7419256807552</v>
      </c>
      <c r="G411">
        <f>$C$23*(I411/(J411^2+$C$24^2)^1.5)+$C$32*(L411/(M411^2+$C$33^2)^1.5)+C$41*(O411/(P411^2+$C$42^2)^1.5)</f>
        <v>4721.4695769780083</v>
      </c>
      <c r="H411" s="3">
        <f t="shared" si="82"/>
        <v>17078.211318529382</v>
      </c>
      <c r="I411" s="3">
        <f t="shared" si="83"/>
        <v>11460.55509141083</v>
      </c>
      <c r="J411" s="3">
        <f t="shared" si="84"/>
        <v>20567.197787827292</v>
      </c>
      <c r="K411" s="3">
        <f t="shared" si="85"/>
        <v>-22921.788681470618</v>
      </c>
      <c r="L411" s="3">
        <f t="shared" si="86"/>
        <v>16460.555091410828</v>
      </c>
      <c r="M411" s="3">
        <f t="shared" si="87"/>
        <v>28219.82052167174</v>
      </c>
      <c r="N411" s="3">
        <f t="shared" si="88"/>
        <v>-7921.7886814706198</v>
      </c>
      <c r="O411" s="3">
        <f t="shared" si="89"/>
        <v>-33539.444908589168</v>
      </c>
      <c r="P411" s="3">
        <f t="shared" si="90"/>
        <v>34462.285192513918</v>
      </c>
    </row>
    <row r="412" spans="1:16" x14ac:dyDescent="0.25">
      <c r="A412">
        <f t="shared" si="77"/>
        <v>168</v>
      </c>
      <c r="B412">
        <f t="shared" si="78"/>
        <v>11914.528740933854</v>
      </c>
      <c r="C412">
        <f t="shared" si="79"/>
        <v>4627.7992428658199</v>
      </c>
      <c r="D412">
        <f t="shared" si="80"/>
        <v>17985.480118926469</v>
      </c>
      <c r="E412">
        <f t="shared" si="81"/>
        <v>2176.7086685532986</v>
      </c>
      <c r="F412">
        <f>$C$23*(H412/(J412^2+$C$24^2)^1.5)+$C$32*(K412/(M412^2+$C$33^2)^1.5)+C$41*(N412/(P412^2+$C$42^2)^1.5)</f>
        <v>-7528.1216135166887</v>
      </c>
      <c r="G412">
        <f>$C$23*(I412/(J412^2+$C$24^2)^1.5)+$C$32*(L412/(M412^2+$C$33^2)^1.5)+C$41*(O412/(P412^2+$C$42^2)^1.5)</f>
        <v>3469.1386680360938</v>
      </c>
      <c r="H412" s="3">
        <f t="shared" si="82"/>
        <v>8085.4712590661456</v>
      </c>
      <c r="I412" s="3">
        <f t="shared" si="83"/>
        <v>10372.20075713418</v>
      </c>
      <c r="J412" s="3">
        <f t="shared" si="84"/>
        <v>13151.32670218026</v>
      </c>
      <c r="K412" s="3">
        <f t="shared" si="85"/>
        <v>-31914.528740933856</v>
      </c>
      <c r="L412" s="3">
        <f t="shared" si="86"/>
        <v>15372.20075713418</v>
      </c>
      <c r="M412" s="3">
        <f t="shared" si="87"/>
        <v>35423.744873651201</v>
      </c>
      <c r="N412" s="3">
        <f t="shared" si="88"/>
        <v>-16914.528740933856</v>
      </c>
      <c r="O412" s="3">
        <f t="shared" si="89"/>
        <v>-34627.799242865818</v>
      </c>
      <c r="P412" s="3">
        <f t="shared" si="90"/>
        <v>38538.10793139819</v>
      </c>
    </row>
    <row r="413" spans="1:16" x14ac:dyDescent="0.25">
      <c r="A413">
        <f t="shared" si="77"/>
        <v>168.5</v>
      </c>
      <c r="B413">
        <f t="shared" si="78"/>
        <v>19025.238397017918</v>
      </c>
      <c r="C413">
        <f t="shared" si="79"/>
        <v>6583.4382441514936</v>
      </c>
      <c r="D413">
        <f t="shared" si="80"/>
        <v>14221.419312168124</v>
      </c>
      <c r="E413">
        <f t="shared" si="81"/>
        <v>3911.2780025713455</v>
      </c>
      <c r="F413">
        <f>$C$23*(H413/(J413^2+$C$24^2)^1.5)+$C$32*(K413/(M413^2+$C$33^2)^1.5)+C$41*(N413/(P413^2+$C$42^2)^1.5)</f>
        <v>-7093.2842841415659</v>
      </c>
      <c r="G413">
        <f>$C$23*(I413/(J413^2+$C$24^2)^1.5)+$C$32*(L413/(M413^2+$C$33^2)^1.5)+C$41*(O413/(P413^2+$C$42^2)^1.5)</f>
        <v>5175.0929164604286</v>
      </c>
      <c r="H413" s="3">
        <f t="shared" si="82"/>
        <v>974.76160298208197</v>
      </c>
      <c r="I413" s="3">
        <f t="shared" si="83"/>
        <v>8416.5617558485064</v>
      </c>
      <c r="J413" s="3">
        <f t="shared" si="84"/>
        <v>8472.8195999124091</v>
      </c>
      <c r="K413" s="3">
        <f t="shared" si="85"/>
        <v>-39025.238397017922</v>
      </c>
      <c r="L413" s="3">
        <f t="shared" si="86"/>
        <v>13416.561755848506</v>
      </c>
      <c r="M413" s="3">
        <f t="shared" si="87"/>
        <v>41267.09780554696</v>
      </c>
      <c r="N413" s="3">
        <f t="shared" si="88"/>
        <v>-24025.238397017918</v>
      </c>
      <c r="O413" s="3">
        <f t="shared" si="89"/>
        <v>-36583.43824415149</v>
      </c>
      <c r="P413" s="3">
        <f t="shared" si="90"/>
        <v>43767.111325711114</v>
      </c>
    </row>
    <row r="414" spans="1:16" x14ac:dyDescent="0.25">
      <c r="A414">
        <f t="shared" si="77"/>
        <v>169</v>
      </c>
      <c r="B414">
        <f t="shared" si="78"/>
        <v>24362.626982066588</v>
      </c>
      <c r="C414">
        <f t="shared" si="79"/>
        <v>9832.8504745522732</v>
      </c>
      <c r="D414">
        <f t="shared" si="80"/>
        <v>10674.777170097341</v>
      </c>
      <c r="E414">
        <f t="shared" si="81"/>
        <v>6498.8244608015593</v>
      </c>
      <c r="F414">
        <f>$C$23*(H414/(J414^2+$C$24^2)^1.5)+$C$32*(K414/(M414^2+$C$33^2)^1.5)+C$41*(N414/(P414^2+$C$42^2)^1.5)</f>
        <v>-10494.823167342725</v>
      </c>
      <c r="G414">
        <f>$C$23*(I414/(J414^2+$C$24^2)^1.5)+$C$32*(L414/(M414^2+$C$33^2)^1.5)+C$41*(O414/(P414^2+$C$42^2)^1.5)</f>
        <v>4557.5448461600718</v>
      </c>
      <c r="H414" s="3">
        <f t="shared" si="82"/>
        <v>-4362.6269820665875</v>
      </c>
      <c r="I414" s="3">
        <f t="shared" si="83"/>
        <v>5167.1495254477268</v>
      </c>
      <c r="J414" s="3">
        <f t="shared" si="84"/>
        <v>6762.5400851300019</v>
      </c>
      <c r="K414" s="3">
        <f t="shared" si="85"/>
        <v>-44362.626982066591</v>
      </c>
      <c r="L414" s="3">
        <f t="shared" si="86"/>
        <v>10167.149525447727</v>
      </c>
      <c r="M414" s="3">
        <f t="shared" si="87"/>
        <v>45512.785041379248</v>
      </c>
      <c r="N414" s="3">
        <f t="shared" si="88"/>
        <v>-29362.626982066588</v>
      </c>
      <c r="O414" s="3">
        <f t="shared" si="89"/>
        <v>-39832.850474552273</v>
      </c>
      <c r="P414" s="3">
        <f t="shared" si="90"/>
        <v>49485.551832994897</v>
      </c>
    </row>
    <row r="415" spans="1:16" x14ac:dyDescent="0.25">
      <c r="A415">
        <f t="shared" si="77"/>
        <v>169.5</v>
      </c>
      <c r="B415">
        <f t="shared" si="78"/>
        <v>27076.309775279577</v>
      </c>
      <c r="C415">
        <f t="shared" si="79"/>
        <v>14221.648916493072</v>
      </c>
      <c r="D415">
        <f t="shared" si="80"/>
        <v>5427.3655864259781</v>
      </c>
      <c r="E415">
        <f t="shared" si="81"/>
        <v>8777.5968838815952</v>
      </c>
      <c r="F415">
        <f>$C$23*(H415/(J415^2+$C$24^2)^1.5)+$C$32*(K415/(M415^2+$C$33^2)^1.5)+C$41*(N415/(P415^2+$C$42^2)^1.5)</f>
        <v>-11818.576708997225</v>
      </c>
      <c r="G415">
        <f>$C$23*(I415/(J415^2+$C$24^2)^1.5)+$C$32*(L415/(M415^2+$C$33^2)^1.5)+C$41*(O415/(P415^2+$C$42^2)^1.5)</f>
        <v>201.30347653312879</v>
      </c>
      <c r="H415" s="3">
        <f t="shared" si="82"/>
        <v>-7076.3097752795766</v>
      </c>
      <c r="I415" s="3">
        <f t="shared" si="83"/>
        <v>778.35108350692826</v>
      </c>
      <c r="J415" s="3">
        <f t="shared" si="84"/>
        <v>7118.9880211244699</v>
      </c>
      <c r="K415" s="3">
        <f t="shared" si="85"/>
        <v>-47076.309775279573</v>
      </c>
      <c r="L415" s="3">
        <f t="shared" si="86"/>
        <v>5778.3510835069283</v>
      </c>
      <c r="M415" s="3">
        <f t="shared" si="87"/>
        <v>47429.613990653022</v>
      </c>
      <c r="N415" s="3">
        <f t="shared" si="88"/>
        <v>-32076.309775279577</v>
      </c>
      <c r="O415" s="3">
        <f t="shared" si="89"/>
        <v>-44221.648916493068</v>
      </c>
      <c r="P415" s="3">
        <f t="shared" si="90"/>
        <v>54630.063899772889</v>
      </c>
    </row>
    <row r="416" spans="1:16" x14ac:dyDescent="0.25">
      <c r="A416">
        <f t="shared" si="77"/>
        <v>170</v>
      </c>
      <c r="B416">
        <f t="shared" si="78"/>
        <v>26835.34839124326</v>
      </c>
      <c r="C416">
        <f t="shared" si="79"/>
        <v>18660.773227567151</v>
      </c>
      <c r="D416">
        <f t="shared" si="80"/>
        <v>-481.92276807263443</v>
      </c>
      <c r="E416">
        <f t="shared" si="81"/>
        <v>8878.2486221481595</v>
      </c>
      <c r="F416">
        <f>$C$23*(H416/(J416^2+$C$24^2)^1.5)+$C$32*(K416/(M416^2+$C$33^2)^1.5)+C$41*(N416/(P416^2+$C$42^2)^1.5)</f>
        <v>-10766.865288266708</v>
      </c>
      <c r="G416">
        <f>$C$23*(I416/(J416^2+$C$24^2)^1.5)+$C$32*(L416/(M416^2+$C$33^2)^1.5)+C$41*(O416/(P416^2+$C$42^2)^1.5)</f>
        <v>-3273.9156386355244</v>
      </c>
      <c r="H416" s="3">
        <f t="shared" si="82"/>
        <v>-6835.3483912432603</v>
      </c>
      <c r="I416" s="3">
        <f t="shared" si="83"/>
        <v>-3660.7732275671515</v>
      </c>
      <c r="J416" s="3">
        <f t="shared" si="84"/>
        <v>7753.9182516547235</v>
      </c>
      <c r="K416" s="3">
        <f t="shared" si="85"/>
        <v>-46835.348391243257</v>
      </c>
      <c r="L416" s="3">
        <f t="shared" si="86"/>
        <v>1339.2267724328485</v>
      </c>
      <c r="M416" s="3">
        <f t="shared" si="87"/>
        <v>46854.491644634596</v>
      </c>
      <c r="N416" s="3">
        <f t="shared" si="88"/>
        <v>-31835.34839124326</v>
      </c>
      <c r="O416" s="3">
        <f t="shared" si="89"/>
        <v>-48660.773227567151</v>
      </c>
      <c r="P416" s="3">
        <f t="shared" si="90"/>
        <v>58149.464815220359</v>
      </c>
    </row>
    <row r="417" spans="1:16" x14ac:dyDescent="0.25">
      <c r="A417">
        <f t="shared" si="77"/>
        <v>170.5</v>
      </c>
      <c r="B417">
        <f t="shared" si="78"/>
        <v>23902.670685140267</v>
      </c>
      <c r="C417">
        <f t="shared" si="79"/>
        <v>22281.418628982348</v>
      </c>
      <c r="D417">
        <f t="shared" si="80"/>
        <v>-5865.3554122059886</v>
      </c>
      <c r="E417">
        <f t="shared" si="81"/>
        <v>7241.2908028303973</v>
      </c>
      <c r="F417">
        <f>$C$23*(H417/(J417^2+$C$24^2)^1.5)+$C$32*(K417/(M417^2+$C$33^2)^1.5)+C$41*(N417/(P417^2+$C$42^2)^1.5)</f>
        <v>-9006.8318765877393</v>
      </c>
      <c r="G417">
        <f>$C$23*(I417/(J417^2+$C$24^2)^1.5)+$C$32*(L417/(M417^2+$C$33^2)^1.5)+C$41*(O417/(P417^2+$C$42^2)^1.5)</f>
        <v>-5541.24258435915</v>
      </c>
      <c r="H417" s="3">
        <f t="shared" si="82"/>
        <v>-3902.6706851402669</v>
      </c>
      <c r="I417" s="3">
        <f t="shared" si="83"/>
        <v>-7281.4186289823483</v>
      </c>
      <c r="J417" s="3">
        <f t="shared" si="84"/>
        <v>8261.3495100464297</v>
      </c>
      <c r="K417" s="3">
        <f t="shared" si="85"/>
        <v>-43902.670685140271</v>
      </c>
      <c r="L417" s="3">
        <f t="shared" si="86"/>
        <v>-2281.4186289823483</v>
      </c>
      <c r="M417" s="3">
        <f t="shared" si="87"/>
        <v>43961.908105182862</v>
      </c>
      <c r="N417" s="3">
        <f t="shared" si="88"/>
        <v>-28902.670685140267</v>
      </c>
      <c r="O417" s="3">
        <f t="shared" si="89"/>
        <v>-52281.418628982348</v>
      </c>
      <c r="P417" s="3">
        <f t="shared" si="90"/>
        <v>59738.690198166958</v>
      </c>
    </row>
    <row r="418" spans="1:16" x14ac:dyDescent="0.25">
      <c r="A418">
        <f t="shared" si="77"/>
        <v>171</v>
      </c>
      <c r="B418">
        <f t="shared" si="78"/>
        <v>18718.28500989034</v>
      </c>
      <c r="C418">
        <f t="shared" si="79"/>
        <v>24516.753384307758</v>
      </c>
      <c r="D418">
        <f t="shared" si="80"/>
        <v>-10368.771350499857</v>
      </c>
      <c r="E418">
        <f t="shared" si="81"/>
        <v>4470.6695106508223</v>
      </c>
      <c r="F418">
        <f>$C$23*(H418/(J418^2+$C$24^2)^1.5)+$C$32*(K418/(M418^2+$C$33^2)^1.5)+C$41*(N418/(P418^2+$C$42^2)^1.5)</f>
        <v>-7436.7876468508575</v>
      </c>
      <c r="G418">
        <f>$C$23*(I418/(J418^2+$C$24^2)^1.5)+$C$32*(L418/(M418^2+$C$33^2)^1.5)+C$41*(O418/(P418^2+$C$42^2)^1.5)</f>
        <v>-5845.243547655974</v>
      </c>
      <c r="H418" s="3">
        <f t="shared" si="82"/>
        <v>1281.71499010966</v>
      </c>
      <c r="I418" s="3">
        <f t="shared" si="83"/>
        <v>-9516.7533843077581</v>
      </c>
      <c r="J418" s="3">
        <f t="shared" si="84"/>
        <v>9602.6761006297074</v>
      </c>
      <c r="K418" s="3">
        <f t="shared" si="85"/>
        <v>-38718.285009890344</v>
      </c>
      <c r="L418" s="3">
        <f t="shared" si="86"/>
        <v>-4516.7533843077581</v>
      </c>
      <c r="M418" s="3">
        <f t="shared" si="87"/>
        <v>38980.849852738647</v>
      </c>
      <c r="N418" s="3">
        <f t="shared" si="88"/>
        <v>-23718.28500989034</v>
      </c>
      <c r="O418" s="3">
        <f t="shared" si="89"/>
        <v>-54516.753384307754</v>
      </c>
      <c r="P418" s="3">
        <f t="shared" si="90"/>
        <v>59452.783310588748</v>
      </c>
    </row>
    <row r="419" spans="1:16" x14ac:dyDescent="0.25">
      <c r="A419">
        <f t="shared" si="77"/>
        <v>171.5</v>
      </c>
      <c r="B419">
        <f t="shared" si="78"/>
        <v>11674.702422927698</v>
      </c>
      <c r="C419">
        <f t="shared" si="79"/>
        <v>25290.777252719174</v>
      </c>
      <c r="D419">
        <f t="shared" si="80"/>
        <v>-14087.165173925287</v>
      </c>
      <c r="E419">
        <f t="shared" si="81"/>
        <v>1548.0477368228353</v>
      </c>
      <c r="F419">
        <f>$C$23*(H419/(J419^2+$C$24^2)^1.5)+$C$32*(K419/(M419^2+$C$33^2)^1.5)+C$41*(N419/(P419^2+$C$42^2)^1.5)</f>
        <v>-8864.649961308498</v>
      </c>
      <c r="G419">
        <f>$C$23*(I419/(J419^2+$C$24^2)^1.5)+$C$32*(L419/(M419^2+$C$33^2)^1.5)+C$41*(O419/(P419^2+$C$42^2)^1.5)</f>
        <v>-4732.1528123207027</v>
      </c>
      <c r="H419" s="3">
        <f t="shared" si="82"/>
        <v>8325.2975770723024</v>
      </c>
      <c r="I419" s="3">
        <f t="shared" si="83"/>
        <v>-10290.777252719174</v>
      </c>
      <c r="J419" s="3">
        <f t="shared" si="84"/>
        <v>13236.716972568702</v>
      </c>
      <c r="K419" s="3">
        <f t="shared" si="85"/>
        <v>-31674.702422927698</v>
      </c>
      <c r="L419" s="3">
        <f t="shared" si="86"/>
        <v>-5290.7772527191737</v>
      </c>
      <c r="M419" s="3">
        <f t="shared" si="87"/>
        <v>32113.534491222115</v>
      </c>
      <c r="N419" s="3">
        <f t="shared" si="88"/>
        <v>-16674.702422927698</v>
      </c>
      <c r="O419" s="3">
        <f t="shared" si="89"/>
        <v>-55290.77725271917</v>
      </c>
      <c r="P419" s="3">
        <f t="shared" si="90"/>
        <v>57750.461038012487</v>
      </c>
    </row>
    <row r="420" spans="1:16" x14ac:dyDescent="0.25">
      <c r="A420">
        <f t="shared" si="77"/>
        <v>172</v>
      </c>
      <c r="B420">
        <f t="shared" si="78"/>
        <v>2414.9573456379298</v>
      </c>
      <c r="C420">
        <f t="shared" si="79"/>
        <v>24881.762918050415</v>
      </c>
      <c r="D420">
        <f t="shared" si="80"/>
        <v>-18519.490154579536</v>
      </c>
      <c r="E420">
        <f t="shared" si="81"/>
        <v>-818.02866933751602</v>
      </c>
      <c r="F420">
        <f>$C$23*(H420/(J420^2+$C$24^2)^1.5)+$C$32*(K420/(M420^2+$C$33^2)^1.5)+C$41*(N420/(P420^2+$C$42^2)^1.5)</f>
        <v>-14537.501012584722</v>
      </c>
      <c r="G420">
        <f>$C$23*(I420/(J420^2+$C$24^2)^1.5)+$C$32*(L420/(M420^2+$C$33^2)^1.5)+C$41*(O420/(P420^2+$C$42^2)^1.5)</f>
        <v>-5217.9505734774193</v>
      </c>
      <c r="H420" s="3">
        <f t="shared" si="82"/>
        <v>17585.042654362071</v>
      </c>
      <c r="I420" s="3">
        <f t="shared" si="83"/>
        <v>-9881.7629180504155</v>
      </c>
      <c r="J420" s="3">
        <f t="shared" si="84"/>
        <v>20171.340151915778</v>
      </c>
      <c r="K420" s="3">
        <f t="shared" si="85"/>
        <v>-22414.957345637929</v>
      </c>
      <c r="L420" s="3">
        <f t="shared" si="86"/>
        <v>-4881.7629180504155</v>
      </c>
      <c r="M420" s="3">
        <f t="shared" si="87"/>
        <v>22940.399342531506</v>
      </c>
      <c r="N420" s="3">
        <f t="shared" si="88"/>
        <v>-7414.9573456379294</v>
      </c>
      <c r="O420" s="3">
        <f t="shared" si="89"/>
        <v>-54881.762918050415</v>
      </c>
      <c r="P420" s="3">
        <f t="shared" si="90"/>
        <v>55380.407125902595</v>
      </c>
    </row>
    <row r="421" spans="1:16" x14ac:dyDescent="0.25">
      <c r="A421">
        <f t="shared" si="77"/>
        <v>172.5</v>
      </c>
      <c r="B421">
        <f t="shared" si="78"/>
        <v>-10479.162984798018</v>
      </c>
      <c r="C421">
        <f t="shared" si="79"/>
        <v>23168.260940012304</v>
      </c>
      <c r="D421">
        <f t="shared" si="80"/>
        <v>-25788.240660871896</v>
      </c>
      <c r="E421">
        <f t="shared" si="81"/>
        <v>-3427.0039560762257</v>
      </c>
      <c r="F421">
        <f>$C$23*(H421/(J421^2+$C$24^2)^1.5)+$C$32*(K421/(M421^2+$C$33^2)^1.5)+C$41*(N421/(P421^2+$C$42^2)^1.5)</f>
        <v>-22268.236319974749</v>
      </c>
      <c r="G421">
        <f>$C$23*(I421/(J421^2+$C$24^2)^1.5)+$C$32*(L421/(M421^2+$C$33^2)^1.5)+C$41*(O421/(P421^2+$C$42^2)^1.5)</f>
        <v>-9136.8643414858743</v>
      </c>
      <c r="H421" s="3">
        <f t="shared" si="82"/>
        <v>30479.162984798018</v>
      </c>
      <c r="I421" s="3">
        <f t="shared" si="83"/>
        <v>-8168.2609400123038</v>
      </c>
      <c r="J421" s="3">
        <f t="shared" si="84"/>
        <v>31554.712216054395</v>
      </c>
      <c r="K421" s="3">
        <f t="shared" si="85"/>
        <v>-9520.8370152019816</v>
      </c>
      <c r="L421" s="3">
        <f t="shared" si="86"/>
        <v>-3168.2609400123038</v>
      </c>
      <c r="M421" s="3">
        <f t="shared" si="87"/>
        <v>10034.152423301523</v>
      </c>
      <c r="N421" s="3">
        <f t="shared" si="88"/>
        <v>5479.1629847980184</v>
      </c>
      <c r="O421" s="3">
        <f t="shared" si="89"/>
        <v>-53168.260940012304</v>
      </c>
      <c r="P421" s="3">
        <f t="shared" si="90"/>
        <v>53449.838151291151</v>
      </c>
    </row>
    <row r="422" spans="1:16" x14ac:dyDescent="0.25">
      <c r="A422">
        <f t="shared" si="77"/>
        <v>173</v>
      </c>
      <c r="B422">
        <f t="shared" si="78"/>
        <v>-28940.342395227653</v>
      </c>
      <c r="C422">
        <f t="shared" si="79"/>
        <v>19170.542876602725</v>
      </c>
      <c r="D422">
        <f t="shared" si="80"/>
        <v>-36922.35882085927</v>
      </c>
      <c r="E422">
        <f t="shared" si="81"/>
        <v>-7995.4361268191624</v>
      </c>
      <c r="F422">
        <f>$C$23*(H422/(J422^2+$C$24^2)^1.5)+$C$32*(K422/(M422^2+$C$33^2)^1.5)+C$41*(N422/(P422^2+$C$42^2)^1.5)</f>
        <v>24452.906823803427</v>
      </c>
      <c r="G422">
        <f>$C$23*(I422/(J422^2+$C$24^2)^1.5)+$C$32*(L422/(M422^2+$C$33^2)^1.5)+C$41*(O422/(P422^2+$C$42^2)^1.5)</f>
        <v>978.03440607743187</v>
      </c>
      <c r="H422" s="3">
        <f t="shared" si="82"/>
        <v>48940.34239522765</v>
      </c>
      <c r="I422" s="3">
        <f t="shared" si="83"/>
        <v>-4170.5428766027253</v>
      </c>
      <c r="J422" s="3">
        <f t="shared" si="84"/>
        <v>49117.721258703554</v>
      </c>
      <c r="K422" s="3">
        <f t="shared" si="85"/>
        <v>8940.3423952276535</v>
      </c>
      <c r="L422" s="3">
        <f t="shared" si="86"/>
        <v>829.4571233972747</v>
      </c>
      <c r="M422" s="3">
        <f t="shared" si="87"/>
        <v>8978.7371753192219</v>
      </c>
      <c r="N422" s="3">
        <f t="shared" si="88"/>
        <v>23940.342395227653</v>
      </c>
      <c r="O422" s="3">
        <f t="shared" si="89"/>
        <v>-49170.542876602725</v>
      </c>
      <c r="P422" s="3">
        <f t="shared" si="90"/>
        <v>54688.959404806388</v>
      </c>
    </row>
    <row r="423" spans="1:16" x14ac:dyDescent="0.25">
      <c r="A423">
        <f t="shared" si="77"/>
        <v>173.5</v>
      </c>
      <c r="B423">
        <f t="shared" si="78"/>
        <v>-41288.295099706433</v>
      </c>
      <c r="C423">
        <f t="shared" si="79"/>
        <v>15417.333414712501</v>
      </c>
      <c r="D423">
        <f t="shared" si="80"/>
        <v>-24695.905408957558</v>
      </c>
      <c r="E423">
        <f t="shared" si="81"/>
        <v>-7506.4189237804467</v>
      </c>
      <c r="F423">
        <f>$C$23*(H423/(J423^2+$C$24^2)^1.5)+$C$32*(K423/(M423^2+$C$33^2)^1.5)+C$41*(N423/(P423^2+$C$42^2)^1.5)</f>
        <v>17156.844900778058</v>
      </c>
      <c r="G423">
        <f>$C$23*(I423/(J423^2+$C$24^2)^1.5)+$C$32*(L423/(M423^2+$C$33^2)^1.5)+C$41*(O423/(P423^2+$C$42^2)^1.5)</f>
        <v>2576.3595120000132</v>
      </c>
      <c r="H423" s="3">
        <f t="shared" si="82"/>
        <v>61288.295099706433</v>
      </c>
      <c r="I423" s="3">
        <f t="shared" si="83"/>
        <v>-417.3334147125006</v>
      </c>
      <c r="J423" s="3">
        <f t="shared" si="84"/>
        <v>61289.71596775217</v>
      </c>
      <c r="K423" s="3">
        <f t="shared" si="85"/>
        <v>21288.295099706433</v>
      </c>
      <c r="L423" s="3">
        <f t="shared" si="86"/>
        <v>4582.6665852874994</v>
      </c>
      <c r="M423" s="3">
        <f t="shared" si="87"/>
        <v>21775.957872940871</v>
      </c>
      <c r="N423" s="3">
        <f t="shared" si="88"/>
        <v>36288.295099706433</v>
      </c>
      <c r="O423" s="3">
        <f t="shared" si="89"/>
        <v>-45417.333414712499</v>
      </c>
      <c r="P423" s="3">
        <f t="shared" si="90"/>
        <v>58134.108196019813</v>
      </c>
    </row>
    <row r="424" spans="1:16" x14ac:dyDescent="0.25">
      <c r="A424">
        <f t="shared" si="77"/>
        <v>174</v>
      </c>
      <c r="B424">
        <f t="shared" si="78"/>
        <v>-49347.036578990701</v>
      </c>
      <c r="C424">
        <f t="shared" si="79"/>
        <v>12308.21383082228</v>
      </c>
      <c r="D424">
        <f t="shared" si="80"/>
        <v>-16117.482958568529</v>
      </c>
      <c r="E424">
        <f t="shared" si="81"/>
        <v>-6218.2391677804399</v>
      </c>
      <c r="F424">
        <f>$C$23*(H424/(J424^2+$C$24^2)^1.5)+$C$32*(K424/(M424^2+$C$33^2)^1.5)+C$41*(N424/(P424^2+$C$42^2)^1.5)</f>
        <v>11585.863292999613</v>
      </c>
      <c r="G424">
        <f>$C$23*(I424/(J424^2+$C$24^2)^1.5)+$C$32*(L424/(M424^2+$C$33^2)^1.5)+C$41*(O424/(P424^2+$C$42^2)^1.5)</f>
        <v>2069.3308570716335</v>
      </c>
      <c r="H424" s="3">
        <f t="shared" si="82"/>
        <v>69347.036578990694</v>
      </c>
      <c r="I424" s="3">
        <f t="shared" si="83"/>
        <v>2691.7861691777198</v>
      </c>
      <c r="J424" s="3">
        <f t="shared" si="84"/>
        <v>69399.259326511907</v>
      </c>
      <c r="K424" s="3">
        <f t="shared" si="85"/>
        <v>29347.036578990701</v>
      </c>
      <c r="L424" s="3">
        <f t="shared" si="86"/>
        <v>7691.7861691777198</v>
      </c>
      <c r="M424" s="3">
        <f t="shared" si="87"/>
        <v>30338.29478466072</v>
      </c>
      <c r="N424" s="3">
        <f t="shared" si="88"/>
        <v>44347.036578990701</v>
      </c>
      <c r="O424" s="3">
        <f t="shared" si="89"/>
        <v>-42308.213830822278</v>
      </c>
      <c r="P424" s="3">
        <f t="shared" si="90"/>
        <v>61291.472578923414</v>
      </c>
    </row>
    <row r="425" spans="1:16" x14ac:dyDescent="0.25">
      <c r="A425">
        <f t="shared" si="77"/>
        <v>174.5</v>
      </c>
      <c r="B425">
        <f t="shared" si="78"/>
        <v>-54509.312235025063</v>
      </c>
      <c r="C425">
        <f t="shared" si="79"/>
        <v>9716.426961199968</v>
      </c>
      <c r="D425">
        <f t="shared" si="80"/>
        <v>-10324.551312068723</v>
      </c>
      <c r="E425">
        <f t="shared" si="81"/>
        <v>-5183.5737392446226</v>
      </c>
      <c r="F425">
        <f>$C$23*(H425/(J425^2+$C$24^2)^1.5)+$C$32*(K425/(M425^2+$C$33^2)^1.5)+C$41*(N425/(P425^2+$C$42^2)^1.5)</f>
        <v>9093.9348335201539</v>
      </c>
      <c r="G425">
        <f>$C$23*(I425/(J425^2+$C$24^2)^1.5)+$C$32*(L425/(M425^2+$C$33^2)^1.5)+C$41*(O425/(P425^2+$C$42^2)^1.5)</f>
        <v>1828.7299675094805</v>
      </c>
      <c r="H425" s="3">
        <f t="shared" si="82"/>
        <v>74509.312235025063</v>
      </c>
      <c r="I425" s="3">
        <f t="shared" si="83"/>
        <v>5283.573038800032</v>
      </c>
      <c r="J425" s="3">
        <f t="shared" si="84"/>
        <v>74696.410581719319</v>
      </c>
      <c r="K425" s="3">
        <f t="shared" si="85"/>
        <v>34509.312235025063</v>
      </c>
      <c r="L425" s="3">
        <f t="shared" si="86"/>
        <v>10283.573038800032</v>
      </c>
      <c r="M425" s="3">
        <f t="shared" si="87"/>
        <v>36008.950350972264</v>
      </c>
      <c r="N425" s="3">
        <f t="shared" si="88"/>
        <v>49509.312235025063</v>
      </c>
      <c r="O425" s="3">
        <f t="shared" si="89"/>
        <v>-39716.42696119997</v>
      </c>
      <c r="P425" s="3">
        <f t="shared" si="90"/>
        <v>63470.989976126366</v>
      </c>
    </row>
    <row r="426" spans="1:16" x14ac:dyDescent="0.25">
      <c r="A426">
        <f t="shared" si="77"/>
        <v>175</v>
      </c>
      <c r="B426">
        <f t="shared" si="78"/>
        <v>-57398.104182679388</v>
      </c>
      <c r="C426">
        <f t="shared" si="79"/>
        <v>7581.8225834550267</v>
      </c>
      <c r="D426">
        <f t="shared" si="80"/>
        <v>-5777.5838953086459</v>
      </c>
      <c r="E426">
        <f t="shared" si="81"/>
        <v>-4269.2087554898826</v>
      </c>
      <c r="F426">
        <f>$C$23*(H426/(J426^2+$C$24^2)^1.5)+$C$32*(K426/(M426^2+$C$33^2)^1.5)+C$41*(N426/(P426^2+$C$42^2)^1.5)</f>
        <v>7928.6866807359384</v>
      </c>
      <c r="G426">
        <f>$C$23*(I426/(J426^2+$C$24^2)^1.5)+$C$32*(L426/(M426^2+$C$33^2)^1.5)+C$41*(O426/(P426^2+$C$42^2)^1.5)</f>
        <v>1783.6180394487283</v>
      </c>
      <c r="H426" s="3">
        <f t="shared" si="82"/>
        <v>77398.104182679381</v>
      </c>
      <c r="I426" s="3">
        <f t="shared" si="83"/>
        <v>7418.1774165449733</v>
      </c>
      <c r="J426" s="3">
        <f t="shared" si="84"/>
        <v>77752.787006359009</v>
      </c>
      <c r="K426" s="3">
        <f t="shared" si="85"/>
        <v>37398.104182679388</v>
      </c>
      <c r="L426" s="3">
        <f t="shared" si="86"/>
        <v>12418.177416544973</v>
      </c>
      <c r="M426" s="3">
        <f t="shared" si="87"/>
        <v>39405.955473853559</v>
      </c>
      <c r="N426" s="3">
        <f t="shared" si="88"/>
        <v>52398.104182679388</v>
      </c>
      <c r="O426" s="3">
        <f t="shared" si="89"/>
        <v>-37581.822583455025</v>
      </c>
      <c r="P426" s="3">
        <f t="shared" si="90"/>
        <v>64482.204604318649</v>
      </c>
    </row>
    <row r="427" spans="1:16" x14ac:dyDescent="0.25">
      <c r="A427">
        <f t="shared" si="77"/>
        <v>175.5</v>
      </c>
      <c r="B427">
        <f t="shared" si="78"/>
        <v>-58304.72446014973</v>
      </c>
      <c r="C427">
        <f t="shared" si="79"/>
        <v>5893.1227155722672</v>
      </c>
      <c r="D427">
        <f t="shared" si="80"/>
        <v>-1813.2405549406767</v>
      </c>
      <c r="E427">
        <f t="shared" si="81"/>
        <v>-3377.3997357655185</v>
      </c>
      <c r="F427">
        <f>$C$23*(H427/(J427^2+$C$24^2)^1.5)+$C$32*(K427/(M427^2+$C$33^2)^1.5)+C$41*(N427/(P427^2+$C$42^2)^1.5)</f>
        <v>7478.8654945523776</v>
      </c>
      <c r="G427">
        <f>$C$23*(I427/(J427^2+$C$24^2)^1.5)+$C$32*(L427/(M427^2+$C$33^2)^1.5)+C$41*(O427/(P427^2+$C$42^2)^1.5)</f>
        <v>1887.8743588153379</v>
      </c>
      <c r="H427" s="3">
        <f t="shared" si="82"/>
        <v>78304.724460149737</v>
      </c>
      <c r="I427" s="3">
        <f t="shared" si="83"/>
        <v>9106.8772844277337</v>
      </c>
      <c r="J427" s="3">
        <f t="shared" si="84"/>
        <v>78832.512877959161</v>
      </c>
      <c r="K427" s="3">
        <f t="shared" si="85"/>
        <v>38304.72446014973</v>
      </c>
      <c r="L427" s="3">
        <f t="shared" si="86"/>
        <v>14106.877284427734</v>
      </c>
      <c r="M427" s="3">
        <f t="shared" si="87"/>
        <v>40819.797925588711</v>
      </c>
      <c r="N427" s="3">
        <f t="shared" si="88"/>
        <v>53304.72446014973</v>
      </c>
      <c r="O427" s="3">
        <f t="shared" si="89"/>
        <v>-35893.122715572266</v>
      </c>
      <c r="P427" s="3">
        <f t="shared" si="90"/>
        <v>64262.819017279457</v>
      </c>
    </row>
    <row r="428" spans="1:16" x14ac:dyDescent="0.25">
      <c r="A428">
        <f t="shared" si="77"/>
        <v>176</v>
      </c>
      <c r="B428">
        <f t="shared" si="78"/>
        <v>-57341.628363981974</v>
      </c>
      <c r="C428">
        <f t="shared" si="79"/>
        <v>4676.3914373933421</v>
      </c>
      <c r="D428">
        <f t="shared" si="80"/>
        <v>1926.1921923355121</v>
      </c>
      <c r="E428">
        <f t="shared" si="81"/>
        <v>-2433.4625563578493</v>
      </c>
      <c r="F428">
        <f>$C$23*(H428/(J428^2+$C$24^2)^1.5)+$C$32*(K428/(M428^2+$C$33^2)^1.5)+C$41*(N428/(P428^2+$C$42^2)^1.5)</f>
        <v>7549.6343682011966</v>
      </c>
      <c r="G428">
        <f>$C$23*(I428/(J428^2+$C$24^2)^1.5)+$C$32*(L428/(M428^2+$C$33^2)^1.5)+C$41*(O428/(P428^2+$C$42^2)^1.5)</f>
        <v>2159.3155757816412</v>
      </c>
      <c r="H428" s="3">
        <f t="shared" si="82"/>
        <v>77341.628363981974</v>
      </c>
      <c r="I428" s="3">
        <f t="shared" si="83"/>
        <v>10323.608562606658</v>
      </c>
      <c r="J428" s="3">
        <f t="shared" si="84"/>
        <v>78027.587248012656</v>
      </c>
      <c r="K428" s="3">
        <f t="shared" si="85"/>
        <v>37341.628363981974</v>
      </c>
      <c r="L428" s="3">
        <f t="shared" si="86"/>
        <v>15323.608562606658</v>
      </c>
      <c r="M428" s="3">
        <f t="shared" si="87"/>
        <v>40363.475918876647</v>
      </c>
      <c r="N428" s="3">
        <f t="shared" si="88"/>
        <v>52341.628363981974</v>
      </c>
      <c r="O428" s="3">
        <f t="shared" si="89"/>
        <v>-34676.391437393344</v>
      </c>
      <c r="P428" s="3">
        <f t="shared" si="90"/>
        <v>62786.130498005121</v>
      </c>
    </row>
    <row r="429" spans="1:16" x14ac:dyDescent="0.25">
      <c r="A429">
        <f t="shared" si="77"/>
        <v>176.5</v>
      </c>
      <c r="B429">
        <f t="shared" si="78"/>
        <v>-54491.12367576392</v>
      </c>
      <c r="C429">
        <f t="shared" si="79"/>
        <v>3999.4890531598276</v>
      </c>
      <c r="D429">
        <f t="shared" si="80"/>
        <v>5701.00937643611</v>
      </c>
      <c r="E429">
        <f t="shared" si="81"/>
        <v>-1353.8047684670287</v>
      </c>
      <c r="F429">
        <f>$C$23*(H429/(J429^2+$C$24^2)^1.5)+$C$32*(K429/(M429^2+$C$33^2)^1.5)+C$41*(N429/(P429^2+$C$42^2)^1.5)</f>
        <v>8150.566061497283</v>
      </c>
      <c r="G429">
        <f>$C$23*(I429/(J429^2+$C$24^2)^1.5)+$C$32*(L429/(M429^2+$C$33^2)^1.5)+C$41*(O429/(P429^2+$C$42^2)^1.5)</f>
        <v>2694.5613508214456</v>
      </c>
      <c r="H429" s="3">
        <f t="shared" si="82"/>
        <v>74491.123675763927</v>
      </c>
      <c r="I429" s="3">
        <f t="shared" si="83"/>
        <v>11000.510946840172</v>
      </c>
      <c r="J429" s="3">
        <f t="shared" si="84"/>
        <v>75298.995661094363</v>
      </c>
      <c r="K429" s="3">
        <f t="shared" si="85"/>
        <v>34491.12367576392</v>
      </c>
      <c r="L429" s="3">
        <f t="shared" si="86"/>
        <v>16000.510946840172</v>
      </c>
      <c r="M429" s="3">
        <f t="shared" si="87"/>
        <v>38021.756442552658</v>
      </c>
      <c r="N429" s="3">
        <f t="shared" si="88"/>
        <v>49491.12367576392</v>
      </c>
      <c r="O429" s="3">
        <f t="shared" si="89"/>
        <v>-33999.489053159828</v>
      </c>
      <c r="P429" s="3">
        <f t="shared" si="90"/>
        <v>60044.455019307949</v>
      </c>
    </row>
    <row r="430" spans="1:16" x14ac:dyDescent="0.25">
      <c r="A430">
        <f t="shared" si="77"/>
        <v>177</v>
      </c>
      <c r="B430">
        <f t="shared" si="78"/>
        <v>-49602.977472171544</v>
      </c>
      <c r="C430">
        <f t="shared" si="79"/>
        <v>3996.2270066316742</v>
      </c>
      <c r="D430">
        <f t="shared" si="80"/>
        <v>9776.2924071847519</v>
      </c>
      <c r="E430">
        <f t="shared" si="81"/>
        <v>-6.524093056305901</v>
      </c>
      <c r="F430">
        <f>$C$23*(H430/(J430^2+$C$24^2)^1.5)+$C$32*(K430/(M430^2+$C$33^2)^1.5)+C$41*(N430/(P430^2+$C$42^2)^1.5)</f>
        <v>9481.7578960932606</v>
      </c>
      <c r="G430">
        <f>$C$23*(I430/(J430^2+$C$24^2)^1.5)+$C$32*(L430/(M430^2+$C$33^2)^1.5)+C$41*(O430/(P430^2+$C$42^2)^1.5)</f>
        <v>3769.7549845048957</v>
      </c>
      <c r="H430" s="3">
        <f t="shared" si="82"/>
        <v>69602.977472171537</v>
      </c>
      <c r="I430" s="3">
        <f t="shared" si="83"/>
        <v>11003.772993368326</v>
      </c>
      <c r="J430" s="3">
        <f t="shared" si="84"/>
        <v>70467.421501579011</v>
      </c>
      <c r="K430" s="3">
        <f t="shared" si="85"/>
        <v>29602.977472171544</v>
      </c>
      <c r="L430" s="3">
        <f t="shared" si="86"/>
        <v>16003.772993368326</v>
      </c>
      <c r="M430" s="3">
        <f t="shared" si="87"/>
        <v>33651.99882980447</v>
      </c>
      <c r="N430" s="3">
        <f t="shared" si="88"/>
        <v>44602.977472171544</v>
      </c>
      <c r="O430" s="3">
        <f t="shared" si="89"/>
        <v>-33996.227006631671</v>
      </c>
      <c r="P430" s="3">
        <f t="shared" si="90"/>
        <v>56081.806765380476</v>
      </c>
    </row>
    <row r="431" spans="1:16" x14ac:dyDescent="0.25">
      <c r="A431">
        <f t="shared" si="77"/>
        <v>177.5</v>
      </c>
      <c r="B431">
        <f t="shared" si="78"/>
        <v>-42344.39179455585</v>
      </c>
      <c r="C431">
        <f t="shared" si="79"/>
        <v>4935.4037062297448</v>
      </c>
      <c r="D431">
        <f t="shared" si="80"/>
        <v>14517.171355231381</v>
      </c>
      <c r="E431">
        <f t="shared" si="81"/>
        <v>1878.3533991961419</v>
      </c>
      <c r="F431">
        <f>$C$23*(H431/(J431^2+$C$24^2)^1.5)+$C$32*(K431/(M431^2+$C$33^2)^1.5)+C$41*(N431/(P431^2+$C$42^2)^1.5)</f>
        <v>12001.574835293466</v>
      </c>
      <c r="G431">
        <f>$C$23*(I431/(J431^2+$C$24^2)^1.5)+$C$32*(L431/(M431^2+$C$33^2)^1.5)+C$41*(O431/(P431^2+$C$42^2)^1.5)</f>
        <v>6245.7826617883238</v>
      </c>
      <c r="H431" s="3">
        <f t="shared" si="82"/>
        <v>62344.39179455585</v>
      </c>
      <c r="I431" s="3">
        <f t="shared" si="83"/>
        <v>10064.596293770255</v>
      </c>
      <c r="J431" s="3">
        <f t="shared" si="84"/>
        <v>63151.558070958599</v>
      </c>
      <c r="K431" s="3">
        <f t="shared" si="85"/>
        <v>22344.39179455585</v>
      </c>
      <c r="L431" s="3">
        <f t="shared" si="86"/>
        <v>15064.596293770255</v>
      </c>
      <c r="M431" s="3">
        <f t="shared" si="87"/>
        <v>26948.356279426236</v>
      </c>
      <c r="N431" s="3">
        <f t="shared" si="88"/>
        <v>37344.39179455585</v>
      </c>
      <c r="O431" s="3">
        <f t="shared" si="89"/>
        <v>-34935.403706229743</v>
      </c>
      <c r="P431" s="3">
        <f t="shared" si="90"/>
        <v>51137.911871942342</v>
      </c>
    </row>
    <row r="432" spans="1:16" x14ac:dyDescent="0.25">
      <c r="A432">
        <f t="shared" si="77"/>
        <v>178</v>
      </c>
      <c r="B432">
        <f t="shared" si="78"/>
        <v>-32085.412408116797</v>
      </c>
      <c r="C432">
        <f t="shared" si="79"/>
        <v>7436.0260712748968</v>
      </c>
      <c r="D432">
        <f t="shared" si="80"/>
        <v>20517.958772878115</v>
      </c>
      <c r="E432">
        <f t="shared" si="81"/>
        <v>5001.2447300903041</v>
      </c>
      <c r="F432">
        <f>$C$23*(H432/(J432^2+$C$24^2)^1.5)+$C$32*(K432/(M432^2+$C$33^2)^1.5)+C$41*(N432/(P432^2+$C$42^2)^1.5)</f>
        <v>15304.185670602226</v>
      </c>
      <c r="G432">
        <f>$C$23*(I432/(J432^2+$C$24^2)^1.5)+$C$32*(L432/(M432^2+$C$33^2)^1.5)+C$41*(O432/(P432^2+$C$42^2)^1.5)</f>
        <v>13144.901872351506</v>
      </c>
      <c r="H432" s="3">
        <f t="shared" si="82"/>
        <v>52085.412408116797</v>
      </c>
      <c r="I432" s="3">
        <f t="shared" si="83"/>
        <v>7563.9739287251032</v>
      </c>
      <c r="J432" s="3">
        <f t="shared" si="84"/>
        <v>52631.776402835196</v>
      </c>
      <c r="K432" s="3">
        <f t="shared" si="85"/>
        <v>12085.412408116797</v>
      </c>
      <c r="L432" s="3">
        <f t="shared" si="86"/>
        <v>12563.973928725103</v>
      </c>
      <c r="M432" s="3">
        <f t="shared" si="87"/>
        <v>17433.032838721654</v>
      </c>
      <c r="N432" s="3">
        <f t="shared" si="88"/>
        <v>27085.412408116797</v>
      </c>
      <c r="O432" s="3">
        <f t="shared" si="89"/>
        <v>-37436.0260712749</v>
      </c>
      <c r="P432" s="3">
        <f t="shared" si="90"/>
        <v>46206.878420067951</v>
      </c>
    </row>
    <row r="433" spans="1:16" x14ac:dyDescent="0.25">
      <c r="A433">
        <f t="shared" si="77"/>
        <v>178.5</v>
      </c>
      <c r="B433">
        <f t="shared" si="78"/>
        <v>-18000.386604027182</v>
      </c>
      <c r="C433">
        <f t="shared" si="79"/>
        <v>13222.873904407925</v>
      </c>
      <c r="D433">
        <f t="shared" si="80"/>
        <v>28170.05160817923</v>
      </c>
      <c r="E433">
        <f t="shared" si="81"/>
        <v>11573.695666266056</v>
      </c>
      <c r="F433">
        <f>$C$23*(H433/(J433^2+$C$24^2)^1.5)+$C$32*(K433/(M433^2+$C$33^2)^1.5)+C$41*(N433/(P433^2+$C$42^2)^1.5)</f>
        <v>-5297.8724859261138</v>
      </c>
      <c r="G433">
        <f>$C$23*(I433/(J433^2+$C$24^2)^1.5)+$C$32*(L433/(M433^2+$C$33^2)^1.5)+C$41*(O433/(P433^2+$C$42^2)^1.5)</f>
        <v>19201.484344619043</v>
      </c>
      <c r="H433" s="3">
        <f t="shared" si="82"/>
        <v>38000.386604027182</v>
      </c>
      <c r="I433" s="3">
        <f t="shared" si="83"/>
        <v>1777.1260955920752</v>
      </c>
      <c r="J433" s="3">
        <f t="shared" si="84"/>
        <v>38041.918448143006</v>
      </c>
      <c r="K433" s="3">
        <f t="shared" si="85"/>
        <v>-1999.6133959728177</v>
      </c>
      <c r="L433" s="3">
        <f t="shared" si="86"/>
        <v>6777.1260955920752</v>
      </c>
      <c r="M433" s="3">
        <f t="shared" si="87"/>
        <v>7065.9671559461003</v>
      </c>
      <c r="N433" s="3">
        <f t="shared" si="88"/>
        <v>13000.386604027182</v>
      </c>
      <c r="O433" s="3">
        <f t="shared" si="89"/>
        <v>-43222.873904407927</v>
      </c>
      <c r="P433" s="3">
        <f t="shared" si="90"/>
        <v>45135.649772774035</v>
      </c>
    </row>
    <row r="434" spans="1:16" x14ac:dyDescent="0.25">
      <c r="A434">
        <f t="shared" si="77"/>
        <v>179</v>
      </c>
      <c r="B434">
        <f t="shared" si="78"/>
        <v>-5239.8289214190954</v>
      </c>
      <c r="C434">
        <f t="shared" si="79"/>
        <v>23810.092823695712</v>
      </c>
      <c r="D434">
        <f t="shared" si="80"/>
        <v>25521.115365216174</v>
      </c>
      <c r="E434">
        <f t="shared" si="81"/>
        <v>21174.437838575577</v>
      </c>
      <c r="F434">
        <f>$C$23*(H434/(J434^2+$C$24^2)^1.5)+$C$32*(K434/(M434^2+$C$33^2)^1.5)+C$41*(N434/(P434^2+$C$42^2)^1.5)</f>
        <v>-20669.279456213542</v>
      </c>
      <c r="G434">
        <f>$C$23*(I434/(J434^2+$C$24^2)^1.5)+$C$32*(L434/(M434^2+$C$33^2)^1.5)+C$41*(O434/(P434^2+$C$42^2)^1.5)</f>
        <v>-7110.6742615936037</v>
      </c>
      <c r="H434" s="3">
        <f t="shared" si="82"/>
        <v>25239.828921419095</v>
      </c>
      <c r="I434" s="3">
        <f t="shared" si="83"/>
        <v>-8810.0928236957116</v>
      </c>
      <c r="J434" s="3">
        <f t="shared" si="84"/>
        <v>26733.250822611124</v>
      </c>
      <c r="K434" s="3">
        <f t="shared" si="85"/>
        <v>-14760.171078580905</v>
      </c>
      <c r="L434" s="3">
        <f t="shared" si="86"/>
        <v>-3810.0928236957116</v>
      </c>
      <c r="M434" s="3">
        <f t="shared" si="87"/>
        <v>15243.997428304485</v>
      </c>
      <c r="N434" s="3">
        <f t="shared" si="88"/>
        <v>239.82892141909542</v>
      </c>
      <c r="O434" s="3">
        <f t="shared" si="89"/>
        <v>-53810.092823695712</v>
      </c>
      <c r="P434" s="3">
        <f t="shared" si="90"/>
        <v>53810.627273860111</v>
      </c>
    </row>
    <row r="435" spans="1:16" x14ac:dyDescent="0.25">
      <c r="A435">
        <f t="shared" si="77"/>
        <v>179.5</v>
      </c>
      <c r="B435">
        <f t="shared" si="78"/>
        <v>2353.4088971356059</v>
      </c>
      <c r="C435">
        <f t="shared" si="79"/>
        <v>32619.643177585094</v>
      </c>
      <c r="D435">
        <f t="shared" si="80"/>
        <v>15186.475637109403</v>
      </c>
      <c r="E435">
        <f t="shared" si="81"/>
        <v>17619.100707778776</v>
      </c>
      <c r="F435">
        <f>$C$23*(H435/(J435^2+$C$24^2)^1.5)+$C$32*(K435/(M435^2+$C$33^2)^1.5)+C$41*(N435/(P435^2+$C$42^2)^1.5)</f>
        <v>-11581.602018300291</v>
      </c>
      <c r="G435">
        <f>$C$23*(I435/(J435^2+$C$24^2)^1.5)+$C$32*(L435/(M435^2+$C$33^2)^1.5)+C$41*(O435/(P435^2+$C$42^2)^1.5)</f>
        <v>-8357.6400697070676</v>
      </c>
      <c r="H435" s="3">
        <f t="shared" si="82"/>
        <v>17646.591102864393</v>
      </c>
      <c r="I435" s="3">
        <f t="shared" si="83"/>
        <v>-17619.643177585094</v>
      </c>
      <c r="J435" s="3">
        <f t="shared" si="84"/>
        <v>24937.000686873183</v>
      </c>
      <c r="K435" s="3">
        <f t="shared" si="85"/>
        <v>-22353.408897135607</v>
      </c>
      <c r="L435" s="3">
        <f t="shared" si="86"/>
        <v>-12619.643177585094</v>
      </c>
      <c r="M435" s="3">
        <f t="shared" si="87"/>
        <v>25669.63738061197</v>
      </c>
      <c r="N435" s="3">
        <f t="shared" si="88"/>
        <v>-7353.4088971356059</v>
      </c>
      <c r="O435" s="3">
        <f t="shared" si="89"/>
        <v>-62619.643177585094</v>
      </c>
      <c r="P435" s="3">
        <f t="shared" si="90"/>
        <v>63049.919382157437</v>
      </c>
    </row>
    <row r="436" spans="1:16" x14ac:dyDescent="0.25">
      <c r="A436">
        <f t="shared" si="77"/>
        <v>180</v>
      </c>
      <c r="B436">
        <f t="shared" si="78"/>
        <v>7051.2462111152345</v>
      </c>
      <c r="C436">
        <f t="shared" si="79"/>
        <v>39339.783514047718</v>
      </c>
      <c r="D436">
        <f t="shared" si="80"/>
        <v>9395.6746279592571</v>
      </c>
      <c r="E436">
        <f t="shared" si="81"/>
        <v>13440.280672925242</v>
      </c>
      <c r="F436">
        <f>$C$23*(H436/(J436^2+$C$24^2)^1.5)+$C$32*(K436/(M436^2+$C$33^2)^1.5)+C$41*(N436/(P436^2+$C$42^2)^1.5)</f>
        <v>-7709.702972767117</v>
      </c>
      <c r="G436">
        <f>$C$23*(I436/(J436^2+$C$24^2)^1.5)+$C$32*(L436/(M436^2+$C$33^2)^1.5)+C$41*(O436/(P436^2+$C$42^2)^1.5)</f>
        <v>-7019.6922534976165</v>
      </c>
      <c r="H436" s="3">
        <f t="shared" si="82"/>
        <v>12948.753788884766</v>
      </c>
      <c r="I436" s="3">
        <f t="shared" si="83"/>
        <v>-24339.783514047718</v>
      </c>
      <c r="J436" s="3">
        <f t="shared" si="84"/>
        <v>27569.825646816604</v>
      </c>
      <c r="K436" s="3">
        <f t="shared" si="85"/>
        <v>-27051.246211115234</v>
      </c>
      <c r="L436" s="3">
        <f t="shared" si="86"/>
        <v>-19339.783514047718</v>
      </c>
      <c r="M436" s="3">
        <f t="shared" si="87"/>
        <v>33253.528353313253</v>
      </c>
      <c r="N436" s="3">
        <f t="shared" si="88"/>
        <v>-12051.246211115234</v>
      </c>
      <c r="O436" s="3">
        <f t="shared" si="89"/>
        <v>-69339.783514047711</v>
      </c>
      <c r="P436" s="3">
        <f t="shared" si="90"/>
        <v>70379.244902285805</v>
      </c>
    </row>
    <row r="437" spans="1:16" x14ac:dyDescent="0.25">
      <c r="A437">
        <f t="shared" si="77"/>
        <v>180.5</v>
      </c>
      <c r="B437">
        <f t="shared" si="78"/>
        <v>9821.6577819030827</v>
      </c>
      <c r="C437">
        <f t="shared" si="79"/>
        <v>44305.000787135941</v>
      </c>
      <c r="D437">
        <f t="shared" si="80"/>
        <v>5540.8231415756982</v>
      </c>
      <c r="E437">
        <f t="shared" si="81"/>
        <v>9930.4345461764351</v>
      </c>
      <c r="F437">
        <f>$C$23*(H437/(J437^2+$C$24^2)^1.5)+$C$32*(K437/(M437^2+$C$33^2)^1.5)+C$41*(N437/(P437^2+$C$42^2)^1.5)</f>
        <v>-5955.3263596007937</v>
      </c>
      <c r="G437">
        <f>$C$23*(I437/(J437^2+$C$24^2)^1.5)+$C$32*(L437/(M437^2+$C$33^2)^1.5)+C$41*(O437/(P437^2+$C$42^2)^1.5)</f>
        <v>-6072.1017372213992</v>
      </c>
      <c r="H437" s="3">
        <f t="shared" si="82"/>
        <v>10178.342218096917</v>
      </c>
      <c r="I437" s="3">
        <f t="shared" si="83"/>
        <v>-29305.000787135941</v>
      </c>
      <c r="J437" s="3">
        <f t="shared" si="84"/>
        <v>31022.277824858898</v>
      </c>
      <c r="K437" s="3">
        <f t="shared" si="85"/>
        <v>-29821.657781903083</v>
      </c>
      <c r="L437" s="3">
        <f t="shared" si="86"/>
        <v>-24305.000787135941</v>
      </c>
      <c r="M437" s="3">
        <f t="shared" si="87"/>
        <v>38471.604283206332</v>
      </c>
      <c r="N437" s="3">
        <f t="shared" si="88"/>
        <v>-14821.657781903083</v>
      </c>
      <c r="O437" s="3">
        <f t="shared" si="89"/>
        <v>-74305.000787135941</v>
      </c>
      <c r="P437" s="3">
        <f t="shared" si="90"/>
        <v>75768.823940853938</v>
      </c>
    </row>
    <row r="438" spans="1:16" x14ac:dyDescent="0.25">
      <c r="A438">
        <f t="shared" si="77"/>
        <v>181</v>
      </c>
      <c r="B438">
        <f t="shared" si="78"/>
        <v>11103.237762790732</v>
      </c>
      <c r="C438">
        <f t="shared" si="79"/>
        <v>47752.192625918804</v>
      </c>
      <c r="D438">
        <f t="shared" si="80"/>
        <v>2563.1599617753013</v>
      </c>
      <c r="E438">
        <f t="shared" si="81"/>
        <v>6894.3836775657355</v>
      </c>
      <c r="F438">
        <f>$C$23*(H438/(J438^2+$C$24^2)^1.5)+$C$32*(K438/(M438^2+$C$33^2)^1.5)+C$41*(N438/(P438^2+$C$42^2)^1.5)</f>
        <v>-5073.5505327839937</v>
      </c>
      <c r="G438">
        <f>$C$23*(I438/(J438^2+$C$24^2)^1.5)+$C$32*(L438/(M438^2+$C$33^2)^1.5)+C$41*(O438/(P438^2+$C$42^2)^1.5)</f>
        <v>-5572.6357149257483</v>
      </c>
      <c r="H438" s="3">
        <f t="shared" si="82"/>
        <v>8896.7622372092683</v>
      </c>
      <c r="I438" s="3">
        <f t="shared" si="83"/>
        <v>-32752.192625918804</v>
      </c>
      <c r="J438" s="3">
        <f t="shared" si="84"/>
        <v>33939.040942706721</v>
      </c>
      <c r="K438" s="3">
        <f t="shared" si="85"/>
        <v>-31103.237762790734</v>
      </c>
      <c r="L438" s="3">
        <f t="shared" si="86"/>
        <v>-27752.192625918804</v>
      </c>
      <c r="M438" s="3">
        <f t="shared" si="87"/>
        <v>41684.476665478163</v>
      </c>
      <c r="N438" s="3">
        <f t="shared" si="88"/>
        <v>-16103.237762790732</v>
      </c>
      <c r="O438" s="3">
        <f t="shared" si="89"/>
        <v>-77752.192625918804</v>
      </c>
      <c r="P438" s="3">
        <f t="shared" si="90"/>
        <v>79402.252641741536</v>
      </c>
    </row>
    <row r="439" spans="1:16" x14ac:dyDescent="0.25">
      <c r="A439">
        <f t="shared" si="77"/>
        <v>181.5</v>
      </c>
      <c r="B439">
        <f t="shared" si="78"/>
        <v>11116.430110482384</v>
      </c>
      <c r="C439">
        <f t="shared" si="79"/>
        <v>49806.225535970239</v>
      </c>
      <c r="D439">
        <f t="shared" si="80"/>
        <v>26.384695383304461</v>
      </c>
      <c r="E439">
        <f t="shared" si="81"/>
        <v>4108.0658201028618</v>
      </c>
      <c r="F439">
        <f>$C$23*(H439/(J439^2+$C$24^2)^1.5)+$C$32*(K439/(M439^2+$C$33^2)^1.5)+C$41*(N439/(P439^2+$C$42^2)^1.5)</f>
        <v>-4656.5319476462309</v>
      </c>
      <c r="G439">
        <f>$C$23*(I439/(J439^2+$C$24^2)^1.5)+$C$32*(L439/(M439^2+$C$33^2)^1.5)+C$41*(O439/(P439^2+$C$42^2)^1.5)</f>
        <v>-5424.3567408768049</v>
      </c>
      <c r="H439" s="3">
        <f t="shared" si="82"/>
        <v>8883.5698895176156</v>
      </c>
      <c r="I439" s="3">
        <f t="shared" si="83"/>
        <v>-34806.225535970239</v>
      </c>
      <c r="J439" s="3">
        <f t="shared" si="84"/>
        <v>35922.014838296178</v>
      </c>
      <c r="K439" s="3">
        <f t="shared" si="85"/>
        <v>-31116.430110482383</v>
      </c>
      <c r="L439" s="3">
        <f t="shared" si="86"/>
        <v>-29806.225535970239</v>
      </c>
      <c r="M439" s="3">
        <f t="shared" si="87"/>
        <v>43088.783964294686</v>
      </c>
      <c r="N439" s="3">
        <f t="shared" si="88"/>
        <v>-16116.430110482384</v>
      </c>
      <c r="O439" s="3">
        <f t="shared" si="89"/>
        <v>-79806.225535970239</v>
      </c>
      <c r="P439" s="3">
        <f t="shared" si="90"/>
        <v>81417.276752567763</v>
      </c>
    </row>
    <row r="440" spans="1:16" x14ac:dyDescent="0.25">
      <c r="A440">
        <f t="shared" si="77"/>
        <v>182</v>
      </c>
      <c r="B440">
        <f t="shared" si="78"/>
        <v>9965.4894712624791</v>
      </c>
      <c r="C440">
        <f t="shared" si="79"/>
        <v>50504.169260802468</v>
      </c>
      <c r="D440">
        <f t="shared" si="80"/>
        <v>-2301.881278439811</v>
      </c>
      <c r="E440">
        <f t="shared" si="81"/>
        <v>1395.8874496644594</v>
      </c>
      <c r="F440">
        <f>$C$23*(H440/(J440^2+$C$24^2)^1.5)+$C$32*(K440/(M440^2+$C$33^2)^1.5)+C$41*(N440/(P440^2+$C$42^2)^1.5)</f>
        <v>-4562.5051686341194</v>
      </c>
      <c r="G440">
        <f>$C$23*(I440/(J440^2+$C$24^2)^1.5)+$C$32*(L440/(M440^2+$C$33^2)^1.5)+C$41*(O440/(P440^2+$C$42^2)^1.5)</f>
        <v>-5595.3775719711257</v>
      </c>
      <c r="H440" s="3">
        <f t="shared" si="82"/>
        <v>10034.510528737521</v>
      </c>
      <c r="I440" s="3">
        <f t="shared" si="83"/>
        <v>-35504.169260802468</v>
      </c>
      <c r="J440" s="3">
        <f t="shared" si="84"/>
        <v>36894.9513680538</v>
      </c>
      <c r="K440" s="3">
        <f t="shared" si="85"/>
        <v>-29965.489471262481</v>
      </c>
      <c r="L440" s="3">
        <f t="shared" si="86"/>
        <v>-30504.169260802468</v>
      </c>
      <c r="M440" s="3">
        <f t="shared" si="87"/>
        <v>42760.202309437555</v>
      </c>
      <c r="N440" s="3">
        <f t="shared" si="88"/>
        <v>-14965.489471262479</v>
      </c>
      <c r="O440" s="3">
        <f t="shared" si="89"/>
        <v>-80504.169260802475</v>
      </c>
      <c r="P440" s="3">
        <f t="shared" si="90"/>
        <v>81883.375257047155</v>
      </c>
    </row>
    <row r="441" spans="1:16" x14ac:dyDescent="0.25">
      <c r="A441">
        <f t="shared" si="77"/>
        <v>182.5</v>
      </c>
      <c r="B441">
        <f t="shared" si="78"/>
        <v>7673.9225398840445</v>
      </c>
      <c r="C441">
        <f t="shared" si="79"/>
        <v>49803.268592641914</v>
      </c>
      <c r="D441">
        <f t="shared" si="80"/>
        <v>-4583.1338627568712</v>
      </c>
      <c r="E441">
        <f t="shared" si="81"/>
        <v>-1401.8013363211035</v>
      </c>
      <c r="F441">
        <f>$C$23*(H441/(J441^2+$C$24^2)^1.5)+$C$32*(K441/(M441^2+$C$33^2)^1.5)+C$41*(N441/(P441^2+$C$42^2)^1.5)</f>
        <v>-4776.6034873393983</v>
      </c>
      <c r="G441">
        <f>$C$23*(I441/(J441^2+$C$24^2)^1.5)+$C$32*(L441/(M441^2+$C$33^2)^1.5)+C$41*(O441/(P441^2+$C$42^2)^1.5)</f>
        <v>-6144.2382651656044</v>
      </c>
      <c r="H441" s="3">
        <f t="shared" si="82"/>
        <v>12326.077460115956</v>
      </c>
      <c r="I441" s="3">
        <f t="shared" si="83"/>
        <v>-34803.268592641914</v>
      </c>
      <c r="J441" s="3">
        <f t="shared" si="84"/>
        <v>36921.534235244799</v>
      </c>
      <c r="K441" s="3">
        <f t="shared" si="85"/>
        <v>-27673.922539884043</v>
      </c>
      <c r="L441" s="3">
        <f t="shared" si="86"/>
        <v>-29803.268592641914</v>
      </c>
      <c r="M441" s="3">
        <f t="shared" si="87"/>
        <v>40670.392271880759</v>
      </c>
      <c r="N441" s="3">
        <f t="shared" si="88"/>
        <v>-12673.922539884044</v>
      </c>
      <c r="O441" s="3">
        <f t="shared" si="89"/>
        <v>-79803.268592641922</v>
      </c>
      <c r="P441" s="3">
        <f t="shared" si="90"/>
        <v>80803.403335604176</v>
      </c>
    </row>
    <row r="442" spans="1:16" x14ac:dyDescent="0.25">
      <c r="A442">
        <f t="shared" si="77"/>
        <v>183</v>
      </c>
      <c r="B442">
        <f t="shared" si="78"/>
        <v>4188.2047366707593</v>
      </c>
      <c r="C442">
        <f t="shared" si="79"/>
        <v>47566.308358189963</v>
      </c>
      <c r="D442">
        <f t="shared" si="80"/>
        <v>-6971.4356064265703</v>
      </c>
      <c r="E442">
        <f t="shared" si="81"/>
        <v>-4473.9204689039052</v>
      </c>
      <c r="F442">
        <f>$C$23*(H442/(J442^2+$C$24^2)^1.5)+$C$32*(K442/(M442^2+$C$33^2)^1.5)+C$41*(N442/(P442^2+$C$42^2)^1.5)</f>
        <v>-5406.2374168768565</v>
      </c>
      <c r="G442">
        <f>$C$23*(I442/(J442^2+$C$24^2)^1.5)+$C$32*(L442/(M442^2+$C$33^2)^1.5)+C$41*(O442/(P442^2+$C$42^2)^1.5)</f>
        <v>-7279.488129080004</v>
      </c>
      <c r="H442" s="3">
        <f t="shared" si="82"/>
        <v>15811.795263329241</v>
      </c>
      <c r="I442" s="3">
        <f t="shared" si="83"/>
        <v>-32566.308358189963</v>
      </c>
      <c r="J442" s="3">
        <f t="shared" si="84"/>
        <v>36201.896490793886</v>
      </c>
      <c r="K442" s="3">
        <f t="shared" si="85"/>
        <v>-24188.204736670759</v>
      </c>
      <c r="L442" s="3">
        <f t="shared" si="86"/>
        <v>-27566.308358189963</v>
      </c>
      <c r="M442" s="3">
        <f t="shared" si="87"/>
        <v>36673.84087986852</v>
      </c>
      <c r="N442" s="3">
        <f t="shared" si="88"/>
        <v>-9188.2047366707593</v>
      </c>
      <c r="O442" s="3">
        <f t="shared" si="89"/>
        <v>-77566.30835818997</v>
      </c>
      <c r="P442" s="3">
        <f t="shared" si="90"/>
        <v>78108.612192259505</v>
      </c>
    </row>
    <row r="443" spans="1:16" x14ac:dyDescent="0.25">
      <c r="A443">
        <f t="shared" si="77"/>
        <v>183.5</v>
      </c>
      <c r="B443">
        <f t="shared" si="78"/>
        <v>-649.07242076173998</v>
      </c>
      <c r="C443">
        <f t="shared" si="79"/>
        <v>43509.476091468008</v>
      </c>
      <c r="D443">
        <f t="shared" si="80"/>
        <v>-9674.5543148649995</v>
      </c>
      <c r="E443">
        <f t="shared" si="81"/>
        <v>-8113.6645334439072</v>
      </c>
      <c r="F443">
        <f>$C$23*(H443/(J443^2+$C$24^2)^1.5)+$C$32*(K443/(M443^2+$C$33^2)^1.5)+C$41*(N443/(P443^2+$C$42^2)^1.5)</f>
        <v>-6799.0398254110742</v>
      </c>
      <c r="G443">
        <f>$C$23*(I443/(J443^2+$C$24^2)^1.5)+$C$32*(L443/(M443^2+$C$33^2)^1.5)+C$41*(O443/(P443^2+$C$42^2)^1.5)</f>
        <v>-9580.8279850355702</v>
      </c>
      <c r="H443" s="3">
        <f t="shared" si="82"/>
        <v>20649.072420761739</v>
      </c>
      <c r="I443" s="3">
        <f t="shared" si="83"/>
        <v>-28509.476091468008</v>
      </c>
      <c r="J443" s="3">
        <f t="shared" si="84"/>
        <v>35201.90930685222</v>
      </c>
      <c r="K443" s="3">
        <f t="shared" si="85"/>
        <v>-19350.927579238261</v>
      </c>
      <c r="L443" s="3">
        <f t="shared" si="86"/>
        <v>-23509.476091468008</v>
      </c>
      <c r="M443" s="3">
        <f t="shared" si="87"/>
        <v>30449.201373307478</v>
      </c>
      <c r="N443" s="3">
        <f t="shared" si="88"/>
        <v>-4350.9275792382596</v>
      </c>
      <c r="O443" s="3">
        <f t="shared" si="89"/>
        <v>-73509.476091468008</v>
      </c>
      <c r="P443" s="3">
        <f t="shared" si="90"/>
        <v>73638.12630724578</v>
      </c>
    </row>
    <row r="444" spans="1:16" x14ac:dyDescent="0.25">
      <c r="A444">
        <f t="shared" si="77"/>
        <v>184</v>
      </c>
      <c r="B444">
        <f t="shared" si="78"/>
        <v>-7186.1095345470085</v>
      </c>
      <c r="C444">
        <f t="shared" si="79"/>
        <v>37057.43682848716</v>
      </c>
      <c r="D444">
        <f t="shared" si="80"/>
        <v>-13074.074227570536</v>
      </c>
      <c r="E444">
        <f t="shared" si="81"/>
        <v>-12904.078525961693</v>
      </c>
      <c r="F444">
        <f>$C$23*(H444/(J444^2+$C$24^2)^1.5)+$C$32*(K444/(M444^2+$C$33^2)^1.5)+C$41*(N444/(P444^2+$C$42^2)^1.5)</f>
        <v>-9861.3648660488871</v>
      </c>
      <c r="G444">
        <f>$C$23*(I444/(J444^2+$C$24^2)^1.5)+$C$32*(L444/(M444^2+$C$33^2)^1.5)+C$41*(O444/(P444^2+$C$42^2)^1.5)</f>
        <v>-14755.652255456209</v>
      </c>
      <c r="H444" s="3">
        <f t="shared" si="82"/>
        <v>27186.109534547009</v>
      </c>
      <c r="I444" s="3">
        <f t="shared" si="83"/>
        <v>-22057.43682848716</v>
      </c>
      <c r="J444" s="3">
        <f t="shared" si="84"/>
        <v>35008.785626855002</v>
      </c>
      <c r="K444" s="3">
        <f t="shared" si="85"/>
        <v>-12813.890465452991</v>
      </c>
      <c r="L444" s="3">
        <f t="shared" si="86"/>
        <v>-17057.43682848716</v>
      </c>
      <c r="M444" s="3">
        <f t="shared" si="87"/>
        <v>21334.290239388261</v>
      </c>
      <c r="N444" s="3">
        <f t="shared" si="88"/>
        <v>2186.1095345470085</v>
      </c>
      <c r="O444" s="3">
        <f t="shared" si="89"/>
        <v>-67057.43682848716</v>
      </c>
      <c r="P444" s="3">
        <f t="shared" si="90"/>
        <v>67093.06155560039</v>
      </c>
    </row>
    <row r="445" spans="1:16" x14ac:dyDescent="0.25">
      <c r="A445">
        <f t="shared" si="77"/>
        <v>184.5</v>
      </c>
      <c r="B445">
        <f t="shared" si="78"/>
        <v>-16188.487864844497</v>
      </c>
      <c r="C445">
        <f t="shared" si="79"/>
        <v>26916.484501642259</v>
      </c>
      <c r="D445">
        <f t="shared" si="80"/>
        <v>-18004.75666059498</v>
      </c>
      <c r="E445">
        <f t="shared" si="81"/>
        <v>-20281.904653689799</v>
      </c>
      <c r="F445">
        <f>$C$23*(H445/(J445^2+$C$24^2)^1.5)+$C$32*(K445/(M445^2+$C$33^2)^1.5)+C$41*(N445/(P445^2+$C$42^2)^1.5)</f>
        <v>-10497.596096096402</v>
      </c>
      <c r="G445">
        <f>$C$23*(I445/(J445^2+$C$24^2)^1.5)+$C$32*(L445/(M445^2+$C$33^2)^1.5)+C$41*(O445/(P445^2+$C$42^2)^1.5)</f>
        <v>-21351.269211323215</v>
      </c>
      <c r="H445" s="3">
        <f t="shared" si="82"/>
        <v>36188.487864844501</v>
      </c>
      <c r="I445" s="3">
        <f t="shared" si="83"/>
        <v>-11916.484501642259</v>
      </c>
      <c r="J445" s="3">
        <f t="shared" si="84"/>
        <v>38099.990247005022</v>
      </c>
      <c r="K445" s="3">
        <f t="shared" si="85"/>
        <v>-3811.5121351555026</v>
      </c>
      <c r="L445" s="3">
        <f t="shared" si="86"/>
        <v>-6916.4845016422587</v>
      </c>
      <c r="M445" s="3">
        <f t="shared" si="87"/>
        <v>7897.175610171982</v>
      </c>
      <c r="N445" s="3">
        <f t="shared" si="88"/>
        <v>11188.487864844497</v>
      </c>
      <c r="O445" s="3">
        <f t="shared" si="89"/>
        <v>-56916.484501642262</v>
      </c>
      <c r="P445" s="3">
        <f t="shared" si="90"/>
        <v>58005.762375193866</v>
      </c>
    </row>
    <row r="446" spans="1:16" x14ac:dyDescent="0.25">
      <c r="A446">
        <f t="shared" si="77"/>
        <v>185</v>
      </c>
      <c r="B446">
        <f t="shared" si="78"/>
        <v>-27815.265219166085</v>
      </c>
      <c r="C446">
        <f t="shared" si="79"/>
        <v>11437.714871966553</v>
      </c>
      <c r="D446">
        <f t="shared" si="80"/>
        <v>-23253.55470864318</v>
      </c>
      <c r="E446">
        <f t="shared" si="81"/>
        <v>-30957.539259351404</v>
      </c>
      <c r="F446">
        <f>$C$23*(H446/(J446^2+$C$24^2)^1.5)+$C$32*(K446/(M446^2+$C$33^2)^1.5)+C$41*(N446/(P446^2+$C$42^2)^1.5)</f>
        <v>17285.469851676618</v>
      </c>
      <c r="G446">
        <f>$C$23*(I446/(J446^2+$C$24^2)^1.5)+$C$32*(L446/(M446^2+$C$33^2)^1.5)+C$41*(O446/(P446^2+$C$42^2)^1.5)</f>
        <v>16247.356532692398</v>
      </c>
      <c r="H446" s="3">
        <f t="shared" si="82"/>
        <v>47815.265219166089</v>
      </c>
      <c r="I446" s="3">
        <f t="shared" si="83"/>
        <v>3562.2851280334471</v>
      </c>
      <c r="J446" s="3">
        <f t="shared" si="84"/>
        <v>47947.778502372792</v>
      </c>
      <c r="K446" s="3">
        <f t="shared" si="85"/>
        <v>7815.2652191660854</v>
      </c>
      <c r="L446" s="3">
        <f t="shared" si="86"/>
        <v>8562.2851280334471</v>
      </c>
      <c r="M446" s="3">
        <f t="shared" si="87"/>
        <v>11592.717414810466</v>
      </c>
      <c r="N446" s="3">
        <f t="shared" si="88"/>
        <v>22815.265219166085</v>
      </c>
      <c r="O446" s="3">
        <f t="shared" si="89"/>
        <v>-41437.714871966557</v>
      </c>
      <c r="P446" s="3">
        <f t="shared" si="90"/>
        <v>47303.493960079606</v>
      </c>
    </row>
    <row r="447" spans="1:16" x14ac:dyDescent="0.25">
      <c r="A447">
        <f t="shared" si="77"/>
        <v>185.5</v>
      </c>
      <c r="B447">
        <f t="shared" si="78"/>
        <v>-35120.675110568525</v>
      </c>
      <c r="C447">
        <f t="shared" si="79"/>
        <v>20.784375463950255</v>
      </c>
      <c r="D447">
        <f t="shared" si="80"/>
        <v>-14610.819782804871</v>
      </c>
      <c r="E447">
        <f t="shared" si="81"/>
        <v>-22833.860993005204</v>
      </c>
      <c r="F447">
        <f>$C$23*(H447/(J447^2+$C$24^2)^1.5)+$C$32*(K447/(M447^2+$C$33^2)^1.5)+C$41*(N447/(P447^2+$C$42^2)^1.5)</f>
        <v>10249.773809308243</v>
      </c>
      <c r="G447">
        <f>$C$23*(I447/(J447^2+$C$24^2)^1.5)+$C$32*(L447/(M447^2+$C$33^2)^1.5)+C$41*(O447/(P447^2+$C$42^2)^1.5)</f>
        <v>9874.7729354268413</v>
      </c>
      <c r="H447" s="3">
        <f t="shared" si="82"/>
        <v>55120.675110568525</v>
      </c>
      <c r="I447" s="3">
        <f t="shared" si="83"/>
        <v>14979.215624536049</v>
      </c>
      <c r="J447" s="3">
        <f t="shared" si="84"/>
        <v>57119.748996045084</v>
      </c>
      <c r="K447" s="3">
        <f t="shared" si="85"/>
        <v>15120.675110568525</v>
      </c>
      <c r="L447" s="3">
        <f t="shared" si="86"/>
        <v>19979.215624536049</v>
      </c>
      <c r="M447" s="3">
        <f t="shared" si="87"/>
        <v>25056.014702483553</v>
      </c>
      <c r="N447" s="3">
        <f t="shared" si="88"/>
        <v>30120.675110568525</v>
      </c>
      <c r="O447" s="3">
        <f t="shared" si="89"/>
        <v>-30020.784375463951</v>
      </c>
      <c r="P447" s="3">
        <f t="shared" si="90"/>
        <v>42526.492491557809</v>
      </c>
    </row>
    <row r="448" spans="1:16" x14ac:dyDescent="0.25">
      <c r="A448">
        <f t="shared" si="77"/>
        <v>186</v>
      </c>
      <c r="B448">
        <f t="shared" si="78"/>
        <v>-39863.6415496439</v>
      </c>
      <c r="C448">
        <f t="shared" si="79"/>
        <v>-8927.4528871819421</v>
      </c>
      <c r="D448">
        <f t="shared" si="80"/>
        <v>-9485.9328781507502</v>
      </c>
      <c r="E448">
        <f t="shared" si="81"/>
        <v>-17896.474525291786</v>
      </c>
      <c r="F448">
        <f>$C$23*(H448/(J448^2+$C$24^2)^1.5)+$C$32*(K448/(M448^2+$C$33^2)^1.5)+C$41*(N448/(P448^2+$C$42^2)^1.5)</f>
        <v>7147.2081553462413</v>
      </c>
      <c r="G448">
        <f>$C$23*(I448/(J448^2+$C$24^2)^1.5)+$C$32*(L448/(M448^2+$C$33^2)^1.5)+C$41*(O448/(P448^2+$C$42^2)^1.5)</f>
        <v>6208.5418382994994</v>
      </c>
      <c r="H448" s="3">
        <f t="shared" si="82"/>
        <v>59863.6415496439</v>
      </c>
      <c r="I448" s="3">
        <f t="shared" si="83"/>
        <v>23927.452887181942</v>
      </c>
      <c r="J448" s="3">
        <f t="shared" si="84"/>
        <v>64468.430888711438</v>
      </c>
      <c r="K448" s="3">
        <f t="shared" si="85"/>
        <v>19863.6415496439</v>
      </c>
      <c r="L448" s="3">
        <f t="shared" si="86"/>
        <v>28927.452887181942</v>
      </c>
      <c r="M448" s="3">
        <f t="shared" si="87"/>
        <v>35090.764969616583</v>
      </c>
      <c r="N448" s="3">
        <f t="shared" si="88"/>
        <v>34863.6415496439</v>
      </c>
      <c r="O448" s="3">
        <f t="shared" si="89"/>
        <v>-21072.547112818058</v>
      </c>
      <c r="P448" s="3">
        <f t="shared" si="90"/>
        <v>40737.277080384163</v>
      </c>
    </row>
    <row r="449" spans="1:16" x14ac:dyDescent="0.25">
      <c r="A449">
        <f t="shared" si="77"/>
        <v>186.5</v>
      </c>
      <c r="B449">
        <f t="shared" si="78"/>
        <v>-42819.805949882713</v>
      </c>
      <c r="C449">
        <f t="shared" si="79"/>
        <v>-16323.55469025296</v>
      </c>
      <c r="D449">
        <f t="shared" si="80"/>
        <v>-5912.3288004776296</v>
      </c>
      <c r="E449">
        <f t="shared" si="81"/>
        <v>-14792.203606142037</v>
      </c>
      <c r="F449">
        <f>$C$23*(H449/(J449^2+$C$24^2)^1.5)+$C$32*(K449/(M449^2+$C$33^2)^1.5)+C$41*(N449/(P449^2+$C$42^2)^1.5)</f>
        <v>5757.8315318680106</v>
      </c>
      <c r="G449">
        <f>$C$23*(I449/(J449^2+$C$24^2)^1.5)+$C$32*(L449/(M449^2+$C$33^2)^1.5)+C$41*(O449/(P449^2+$C$42^2)^1.5)</f>
        <v>4713.8588031137006</v>
      </c>
      <c r="H449" s="3">
        <f t="shared" si="82"/>
        <v>62819.805949882713</v>
      </c>
      <c r="I449" s="3">
        <f t="shared" si="83"/>
        <v>31323.55469025296</v>
      </c>
      <c r="J449" s="3">
        <f t="shared" si="84"/>
        <v>70196.104578631624</v>
      </c>
      <c r="K449" s="3">
        <f t="shared" si="85"/>
        <v>22819.805949882713</v>
      </c>
      <c r="L449" s="3">
        <f t="shared" si="86"/>
        <v>36323.55469025296</v>
      </c>
      <c r="M449" s="3">
        <f t="shared" si="87"/>
        <v>42896.901623848084</v>
      </c>
      <c r="N449" s="3">
        <f t="shared" si="88"/>
        <v>37819.805949882713</v>
      </c>
      <c r="O449" s="3">
        <f t="shared" si="89"/>
        <v>-13676.44530974704</v>
      </c>
      <c r="P449" s="3">
        <f t="shared" si="90"/>
        <v>40216.698999262553</v>
      </c>
    </row>
    <row r="450" spans="1:16" x14ac:dyDescent="0.25">
      <c r="A450">
        <f t="shared" si="77"/>
        <v>187</v>
      </c>
      <c r="B450">
        <f t="shared" si="78"/>
        <v>-44336.51246715452</v>
      </c>
      <c r="C450">
        <f t="shared" si="79"/>
        <v>-22541.191792545553</v>
      </c>
      <c r="D450">
        <f t="shared" si="80"/>
        <v>-3033.4130345436242</v>
      </c>
      <c r="E450">
        <f t="shared" si="81"/>
        <v>-12435.274204585186</v>
      </c>
      <c r="F450">
        <f>$C$23*(H450/(J450^2+$C$24^2)^1.5)+$C$32*(K450/(M450^2+$C$33^2)^1.5)+C$41*(N450/(P450^2+$C$42^2)^1.5)</f>
        <v>4980.7407838804229</v>
      </c>
      <c r="G450">
        <f>$C$23*(I450/(J450^2+$C$24^2)^1.5)+$C$32*(L450/(M450^2+$C$33^2)^1.5)+C$41*(O450/(P450^2+$C$42^2)^1.5)</f>
        <v>4069.2744153402255</v>
      </c>
      <c r="H450" s="3">
        <f t="shared" si="82"/>
        <v>64336.51246715452</v>
      </c>
      <c r="I450" s="3">
        <f t="shared" si="83"/>
        <v>37541.191792545549</v>
      </c>
      <c r="J450" s="3">
        <f t="shared" si="84"/>
        <v>74488.441503638795</v>
      </c>
      <c r="K450" s="3">
        <f t="shared" si="85"/>
        <v>24336.51246715452</v>
      </c>
      <c r="L450" s="3">
        <f t="shared" si="86"/>
        <v>42541.191792545549</v>
      </c>
      <c r="M450" s="3">
        <f t="shared" si="87"/>
        <v>49010.395205447101</v>
      </c>
      <c r="N450" s="3">
        <f t="shared" si="88"/>
        <v>39336.51246715452</v>
      </c>
      <c r="O450" s="3">
        <f t="shared" si="89"/>
        <v>-7458.8082074544473</v>
      </c>
      <c r="P450" s="3">
        <f t="shared" si="90"/>
        <v>40037.420408340404</v>
      </c>
    </row>
    <row r="451" spans="1:16" x14ac:dyDescent="0.25">
      <c r="A451">
        <f t="shared" si="77"/>
        <v>187.5</v>
      </c>
      <c r="B451">
        <f t="shared" si="78"/>
        <v>-44608.033788456225</v>
      </c>
      <c r="C451">
        <f t="shared" si="79"/>
        <v>-27741.510291003087</v>
      </c>
      <c r="D451">
        <f t="shared" si="80"/>
        <v>-543.04264260341279</v>
      </c>
      <c r="E451">
        <f t="shared" si="81"/>
        <v>-10400.636996915073</v>
      </c>
      <c r="F451">
        <f>$C$23*(H451/(J451^2+$C$24^2)^1.5)+$C$32*(K451/(M451^2+$C$33^2)^1.5)+C$41*(N451/(P451^2+$C$42^2)^1.5)</f>
        <v>4500.937857141731</v>
      </c>
      <c r="G451">
        <f>$C$23*(I451/(J451^2+$C$24^2)^1.5)+$C$32*(L451/(M451^2+$C$33^2)^1.5)+C$41*(O451/(P451^2+$C$42^2)^1.5)</f>
        <v>3801.5732426433706</v>
      </c>
      <c r="H451" s="3">
        <f t="shared" si="82"/>
        <v>64608.033788456225</v>
      </c>
      <c r="I451" s="3">
        <f t="shared" si="83"/>
        <v>42741.510291003084</v>
      </c>
      <c r="J451" s="3">
        <f t="shared" si="84"/>
        <v>77466.345802330339</v>
      </c>
      <c r="K451" s="3">
        <f t="shared" si="85"/>
        <v>24608.033788456225</v>
      </c>
      <c r="L451" s="3">
        <f t="shared" si="86"/>
        <v>47741.510291003084</v>
      </c>
      <c r="M451" s="3">
        <f t="shared" si="87"/>
        <v>53710.400592434205</v>
      </c>
      <c r="N451" s="3">
        <f t="shared" si="88"/>
        <v>39608.033788456225</v>
      </c>
      <c r="O451" s="3">
        <f t="shared" si="89"/>
        <v>-2258.4897089969127</v>
      </c>
      <c r="P451" s="3">
        <f t="shared" si="90"/>
        <v>39672.37220476153</v>
      </c>
    </row>
    <row r="452" spans="1:16" x14ac:dyDescent="0.25">
      <c r="A452">
        <f t="shared" si="77"/>
        <v>188</v>
      </c>
      <c r="B452">
        <f t="shared" si="78"/>
        <v>-43754.3206454725</v>
      </c>
      <c r="C452">
        <f t="shared" si="79"/>
        <v>-31991.435478799784</v>
      </c>
      <c r="D452">
        <f t="shared" si="80"/>
        <v>1707.4262859674527</v>
      </c>
      <c r="E452">
        <f t="shared" si="81"/>
        <v>-8499.8503755933871</v>
      </c>
      <c r="F452">
        <f>$C$23*(H452/(J452^2+$C$24^2)^1.5)+$C$32*(K452/(M452^2+$C$33^2)^1.5)+C$41*(N452/(P452^2+$C$42^2)^1.5)</f>
        <v>4216.5115460701081</v>
      </c>
      <c r="G452">
        <f>$C$23*(I452/(J452^2+$C$24^2)^1.5)+$C$32*(L452/(M452^2+$C$33^2)^1.5)+C$41*(O452/(P452^2+$C$42^2)^1.5)</f>
        <v>3740.1886219294593</v>
      </c>
      <c r="H452" s="3">
        <f t="shared" si="82"/>
        <v>63754.3206454725</v>
      </c>
      <c r="I452" s="3">
        <f t="shared" si="83"/>
        <v>46991.435478799787</v>
      </c>
      <c r="J452" s="3">
        <f t="shared" si="84"/>
        <v>79201.063183040198</v>
      </c>
      <c r="K452" s="3">
        <f t="shared" si="85"/>
        <v>23754.3206454725</v>
      </c>
      <c r="L452" s="3">
        <f t="shared" si="86"/>
        <v>51991.435478799787</v>
      </c>
      <c r="M452" s="3">
        <f t="shared" si="87"/>
        <v>57160.975433193249</v>
      </c>
      <c r="N452" s="3">
        <f t="shared" si="88"/>
        <v>38754.3206454725</v>
      </c>
      <c r="O452" s="3">
        <f t="shared" si="89"/>
        <v>1991.4354787997836</v>
      </c>
      <c r="P452" s="3">
        <f t="shared" si="90"/>
        <v>38805.453018336462</v>
      </c>
    </row>
    <row r="453" spans="1:16" x14ac:dyDescent="0.25">
      <c r="A453">
        <f t="shared" si="77"/>
        <v>188.5</v>
      </c>
      <c r="B453">
        <f t="shared" si="78"/>
        <v>-41846.47961597125</v>
      </c>
      <c r="C453">
        <f t="shared" si="79"/>
        <v>-35306.313511114109</v>
      </c>
      <c r="D453">
        <f t="shared" si="80"/>
        <v>3815.6820590025068</v>
      </c>
      <c r="E453">
        <f t="shared" si="81"/>
        <v>-6629.7560646286574</v>
      </c>
      <c r="F453">
        <f>$C$23*(H453/(J453^2+$C$24^2)^1.5)+$C$32*(K453/(M453^2+$C$33^2)^1.5)+C$41*(N453/(P453^2+$C$42^2)^1.5)</f>
        <v>4097.3839779845457</v>
      </c>
      <c r="G453">
        <f>$C$23*(I453/(J453^2+$C$24^2)^1.5)+$C$32*(L453/(M453^2+$C$33^2)^1.5)+C$41*(O453/(P453^2+$C$42^2)^1.5)</f>
        <v>3829.554742691776</v>
      </c>
      <c r="H453" s="3">
        <f t="shared" si="82"/>
        <v>61846.47961597125</v>
      </c>
      <c r="I453" s="3">
        <f t="shared" si="83"/>
        <v>50306.313511114109</v>
      </c>
      <c r="J453" s="3">
        <f t="shared" si="84"/>
        <v>79722.72085150663</v>
      </c>
      <c r="K453" s="3">
        <f t="shared" si="85"/>
        <v>21846.47961597125</v>
      </c>
      <c r="L453" s="3">
        <f t="shared" si="86"/>
        <v>55306.313511114109</v>
      </c>
      <c r="M453" s="3">
        <f t="shared" si="87"/>
        <v>59464.754147315616</v>
      </c>
      <c r="N453" s="3">
        <f t="shared" si="88"/>
        <v>36846.47961597125</v>
      </c>
      <c r="O453" s="3">
        <f t="shared" si="89"/>
        <v>5306.3135111141091</v>
      </c>
      <c r="P453" s="3">
        <f t="shared" si="90"/>
        <v>37226.603701767053</v>
      </c>
    </row>
    <row r="454" spans="1:16" x14ac:dyDescent="0.25">
      <c r="A454">
        <f t="shared" si="77"/>
        <v>189</v>
      </c>
      <c r="B454">
        <f t="shared" si="78"/>
        <v>-38914.292591973863</v>
      </c>
      <c r="C454">
        <f t="shared" si="79"/>
        <v>-37663.802857755494</v>
      </c>
      <c r="D454">
        <f t="shared" si="80"/>
        <v>5864.3740479947792</v>
      </c>
      <c r="E454">
        <f t="shared" si="81"/>
        <v>-4714.9786932827692</v>
      </c>
      <c r="F454">
        <f>$C$23*(H454/(J454^2+$C$24^2)^1.5)+$C$32*(K454/(M454^2+$C$33^2)^1.5)+C$41*(N454/(P454^2+$C$42^2)^1.5)</f>
        <v>4156.5996472407433</v>
      </c>
      <c r="G454">
        <f>$C$23*(I454/(J454^2+$C$24^2)^1.5)+$C$32*(L454/(M454^2+$C$33^2)^1.5)+C$41*(O454/(P454^2+$C$42^2)^1.5)</f>
        <v>4070.4520019660908</v>
      </c>
      <c r="H454" s="3">
        <f t="shared" si="82"/>
        <v>58914.292591973863</v>
      </c>
      <c r="I454" s="3">
        <f t="shared" si="83"/>
        <v>52663.802857755494</v>
      </c>
      <c r="J454" s="3">
        <f t="shared" si="84"/>
        <v>79021.326254709507</v>
      </c>
      <c r="K454" s="3">
        <f t="shared" si="85"/>
        <v>18914.292591973863</v>
      </c>
      <c r="L454" s="3">
        <f t="shared" si="86"/>
        <v>57663.802857755494</v>
      </c>
      <c r="M454" s="3">
        <f t="shared" si="87"/>
        <v>60686.609925690267</v>
      </c>
      <c r="N454" s="3">
        <f t="shared" si="88"/>
        <v>33914.292591973863</v>
      </c>
      <c r="O454" s="3">
        <f t="shared" si="89"/>
        <v>7663.8028577554942</v>
      </c>
      <c r="P454" s="3">
        <f t="shared" si="90"/>
        <v>34769.427896595516</v>
      </c>
    </row>
    <row r="455" spans="1:16" x14ac:dyDescent="0.25">
      <c r="A455">
        <f t="shared" si="77"/>
        <v>189.5</v>
      </c>
      <c r="B455">
        <f t="shared" si="78"/>
        <v>-34942.95565616629</v>
      </c>
      <c r="C455">
        <f t="shared" si="79"/>
        <v>-39003.679203905354</v>
      </c>
      <c r="D455">
        <f t="shared" si="80"/>
        <v>7942.6738716151503</v>
      </c>
      <c r="E455">
        <f t="shared" si="81"/>
        <v>-2679.752692299724</v>
      </c>
      <c r="F455">
        <f>$C$23*(H455/(J455^2+$C$24^2)^1.5)+$C$32*(K455/(M455^2+$C$33^2)^1.5)+C$41*(N455/(P455^2+$C$42^2)^1.5)</f>
        <v>4465.4907328722857</v>
      </c>
      <c r="G455">
        <f>$C$23*(I455/(J455^2+$C$24^2)^1.5)+$C$32*(L455/(M455^2+$C$33^2)^1.5)+C$41*(O455/(P455^2+$C$42^2)^1.5)</f>
        <v>4513.6291582806871</v>
      </c>
      <c r="H455" s="3">
        <f t="shared" si="82"/>
        <v>54942.95565616629</v>
      </c>
      <c r="I455" s="3">
        <f t="shared" si="83"/>
        <v>54003.679203905354</v>
      </c>
      <c r="J455" s="3">
        <f t="shared" si="84"/>
        <v>77039.767288029732</v>
      </c>
      <c r="K455" s="3">
        <f t="shared" si="85"/>
        <v>14942.95565616629</v>
      </c>
      <c r="L455" s="3">
        <f t="shared" si="86"/>
        <v>59003.679203905354</v>
      </c>
      <c r="M455" s="3">
        <f t="shared" si="87"/>
        <v>60866.461071262594</v>
      </c>
      <c r="N455" s="3">
        <f t="shared" si="88"/>
        <v>29942.95565616629</v>
      </c>
      <c r="O455" s="3">
        <f t="shared" si="89"/>
        <v>9003.6792039053544</v>
      </c>
      <c r="P455" s="3">
        <f t="shared" si="90"/>
        <v>31267.344508831873</v>
      </c>
    </row>
    <row r="456" spans="1:16" x14ac:dyDescent="0.25">
      <c r="A456">
        <f t="shared" si="77"/>
        <v>190</v>
      </c>
      <c r="B456">
        <f t="shared" si="78"/>
        <v>-29855.246037140641</v>
      </c>
      <c r="C456">
        <f t="shared" si="79"/>
        <v>-39215.148260485046</v>
      </c>
      <c r="D456">
        <f t="shared" si="80"/>
        <v>10175.419238051294</v>
      </c>
      <c r="E456">
        <f t="shared" si="81"/>
        <v>-422.93811315938046</v>
      </c>
      <c r="F456">
        <f>$C$23*(H456/(J456^2+$C$24^2)^1.5)+$C$32*(K456/(M456^2+$C$33^2)^1.5)+C$41*(N456/(P456^2+$C$42^2)^1.5)</f>
        <v>5231.0097898962358</v>
      </c>
      <c r="G456">
        <f>$C$23*(I456/(J456^2+$C$24^2)^1.5)+$C$32*(L456/(M456^2+$C$33^2)^1.5)+C$41*(O456/(P456^2+$C$42^2)^1.5)</f>
        <v>5301.6612082037955</v>
      </c>
      <c r="H456" s="3">
        <f t="shared" si="82"/>
        <v>49855.246037140641</v>
      </c>
      <c r="I456" s="3">
        <f t="shared" si="83"/>
        <v>54215.148260485046</v>
      </c>
      <c r="J456" s="3">
        <f t="shared" si="84"/>
        <v>73653.430730212436</v>
      </c>
      <c r="K456" s="3">
        <f t="shared" si="85"/>
        <v>9855.2460371406414</v>
      </c>
      <c r="L456" s="3">
        <f t="shared" si="86"/>
        <v>59215.148260485046</v>
      </c>
      <c r="M456" s="3">
        <f t="shared" si="87"/>
        <v>60029.656487138098</v>
      </c>
      <c r="N456" s="3">
        <f t="shared" si="88"/>
        <v>24855.246037140641</v>
      </c>
      <c r="O456" s="3">
        <f t="shared" si="89"/>
        <v>9215.1482604850462</v>
      </c>
      <c r="P456" s="3">
        <f t="shared" si="90"/>
        <v>26508.530948159241</v>
      </c>
    </row>
    <row r="457" spans="1:16" x14ac:dyDescent="0.25">
      <c r="A457">
        <f t="shared" si="77"/>
        <v>190.5</v>
      </c>
      <c r="B457">
        <f t="shared" si="78"/>
        <v>-23459.783970640932</v>
      </c>
      <c r="C457">
        <f t="shared" si="79"/>
        <v>-38101.202015013791</v>
      </c>
      <c r="D457">
        <f t="shared" si="80"/>
        <v>12790.924132999411</v>
      </c>
      <c r="E457">
        <f t="shared" si="81"/>
        <v>2227.8924909425173</v>
      </c>
      <c r="F457">
        <f>$C$23*(H457/(J457^2+$C$24^2)^1.5)+$C$32*(K457/(M457^2+$C$33^2)^1.5)+C$41*(N457/(P457^2+$C$42^2)^1.5)</f>
        <v>7080.6478042375511</v>
      </c>
      <c r="G457">
        <f>$C$23*(I457/(J457^2+$C$24^2)^1.5)+$C$32*(L457/(M457^2+$C$33^2)^1.5)+C$41*(O457/(P457^2+$C$42^2)^1.5)</f>
        <v>6845.8989770767112</v>
      </c>
      <c r="H457" s="3">
        <f t="shared" si="82"/>
        <v>43459.783970640929</v>
      </c>
      <c r="I457" s="3">
        <f t="shared" si="83"/>
        <v>53101.202015013791</v>
      </c>
      <c r="J457" s="3">
        <f t="shared" si="84"/>
        <v>68618.441240049186</v>
      </c>
      <c r="K457" s="3">
        <f t="shared" si="85"/>
        <v>3459.7839706409322</v>
      </c>
      <c r="L457" s="3">
        <f t="shared" si="86"/>
        <v>58101.202015013791</v>
      </c>
      <c r="M457" s="3">
        <f t="shared" si="87"/>
        <v>58204.121681483579</v>
      </c>
      <c r="N457" s="3">
        <f t="shared" si="88"/>
        <v>18459.783970640932</v>
      </c>
      <c r="O457" s="3">
        <f t="shared" si="89"/>
        <v>8101.2020150137905</v>
      </c>
      <c r="P457" s="3">
        <f t="shared" si="90"/>
        <v>20159.193890897408</v>
      </c>
    </row>
    <row r="458" spans="1:16" x14ac:dyDescent="0.25">
      <c r="A458">
        <f t="shared" si="77"/>
        <v>191</v>
      </c>
      <c r="B458">
        <f t="shared" si="78"/>
        <v>-15294.159953081838</v>
      </c>
      <c r="C458">
        <f t="shared" si="79"/>
        <v>-35275.781025273354</v>
      </c>
      <c r="D458">
        <f t="shared" si="80"/>
        <v>16331.248035118188</v>
      </c>
      <c r="E458">
        <f t="shared" si="81"/>
        <v>5650.8419794808724</v>
      </c>
      <c r="F458">
        <f>$C$23*(H458/(J458^2+$C$24^2)^1.5)+$C$32*(K458/(M458^2+$C$33^2)^1.5)+C$41*(N458/(P458^2+$C$42^2)^1.5)</f>
        <v>11789.95318032115</v>
      </c>
      <c r="G458">
        <f>$C$23*(I458/(J458^2+$C$24^2)^1.5)+$C$32*(L458/(M458^2+$C$33^2)^1.5)+C$41*(O458/(P458^2+$C$42^2)^1.5)</f>
        <v>10411.407595872548</v>
      </c>
      <c r="H458" s="3">
        <f t="shared" si="82"/>
        <v>35294.159953081835</v>
      </c>
      <c r="I458" s="3">
        <f t="shared" si="83"/>
        <v>50275.781025273354</v>
      </c>
      <c r="J458" s="3">
        <f t="shared" si="84"/>
        <v>61427.452205792826</v>
      </c>
      <c r="K458" s="3">
        <f t="shared" si="85"/>
        <v>-4705.8400469181615</v>
      </c>
      <c r="L458" s="3">
        <f t="shared" si="86"/>
        <v>55275.781025273354</v>
      </c>
      <c r="M458" s="3">
        <f t="shared" si="87"/>
        <v>55475.732518833393</v>
      </c>
      <c r="N458" s="3">
        <f t="shared" si="88"/>
        <v>10294.159953081838</v>
      </c>
      <c r="O458" s="3">
        <f t="shared" si="89"/>
        <v>5275.7810252733543</v>
      </c>
      <c r="P458" s="3">
        <f t="shared" si="90"/>
        <v>11567.350369305334</v>
      </c>
    </row>
    <row r="459" spans="1:16" x14ac:dyDescent="0.25">
      <c r="A459">
        <f t="shared" si="77"/>
        <v>191.5</v>
      </c>
      <c r="B459">
        <f t="shared" si="78"/>
        <v>-4181.0476404424571</v>
      </c>
      <c r="C459">
        <f t="shared" si="79"/>
        <v>-29847.508136564782</v>
      </c>
      <c r="D459">
        <f t="shared" si="80"/>
        <v>22226.224625278763</v>
      </c>
      <c r="E459">
        <f t="shared" si="81"/>
        <v>10856.545777417146</v>
      </c>
      <c r="F459">
        <f>$C$23*(H459/(J459^2+$C$24^2)^1.5)+$C$32*(K459/(M459^2+$C$33^2)^1.5)+C$41*(N459/(P459^2+$C$42^2)^1.5)</f>
        <v>-4689.3356131580194</v>
      </c>
      <c r="G459">
        <f>$C$23*(I459/(J459^2+$C$24^2)^1.5)+$C$32*(L459/(M459^2+$C$33^2)^1.5)+C$41*(O459/(P459^2+$C$42^2)^1.5)</f>
        <v>3918.7117125289051</v>
      </c>
      <c r="H459" s="3">
        <f t="shared" si="82"/>
        <v>24181.047640442455</v>
      </c>
      <c r="I459" s="3">
        <f t="shared" si="83"/>
        <v>44847.508136564778</v>
      </c>
      <c r="J459" s="3">
        <f t="shared" si="84"/>
        <v>50951.173205811378</v>
      </c>
      <c r="K459" s="3">
        <f t="shared" si="85"/>
        <v>-15818.952359557543</v>
      </c>
      <c r="L459" s="3">
        <f t="shared" si="86"/>
        <v>49847.508136564778</v>
      </c>
      <c r="M459" s="3">
        <f t="shared" si="87"/>
        <v>52297.354820094326</v>
      </c>
      <c r="N459" s="3">
        <f t="shared" si="88"/>
        <v>-818.95235955754288</v>
      </c>
      <c r="O459" s="3">
        <f t="shared" si="89"/>
        <v>-152.49186343521797</v>
      </c>
      <c r="P459" s="3">
        <f t="shared" si="90"/>
        <v>833.02865235165359</v>
      </c>
    </row>
    <row r="460" spans="1:16" x14ac:dyDescent="0.25">
      <c r="A460">
        <f t="shared" si="77"/>
        <v>192</v>
      </c>
      <c r="B460">
        <f t="shared" si="78"/>
        <v>5759.7307689074196</v>
      </c>
      <c r="C460">
        <f t="shared" si="79"/>
        <v>-23439.557319723983</v>
      </c>
      <c r="D460">
        <f t="shared" si="80"/>
        <v>19881.556818699752</v>
      </c>
      <c r="E460">
        <f t="shared" si="81"/>
        <v>12815.901633681598</v>
      </c>
      <c r="F460">
        <f>$C$23*(H460/(J460^2+$C$24^2)^1.5)+$C$32*(K460/(M460^2+$C$33^2)^1.5)+C$41*(N460/(P460^2+$C$42^2)^1.5)</f>
        <v>-13209.266477738774</v>
      </c>
      <c r="G460">
        <f>$C$23*(I460/(J460^2+$C$24^2)^1.5)+$C$32*(L460/(M460^2+$C$33^2)^1.5)+C$41*(O460/(P460^2+$C$42^2)^1.5)</f>
        <v>-2114.5235856129366</v>
      </c>
      <c r="H460" s="3">
        <f t="shared" si="82"/>
        <v>14240.269231092581</v>
      </c>
      <c r="I460" s="3">
        <f t="shared" si="83"/>
        <v>38439.557319723986</v>
      </c>
      <c r="J460" s="3">
        <f t="shared" si="84"/>
        <v>40992.497297802533</v>
      </c>
      <c r="K460" s="3">
        <f t="shared" si="85"/>
        <v>-25759.730768907419</v>
      </c>
      <c r="L460" s="3">
        <f t="shared" si="86"/>
        <v>43439.557319723986</v>
      </c>
      <c r="M460" s="3">
        <f t="shared" si="87"/>
        <v>50503.058020482102</v>
      </c>
      <c r="N460" s="3">
        <f t="shared" si="88"/>
        <v>-10759.730768907419</v>
      </c>
      <c r="O460" s="3">
        <f t="shared" si="89"/>
        <v>-6560.4426802760172</v>
      </c>
      <c r="P460" s="3">
        <f t="shared" si="90"/>
        <v>12602.032152814094</v>
      </c>
    </row>
    <row r="461" spans="1:16" x14ac:dyDescent="0.25">
      <c r="A461">
        <f t="shared" si="77"/>
        <v>192.5</v>
      </c>
      <c r="B461">
        <f t="shared" si="78"/>
        <v>12398.192558822602</v>
      </c>
      <c r="C461">
        <f t="shared" si="79"/>
        <v>-17560.237399286416</v>
      </c>
      <c r="D461">
        <f t="shared" si="80"/>
        <v>13276.923579830363</v>
      </c>
      <c r="E461">
        <f t="shared" si="81"/>
        <v>11758.63984087513</v>
      </c>
      <c r="F461">
        <f>$C$23*(H461/(J461^2+$C$24^2)^1.5)+$C$32*(K461/(M461^2+$C$33^2)^1.5)+C$41*(N461/(P461^2+$C$42^2)^1.5)</f>
        <v>-8725.4791151802165</v>
      </c>
      <c r="G461">
        <f>$C$23*(I461/(J461^2+$C$24^2)^1.5)+$C$32*(L461/(M461^2+$C$33^2)^1.5)+C$41*(O461/(P461^2+$C$42^2)^1.5)</f>
        <v>297.78916037349245</v>
      </c>
      <c r="H461" s="3">
        <f t="shared" si="82"/>
        <v>7601.8074411773978</v>
      </c>
      <c r="I461" s="3">
        <f t="shared" si="83"/>
        <v>32560.237399286416</v>
      </c>
      <c r="J461" s="3">
        <f t="shared" si="84"/>
        <v>33435.857038075606</v>
      </c>
      <c r="K461" s="3">
        <f t="shared" si="85"/>
        <v>-32398.1925588226</v>
      </c>
      <c r="L461" s="3">
        <f t="shared" si="86"/>
        <v>37560.237399286416</v>
      </c>
      <c r="M461" s="3">
        <f t="shared" si="87"/>
        <v>49602.563588682613</v>
      </c>
      <c r="N461" s="3">
        <f t="shared" si="88"/>
        <v>-17398.1925588226</v>
      </c>
      <c r="O461" s="3">
        <f t="shared" si="89"/>
        <v>-12439.762600713584</v>
      </c>
      <c r="P461" s="3">
        <f t="shared" si="90"/>
        <v>21387.959179781097</v>
      </c>
    </row>
    <row r="462" spans="1:16" x14ac:dyDescent="0.25">
      <c r="A462">
        <f t="shared" ref="A462:A525" si="91">A461+$C$5</f>
        <v>193</v>
      </c>
      <c r="B462">
        <f t="shared" ref="B462:B525" si="92">B461+D461*(A462-A461)+F461*(A462-A461)^2</f>
        <v>16855.284569942731</v>
      </c>
      <c r="C462">
        <f t="shared" ref="C462:C525" si="93">C461+E461*(A462-A461)+G461*(A462-A461)^2</f>
        <v>-11606.470188755478</v>
      </c>
      <c r="D462">
        <f t="shared" ref="D462:D525" si="94">D461+F461*(A462-A461)</f>
        <v>8914.1840222402552</v>
      </c>
      <c r="E462">
        <f t="shared" ref="E462:E525" si="95">E461+G461*(A462-A461)</f>
        <v>11907.534421061877</v>
      </c>
      <c r="F462">
        <f>$C$23*(H462/(J462^2+$C$24^2)^1.5)+$C$32*(K462/(M462^2+$C$33^2)^1.5)+C$41*(N462/(P462^2+$C$42^2)^1.5)</f>
        <v>-7191.5935873700309</v>
      </c>
      <c r="G462">
        <f>$C$23*(I462/(J462^2+$C$24^2)^1.5)+$C$32*(L462/(M462^2+$C$33^2)^1.5)+C$41*(O462/(P462^2+$C$42^2)^1.5)</f>
        <v>1314.0243760784724</v>
      </c>
      <c r="H462" s="3">
        <f t="shared" ref="H462:H525" si="96">$C$19-B462</f>
        <v>3144.7154300572693</v>
      </c>
      <c r="I462" s="3">
        <f t="shared" ref="I462:I525" si="97">$D$19-C462</f>
        <v>26606.470188755477</v>
      </c>
      <c r="J462" s="3">
        <f t="shared" ref="J462:J525" si="98">SQRT(H462^2+I462^2)</f>
        <v>26791.668313883965</v>
      </c>
      <c r="K462" s="3">
        <f t="shared" ref="K462:K525" si="99">$C$28-B462</f>
        <v>-36855.284569942727</v>
      </c>
      <c r="L462" s="3">
        <f t="shared" ref="L462:L525" si="100">$D$28-C462</f>
        <v>31606.470188755477</v>
      </c>
      <c r="M462" s="3">
        <f t="shared" ref="M462:M525" si="101">SQRT(K462^2+L462^2)</f>
        <v>48551.837849088137</v>
      </c>
      <c r="N462" s="3">
        <f t="shared" ref="N462:N525" si="102">$C$37-B462</f>
        <v>-21855.284569942731</v>
      </c>
      <c r="O462" s="3">
        <f t="shared" ref="O462:O525" si="103">$D$37-C462</f>
        <v>-18393.529811244523</v>
      </c>
      <c r="P462" s="3">
        <f t="shared" ref="P462:P525" si="104">SQRT(N462^2+O462^2)</f>
        <v>28565.283169440449</v>
      </c>
    </row>
    <row r="463" spans="1:16" x14ac:dyDescent="0.25">
      <c r="A463">
        <f t="shared" si="91"/>
        <v>193.5</v>
      </c>
      <c r="B463">
        <f t="shared" si="92"/>
        <v>19514.478184220348</v>
      </c>
      <c r="C463">
        <f t="shared" si="93"/>
        <v>-5324.1968842049218</v>
      </c>
      <c r="D463">
        <f t="shared" si="94"/>
        <v>5318.3872285552397</v>
      </c>
      <c r="E463">
        <f t="shared" si="95"/>
        <v>12564.546609101113</v>
      </c>
      <c r="F463">
        <f>$C$23*(H463/(J463^2+$C$24^2)^1.5)+$C$32*(K463/(M463^2+$C$33^2)^1.5)+C$41*(N463/(P463^2+$C$42^2)^1.5)</f>
        <v>-6808.4597118628362</v>
      </c>
      <c r="G463">
        <f>$C$23*(I463/(J463^2+$C$24^2)^1.5)+$C$32*(L463/(M463^2+$C$33^2)^1.5)+C$41*(O463/(P463^2+$C$42^2)^1.5)</f>
        <v>1972.3207231767192</v>
      </c>
      <c r="H463" s="3">
        <f t="shared" si="96"/>
        <v>485.52181577965166</v>
      </c>
      <c r="I463" s="3">
        <f t="shared" si="97"/>
        <v>20324.196884204921</v>
      </c>
      <c r="J463" s="3">
        <f t="shared" si="98"/>
        <v>20329.995337469289</v>
      </c>
      <c r="K463" s="3">
        <f t="shared" si="99"/>
        <v>-39514.478184220352</v>
      </c>
      <c r="L463" s="3">
        <f t="shared" si="100"/>
        <v>25324.196884204921</v>
      </c>
      <c r="M463" s="3">
        <f t="shared" si="101"/>
        <v>46933.026047775784</v>
      </c>
      <c r="N463" s="3">
        <f t="shared" si="102"/>
        <v>-24514.478184220348</v>
      </c>
      <c r="O463" s="3">
        <f t="shared" si="103"/>
        <v>-24675.803115795079</v>
      </c>
      <c r="P463" s="3">
        <f t="shared" si="104"/>
        <v>34782.968534242413</v>
      </c>
    </row>
    <row r="464" spans="1:16" x14ac:dyDescent="0.25">
      <c r="A464">
        <f t="shared" si="91"/>
        <v>194</v>
      </c>
      <c r="B464">
        <f t="shared" si="92"/>
        <v>20471.556870532262</v>
      </c>
      <c r="C464">
        <f t="shared" si="93"/>
        <v>1451.1566011398145</v>
      </c>
      <c r="D464">
        <f t="shared" si="94"/>
        <v>1914.1573726238216</v>
      </c>
      <c r="E464">
        <f t="shared" si="95"/>
        <v>13550.706970689473</v>
      </c>
      <c r="F464">
        <f>$C$23*(H464/(J464^2+$C$24^2)^1.5)+$C$32*(K464/(M464^2+$C$33^2)^1.5)+C$41*(N464/(P464^2+$C$42^2)^1.5)</f>
        <v>-7072.7374844662017</v>
      </c>
      <c r="G464">
        <f>$C$23*(I464/(J464^2+$C$24^2)^1.5)+$C$32*(L464/(M464^2+$C$33^2)^1.5)+C$41*(O464/(P464^2+$C$42^2)^1.5)</f>
        <v>3062.2630579619295</v>
      </c>
      <c r="H464" s="3">
        <f t="shared" si="96"/>
        <v>-471.55687053226211</v>
      </c>
      <c r="I464" s="3">
        <f t="shared" si="97"/>
        <v>13548.843398860186</v>
      </c>
      <c r="J464" s="3">
        <f t="shared" si="98"/>
        <v>13557.046998848364</v>
      </c>
      <c r="K464" s="3">
        <f t="shared" si="99"/>
        <v>-40471.556870532266</v>
      </c>
      <c r="L464" s="3">
        <f t="shared" si="100"/>
        <v>18548.843398860186</v>
      </c>
      <c r="M464" s="3">
        <f t="shared" si="101"/>
        <v>44519.731658672048</v>
      </c>
      <c r="N464" s="3">
        <f t="shared" si="102"/>
        <v>-25471.556870532262</v>
      </c>
      <c r="O464" s="3">
        <f t="shared" si="103"/>
        <v>-31451.156601139814</v>
      </c>
      <c r="P464" s="3">
        <f t="shared" si="104"/>
        <v>40471.909529427685</v>
      </c>
    </row>
    <row r="465" spans="1:16" x14ac:dyDescent="0.25">
      <c r="A465">
        <f t="shared" si="91"/>
        <v>194.5</v>
      </c>
      <c r="B465">
        <f t="shared" si="92"/>
        <v>19660.451185727623</v>
      </c>
      <c r="C465">
        <f t="shared" si="93"/>
        <v>8992.075850975034</v>
      </c>
      <c r="D465">
        <f t="shared" si="94"/>
        <v>-1622.2113696092792</v>
      </c>
      <c r="E465">
        <f t="shared" si="95"/>
        <v>15081.838499670437</v>
      </c>
      <c r="F465">
        <f>$C$23*(H465/(J465^2+$C$24^2)^1.5)+$C$32*(K465/(M465^2+$C$33^2)^1.5)+C$41*(N465/(P465^2+$C$42^2)^1.5)</f>
        <v>-7279.7118432131365</v>
      </c>
      <c r="G465">
        <f>$C$23*(I465/(J465^2+$C$24^2)^1.5)+$C$32*(L465/(M465^2+$C$33^2)^1.5)+C$41*(O465/(P465^2+$C$42^2)^1.5)</f>
        <v>6867.2762941888186</v>
      </c>
      <c r="H465" s="3">
        <f t="shared" si="96"/>
        <v>339.54881427237706</v>
      </c>
      <c r="I465" s="3">
        <f t="shared" si="97"/>
        <v>6007.924149024966</v>
      </c>
      <c r="J465" s="3">
        <f t="shared" si="98"/>
        <v>6017.5116101018984</v>
      </c>
      <c r="K465" s="3">
        <f t="shared" si="99"/>
        <v>-39660.451185727623</v>
      </c>
      <c r="L465" s="3">
        <f t="shared" si="100"/>
        <v>11007.924149024966</v>
      </c>
      <c r="M465" s="3">
        <f t="shared" si="101"/>
        <v>41159.759259817962</v>
      </c>
      <c r="N465" s="3">
        <f t="shared" si="102"/>
        <v>-24660.451185727623</v>
      </c>
      <c r="O465" s="3">
        <f t="shared" si="103"/>
        <v>-38992.07585097503</v>
      </c>
      <c r="P465" s="3">
        <f t="shared" si="104"/>
        <v>46135.884426895354</v>
      </c>
    </row>
    <row r="466" spans="1:16" x14ac:dyDescent="0.25">
      <c r="A466">
        <f t="shared" si="91"/>
        <v>195</v>
      </c>
      <c r="B466">
        <f t="shared" si="92"/>
        <v>17029.417540119699</v>
      </c>
      <c r="C466">
        <f t="shared" si="93"/>
        <v>18249.814174357456</v>
      </c>
      <c r="D466">
        <f t="shared" si="94"/>
        <v>-5262.0672912158479</v>
      </c>
      <c r="E466">
        <f t="shared" si="95"/>
        <v>18515.476646764848</v>
      </c>
      <c r="F466">
        <f>$C$23*(H466/(J466^2+$C$24^2)^1.5)+$C$32*(K466/(M466^2+$C$33^2)^1.5)+C$41*(N466/(P466^2+$C$42^2)^1.5)</f>
        <v>-3512.3062397765498</v>
      </c>
      <c r="G466">
        <f>$C$23*(I466/(J466^2+$C$24^2)^1.5)+$C$32*(L466/(M466^2+$C$33^2)^1.5)+C$41*(O466/(P466^2+$C$42^2)^1.5)</f>
        <v>-6652.709697660619</v>
      </c>
      <c r="H466" s="3">
        <f t="shared" si="96"/>
        <v>2970.582459880301</v>
      </c>
      <c r="I466" s="3">
        <f t="shared" si="97"/>
        <v>-3249.8141743574561</v>
      </c>
      <c r="J466" s="3">
        <f t="shared" si="98"/>
        <v>4402.914071249078</v>
      </c>
      <c r="K466" s="3">
        <f t="shared" si="99"/>
        <v>-37029.417540119699</v>
      </c>
      <c r="L466" s="3">
        <f t="shared" si="100"/>
        <v>1750.1858256425439</v>
      </c>
      <c r="M466" s="3">
        <f t="shared" si="101"/>
        <v>37070.755505988876</v>
      </c>
      <c r="N466" s="3">
        <f t="shared" si="102"/>
        <v>-22029.417540119699</v>
      </c>
      <c r="O466" s="3">
        <f t="shared" si="103"/>
        <v>-48249.814174357452</v>
      </c>
      <c r="P466" s="3">
        <f t="shared" si="104"/>
        <v>53040.925755655495</v>
      </c>
    </row>
    <row r="467" spans="1:16" x14ac:dyDescent="0.25">
      <c r="A467">
        <f t="shared" si="91"/>
        <v>195.5</v>
      </c>
      <c r="B467">
        <f t="shared" si="92"/>
        <v>13520.307334567638</v>
      </c>
      <c r="C467">
        <f t="shared" si="93"/>
        <v>25844.375073324729</v>
      </c>
      <c r="D467">
        <f t="shared" si="94"/>
        <v>-7018.2204111041228</v>
      </c>
      <c r="E467">
        <f t="shared" si="95"/>
        <v>15189.121797934538</v>
      </c>
      <c r="F467">
        <f>$C$23*(H467/(J467^2+$C$24^2)^1.5)+$C$32*(K467/(M467^2+$C$33^2)^1.5)+C$41*(N467/(P467^2+$C$42^2)^1.5)</f>
        <v>-8228.2102355360057</v>
      </c>
      <c r="G467">
        <f>$C$23*(I467/(J467^2+$C$24^2)^1.5)+$C$32*(L467/(M467^2+$C$33^2)^1.5)+C$41*(O467/(P467^2+$C$42^2)^1.5)</f>
        <v>-4971.5153597153103</v>
      </c>
      <c r="H467" s="3">
        <f t="shared" si="96"/>
        <v>6479.6926654323615</v>
      </c>
      <c r="I467" s="3">
        <f t="shared" si="97"/>
        <v>-10844.375073324729</v>
      </c>
      <c r="J467" s="3">
        <f t="shared" si="98"/>
        <v>12632.770391699702</v>
      </c>
      <c r="K467" s="3">
        <f t="shared" si="99"/>
        <v>-33520.307334567638</v>
      </c>
      <c r="L467" s="3">
        <f t="shared" si="100"/>
        <v>-5844.3750733247289</v>
      </c>
      <c r="M467" s="3">
        <f t="shared" si="101"/>
        <v>34025.986007778942</v>
      </c>
      <c r="N467" s="3">
        <f t="shared" si="102"/>
        <v>-18520.307334567638</v>
      </c>
      <c r="O467" s="3">
        <f t="shared" si="103"/>
        <v>-55844.375073324729</v>
      </c>
      <c r="P467" s="3">
        <f t="shared" si="104"/>
        <v>58835.329616625866</v>
      </c>
    </row>
    <row r="468" spans="1:16" x14ac:dyDescent="0.25">
      <c r="A468">
        <f t="shared" si="91"/>
        <v>196</v>
      </c>
      <c r="B468">
        <f t="shared" si="92"/>
        <v>7954.144570131577</v>
      </c>
      <c r="C468">
        <f t="shared" si="93"/>
        <v>32196.05713236317</v>
      </c>
      <c r="D468">
        <f t="shared" si="94"/>
        <v>-11132.325528872127</v>
      </c>
      <c r="E468">
        <f t="shared" si="95"/>
        <v>12703.364118076883</v>
      </c>
      <c r="F468">
        <f>$C$23*(H468/(J468^2+$C$24^2)^1.5)+$C$32*(K468/(M468^2+$C$33^2)^1.5)+C$41*(N468/(P468^2+$C$42^2)^1.5)</f>
        <v>-9642.1084989994833</v>
      </c>
      <c r="G468">
        <f>$C$23*(I468/(J468^2+$C$24^2)^1.5)+$C$32*(L468/(M468^2+$C$33^2)^1.5)+C$41*(O468/(P468^2+$C$42^2)^1.5)</f>
        <v>-6266.4541233137697</v>
      </c>
      <c r="H468" s="3">
        <f t="shared" si="96"/>
        <v>12045.855429868423</v>
      </c>
      <c r="I468" s="3">
        <f t="shared" si="97"/>
        <v>-17196.05713236317</v>
      </c>
      <c r="J468" s="3">
        <f t="shared" si="98"/>
        <v>20995.404590928676</v>
      </c>
      <c r="K468" s="3">
        <f t="shared" si="99"/>
        <v>-27954.144570131575</v>
      </c>
      <c r="L468" s="3">
        <f t="shared" si="100"/>
        <v>-12196.05713236317</v>
      </c>
      <c r="M468" s="3">
        <f t="shared" si="101"/>
        <v>30498.819784111045</v>
      </c>
      <c r="N468" s="3">
        <f t="shared" si="102"/>
        <v>-12954.144570131577</v>
      </c>
      <c r="O468" s="3">
        <f t="shared" si="103"/>
        <v>-62196.057132363174</v>
      </c>
      <c r="P468" s="3">
        <f t="shared" si="104"/>
        <v>63530.775096452693</v>
      </c>
    </row>
    <row r="469" spans="1:16" x14ac:dyDescent="0.25">
      <c r="A469">
        <f t="shared" si="91"/>
        <v>196.5</v>
      </c>
      <c r="B469">
        <f t="shared" si="92"/>
        <v>-22.545319054357151</v>
      </c>
      <c r="C469">
        <f t="shared" si="93"/>
        <v>36981.125660573169</v>
      </c>
      <c r="D469">
        <f t="shared" si="94"/>
        <v>-15953.379778371869</v>
      </c>
      <c r="E469">
        <f t="shared" si="95"/>
        <v>9570.137056419997</v>
      </c>
      <c r="F469">
        <f>$C$23*(H469/(J469^2+$C$24^2)^1.5)+$C$32*(K469/(M469^2+$C$33^2)^1.5)+C$41*(N469/(P469^2+$C$42^2)^1.5)</f>
        <v>-9930.7859374134368</v>
      </c>
      <c r="G469">
        <f>$C$23*(I469/(J469^2+$C$24^2)^1.5)+$C$32*(L469/(M469^2+$C$33^2)^1.5)+C$41*(O469/(P469^2+$C$42^2)^1.5)</f>
        <v>-10025.753274065779</v>
      </c>
      <c r="H469" s="3">
        <f t="shared" si="96"/>
        <v>20022.545319054356</v>
      </c>
      <c r="I469" s="3">
        <f t="shared" si="97"/>
        <v>-21981.125660573169</v>
      </c>
      <c r="J469" s="3">
        <f t="shared" si="98"/>
        <v>29733.351751181595</v>
      </c>
      <c r="K469" s="3">
        <f t="shared" si="99"/>
        <v>-19977.454680945644</v>
      </c>
      <c r="L469" s="3">
        <f t="shared" si="100"/>
        <v>-16981.125660573169</v>
      </c>
      <c r="M469" s="3">
        <f t="shared" si="101"/>
        <v>26219.40739661012</v>
      </c>
      <c r="N469" s="3">
        <f t="shared" si="102"/>
        <v>-4977.4546809456424</v>
      </c>
      <c r="O469" s="3">
        <f t="shared" si="103"/>
        <v>-66981.125660573161</v>
      </c>
      <c r="P469" s="3">
        <f t="shared" si="104"/>
        <v>67165.811614677586</v>
      </c>
    </row>
    <row r="470" spans="1:16" x14ac:dyDescent="0.25">
      <c r="A470">
        <f t="shared" si="91"/>
        <v>197</v>
      </c>
      <c r="B470">
        <f t="shared" si="92"/>
        <v>-10481.931692593651</v>
      </c>
      <c r="C470">
        <f t="shared" si="93"/>
        <v>39259.755870266716</v>
      </c>
      <c r="D470">
        <f t="shared" si="94"/>
        <v>-20918.772747078587</v>
      </c>
      <c r="E470">
        <f t="shared" si="95"/>
        <v>4557.2604193871075</v>
      </c>
      <c r="F470">
        <f>$C$23*(H470/(J470^2+$C$24^2)^1.5)+$C$32*(K470/(M470^2+$C$33^2)^1.5)+C$41*(N470/(P470^2+$C$42^2)^1.5)</f>
        <v>-7150.5166385589237</v>
      </c>
      <c r="G470">
        <f>$C$23*(I470/(J470^2+$C$24^2)^1.5)+$C$32*(L470/(M470^2+$C$33^2)^1.5)+C$41*(O470/(P470^2+$C$42^2)^1.5)</f>
        <v>-16184.903411849502</v>
      </c>
      <c r="H470" s="3">
        <f t="shared" si="96"/>
        <v>30481.931692593651</v>
      </c>
      <c r="I470" s="3">
        <f t="shared" si="97"/>
        <v>-24259.755870266716</v>
      </c>
      <c r="J470" s="3">
        <f t="shared" si="98"/>
        <v>38957.462887062931</v>
      </c>
      <c r="K470" s="3">
        <f t="shared" si="99"/>
        <v>-9518.068307406349</v>
      </c>
      <c r="L470" s="3">
        <f t="shared" si="100"/>
        <v>-19259.755870266716</v>
      </c>
      <c r="M470" s="3">
        <f t="shared" si="101"/>
        <v>21483.291658559367</v>
      </c>
      <c r="N470" s="3">
        <f t="shared" si="102"/>
        <v>5481.931692593651</v>
      </c>
      <c r="O470" s="3">
        <f t="shared" si="103"/>
        <v>-69259.755870266716</v>
      </c>
      <c r="P470" s="3">
        <f t="shared" si="104"/>
        <v>69476.365465467519</v>
      </c>
    </row>
    <row r="471" spans="1:16" x14ac:dyDescent="0.25">
      <c r="A471">
        <f t="shared" si="91"/>
        <v>197.5</v>
      </c>
      <c r="B471">
        <f t="shared" si="92"/>
        <v>-22728.947225772677</v>
      </c>
      <c r="C471">
        <f t="shared" si="93"/>
        <v>37492.160226997898</v>
      </c>
      <c r="D471">
        <f t="shared" si="94"/>
        <v>-24494.031066358049</v>
      </c>
      <c r="E471">
        <f t="shared" si="95"/>
        <v>-3535.1912865376435</v>
      </c>
      <c r="F471">
        <f>$C$23*(H471/(J471^2+$C$24^2)^1.5)+$C$32*(K471/(M471^2+$C$33^2)^1.5)+C$41*(N471/(P471^2+$C$42^2)^1.5)</f>
        <v>3495.5059004675527</v>
      </c>
      <c r="G471">
        <f>$C$23*(I471/(J471^2+$C$24^2)^1.5)+$C$32*(L471/(M471^2+$C$33^2)^1.5)+C$41*(O471/(P471^2+$C$42^2)^1.5)</f>
        <v>-20703.348096840367</v>
      </c>
      <c r="H471" s="3">
        <f t="shared" si="96"/>
        <v>42728.947225772674</v>
      </c>
      <c r="I471" s="3">
        <f t="shared" si="97"/>
        <v>-22492.160226997898</v>
      </c>
      <c r="J471" s="3">
        <f t="shared" si="98"/>
        <v>48287.267500862094</v>
      </c>
      <c r="K471" s="3">
        <f t="shared" si="99"/>
        <v>2728.9472257726775</v>
      </c>
      <c r="L471" s="3">
        <f t="shared" si="100"/>
        <v>-17492.160226997898</v>
      </c>
      <c r="M471" s="3">
        <f t="shared" si="101"/>
        <v>17703.75164669962</v>
      </c>
      <c r="N471" s="3">
        <f t="shared" si="102"/>
        <v>17728.947225772677</v>
      </c>
      <c r="O471" s="3">
        <f t="shared" si="103"/>
        <v>-67492.16022699789</v>
      </c>
      <c r="P471" s="3">
        <f t="shared" si="104"/>
        <v>69781.854818004009</v>
      </c>
    </row>
    <row r="472" spans="1:16" x14ac:dyDescent="0.25">
      <c r="A472">
        <f t="shared" si="91"/>
        <v>198</v>
      </c>
      <c r="B472">
        <f t="shared" si="92"/>
        <v>-34102.086283834818</v>
      </c>
      <c r="C472">
        <f t="shared" si="93"/>
        <v>30548.727559518986</v>
      </c>
      <c r="D472">
        <f t="shared" si="94"/>
        <v>-22746.278116124275</v>
      </c>
      <c r="E472">
        <f t="shared" si="95"/>
        <v>-13886.865334957827</v>
      </c>
      <c r="F472">
        <f>$C$23*(H472/(J472^2+$C$24^2)^1.5)+$C$32*(K472/(M472^2+$C$33^2)^1.5)+C$41*(N472/(P472^2+$C$42^2)^1.5)</f>
        <v>16650.215465118457</v>
      </c>
      <c r="G472">
        <f>$C$23*(I472/(J472^2+$C$24^2)^1.5)+$C$32*(L472/(M472^2+$C$33^2)^1.5)+C$41*(O472/(P472^2+$C$42^2)^1.5)</f>
        <v>-12900.948754011775</v>
      </c>
      <c r="H472" s="3">
        <f t="shared" si="96"/>
        <v>54102.086283834818</v>
      </c>
      <c r="I472" s="3">
        <f t="shared" si="97"/>
        <v>-15548.727559518986</v>
      </c>
      <c r="J472" s="3">
        <f t="shared" si="98"/>
        <v>56292.083537418053</v>
      </c>
      <c r="K472" s="3">
        <f t="shared" si="99"/>
        <v>14102.086283834818</v>
      </c>
      <c r="L472" s="3">
        <f t="shared" si="100"/>
        <v>-10548.727559518986</v>
      </c>
      <c r="M472" s="3">
        <f t="shared" si="101"/>
        <v>17610.91964326899</v>
      </c>
      <c r="N472" s="3">
        <f t="shared" si="102"/>
        <v>29102.086283834818</v>
      </c>
      <c r="O472" s="3">
        <f t="shared" si="103"/>
        <v>-60548.727559518986</v>
      </c>
      <c r="P472" s="3">
        <f t="shared" si="104"/>
        <v>67179.459920042675</v>
      </c>
    </row>
    <row r="473" spans="1:16" x14ac:dyDescent="0.25">
      <c r="A473">
        <f t="shared" si="91"/>
        <v>198.5</v>
      </c>
      <c r="B473">
        <f t="shared" si="92"/>
        <v>-41312.671475617339</v>
      </c>
      <c r="C473">
        <f t="shared" si="93"/>
        <v>20380.057703537132</v>
      </c>
      <c r="D473">
        <f t="shared" si="94"/>
        <v>-14421.170383565046</v>
      </c>
      <c r="E473">
        <f t="shared" si="95"/>
        <v>-20337.339711963716</v>
      </c>
      <c r="F473">
        <f>$C$23*(H473/(J473^2+$C$24^2)^1.5)+$C$32*(K473/(M473^2+$C$33^2)^1.5)+C$41*(N473/(P473^2+$C$42^2)^1.5)</f>
        <v>17762.65107359552</v>
      </c>
      <c r="G473">
        <f>$C$23*(I473/(J473^2+$C$24^2)^1.5)+$C$32*(L473/(M473^2+$C$33^2)^1.5)+C$41*(O473/(P473^2+$C$42^2)^1.5)</f>
        <v>-1163.2724849623926</v>
      </c>
      <c r="H473" s="3">
        <f t="shared" si="96"/>
        <v>61312.671475617339</v>
      </c>
      <c r="I473" s="3">
        <f t="shared" si="97"/>
        <v>-5380.0577035371316</v>
      </c>
      <c r="J473" s="3">
        <f t="shared" si="98"/>
        <v>61548.26321164854</v>
      </c>
      <c r="K473" s="3">
        <f t="shared" si="99"/>
        <v>21312.671475617339</v>
      </c>
      <c r="L473" s="3">
        <f t="shared" si="100"/>
        <v>-380.0577035371316</v>
      </c>
      <c r="M473" s="3">
        <f t="shared" si="101"/>
        <v>21316.059891209043</v>
      </c>
      <c r="N473" s="3">
        <f t="shared" si="102"/>
        <v>36312.671475617339</v>
      </c>
      <c r="O473" s="3">
        <f t="shared" si="103"/>
        <v>-50380.057703537132</v>
      </c>
      <c r="P473" s="3">
        <f t="shared" si="104"/>
        <v>62102.820579325089</v>
      </c>
    </row>
    <row r="474" spans="1:16" x14ac:dyDescent="0.25">
      <c r="A474">
        <f t="shared" si="91"/>
        <v>199</v>
      </c>
      <c r="B474">
        <f t="shared" si="92"/>
        <v>-44082.593899000982</v>
      </c>
      <c r="C474">
        <f t="shared" si="93"/>
        <v>9920.5697263146758</v>
      </c>
      <c r="D474">
        <f t="shared" si="94"/>
        <v>-5539.8448467672861</v>
      </c>
      <c r="E474">
        <f t="shared" si="95"/>
        <v>-20918.975954444912</v>
      </c>
      <c r="F474">
        <f>$C$23*(H474/(J474^2+$C$24^2)^1.5)+$C$32*(K474/(M474^2+$C$33^2)^1.5)+C$41*(N474/(P474^2+$C$42^2)^1.5)</f>
        <v>13493.540523992588</v>
      </c>
      <c r="G474">
        <f>$C$23*(I474/(J474^2+$C$24^2)^1.5)+$C$32*(L474/(M474^2+$C$33^2)^1.5)+C$41*(O474/(P474^2+$C$42^2)^1.5)</f>
        <v>4315.5645586956271</v>
      </c>
      <c r="H474" s="3">
        <f t="shared" si="96"/>
        <v>64082.593899000982</v>
      </c>
      <c r="I474" s="3">
        <f t="shared" si="97"/>
        <v>5079.4302736853242</v>
      </c>
      <c r="J474" s="3">
        <f t="shared" si="98"/>
        <v>64283.586184418091</v>
      </c>
      <c r="K474" s="3">
        <f t="shared" si="99"/>
        <v>24082.593899000982</v>
      </c>
      <c r="L474" s="3">
        <f t="shared" si="100"/>
        <v>10079.430273685324</v>
      </c>
      <c r="M474" s="3">
        <f t="shared" si="101"/>
        <v>26106.823697000822</v>
      </c>
      <c r="N474" s="3">
        <f t="shared" si="102"/>
        <v>39082.593899000982</v>
      </c>
      <c r="O474" s="3">
        <f t="shared" si="103"/>
        <v>-39920.569726314672</v>
      </c>
      <c r="P474" s="3">
        <f t="shared" si="104"/>
        <v>55866.815133384691</v>
      </c>
    </row>
    <row r="475" spans="1:16" x14ac:dyDescent="0.25">
      <c r="A475">
        <f t="shared" si="91"/>
        <v>199.5</v>
      </c>
      <c r="B475">
        <f t="shared" si="92"/>
        <v>-43479.131191386477</v>
      </c>
      <c r="C475">
        <f t="shared" si="93"/>
        <v>539.97288876612674</v>
      </c>
      <c r="D475">
        <f t="shared" si="94"/>
        <v>1206.9254152290077</v>
      </c>
      <c r="E475">
        <f t="shared" si="95"/>
        <v>-18761.1936750971</v>
      </c>
      <c r="F475">
        <f>$C$23*(H475/(J475^2+$C$24^2)^1.5)+$C$32*(K475/(M475^2+$C$33^2)^1.5)+C$41*(N475/(P475^2+$C$42^2)^1.5)</f>
        <v>9855.126253319253</v>
      </c>
      <c r="G475">
        <f>$C$23*(I475/(J475^2+$C$24^2)^1.5)+$C$32*(L475/(M475^2+$C$33^2)^1.5)+C$41*(O475/(P475^2+$C$42^2)^1.5)</f>
        <v>6020.8927610140481</v>
      </c>
      <c r="H475" s="3">
        <f t="shared" si="96"/>
        <v>63479.131191386477</v>
      </c>
      <c r="I475" s="3">
        <f t="shared" si="97"/>
        <v>14460.027111233874</v>
      </c>
      <c r="J475" s="3">
        <f t="shared" si="98"/>
        <v>65105.241577547917</v>
      </c>
      <c r="K475" s="3">
        <f t="shared" si="99"/>
        <v>23479.131191386477</v>
      </c>
      <c r="L475" s="3">
        <f t="shared" si="100"/>
        <v>19460.027111233874</v>
      </c>
      <c r="M475" s="3">
        <f t="shared" si="101"/>
        <v>30495.282531439101</v>
      </c>
      <c r="N475" s="3">
        <f t="shared" si="102"/>
        <v>38479.131191386477</v>
      </c>
      <c r="O475" s="3">
        <f t="shared" si="103"/>
        <v>-30539.972888766126</v>
      </c>
      <c r="P475" s="3">
        <f t="shared" si="104"/>
        <v>49125.690644412338</v>
      </c>
    </row>
    <row r="476" spans="1:16" x14ac:dyDescent="0.25">
      <c r="A476">
        <f t="shared" si="91"/>
        <v>200</v>
      </c>
      <c r="B476">
        <f t="shared" si="92"/>
        <v>-40411.886920442157</v>
      </c>
      <c r="C476">
        <f t="shared" si="93"/>
        <v>-7335.4007585289119</v>
      </c>
      <c r="D476">
        <f t="shared" si="94"/>
        <v>6134.4885418886342</v>
      </c>
      <c r="E476">
        <f t="shared" si="95"/>
        <v>-15750.747294590075</v>
      </c>
      <c r="F476">
        <f>$C$23*(H476/(J476^2+$C$24^2)^1.5)+$C$32*(K476/(M476^2+$C$33^2)^1.5)+C$41*(N476/(P476^2+$C$42^2)^1.5)</f>
        <v>7530.1626740331931</v>
      </c>
      <c r="G476">
        <f>$C$23*(I476/(J476^2+$C$24^2)^1.5)+$C$32*(L476/(M476^2+$C$33^2)^1.5)+C$41*(O476/(P476^2+$C$42^2)^1.5)</f>
        <v>6333.3104482934659</v>
      </c>
      <c r="H476" s="3">
        <f t="shared" si="96"/>
        <v>60411.886920442157</v>
      </c>
      <c r="I476" s="3">
        <f t="shared" si="97"/>
        <v>22335.400758528911</v>
      </c>
      <c r="J476" s="3">
        <f t="shared" si="98"/>
        <v>64408.588001386772</v>
      </c>
      <c r="K476" s="3">
        <f t="shared" si="99"/>
        <v>20411.886920442157</v>
      </c>
      <c r="L476" s="3">
        <f t="shared" si="100"/>
        <v>27335.400758528911</v>
      </c>
      <c r="M476" s="3">
        <f t="shared" si="101"/>
        <v>34115.528169475852</v>
      </c>
      <c r="N476" s="3">
        <f t="shared" si="102"/>
        <v>35411.886920442157</v>
      </c>
      <c r="O476" s="3">
        <f t="shared" si="103"/>
        <v>-22664.599241471089</v>
      </c>
      <c r="P476" s="3">
        <f t="shared" si="104"/>
        <v>42043.855603912853</v>
      </c>
    </row>
    <row r="477" spans="1:16" x14ac:dyDescent="0.25">
      <c r="A477">
        <f t="shared" si="91"/>
        <v>200.5</v>
      </c>
      <c r="B477">
        <f t="shared" si="92"/>
        <v>-35462.101980989537</v>
      </c>
      <c r="C477">
        <f t="shared" si="93"/>
        <v>-13627.446793750583</v>
      </c>
      <c r="D477">
        <f t="shared" si="94"/>
        <v>9899.5698789052312</v>
      </c>
      <c r="E477">
        <f t="shared" si="95"/>
        <v>-12584.092070443343</v>
      </c>
      <c r="F477">
        <f>$C$23*(H477/(J477^2+$C$24^2)^1.5)+$C$32*(K477/(M477^2+$C$33^2)^1.5)+C$41*(N477/(P477^2+$C$42^2)^1.5)</f>
        <v>6285.12061862876</v>
      </c>
      <c r="G477">
        <f>$C$23*(I477/(J477^2+$C$24^2)^1.5)+$C$32*(L477/(M477^2+$C$33^2)^1.5)+C$41*(O477/(P477^2+$C$42^2)^1.5)</f>
        <v>6054.9882070198346</v>
      </c>
      <c r="H477" s="3">
        <f t="shared" si="96"/>
        <v>55462.101980989537</v>
      </c>
      <c r="I477" s="3">
        <f t="shared" si="97"/>
        <v>28627.446793750583</v>
      </c>
      <c r="J477" s="3">
        <f t="shared" si="98"/>
        <v>62414.545308595363</v>
      </c>
      <c r="K477" s="3">
        <f t="shared" si="99"/>
        <v>15462.101980989537</v>
      </c>
      <c r="L477" s="3">
        <f t="shared" si="100"/>
        <v>33627.446793750583</v>
      </c>
      <c r="M477" s="3">
        <f t="shared" si="101"/>
        <v>37011.913967492233</v>
      </c>
      <c r="N477" s="3">
        <f t="shared" si="102"/>
        <v>30462.101980989537</v>
      </c>
      <c r="O477" s="3">
        <f t="shared" si="103"/>
        <v>-16372.553206249417</v>
      </c>
      <c r="P477" s="3">
        <f t="shared" si="104"/>
        <v>34583.235181105811</v>
      </c>
    </row>
    <row r="478" spans="1:16" x14ac:dyDescent="0.25">
      <c r="A478">
        <f t="shared" si="91"/>
        <v>201</v>
      </c>
      <c r="B478">
        <f t="shared" si="92"/>
        <v>-28941.03688687973</v>
      </c>
      <c r="C478">
        <f t="shared" si="93"/>
        <v>-18405.745777217297</v>
      </c>
      <c r="D478">
        <f t="shared" si="94"/>
        <v>13042.130188219611</v>
      </c>
      <c r="E478">
        <f t="shared" si="95"/>
        <v>-9556.5979669334265</v>
      </c>
      <c r="F478">
        <f>$C$23*(H478/(J478^2+$C$24^2)^1.5)+$C$32*(K478/(M478^2+$C$33^2)^1.5)+C$41*(N478/(P478^2+$C$42^2)^1.5)</f>
        <v>6174.6375046808398</v>
      </c>
      <c r="G478">
        <f>$C$23*(I478/(J478^2+$C$24^2)^1.5)+$C$32*(L478/(M478^2+$C$33^2)^1.5)+C$41*(O478/(P478^2+$C$42^2)^1.5)</f>
        <v>5197.2592787511194</v>
      </c>
      <c r="H478" s="3">
        <f t="shared" si="96"/>
        <v>48941.03688687973</v>
      </c>
      <c r="I478" s="3">
        <f t="shared" si="97"/>
        <v>33405.745777217293</v>
      </c>
      <c r="J478" s="3">
        <f t="shared" si="98"/>
        <v>59255.117437188441</v>
      </c>
      <c r="K478" s="3">
        <f t="shared" si="99"/>
        <v>8941.0368868797304</v>
      </c>
      <c r="L478" s="3">
        <f t="shared" si="100"/>
        <v>38405.745777217293</v>
      </c>
      <c r="M478" s="3">
        <f t="shared" si="101"/>
        <v>39432.771260929505</v>
      </c>
      <c r="N478" s="3">
        <f t="shared" si="102"/>
        <v>23941.03688687973</v>
      </c>
      <c r="O478" s="3">
        <f t="shared" si="103"/>
        <v>-11594.254222782703</v>
      </c>
      <c r="P478" s="3">
        <f t="shared" si="104"/>
        <v>26600.751459337578</v>
      </c>
    </row>
    <row r="479" spans="1:16" x14ac:dyDescent="0.25">
      <c r="A479">
        <f t="shared" si="91"/>
        <v>201.5</v>
      </c>
      <c r="B479">
        <f t="shared" si="92"/>
        <v>-20876.312416599714</v>
      </c>
      <c r="C479">
        <f t="shared" si="93"/>
        <v>-21884.729940996229</v>
      </c>
      <c r="D479">
        <f t="shared" si="94"/>
        <v>16129.448940560031</v>
      </c>
      <c r="E479">
        <f t="shared" si="95"/>
        <v>-6957.9683275578664</v>
      </c>
      <c r="F479">
        <f>$C$23*(H479/(J479^2+$C$24^2)^1.5)+$C$32*(K479/(M479^2+$C$33^2)^1.5)+C$41*(N479/(P479^2+$C$42^2)^1.5)</f>
        <v>8051.3341920383109</v>
      </c>
      <c r="G479">
        <f>$C$23*(I479/(J479^2+$C$24^2)^1.5)+$C$32*(L479/(M479^2+$C$33^2)^1.5)+C$41*(O479/(P479^2+$C$42^2)^1.5)</f>
        <v>2855.7160530777523</v>
      </c>
      <c r="H479" s="3">
        <f t="shared" si="96"/>
        <v>40876.312416599714</v>
      </c>
      <c r="I479" s="3">
        <f t="shared" si="97"/>
        <v>36884.729940996229</v>
      </c>
      <c r="J479" s="3">
        <f t="shared" si="98"/>
        <v>55057.753492125768</v>
      </c>
      <c r="K479" s="3">
        <f t="shared" si="99"/>
        <v>876.3124165997142</v>
      </c>
      <c r="L479" s="3">
        <f t="shared" si="100"/>
        <v>41884.729940996229</v>
      </c>
      <c r="M479" s="3">
        <f t="shared" si="101"/>
        <v>41893.896043238477</v>
      </c>
      <c r="N479" s="3">
        <f t="shared" si="102"/>
        <v>15876.312416599714</v>
      </c>
      <c r="O479" s="3">
        <f t="shared" si="103"/>
        <v>-8115.2700590037712</v>
      </c>
      <c r="P479" s="3">
        <f t="shared" si="104"/>
        <v>17830.168369368846</v>
      </c>
    </row>
    <row r="480" spans="1:16" x14ac:dyDescent="0.25">
      <c r="A480">
        <f t="shared" si="91"/>
        <v>202</v>
      </c>
      <c r="B480">
        <f t="shared" si="92"/>
        <v>-10798.75439831012</v>
      </c>
      <c r="C480">
        <f t="shared" si="93"/>
        <v>-24649.785091505724</v>
      </c>
      <c r="D480">
        <f t="shared" si="94"/>
        <v>20155.116036579187</v>
      </c>
      <c r="E480">
        <f t="shared" si="95"/>
        <v>-5530.11030101899</v>
      </c>
      <c r="F480">
        <f>$C$23*(H480/(J480^2+$C$24^2)^1.5)+$C$32*(K480/(M480^2+$C$33^2)^1.5)+C$41*(N480/(P480^2+$C$42^2)^1.5)</f>
        <v>10701.675143031289</v>
      </c>
      <c r="G480">
        <f>$C$23*(I480/(J480^2+$C$24^2)^1.5)+$C$32*(L480/(M480^2+$C$33^2)^1.5)+C$41*(O480/(P480^2+$C$42^2)^1.5)</f>
        <v>-4971.7740884200975</v>
      </c>
      <c r="H480" s="3">
        <f t="shared" si="96"/>
        <v>30798.75439831012</v>
      </c>
      <c r="I480" s="3">
        <f t="shared" si="97"/>
        <v>39649.785091505721</v>
      </c>
      <c r="J480" s="3">
        <f t="shared" si="98"/>
        <v>50206.261863337488</v>
      </c>
      <c r="K480" s="3">
        <f t="shared" si="99"/>
        <v>-9201.2456016898795</v>
      </c>
      <c r="L480" s="3">
        <f t="shared" si="100"/>
        <v>44649.785091505721</v>
      </c>
      <c r="M480" s="3">
        <f t="shared" si="101"/>
        <v>45588.005323113925</v>
      </c>
      <c r="N480" s="3">
        <f t="shared" si="102"/>
        <v>5798.7543983101205</v>
      </c>
      <c r="O480" s="3">
        <f t="shared" si="103"/>
        <v>-5350.2149084942757</v>
      </c>
      <c r="P480" s="3">
        <f t="shared" si="104"/>
        <v>7889.8892349002836</v>
      </c>
    </row>
    <row r="481" spans="1:16" x14ac:dyDescent="0.25">
      <c r="A481">
        <f t="shared" si="91"/>
        <v>202.5</v>
      </c>
      <c r="B481">
        <f t="shared" si="92"/>
        <v>1954.2224057372955</v>
      </c>
      <c r="C481">
        <f t="shared" si="93"/>
        <v>-28657.783764120242</v>
      </c>
      <c r="D481">
        <f t="shared" si="94"/>
        <v>25505.953608094831</v>
      </c>
      <c r="E481">
        <f t="shared" si="95"/>
        <v>-8015.9973452290387</v>
      </c>
      <c r="F481">
        <f>$C$23*(H481/(J481^2+$C$24^2)^1.5)+$C$32*(K481/(M481^2+$C$33^2)^1.5)+C$41*(N481/(P481^2+$C$42^2)^1.5)</f>
        <v>-17562.887835205274</v>
      </c>
      <c r="G481">
        <f>$C$23*(I481/(J481^2+$C$24^2)^1.5)+$C$32*(L481/(M481^2+$C$33^2)^1.5)+C$41*(O481/(P481^2+$C$42^2)^1.5)</f>
        <v>1192.7936930792634</v>
      </c>
      <c r="H481" s="3">
        <f t="shared" si="96"/>
        <v>18045.777594262705</v>
      </c>
      <c r="I481" s="3">
        <f t="shared" si="97"/>
        <v>43657.783764120242</v>
      </c>
      <c r="J481" s="3">
        <f t="shared" si="98"/>
        <v>47240.365919161493</v>
      </c>
      <c r="K481" s="3">
        <f t="shared" si="99"/>
        <v>-21954.222405737295</v>
      </c>
      <c r="L481" s="3">
        <f t="shared" si="100"/>
        <v>48657.783764120242</v>
      </c>
      <c r="M481" s="3">
        <f t="shared" si="101"/>
        <v>53381.343204123863</v>
      </c>
      <c r="N481" s="3">
        <f t="shared" si="102"/>
        <v>-6954.222405737295</v>
      </c>
      <c r="O481" s="3">
        <f t="shared" si="103"/>
        <v>-1342.2162358797577</v>
      </c>
      <c r="P481" s="3">
        <f t="shared" si="104"/>
        <v>7082.5668858343888</v>
      </c>
    </row>
    <row r="482" spans="1:16" x14ac:dyDescent="0.25">
      <c r="A482">
        <f t="shared" si="91"/>
        <v>203</v>
      </c>
      <c r="B482">
        <f t="shared" si="92"/>
        <v>10316.477250983393</v>
      </c>
      <c r="C482">
        <f t="shared" si="93"/>
        <v>-32367.584013464944</v>
      </c>
      <c r="D482">
        <f t="shared" si="94"/>
        <v>16724.509690492196</v>
      </c>
      <c r="E482">
        <f t="shared" si="95"/>
        <v>-7419.6004986894068</v>
      </c>
      <c r="F482">
        <f>$C$23*(H482/(J482^2+$C$24^2)^1.5)+$C$32*(K482/(M482^2+$C$33^2)^1.5)+C$41*(N482/(P482^2+$C$42^2)^1.5)</f>
        <v>-11949.372377866262</v>
      </c>
      <c r="G482">
        <f>$C$23*(I482/(J482^2+$C$24^2)^1.5)+$C$32*(L482/(M482^2+$C$33^2)^1.5)+C$41*(O482/(P482^2+$C$42^2)^1.5)</f>
        <v>4852.0717270667756</v>
      </c>
      <c r="H482" s="3">
        <f t="shared" si="96"/>
        <v>9683.5227490166071</v>
      </c>
      <c r="I482" s="3">
        <f t="shared" si="97"/>
        <v>47367.584013464948</v>
      </c>
      <c r="J482" s="3">
        <f t="shared" si="98"/>
        <v>48347.271154672038</v>
      </c>
      <c r="K482" s="3">
        <f t="shared" si="99"/>
        <v>-30316.477250983393</v>
      </c>
      <c r="L482" s="3">
        <f t="shared" si="100"/>
        <v>52367.584013464948</v>
      </c>
      <c r="M482" s="3">
        <f t="shared" si="101"/>
        <v>60509.938425986707</v>
      </c>
      <c r="N482" s="3">
        <f t="shared" si="102"/>
        <v>-15316.477250983393</v>
      </c>
      <c r="O482" s="3">
        <f t="shared" si="103"/>
        <v>2367.5840134649443</v>
      </c>
      <c r="P482" s="3">
        <f t="shared" si="104"/>
        <v>15498.384736504206</v>
      </c>
    </row>
    <row r="483" spans="1:16" x14ac:dyDescent="0.25">
      <c r="A483">
        <f t="shared" si="91"/>
        <v>203.5</v>
      </c>
      <c r="B483">
        <f t="shared" si="92"/>
        <v>15691.389001762926</v>
      </c>
      <c r="C483">
        <f t="shared" si="93"/>
        <v>-34864.366331042955</v>
      </c>
      <c r="D483">
        <f t="shared" si="94"/>
        <v>10749.823501559065</v>
      </c>
      <c r="E483">
        <f t="shared" si="95"/>
        <v>-4993.564635156019</v>
      </c>
      <c r="F483">
        <f>$C$23*(H483/(J483^2+$C$24^2)^1.5)+$C$32*(K483/(M483^2+$C$33^2)^1.5)+C$41*(N483/(P483^2+$C$42^2)^1.5)</f>
        <v>-8335.472392514348</v>
      </c>
      <c r="G483">
        <f>$C$23*(I483/(J483^2+$C$24^2)^1.5)+$C$32*(L483/(M483^2+$C$33^2)^1.5)+C$41*(O483/(P483^2+$C$42^2)^1.5)</f>
        <v>4338.8932620694686</v>
      </c>
      <c r="H483" s="3">
        <f t="shared" si="96"/>
        <v>4308.6109982370745</v>
      </c>
      <c r="I483" s="3">
        <f t="shared" si="97"/>
        <v>49864.366331042955</v>
      </c>
      <c r="J483" s="3">
        <f t="shared" si="98"/>
        <v>50050.166416612243</v>
      </c>
      <c r="K483" s="3">
        <f t="shared" si="99"/>
        <v>-35691.389001762924</v>
      </c>
      <c r="L483" s="3">
        <f t="shared" si="100"/>
        <v>54864.366331042955</v>
      </c>
      <c r="M483" s="3">
        <f t="shared" si="101"/>
        <v>65452.073624767945</v>
      </c>
      <c r="N483" s="3">
        <f t="shared" si="102"/>
        <v>-20691.389001762924</v>
      </c>
      <c r="O483" s="3">
        <f t="shared" si="103"/>
        <v>4864.3663310429547</v>
      </c>
      <c r="P483" s="3">
        <f t="shared" si="104"/>
        <v>21255.484906838989</v>
      </c>
    </row>
    <row r="484" spans="1:16" x14ac:dyDescent="0.25">
      <c r="A484">
        <f t="shared" si="91"/>
        <v>204</v>
      </c>
      <c r="B484">
        <f t="shared" si="92"/>
        <v>18982.432654413871</v>
      </c>
      <c r="C484">
        <f t="shared" si="93"/>
        <v>-36276.425333103594</v>
      </c>
      <c r="D484">
        <f t="shared" si="94"/>
        <v>6582.0873053018913</v>
      </c>
      <c r="E484">
        <f t="shared" si="95"/>
        <v>-2824.1180041212847</v>
      </c>
      <c r="F484">
        <f>$C$23*(H484/(J484^2+$C$24^2)^1.5)+$C$32*(K484/(M484^2+$C$33^2)^1.5)+C$41*(N484/(P484^2+$C$42^2)^1.5)</f>
        <v>-6856.4476111347776</v>
      </c>
      <c r="G484">
        <f>$C$23*(I484/(J484^2+$C$24^2)^1.5)+$C$32*(L484/(M484^2+$C$33^2)^1.5)+C$41*(O484/(P484^2+$C$42^2)^1.5)</f>
        <v>3883.8852343302992</v>
      </c>
      <c r="H484" s="3">
        <f t="shared" si="96"/>
        <v>1017.5673455861288</v>
      </c>
      <c r="I484" s="3">
        <f t="shared" si="97"/>
        <v>51276.425333103594</v>
      </c>
      <c r="J484" s="3">
        <f t="shared" si="98"/>
        <v>51286.521019115258</v>
      </c>
      <c r="K484" s="3">
        <f t="shared" si="99"/>
        <v>-38982.432654413875</v>
      </c>
      <c r="L484" s="3">
        <f t="shared" si="100"/>
        <v>56276.425333103594</v>
      </c>
      <c r="M484" s="3">
        <f t="shared" si="101"/>
        <v>68459.229501421476</v>
      </c>
      <c r="N484" s="3">
        <f t="shared" si="102"/>
        <v>-23982.432654413871</v>
      </c>
      <c r="O484" s="3">
        <f t="shared" si="103"/>
        <v>6276.4253331035943</v>
      </c>
      <c r="P484" s="3">
        <f t="shared" si="104"/>
        <v>24790.130919087969</v>
      </c>
    </row>
    <row r="485" spans="1:16" x14ac:dyDescent="0.25">
      <c r="A485">
        <f t="shared" si="91"/>
        <v>204.5</v>
      </c>
      <c r="B485">
        <f t="shared" si="92"/>
        <v>20559.364404281125</v>
      </c>
      <c r="C485">
        <f t="shared" si="93"/>
        <v>-36717.513026581662</v>
      </c>
      <c r="D485">
        <f t="shared" si="94"/>
        <v>3153.8634997345025</v>
      </c>
      <c r="E485">
        <f t="shared" si="95"/>
        <v>-882.17538695613507</v>
      </c>
      <c r="F485">
        <f>$C$23*(H485/(J485^2+$C$24^2)^1.5)+$C$32*(K485/(M485^2+$C$33^2)^1.5)+C$41*(N485/(P485^2+$C$42^2)^1.5)</f>
        <v>-6328.2227246991552</v>
      </c>
      <c r="G485">
        <f>$C$23*(I485/(J485^2+$C$24^2)^1.5)+$C$32*(L485/(M485^2+$C$33^2)^1.5)+C$41*(O485/(P485^2+$C$42^2)^1.5)</f>
        <v>3650.2989941882593</v>
      </c>
      <c r="H485" s="3">
        <f t="shared" si="96"/>
        <v>-559.36440428112473</v>
      </c>
      <c r="I485" s="3">
        <f t="shared" si="97"/>
        <v>51717.513026581662</v>
      </c>
      <c r="J485" s="3">
        <f t="shared" si="98"/>
        <v>51720.537914753171</v>
      </c>
      <c r="K485" s="3">
        <f t="shared" si="99"/>
        <v>-40559.364404281121</v>
      </c>
      <c r="L485" s="3">
        <f t="shared" si="100"/>
        <v>56717.513026581662</v>
      </c>
      <c r="M485" s="3">
        <f t="shared" si="101"/>
        <v>69727.600882288549</v>
      </c>
      <c r="N485" s="3">
        <f t="shared" si="102"/>
        <v>-25559.364404281125</v>
      </c>
      <c r="O485" s="3">
        <f t="shared" si="103"/>
        <v>6717.5130265816624</v>
      </c>
      <c r="P485" s="3">
        <f t="shared" si="104"/>
        <v>26427.373876591057</v>
      </c>
    </row>
    <row r="486" spans="1:16" x14ac:dyDescent="0.25">
      <c r="A486">
        <f t="shared" si="91"/>
        <v>205</v>
      </c>
      <c r="B486">
        <f t="shared" si="92"/>
        <v>20554.240472973586</v>
      </c>
      <c r="C486">
        <f t="shared" si="93"/>
        <v>-36246.025971512667</v>
      </c>
      <c r="D486">
        <f t="shared" si="94"/>
        <v>-10.247862615075064</v>
      </c>
      <c r="E486">
        <f t="shared" si="95"/>
        <v>942.97411013799456</v>
      </c>
      <c r="F486">
        <f>$C$23*(H486/(J486^2+$C$24^2)^1.5)+$C$32*(K486/(M486^2+$C$33^2)^1.5)+C$41*(N486/(P486^2+$C$42^2)^1.5)</f>
        <v>-6409.8466905315363</v>
      </c>
      <c r="G486">
        <f>$C$23*(I486/(J486^2+$C$24^2)^1.5)+$C$32*(L486/(M486^2+$C$33^2)^1.5)+C$41*(O486/(P486^2+$C$42^2)^1.5)</f>
        <v>3597.0814647710267</v>
      </c>
      <c r="H486" s="3">
        <f t="shared" si="96"/>
        <v>-554.24047297358629</v>
      </c>
      <c r="I486" s="3">
        <f t="shared" si="97"/>
        <v>51246.025971512667</v>
      </c>
      <c r="J486" s="3">
        <f t="shared" si="98"/>
        <v>51249.023018735024</v>
      </c>
      <c r="K486" s="3">
        <f t="shared" si="99"/>
        <v>-40554.240472973586</v>
      </c>
      <c r="L486" s="3">
        <f t="shared" si="100"/>
        <v>56246.025971512667</v>
      </c>
      <c r="M486" s="3">
        <f t="shared" si="101"/>
        <v>69341.631491679276</v>
      </c>
      <c r="N486" s="3">
        <f t="shared" si="102"/>
        <v>-25554.240472973586</v>
      </c>
      <c r="O486" s="3">
        <f t="shared" si="103"/>
        <v>6246.0259715126667</v>
      </c>
      <c r="P486" s="3">
        <f t="shared" si="104"/>
        <v>26306.501983110033</v>
      </c>
    </row>
    <row r="487" spans="1:16" x14ac:dyDescent="0.25">
      <c r="A487">
        <f t="shared" si="91"/>
        <v>205.5</v>
      </c>
      <c r="B487">
        <f t="shared" si="92"/>
        <v>18946.654869033162</v>
      </c>
      <c r="C487">
        <f t="shared" si="93"/>
        <v>-34875.268550250912</v>
      </c>
      <c r="D487">
        <f t="shared" si="94"/>
        <v>-3215.1712078808432</v>
      </c>
      <c r="E487">
        <f t="shared" si="95"/>
        <v>2741.5148425235079</v>
      </c>
      <c r="F487">
        <f>$C$23*(H487/(J487^2+$C$24^2)^1.5)+$C$32*(K487/(M487^2+$C$33^2)^1.5)+C$41*(N487/(P487^2+$C$42^2)^1.5)</f>
        <v>-7124.460882204894</v>
      </c>
      <c r="G487">
        <f>$C$23*(I487/(J487^2+$C$24^2)^1.5)+$C$32*(L487/(M487^2+$C$33^2)^1.5)+C$41*(O487/(P487^2+$C$42^2)^1.5)</f>
        <v>3683.8806507181516</v>
      </c>
      <c r="H487" s="3">
        <f t="shared" si="96"/>
        <v>1053.345130966838</v>
      </c>
      <c r="I487" s="3">
        <f t="shared" si="97"/>
        <v>49875.268550250912</v>
      </c>
      <c r="J487" s="3">
        <f t="shared" si="98"/>
        <v>49886.390417874281</v>
      </c>
      <c r="K487" s="3">
        <f t="shared" si="99"/>
        <v>-38946.654869033162</v>
      </c>
      <c r="L487" s="3">
        <f t="shared" si="100"/>
        <v>54875.268550250912</v>
      </c>
      <c r="M487" s="3">
        <f t="shared" si="101"/>
        <v>67291.433510884148</v>
      </c>
      <c r="N487" s="3">
        <f t="shared" si="102"/>
        <v>-23946.654869033162</v>
      </c>
      <c r="O487" s="3">
        <f t="shared" si="103"/>
        <v>4875.2685502509121</v>
      </c>
      <c r="P487" s="3">
        <f t="shared" si="104"/>
        <v>24437.891129425534</v>
      </c>
    </row>
    <row r="488" spans="1:16" x14ac:dyDescent="0.25">
      <c r="A488">
        <f t="shared" si="91"/>
        <v>206</v>
      </c>
      <c r="B488">
        <f t="shared" si="92"/>
        <v>15557.954044541519</v>
      </c>
      <c r="C488">
        <f t="shared" si="93"/>
        <v>-32583.540966309618</v>
      </c>
      <c r="D488">
        <f t="shared" si="94"/>
        <v>-6777.4016489832902</v>
      </c>
      <c r="E488">
        <f t="shared" si="95"/>
        <v>4583.4551678825837</v>
      </c>
      <c r="F488">
        <f>$C$23*(H488/(J488^2+$C$24^2)^1.5)+$C$32*(K488/(M488^2+$C$33^2)^1.5)+C$41*(N488/(P488^2+$C$42^2)^1.5)</f>
        <v>-8862.0358896312755</v>
      </c>
      <c r="G488">
        <f>$C$23*(I488/(J488^2+$C$24^2)^1.5)+$C$32*(L488/(M488^2+$C$33^2)^1.5)+C$41*(O488/(P488^2+$C$42^2)^1.5)</f>
        <v>3792.1375070442214</v>
      </c>
      <c r="H488" s="3">
        <f t="shared" si="96"/>
        <v>4442.0459554584813</v>
      </c>
      <c r="I488" s="3">
        <f t="shared" si="97"/>
        <v>47583.540966309622</v>
      </c>
      <c r="J488" s="3">
        <f t="shared" si="98"/>
        <v>47790.429409693228</v>
      </c>
      <c r="K488" s="3">
        <f t="shared" si="99"/>
        <v>-35557.954044541519</v>
      </c>
      <c r="L488" s="3">
        <f t="shared" si="100"/>
        <v>52583.540966309622</v>
      </c>
      <c r="M488" s="3">
        <f t="shared" si="101"/>
        <v>63477.530484331925</v>
      </c>
      <c r="N488" s="3">
        <f t="shared" si="102"/>
        <v>-20557.954044541519</v>
      </c>
      <c r="O488" s="3">
        <f t="shared" si="103"/>
        <v>2583.5409663096179</v>
      </c>
      <c r="P488" s="3">
        <f t="shared" si="104"/>
        <v>20719.656329729049</v>
      </c>
    </row>
    <row r="489" spans="1:16" x14ac:dyDescent="0.25">
      <c r="A489">
        <f t="shared" si="91"/>
        <v>206.5</v>
      </c>
      <c r="B489">
        <f t="shared" si="92"/>
        <v>9953.7442476420547</v>
      </c>
      <c r="C489">
        <f t="shared" si="93"/>
        <v>-29343.779005607274</v>
      </c>
      <c r="D489">
        <f t="shared" si="94"/>
        <v>-11208.419593798928</v>
      </c>
      <c r="E489">
        <f t="shared" si="95"/>
        <v>6479.5239214046942</v>
      </c>
      <c r="F489">
        <f>$C$23*(H489/(J489^2+$C$24^2)^1.5)+$C$32*(K489/(M489^2+$C$33^2)^1.5)+C$41*(N489/(P489^2+$C$42^2)^1.5)</f>
        <v>-12679.305194761189</v>
      </c>
      <c r="G489">
        <f>$C$23*(I489/(J489^2+$C$24^2)^1.5)+$C$32*(L489/(M489^2+$C$33^2)^1.5)+C$41*(O489/(P489^2+$C$42^2)^1.5)</f>
        <v>3059.6080645124712</v>
      </c>
      <c r="H489" s="3">
        <f t="shared" si="96"/>
        <v>10046.255752357945</v>
      </c>
      <c r="I489" s="3">
        <f t="shared" si="97"/>
        <v>44343.77900560727</v>
      </c>
      <c r="J489" s="3">
        <f t="shared" si="98"/>
        <v>45467.548769863555</v>
      </c>
      <c r="K489" s="3">
        <f t="shared" si="99"/>
        <v>-29953.744247642055</v>
      </c>
      <c r="L489" s="3">
        <f t="shared" si="100"/>
        <v>49343.77900560727</v>
      </c>
      <c r="M489" s="3">
        <f t="shared" si="101"/>
        <v>57723.784707929175</v>
      </c>
      <c r="N489" s="3">
        <f t="shared" si="102"/>
        <v>-14953.744247642055</v>
      </c>
      <c r="O489" s="3">
        <f t="shared" si="103"/>
        <v>-656.22099439272642</v>
      </c>
      <c r="P489" s="3">
        <f t="shared" si="104"/>
        <v>14968.135923266118</v>
      </c>
    </row>
    <row r="490" spans="1:16" x14ac:dyDescent="0.25">
      <c r="A490">
        <f t="shared" si="91"/>
        <v>207</v>
      </c>
      <c r="B490">
        <f t="shared" si="92"/>
        <v>1179.7081520522934</v>
      </c>
      <c r="C490">
        <f t="shared" si="93"/>
        <v>-25339.115028776807</v>
      </c>
      <c r="D490">
        <f t="shared" si="94"/>
        <v>-17548.072191179523</v>
      </c>
      <c r="E490">
        <f t="shared" si="95"/>
        <v>8009.3279536609298</v>
      </c>
      <c r="F490">
        <f>$C$23*(H490/(J490^2+$C$24^2)^1.5)+$C$32*(K490/(M490^2+$C$33^2)^1.5)+C$41*(N490/(P490^2+$C$42^2)^1.5)</f>
        <v>-14791.047571250847</v>
      </c>
      <c r="G490">
        <f>$C$23*(I490/(J490^2+$C$24^2)^1.5)+$C$32*(L490/(M490^2+$C$33^2)^1.5)+C$41*(O490/(P490^2+$C$42^2)^1.5)</f>
        <v>-4924.0512992569866</v>
      </c>
      <c r="H490" s="3">
        <f t="shared" si="96"/>
        <v>18820.291847947708</v>
      </c>
      <c r="I490" s="3">
        <f t="shared" si="97"/>
        <v>40339.115028776811</v>
      </c>
      <c r="J490" s="3">
        <f t="shared" si="98"/>
        <v>44513.453994795935</v>
      </c>
      <c r="K490" s="3">
        <f t="shared" si="99"/>
        <v>-21179.708152052292</v>
      </c>
      <c r="L490" s="3">
        <f t="shared" si="100"/>
        <v>45339.115028776811</v>
      </c>
      <c r="M490" s="3">
        <f t="shared" si="101"/>
        <v>50042.136135448549</v>
      </c>
      <c r="N490" s="3">
        <f t="shared" si="102"/>
        <v>-6179.7081520522934</v>
      </c>
      <c r="O490" s="3">
        <f t="shared" si="103"/>
        <v>-4660.8849712231931</v>
      </c>
      <c r="P490" s="3">
        <f t="shared" si="104"/>
        <v>7740.3256752875586</v>
      </c>
    </row>
    <row r="491" spans="1:16" x14ac:dyDescent="0.25">
      <c r="A491">
        <f t="shared" si="91"/>
        <v>207.5</v>
      </c>
      <c r="B491">
        <f t="shared" si="92"/>
        <v>-11292.08983635018</v>
      </c>
      <c r="C491">
        <f t="shared" si="93"/>
        <v>-22565.46387676059</v>
      </c>
      <c r="D491">
        <f t="shared" si="94"/>
        <v>-24943.595976804947</v>
      </c>
      <c r="E491">
        <f t="shared" si="95"/>
        <v>5547.302304032437</v>
      </c>
      <c r="F491">
        <f>$C$23*(H491/(J491^2+$C$24^2)^1.5)+$C$32*(K491/(M491^2+$C$33^2)^1.5)+C$41*(N491/(P491^2+$C$42^2)^1.5)</f>
        <v>8559.5234891526597</v>
      </c>
      <c r="G491">
        <f>$C$23*(I491/(J491^2+$C$24^2)^1.5)+$C$32*(L491/(M491^2+$C$33^2)^1.5)+C$41*(O491/(P491^2+$C$42^2)^1.5)</f>
        <v>-5085.8507205023579</v>
      </c>
      <c r="H491" s="3">
        <f t="shared" si="96"/>
        <v>31292.08983635018</v>
      </c>
      <c r="I491" s="3">
        <f t="shared" si="97"/>
        <v>37565.463876760594</v>
      </c>
      <c r="J491" s="3">
        <f t="shared" si="98"/>
        <v>48891.297411731823</v>
      </c>
      <c r="K491" s="3">
        <f t="shared" si="99"/>
        <v>-8707.9101636498199</v>
      </c>
      <c r="L491" s="3">
        <f t="shared" si="100"/>
        <v>42565.463876760594</v>
      </c>
      <c r="M491" s="3">
        <f t="shared" si="101"/>
        <v>43447.053000888409</v>
      </c>
      <c r="N491" s="3">
        <f t="shared" si="102"/>
        <v>6292.0898363501801</v>
      </c>
      <c r="O491" s="3">
        <f t="shared" si="103"/>
        <v>-7434.5361232394098</v>
      </c>
      <c r="P491" s="3">
        <f t="shared" si="104"/>
        <v>9739.7495797609135</v>
      </c>
    </row>
    <row r="492" spans="1:16" x14ac:dyDescent="0.25">
      <c r="A492">
        <f t="shared" si="91"/>
        <v>208</v>
      </c>
      <c r="B492">
        <f t="shared" si="92"/>
        <v>-21624.006952464486</v>
      </c>
      <c r="C492">
        <f t="shared" si="93"/>
        <v>-21063.275404869961</v>
      </c>
      <c r="D492">
        <f t="shared" si="94"/>
        <v>-20663.834232228619</v>
      </c>
      <c r="E492">
        <f t="shared" si="95"/>
        <v>3004.376943781258</v>
      </c>
      <c r="F492">
        <f>$C$23*(H492/(J492^2+$C$24^2)^1.5)+$C$32*(K492/(M492^2+$C$33^2)^1.5)+C$41*(N492/(P492^2+$C$42^2)^1.5)</f>
        <v>7549.0251632948339</v>
      </c>
      <c r="G492">
        <f>$C$23*(I492/(J492^2+$C$24^2)^1.5)+$C$32*(L492/(M492^2+$C$33^2)^1.5)+C$41*(O492/(P492^2+$C$42^2)^1.5)</f>
        <v>3203.7828136871062</v>
      </c>
      <c r="H492" s="3">
        <f t="shared" si="96"/>
        <v>41624.006952464486</v>
      </c>
      <c r="I492" s="3">
        <f t="shared" si="97"/>
        <v>36063.275404869957</v>
      </c>
      <c r="J492" s="3">
        <f t="shared" si="98"/>
        <v>55073.748625877197</v>
      </c>
      <c r="K492" s="3">
        <f t="shared" si="99"/>
        <v>1624.0069524644859</v>
      </c>
      <c r="L492" s="3">
        <f t="shared" si="100"/>
        <v>41063.275404869957</v>
      </c>
      <c r="M492" s="3">
        <f t="shared" si="101"/>
        <v>41095.376693222446</v>
      </c>
      <c r="N492" s="3">
        <f t="shared" si="102"/>
        <v>16624.006952464486</v>
      </c>
      <c r="O492" s="3">
        <f t="shared" si="103"/>
        <v>-8936.7245951300392</v>
      </c>
      <c r="P492" s="3">
        <f t="shared" si="104"/>
        <v>18873.861651627885</v>
      </c>
    </row>
    <row r="493" spans="1:16" x14ac:dyDescent="0.25">
      <c r="A493">
        <f t="shared" si="91"/>
        <v>208.5</v>
      </c>
      <c r="B493">
        <f t="shared" si="92"/>
        <v>-30068.667777755087</v>
      </c>
      <c r="C493">
        <f t="shared" si="93"/>
        <v>-18760.141229557554</v>
      </c>
      <c r="D493">
        <f t="shared" si="94"/>
        <v>-16889.321650581202</v>
      </c>
      <c r="E493">
        <f t="shared" si="95"/>
        <v>4606.2683506248113</v>
      </c>
      <c r="F493">
        <f>$C$23*(H493/(J493^2+$C$24^2)^1.5)+$C$32*(K493/(M493^2+$C$33^2)^1.5)+C$41*(N493/(P493^2+$C$42^2)^1.5)</f>
        <v>6139.8867277188347</v>
      </c>
      <c r="G493">
        <f>$C$23*(I493/(J493^2+$C$24^2)^1.5)+$C$32*(L493/(M493^2+$C$33^2)^1.5)+C$41*(O493/(P493^2+$C$42^2)^1.5)</f>
        <v>5202.3637008595824</v>
      </c>
      <c r="H493" s="3">
        <f t="shared" si="96"/>
        <v>50068.667777755087</v>
      </c>
      <c r="I493" s="3">
        <f t="shared" si="97"/>
        <v>33760.141229557557</v>
      </c>
      <c r="J493" s="3">
        <f t="shared" si="98"/>
        <v>60387.238957240646</v>
      </c>
      <c r="K493" s="3">
        <f t="shared" si="99"/>
        <v>10068.667777755087</v>
      </c>
      <c r="L493" s="3">
        <f t="shared" si="100"/>
        <v>38760.141229557557</v>
      </c>
      <c r="M493" s="3">
        <f t="shared" si="101"/>
        <v>40046.555644075699</v>
      </c>
      <c r="N493" s="3">
        <f t="shared" si="102"/>
        <v>25068.667777755087</v>
      </c>
      <c r="O493" s="3">
        <f t="shared" si="103"/>
        <v>-11239.858770442446</v>
      </c>
      <c r="P493" s="3">
        <f t="shared" si="104"/>
        <v>27473.123763615746</v>
      </c>
    </row>
    <row r="494" spans="1:16" x14ac:dyDescent="0.25">
      <c r="A494">
        <f t="shared" si="91"/>
        <v>209</v>
      </c>
      <c r="B494">
        <f t="shared" si="92"/>
        <v>-36978.356921115977</v>
      </c>
      <c r="C494">
        <f t="shared" si="93"/>
        <v>-15156.416129030251</v>
      </c>
      <c r="D494">
        <f t="shared" si="94"/>
        <v>-13819.378286721785</v>
      </c>
      <c r="E494">
        <f t="shared" si="95"/>
        <v>7207.4502010546021</v>
      </c>
      <c r="F494">
        <f>$C$23*(H494/(J494^2+$C$24^2)^1.5)+$C$32*(K494/(M494^2+$C$33^2)^1.5)+C$41*(N494/(P494^2+$C$42^2)^1.5)</f>
        <v>6112.9936245520348</v>
      </c>
      <c r="G494">
        <f>$C$23*(I494/(J494^2+$C$24^2)^1.5)+$C$32*(L494/(M494^2+$C$33^2)^1.5)+C$41*(O494/(P494^2+$C$42^2)^1.5)</f>
        <v>5588.5125419648539</v>
      </c>
      <c r="H494" s="3">
        <f t="shared" si="96"/>
        <v>56978.356921115977</v>
      </c>
      <c r="I494" s="3">
        <f t="shared" si="97"/>
        <v>30156.416129030251</v>
      </c>
      <c r="J494" s="3">
        <f t="shared" si="98"/>
        <v>64466.600586484477</v>
      </c>
      <c r="K494" s="3">
        <f t="shared" si="99"/>
        <v>16978.356921115977</v>
      </c>
      <c r="L494" s="3">
        <f t="shared" si="100"/>
        <v>35156.416129030251</v>
      </c>
      <c r="M494" s="3">
        <f t="shared" si="101"/>
        <v>39041.493295958149</v>
      </c>
      <c r="N494" s="3">
        <f t="shared" si="102"/>
        <v>31978.356921115977</v>
      </c>
      <c r="O494" s="3">
        <f t="shared" si="103"/>
        <v>-14843.583870969749</v>
      </c>
      <c r="P494" s="3">
        <f t="shared" si="104"/>
        <v>35255.457641460271</v>
      </c>
    </row>
    <row r="495" spans="1:16" x14ac:dyDescent="0.25">
      <c r="A495">
        <f t="shared" si="91"/>
        <v>209.5</v>
      </c>
      <c r="B495">
        <f t="shared" si="92"/>
        <v>-42359.797658338859</v>
      </c>
      <c r="C495">
        <f t="shared" si="93"/>
        <v>-10155.562893011736</v>
      </c>
      <c r="D495">
        <f t="shared" si="94"/>
        <v>-10762.881474445767</v>
      </c>
      <c r="E495">
        <f t="shared" si="95"/>
        <v>10001.706472037029</v>
      </c>
      <c r="F495">
        <f>$C$23*(H495/(J495^2+$C$24^2)^1.5)+$C$32*(K495/(M495^2+$C$33^2)^1.5)+C$41*(N495/(P495^2+$C$42^2)^1.5)</f>
        <v>6796.1388722074553</v>
      </c>
      <c r="G495">
        <f>$C$23*(I495/(J495^2+$C$24^2)^1.5)+$C$32*(L495/(M495^2+$C$33^2)^1.5)+C$41*(O495/(P495^2+$C$42^2)^1.5)</f>
        <v>5483.3996541001743</v>
      </c>
      <c r="H495" s="3">
        <f t="shared" si="96"/>
        <v>62359.797658338859</v>
      </c>
      <c r="I495" s="3">
        <f t="shared" si="97"/>
        <v>25155.562893011738</v>
      </c>
      <c r="J495" s="3">
        <f t="shared" si="98"/>
        <v>67242.447222370145</v>
      </c>
      <c r="K495" s="3">
        <f t="shared" si="99"/>
        <v>22359.797658338859</v>
      </c>
      <c r="L495" s="3">
        <f t="shared" si="100"/>
        <v>30155.562893011738</v>
      </c>
      <c r="M495" s="3">
        <f t="shared" si="101"/>
        <v>37540.891368163364</v>
      </c>
      <c r="N495" s="3">
        <f t="shared" si="102"/>
        <v>37359.797658338859</v>
      </c>
      <c r="O495" s="3">
        <f t="shared" si="103"/>
        <v>-19844.437106988262</v>
      </c>
      <c r="P495" s="3">
        <f t="shared" si="104"/>
        <v>42303.146043352783</v>
      </c>
    </row>
    <row r="496" spans="1:16" x14ac:dyDescent="0.25">
      <c r="A496">
        <f t="shared" si="91"/>
        <v>210</v>
      </c>
      <c r="B496">
        <f t="shared" si="92"/>
        <v>-46042.203677509875</v>
      </c>
      <c r="C496">
        <f t="shared" si="93"/>
        <v>-3783.8597434681783</v>
      </c>
      <c r="D496">
        <f t="shared" si="94"/>
        <v>-7364.8120383420392</v>
      </c>
      <c r="E496">
        <f t="shared" si="95"/>
        <v>12743.406299087117</v>
      </c>
      <c r="F496">
        <f>$C$23*(H496/(J496^2+$C$24^2)^1.5)+$C$32*(K496/(M496^2+$C$33^2)^1.5)+C$41*(N496/(P496^2+$C$42^2)^1.5)</f>
        <v>8044.7870583711874</v>
      </c>
      <c r="G496">
        <f>$C$23*(I496/(J496^2+$C$24^2)^1.5)+$C$32*(L496/(M496^2+$C$33^2)^1.5)+C$41*(O496/(P496^2+$C$42^2)^1.5)</f>
        <v>5109.2237337806901</v>
      </c>
      <c r="H496" s="3">
        <f t="shared" si="96"/>
        <v>66042.203677509882</v>
      </c>
      <c r="I496" s="3">
        <f t="shared" si="97"/>
        <v>18783.85974346818</v>
      </c>
      <c r="J496" s="3">
        <f t="shared" si="98"/>
        <v>68661.532559679908</v>
      </c>
      <c r="K496" s="3">
        <f t="shared" si="99"/>
        <v>26042.203677509875</v>
      </c>
      <c r="L496" s="3">
        <f t="shared" si="100"/>
        <v>23783.85974346818</v>
      </c>
      <c r="M496" s="3">
        <f t="shared" si="101"/>
        <v>35268.51792573477</v>
      </c>
      <c r="N496" s="3">
        <f t="shared" si="102"/>
        <v>41042.203677509875</v>
      </c>
      <c r="O496" s="3">
        <f t="shared" si="103"/>
        <v>-26216.14025653182</v>
      </c>
      <c r="P496" s="3">
        <f t="shared" si="104"/>
        <v>48700.600536916929</v>
      </c>
    </row>
    <row r="497" spans="1:16" x14ac:dyDescent="0.25">
      <c r="A497">
        <f t="shared" si="91"/>
        <v>210.5</v>
      </c>
      <c r="B497">
        <f t="shared" si="92"/>
        <v>-47713.412932088104</v>
      </c>
      <c r="C497">
        <f t="shared" si="93"/>
        <v>3865.1493395205525</v>
      </c>
      <c r="D497">
        <f t="shared" si="94"/>
        <v>-3342.4185091564455</v>
      </c>
      <c r="E497">
        <f t="shared" si="95"/>
        <v>15298.018165977463</v>
      </c>
      <c r="F497">
        <f>$C$23*(H497/(J497^2+$C$24^2)^1.5)+$C$32*(K497/(M497^2+$C$33^2)^1.5)+C$41*(N497/(P497^2+$C$42^2)^1.5)</f>
        <v>9989.4986931697495</v>
      </c>
      <c r="G497">
        <f>$C$23*(I497/(J497^2+$C$24^2)^1.5)+$C$32*(L497/(M497^2+$C$33^2)^1.5)+C$41*(O497/(P497^2+$C$42^2)^1.5)</f>
        <v>4325.039737949457</v>
      </c>
      <c r="H497" s="3">
        <f t="shared" si="96"/>
        <v>67713.412932088104</v>
      </c>
      <c r="I497" s="3">
        <f t="shared" si="97"/>
        <v>11134.850660479447</v>
      </c>
      <c r="J497" s="3">
        <f t="shared" si="98"/>
        <v>68622.818290585055</v>
      </c>
      <c r="K497" s="3">
        <f t="shared" si="99"/>
        <v>27713.412932088104</v>
      </c>
      <c r="L497" s="3">
        <f t="shared" si="100"/>
        <v>16134.850660479447</v>
      </c>
      <c r="M497" s="3">
        <f t="shared" si="101"/>
        <v>32068.15651359464</v>
      </c>
      <c r="N497" s="3">
        <f t="shared" si="102"/>
        <v>42713.412932088104</v>
      </c>
      <c r="O497" s="3">
        <f t="shared" si="103"/>
        <v>-33865.149339520554</v>
      </c>
      <c r="P497" s="3">
        <f t="shared" si="104"/>
        <v>54509.485267200063</v>
      </c>
    </row>
    <row r="498" spans="1:16" x14ac:dyDescent="0.25">
      <c r="A498">
        <f t="shared" si="91"/>
        <v>211</v>
      </c>
      <c r="B498">
        <f t="shared" si="92"/>
        <v>-46887.247513373892</v>
      </c>
      <c r="C498">
        <f t="shared" si="93"/>
        <v>12595.418356996648</v>
      </c>
      <c r="D498">
        <f t="shared" si="94"/>
        <v>1652.3308374284293</v>
      </c>
      <c r="E498">
        <f t="shared" si="95"/>
        <v>17460.538034952191</v>
      </c>
      <c r="F498">
        <f>$C$23*(H498/(J498^2+$C$24^2)^1.5)+$C$32*(K498/(M498^2+$C$33^2)^1.5)+C$41*(N498/(P498^2+$C$42^2)^1.5)</f>
        <v>12876.029916925836</v>
      </c>
      <c r="G498">
        <f>$C$23*(I498/(J498^2+$C$24^2)^1.5)+$C$32*(L498/(M498^2+$C$33^2)^1.5)+C$41*(O498/(P498^2+$C$42^2)^1.5)</f>
        <v>2497.9420982504107</v>
      </c>
      <c r="H498" s="3">
        <f t="shared" si="96"/>
        <v>66887.247513373892</v>
      </c>
      <c r="I498" s="3">
        <f t="shared" si="97"/>
        <v>2404.5816430033519</v>
      </c>
      <c r="J498" s="3">
        <f t="shared" si="98"/>
        <v>66930.455644595844</v>
      </c>
      <c r="K498" s="3">
        <f t="shared" si="99"/>
        <v>26887.247513373892</v>
      </c>
      <c r="L498" s="3">
        <f t="shared" si="100"/>
        <v>7404.5816430033519</v>
      </c>
      <c r="M498" s="3">
        <f t="shared" si="101"/>
        <v>27888.203745550425</v>
      </c>
      <c r="N498" s="3">
        <f t="shared" si="102"/>
        <v>41887.247513373892</v>
      </c>
      <c r="O498" s="3">
        <f t="shared" si="103"/>
        <v>-42595.418356996648</v>
      </c>
      <c r="P498" s="3">
        <f t="shared" si="104"/>
        <v>59740.364656187143</v>
      </c>
    </row>
    <row r="499" spans="1:16" x14ac:dyDescent="0.25">
      <c r="A499">
        <f t="shared" si="91"/>
        <v>211.5</v>
      </c>
      <c r="B499">
        <f t="shared" si="92"/>
        <v>-42842.074615428224</v>
      </c>
      <c r="C499">
        <f t="shared" si="93"/>
        <v>21950.172899035344</v>
      </c>
      <c r="D499">
        <f t="shared" si="94"/>
        <v>8090.3457958913477</v>
      </c>
      <c r="E499">
        <f t="shared" si="95"/>
        <v>18709.509084077396</v>
      </c>
      <c r="F499">
        <f>$C$23*(H499/(J499^2+$C$24^2)^1.5)+$C$32*(K499/(M499^2+$C$33^2)^1.5)+C$41*(N499/(P499^2+$C$42^2)^1.5)</f>
        <v>16409.212080477198</v>
      </c>
      <c r="G499">
        <f>$C$23*(I499/(J499^2+$C$24^2)^1.5)+$C$32*(L499/(M499^2+$C$33^2)^1.5)+C$41*(O499/(P499^2+$C$42^2)^1.5)</f>
        <v>-2145.7774804753471</v>
      </c>
      <c r="H499" s="3">
        <f t="shared" si="96"/>
        <v>62842.074615428224</v>
      </c>
      <c r="I499" s="3">
        <f t="shared" si="97"/>
        <v>-6950.172899035344</v>
      </c>
      <c r="J499" s="3">
        <f t="shared" si="98"/>
        <v>63225.242152937091</v>
      </c>
      <c r="K499" s="3">
        <f t="shared" si="99"/>
        <v>22842.074615428224</v>
      </c>
      <c r="L499" s="3">
        <f t="shared" si="100"/>
        <v>-1950.172899035344</v>
      </c>
      <c r="M499" s="3">
        <f t="shared" si="101"/>
        <v>22925.172781746322</v>
      </c>
      <c r="N499" s="3">
        <f t="shared" si="102"/>
        <v>37842.074615428224</v>
      </c>
      <c r="O499" s="3">
        <f t="shared" si="103"/>
        <v>-51950.172899035344</v>
      </c>
      <c r="P499" s="3">
        <f t="shared" si="104"/>
        <v>64271.635076752973</v>
      </c>
    </row>
    <row r="500" spans="1:16" x14ac:dyDescent="0.25">
      <c r="A500">
        <f t="shared" si="91"/>
        <v>212</v>
      </c>
      <c r="B500">
        <f t="shared" si="92"/>
        <v>-34694.598697363253</v>
      </c>
      <c r="C500">
        <f t="shared" si="93"/>
        <v>30768.483070955204</v>
      </c>
      <c r="D500">
        <f t="shared" si="94"/>
        <v>16294.951836129947</v>
      </c>
      <c r="E500">
        <f t="shared" si="95"/>
        <v>17636.620343839721</v>
      </c>
      <c r="F500">
        <f>$C$23*(H500/(J500^2+$C$24^2)^1.5)+$C$32*(K500/(M500^2+$C$33^2)^1.5)+C$41*(N500/(P500^2+$C$42^2)^1.5)</f>
        <v>16350.214813206034</v>
      </c>
      <c r="G500">
        <f>$C$23*(I500/(J500^2+$C$24^2)^1.5)+$C$32*(L500/(M500^2+$C$33^2)^1.5)+C$41*(O500/(P500^2+$C$42^2)^1.5)</f>
        <v>-12424.760415231511</v>
      </c>
      <c r="H500" s="3">
        <f t="shared" si="96"/>
        <v>54694.598697363253</v>
      </c>
      <c r="I500" s="3">
        <f t="shared" si="97"/>
        <v>-15768.483070955204</v>
      </c>
      <c r="J500" s="3">
        <f t="shared" si="98"/>
        <v>56922.264405280039</v>
      </c>
      <c r="K500" s="3">
        <f t="shared" si="99"/>
        <v>14694.598697363253</v>
      </c>
      <c r="L500" s="3">
        <f t="shared" si="100"/>
        <v>-10768.483070955204</v>
      </c>
      <c r="M500" s="3">
        <f t="shared" si="101"/>
        <v>18217.888421164476</v>
      </c>
      <c r="N500" s="3">
        <f t="shared" si="102"/>
        <v>29694.598697363253</v>
      </c>
      <c r="O500" s="3">
        <f t="shared" si="103"/>
        <v>-60768.483070955204</v>
      </c>
      <c r="P500" s="3">
        <f t="shared" si="104"/>
        <v>67635.624685090443</v>
      </c>
    </row>
    <row r="501" spans="1:16" x14ac:dyDescent="0.25">
      <c r="A501">
        <f t="shared" si="91"/>
        <v>212.5</v>
      </c>
      <c r="B501">
        <f t="shared" si="92"/>
        <v>-22459.569075996769</v>
      </c>
      <c r="C501">
        <f t="shared" si="93"/>
        <v>36480.603139067185</v>
      </c>
      <c r="D501">
        <f t="shared" si="94"/>
        <v>24470.059242732965</v>
      </c>
      <c r="E501">
        <f t="shared" si="95"/>
        <v>11424.240136223965</v>
      </c>
      <c r="F501">
        <f>$C$23*(H501/(J501^2+$C$24^2)^1.5)+$C$32*(K501/(M501^2+$C$33^2)^1.5)+C$41*(N501/(P501^2+$C$42^2)^1.5)</f>
        <v>3506.6090192087586</v>
      </c>
      <c r="G501">
        <f>$C$23*(I501/(J501^2+$C$24^2)^1.5)+$C$32*(L501/(M501^2+$C$33^2)^1.5)+C$41*(O501/(P501^2+$C$42^2)^1.5)</f>
        <v>-21607.682116237022</v>
      </c>
      <c r="H501" s="3">
        <f t="shared" si="96"/>
        <v>42459.569075996769</v>
      </c>
      <c r="I501" s="3">
        <f t="shared" si="97"/>
        <v>-21480.603139067185</v>
      </c>
      <c r="J501" s="3">
        <f t="shared" si="98"/>
        <v>47583.939699623908</v>
      </c>
      <c r="K501" s="3">
        <f t="shared" si="99"/>
        <v>2459.5690759967692</v>
      </c>
      <c r="L501" s="3">
        <f t="shared" si="100"/>
        <v>-16480.603139067185</v>
      </c>
      <c r="M501" s="3">
        <f t="shared" si="101"/>
        <v>16663.12575320221</v>
      </c>
      <c r="N501" s="3">
        <f t="shared" si="102"/>
        <v>17459.569075996769</v>
      </c>
      <c r="O501" s="3">
        <f t="shared" si="103"/>
        <v>-66480.603139067185</v>
      </c>
      <c r="P501" s="3">
        <f t="shared" si="104"/>
        <v>68735.050345901778</v>
      </c>
    </row>
    <row r="502" spans="1:16" x14ac:dyDescent="0.25">
      <c r="A502">
        <f t="shared" si="91"/>
        <v>213</v>
      </c>
      <c r="B502">
        <f t="shared" si="92"/>
        <v>-9347.8871998280974</v>
      </c>
      <c r="C502">
        <f t="shared" si="93"/>
        <v>36790.802678119908</v>
      </c>
      <c r="D502">
        <f t="shared" si="94"/>
        <v>26223.363752337344</v>
      </c>
      <c r="E502">
        <f t="shared" si="95"/>
        <v>620.39907810545446</v>
      </c>
      <c r="F502">
        <f>$C$23*(H502/(J502^2+$C$24^2)^1.5)+$C$32*(K502/(M502^2+$C$33^2)^1.5)+C$41*(N502/(P502^2+$C$42^2)^1.5)</f>
        <v>-9380.4666631273703</v>
      </c>
      <c r="G502">
        <f>$C$23*(I502/(J502^2+$C$24^2)^1.5)+$C$32*(L502/(M502^2+$C$33^2)^1.5)+C$41*(O502/(P502^2+$C$42^2)^1.5)</f>
        <v>-16491.144250069079</v>
      </c>
      <c r="H502" s="3">
        <f t="shared" si="96"/>
        <v>29347.887199828096</v>
      </c>
      <c r="I502" s="3">
        <f t="shared" si="97"/>
        <v>-21790.802678119908</v>
      </c>
      <c r="J502" s="3">
        <f t="shared" si="98"/>
        <v>36553.215514515156</v>
      </c>
      <c r="K502" s="3">
        <f t="shared" si="99"/>
        <v>-10652.112800171903</v>
      </c>
      <c r="L502" s="3">
        <f t="shared" si="100"/>
        <v>-16790.802678119908</v>
      </c>
      <c r="M502" s="3">
        <f t="shared" si="101"/>
        <v>19884.631293618313</v>
      </c>
      <c r="N502" s="3">
        <f t="shared" si="102"/>
        <v>4347.8871998280974</v>
      </c>
      <c r="O502" s="3">
        <f t="shared" si="103"/>
        <v>-66790.802678119915</v>
      </c>
      <c r="P502" s="3">
        <f t="shared" si="104"/>
        <v>66932.170482436763</v>
      </c>
    </row>
    <row r="503" spans="1:16" x14ac:dyDescent="0.25">
      <c r="A503">
        <f t="shared" si="91"/>
        <v>213.5</v>
      </c>
      <c r="B503">
        <f t="shared" si="92"/>
        <v>1418.6780105587318</v>
      </c>
      <c r="C503">
        <f t="shared" si="93"/>
        <v>32978.216154655369</v>
      </c>
      <c r="D503">
        <f t="shared" si="94"/>
        <v>21533.130420773658</v>
      </c>
      <c r="E503">
        <f t="shared" si="95"/>
        <v>-7625.1730469290851</v>
      </c>
      <c r="F503">
        <f>$C$23*(H503/(J503^2+$C$24^2)^1.5)+$C$32*(K503/(M503^2+$C$33^2)^1.5)+C$41*(N503/(P503^2+$C$42^2)^1.5)</f>
        <v>-11740.979750101294</v>
      </c>
      <c r="G503">
        <f>$C$23*(I503/(J503^2+$C$24^2)^1.5)+$C$32*(L503/(M503^2+$C$33^2)^1.5)+C$41*(O503/(P503^2+$C$42^2)^1.5)</f>
        <v>-8892.7090215527041</v>
      </c>
      <c r="H503" s="3">
        <f t="shared" si="96"/>
        <v>18581.321989441269</v>
      </c>
      <c r="I503" s="3">
        <f t="shared" si="97"/>
        <v>-17978.216154655369</v>
      </c>
      <c r="J503" s="3">
        <f t="shared" si="98"/>
        <v>25855.01465825933</v>
      </c>
      <c r="K503" s="3">
        <f t="shared" si="99"/>
        <v>-21418.678010558731</v>
      </c>
      <c r="L503" s="3">
        <f t="shared" si="100"/>
        <v>-12978.216154655369</v>
      </c>
      <c r="M503" s="3">
        <f t="shared" si="101"/>
        <v>25043.838808716002</v>
      </c>
      <c r="N503" s="3">
        <f t="shared" si="102"/>
        <v>-6418.6780105587313</v>
      </c>
      <c r="O503" s="3">
        <f t="shared" si="103"/>
        <v>-62978.216154655369</v>
      </c>
      <c r="P503" s="3">
        <f t="shared" si="104"/>
        <v>63304.463803318991</v>
      </c>
    </row>
    <row r="504" spans="1:16" x14ac:dyDescent="0.25">
      <c r="A504">
        <f t="shared" si="91"/>
        <v>214</v>
      </c>
      <c r="B504">
        <f t="shared" si="92"/>
        <v>9249.9982834202365</v>
      </c>
      <c r="C504">
        <f t="shared" si="93"/>
        <v>26942.452375802652</v>
      </c>
      <c r="D504">
        <f t="shared" si="94"/>
        <v>15662.64054572301</v>
      </c>
      <c r="E504">
        <f t="shared" si="95"/>
        <v>-12071.527557705438</v>
      </c>
      <c r="F504">
        <f>$C$23*(H504/(J504^2+$C$24^2)^1.5)+$C$32*(K504/(M504^2+$C$33^2)^1.5)+C$41*(N504/(P504^2+$C$42^2)^1.5)</f>
        <v>-10005.595018943888</v>
      </c>
      <c r="G504">
        <f>$C$23*(I504/(J504^2+$C$24^2)^1.5)+$C$32*(L504/(M504^2+$C$33^2)^1.5)+C$41*(O504/(P504^2+$C$42^2)^1.5)</f>
        <v>-5030.028704446544</v>
      </c>
      <c r="H504" s="3">
        <f t="shared" si="96"/>
        <v>10750.001716579764</v>
      </c>
      <c r="I504" s="3">
        <f t="shared" si="97"/>
        <v>-11942.452375802652</v>
      </c>
      <c r="J504" s="3">
        <f t="shared" si="98"/>
        <v>16068.127011409335</v>
      </c>
      <c r="K504" s="3">
        <f t="shared" si="99"/>
        <v>-29249.998283420238</v>
      </c>
      <c r="L504" s="3">
        <f t="shared" si="100"/>
        <v>-6942.4523758026517</v>
      </c>
      <c r="M504" s="3">
        <f t="shared" si="101"/>
        <v>30062.602092473215</v>
      </c>
      <c r="N504" s="3">
        <f t="shared" si="102"/>
        <v>-14249.998283420236</v>
      </c>
      <c r="O504" s="3">
        <f t="shared" si="103"/>
        <v>-56942.452375802648</v>
      </c>
      <c r="P504" s="3">
        <f t="shared" si="104"/>
        <v>58698.427011701366</v>
      </c>
    </row>
    <row r="505" spans="1:16" x14ac:dyDescent="0.25">
      <c r="A505">
        <f t="shared" si="91"/>
        <v>214.5</v>
      </c>
      <c r="B505">
        <f t="shared" si="92"/>
        <v>14579.91980154577</v>
      </c>
      <c r="C505">
        <f t="shared" si="93"/>
        <v>19649.1814208383</v>
      </c>
      <c r="D505">
        <f t="shared" si="94"/>
        <v>10659.843036251066</v>
      </c>
      <c r="E505">
        <f t="shared" si="95"/>
        <v>-14586.54190992871</v>
      </c>
      <c r="F505">
        <f>$C$23*(H505/(J505^2+$C$24^2)^1.5)+$C$32*(K505/(M505^2+$C$33^2)^1.5)+C$41*(N505/(P505^2+$C$42^2)^1.5)</f>
        <v>-5355.6067868276923</v>
      </c>
      <c r="G505">
        <f>$C$23*(I505/(J505^2+$C$24^2)^1.5)+$C$32*(L505/(M505^2+$C$33^2)^1.5)+C$41*(O505/(P505^2+$C$42^2)^1.5)</f>
        <v>-4881.1285445487247</v>
      </c>
      <c r="H505" s="3">
        <f t="shared" si="96"/>
        <v>5420.0801984542304</v>
      </c>
      <c r="I505" s="3">
        <f t="shared" si="97"/>
        <v>-4649.1814208383003</v>
      </c>
      <c r="J505" s="3">
        <f t="shared" si="98"/>
        <v>7140.8793045075117</v>
      </c>
      <c r="K505" s="3">
        <f t="shared" si="99"/>
        <v>-34579.919801545766</v>
      </c>
      <c r="L505" s="3">
        <f t="shared" si="100"/>
        <v>350.81857916169974</v>
      </c>
      <c r="M505" s="3">
        <f t="shared" si="101"/>
        <v>34581.699309849166</v>
      </c>
      <c r="N505" s="3">
        <f t="shared" si="102"/>
        <v>-19579.91980154577</v>
      </c>
      <c r="O505" s="3">
        <f t="shared" si="103"/>
        <v>-49649.1814208383</v>
      </c>
      <c r="P505" s="3">
        <f t="shared" si="104"/>
        <v>53370.539393885454</v>
      </c>
    </row>
    <row r="506" spans="1:16" x14ac:dyDescent="0.25">
      <c r="A506">
        <f t="shared" si="91"/>
        <v>215</v>
      </c>
      <c r="B506">
        <f t="shared" si="92"/>
        <v>18570.939622964379</v>
      </c>
      <c r="C506">
        <f t="shared" si="93"/>
        <v>11135.628329736764</v>
      </c>
      <c r="D506">
        <f t="shared" si="94"/>
        <v>7982.0396428372205</v>
      </c>
      <c r="E506">
        <f t="shared" si="95"/>
        <v>-17027.106182203072</v>
      </c>
      <c r="F506">
        <f>$C$23*(H506/(J506^2+$C$24^2)^1.5)+$C$32*(K506/(M506^2+$C$33^2)^1.5)+C$41*(N506/(P506^2+$C$42^2)^1.5)</f>
        <v>-5308.9170193399723</v>
      </c>
      <c r="G506">
        <f>$C$23*(I506/(J506^2+$C$24^2)^1.5)+$C$32*(L506/(M506^2+$C$33^2)^1.5)+C$41*(O506/(P506^2+$C$42^2)^1.5)</f>
        <v>7578.3847051009816</v>
      </c>
      <c r="H506" s="3">
        <f t="shared" si="96"/>
        <v>1429.0603770356211</v>
      </c>
      <c r="I506" s="3">
        <f t="shared" si="97"/>
        <v>3864.3716702632355</v>
      </c>
      <c r="J506" s="3">
        <f t="shared" si="98"/>
        <v>4120.1434401178631</v>
      </c>
      <c r="K506" s="3">
        <f t="shared" si="99"/>
        <v>-38570.939622964375</v>
      </c>
      <c r="L506" s="3">
        <f t="shared" si="100"/>
        <v>8864.3716702632355</v>
      </c>
      <c r="M506" s="3">
        <f t="shared" si="101"/>
        <v>39576.438299914364</v>
      </c>
      <c r="N506" s="3">
        <f t="shared" si="102"/>
        <v>-23570.939622964379</v>
      </c>
      <c r="O506" s="3">
        <f t="shared" si="103"/>
        <v>-41135.628329736763</v>
      </c>
      <c r="P506" s="3">
        <f t="shared" si="104"/>
        <v>47410.221606650121</v>
      </c>
    </row>
    <row r="507" spans="1:16" x14ac:dyDescent="0.25">
      <c r="A507">
        <f t="shared" si="91"/>
        <v>215.5</v>
      </c>
      <c r="B507">
        <f t="shared" si="92"/>
        <v>21234.730189547994</v>
      </c>
      <c r="C507">
        <f t="shared" si="93"/>
        <v>4516.6714149104737</v>
      </c>
      <c r="D507">
        <f t="shared" si="94"/>
        <v>5327.5811331672339</v>
      </c>
      <c r="E507">
        <f t="shared" si="95"/>
        <v>-13237.913829652582</v>
      </c>
      <c r="F507">
        <f>$C$23*(H507/(J507^2+$C$24^2)^1.5)+$C$32*(K507/(M507^2+$C$33^2)^1.5)+C$41*(N507/(P507^2+$C$42^2)^1.5)</f>
        <v>-7439.9908412648592</v>
      </c>
      <c r="G507">
        <f>$C$23*(I507/(J507^2+$C$24^2)^1.5)+$C$32*(L507/(M507^2+$C$33^2)^1.5)+C$41*(O507/(P507^2+$C$42^2)^1.5)</f>
        <v>3976.1363061734228</v>
      </c>
      <c r="H507" s="3">
        <f t="shared" si="96"/>
        <v>-1234.7301895479941</v>
      </c>
      <c r="I507" s="3">
        <f t="shared" si="97"/>
        <v>10483.328585089526</v>
      </c>
      <c r="J507" s="3">
        <f t="shared" si="98"/>
        <v>10555.791626587577</v>
      </c>
      <c r="K507" s="3">
        <f t="shared" si="99"/>
        <v>-41234.73018954799</v>
      </c>
      <c r="L507" s="3">
        <f t="shared" si="100"/>
        <v>15483.328585089526</v>
      </c>
      <c r="M507" s="3">
        <f t="shared" si="101"/>
        <v>44045.844728858036</v>
      </c>
      <c r="N507" s="3">
        <f t="shared" si="102"/>
        <v>-26234.730189547994</v>
      </c>
      <c r="O507" s="3">
        <f t="shared" si="103"/>
        <v>-34516.671414910474</v>
      </c>
      <c r="P507" s="3">
        <f t="shared" si="104"/>
        <v>43355.065144493536</v>
      </c>
    </row>
    <row r="508" spans="1:16" x14ac:dyDescent="0.25">
      <c r="A508">
        <f t="shared" si="91"/>
        <v>216</v>
      </c>
      <c r="B508">
        <f t="shared" si="92"/>
        <v>22038.523045815396</v>
      </c>
      <c r="C508">
        <f t="shared" si="93"/>
        <v>-1108.2514233724614</v>
      </c>
      <c r="D508">
        <f t="shared" si="94"/>
        <v>1607.5857125348043</v>
      </c>
      <c r="E508">
        <f t="shared" si="95"/>
        <v>-11249.84567656587</v>
      </c>
      <c r="F508">
        <f>$C$23*(H508/(J508^2+$C$24^2)^1.5)+$C$32*(K508/(M508^2+$C$33^2)^1.5)+C$41*(N508/(P508^2+$C$42^2)^1.5)</f>
        <v>-6821.0802169702638</v>
      </c>
      <c r="G508">
        <f>$C$23*(I508/(J508^2+$C$24^2)^1.5)+$C$32*(L508/(M508^2+$C$33^2)^1.5)+C$41*(O508/(P508^2+$C$42^2)^1.5)</f>
        <v>2419.2443436494814</v>
      </c>
      <c r="H508" s="3">
        <f t="shared" si="96"/>
        <v>-2038.5230458153965</v>
      </c>
      <c r="I508" s="3">
        <f t="shared" si="97"/>
        <v>16108.251423372461</v>
      </c>
      <c r="J508" s="3">
        <f t="shared" si="98"/>
        <v>16236.72812258989</v>
      </c>
      <c r="K508" s="3">
        <f t="shared" si="99"/>
        <v>-42038.523045815396</v>
      </c>
      <c r="L508" s="3">
        <f t="shared" si="100"/>
        <v>21108.251423372461</v>
      </c>
      <c r="M508" s="3">
        <f t="shared" si="101"/>
        <v>47040.362435103089</v>
      </c>
      <c r="N508" s="3">
        <f t="shared" si="102"/>
        <v>-27038.523045815396</v>
      </c>
      <c r="O508" s="3">
        <f t="shared" si="103"/>
        <v>-28891.748576627539</v>
      </c>
      <c r="P508" s="3">
        <f t="shared" si="104"/>
        <v>39570.378622324934</v>
      </c>
    </row>
    <row r="509" spans="1:16" x14ac:dyDescent="0.25">
      <c r="A509">
        <f t="shared" si="91"/>
        <v>216.5</v>
      </c>
      <c r="B509">
        <f t="shared" si="92"/>
        <v>21137.045847840232</v>
      </c>
      <c r="C509">
        <f t="shared" si="93"/>
        <v>-6128.3631757430267</v>
      </c>
      <c r="D509">
        <f t="shared" si="94"/>
        <v>-1802.9543959503276</v>
      </c>
      <c r="E509">
        <f t="shared" si="95"/>
        <v>-10040.22350474113</v>
      </c>
      <c r="F509">
        <f>$C$23*(H509/(J509^2+$C$24^2)^1.5)+$C$32*(K509/(M509^2+$C$33^2)^1.5)+C$41*(N509/(P509^2+$C$42^2)^1.5)</f>
        <v>-6644.6126457428927</v>
      </c>
      <c r="G509">
        <f>$C$23*(I509/(J509^2+$C$24^2)^1.5)+$C$32*(L509/(M509^2+$C$33^2)^1.5)+C$41*(O509/(P509^2+$C$42^2)^1.5)</f>
        <v>1853.5231082526122</v>
      </c>
      <c r="H509" s="3">
        <f t="shared" si="96"/>
        <v>-1137.0458478402325</v>
      </c>
      <c r="I509" s="3">
        <f t="shared" si="97"/>
        <v>21128.363175743027</v>
      </c>
      <c r="J509" s="3">
        <f t="shared" si="98"/>
        <v>21158.936734774379</v>
      </c>
      <c r="K509" s="3">
        <f t="shared" si="99"/>
        <v>-41137.045847840229</v>
      </c>
      <c r="L509" s="3">
        <f t="shared" si="100"/>
        <v>26128.363175743027</v>
      </c>
      <c r="M509" s="3">
        <f t="shared" si="101"/>
        <v>48733.437220565858</v>
      </c>
      <c r="N509" s="3">
        <f t="shared" si="102"/>
        <v>-26137.045847840232</v>
      </c>
      <c r="O509" s="3">
        <f t="shared" si="103"/>
        <v>-23871.636824256973</v>
      </c>
      <c r="P509" s="3">
        <f t="shared" si="104"/>
        <v>35397.743011685416</v>
      </c>
    </row>
    <row r="510" spans="1:16" x14ac:dyDescent="0.25">
      <c r="A510">
        <f t="shared" si="91"/>
        <v>217</v>
      </c>
      <c r="B510">
        <f t="shared" si="92"/>
        <v>18574.415488429346</v>
      </c>
      <c r="C510">
        <f t="shared" si="93"/>
        <v>-10685.094151050438</v>
      </c>
      <c r="D510">
        <f t="shared" si="94"/>
        <v>-5125.2607188217735</v>
      </c>
      <c r="E510">
        <f t="shared" si="95"/>
        <v>-9113.4619506148247</v>
      </c>
      <c r="F510">
        <f>$C$23*(H510/(J510^2+$C$24^2)^1.5)+$C$32*(K510/(M510^2+$C$33^2)^1.5)+C$41*(N510/(P510^2+$C$42^2)^1.5)</f>
        <v>-6938.1800634307783</v>
      </c>
      <c r="G510">
        <f>$C$23*(I510/(J510^2+$C$24^2)^1.5)+$C$32*(L510/(M510^2+$C$33^2)^1.5)+C$41*(O510/(P510^2+$C$42^2)^1.5)</f>
        <v>1467.2993467665233</v>
      </c>
      <c r="H510" s="3">
        <f t="shared" si="96"/>
        <v>1425.5845115706543</v>
      </c>
      <c r="I510" s="3">
        <f t="shared" si="97"/>
        <v>25685.094151050438</v>
      </c>
      <c r="J510" s="3">
        <f t="shared" si="98"/>
        <v>25724.625415114515</v>
      </c>
      <c r="K510" s="3">
        <f t="shared" si="99"/>
        <v>-38574.415488429346</v>
      </c>
      <c r="L510" s="3">
        <f t="shared" si="100"/>
        <v>30685.094151050438</v>
      </c>
      <c r="M510" s="3">
        <f t="shared" si="101"/>
        <v>49290.57245896833</v>
      </c>
      <c r="N510" s="3">
        <f t="shared" si="102"/>
        <v>-23574.415488429346</v>
      </c>
      <c r="O510" s="3">
        <f t="shared" si="103"/>
        <v>-19314.905848949562</v>
      </c>
      <c r="P510" s="3">
        <f t="shared" si="104"/>
        <v>30476.526271458228</v>
      </c>
    </row>
    <row r="511" spans="1:16" x14ac:dyDescent="0.25">
      <c r="A511">
        <f t="shared" si="91"/>
        <v>217.5</v>
      </c>
      <c r="B511">
        <f t="shared" si="92"/>
        <v>14277.240113160764</v>
      </c>
      <c r="C511">
        <f t="shared" si="93"/>
        <v>-14875.000289666219</v>
      </c>
      <c r="D511">
        <f t="shared" si="94"/>
        <v>-8594.3507505371635</v>
      </c>
      <c r="E511">
        <f t="shared" si="95"/>
        <v>-8379.8122772315637</v>
      </c>
      <c r="F511">
        <f>$C$23*(H511/(J511^2+$C$24^2)^1.5)+$C$32*(K511/(M511^2+$C$33^2)^1.5)+C$41*(N511/(P511^2+$C$42^2)^1.5)</f>
        <v>-7875.4711947670494</v>
      </c>
      <c r="G511">
        <f>$C$23*(I511/(J511^2+$C$24^2)^1.5)+$C$32*(L511/(M511^2+$C$33^2)^1.5)+C$41*(O511/(P511^2+$C$42^2)^1.5)</f>
        <v>800.33051340157999</v>
      </c>
      <c r="H511" s="3">
        <f t="shared" si="96"/>
        <v>5722.7598868392361</v>
      </c>
      <c r="I511" s="3">
        <f t="shared" si="97"/>
        <v>29875.000289666219</v>
      </c>
      <c r="J511" s="3">
        <f t="shared" si="98"/>
        <v>30418.17915375562</v>
      </c>
      <c r="K511" s="3">
        <f t="shared" si="99"/>
        <v>-34277.240113160762</v>
      </c>
      <c r="L511" s="3">
        <f t="shared" si="100"/>
        <v>34875.000289666219</v>
      </c>
      <c r="M511" s="3">
        <f t="shared" si="101"/>
        <v>48899.844938194801</v>
      </c>
      <c r="N511" s="3">
        <f t="shared" si="102"/>
        <v>-19277.240113160762</v>
      </c>
      <c r="O511" s="3">
        <f t="shared" si="103"/>
        <v>-15124.999710333781</v>
      </c>
      <c r="P511" s="3">
        <f t="shared" si="104"/>
        <v>24502.603996678623</v>
      </c>
    </row>
    <row r="512" spans="1:16" x14ac:dyDescent="0.25">
      <c r="A512">
        <f t="shared" si="91"/>
        <v>218</v>
      </c>
      <c r="B512">
        <f t="shared" si="92"/>
        <v>8011.1969392004194</v>
      </c>
      <c r="C512">
        <f t="shared" si="93"/>
        <v>-18864.823799931604</v>
      </c>
      <c r="D512">
        <f t="shared" si="94"/>
        <v>-12532.086347920689</v>
      </c>
      <c r="E512">
        <f t="shared" si="95"/>
        <v>-7979.6470205307742</v>
      </c>
      <c r="F512">
        <f>$C$23*(H512/(J512^2+$C$24^2)^1.5)+$C$32*(K512/(M512^2+$C$33^2)^1.5)+C$41*(N512/(P512^2+$C$42^2)^1.5)</f>
        <v>-9986.5196260664197</v>
      </c>
      <c r="G512">
        <f>$C$23*(I512/(J512^2+$C$24^2)^1.5)+$C$32*(L512/(M512^2+$C$33^2)^1.5)+C$41*(O512/(P512^2+$C$42^2)^1.5)</f>
        <v>-1265.7319138260609</v>
      </c>
      <c r="H512" s="3">
        <f t="shared" si="96"/>
        <v>11988.803060799581</v>
      </c>
      <c r="I512" s="3">
        <f t="shared" si="97"/>
        <v>33864.823799931604</v>
      </c>
      <c r="J512" s="3">
        <f t="shared" si="98"/>
        <v>35924.332837661044</v>
      </c>
      <c r="K512" s="3">
        <f t="shared" si="99"/>
        <v>-28011.196939200418</v>
      </c>
      <c r="L512" s="3">
        <f t="shared" si="100"/>
        <v>38864.823799931604</v>
      </c>
      <c r="M512" s="3">
        <f t="shared" si="101"/>
        <v>47907.219528651432</v>
      </c>
      <c r="N512" s="3">
        <f t="shared" si="102"/>
        <v>-13011.196939200419</v>
      </c>
      <c r="O512" s="3">
        <f t="shared" si="103"/>
        <v>-11135.176200068396</v>
      </c>
      <c r="P512" s="3">
        <f t="shared" si="104"/>
        <v>17125.518818337387</v>
      </c>
    </row>
    <row r="513" spans="1:16" x14ac:dyDescent="0.25">
      <c r="A513">
        <f t="shared" si="91"/>
        <v>218.5</v>
      </c>
      <c r="B513">
        <f t="shared" si="92"/>
        <v>-751.47614127653014</v>
      </c>
      <c r="C513">
        <f t="shared" si="93"/>
        <v>-23171.080288653506</v>
      </c>
      <c r="D513">
        <f t="shared" si="94"/>
        <v>-17525.346160953901</v>
      </c>
      <c r="E513">
        <f t="shared" si="95"/>
        <v>-8612.5129774438046</v>
      </c>
      <c r="F513">
        <f>$C$23*(H513/(J513^2+$C$24^2)^1.5)+$C$32*(K513/(M513^2+$C$33^2)^1.5)+C$41*(N513/(P513^2+$C$42^2)^1.5)</f>
        <v>-10522.115578715846</v>
      </c>
      <c r="G513">
        <f>$C$23*(I513/(J513^2+$C$24^2)^1.5)+$C$32*(L513/(M513^2+$C$33^2)^1.5)+C$41*(O513/(P513^2+$C$42^2)^1.5)</f>
        <v>-8291.8190200308782</v>
      </c>
      <c r="H513" s="3">
        <f t="shared" si="96"/>
        <v>20751.476141276529</v>
      </c>
      <c r="I513" s="3">
        <f t="shared" si="97"/>
        <v>38171.080288653509</v>
      </c>
      <c r="J513" s="3">
        <f t="shared" si="98"/>
        <v>43447.153329588829</v>
      </c>
      <c r="K513" s="3">
        <f t="shared" si="99"/>
        <v>-19248.523858723471</v>
      </c>
      <c r="L513" s="3">
        <f t="shared" si="100"/>
        <v>43171.080288653509</v>
      </c>
      <c r="M513" s="3">
        <f t="shared" si="101"/>
        <v>47267.830963872402</v>
      </c>
      <c r="N513" s="3">
        <f t="shared" si="102"/>
        <v>-4248.5238587234699</v>
      </c>
      <c r="O513" s="3">
        <f t="shared" si="103"/>
        <v>-6828.9197113464943</v>
      </c>
      <c r="P513" s="3">
        <f t="shared" si="104"/>
        <v>8042.6425633717708</v>
      </c>
    </row>
    <row r="514" spans="1:16" x14ac:dyDescent="0.25">
      <c r="A514">
        <f t="shared" si="91"/>
        <v>219</v>
      </c>
      <c r="B514">
        <f t="shared" si="92"/>
        <v>-12144.678116432442</v>
      </c>
      <c r="C514">
        <f t="shared" si="93"/>
        <v>-29550.291532383126</v>
      </c>
      <c r="D514">
        <f t="shared" si="94"/>
        <v>-22786.403950311826</v>
      </c>
      <c r="E514">
        <f t="shared" si="95"/>
        <v>-12758.422487459244</v>
      </c>
      <c r="F514">
        <f>$C$23*(H514/(J514^2+$C$24^2)^1.5)+$C$32*(K514/(M514^2+$C$33^2)^1.5)+C$41*(N514/(P514^2+$C$42^2)^1.5)</f>
        <v>15415.983749822206</v>
      </c>
      <c r="G514">
        <f>$C$23*(I514/(J514^2+$C$24^2)^1.5)+$C$32*(L514/(M514^2+$C$33^2)^1.5)+C$41*(O514/(P514^2+$C$42^2)^1.5)</f>
        <v>4005.1619309559551</v>
      </c>
      <c r="H514" s="3">
        <f t="shared" si="96"/>
        <v>32144.678116432442</v>
      </c>
      <c r="I514" s="3">
        <f t="shared" si="97"/>
        <v>44550.291532383126</v>
      </c>
      <c r="J514" s="3">
        <f t="shared" si="98"/>
        <v>54936.406934103165</v>
      </c>
      <c r="K514" s="3">
        <f t="shared" si="99"/>
        <v>-7855.321883567558</v>
      </c>
      <c r="L514" s="3">
        <f t="shared" si="100"/>
        <v>49550.291532383126</v>
      </c>
      <c r="M514" s="3">
        <f t="shared" si="101"/>
        <v>50169.088818102071</v>
      </c>
      <c r="N514" s="3">
        <f t="shared" si="102"/>
        <v>7144.678116432442</v>
      </c>
      <c r="O514" s="3">
        <f t="shared" si="103"/>
        <v>-449.70846761687426</v>
      </c>
      <c r="P514" s="3">
        <f t="shared" si="104"/>
        <v>7158.817157413293</v>
      </c>
    </row>
    <row r="515" spans="1:16" x14ac:dyDescent="0.25">
      <c r="A515">
        <f t="shared" si="91"/>
        <v>219.5</v>
      </c>
      <c r="B515">
        <f t="shared" si="92"/>
        <v>-19683.884154132804</v>
      </c>
      <c r="C515">
        <f t="shared" si="93"/>
        <v>-34928.212293373763</v>
      </c>
      <c r="D515">
        <f t="shared" si="94"/>
        <v>-15078.412075400724</v>
      </c>
      <c r="E515">
        <f t="shared" si="95"/>
        <v>-10755.841521981267</v>
      </c>
      <c r="F515">
        <f>$C$23*(H515/(J515^2+$C$24^2)^1.5)+$C$32*(K515/(M515^2+$C$33^2)^1.5)+C$41*(N515/(P515^2+$C$42^2)^1.5)</f>
        <v>9870.2749076983073</v>
      </c>
      <c r="G515">
        <f>$C$23*(I515/(J515^2+$C$24^2)^1.5)+$C$32*(L515/(M515^2+$C$33^2)^1.5)+C$41*(O515/(P515^2+$C$42^2)^1.5)</f>
        <v>7600.2670782991408</v>
      </c>
      <c r="H515" s="3">
        <f t="shared" si="96"/>
        <v>39683.8841541328</v>
      </c>
      <c r="I515" s="3">
        <f t="shared" si="97"/>
        <v>49928.212293373763</v>
      </c>
      <c r="J515" s="3">
        <f t="shared" si="98"/>
        <v>63778.029480149598</v>
      </c>
      <c r="K515" s="3">
        <f t="shared" si="99"/>
        <v>-316.11584586719619</v>
      </c>
      <c r="L515" s="3">
        <f t="shared" si="100"/>
        <v>54928.212293373763</v>
      </c>
      <c r="M515" s="3">
        <f t="shared" si="101"/>
        <v>54929.12192065284</v>
      </c>
      <c r="N515" s="3">
        <f t="shared" si="102"/>
        <v>14683.884154132804</v>
      </c>
      <c r="O515" s="3">
        <f t="shared" si="103"/>
        <v>4928.2122933737628</v>
      </c>
      <c r="P515" s="3">
        <f t="shared" si="104"/>
        <v>15488.825980704694</v>
      </c>
    </row>
    <row r="516" spans="1:16" x14ac:dyDescent="0.25">
      <c r="A516">
        <f t="shared" si="91"/>
        <v>220</v>
      </c>
      <c r="B516">
        <f t="shared" si="92"/>
        <v>-24755.52146490859</v>
      </c>
      <c r="C516">
        <f t="shared" si="93"/>
        <v>-38406.066284789616</v>
      </c>
      <c r="D516">
        <f t="shared" si="94"/>
        <v>-10143.274621551569</v>
      </c>
      <c r="E516">
        <f t="shared" si="95"/>
        <v>-6955.7079828316964</v>
      </c>
      <c r="F516">
        <f>$C$23*(H516/(J516^2+$C$24^2)^1.5)+$C$32*(K516/(M516^2+$C$33^2)^1.5)+C$41*(N516/(P516^2+$C$42^2)^1.5)</f>
        <v>6601.2301735775654</v>
      </c>
      <c r="G516">
        <f>$C$23*(I516/(J516^2+$C$24^2)^1.5)+$C$32*(L516/(M516^2+$C$33^2)^1.5)+C$41*(O516/(P516^2+$C$42^2)^1.5)</f>
        <v>6463.1356385939398</v>
      </c>
      <c r="H516" s="3">
        <f t="shared" si="96"/>
        <v>44755.52146490859</v>
      </c>
      <c r="I516" s="3">
        <f t="shared" si="97"/>
        <v>53406.066284789616</v>
      </c>
      <c r="J516" s="3">
        <f t="shared" si="98"/>
        <v>69679.728885890741</v>
      </c>
      <c r="K516" s="3">
        <f t="shared" si="99"/>
        <v>4755.5214649085901</v>
      </c>
      <c r="L516" s="3">
        <f t="shared" si="100"/>
        <v>58406.066284789616</v>
      </c>
      <c r="M516" s="3">
        <f t="shared" si="101"/>
        <v>58599.347805811325</v>
      </c>
      <c r="N516" s="3">
        <f t="shared" si="102"/>
        <v>19755.52146490859</v>
      </c>
      <c r="O516" s="3">
        <f t="shared" si="103"/>
        <v>8406.0662847896165</v>
      </c>
      <c r="P516" s="3">
        <f t="shared" si="104"/>
        <v>21469.573324468765</v>
      </c>
    </row>
    <row r="517" spans="1:16" x14ac:dyDescent="0.25">
      <c r="A517">
        <f t="shared" si="91"/>
        <v>220.5</v>
      </c>
      <c r="B517">
        <f t="shared" si="92"/>
        <v>-28176.851232289981</v>
      </c>
      <c r="C517">
        <f t="shared" si="93"/>
        <v>-40268.136366556981</v>
      </c>
      <c r="D517">
        <f t="shared" si="94"/>
        <v>-6842.6595347627863</v>
      </c>
      <c r="E517">
        <f t="shared" si="95"/>
        <v>-3724.1401635347265</v>
      </c>
      <c r="F517">
        <f>$C$23*(H517/(J517^2+$C$24^2)^1.5)+$C$32*(K517/(M517^2+$C$33^2)^1.5)+C$41*(N517/(P517^2+$C$42^2)^1.5)</f>
        <v>5331.2593149982931</v>
      </c>
      <c r="G517">
        <f>$C$23*(I517/(J517^2+$C$24^2)^1.5)+$C$32*(L517/(M517^2+$C$33^2)^1.5)+C$41*(O517/(P517^2+$C$42^2)^1.5)</f>
        <v>5664.4243998817565</v>
      </c>
      <c r="H517" s="3">
        <f t="shared" si="96"/>
        <v>48176.851232289977</v>
      </c>
      <c r="I517" s="3">
        <f t="shared" si="97"/>
        <v>55268.136366556981</v>
      </c>
      <c r="J517" s="3">
        <f t="shared" si="98"/>
        <v>73318.318939338336</v>
      </c>
      <c r="K517" s="3">
        <f t="shared" si="99"/>
        <v>8176.8512322899805</v>
      </c>
      <c r="L517" s="3">
        <f t="shared" si="100"/>
        <v>60268.136366556981</v>
      </c>
      <c r="M517" s="3">
        <f t="shared" si="101"/>
        <v>60820.302179230501</v>
      </c>
      <c r="N517" s="3">
        <f t="shared" si="102"/>
        <v>23176.851232289981</v>
      </c>
      <c r="O517" s="3">
        <f t="shared" si="103"/>
        <v>10268.136366556981</v>
      </c>
      <c r="P517" s="3">
        <f t="shared" si="104"/>
        <v>25349.577067199989</v>
      </c>
    </row>
    <row r="518" spans="1:16" x14ac:dyDescent="0.25">
      <c r="A518">
        <f t="shared" si="91"/>
        <v>221</v>
      </c>
      <c r="B518">
        <f t="shared" si="92"/>
        <v>-30265.366170921799</v>
      </c>
      <c r="C518">
        <f t="shared" si="93"/>
        <v>-40714.100348353903</v>
      </c>
      <c r="D518">
        <f t="shared" si="94"/>
        <v>-4177.0298772636397</v>
      </c>
      <c r="E518">
        <f t="shared" si="95"/>
        <v>-891.92796359384829</v>
      </c>
      <c r="F518">
        <f>$C$23*(H518/(J518^2+$C$24^2)^1.5)+$C$32*(K518/(M518^2+$C$33^2)^1.5)+C$41*(N518/(P518^2+$C$42^2)^1.5)</f>
        <v>4879.0645343502019</v>
      </c>
      <c r="G518">
        <f>$C$23*(I518/(J518^2+$C$24^2)^1.5)+$C$32*(L518/(M518^2+$C$33^2)^1.5)+C$41*(O518/(P518^2+$C$42^2)^1.5)</f>
        <v>5241.4596737938909</v>
      </c>
      <c r="H518" s="3">
        <f t="shared" si="96"/>
        <v>50265.366170921799</v>
      </c>
      <c r="I518" s="3">
        <f t="shared" si="97"/>
        <v>55714.100348353903</v>
      </c>
      <c r="J518" s="3">
        <f t="shared" si="98"/>
        <v>75037.777245353544</v>
      </c>
      <c r="K518" s="3">
        <f t="shared" si="99"/>
        <v>10265.366170921799</v>
      </c>
      <c r="L518" s="3">
        <f t="shared" si="100"/>
        <v>60714.100348353903</v>
      </c>
      <c r="M518" s="3">
        <f t="shared" si="101"/>
        <v>61575.804694158018</v>
      </c>
      <c r="N518" s="3">
        <f t="shared" si="102"/>
        <v>25265.366170921799</v>
      </c>
      <c r="O518" s="3">
        <f t="shared" si="103"/>
        <v>10714.100348353903</v>
      </c>
      <c r="P518" s="3">
        <f t="shared" si="104"/>
        <v>27443.226377839703</v>
      </c>
    </row>
    <row r="519" spans="1:16" x14ac:dyDescent="0.25">
      <c r="A519">
        <f t="shared" si="91"/>
        <v>221.5</v>
      </c>
      <c r="B519">
        <f t="shared" si="92"/>
        <v>-31134.114975966069</v>
      </c>
      <c r="C519">
        <f t="shared" si="93"/>
        <v>-39849.69941170235</v>
      </c>
      <c r="D519">
        <f t="shared" si="94"/>
        <v>-1737.4976100885387</v>
      </c>
      <c r="E519">
        <f t="shared" si="95"/>
        <v>1728.8018733030972</v>
      </c>
      <c r="F519">
        <f>$C$23*(H519/(J519^2+$C$24^2)^1.5)+$C$32*(K519/(M519^2+$C$33^2)^1.5)+C$41*(N519/(P519^2+$C$42^2)^1.5)</f>
        <v>4895.1330775632468</v>
      </c>
      <c r="G519">
        <f>$C$23*(I519/(J519^2+$C$24^2)^1.5)+$C$32*(L519/(M519^2+$C$33^2)^1.5)+C$41*(O519/(P519^2+$C$42^2)^1.5)</f>
        <v>5081.1354590804876</v>
      </c>
      <c r="H519" s="3">
        <f t="shared" si="96"/>
        <v>51134.114975966069</v>
      </c>
      <c r="I519" s="3">
        <f t="shared" si="97"/>
        <v>54849.69941170235</v>
      </c>
      <c r="J519" s="3">
        <f t="shared" si="98"/>
        <v>74987.913959046884</v>
      </c>
      <c r="K519" s="3">
        <f t="shared" si="99"/>
        <v>11134.114975966069</v>
      </c>
      <c r="L519" s="3">
        <f t="shared" si="100"/>
        <v>59849.69941170235</v>
      </c>
      <c r="M519" s="3">
        <f t="shared" si="101"/>
        <v>60876.555717034091</v>
      </c>
      <c r="N519" s="3">
        <f t="shared" si="102"/>
        <v>26134.114975966069</v>
      </c>
      <c r="O519" s="3">
        <f t="shared" si="103"/>
        <v>9849.6994117023496</v>
      </c>
      <c r="P519" s="3">
        <f t="shared" si="104"/>
        <v>27928.633050650791</v>
      </c>
    </row>
    <row r="520" spans="1:16" x14ac:dyDescent="0.25">
      <c r="A520">
        <f t="shared" si="91"/>
        <v>222</v>
      </c>
      <c r="B520">
        <f t="shared" si="92"/>
        <v>-30779.080511619526</v>
      </c>
      <c r="C520">
        <f t="shared" si="93"/>
        <v>-37715.014610280683</v>
      </c>
      <c r="D520">
        <f t="shared" si="94"/>
        <v>710.06892869308467</v>
      </c>
      <c r="E520">
        <f t="shared" si="95"/>
        <v>4269.3696028433405</v>
      </c>
      <c r="F520">
        <f>$C$23*(H520/(J520^2+$C$24^2)^1.5)+$C$32*(K520/(M520^2+$C$33^2)^1.5)+C$41*(N520/(P520^2+$C$42^2)^1.5)</f>
        <v>5316.6860650890158</v>
      </c>
      <c r="G520">
        <f>$C$23*(I520/(J520^2+$C$24^2)^1.5)+$C$32*(L520/(M520^2+$C$33^2)^1.5)+C$41*(O520/(P520^2+$C$42^2)^1.5)</f>
        <v>5102.5250175892061</v>
      </c>
      <c r="H520" s="3">
        <f t="shared" si="96"/>
        <v>50779.080511619526</v>
      </c>
      <c r="I520" s="3">
        <f t="shared" si="97"/>
        <v>52715.014610280683</v>
      </c>
      <c r="J520" s="3">
        <f t="shared" si="98"/>
        <v>73194.178613928336</v>
      </c>
      <c r="K520" s="3">
        <f t="shared" si="99"/>
        <v>10779.080511619526</v>
      </c>
      <c r="L520" s="3">
        <f t="shared" si="100"/>
        <v>57715.014610280683</v>
      </c>
      <c r="M520" s="3">
        <f t="shared" si="101"/>
        <v>58712.958434581444</v>
      </c>
      <c r="N520" s="3">
        <f t="shared" si="102"/>
        <v>25779.080511619526</v>
      </c>
      <c r="O520" s="3">
        <f t="shared" si="103"/>
        <v>7715.014610280683</v>
      </c>
      <c r="P520" s="3">
        <f t="shared" si="104"/>
        <v>26908.780025512231</v>
      </c>
    </row>
    <row r="521" spans="1:16" x14ac:dyDescent="0.25">
      <c r="A521">
        <f t="shared" si="91"/>
        <v>222.5</v>
      </c>
      <c r="B521">
        <f t="shared" si="92"/>
        <v>-29094.874531000729</v>
      </c>
      <c r="C521">
        <f t="shared" si="93"/>
        <v>-34304.698554461705</v>
      </c>
      <c r="D521">
        <f t="shared" si="94"/>
        <v>3368.4119612375925</v>
      </c>
      <c r="E521">
        <f t="shared" si="95"/>
        <v>6820.632111637944</v>
      </c>
      <c r="F521">
        <f>$C$23*(H521/(J521^2+$C$24^2)^1.5)+$C$32*(K521/(M521^2+$C$33^2)^1.5)+C$41*(N521/(P521^2+$C$42^2)^1.5)</f>
        <v>6227.7630882848489</v>
      </c>
      <c r="G521">
        <f>$C$23*(I521/(J521^2+$C$24^2)^1.5)+$C$32*(L521/(M521^2+$C$33^2)^1.5)+C$41*(O521/(P521^2+$C$42^2)^1.5)</f>
        <v>5182.3099670479824</v>
      </c>
      <c r="H521" s="3">
        <f t="shared" si="96"/>
        <v>49094.874531000729</v>
      </c>
      <c r="I521" s="3">
        <f t="shared" si="97"/>
        <v>49304.698554461705</v>
      </c>
      <c r="J521" s="3">
        <f t="shared" si="98"/>
        <v>69579.163581930479</v>
      </c>
      <c r="K521" s="3">
        <f t="shared" si="99"/>
        <v>9094.8745310007289</v>
      </c>
      <c r="L521" s="3">
        <f t="shared" si="100"/>
        <v>54304.698554461705</v>
      </c>
      <c r="M521" s="3">
        <f t="shared" si="101"/>
        <v>55061.030028738118</v>
      </c>
      <c r="N521" s="3">
        <f t="shared" si="102"/>
        <v>24094.874531000729</v>
      </c>
      <c r="O521" s="3">
        <f t="shared" si="103"/>
        <v>4304.6985544617055</v>
      </c>
      <c r="P521" s="3">
        <f t="shared" si="104"/>
        <v>24476.384706681096</v>
      </c>
    </row>
    <row r="522" spans="1:16" x14ac:dyDescent="0.25">
      <c r="A522">
        <f t="shared" si="91"/>
        <v>223</v>
      </c>
      <c r="B522">
        <f t="shared" si="92"/>
        <v>-25853.72777831072</v>
      </c>
      <c r="C522">
        <f t="shared" si="93"/>
        <v>-29598.805006880739</v>
      </c>
      <c r="D522">
        <f t="shared" si="94"/>
        <v>6482.2935053800175</v>
      </c>
      <c r="E522">
        <f t="shared" si="95"/>
        <v>9411.7870951619352</v>
      </c>
      <c r="F522">
        <f>$C$23*(H522/(J522^2+$C$24^2)^1.5)+$C$32*(K522/(M522^2+$C$33^2)^1.5)+C$41*(N522/(P522^2+$C$42^2)^1.5)</f>
        <v>7732.6937858439687</v>
      </c>
      <c r="G522">
        <f>$C$23*(I522/(J522^2+$C$24^2)^1.5)+$C$32*(L522/(M522^2+$C$33^2)^1.5)+C$41*(O522/(P522^2+$C$42^2)^1.5)</f>
        <v>4897.3925306499423</v>
      </c>
      <c r="H522" s="3">
        <f t="shared" si="96"/>
        <v>45853.72777831072</v>
      </c>
      <c r="I522" s="3">
        <f t="shared" si="97"/>
        <v>44598.805006880735</v>
      </c>
      <c r="J522" s="3">
        <f t="shared" si="98"/>
        <v>63965.754581722824</v>
      </c>
      <c r="K522" s="3">
        <f t="shared" si="99"/>
        <v>5853.7277783107202</v>
      </c>
      <c r="L522" s="3">
        <f t="shared" si="100"/>
        <v>49598.805006880735</v>
      </c>
      <c r="M522" s="3">
        <f t="shared" si="101"/>
        <v>49943.043429622347</v>
      </c>
      <c r="N522" s="3">
        <f t="shared" si="102"/>
        <v>20853.72777831072</v>
      </c>
      <c r="O522" s="3">
        <f t="shared" si="103"/>
        <v>-401.1949931192612</v>
      </c>
      <c r="P522" s="3">
        <f t="shared" si="104"/>
        <v>20857.586621524362</v>
      </c>
    </row>
    <row r="523" spans="1:16" x14ac:dyDescent="0.25">
      <c r="A523">
        <f t="shared" si="91"/>
        <v>223.5</v>
      </c>
      <c r="B523">
        <f t="shared" si="92"/>
        <v>-20679.407579159721</v>
      </c>
      <c r="C523">
        <f t="shared" si="93"/>
        <v>-23668.563326637286</v>
      </c>
      <c r="D523">
        <f t="shared" si="94"/>
        <v>10348.640398302003</v>
      </c>
      <c r="E523">
        <f t="shared" si="95"/>
        <v>11860.483360486905</v>
      </c>
      <c r="F523">
        <f>$C$23*(H523/(J523^2+$C$24^2)^1.5)+$C$32*(K523/(M523^2+$C$33^2)^1.5)+C$41*(N523/(P523^2+$C$42^2)^1.5)</f>
        <v>8879.3075924796049</v>
      </c>
      <c r="G523">
        <f>$C$23*(I523/(J523^2+$C$24^2)^1.5)+$C$32*(L523/(M523^2+$C$33^2)^1.5)+C$41*(O523/(P523^2+$C$42^2)^1.5)</f>
        <v>2884.5256234728176</v>
      </c>
      <c r="H523" s="3">
        <f t="shared" si="96"/>
        <v>40679.407579159721</v>
      </c>
      <c r="I523" s="3">
        <f t="shared" si="97"/>
        <v>38668.56332663729</v>
      </c>
      <c r="J523" s="3">
        <f t="shared" si="98"/>
        <v>56125.502142408986</v>
      </c>
      <c r="K523" s="3">
        <f t="shared" si="99"/>
        <v>679.40757915972063</v>
      </c>
      <c r="L523" s="3">
        <f t="shared" si="100"/>
        <v>43668.56332663729</v>
      </c>
      <c r="M523" s="3">
        <f t="shared" si="101"/>
        <v>43673.848212301498</v>
      </c>
      <c r="N523" s="3">
        <f t="shared" si="102"/>
        <v>15679.407579159721</v>
      </c>
      <c r="O523" s="3">
        <f t="shared" si="103"/>
        <v>-6331.4366733627139</v>
      </c>
      <c r="P523" s="3">
        <f t="shared" si="104"/>
        <v>16909.491783676222</v>
      </c>
    </row>
    <row r="524" spans="1:16" x14ac:dyDescent="0.25">
      <c r="A524">
        <f t="shared" si="91"/>
        <v>224</v>
      </c>
      <c r="B524">
        <f t="shared" si="92"/>
        <v>-13285.260481888818</v>
      </c>
      <c r="C524">
        <f t="shared" si="93"/>
        <v>-17017.19024052563</v>
      </c>
      <c r="D524">
        <f t="shared" si="94"/>
        <v>14788.294194541806</v>
      </c>
      <c r="E524">
        <f t="shared" si="95"/>
        <v>13302.746172223315</v>
      </c>
      <c r="F524">
        <f>$C$23*(H524/(J524^2+$C$24^2)^1.5)+$C$32*(K524/(M524^2+$C$33^2)^1.5)+C$41*(N524/(P524^2+$C$42^2)^1.5)</f>
        <v>4349.8815025653121</v>
      </c>
      <c r="G524">
        <f>$C$23*(I524/(J524^2+$C$24^2)^1.5)+$C$32*(L524/(M524^2+$C$33^2)^1.5)+C$41*(O524/(P524^2+$C$42^2)^1.5)</f>
        <v>-738.54468745672966</v>
      </c>
      <c r="H524" s="3">
        <f t="shared" si="96"/>
        <v>33285.260481888821</v>
      </c>
      <c r="I524" s="3">
        <f t="shared" si="97"/>
        <v>32017.19024052563</v>
      </c>
      <c r="J524" s="3">
        <f t="shared" si="98"/>
        <v>46184.510782785168</v>
      </c>
      <c r="K524" s="3">
        <f t="shared" si="99"/>
        <v>-6714.7395181111824</v>
      </c>
      <c r="L524" s="3">
        <f t="shared" si="100"/>
        <v>37017.190240525626</v>
      </c>
      <c r="M524" s="3">
        <f t="shared" si="101"/>
        <v>37621.271909643743</v>
      </c>
      <c r="N524" s="3">
        <f t="shared" si="102"/>
        <v>8285.2604818888176</v>
      </c>
      <c r="O524" s="3">
        <f t="shared" si="103"/>
        <v>-12982.80975947437</v>
      </c>
      <c r="P524" s="3">
        <f t="shared" si="104"/>
        <v>15401.26262692288</v>
      </c>
    </row>
    <row r="525" spans="1:16" x14ac:dyDescent="0.25">
      <c r="A525">
        <f t="shared" si="91"/>
        <v>224.5</v>
      </c>
      <c r="B525">
        <f t="shared" si="92"/>
        <v>-4803.6430089765863</v>
      </c>
      <c r="C525">
        <f t="shared" si="93"/>
        <v>-10550.453326278155</v>
      </c>
      <c r="D525">
        <f t="shared" si="94"/>
        <v>16963.234945824461</v>
      </c>
      <c r="E525">
        <f t="shared" si="95"/>
        <v>12933.473828494949</v>
      </c>
      <c r="F525">
        <f>$C$23*(H525/(J525^2+$C$24^2)^1.5)+$C$32*(K525/(M525^2+$C$33^2)^1.5)+C$41*(N525/(P525^2+$C$42^2)^1.5)</f>
        <v>-3948.1507184429915</v>
      </c>
      <c r="G525">
        <f>$C$23*(I525/(J525^2+$C$24^2)^1.5)+$C$32*(L525/(M525^2+$C$33^2)^1.5)+C$41*(O525/(P525^2+$C$42^2)^1.5)</f>
        <v>840.65706533462253</v>
      </c>
      <c r="H525" s="3">
        <f t="shared" si="96"/>
        <v>24803.643008976585</v>
      </c>
      <c r="I525" s="3">
        <f t="shared" si="97"/>
        <v>25550.453326278155</v>
      </c>
      <c r="J525" s="3">
        <f t="shared" si="98"/>
        <v>35609.638747045326</v>
      </c>
      <c r="K525" s="3">
        <f t="shared" si="99"/>
        <v>-15196.356991023415</v>
      </c>
      <c r="L525" s="3">
        <f t="shared" si="100"/>
        <v>30550.453326278155</v>
      </c>
      <c r="M525" s="3">
        <f t="shared" si="101"/>
        <v>34121.246522360911</v>
      </c>
      <c r="N525" s="3">
        <f t="shared" si="102"/>
        <v>-196.35699102341368</v>
      </c>
      <c r="O525" s="3">
        <f t="shared" si="103"/>
        <v>-19449.546673721845</v>
      </c>
      <c r="P525" s="3">
        <f t="shared" si="104"/>
        <v>19450.53783012717</v>
      </c>
    </row>
    <row r="526" spans="1:16" x14ac:dyDescent="0.25">
      <c r="A526">
        <f t="shared" ref="A526:A589" si="105">A525+$C$5</f>
        <v>225</v>
      </c>
      <c r="B526">
        <f t="shared" ref="B526:B589" si="106">B525+D525*(A526-A525)+F525*(A526-A525)^2</f>
        <v>2690.9367843248961</v>
      </c>
      <c r="C526">
        <f t="shared" ref="C526:C589" si="107">C525+E525*(A526-A525)+G525*(A526-A525)^2</f>
        <v>-3873.552145697025</v>
      </c>
      <c r="D526">
        <f t="shared" ref="D526:D589" si="108">D525+F525*(A526-A525)</f>
        <v>14989.159586602966</v>
      </c>
      <c r="E526">
        <f t="shared" ref="E526:E589" si="109">E525+G525*(A526-A525)</f>
        <v>13353.802361162259</v>
      </c>
      <c r="F526">
        <f>$C$23*(H526/(J526^2+$C$24^2)^1.5)+$C$32*(K526/(M526^2+$C$33^2)^1.5)+C$41*(N526/(P526^2+$C$42^2)^1.5)</f>
        <v>-7575.9591319844421</v>
      </c>
      <c r="G526">
        <f>$C$23*(I526/(J526^2+$C$24^2)^1.5)+$C$32*(L526/(M526^2+$C$33^2)^1.5)+C$41*(O526/(P526^2+$C$42^2)^1.5)</f>
        <v>3194.6980867540342</v>
      </c>
      <c r="H526" s="3">
        <f t="shared" ref="H526:H589" si="110">$C$19-B526</f>
        <v>17309.063215675105</v>
      </c>
      <c r="I526" s="3">
        <f t="shared" ref="I526:I589" si="111">$D$19-C526</f>
        <v>18873.552145697024</v>
      </c>
      <c r="J526" s="3">
        <f t="shared" ref="J526:J589" si="112">SQRT(H526^2+I526^2)</f>
        <v>25608.878148028696</v>
      </c>
      <c r="K526" s="3">
        <f t="shared" ref="K526:K589" si="113">$C$28-B526</f>
        <v>-22690.936784324895</v>
      </c>
      <c r="L526" s="3">
        <f t="shared" ref="L526:L589" si="114">$D$28-C526</f>
        <v>23873.552145697024</v>
      </c>
      <c r="M526" s="3">
        <f t="shared" ref="M526:M589" si="115">SQRT(K526^2+L526^2)</f>
        <v>32936.683260515827</v>
      </c>
      <c r="N526" s="3">
        <f t="shared" ref="N526:N589" si="116">$C$37-B526</f>
        <v>-7690.9367843248965</v>
      </c>
      <c r="O526" s="3">
        <f t="shared" ref="O526:O589" si="117">$D$37-C526</f>
        <v>-26126.447854302976</v>
      </c>
      <c r="P526" s="3">
        <f t="shared" ref="P526:P589" si="118">SQRT(N526^2+O526^2)</f>
        <v>27234.936866166852</v>
      </c>
    </row>
    <row r="527" spans="1:16" x14ac:dyDescent="0.25">
      <c r="A527">
        <f t="shared" si="105"/>
        <v>225.5</v>
      </c>
      <c r="B527">
        <f t="shared" si="106"/>
        <v>8291.5267946302683</v>
      </c>
      <c r="C527">
        <f t="shared" si="107"/>
        <v>3602.0235565726134</v>
      </c>
      <c r="D527">
        <f t="shared" si="108"/>
        <v>11201.180020610744</v>
      </c>
      <c r="E527">
        <f t="shared" si="109"/>
        <v>14951.151404539276</v>
      </c>
      <c r="F527">
        <f>$C$23*(H527/(J527^2+$C$24^2)^1.5)+$C$32*(K527/(M527^2+$C$33^2)^1.5)+C$41*(N527/(P527^2+$C$42^2)^1.5)</f>
        <v>-8417.1247973934769</v>
      </c>
      <c r="G527">
        <f>$C$23*(I527/(J527^2+$C$24^2)^1.5)+$C$32*(L527/(M527^2+$C$33^2)^1.5)+C$41*(O527/(P527^2+$C$42^2)^1.5)</f>
        <v>3504.0744024984065</v>
      </c>
      <c r="H527" s="3">
        <f t="shared" si="110"/>
        <v>11708.473205369732</v>
      </c>
      <c r="I527" s="3">
        <f t="shared" si="111"/>
        <v>11397.976443427386</v>
      </c>
      <c r="J527" s="3">
        <f t="shared" si="112"/>
        <v>16340.20231838598</v>
      </c>
      <c r="K527" s="3">
        <f t="shared" si="113"/>
        <v>-28291.52679463027</v>
      </c>
      <c r="L527" s="3">
        <f t="shared" si="114"/>
        <v>16397.976443427386</v>
      </c>
      <c r="M527" s="3">
        <f t="shared" si="115"/>
        <v>32700.215898530121</v>
      </c>
      <c r="N527" s="3">
        <f t="shared" si="116"/>
        <v>-13291.526794630268</v>
      </c>
      <c r="O527" s="3">
        <f t="shared" si="117"/>
        <v>-33602.023556572611</v>
      </c>
      <c r="P527" s="3">
        <f t="shared" si="118"/>
        <v>36135.310592671471</v>
      </c>
    </row>
    <row r="528" spans="1:16" x14ac:dyDescent="0.25">
      <c r="A528">
        <f t="shared" si="105"/>
        <v>226</v>
      </c>
      <c r="B528">
        <f t="shared" si="106"/>
        <v>11787.835605587272</v>
      </c>
      <c r="C528">
        <f t="shared" si="107"/>
        <v>11953.617859466854</v>
      </c>
      <c r="D528">
        <f t="shared" si="108"/>
        <v>6992.6176219140052</v>
      </c>
      <c r="E528">
        <f t="shared" si="109"/>
        <v>16703.18860578848</v>
      </c>
      <c r="F528">
        <f>$C$23*(H528/(J528^2+$C$24^2)^1.5)+$C$32*(K528/(M528^2+$C$33^2)^1.5)+C$41*(N528/(P528^2+$C$42^2)^1.5)</f>
        <v>-6103.3292735310679</v>
      </c>
      <c r="G528">
        <f>$C$23*(I528/(J528^2+$C$24^2)^1.5)+$C$32*(L528/(M528^2+$C$33^2)^1.5)+C$41*(O528/(P528^2+$C$42^2)^1.5)</f>
        <v>2208.3310946304346</v>
      </c>
      <c r="H528" s="3">
        <f t="shared" si="110"/>
        <v>8212.1643944127281</v>
      </c>
      <c r="I528" s="3">
        <f t="shared" si="111"/>
        <v>3046.3821405331455</v>
      </c>
      <c r="J528" s="3">
        <f t="shared" si="112"/>
        <v>8759.0004102648309</v>
      </c>
      <c r="K528" s="3">
        <f t="shared" si="113"/>
        <v>-31787.835605587272</v>
      </c>
      <c r="L528" s="3">
        <f t="shared" si="114"/>
        <v>8046.3821405331455</v>
      </c>
      <c r="M528" s="3">
        <f t="shared" si="115"/>
        <v>32790.406493963026</v>
      </c>
      <c r="N528" s="3">
        <f t="shared" si="116"/>
        <v>-16787.835605587272</v>
      </c>
      <c r="O528" s="3">
        <f t="shared" si="117"/>
        <v>-41953.617859466853</v>
      </c>
      <c r="P528" s="3">
        <f t="shared" si="118"/>
        <v>45187.802290202162</v>
      </c>
    </row>
    <row r="529" spans="1:16" x14ac:dyDescent="0.25">
      <c r="A529">
        <f t="shared" si="105"/>
        <v>226.5</v>
      </c>
      <c r="B529">
        <f t="shared" si="106"/>
        <v>13758.312098161507</v>
      </c>
      <c r="C529">
        <f t="shared" si="107"/>
        <v>20857.294936018705</v>
      </c>
      <c r="D529">
        <f t="shared" si="108"/>
        <v>3940.9529851484713</v>
      </c>
      <c r="E529">
        <f t="shared" si="109"/>
        <v>17807.354153103697</v>
      </c>
      <c r="F529">
        <f>$C$23*(H529/(J529^2+$C$24^2)^1.5)+$C$32*(K529/(M529^2+$C$33^2)^1.5)+C$41*(N529/(P529^2+$C$42^2)^1.5)</f>
        <v>-6573.7773947896676</v>
      </c>
      <c r="G529">
        <f>$C$23*(I529/(J529^2+$C$24^2)^1.5)+$C$32*(L529/(M529^2+$C$33^2)^1.5)+C$41*(O529/(P529^2+$C$42^2)^1.5)</f>
        <v>-4660.607791699158</v>
      </c>
      <c r="H529" s="3">
        <f t="shared" si="110"/>
        <v>6241.6879018384934</v>
      </c>
      <c r="I529" s="3">
        <f t="shared" si="111"/>
        <v>-5857.2949360187049</v>
      </c>
      <c r="J529" s="3">
        <f t="shared" si="112"/>
        <v>8559.5894662926094</v>
      </c>
      <c r="K529" s="3">
        <f t="shared" si="113"/>
        <v>-33758.312098161507</v>
      </c>
      <c r="L529" s="3">
        <f t="shared" si="114"/>
        <v>-857.2949360187049</v>
      </c>
      <c r="M529" s="3">
        <f t="shared" si="115"/>
        <v>33769.195879147032</v>
      </c>
      <c r="N529" s="3">
        <f t="shared" si="116"/>
        <v>-18758.312098161507</v>
      </c>
      <c r="O529" s="3">
        <f t="shared" si="117"/>
        <v>-50857.294936018705</v>
      </c>
      <c r="P529" s="3">
        <f t="shared" si="118"/>
        <v>54206.445382271893</v>
      </c>
    </row>
    <row r="530" spans="1:16" x14ac:dyDescent="0.25">
      <c r="A530">
        <f t="shared" si="105"/>
        <v>227</v>
      </c>
      <c r="B530">
        <f t="shared" si="106"/>
        <v>14085.344242038325</v>
      </c>
      <c r="C530">
        <f t="shared" si="107"/>
        <v>28595.820064645763</v>
      </c>
      <c r="D530">
        <f t="shared" si="108"/>
        <v>654.06428775363747</v>
      </c>
      <c r="E530">
        <f t="shared" si="109"/>
        <v>15477.050257254119</v>
      </c>
      <c r="F530">
        <f>$C$23*(H530/(J530^2+$C$24^2)^1.5)+$C$32*(K530/(M530^2+$C$33^2)^1.5)+C$41*(N530/(P530^2+$C$42^2)^1.5)</f>
        <v>-8151.6717949937483</v>
      </c>
      <c r="G530">
        <f>$C$23*(I530/(J530^2+$C$24^2)^1.5)+$C$32*(L530/(M530^2+$C$33^2)^1.5)+C$41*(O530/(P530^2+$C$42^2)^1.5)</f>
        <v>-5043.666231955438</v>
      </c>
      <c r="H530" s="3">
        <f t="shared" si="110"/>
        <v>5914.6557579616747</v>
      </c>
      <c r="I530" s="3">
        <f t="shared" si="111"/>
        <v>-13595.820064645763</v>
      </c>
      <c r="J530" s="3">
        <f t="shared" si="112"/>
        <v>14826.647495823643</v>
      </c>
      <c r="K530" s="3">
        <f t="shared" si="113"/>
        <v>-34085.344242038322</v>
      </c>
      <c r="L530" s="3">
        <f t="shared" si="114"/>
        <v>-8595.8200646457626</v>
      </c>
      <c r="M530" s="3">
        <f t="shared" si="115"/>
        <v>35152.507942990662</v>
      </c>
      <c r="N530" s="3">
        <f t="shared" si="116"/>
        <v>-19085.344242038325</v>
      </c>
      <c r="O530" s="3">
        <f t="shared" si="117"/>
        <v>-58595.820064645763</v>
      </c>
      <c r="P530" s="3">
        <f t="shared" si="118"/>
        <v>61625.648020004206</v>
      </c>
    </row>
    <row r="531" spans="1:16" x14ac:dyDescent="0.25">
      <c r="A531">
        <f t="shared" si="105"/>
        <v>227.5</v>
      </c>
      <c r="B531">
        <f t="shared" si="106"/>
        <v>12374.458437166708</v>
      </c>
      <c r="C531">
        <f t="shared" si="107"/>
        <v>35073.428635283963</v>
      </c>
      <c r="D531">
        <f t="shared" si="108"/>
        <v>-3421.7716097432367</v>
      </c>
      <c r="E531">
        <f t="shared" si="109"/>
        <v>12955.2171412764</v>
      </c>
      <c r="F531">
        <f>$C$23*(H531/(J531^2+$C$24^2)^1.5)+$C$32*(K531/(M531^2+$C$33^2)^1.5)+C$41*(N531/(P531^2+$C$42^2)^1.5)</f>
        <v>-7733.718841219712</v>
      </c>
      <c r="G531">
        <f>$C$23*(I531/(J531^2+$C$24^2)^1.5)+$C$32*(L531/(M531^2+$C$33^2)^1.5)+C$41*(O531/(P531^2+$C$42^2)^1.5)</f>
        <v>-5511.0459259038744</v>
      </c>
      <c r="H531" s="3">
        <f t="shared" si="110"/>
        <v>7625.5415628332921</v>
      </c>
      <c r="I531" s="3">
        <f t="shared" si="111"/>
        <v>-20073.428635283963</v>
      </c>
      <c r="J531" s="3">
        <f t="shared" si="112"/>
        <v>21473.039405317919</v>
      </c>
      <c r="K531" s="3">
        <f t="shared" si="113"/>
        <v>-32374.458437166708</v>
      </c>
      <c r="L531" s="3">
        <f t="shared" si="114"/>
        <v>-15073.428635283963</v>
      </c>
      <c r="M531" s="3">
        <f t="shared" si="115"/>
        <v>35711.536090216468</v>
      </c>
      <c r="N531" s="3">
        <f t="shared" si="116"/>
        <v>-17374.458437166708</v>
      </c>
      <c r="O531" s="3">
        <f t="shared" si="117"/>
        <v>-65073.428635283963</v>
      </c>
      <c r="P531" s="3">
        <f t="shared" si="118"/>
        <v>67352.972616924846</v>
      </c>
    </row>
    <row r="532" spans="1:16" x14ac:dyDescent="0.25">
      <c r="A532">
        <f t="shared" si="105"/>
        <v>228</v>
      </c>
      <c r="B532">
        <f t="shared" si="106"/>
        <v>8730.142921990162</v>
      </c>
      <c r="C532">
        <f t="shared" si="107"/>
        <v>40173.275724446197</v>
      </c>
      <c r="D532">
        <f t="shared" si="108"/>
        <v>-7288.6310303530927</v>
      </c>
      <c r="E532">
        <f t="shared" si="109"/>
        <v>10199.694178324462</v>
      </c>
      <c r="F532">
        <f>$C$23*(H532/(J532^2+$C$24^2)^1.5)+$C$32*(K532/(M532^2+$C$33^2)^1.5)+C$41*(N532/(P532^2+$C$42^2)^1.5)</f>
        <v>-7185.1649516532398</v>
      </c>
      <c r="G532">
        <f>$C$23*(I532/(J532^2+$C$24^2)^1.5)+$C$32*(L532/(M532^2+$C$33^2)^1.5)+C$41*(O532/(P532^2+$C$42^2)^1.5)</f>
        <v>-6505.4850284897548</v>
      </c>
      <c r="H532" s="3">
        <f t="shared" si="110"/>
        <v>11269.857078009838</v>
      </c>
      <c r="I532" s="3">
        <f t="shared" si="111"/>
        <v>-25173.275724446197</v>
      </c>
      <c r="J532" s="3">
        <f t="shared" si="112"/>
        <v>27580.853671664347</v>
      </c>
      <c r="K532" s="3">
        <f t="shared" si="113"/>
        <v>-28730.142921990162</v>
      </c>
      <c r="L532" s="3">
        <f t="shared" si="114"/>
        <v>-20173.275724446197</v>
      </c>
      <c r="M532" s="3">
        <f t="shared" si="115"/>
        <v>35105.301106421401</v>
      </c>
      <c r="N532" s="3">
        <f t="shared" si="116"/>
        <v>-13730.142921990162</v>
      </c>
      <c r="O532" s="3">
        <f t="shared" si="117"/>
        <v>-70173.275724446197</v>
      </c>
      <c r="P532" s="3">
        <f t="shared" si="118"/>
        <v>71503.884164130737</v>
      </c>
    </row>
    <row r="533" spans="1:16" x14ac:dyDescent="0.25">
      <c r="A533">
        <f t="shared" si="105"/>
        <v>228.5</v>
      </c>
      <c r="B533">
        <f t="shared" si="106"/>
        <v>3289.5361689003062</v>
      </c>
      <c r="C533">
        <f t="shared" si="107"/>
        <v>43646.751556485986</v>
      </c>
      <c r="D533">
        <f t="shared" si="108"/>
        <v>-10881.213506179713</v>
      </c>
      <c r="E533">
        <f t="shared" si="109"/>
        <v>6946.9516640795846</v>
      </c>
      <c r="F533">
        <f>$C$23*(H533/(J533^2+$C$24^2)^1.5)+$C$32*(K533/(M533^2+$C$33^2)^1.5)+C$41*(N533/(P533^2+$C$42^2)^1.5)</f>
        <v>-6665.5031198048191</v>
      </c>
      <c r="G533">
        <f>$C$23*(I533/(J533^2+$C$24^2)^1.5)+$C$32*(L533/(M533^2+$C$33^2)^1.5)+C$41*(O533/(P533^2+$C$42^2)^1.5)</f>
        <v>-8054.0964136702523</v>
      </c>
      <c r="H533" s="3">
        <f t="shared" si="110"/>
        <v>16710.463831099692</v>
      </c>
      <c r="I533" s="3">
        <f t="shared" si="111"/>
        <v>-28646.751556485986</v>
      </c>
      <c r="J533" s="3">
        <f t="shared" si="112"/>
        <v>33164.37812155571</v>
      </c>
      <c r="K533" s="3">
        <f t="shared" si="113"/>
        <v>-23289.536168900308</v>
      </c>
      <c r="L533" s="3">
        <f t="shared" si="114"/>
        <v>-23646.751556485986</v>
      </c>
      <c r="M533" s="3">
        <f t="shared" si="115"/>
        <v>33189.928504543182</v>
      </c>
      <c r="N533" s="3">
        <f t="shared" si="116"/>
        <v>-8289.5361689003057</v>
      </c>
      <c r="O533" s="3">
        <f t="shared" si="117"/>
        <v>-73646.751556485979</v>
      </c>
      <c r="P533" s="3">
        <f t="shared" si="118"/>
        <v>74111.810291736067</v>
      </c>
    </row>
    <row r="534" spans="1:16" x14ac:dyDescent="0.25">
      <c r="A534">
        <f t="shared" si="105"/>
        <v>229</v>
      </c>
      <c r="B534">
        <f t="shared" si="106"/>
        <v>-3817.4463641407547</v>
      </c>
      <c r="C534">
        <f t="shared" si="107"/>
        <v>45106.703285108211</v>
      </c>
      <c r="D534">
        <f t="shared" si="108"/>
        <v>-14213.965066082123</v>
      </c>
      <c r="E534">
        <f t="shared" si="109"/>
        <v>2919.9034572444584</v>
      </c>
      <c r="F534">
        <f>$C$23*(H534/(J534^2+$C$24^2)^1.5)+$C$32*(K534/(M534^2+$C$33^2)^1.5)+C$41*(N534/(P534^2+$C$42^2)^1.5)</f>
        <v>-5922.7687249605815</v>
      </c>
      <c r="G534">
        <f>$C$23*(I534/(J534^2+$C$24^2)^1.5)+$C$32*(L534/(M534^2+$C$33^2)^1.5)+C$41*(O534/(P534^2+$C$42^2)^1.5)</f>
        <v>-10499.485355447361</v>
      </c>
      <c r="H534" s="3">
        <f t="shared" si="110"/>
        <v>23817.446364140756</v>
      </c>
      <c r="I534" s="3">
        <f t="shared" si="111"/>
        <v>-30106.703285108211</v>
      </c>
      <c r="J534" s="3">
        <f t="shared" si="112"/>
        <v>38388.59640578524</v>
      </c>
      <c r="K534" s="3">
        <f t="shared" si="113"/>
        <v>-16182.553635859245</v>
      </c>
      <c r="L534" s="3">
        <f t="shared" si="114"/>
        <v>-25106.703285108211</v>
      </c>
      <c r="M534" s="3">
        <f t="shared" si="115"/>
        <v>29870.078540638704</v>
      </c>
      <c r="N534" s="3">
        <f t="shared" si="116"/>
        <v>-1182.5536358592453</v>
      </c>
      <c r="O534" s="3">
        <f t="shared" si="117"/>
        <v>-75106.703285108204</v>
      </c>
      <c r="P534" s="3">
        <f t="shared" si="118"/>
        <v>75116.012350623132</v>
      </c>
    </row>
    <row r="535" spans="1:16" x14ac:dyDescent="0.25">
      <c r="A535">
        <f t="shared" si="105"/>
        <v>229.5</v>
      </c>
      <c r="B535">
        <f t="shared" si="106"/>
        <v>-12405.121078421962</v>
      </c>
      <c r="C535">
        <f t="shared" si="107"/>
        <v>43941.783674868602</v>
      </c>
      <c r="D535">
        <f t="shared" si="108"/>
        <v>-17175.349428562415</v>
      </c>
      <c r="E535">
        <f t="shared" si="109"/>
        <v>-2329.8392204792221</v>
      </c>
      <c r="F535">
        <f>$C$23*(H535/(J535^2+$C$24^2)^1.5)+$C$32*(K535/(M535^2+$C$33^2)^1.5)+C$41*(N535/(P535^2+$C$42^2)^1.5)</f>
        <v>-4011.5948089649123</v>
      </c>
      <c r="G535">
        <f>$C$23*(I535/(J535^2+$C$24^2)^1.5)+$C$32*(L535/(M535^2+$C$33^2)^1.5)+C$41*(O535/(P535^2+$C$42^2)^1.5)</f>
        <v>-14433.198769575431</v>
      </c>
      <c r="H535" s="3">
        <f t="shared" si="110"/>
        <v>32405.121078421962</v>
      </c>
      <c r="I535" s="3">
        <f t="shared" si="111"/>
        <v>-28941.783674868602</v>
      </c>
      <c r="J535" s="3">
        <f t="shared" si="112"/>
        <v>43447.885039321285</v>
      </c>
      <c r="K535" s="3">
        <f t="shared" si="113"/>
        <v>-7594.878921578038</v>
      </c>
      <c r="L535" s="3">
        <f t="shared" si="114"/>
        <v>-23941.783674868602</v>
      </c>
      <c r="M535" s="3">
        <f t="shared" si="115"/>
        <v>25117.547479155586</v>
      </c>
      <c r="N535" s="3">
        <f t="shared" si="116"/>
        <v>7405.121078421962</v>
      </c>
      <c r="O535" s="3">
        <f t="shared" si="117"/>
        <v>-73941.78367486861</v>
      </c>
      <c r="P535" s="3">
        <f t="shared" si="118"/>
        <v>74311.662551763409</v>
      </c>
    </row>
    <row r="536" spans="1:16" x14ac:dyDescent="0.25">
      <c r="A536">
        <f t="shared" si="105"/>
        <v>230</v>
      </c>
      <c r="B536">
        <f t="shared" si="106"/>
        <v>-21995.694494944397</v>
      </c>
      <c r="C536">
        <f t="shared" si="107"/>
        <v>39168.564372235138</v>
      </c>
      <c r="D536">
        <f t="shared" si="108"/>
        <v>-19181.14683304487</v>
      </c>
      <c r="E536">
        <f t="shared" si="109"/>
        <v>-9546.4386052669379</v>
      </c>
      <c r="F536">
        <f>$C$23*(H536/(J536^2+$C$24^2)^1.5)+$C$32*(K536/(M536^2+$C$33^2)^1.5)+C$41*(N536/(P536^2+$C$42^2)^1.5)</f>
        <v>2318.594659900491</v>
      </c>
      <c r="G536">
        <f>$C$23*(I536/(J536^2+$C$24^2)^1.5)+$C$32*(L536/(M536^2+$C$33^2)^1.5)+C$41*(O536/(P536^2+$C$42^2)^1.5)</f>
        <v>-19493.079879657558</v>
      </c>
      <c r="H536" s="3">
        <f t="shared" si="110"/>
        <v>41995.694494944401</v>
      </c>
      <c r="I536" s="3">
        <f t="shared" si="111"/>
        <v>-24168.564372235138</v>
      </c>
      <c r="J536" s="3">
        <f t="shared" si="112"/>
        <v>48453.667146332453</v>
      </c>
      <c r="K536" s="3">
        <f t="shared" si="113"/>
        <v>1995.6944949443969</v>
      </c>
      <c r="L536" s="3">
        <f t="shared" si="114"/>
        <v>-19168.564372235138</v>
      </c>
      <c r="M536" s="3">
        <f t="shared" si="115"/>
        <v>19272.173115911803</v>
      </c>
      <c r="N536" s="3">
        <f t="shared" si="116"/>
        <v>16995.694494944397</v>
      </c>
      <c r="O536" s="3">
        <f t="shared" si="117"/>
        <v>-69168.564372235138</v>
      </c>
      <c r="P536" s="3">
        <f t="shared" si="118"/>
        <v>71226.005985745956</v>
      </c>
    </row>
    <row r="537" spans="1:16" x14ac:dyDescent="0.25">
      <c r="A537">
        <f t="shared" si="105"/>
        <v>230.5</v>
      </c>
      <c r="B537">
        <f t="shared" si="106"/>
        <v>-31006.619246491708</v>
      </c>
      <c r="C537">
        <f t="shared" si="107"/>
        <v>29522.075099687278</v>
      </c>
      <c r="D537">
        <f t="shared" si="108"/>
        <v>-18021.849503094625</v>
      </c>
      <c r="E537">
        <f t="shared" si="109"/>
        <v>-19292.978545095717</v>
      </c>
      <c r="F537">
        <f>$C$23*(H537/(J537^2+$C$24^2)^1.5)+$C$32*(K537/(M537^2+$C$33^2)^1.5)+C$41*(N537/(P537^2+$C$42^2)^1.5)</f>
        <v>17604.358366818622</v>
      </c>
      <c r="G537">
        <f>$C$23*(I537/(J537^2+$C$24^2)^1.5)+$C$32*(L537/(M537^2+$C$33^2)^1.5)+C$41*(O537/(P537^2+$C$42^2)^1.5)</f>
        <v>-15673.705039715318</v>
      </c>
      <c r="H537" s="3">
        <f t="shared" si="110"/>
        <v>51006.619246491711</v>
      </c>
      <c r="I537" s="3">
        <f t="shared" si="111"/>
        <v>-14522.075099687278</v>
      </c>
      <c r="J537" s="3">
        <f t="shared" si="112"/>
        <v>53033.629634011813</v>
      </c>
      <c r="K537" s="3">
        <f t="shared" si="113"/>
        <v>11006.619246491708</v>
      </c>
      <c r="L537" s="3">
        <f t="shared" si="114"/>
        <v>-9522.0750996872775</v>
      </c>
      <c r="M537" s="3">
        <f t="shared" si="115"/>
        <v>14553.885441397639</v>
      </c>
      <c r="N537" s="3">
        <f t="shared" si="116"/>
        <v>26006.619246491708</v>
      </c>
      <c r="O537" s="3">
        <f t="shared" si="117"/>
        <v>-59522.075099687281</v>
      </c>
      <c r="P537" s="3">
        <f t="shared" si="118"/>
        <v>64955.536090504291</v>
      </c>
    </row>
    <row r="538" spans="1:16" x14ac:dyDescent="0.25">
      <c r="A538">
        <f t="shared" si="105"/>
        <v>231</v>
      </c>
      <c r="B538">
        <f t="shared" si="106"/>
        <v>-35616.454406334364</v>
      </c>
      <c r="C538">
        <f t="shared" si="107"/>
        <v>15957.159567210587</v>
      </c>
      <c r="D538">
        <f t="shared" si="108"/>
        <v>-9219.6703196853141</v>
      </c>
      <c r="E538">
        <f t="shared" si="109"/>
        <v>-27129.831064953374</v>
      </c>
      <c r="F538">
        <f>$C$23*(H538/(J538^2+$C$24^2)^1.5)+$C$32*(K538/(M538^2+$C$33^2)^1.5)+C$41*(N538/(P538^2+$C$42^2)^1.5)</f>
        <v>21548.432724084261</v>
      </c>
      <c r="G538">
        <f>$C$23*(I538/(J538^2+$C$24^2)^1.5)+$C$32*(L538/(M538^2+$C$33^2)^1.5)+C$41*(O538/(P538^2+$C$42^2)^1.5)</f>
        <v>4255.3648418551775</v>
      </c>
      <c r="H538" s="3">
        <f t="shared" si="110"/>
        <v>55616.454406334364</v>
      </c>
      <c r="I538" s="3">
        <f t="shared" si="111"/>
        <v>-957.15956721058683</v>
      </c>
      <c r="J538" s="3">
        <f t="shared" si="112"/>
        <v>55624.690157959281</v>
      </c>
      <c r="K538" s="3">
        <f t="shared" si="113"/>
        <v>15616.454406334364</v>
      </c>
      <c r="L538" s="3">
        <f t="shared" si="114"/>
        <v>4042.8404327894132</v>
      </c>
      <c r="M538" s="3">
        <f t="shared" si="115"/>
        <v>16131.280389048999</v>
      </c>
      <c r="N538" s="3">
        <f t="shared" si="116"/>
        <v>30616.454406334364</v>
      </c>
      <c r="O538" s="3">
        <f t="shared" si="117"/>
        <v>-45957.15956721059</v>
      </c>
      <c r="P538" s="3">
        <f t="shared" si="118"/>
        <v>55221.624350440899</v>
      </c>
    </row>
    <row r="539" spans="1:16" x14ac:dyDescent="0.25">
      <c r="A539">
        <f t="shared" si="105"/>
        <v>231.5</v>
      </c>
      <c r="B539">
        <f t="shared" si="106"/>
        <v>-34839.181385155956</v>
      </c>
      <c r="C539">
        <f t="shared" si="107"/>
        <v>3456.0852451976943</v>
      </c>
      <c r="D539">
        <f t="shared" si="108"/>
        <v>1554.5460423568165</v>
      </c>
      <c r="E539">
        <f t="shared" si="109"/>
        <v>-25002.148644025787</v>
      </c>
      <c r="F539">
        <f>$C$23*(H539/(J539^2+$C$24^2)^1.5)+$C$32*(K539/(M539^2+$C$33^2)^1.5)+C$41*(N539/(P539^2+$C$42^2)^1.5)</f>
        <v>12334.563969967954</v>
      </c>
      <c r="G539">
        <f>$C$23*(I539/(J539^2+$C$24^2)^1.5)+$C$32*(L539/(M539^2+$C$33^2)^1.5)+C$41*(O539/(P539^2+$C$42^2)^1.5)</f>
        <v>10721.478023645665</v>
      </c>
      <c r="H539" s="3">
        <f t="shared" si="110"/>
        <v>54839.181385155956</v>
      </c>
      <c r="I539" s="3">
        <f t="shared" si="111"/>
        <v>11543.914754802307</v>
      </c>
      <c r="J539" s="3">
        <f t="shared" si="112"/>
        <v>56041.036596945436</v>
      </c>
      <c r="K539" s="3">
        <f t="shared" si="113"/>
        <v>14839.181385155956</v>
      </c>
      <c r="L539" s="3">
        <f t="shared" si="114"/>
        <v>16543.914754802307</v>
      </c>
      <c r="M539" s="3">
        <f t="shared" si="115"/>
        <v>22223.915487504099</v>
      </c>
      <c r="N539" s="3">
        <f t="shared" si="116"/>
        <v>29839.181385155956</v>
      </c>
      <c r="O539" s="3">
        <f t="shared" si="117"/>
        <v>-33456.085245197697</v>
      </c>
      <c r="P539" s="3">
        <f t="shared" si="118"/>
        <v>44829.525824730437</v>
      </c>
    </row>
    <row r="540" spans="1:16" x14ac:dyDescent="0.25">
      <c r="A540">
        <f t="shared" si="105"/>
        <v>232</v>
      </c>
      <c r="B540">
        <f t="shared" si="106"/>
        <v>-30978.267371485559</v>
      </c>
      <c r="C540">
        <f t="shared" si="107"/>
        <v>-6364.6195709037838</v>
      </c>
      <c r="D540">
        <f t="shared" si="108"/>
        <v>7721.8280273407936</v>
      </c>
      <c r="E540">
        <f t="shared" si="109"/>
        <v>-19641.409632202955</v>
      </c>
      <c r="F540">
        <f>$C$23*(H540/(J540^2+$C$24^2)^1.5)+$C$32*(K540/(M540^2+$C$33^2)^1.5)+C$41*(N540/(P540^2+$C$42^2)^1.5)</f>
        <v>7014.1750733599838</v>
      </c>
      <c r="G540">
        <f>$C$23*(I540/(J540^2+$C$24^2)^1.5)+$C$32*(L540/(M540^2+$C$33^2)^1.5)+C$41*(O540/(P540^2+$C$42^2)^1.5)</f>
        <v>9135.5334870409279</v>
      </c>
      <c r="H540" s="3">
        <f t="shared" si="110"/>
        <v>50978.267371485563</v>
      </c>
      <c r="I540" s="3">
        <f t="shared" si="111"/>
        <v>21364.619570903786</v>
      </c>
      <c r="J540" s="3">
        <f t="shared" si="112"/>
        <v>55274.141455187833</v>
      </c>
      <c r="K540" s="3">
        <f t="shared" si="113"/>
        <v>10978.267371485559</v>
      </c>
      <c r="L540" s="3">
        <f t="shared" si="114"/>
        <v>26364.619570903786</v>
      </c>
      <c r="M540" s="3">
        <f t="shared" si="115"/>
        <v>28558.983168143564</v>
      </c>
      <c r="N540" s="3">
        <f t="shared" si="116"/>
        <v>25978.267371485559</v>
      </c>
      <c r="O540" s="3">
        <f t="shared" si="117"/>
        <v>-23635.380429096214</v>
      </c>
      <c r="P540" s="3">
        <f t="shared" si="118"/>
        <v>35121.241203187783</v>
      </c>
    </row>
    <row r="541" spans="1:16" x14ac:dyDescent="0.25">
      <c r="A541">
        <f t="shared" si="105"/>
        <v>232.5</v>
      </c>
      <c r="B541">
        <f t="shared" si="106"/>
        <v>-25363.809589475168</v>
      </c>
      <c r="C541">
        <f t="shared" si="107"/>
        <v>-13901.441015245029</v>
      </c>
      <c r="D541">
        <f t="shared" si="108"/>
        <v>11228.915564020786</v>
      </c>
      <c r="E541">
        <f t="shared" si="109"/>
        <v>-15073.642888682491</v>
      </c>
      <c r="F541">
        <f>$C$23*(H541/(J541^2+$C$24^2)^1.5)+$C$32*(K541/(M541^2+$C$33^2)^1.5)+C$41*(N541/(P541^2+$C$42^2)^1.5)</f>
        <v>5555.9486245594189</v>
      </c>
      <c r="G541">
        <f>$C$23*(I541/(J541^2+$C$24^2)^1.5)+$C$32*(L541/(M541^2+$C$33^2)^1.5)+C$41*(O541/(P541^2+$C$42^2)^1.5)</f>
        <v>6082.7116769856193</v>
      </c>
      <c r="H541" s="3">
        <f t="shared" si="110"/>
        <v>45363.809589475168</v>
      </c>
      <c r="I541" s="3">
        <f t="shared" si="111"/>
        <v>28901.441015245029</v>
      </c>
      <c r="J541" s="3">
        <f t="shared" si="112"/>
        <v>53788.181910414547</v>
      </c>
      <c r="K541" s="3">
        <f t="shared" si="113"/>
        <v>5363.8095894751677</v>
      </c>
      <c r="L541" s="3">
        <f t="shared" si="114"/>
        <v>33901.441015245029</v>
      </c>
      <c r="M541" s="3">
        <f t="shared" si="115"/>
        <v>34323.143157675455</v>
      </c>
      <c r="N541" s="3">
        <f t="shared" si="116"/>
        <v>20363.809589475168</v>
      </c>
      <c r="O541" s="3">
        <f t="shared" si="117"/>
        <v>-16098.558984754971</v>
      </c>
      <c r="P541" s="3">
        <f t="shared" si="118"/>
        <v>25958.588990583361</v>
      </c>
    </row>
    <row r="542" spans="1:16" x14ac:dyDescent="0.25">
      <c r="A542">
        <f t="shared" si="105"/>
        <v>233</v>
      </c>
      <c r="B542">
        <f t="shared" si="106"/>
        <v>-18360.364651324919</v>
      </c>
      <c r="C542">
        <f t="shared" si="107"/>
        <v>-19917.584540339867</v>
      </c>
      <c r="D542">
        <f t="shared" si="108"/>
        <v>14006.889876300496</v>
      </c>
      <c r="E542">
        <f t="shared" si="109"/>
        <v>-12032.287050189681</v>
      </c>
      <c r="F542">
        <f>$C$23*(H542/(J542^2+$C$24^2)^1.5)+$C$32*(K542/(M542^2+$C$33^2)^1.5)+C$41*(N542/(P542^2+$C$42^2)^1.5)</f>
        <v>7393.9967470714191</v>
      </c>
      <c r="G542">
        <f>$C$23*(I542/(J542^2+$C$24^2)^1.5)+$C$32*(L542/(M542^2+$C$33^2)^1.5)+C$41*(O542/(P542^2+$C$42^2)^1.5)</f>
        <v>1692.7879038790797</v>
      </c>
      <c r="H542" s="3">
        <f t="shared" si="110"/>
        <v>38360.364651324919</v>
      </c>
      <c r="I542" s="3">
        <f t="shared" si="111"/>
        <v>34917.584540339871</v>
      </c>
      <c r="J542" s="3">
        <f t="shared" si="112"/>
        <v>51872.490650771731</v>
      </c>
      <c r="K542" s="3">
        <f t="shared" si="113"/>
        <v>-1639.6353486750813</v>
      </c>
      <c r="L542" s="3">
        <f t="shared" si="114"/>
        <v>39917.584540339871</v>
      </c>
      <c r="M542" s="3">
        <f t="shared" si="115"/>
        <v>39951.244781756242</v>
      </c>
      <c r="N542" s="3">
        <f t="shared" si="116"/>
        <v>13360.364651324919</v>
      </c>
      <c r="O542" s="3">
        <f t="shared" si="117"/>
        <v>-10082.415459660133</v>
      </c>
      <c r="P542" s="3">
        <f t="shared" si="118"/>
        <v>16737.814825047088</v>
      </c>
    </row>
    <row r="543" spans="1:16" x14ac:dyDescent="0.25">
      <c r="A543">
        <f t="shared" si="105"/>
        <v>233.5</v>
      </c>
      <c r="B543">
        <f t="shared" si="106"/>
        <v>-9508.420526406815</v>
      </c>
      <c r="C543">
        <f t="shared" si="107"/>
        <v>-25510.531089464937</v>
      </c>
      <c r="D543">
        <f t="shared" si="108"/>
        <v>17703.888249836207</v>
      </c>
      <c r="E543">
        <f t="shared" si="109"/>
        <v>-11185.893098250141</v>
      </c>
      <c r="F543">
        <f>$C$23*(H543/(J543^2+$C$24^2)^1.5)+$C$32*(K543/(M543^2+$C$33^2)^1.5)+C$41*(N543/(P543^2+$C$42^2)^1.5)</f>
        <v>10206.259250469431</v>
      </c>
      <c r="G543">
        <f>$C$23*(I543/(J543^2+$C$24^2)^1.5)+$C$32*(L543/(M543^2+$C$33^2)^1.5)+C$41*(O543/(P543^2+$C$42^2)^1.5)</f>
        <v>-5677.486912618424</v>
      </c>
      <c r="H543" s="3">
        <f t="shared" si="110"/>
        <v>29508.420526406815</v>
      </c>
      <c r="I543" s="3">
        <f t="shared" si="111"/>
        <v>40510.531089464937</v>
      </c>
      <c r="J543" s="3">
        <f t="shared" si="112"/>
        <v>50118.360020193919</v>
      </c>
      <c r="K543" s="3">
        <f t="shared" si="113"/>
        <v>-10491.579473593185</v>
      </c>
      <c r="L543" s="3">
        <f t="shared" si="114"/>
        <v>45510.531089464937</v>
      </c>
      <c r="M543" s="3">
        <f t="shared" si="115"/>
        <v>46704.19338663153</v>
      </c>
      <c r="N543" s="3">
        <f t="shared" si="116"/>
        <v>4508.420526406815</v>
      </c>
      <c r="O543" s="3">
        <f t="shared" si="117"/>
        <v>-4489.4689105350626</v>
      </c>
      <c r="P543" s="3">
        <f t="shared" si="118"/>
        <v>6362.4827498066497</v>
      </c>
    </row>
    <row r="544" spans="1:16" x14ac:dyDescent="0.25">
      <c r="A544">
        <f t="shared" si="105"/>
        <v>234</v>
      </c>
      <c r="B544">
        <f t="shared" si="106"/>
        <v>1895.0884111286464</v>
      </c>
      <c r="C544">
        <f t="shared" si="107"/>
        <v>-32522.849366744613</v>
      </c>
      <c r="D544">
        <f t="shared" si="108"/>
        <v>22807.017875070924</v>
      </c>
      <c r="E544">
        <f t="shared" si="109"/>
        <v>-14024.636554559353</v>
      </c>
      <c r="F544">
        <f>$C$23*(H544/(J544^2+$C$24^2)^1.5)+$C$32*(K544/(M544^2+$C$33^2)^1.5)+C$41*(N544/(P544^2+$C$42^2)^1.5)</f>
        <v>-16574.412867545525</v>
      </c>
      <c r="G544">
        <f>$C$23*(I544/(J544^2+$C$24^2)^1.5)+$C$32*(L544/(M544^2+$C$33^2)^1.5)+C$41*(O544/(P544^2+$C$42^2)^1.5)</f>
        <v>9364.7001373441926</v>
      </c>
      <c r="H544" s="3">
        <f t="shared" si="110"/>
        <v>18104.911588871353</v>
      </c>
      <c r="I544" s="3">
        <f t="shared" si="111"/>
        <v>47522.849366744616</v>
      </c>
      <c r="J544" s="3">
        <f t="shared" si="112"/>
        <v>50854.783802265323</v>
      </c>
      <c r="K544" s="3">
        <f t="shared" si="113"/>
        <v>-21895.088411128647</v>
      </c>
      <c r="L544" s="3">
        <f t="shared" si="114"/>
        <v>52522.849366744616</v>
      </c>
      <c r="M544" s="3">
        <f t="shared" si="115"/>
        <v>56903.818871257536</v>
      </c>
      <c r="N544" s="3">
        <f t="shared" si="116"/>
        <v>-6895.0884111286468</v>
      </c>
      <c r="O544" s="3">
        <f t="shared" si="117"/>
        <v>2522.8493667446128</v>
      </c>
      <c r="P544" s="3">
        <f t="shared" si="118"/>
        <v>7342.1395467918119</v>
      </c>
    </row>
    <row r="545" spans="1:16" x14ac:dyDescent="0.25">
      <c r="A545">
        <f t="shared" si="105"/>
        <v>234.5</v>
      </c>
      <c r="B545">
        <f t="shared" si="106"/>
        <v>9154.9941317777266</v>
      </c>
      <c r="C545">
        <f t="shared" si="107"/>
        <v>-37193.992609688241</v>
      </c>
      <c r="D545">
        <f t="shared" si="108"/>
        <v>14519.811441298161</v>
      </c>
      <c r="E545">
        <f t="shared" si="109"/>
        <v>-9342.2864858872563</v>
      </c>
      <c r="F545">
        <f>$C$23*(H545/(J545^2+$C$24^2)^1.5)+$C$32*(K545/(M545^2+$C$33^2)^1.5)+C$41*(N545/(P545^2+$C$42^2)^1.5)</f>
        <v>-10375.134129605047</v>
      </c>
      <c r="G545">
        <f>$C$23*(I545/(J545^2+$C$24^2)^1.5)+$C$32*(L545/(M545^2+$C$33^2)^1.5)+C$41*(O545/(P545^2+$C$42^2)^1.5)</f>
        <v>7560.6721572024526</v>
      </c>
      <c r="H545" s="3">
        <f t="shared" si="110"/>
        <v>10845.005868222273</v>
      </c>
      <c r="I545" s="3">
        <f t="shared" si="111"/>
        <v>52193.992609688241</v>
      </c>
      <c r="J545" s="3">
        <f t="shared" si="112"/>
        <v>53308.789301783683</v>
      </c>
      <c r="K545" s="3">
        <f t="shared" si="113"/>
        <v>-29154.994131777727</v>
      </c>
      <c r="L545" s="3">
        <f t="shared" si="114"/>
        <v>57193.992609688241</v>
      </c>
      <c r="M545" s="3">
        <f t="shared" si="115"/>
        <v>64196.31199267655</v>
      </c>
      <c r="N545" s="3">
        <f t="shared" si="116"/>
        <v>-14154.994131777727</v>
      </c>
      <c r="O545" s="3">
        <f t="shared" si="117"/>
        <v>7193.9926096882409</v>
      </c>
      <c r="P545" s="3">
        <f t="shared" si="118"/>
        <v>15878.204827338352</v>
      </c>
    </row>
    <row r="546" spans="1:16" x14ac:dyDescent="0.25">
      <c r="A546">
        <f t="shared" si="105"/>
        <v>235</v>
      </c>
      <c r="B546">
        <f t="shared" si="106"/>
        <v>13821.116320025545</v>
      </c>
      <c r="C546">
        <f t="shared" si="107"/>
        <v>-39974.967813331255</v>
      </c>
      <c r="D546">
        <f t="shared" si="108"/>
        <v>9332.244376495637</v>
      </c>
      <c r="E546">
        <f t="shared" si="109"/>
        <v>-5561.95040728603</v>
      </c>
      <c r="F546">
        <f>$C$23*(H546/(J546^2+$C$24^2)^1.5)+$C$32*(K546/(M546^2+$C$33^2)^1.5)+C$41*(N546/(P546^2+$C$42^2)^1.5)</f>
        <v>-7397.8275602804306</v>
      </c>
      <c r="G546">
        <f>$C$23*(I546/(J546^2+$C$24^2)^1.5)+$C$32*(L546/(M546^2+$C$33^2)^1.5)+C$41*(O546/(P546^2+$C$42^2)^1.5)</f>
        <v>5797.5025293668532</v>
      </c>
      <c r="H546" s="3">
        <f t="shared" si="110"/>
        <v>6178.8836799744549</v>
      </c>
      <c r="I546" s="3">
        <f t="shared" si="111"/>
        <v>54974.967813331255</v>
      </c>
      <c r="J546" s="3">
        <f t="shared" si="112"/>
        <v>55321.114320008615</v>
      </c>
      <c r="K546" s="3">
        <f t="shared" si="113"/>
        <v>-33821.116320025547</v>
      </c>
      <c r="L546" s="3">
        <f t="shared" si="114"/>
        <v>59974.967813331255</v>
      </c>
      <c r="M546" s="3">
        <f t="shared" si="115"/>
        <v>68853.937239222694</v>
      </c>
      <c r="N546" s="3">
        <f t="shared" si="116"/>
        <v>-18821.116320025547</v>
      </c>
      <c r="O546" s="3">
        <f t="shared" si="117"/>
        <v>9974.9678133312555</v>
      </c>
      <c r="P546" s="3">
        <f t="shared" si="118"/>
        <v>21301.042284567357</v>
      </c>
    </row>
    <row r="547" spans="1:16" x14ac:dyDescent="0.25">
      <c r="A547">
        <f t="shared" si="105"/>
        <v>235.5</v>
      </c>
      <c r="B547">
        <f t="shared" si="106"/>
        <v>16637.781618203255</v>
      </c>
      <c r="C547">
        <f t="shared" si="107"/>
        <v>-41306.567384632559</v>
      </c>
      <c r="D547">
        <f t="shared" si="108"/>
        <v>5633.3305963554212</v>
      </c>
      <c r="E547">
        <f t="shared" si="109"/>
        <v>-2663.1991426026034</v>
      </c>
      <c r="F547">
        <f>$C$23*(H547/(J547^2+$C$24^2)^1.5)+$C$32*(K547/(M547^2+$C$33^2)^1.5)+C$41*(N547/(P547^2+$C$42^2)^1.5)</f>
        <v>-6258.7405658553253</v>
      </c>
      <c r="G547">
        <f>$C$23*(I547/(J547^2+$C$24^2)^1.5)+$C$32*(L547/(M547^2+$C$33^2)^1.5)+C$41*(O547/(P547^2+$C$42^2)^1.5)</f>
        <v>4971.4182037060364</v>
      </c>
      <c r="H547" s="3">
        <f t="shared" si="110"/>
        <v>3362.2183817967452</v>
      </c>
      <c r="I547" s="3">
        <f t="shared" si="111"/>
        <v>56306.567384632559</v>
      </c>
      <c r="J547" s="3">
        <f t="shared" si="112"/>
        <v>56406.861666707351</v>
      </c>
      <c r="K547" s="3">
        <f t="shared" si="113"/>
        <v>-36637.781618203255</v>
      </c>
      <c r="L547" s="3">
        <f t="shared" si="114"/>
        <v>61306.567384632559</v>
      </c>
      <c r="M547" s="3">
        <f t="shared" si="115"/>
        <v>71420.040929627343</v>
      </c>
      <c r="N547" s="3">
        <f t="shared" si="116"/>
        <v>-21637.781618203255</v>
      </c>
      <c r="O547" s="3">
        <f t="shared" si="117"/>
        <v>11306.567384632559</v>
      </c>
      <c r="P547" s="3">
        <f t="shared" si="118"/>
        <v>24413.767824330014</v>
      </c>
    </row>
    <row r="548" spans="1:16" x14ac:dyDescent="0.25">
      <c r="A548">
        <f t="shared" si="105"/>
        <v>236</v>
      </c>
      <c r="B548">
        <f t="shared" si="106"/>
        <v>17889.761774917133</v>
      </c>
      <c r="C548">
        <f t="shared" si="107"/>
        <v>-41395.312405007353</v>
      </c>
      <c r="D548">
        <f t="shared" si="108"/>
        <v>2503.9603134277586</v>
      </c>
      <c r="E548">
        <f t="shared" si="109"/>
        <v>-177.49004074958521</v>
      </c>
      <c r="F548">
        <f>$C$23*(H548/(J548^2+$C$24^2)^1.5)+$C$32*(K548/(M548^2+$C$33^2)^1.5)+C$41*(N548/(P548^2+$C$42^2)^1.5)</f>
        <v>-5965.4962677609283</v>
      </c>
      <c r="G548">
        <f>$C$23*(I548/(J548^2+$C$24^2)^1.5)+$C$32*(L548/(M548^2+$C$33^2)^1.5)+C$41*(O548/(P548^2+$C$42^2)^1.5)</f>
        <v>4637.9557455326267</v>
      </c>
      <c r="H548" s="3">
        <f t="shared" si="110"/>
        <v>2110.2382250828668</v>
      </c>
      <c r="I548" s="3">
        <f t="shared" si="111"/>
        <v>56395.312405007353</v>
      </c>
      <c r="J548" s="3">
        <f t="shared" si="112"/>
        <v>56434.779760578291</v>
      </c>
      <c r="K548" s="3">
        <f t="shared" si="113"/>
        <v>-37889.761774917133</v>
      </c>
      <c r="L548" s="3">
        <f t="shared" si="114"/>
        <v>61395.312405007353</v>
      </c>
      <c r="M548" s="3">
        <f t="shared" si="115"/>
        <v>72145.813687756134</v>
      </c>
      <c r="N548" s="3">
        <f t="shared" si="116"/>
        <v>-22889.761774917133</v>
      </c>
      <c r="O548" s="3">
        <f t="shared" si="117"/>
        <v>11395.312405007353</v>
      </c>
      <c r="P548" s="3">
        <f t="shared" si="118"/>
        <v>25569.402396617956</v>
      </c>
    </row>
    <row r="549" spans="1:16" x14ac:dyDescent="0.25">
      <c r="A549">
        <f t="shared" si="105"/>
        <v>236.5</v>
      </c>
      <c r="B549">
        <f t="shared" si="106"/>
        <v>17650.367864690779</v>
      </c>
      <c r="C549">
        <f t="shared" si="107"/>
        <v>-40324.568488998993</v>
      </c>
      <c r="D549">
        <f t="shared" si="108"/>
        <v>-478.78782045270555</v>
      </c>
      <c r="E549">
        <f t="shared" si="109"/>
        <v>2141.4878320167281</v>
      </c>
      <c r="F549">
        <f>$C$23*(H549/(J549^2+$C$24^2)^1.5)+$C$32*(K549/(M549^2+$C$33^2)^1.5)+C$41*(N549/(P549^2+$C$42^2)^1.5)</f>
        <v>-6294.2167039438154</v>
      </c>
      <c r="G549">
        <f>$C$23*(I549/(J549^2+$C$24^2)^1.5)+$C$32*(L549/(M549^2+$C$33^2)^1.5)+C$41*(O549/(P549^2+$C$42^2)^1.5)</f>
        <v>4630.576649872919</v>
      </c>
      <c r="H549" s="3">
        <f t="shared" si="110"/>
        <v>2349.6321353092208</v>
      </c>
      <c r="I549" s="3">
        <f t="shared" si="111"/>
        <v>55324.568488998993</v>
      </c>
      <c r="J549" s="3">
        <f t="shared" si="112"/>
        <v>55374.440400470128</v>
      </c>
      <c r="K549" s="3">
        <f t="shared" si="113"/>
        <v>-37650.367864690779</v>
      </c>
      <c r="L549" s="3">
        <f t="shared" si="114"/>
        <v>60324.568488998993</v>
      </c>
      <c r="M549" s="3">
        <f t="shared" si="115"/>
        <v>71109.800757212579</v>
      </c>
      <c r="N549" s="3">
        <f t="shared" si="116"/>
        <v>-22650.367864690779</v>
      </c>
      <c r="O549" s="3">
        <f t="shared" si="117"/>
        <v>10324.568488998993</v>
      </c>
      <c r="P549" s="3">
        <f t="shared" si="118"/>
        <v>24892.486394288695</v>
      </c>
    </row>
    <row r="550" spans="1:16" x14ac:dyDescent="0.25">
      <c r="A550">
        <f t="shared" si="105"/>
        <v>237</v>
      </c>
      <c r="B550">
        <f t="shared" si="106"/>
        <v>15837.419778478472</v>
      </c>
      <c r="C550">
        <f t="shared" si="107"/>
        <v>-38096.1804105224</v>
      </c>
      <c r="D550">
        <f t="shared" si="108"/>
        <v>-3625.8961724246133</v>
      </c>
      <c r="E550">
        <f t="shared" si="109"/>
        <v>4456.7761569531876</v>
      </c>
      <c r="F550">
        <f>$C$23*(H550/(J550^2+$C$24^2)^1.5)+$C$32*(K550/(M550^2+$C$33^2)^1.5)+C$41*(N550/(P550^2+$C$42^2)^1.5)</f>
        <v>-7412.5528885252461</v>
      </c>
      <c r="G550">
        <f>$C$23*(I550/(J550^2+$C$24^2)^1.5)+$C$32*(L550/(M550^2+$C$33^2)^1.5)+C$41*(O550/(P550^2+$C$42^2)^1.5)</f>
        <v>4896.5081837273201</v>
      </c>
      <c r="H550" s="3">
        <f t="shared" si="110"/>
        <v>4162.5802215215281</v>
      </c>
      <c r="I550" s="3">
        <f t="shared" si="111"/>
        <v>53096.1804105224</v>
      </c>
      <c r="J550" s="3">
        <f t="shared" si="112"/>
        <v>53259.097328882177</v>
      </c>
      <c r="K550" s="3">
        <f t="shared" si="113"/>
        <v>-35837.41977847847</v>
      </c>
      <c r="L550" s="3">
        <f t="shared" si="114"/>
        <v>58096.1804105224</v>
      </c>
      <c r="M550" s="3">
        <f t="shared" si="115"/>
        <v>68260.433888679952</v>
      </c>
      <c r="N550" s="3">
        <f t="shared" si="116"/>
        <v>-20837.41977847847</v>
      </c>
      <c r="O550" s="3">
        <f t="shared" si="117"/>
        <v>8096.1804105224001</v>
      </c>
      <c r="P550" s="3">
        <f t="shared" si="118"/>
        <v>22355.003920023195</v>
      </c>
    </row>
    <row r="551" spans="1:16" x14ac:dyDescent="0.25">
      <c r="A551">
        <f t="shared" si="105"/>
        <v>237.5</v>
      </c>
      <c r="B551">
        <f t="shared" si="106"/>
        <v>12171.333470134854</v>
      </c>
      <c r="C551">
        <f t="shared" si="107"/>
        <v>-34643.665286113974</v>
      </c>
      <c r="D551">
        <f t="shared" si="108"/>
        <v>-7332.1726166872359</v>
      </c>
      <c r="E551">
        <f t="shared" si="109"/>
        <v>6905.0302488168472</v>
      </c>
      <c r="F551">
        <f>$C$23*(H551/(J551^2+$C$24^2)^1.5)+$C$32*(K551/(M551^2+$C$33^2)^1.5)+C$41*(N551/(P551^2+$C$42^2)^1.5)</f>
        <v>-10076.505987159548</v>
      </c>
      <c r="G551">
        <f>$C$23*(I551/(J551^2+$C$24^2)^1.5)+$C$32*(L551/(M551^2+$C$33^2)^1.5)+C$41*(O551/(P551^2+$C$42^2)^1.5)</f>
        <v>5282.9976714307622</v>
      </c>
      <c r="H551" s="3">
        <f t="shared" si="110"/>
        <v>7828.666529865146</v>
      </c>
      <c r="I551" s="3">
        <f t="shared" si="111"/>
        <v>49643.665286113974</v>
      </c>
      <c r="J551" s="3">
        <f t="shared" si="112"/>
        <v>50257.153945239959</v>
      </c>
      <c r="K551" s="3">
        <f t="shared" si="113"/>
        <v>-32171.333470134854</v>
      </c>
      <c r="L551" s="3">
        <f t="shared" si="114"/>
        <v>54643.665286113974</v>
      </c>
      <c r="M551" s="3">
        <f t="shared" si="115"/>
        <v>63410.762912517275</v>
      </c>
      <c r="N551" s="3">
        <f t="shared" si="116"/>
        <v>-17171.333470134854</v>
      </c>
      <c r="O551" s="3">
        <f t="shared" si="117"/>
        <v>4643.6652861139737</v>
      </c>
      <c r="P551" s="3">
        <f t="shared" si="118"/>
        <v>17788.151124611952</v>
      </c>
    </row>
    <row r="552" spans="1:16" x14ac:dyDescent="0.25">
      <c r="A552">
        <f t="shared" si="105"/>
        <v>238</v>
      </c>
      <c r="B552">
        <f t="shared" si="106"/>
        <v>5986.1206650013492</v>
      </c>
      <c r="C552">
        <f t="shared" si="107"/>
        <v>-29870.400743847862</v>
      </c>
      <c r="D552">
        <f t="shared" si="108"/>
        <v>-12370.42561026701</v>
      </c>
      <c r="E552">
        <f t="shared" si="109"/>
        <v>9546.5290845322288</v>
      </c>
      <c r="F552">
        <f>$C$23*(H552/(J552^2+$C$24^2)^1.5)+$C$32*(K552/(M552^2+$C$33^2)^1.5)+C$41*(N552/(P552^2+$C$42^2)^1.5)</f>
        <v>-15828.428504228978</v>
      </c>
      <c r="G552">
        <f>$C$23*(I552/(J552^2+$C$24^2)^1.5)+$C$32*(L552/(M552^2+$C$33^2)^1.5)+C$41*(O552/(P552^2+$C$42^2)^1.5)</f>
        <v>3633.00036594835</v>
      </c>
      <c r="H552" s="3">
        <f t="shared" si="110"/>
        <v>14013.879334998652</v>
      </c>
      <c r="I552" s="3">
        <f t="shared" si="111"/>
        <v>44870.400743847858</v>
      </c>
      <c r="J552" s="3">
        <f t="shared" si="112"/>
        <v>47007.889517924596</v>
      </c>
      <c r="K552" s="3">
        <f t="shared" si="113"/>
        <v>-25986.120665001348</v>
      </c>
      <c r="L552" s="3">
        <f t="shared" si="114"/>
        <v>49870.400743847858</v>
      </c>
      <c r="M552" s="3">
        <f t="shared" si="115"/>
        <v>56234.645349357284</v>
      </c>
      <c r="N552" s="3">
        <f t="shared" si="116"/>
        <v>-10986.120665001348</v>
      </c>
      <c r="O552" s="3">
        <f t="shared" si="117"/>
        <v>-129.59925615213797</v>
      </c>
      <c r="P552" s="3">
        <f t="shared" si="118"/>
        <v>10986.885055973091</v>
      </c>
    </row>
    <row r="553" spans="1:16" x14ac:dyDescent="0.25">
      <c r="A553">
        <f t="shared" si="105"/>
        <v>238.5</v>
      </c>
      <c r="B553">
        <f t="shared" si="106"/>
        <v>-4156.1992661894001</v>
      </c>
      <c r="C553">
        <f t="shared" si="107"/>
        <v>-24188.88611009466</v>
      </c>
      <c r="D553">
        <f t="shared" si="108"/>
        <v>-20284.639862381497</v>
      </c>
      <c r="E553">
        <f t="shared" si="109"/>
        <v>11363.029267506405</v>
      </c>
      <c r="F553">
        <f>$C$23*(H553/(J553^2+$C$24^2)^1.5)+$C$32*(K553/(M553^2+$C$33^2)^1.5)+C$41*(N553/(P553^2+$C$42^2)^1.5)</f>
        <v>-4010.4160275547479</v>
      </c>
      <c r="G553">
        <f>$C$23*(I553/(J553^2+$C$24^2)^1.5)+$C$32*(L553/(M553^2+$C$33^2)^1.5)+C$41*(O553/(P553^2+$C$42^2)^1.5)</f>
        <v>-10182.296735186759</v>
      </c>
      <c r="H553" s="3">
        <f t="shared" si="110"/>
        <v>24156.1992661894</v>
      </c>
      <c r="I553" s="3">
        <f t="shared" si="111"/>
        <v>39188.88611009466</v>
      </c>
      <c r="J553" s="3">
        <f t="shared" si="112"/>
        <v>46035.755207640716</v>
      </c>
      <c r="K553" s="3">
        <f t="shared" si="113"/>
        <v>-15843.8007338106</v>
      </c>
      <c r="L553" s="3">
        <f t="shared" si="114"/>
        <v>44188.88611009466</v>
      </c>
      <c r="M553" s="3">
        <f t="shared" si="115"/>
        <v>46943.409306777176</v>
      </c>
      <c r="N553" s="3">
        <f t="shared" si="116"/>
        <v>-843.80073381059992</v>
      </c>
      <c r="O553" s="3">
        <f t="shared" si="117"/>
        <v>-5811.1138899053403</v>
      </c>
      <c r="P553" s="3">
        <f t="shared" si="118"/>
        <v>5872.0562258743812</v>
      </c>
    </row>
    <row r="554" spans="1:16" x14ac:dyDescent="0.25">
      <c r="A554">
        <f t="shared" si="105"/>
        <v>239</v>
      </c>
      <c r="B554">
        <f t="shared" si="106"/>
        <v>-15301.123204268835</v>
      </c>
      <c r="C554">
        <f t="shared" si="107"/>
        <v>-21052.945660138146</v>
      </c>
      <c r="D554">
        <f t="shared" si="108"/>
        <v>-22289.84787615887</v>
      </c>
      <c r="E554">
        <f t="shared" si="109"/>
        <v>6271.8808999130251</v>
      </c>
      <c r="F554">
        <f>$C$23*(H554/(J554^2+$C$24^2)^1.5)+$C$32*(K554/(M554^2+$C$33^2)^1.5)+C$41*(N554/(P554^2+$C$42^2)^1.5)</f>
        <v>8273.3947111185789</v>
      </c>
      <c r="G554">
        <f>$C$23*(I554/(J554^2+$C$24^2)^1.5)+$C$32*(L554/(M554^2+$C$33^2)^1.5)+C$41*(O554/(P554^2+$C$42^2)^1.5)</f>
        <v>-765.02893276584746</v>
      </c>
      <c r="H554" s="3">
        <f t="shared" si="110"/>
        <v>35301.123204268835</v>
      </c>
      <c r="I554" s="3">
        <f t="shared" si="111"/>
        <v>36052.945660138146</v>
      </c>
      <c r="J554" s="3">
        <f t="shared" si="112"/>
        <v>50457.746583213971</v>
      </c>
      <c r="K554" s="3">
        <f t="shared" si="113"/>
        <v>-4698.8767957311647</v>
      </c>
      <c r="L554" s="3">
        <f t="shared" si="114"/>
        <v>41052.945660138146</v>
      </c>
      <c r="M554" s="3">
        <f t="shared" si="115"/>
        <v>41320.984868656218</v>
      </c>
      <c r="N554" s="3">
        <f t="shared" si="116"/>
        <v>10301.123204268835</v>
      </c>
      <c r="O554" s="3">
        <f t="shared" si="117"/>
        <v>-8947.0543398618538</v>
      </c>
      <c r="P554" s="3">
        <f t="shared" si="118"/>
        <v>13644.153349694025</v>
      </c>
    </row>
    <row r="555" spans="1:16" x14ac:dyDescent="0.25">
      <c r="A555">
        <f t="shared" si="105"/>
        <v>239.5</v>
      </c>
      <c r="B555">
        <f t="shared" si="106"/>
        <v>-24377.698464568624</v>
      </c>
      <c r="C555">
        <f t="shared" si="107"/>
        <v>-18108.262443373096</v>
      </c>
      <c r="D555">
        <f t="shared" si="108"/>
        <v>-18153.150520599582</v>
      </c>
      <c r="E555">
        <f t="shared" si="109"/>
        <v>5889.3664335301019</v>
      </c>
      <c r="F555">
        <f>$C$23*(H555/(J555^2+$C$24^2)^1.5)+$C$32*(K555/(M555^2+$C$33^2)^1.5)+C$41*(N555/(P555^2+$C$42^2)^1.5)</f>
        <v>6318.3594339767706</v>
      </c>
      <c r="G555">
        <f>$C$23*(I555/(J555^2+$C$24^2)^1.5)+$C$32*(L555/(M555^2+$C$33^2)^1.5)+C$41*(O555/(P555^2+$C$42^2)^1.5)</f>
        <v>4560.5958668389694</v>
      </c>
      <c r="H555" s="3">
        <f t="shared" si="110"/>
        <v>44377.698464568624</v>
      </c>
      <c r="I555" s="3">
        <f t="shared" si="111"/>
        <v>33108.262443373096</v>
      </c>
      <c r="J555" s="3">
        <f t="shared" si="112"/>
        <v>55367.293260836275</v>
      </c>
      <c r="K555" s="3">
        <f t="shared" si="113"/>
        <v>4377.6984645686243</v>
      </c>
      <c r="L555" s="3">
        <f t="shared" si="114"/>
        <v>38108.262443373096</v>
      </c>
      <c r="M555" s="3">
        <f t="shared" si="115"/>
        <v>38358.883068980082</v>
      </c>
      <c r="N555" s="3">
        <f t="shared" si="116"/>
        <v>19377.698464568624</v>
      </c>
      <c r="O555" s="3">
        <f t="shared" si="117"/>
        <v>-11891.737556626904</v>
      </c>
      <c r="P555" s="3">
        <f t="shared" si="118"/>
        <v>22735.624466889753</v>
      </c>
    </row>
    <row r="556" spans="1:16" x14ac:dyDescent="0.25">
      <c r="A556">
        <f t="shared" si="105"/>
        <v>240</v>
      </c>
      <c r="B556">
        <f t="shared" si="106"/>
        <v>-31874.68386637422</v>
      </c>
      <c r="C556">
        <f t="shared" si="107"/>
        <v>-14023.430259898303</v>
      </c>
      <c r="D556">
        <f t="shared" si="108"/>
        <v>-14993.970803611197</v>
      </c>
      <c r="E556">
        <f t="shared" si="109"/>
        <v>8169.6643669495861</v>
      </c>
      <c r="F556">
        <f>$C$23*(H556/(J556^2+$C$24^2)^1.5)+$C$32*(K556/(M556^2+$C$33^2)^1.5)+C$41*(N556/(P556^2+$C$42^2)^1.5)</f>
        <v>6133.5218197915983</v>
      </c>
      <c r="G556">
        <f>$C$23*(I556/(J556^2+$C$24^2)^1.5)+$C$32*(L556/(M556^2+$C$33^2)^1.5)+C$41*(O556/(P556^2+$C$42^2)^1.5)</f>
        <v>6267.3353390383518</v>
      </c>
      <c r="H556" s="3">
        <f t="shared" si="110"/>
        <v>51874.683866374224</v>
      </c>
      <c r="I556" s="3">
        <f t="shared" si="111"/>
        <v>29023.430259898305</v>
      </c>
      <c r="J556" s="3">
        <f t="shared" si="112"/>
        <v>59441.9240123286</v>
      </c>
      <c r="K556" s="3">
        <f t="shared" si="113"/>
        <v>11874.68386637422</v>
      </c>
      <c r="L556" s="3">
        <f t="shared" si="114"/>
        <v>34023.430259898305</v>
      </c>
      <c r="M556" s="3">
        <f t="shared" si="115"/>
        <v>36036.119707544705</v>
      </c>
      <c r="N556" s="3">
        <f t="shared" si="116"/>
        <v>26874.68386637422</v>
      </c>
      <c r="O556" s="3">
        <f t="shared" si="117"/>
        <v>-15976.569740101697</v>
      </c>
      <c r="P556" s="3">
        <f t="shared" si="118"/>
        <v>31264.987023472248</v>
      </c>
    </row>
    <row r="557" spans="1:16" x14ac:dyDescent="0.25">
      <c r="A557">
        <f t="shared" si="105"/>
        <v>240.5</v>
      </c>
      <c r="B557">
        <f t="shared" si="106"/>
        <v>-37838.288813231913</v>
      </c>
      <c r="C557">
        <f t="shared" si="107"/>
        <v>-8371.7642416639228</v>
      </c>
      <c r="D557">
        <f t="shared" si="108"/>
        <v>-11927.209893715397</v>
      </c>
      <c r="E557">
        <f t="shared" si="109"/>
        <v>11303.332036468762</v>
      </c>
      <c r="F557">
        <f>$C$23*(H557/(J557^2+$C$24^2)^1.5)+$C$32*(K557/(M557^2+$C$33^2)^1.5)+C$41*(N557/(P557^2+$C$42^2)^1.5)</f>
        <v>7277.6151689435828</v>
      </c>
      <c r="G557">
        <f>$C$23*(I557/(J557^2+$C$24^2)^1.5)+$C$32*(L557/(M557^2+$C$33^2)^1.5)+C$41*(O557/(P557^2+$C$42^2)^1.5)</f>
        <v>6796.2651584521682</v>
      </c>
      <c r="H557" s="3">
        <f t="shared" si="110"/>
        <v>57838.288813231913</v>
      </c>
      <c r="I557" s="3">
        <f t="shared" si="111"/>
        <v>23371.764241663921</v>
      </c>
      <c r="J557" s="3">
        <f t="shared" si="112"/>
        <v>62381.944636334869</v>
      </c>
      <c r="K557" s="3">
        <f t="shared" si="113"/>
        <v>17838.288813231913</v>
      </c>
      <c r="L557" s="3">
        <f t="shared" si="114"/>
        <v>28371.764241663921</v>
      </c>
      <c r="M557" s="3">
        <f t="shared" si="115"/>
        <v>33513.60252149617</v>
      </c>
      <c r="N557" s="3">
        <f t="shared" si="116"/>
        <v>32838.288813231913</v>
      </c>
      <c r="O557" s="3">
        <f t="shared" si="117"/>
        <v>-21628.235758336079</v>
      </c>
      <c r="P557" s="3">
        <f t="shared" si="118"/>
        <v>39320.907850651158</v>
      </c>
    </row>
    <row r="558" spans="1:16" x14ac:dyDescent="0.25">
      <c r="A558">
        <f t="shared" si="105"/>
        <v>241</v>
      </c>
      <c r="B558">
        <f t="shared" si="106"/>
        <v>-41982.489967853711</v>
      </c>
      <c r="C558">
        <f t="shared" si="107"/>
        <v>-1021.0319338164995</v>
      </c>
      <c r="D558">
        <f t="shared" si="108"/>
        <v>-8288.4023092436055</v>
      </c>
      <c r="E558">
        <f t="shared" si="109"/>
        <v>14701.464615694847</v>
      </c>
      <c r="F558">
        <f>$C$23*(H558/(J558^2+$C$24^2)^1.5)+$C$32*(K558/(M558^2+$C$33^2)^1.5)+C$41*(N558/(P558^2+$C$42^2)^1.5)</f>
        <v>9487.7557686431956</v>
      </c>
      <c r="G558">
        <f>$C$23*(I558/(J558^2+$C$24^2)^1.5)+$C$32*(L558/(M558^2+$C$33^2)^1.5)+C$41*(O558/(P558^2+$C$42^2)^1.5)</f>
        <v>6555.6849175845646</v>
      </c>
      <c r="H558" s="3">
        <f t="shared" si="110"/>
        <v>61982.489967853711</v>
      </c>
      <c r="I558" s="3">
        <f t="shared" si="111"/>
        <v>16021.031933816499</v>
      </c>
      <c r="J558" s="3">
        <f t="shared" si="112"/>
        <v>64019.548005585406</v>
      </c>
      <c r="K558" s="3">
        <f t="shared" si="113"/>
        <v>21982.489967853711</v>
      </c>
      <c r="L558" s="3">
        <f t="shared" si="114"/>
        <v>21021.031933816499</v>
      </c>
      <c r="M558" s="3">
        <f t="shared" si="115"/>
        <v>30415.680968035584</v>
      </c>
      <c r="N558" s="3">
        <f t="shared" si="116"/>
        <v>36982.489967853711</v>
      </c>
      <c r="O558" s="3">
        <f t="shared" si="117"/>
        <v>-28978.968066183501</v>
      </c>
      <c r="P558" s="3">
        <f t="shared" si="118"/>
        <v>46983.88185754008</v>
      </c>
    </row>
    <row r="559" spans="1:16" x14ac:dyDescent="0.25">
      <c r="A559">
        <f t="shared" si="105"/>
        <v>241.5</v>
      </c>
      <c r="B559">
        <f t="shared" si="106"/>
        <v>-43754.752180314717</v>
      </c>
      <c r="C559">
        <f t="shared" si="107"/>
        <v>7968.6216034270656</v>
      </c>
      <c r="D559">
        <f t="shared" si="108"/>
        <v>-3544.5244249220077</v>
      </c>
      <c r="E559">
        <f t="shared" si="109"/>
        <v>17979.307074487129</v>
      </c>
      <c r="F559">
        <f>$C$23*(H559/(J559^2+$C$24^2)^1.5)+$C$32*(K559/(M559^2+$C$33^2)^1.5)+C$41*(N559/(P559^2+$C$42^2)^1.5)</f>
        <v>12856.390987051407</v>
      </c>
      <c r="G559">
        <f>$C$23*(I559/(J559^2+$C$24^2)^1.5)+$C$32*(L559/(M559^2+$C$33^2)^1.5)+C$41*(O559/(P559^2+$C$42^2)^1.5)</f>
        <v>5024.9981980842549</v>
      </c>
      <c r="H559" s="3">
        <f t="shared" si="110"/>
        <v>63754.752180314717</v>
      </c>
      <c r="I559" s="3">
        <f t="shared" si="111"/>
        <v>7031.3783965729344</v>
      </c>
      <c r="J559" s="3">
        <f t="shared" si="112"/>
        <v>64141.318256870407</v>
      </c>
      <c r="K559" s="3">
        <f t="shared" si="113"/>
        <v>23754.752180314717</v>
      </c>
      <c r="L559" s="3">
        <f t="shared" si="114"/>
        <v>12031.378396572934</v>
      </c>
      <c r="M559" s="3">
        <f t="shared" si="115"/>
        <v>26627.84852874315</v>
      </c>
      <c r="N559" s="3">
        <f t="shared" si="116"/>
        <v>38754.752180314717</v>
      </c>
      <c r="O559" s="3">
        <f t="shared" si="117"/>
        <v>-37968.621603427062</v>
      </c>
      <c r="P559" s="3">
        <f t="shared" si="118"/>
        <v>54254.465650505088</v>
      </c>
    </row>
    <row r="560" spans="1:16" x14ac:dyDescent="0.25">
      <c r="A560">
        <f t="shared" si="105"/>
        <v>242</v>
      </c>
      <c r="B560">
        <f t="shared" si="106"/>
        <v>-42312.916646012869</v>
      </c>
      <c r="C560">
        <f t="shared" si="107"/>
        <v>18214.524690191694</v>
      </c>
      <c r="D560">
        <f t="shared" si="108"/>
        <v>2883.6710686036959</v>
      </c>
      <c r="E560">
        <f t="shared" si="109"/>
        <v>20491.806173529258</v>
      </c>
      <c r="F560">
        <f>$C$23*(H560/(J560^2+$C$24^2)^1.5)+$C$32*(K560/(M560^2+$C$33^2)^1.5)+C$41*(N560/(P560^2+$C$42^2)^1.5)</f>
        <v>16919.545622699505</v>
      </c>
      <c r="G560">
        <f>$C$23*(I560/(J560^2+$C$24^2)^1.5)+$C$32*(L560/(M560^2+$C$33^2)^1.5)+C$41*(O560/(P560^2+$C$42^2)^1.5)</f>
        <v>426.9057085378854</v>
      </c>
      <c r="H560" s="3">
        <f t="shared" si="110"/>
        <v>62312.916646012869</v>
      </c>
      <c r="I560" s="3">
        <f t="shared" si="111"/>
        <v>-3214.5246901916944</v>
      </c>
      <c r="J560" s="3">
        <f t="shared" si="112"/>
        <v>62395.775096690639</v>
      </c>
      <c r="K560" s="3">
        <f t="shared" si="113"/>
        <v>22312.916646012869</v>
      </c>
      <c r="L560" s="3">
        <f t="shared" si="114"/>
        <v>1785.4753098083056</v>
      </c>
      <c r="M560" s="3">
        <f t="shared" si="115"/>
        <v>22384.239351245626</v>
      </c>
      <c r="N560" s="3">
        <f t="shared" si="116"/>
        <v>37312.916646012869</v>
      </c>
      <c r="O560" s="3">
        <f t="shared" si="117"/>
        <v>-48214.524690191698</v>
      </c>
      <c r="P560" s="3">
        <f t="shared" si="118"/>
        <v>60966.336118659856</v>
      </c>
    </row>
    <row r="561" spans="1:16" x14ac:dyDescent="0.25">
      <c r="A561">
        <f t="shared" si="105"/>
        <v>242.5</v>
      </c>
      <c r="B561">
        <f t="shared" si="106"/>
        <v>-36641.194706036142</v>
      </c>
      <c r="C561">
        <f t="shared" si="107"/>
        <v>28567.154204090795</v>
      </c>
      <c r="D561">
        <f t="shared" si="108"/>
        <v>11343.443879953447</v>
      </c>
      <c r="E561">
        <f t="shared" si="109"/>
        <v>20705.259027798202</v>
      </c>
      <c r="F561">
        <f>$C$23*(H561/(J561^2+$C$24^2)^1.5)+$C$32*(K561/(M561^2+$C$33^2)^1.5)+C$41*(N561/(P561^2+$C$42^2)^1.5)</f>
        <v>17631.099000366252</v>
      </c>
      <c r="G561">
        <f>$C$23*(I561/(J561^2+$C$24^2)^1.5)+$C$32*(L561/(M561^2+$C$33^2)^1.5)+C$41*(O561/(P561^2+$C$42^2)^1.5)</f>
        <v>-9616.4939088288593</v>
      </c>
      <c r="H561" s="3">
        <f t="shared" si="110"/>
        <v>56641.194706036142</v>
      </c>
      <c r="I561" s="3">
        <f t="shared" si="111"/>
        <v>-13567.154204090795</v>
      </c>
      <c r="J561" s="3">
        <f t="shared" si="112"/>
        <v>58243.391135172365</v>
      </c>
      <c r="K561" s="3">
        <f t="shared" si="113"/>
        <v>16641.194706036142</v>
      </c>
      <c r="L561" s="3">
        <f t="shared" si="114"/>
        <v>-8567.1542040907952</v>
      </c>
      <c r="M561" s="3">
        <f t="shared" si="115"/>
        <v>18716.984062633484</v>
      </c>
      <c r="N561" s="3">
        <f t="shared" si="116"/>
        <v>31641.194706036142</v>
      </c>
      <c r="O561" s="3">
        <f t="shared" si="117"/>
        <v>-58567.154204090795</v>
      </c>
      <c r="P561" s="3">
        <f t="shared" si="118"/>
        <v>66567.835731613202</v>
      </c>
    </row>
    <row r="562" spans="1:16" x14ac:dyDescent="0.25">
      <c r="A562">
        <f t="shared" si="105"/>
        <v>243</v>
      </c>
      <c r="B562">
        <f t="shared" si="106"/>
        <v>-26561.698015967857</v>
      </c>
      <c r="C562">
        <f t="shared" si="107"/>
        <v>36515.660240782679</v>
      </c>
      <c r="D562">
        <f t="shared" si="108"/>
        <v>20158.993380136573</v>
      </c>
      <c r="E562">
        <f t="shared" si="109"/>
        <v>15897.012073383772</v>
      </c>
      <c r="F562">
        <f>$C$23*(H562/(J562^2+$C$24^2)^1.5)+$C$32*(K562/(M562^2+$C$33^2)^1.5)+C$41*(N562/(P562^2+$C$42^2)^1.5)</f>
        <v>7809.9773829677633</v>
      </c>
      <c r="G562">
        <f>$C$23*(I562/(J562^2+$C$24^2)^1.5)+$C$32*(L562/(M562^2+$C$33^2)^1.5)+C$41*(O562/(P562^2+$C$42^2)^1.5)</f>
        <v>-19437.090607083821</v>
      </c>
      <c r="H562" s="3">
        <f t="shared" si="110"/>
        <v>46561.698015967857</v>
      </c>
      <c r="I562" s="3">
        <f t="shared" si="111"/>
        <v>-21515.660240782679</v>
      </c>
      <c r="J562" s="3">
        <f t="shared" si="112"/>
        <v>51292.449324700625</v>
      </c>
      <c r="K562" s="3">
        <f t="shared" si="113"/>
        <v>6561.6980159678569</v>
      </c>
      <c r="L562" s="3">
        <f t="shared" si="114"/>
        <v>-16515.660240782679</v>
      </c>
      <c r="M562" s="3">
        <f t="shared" si="115"/>
        <v>17771.407204881842</v>
      </c>
      <c r="N562" s="3">
        <f t="shared" si="116"/>
        <v>21561.698015967857</v>
      </c>
      <c r="O562" s="3">
        <f t="shared" si="117"/>
        <v>-66515.660240782687</v>
      </c>
      <c r="P562" s="3">
        <f t="shared" si="118"/>
        <v>69923.099749646615</v>
      </c>
    </row>
    <row r="563" spans="1:16" x14ac:dyDescent="0.25">
      <c r="A563">
        <f t="shared" si="105"/>
        <v>243.5</v>
      </c>
      <c r="B563">
        <f t="shared" si="106"/>
        <v>-14529.706980157631</v>
      </c>
      <c r="C563">
        <f t="shared" si="107"/>
        <v>39604.893625703611</v>
      </c>
      <c r="D563">
        <f t="shared" si="108"/>
        <v>24063.982071620456</v>
      </c>
      <c r="E563">
        <f t="shared" si="109"/>
        <v>6178.4667698418616</v>
      </c>
      <c r="F563">
        <f>$C$23*(H563/(J563^2+$C$24^2)^1.5)+$C$32*(K563/(M563^2+$C$33^2)^1.5)+C$41*(N563/(P563^2+$C$42^2)^1.5)</f>
        <v>-4440.4976684720241</v>
      </c>
      <c r="G563">
        <f>$C$23*(I563/(J563^2+$C$24^2)^1.5)+$C$32*(L563/(M563^2+$C$33^2)^1.5)+C$41*(O563/(P563^2+$C$42^2)^1.5)</f>
        <v>-18128.714014966528</v>
      </c>
      <c r="H563" s="3">
        <f t="shared" si="110"/>
        <v>34529.706980157629</v>
      </c>
      <c r="I563" s="3">
        <f t="shared" si="111"/>
        <v>-24604.893625703611</v>
      </c>
      <c r="J563" s="3">
        <f t="shared" si="112"/>
        <v>42399.309598951455</v>
      </c>
      <c r="K563" s="3">
        <f t="shared" si="113"/>
        <v>-5470.2930198423692</v>
      </c>
      <c r="L563" s="3">
        <f t="shared" si="114"/>
        <v>-19604.893625703611</v>
      </c>
      <c r="M563" s="3">
        <f t="shared" si="115"/>
        <v>20353.770161768316</v>
      </c>
      <c r="N563" s="3">
        <f t="shared" si="116"/>
        <v>9529.7069801576308</v>
      </c>
      <c r="O563" s="3">
        <f t="shared" si="117"/>
        <v>-69604.893625703611</v>
      </c>
      <c r="P563" s="3">
        <f t="shared" si="118"/>
        <v>70254.227856928163</v>
      </c>
    </row>
    <row r="564" spans="1:16" x14ac:dyDescent="0.25">
      <c r="A564">
        <f t="shared" si="105"/>
        <v>244</v>
      </c>
      <c r="B564">
        <f t="shared" si="106"/>
        <v>-3607.8403614654089</v>
      </c>
      <c r="C564">
        <f t="shared" si="107"/>
        <v>38161.948506882909</v>
      </c>
      <c r="D564">
        <f t="shared" si="108"/>
        <v>21843.733237384444</v>
      </c>
      <c r="E564">
        <f t="shared" si="109"/>
        <v>-2885.8902376414026</v>
      </c>
      <c r="F564">
        <f>$C$23*(H564/(J564^2+$C$24^2)^1.5)+$C$32*(K564/(M564^2+$C$33^2)^1.5)+C$41*(N564/(P564^2+$C$42^2)^1.5)</f>
        <v>-9492.7093695624972</v>
      </c>
      <c r="G564">
        <f>$C$23*(I564/(J564^2+$C$24^2)^1.5)+$C$32*(L564/(M564^2+$C$33^2)^1.5)+C$41*(O564/(P564^2+$C$42^2)^1.5)</f>
        <v>-12060.593448559874</v>
      </c>
      <c r="H564" s="3">
        <f t="shared" si="110"/>
        <v>23607.840361465409</v>
      </c>
      <c r="I564" s="3">
        <f t="shared" si="111"/>
        <v>-23161.948506882909</v>
      </c>
      <c r="J564" s="3">
        <f t="shared" si="112"/>
        <v>33072.737793656132</v>
      </c>
      <c r="K564" s="3">
        <f t="shared" si="113"/>
        <v>-16392.159638534591</v>
      </c>
      <c r="L564" s="3">
        <f t="shared" si="114"/>
        <v>-18161.948506882909</v>
      </c>
      <c r="M564" s="3">
        <f t="shared" si="115"/>
        <v>24465.470998569981</v>
      </c>
      <c r="N564" s="3">
        <f t="shared" si="116"/>
        <v>-1392.1596385345911</v>
      </c>
      <c r="O564" s="3">
        <f t="shared" si="117"/>
        <v>-68161.948506882909</v>
      </c>
      <c r="P564" s="3">
        <f t="shared" si="118"/>
        <v>68176.163963031257</v>
      </c>
    </row>
    <row r="565" spans="1:16" x14ac:dyDescent="0.25">
      <c r="A565">
        <f t="shared" si="105"/>
        <v>244.5</v>
      </c>
      <c r="B565">
        <f t="shared" si="106"/>
        <v>4940.8489148361887</v>
      </c>
      <c r="C565">
        <f t="shared" si="107"/>
        <v>33703.855025922239</v>
      </c>
      <c r="D565">
        <f t="shared" si="108"/>
        <v>17097.378552603193</v>
      </c>
      <c r="E565">
        <f t="shared" si="109"/>
        <v>-8916.1869619213394</v>
      </c>
      <c r="F565">
        <f>$C$23*(H565/(J565^2+$C$24^2)^1.5)+$C$32*(K565/(M565^2+$C$33^2)^1.5)+C$41*(N565/(P565^2+$C$42^2)^1.5)</f>
        <v>-10207.20112420678</v>
      </c>
      <c r="G565">
        <f>$C$23*(I565/(J565^2+$C$24^2)^1.5)+$C$32*(L565/(M565^2+$C$33^2)^1.5)+C$41*(O565/(P565^2+$C$42^2)^1.5)</f>
        <v>-7444.0138987237642</v>
      </c>
      <c r="H565" s="3">
        <f t="shared" si="110"/>
        <v>15059.151085163812</v>
      </c>
      <c r="I565" s="3">
        <f t="shared" si="111"/>
        <v>-18703.855025922239</v>
      </c>
      <c r="J565" s="3">
        <f t="shared" si="112"/>
        <v>24012.751284192884</v>
      </c>
      <c r="K565" s="3">
        <f t="shared" si="113"/>
        <v>-24940.848914836188</v>
      </c>
      <c r="L565" s="3">
        <f t="shared" si="114"/>
        <v>-13703.855025922239</v>
      </c>
      <c r="M565" s="3">
        <f t="shared" si="115"/>
        <v>28457.71577558852</v>
      </c>
      <c r="N565" s="3">
        <f t="shared" si="116"/>
        <v>-9940.8489148361878</v>
      </c>
      <c r="O565" s="3">
        <f t="shared" si="117"/>
        <v>-63703.855025922239</v>
      </c>
      <c r="P565" s="3">
        <f t="shared" si="118"/>
        <v>64474.81386023009</v>
      </c>
    </row>
    <row r="566" spans="1:16" x14ac:dyDescent="0.25">
      <c r="A566">
        <f t="shared" si="105"/>
        <v>245</v>
      </c>
      <c r="B566">
        <f t="shared" si="106"/>
        <v>10937.737910086089</v>
      </c>
      <c r="C566">
        <f t="shared" si="107"/>
        <v>27384.75807028063</v>
      </c>
      <c r="D566">
        <f t="shared" si="108"/>
        <v>11993.777990499802</v>
      </c>
      <c r="E566">
        <f t="shared" si="109"/>
        <v>-12638.193911283222</v>
      </c>
      <c r="F566">
        <f>$C$23*(H566/(J566^2+$C$24^2)^1.5)+$C$32*(K566/(M566^2+$C$33^2)^1.5)+C$41*(N566/(P566^2+$C$42^2)^1.5)</f>
        <v>-9231.5418091031443</v>
      </c>
      <c r="G566">
        <f>$C$23*(I566/(J566^2+$C$24^2)^1.5)+$C$32*(L566/(M566^2+$C$33^2)^1.5)+C$41*(O566/(P566^2+$C$42^2)^1.5)</f>
        <v>-5034.2091513848973</v>
      </c>
      <c r="H566" s="3">
        <f t="shared" si="110"/>
        <v>9062.262089913911</v>
      </c>
      <c r="I566" s="3">
        <f t="shared" si="111"/>
        <v>-12384.75807028063</v>
      </c>
      <c r="J566" s="3">
        <f t="shared" si="112"/>
        <v>15346.23167574607</v>
      </c>
      <c r="K566" s="3">
        <f t="shared" si="113"/>
        <v>-30937.737910086089</v>
      </c>
      <c r="L566" s="3">
        <f t="shared" si="114"/>
        <v>-7384.7580702806299</v>
      </c>
      <c r="M566" s="3">
        <f t="shared" si="115"/>
        <v>31806.890428801002</v>
      </c>
      <c r="N566" s="3">
        <f t="shared" si="116"/>
        <v>-15937.737910086089</v>
      </c>
      <c r="O566" s="3">
        <f t="shared" si="117"/>
        <v>-57384.75807028063</v>
      </c>
      <c r="P566" s="3">
        <f t="shared" si="118"/>
        <v>59556.879942414991</v>
      </c>
    </row>
    <row r="567" spans="1:16" x14ac:dyDescent="0.25">
      <c r="A567">
        <f t="shared" si="105"/>
        <v>245.5</v>
      </c>
      <c r="B567">
        <f t="shared" si="106"/>
        <v>14626.741453060204</v>
      </c>
      <c r="C567">
        <f t="shared" si="107"/>
        <v>19807.108826792795</v>
      </c>
      <c r="D567">
        <f t="shared" si="108"/>
        <v>7378.0070859482303</v>
      </c>
      <c r="E567">
        <f t="shared" si="109"/>
        <v>-15155.298486975671</v>
      </c>
      <c r="F567">
        <f>$C$23*(H567/(J567^2+$C$24^2)^1.5)+$C$32*(K567/(M567^2+$C$33^2)^1.5)+C$41*(N567/(P567^2+$C$42^2)^1.5)</f>
        <v>-5452.799823400971</v>
      </c>
      <c r="G567">
        <f>$C$23*(I567/(J567^2+$C$24^2)^1.5)+$C$32*(L567/(M567^2+$C$33^2)^1.5)+C$41*(O567/(P567^2+$C$42^2)^1.5)</f>
        <v>-4967.4798664031241</v>
      </c>
      <c r="H567" s="3">
        <f t="shared" si="110"/>
        <v>5373.2585469397964</v>
      </c>
      <c r="I567" s="3">
        <f t="shared" si="111"/>
        <v>-4807.1088267927953</v>
      </c>
      <c r="J567" s="3">
        <f t="shared" si="112"/>
        <v>7209.7297234286652</v>
      </c>
      <c r="K567" s="3">
        <f t="shared" si="113"/>
        <v>-34626.741453060204</v>
      </c>
      <c r="L567" s="3">
        <f t="shared" si="114"/>
        <v>192.8911732072047</v>
      </c>
      <c r="M567" s="3">
        <f t="shared" si="115"/>
        <v>34627.278707137513</v>
      </c>
      <c r="N567" s="3">
        <f t="shared" si="116"/>
        <v>-19626.741453060204</v>
      </c>
      <c r="O567" s="3">
        <f t="shared" si="117"/>
        <v>-49807.108826792799</v>
      </c>
      <c r="P567" s="3">
        <f t="shared" si="118"/>
        <v>53534.634301069556</v>
      </c>
    </row>
    <row r="568" spans="1:16" x14ac:dyDescent="0.25">
      <c r="A568">
        <f t="shared" si="105"/>
        <v>246</v>
      </c>
      <c r="B568">
        <f t="shared" si="106"/>
        <v>16952.545040184075</v>
      </c>
      <c r="C568">
        <f t="shared" si="107"/>
        <v>10987.589616704179</v>
      </c>
      <c r="D568">
        <f t="shared" si="108"/>
        <v>4651.6071742477452</v>
      </c>
      <c r="E568">
        <f t="shared" si="109"/>
        <v>-17639.038420177232</v>
      </c>
      <c r="F568">
        <f>$C$23*(H568/(J568^2+$C$24^2)^1.5)+$C$32*(K568/(M568^2+$C$33^2)^1.5)+C$41*(N568/(P568^2+$C$42^2)^1.5)</f>
        <v>-4036.4535569086429</v>
      </c>
      <c r="G568">
        <f>$C$23*(I568/(J568^2+$C$24^2)^1.5)+$C$32*(L568/(M568^2+$C$33^2)^1.5)+C$41*(O568/(P568^2+$C$42^2)^1.5)</f>
        <v>6142.062906516253</v>
      </c>
      <c r="H568" s="3">
        <f t="shared" si="110"/>
        <v>3047.4549598159247</v>
      </c>
      <c r="I568" s="3">
        <f t="shared" si="111"/>
        <v>4012.4103832958208</v>
      </c>
      <c r="J568" s="3">
        <f t="shared" si="112"/>
        <v>5038.4937050756344</v>
      </c>
      <c r="K568" s="3">
        <f t="shared" si="113"/>
        <v>-36952.545040184079</v>
      </c>
      <c r="L568" s="3">
        <f t="shared" si="114"/>
        <v>9012.4103832958208</v>
      </c>
      <c r="M568" s="3">
        <f t="shared" si="115"/>
        <v>38035.695417117997</v>
      </c>
      <c r="N568" s="3">
        <f t="shared" si="116"/>
        <v>-21952.545040184075</v>
      </c>
      <c r="O568" s="3">
        <f t="shared" si="117"/>
        <v>-40987.589616704179</v>
      </c>
      <c r="P568" s="3">
        <f t="shared" si="118"/>
        <v>46496.201310737917</v>
      </c>
    </row>
    <row r="569" spans="1:16" x14ac:dyDescent="0.25">
      <c r="A569">
        <f t="shared" si="105"/>
        <v>246.5</v>
      </c>
      <c r="B569">
        <f t="shared" si="106"/>
        <v>18269.235238080786</v>
      </c>
      <c r="C569">
        <f t="shared" si="107"/>
        <v>3703.5861332446266</v>
      </c>
      <c r="D569">
        <f t="shared" si="108"/>
        <v>2633.3803957934238</v>
      </c>
      <c r="E569">
        <f t="shared" si="109"/>
        <v>-14568.006966919105</v>
      </c>
      <c r="F569">
        <f>$C$23*(H569/(J569^2+$C$24^2)^1.5)+$C$32*(K569/(M569^2+$C$33^2)^1.5)+C$41*(N569/(P569^2+$C$42^2)^1.5)</f>
        <v>-7092.1791262571878</v>
      </c>
      <c r="G569">
        <f>$C$23*(I569/(J569^2+$C$24^2)^1.5)+$C$32*(L569/(M569^2+$C$33^2)^1.5)+C$41*(O569/(P569^2+$C$42^2)^1.5)</f>
        <v>3828.1989391843031</v>
      </c>
      <c r="H569" s="3">
        <f t="shared" si="110"/>
        <v>1730.7647619192139</v>
      </c>
      <c r="I569" s="3">
        <f t="shared" si="111"/>
        <v>11296.413866755374</v>
      </c>
      <c r="J569" s="3">
        <f t="shared" si="112"/>
        <v>11428.233149097212</v>
      </c>
      <c r="K569" s="3">
        <f t="shared" si="113"/>
        <v>-38269.235238080786</v>
      </c>
      <c r="L569" s="3">
        <f t="shared" si="114"/>
        <v>16296.413866755374</v>
      </c>
      <c r="M569" s="3">
        <f t="shared" si="115"/>
        <v>41594.560589386456</v>
      </c>
      <c r="N569" s="3">
        <f t="shared" si="116"/>
        <v>-23269.235238080786</v>
      </c>
      <c r="O569" s="3">
        <f t="shared" si="117"/>
        <v>-33703.586133244629</v>
      </c>
      <c r="P569" s="3">
        <f t="shared" si="118"/>
        <v>40955.940067420997</v>
      </c>
    </row>
    <row r="570" spans="1:16" x14ac:dyDescent="0.25">
      <c r="A570">
        <f t="shared" si="105"/>
        <v>247</v>
      </c>
      <c r="B570">
        <f t="shared" si="106"/>
        <v>17812.880654413198</v>
      </c>
      <c r="C570">
        <f t="shared" si="107"/>
        <v>-2623.3676154188502</v>
      </c>
      <c r="D570">
        <f t="shared" si="108"/>
        <v>-912.70916733517015</v>
      </c>
      <c r="E570">
        <f t="shared" si="109"/>
        <v>-12653.907497326954</v>
      </c>
      <c r="F570">
        <f>$C$23*(H570/(J570^2+$C$24^2)^1.5)+$C$32*(K570/(M570^2+$C$33^2)^1.5)+C$41*(N570/(P570^2+$C$42^2)^1.5)</f>
        <v>-7002.883401278099</v>
      </c>
      <c r="G570">
        <f>$C$23*(I570/(J570^2+$C$24^2)^1.5)+$C$32*(L570/(M570^2+$C$33^2)^1.5)+C$41*(O570/(P570^2+$C$42^2)^1.5)</f>
        <v>2379.1449609548422</v>
      </c>
      <c r="H570" s="3">
        <f t="shared" si="110"/>
        <v>2187.1193455868015</v>
      </c>
      <c r="I570" s="3">
        <f t="shared" si="111"/>
        <v>17623.367615418851</v>
      </c>
      <c r="J570" s="3">
        <f t="shared" si="112"/>
        <v>17758.563487513115</v>
      </c>
      <c r="K570" s="3">
        <f t="shared" si="113"/>
        <v>-37812.880654413195</v>
      </c>
      <c r="L570" s="3">
        <f t="shared" si="114"/>
        <v>22623.367615418851</v>
      </c>
      <c r="M570" s="3">
        <f t="shared" si="115"/>
        <v>44063.938834916677</v>
      </c>
      <c r="N570" s="3">
        <f t="shared" si="116"/>
        <v>-22812.880654413198</v>
      </c>
      <c r="O570" s="3">
        <f t="shared" si="117"/>
        <v>-27376.632384581149</v>
      </c>
      <c r="P570" s="3">
        <f t="shared" si="118"/>
        <v>35635.76187586</v>
      </c>
    </row>
    <row r="571" spans="1:16" x14ac:dyDescent="0.25">
      <c r="A571">
        <f t="shared" si="105"/>
        <v>247.5</v>
      </c>
      <c r="B571">
        <f t="shared" si="106"/>
        <v>15605.805220426089</v>
      </c>
      <c r="C571">
        <f t="shared" si="107"/>
        <v>-8355.535123843616</v>
      </c>
      <c r="D571">
        <f t="shared" si="108"/>
        <v>-4414.1508679742201</v>
      </c>
      <c r="E571">
        <f t="shared" si="109"/>
        <v>-11464.335016849533</v>
      </c>
      <c r="F571">
        <f>$C$23*(H571/(J571^2+$C$24^2)^1.5)+$C$32*(K571/(M571^2+$C$33^2)^1.5)+C$41*(N571/(P571^2+$C$42^2)^1.5)</f>
        <v>-7170.3493527572</v>
      </c>
      <c r="G571">
        <f>$C$23*(I571/(J571^2+$C$24^2)^1.5)+$C$32*(L571/(M571^2+$C$33^2)^1.5)+C$41*(O571/(P571^2+$C$42^2)^1.5)</f>
        <v>1598.482748924243</v>
      </c>
      <c r="H571" s="3">
        <f t="shared" si="110"/>
        <v>4394.1947795739106</v>
      </c>
      <c r="I571" s="3">
        <f t="shared" si="111"/>
        <v>23355.535123843616</v>
      </c>
      <c r="J571" s="3">
        <f t="shared" si="112"/>
        <v>23765.310195365164</v>
      </c>
      <c r="K571" s="3">
        <f t="shared" si="113"/>
        <v>-35605.805220426089</v>
      </c>
      <c r="L571" s="3">
        <f t="shared" si="114"/>
        <v>28355.535123843616</v>
      </c>
      <c r="M571" s="3">
        <f t="shared" si="115"/>
        <v>45517.136746004253</v>
      </c>
      <c r="N571" s="3">
        <f t="shared" si="116"/>
        <v>-20605.805220426089</v>
      </c>
      <c r="O571" s="3">
        <f t="shared" si="117"/>
        <v>-21644.464876156384</v>
      </c>
      <c r="P571" s="3">
        <f t="shared" si="118"/>
        <v>29884.478723198547</v>
      </c>
    </row>
    <row r="572" spans="1:16" x14ac:dyDescent="0.25">
      <c r="A572">
        <f t="shared" si="105"/>
        <v>248</v>
      </c>
      <c r="B572">
        <f t="shared" si="106"/>
        <v>11606.14244824968</v>
      </c>
      <c r="C572">
        <f t="shared" si="107"/>
        <v>-13688.08194503732</v>
      </c>
      <c r="D572">
        <f t="shared" si="108"/>
        <v>-7999.3255443528196</v>
      </c>
      <c r="E572">
        <f t="shared" si="109"/>
        <v>-10665.093642387412</v>
      </c>
      <c r="F572">
        <f>$C$23*(H572/(J572^2+$C$24^2)^1.5)+$C$32*(K572/(M572^2+$C$33^2)^1.5)+C$41*(N572/(P572^2+$C$42^2)^1.5)</f>
        <v>-8020.0522050954587</v>
      </c>
      <c r="G572">
        <f>$C$23*(I572/(J572^2+$C$24^2)^1.5)+$C$32*(L572/(M572^2+$C$33^2)^1.5)+C$41*(O572/(P572^2+$C$42^2)^1.5)</f>
        <v>494.81275639647538</v>
      </c>
      <c r="H572" s="3">
        <f t="shared" si="110"/>
        <v>8393.8575517503195</v>
      </c>
      <c r="I572" s="3">
        <f t="shared" si="111"/>
        <v>28688.08194503732</v>
      </c>
      <c r="J572" s="3">
        <f t="shared" si="112"/>
        <v>29890.849607936074</v>
      </c>
      <c r="K572" s="3">
        <f t="shared" si="113"/>
        <v>-31606.14244824968</v>
      </c>
      <c r="L572" s="3">
        <f t="shared" si="114"/>
        <v>33688.081945037324</v>
      </c>
      <c r="M572" s="3">
        <f t="shared" si="115"/>
        <v>46193.453059872023</v>
      </c>
      <c r="N572" s="3">
        <f t="shared" si="116"/>
        <v>-16606.14244824968</v>
      </c>
      <c r="O572" s="3">
        <f t="shared" si="117"/>
        <v>-16311.91805496268</v>
      </c>
      <c r="P572" s="3">
        <f t="shared" si="118"/>
        <v>23277.513562306805</v>
      </c>
    </row>
    <row r="573" spans="1:16" x14ac:dyDescent="0.25">
      <c r="A573">
        <f t="shared" si="105"/>
        <v>248.5</v>
      </c>
      <c r="B573">
        <f t="shared" si="106"/>
        <v>5601.4666247994064</v>
      </c>
      <c r="C573">
        <f t="shared" si="107"/>
        <v>-18896.925577131908</v>
      </c>
      <c r="D573">
        <f t="shared" si="108"/>
        <v>-12009.351646900548</v>
      </c>
      <c r="E573">
        <f t="shared" si="109"/>
        <v>-10417.687264189175</v>
      </c>
      <c r="F573">
        <f>$C$23*(H573/(J573^2+$C$24^2)^1.5)+$C$32*(K573/(M573^2+$C$33^2)^1.5)+C$41*(N573/(P573^2+$C$42^2)^1.5)</f>
        <v>-10165.003903535233</v>
      </c>
      <c r="G573">
        <f>$C$23*(I573/(J573^2+$C$24^2)^1.5)+$C$32*(L573/(M573^2+$C$33^2)^1.5)+C$41*(O573/(P573^2+$C$42^2)^1.5)</f>
        <v>-2520.4959803549918</v>
      </c>
      <c r="H573" s="3">
        <f t="shared" si="110"/>
        <v>14398.533375200594</v>
      </c>
      <c r="I573" s="3">
        <f t="shared" si="111"/>
        <v>33896.925577131908</v>
      </c>
      <c r="J573" s="3">
        <f t="shared" si="112"/>
        <v>36828.240888459288</v>
      </c>
      <c r="K573" s="3">
        <f t="shared" si="113"/>
        <v>-25601.466624799406</v>
      </c>
      <c r="L573" s="3">
        <f t="shared" si="114"/>
        <v>38896.925577131908</v>
      </c>
      <c r="M573" s="3">
        <f t="shared" si="115"/>
        <v>46566.145564064638</v>
      </c>
      <c r="N573" s="3">
        <f t="shared" si="116"/>
        <v>-10601.466624799406</v>
      </c>
      <c r="O573" s="3">
        <f t="shared" si="117"/>
        <v>-11103.074422868092</v>
      </c>
      <c r="P573" s="3">
        <f t="shared" si="118"/>
        <v>15351.52618590358</v>
      </c>
    </row>
    <row r="574" spans="1:16" x14ac:dyDescent="0.25">
      <c r="A574">
        <f t="shared" si="105"/>
        <v>249</v>
      </c>
      <c r="B574">
        <f t="shared" si="106"/>
        <v>-2944.4601745346758</v>
      </c>
      <c r="C574">
        <f t="shared" si="107"/>
        <v>-24735.893204315242</v>
      </c>
      <c r="D574">
        <f t="shared" si="108"/>
        <v>-17091.853598668164</v>
      </c>
      <c r="E574">
        <f t="shared" si="109"/>
        <v>-11677.935254366672</v>
      </c>
      <c r="F574">
        <f>$C$23*(H574/(J574^2+$C$24^2)^1.5)+$C$32*(K574/(M574^2+$C$33^2)^1.5)+C$41*(N574/(P574^2+$C$42^2)^1.5)</f>
        <v>-7468.6135191365756</v>
      </c>
      <c r="G574">
        <f>$C$23*(I574/(J574^2+$C$24^2)^1.5)+$C$32*(L574/(M574^2+$C$33^2)^1.5)+C$41*(O574/(P574^2+$C$42^2)^1.5)</f>
        <v>-9330.8124137405393</v>
      </c>
      <c r="H574" s="3">
        <f t="shared" si="110"/>
        <v>22944.460174534677</v>
      </c>
      <c r="I574" s="3">
        <f t="shared" si="111"/>
        <v>39735.893204315245</v>
      </c>
      <c r="J574" s="3">
        <f t="shared" si="112"/>
        <v>45884.523114505115</v>
      </c>
      <c r="K574" s="3">
        <f t="shared" si="113"/>
        <v>-17055.539825465323</v>
      </c>
      <c r="L574" s="3">
        <f t="shared" si="114"/>
        <v>44735.893204315245</v>
      </c>
      <c r="M574" s="3">
        <f t="shared" si="115"/>
        <v>47876.837609912509</v>
      </c>
      <c r="N574" s="3">
        <f t="shared" si="116"/>
        <v>-2055.5398254653242</v>
      </c>
      <c r="O574" s="3">
        <f t="shared" si="117"/>
        <v>-5264.1067956847583</v>
      </c>
      <c r="P574" s="3">
        <f t="shared" si="118"/>
        <v>5651.2002557375781</v>
      </c>
    </row>
    <row r="575" spans="1:16" x14ac:dyDescent="0.25">
      <c r="A575">
        <f t="shared" si="105"/>
        <v>249.5</v>
      </c>
      <c r="B575">
        <f t="shared" si="106"/>
        <v>-13357.540353652901</v>
      </c>
      <c r="C575">
        <f t="shared" si="107"/>
        <v>-32907.563934933714</v>
      </c>
      <c r="D575">
        <f t="shared" si="108"/>
        <v>-20826.160358236451</v>
      </c>
      <c r="E575">
        <f t="shared" si="109"/>
        <v>-16343.341461236942</v>
      </c>
      <c r="F575">
        <f>$C$23*(H575/(J575^2+$C$24^2)^1.5)+$C$32*(K575/(M575^2+$C$33^2)^1.5)+C$41*(N575/(P575^2+$C$42^2)^1.5)</f>
        <v>14238.188076812306</v>
      </c>
      <c r="G575">
        <f>$C$23*(I575/(J575^2+$C$24^2)^1.5)+$C$32*(L575/(M575^2+$C$33^2)^1.5)+C$41*(O575/(P575^2+$C$42^2)^1.5)</f>
        <v>9640.8920436276785</v>
      </c>
      <c r="H575" s="3">
        <f t="shared" si="110"/>
        <v>33357.540353652905</v>
      </c>
      <c r="I575" s="3">
        <f t="shared" si="111"/>
        <v>47907.563934933714</v>
      </c>
      <c r="J575" s="3">
        <f t="shared" si="112"/>
        <v>58376.880531811075</v>
      </c>
      <c r="K575" s="3">
        <f t="shared" si="113"/>
        <v>-6642.4596463470989</v>
      </c>
      <c r="L575" s="3">
        <f t="shared" si="114"/>
        <v>52907.563934933714</v>
      </c>
      <c r="M575" s="3">
        <f t="shared" si="115"/>
        <v>53322.908694879428</v>
      </c>
      <c r="N575" s="3">
        <f t="shared" si="116"/>
        <v>8357.5403536529011</v>
      </c>
      <c r="O575" s="3">
        <f t="shared" si="117"/>
        <v>2907.5639349337143</v>
      </c>
      <c r="P575" s="3">
        <f t="shared" si="118"/>
        <v>8848.8648310765766</v>
      </c>
    </row>
    <row r="576" spans="1:16" x14ac:dyDescent="0.25">
      <c r="A576">
        <f t="shared" si="105"/>
        <v>250</v>
      </c>
      <c r="B576">
        <f t="shared" si="106"/>
        <v>-20211.073513568052</v>
      </c>
      <c r="C576">
        <f t="shared" si="107"/>
        <v>-38669.011654645263</v>
      </c>
      <c r="D576">
        <f t="shared" si="108"/>
        <v>-13707.066319830297</v>
      </c>
      <c r="E576">
        <f t="shared" si="109"/>
        <v>-11522.895439423102</v>
      </c>
      <c r="F576">
        <f>$C$23*(H576/(J576^2+$C$24^2)^1.5)+$C$32*(K576/(M576^2+$C$33^2)^1.5)+C$41*(N576/(P576^2+$C$42^2)^1.5)</f>
        <v>7856.0858411714244</v>
      </c>
      <c r="G576">
        <f>$C$23*(I576/(J576^2+$C$24^2)^1.5)+$C$32*(L576/(M576^2+$C$33^2)^1.5)+C$41*(O576/(P576^2+$C$42^2)^1.5)</f>
        <v>8257.558680289847</v>
      </c>
      <c r="H576" s="3">
        <f t="shared" si="110"/>
        <v>40211.073513568052</v>
      </c>
      <c r="I576" s="3">
        <f t="shared" si="111"/>
        <v>53669.011654645263</v>
      </c>
      <c r="J576" s="3">
        <f t="shared" si="112"/>
        <v>67061.861330416592</v>
      </c>
      <c r="K576" s="3">
        <f t="shared" si="113"/>
        <v>211.07351356805157</v>
      </c>
      <c r="L576" s="3">
        <f t="shared" si="114"/>
        <v>58669.011654645263</v>
      </c>
      <c r="M576" s="3">
        <f t="shared" si="115"/>
        <v>58669.391343025127</v>
      </c>
      <c r="N576" s="3">
        <f t="shared" si="116"/>
        <v>15211.073513568052</v>
      </c>
      <c r="O576" s="3">
        <f t="shared" si="117"/>
        <v>8669.0116546452628</v>
      </c>
      <c r="P576" s="3">
        <f t="shared" si="118"/>
        <v>17507.955920196593</v>
      </c>
    </row>
    <row r="577" spans="1:16" x14ac:dyDescent="0.25">
      <c r="A577">
        <f t="shared" si="105"/>
        <v>250.5</v>
      </c>
      <c r="B577">
        <f t="shared" si="106"/>
        <v>-25100.585213190341</v>
      </c>
      <c r="C577">
        <f t="shared" si="107"/>
        <v>-42366.069704284353</v>
      </c>
      <c r="D577">
        <f t="shared" si="108"/>
        <v>-9779.0233992445847</v>
      </c>
      <c r="E577">
        <f t="shared" si="109"/>
        <v>-7394.1160992781788</v>
      </c>
      <c r="F577">
        <f>$C$23*(H577/(J577^2+$C$24^2)^1.5)+$C$32*(K577/(M577^2+$C$33^2)^1.5)+C$41*(N577/(P577^2+$C$42^2)^1.5)</f>
        <v>5331.2855920545162</v>
      </c>
      <c r="G577">
        <f>$C$23*(I577/(J577^2+$C$24^2)^1.5)+$C$32*(L577/(M577^2+$C$33^2)^1.5)+C$41*(O577/(P577^2+$C$42^2)^1.5)</f>
        <v>6462.2024611850456</v>
      </c>
      <c r="H577" s="3">
        <f t="shared" si="110"/>
        <v>45100.585213190338</v>
      </c>
      <c r="I577" s="3">
        <f t="shared" si="111"/>
        <v>57366.069704284353</v>
      </c>
      <c r="J577" s="3">
        <f t="shared" si="112"/>
        <v>72972.109328763778</v>
      </c>
      <c r="K577" s="3">
        <f t="shared" si="113"/>
        <v>5100.5852131903412</v>
      </c>
      <c r="L577" s="3">
        <f t="shared" si="114"/>
        <v>62366.069704284353</v>
      </c>
      <c r="M577" s="3">
        <f t="shared" si="115"/>
        <v>62574.296798898751</v>
      </c>
      <c r="N577" s="3">
        <f t="shared" si="116"/>
        <v>20100.585213190341</v>
      </c>
      <c r="O577" s="3">
        <f t="shared" si="117"/>
        <v>12366.069704284353</v>
      </c>
      <c r="P577" s="3">
        <f t="shared" si="118"/>
        <v>23599.856055576813</v>
      </c>
    </row>
    <row r="578" spans="1:16" x14ac:dyDescent="0.25">
      <c r="A578">
        <f t="shared" si="105"/>
        <v>251</v>
      </c>
      <c r="B578">
        <f t="shared" si="106"/>
        <v>-28657.275514799006</v>
      </c>
      <c r="C578">
        <f t="shared" si="107"/>
        <v>-44447.577138627181</v>
      </c>
      <c r="D578">
        <f t="shared" si="108"/>
        <v>-7113.380603217327</v>
      </c>
      <c r="E578">
        <f t="shared" si="109"/>
        <v>-4163.0148686856555</v>
      </c>
      <c r="F578">
        <f>$C$23*(H578/(J578^2+$C$24^2)^1.5)+$C$32*(K578/(M578^2+$C$33^2)^1.5)+C$41*(N578/(P578^2+$C$42^2)^1.5)</f>
        <v>4339.9999060506525</v>
      </c>
      <c r="G578">
        <f>$C$23*(I578/(J578^2+$C$24^2)^1.5)+$C$32*(L578/(M578^2+$C$33^2)^1.5)+C$41*(O578/(P578^2+$C$42^2)^1.5)</f>
        <v>5498.7506364887613</v>
      </c>
      <c r="H578" s="3">
        <f t="shared" si="110"/>
        <v>48657.27551479901</v>
      </c>
      <c r="I578" s="3">
        <f t="shared" si="111"/>
        <v>59447.577138627181</v>
      </c>
      <c r="J578" s="3">
        <f t="shared" si="112"/>
        <v>76821.513185930467</v>
      </c>
      <c r="K578" s="3">
        <f t="shared" si="113"/>
        <v>8657.2755147990065</v>
      </c>
      <c r="L578" s="3">
        <f t="shared" si="114"/>
        <v>64447.577138627181</v>
      </c>
      <c r="M578" s="3">
        <f t="shared" si="115"/>
        <v>65026.445530864126</v>
      </c>
      <c r="N578" s="3">
        <f t="shared" si="116"/>
        <v>23657.275514799006</v>
      </c>
      <c r="O578" s="3">
        <f t="shared" si="117"/>
        <v>14447.577138627181</v>
      </c>
      <c r="P578" s="3">
        <f t="shared" si="118"/>
        <v>27720.013888158341</v>
      </c>
    </row>
    <row r="579" spans="1:16" x14ac:dyDescent="0.25">
      <c r="A579">
        <f t="shared" si="105"/>
        <v>251.5</v>
      </c>
      <c r="B579">
        <f t="shared" si="106"/>
        <v>-31128.965839895005</v>
      </c>
      <c r="C579">
        <f t="shared" si="107"/>
        <v>-45154.396913847821</v>
      </c>
      <c r="D579">
        <f t="shared" si="108"/>
        <v>-4943.3806501920008</v>
      </c>
      <c r="E579">
        <f t="shared" si="109"/>
        <v>-1413.6395504412749</v>
      </c>
      <c r="F579">
        <f>$C$23*(H579/(J579^2+$C$24^2)^1.5)+$C$32*(K579/(M579^2+$C$33^2)^1.5)+C$41*(N579/(P579^2+$C$42^2)^1.5)</f>
        <v>3957.1562051906058</v>
      </c>
      <c r="G579">
        <f>$C$23*(I579/(J579^2+$C$24^2)^1.5)+$C$32*(L579/(M579^2+$C$33^2)^1.5)+C$41*(O579/(P579^2+$C$42^2)^1.5)</f>
        <v>4992.4872609686026</v>
      </c>
      <c r="H579" s="3">
        <f t="shared" si="110"/>
        <v>51128.965839895005</v>
      </c>
      <c r="I579" s="3">
        <f t="shared" si="111"/>
        <v>60154.396913847821</v>
      </c>
      <c r="J579" s="3">
        <f t="shared" si="112"/>
        <v>78947.594111067723</v>
      </c>
      <c r="K579" s="3">
        <f t="shared" si="113"/>
        <v>11128.965839895005</v>
      </c>
      <c r="L579" s="3">
        <f t="shared" si="114"/>
        <v>65154.396913847821</v>
      </c>
      <c r="M579" s="3">
        <f t="shared" si="115"/>
        <v>66098.02809367895</v>
      </c>
      <c r="N579" s="3">
        <f t="shared" si="116"/>
        <v>26128.965839895005</v>
      </c>
      <c r="O579" s="3">
        <f t="shared" si="117"/>
        <v>15154.396913847821</v>
      </c>
      <c r="P579" s="3">
        <f t="shared" si="118"/>
        <v>30205.605467939895</v>
      </c>
    </row>
    <row r="580" spans="1:16" x14ac:dyDescent="0.25">
      <c r="A580">
        <f t="shared" si="105"/>
        <v>252</v>
      </c>
      <c r="B580">
        <f t="shared" si="106"/>
        <v>-32611.367113693355</v>
      </c>
      <c r="C580">
        <f t="shared" si="107"/>
        <v>-44613.094873826311</v>
      </c>
      <c r="D580">
        <f t="shared" si="108"/>
        <v>-2964.8025475966979</v>
      </c>
      <c r="E580">
        <f t="shared" si="109"/>
        <v>1082.6040800430264</v>
      </c>
      <c r="F580">
        <f>$C$23*(H580/(J580^2+$C$24^2)^1.5)+$C$32*(K580/(M580^2+$C$33^2)^1.5)+C$41*(N580/(P580^2+$C$42^2)^1.5)</f>
        <v>3910.8717112852246</v>
      </c>
      <c r="G580">
        <f>$C$23*(I580/(J580^2+$C$24^2)^1.5)+$C$32*(L580/(M580^2+$C$33^2)^1.5)+C$41*(O580/(P580^2+$C$42^2)^1.5)</f>
        <v>4763.6709287678668</v>
      </c>
      <c r="H580" s="3">
        <f t="shared" si="110"/>
        <v>52611.367113693355</v>
      </c>
      <c r="I580" s="3">
        <f t="shared" si="111"/>
        <v>59613.094873826311</v>
      </c>
      <c r="J580" s="3">
        <f t="shared" si="112"/>
        <v>79508.974524940466</v>
      </c>
      <c r="K580" s="3">
        <f t="shared" si="113"/>
        <v>12611.367113693355</v>
      </c>
      <c r="L580" s="3">
        <f t="shared" si="114"/>
        <v>64613.094873826311</v>
      </c>
      <c r="M580" s="3">
        <f t="shared" si="115"/>
        <v>65832.352302271756</v>
      </c>
      <c r="N580" s="3">
        <f t="shared" si="116"/>
        <v>27611.367113693355</v>
      </c>
      <c r="O580" s="3">
        <f t="shared" si="117"/>
        <v>14613.094873826311</v>
      </c>
      <c r="P580" s="3">
        <f t="shared" si="118"/>
        <v>31239.88053239954</v>
      </c>
    </row>
    <row r="581" spans="1:16" x14ac:dyDescent="0.25">
      <c r="A581">
        <f t="shared" si="105"/>
        <v>252.5</v>
      </c>
      <c r="B581">
        <f t="shared" si="106"/>
        <v>-33116.050459670398</v>
      </c>
      <c r="C581">
        <f t="shared" si="107"/>
        <v>-42880.875101612837</v>
      </c>
      <c r="D581">
        <f t="shared" si="108"/>
        <v>-1009.3666919540856</v>
      </c>
      <c r="E581">
        <f t="shared" si="109"/>
        <v>3464.4395444269599</v>
      </c>
      <c r="F581">
        <f>$C$23*(H581/(J581^2+$C$24^2)^1.5)+$C$32*(K581/(M581^2+$C$33^2)^1.5)+C$41*(N581/(P581^2+$C$42^2)^1.5)</f>
        <v>4132.9891155366258</v>
      </c>
      <c r="G581">
        <f>$C$23*(I581/(J581^2+$C$24^2)^1.5)+$C$32*(L581/(M581^2+$C$33^2)^1.5)+C$41*(O581/(P581^2+$C$42^2)^1.5)</f>
        <v>4730.8459094179252</v>
      </c>
      <c r="H581" s="3">
        <f t="shared" si="110"/>
        <v>53116.050459670398</v>
      </c>
      <c r="I581" s="3">
        <f t="shared" si="111"/>
        <v>57880.875101612837</v>
      </c>
      <c r="J581" s="3">
        <f t="shared" si="112"/>
        <v>78558.962053751427</v>
      </c>
      <c r="K581" s="3">
        <f t="shared" si="113"/>
        <v>13116.050459670398</v>
      </c>
      <c r="L581" s="3">
        <f t="shared" si="114"/>
        <v>62880.875101612837</v>
      </c>
      <c r="M581" s="3">
        <f t="shared" si="115"/>
        <v>64234.22166731106</v>
      </c>
      <c r="N581" s="3">
        <f t="shared" si="116"/>
        <v>28116.050459670398</v>
      </c>
      <c r="O581" s="3">
        <f t="shared" si="117"/>
        <v>12880.875101612837</v>
      </c>
      <c r="P581" s="3">
        <f t="shared" si="118"/>
        <v>30926.190144181703</v>
      </c>
    </row>
    <row r="582" spans="1:16" x14ac:dyDescent="0.25">
      <c r="A582">
        <f t="shared" si="105"/>
        <v>253</v>
      </c>
      <c r="B582">
        <f t="shared" si="106"/>
        <v>-32587.486526763285</v>
      </c>
      <c r="C582">
        <f t="shared" si="107"/>
        <v>-39965.943852044875</v>
      </c>
      <c r="D582">
        <f t="shared" si="108"/>
        <v>1057.1278658142273</v>
      </c>
      <c r="E582">
        <f t="shared" si="109"/>
        <v>5829.8624991359229</v>
      </c>
      <c r="F582">
        <f>$C$23*(H582/(J582^2+$C$24^2)^1.5)+$C$32*(K582/(M582^2+$C$33^2)^1.5)+C$41*(N582/(P582^2+$C$42^2)^1.5)</f>
        <v>4653.7052989130061</v>
      </c>
      <c r="G582">
        <f>$C$23*(I582/(J582^2+$C$24^2)^1.5)+$C$32*(L582/(M582^2+$C$33^2)^1.5)+C$41*(O582/(P582^2+$C$42^2)^1.5)</f>
        <v>4844.6922481381916</v>
      </c>
      <c r="H582" s="3">
        <f t="shared" si="110"/>
        <v>52587.486526763285</v>
      </c>
      <c r="I582" s="3">
        <f t="shared" si="111"/>
        <v>54965.943852044875</v>
      </c>
      <c r="J582" s="3">
        <f t="shared" si="112"/>
        <v>76070.353770366142</v>
      </c>
      <c r="K582" s="3">
        <f t="shared" si="113"/>
        <v>12587.486526763285</v>
      </c>
      <c r="L582" s="3">
        <f t="shared" si="114"/>
        <v>59965.943852044875</v>
      </c>
      <c r="M582" s="3">
        <f t="shared" si="115"/>
        <v>61272.826270117861</v>
      </c>
      <c r="N582" s="3">
        <f t="shared" si="116"/>
        <v>27587.486526763285</v>
      </c>
      <c r="O582" s="3">
        <f t="shared" si="117"/>
        <v>9965.9438520448748</v>
      </c>
      <c r="P582" s="3">
        <f t="shared" si="118"/>
        <v>29332.395908388677</v>
      </c>
    </row>
    <row r="583" spans="1:16" x14ac:dyDescent="0.25">
      <c r="A583">
        <f t="shared" si="105"/>
        <v>253.5</v>
      </c>
      <c r="B583">
        <f t="shared" si="106"/>
        <v>-30895.496269127922</v>
      </c>
      <c r="C583">
        <f t="shared" si="107"/>
        <v>-35839.839540442365</v>
      </c>
      <c r="D583">
        <f t="shared" si="108"/>
        <v>3383.9805152707304</v>
      </c>
      <c r="E583">
        <f t="shared" si="109"/>
        <v>8252.2086232050187</v>
      </c>
      <c r="F583">
        <f>$C$23*(H583/(J583^2+$C$24^2)^1.5)+$C$32*(K583/(M583^2+$C$33^2)^1.5)+C$41*(N583/(P583^2+$C$42^2)^1.5)</f>
        <v>5579.3151071386619</v>
      </c>
      <c r="G583">
        <f>$C$23*(I583/(J583^2+$C$24^2)^1.5)+$C$32*(L583/(M583^2+$C$33^2)^1.5)+C$41*(O583/(P583^2+$C$42^2)^1.5)</f>
        <v>5018.3741226774764</v>
      </c>
      <c r="H583" s="3">
        <f t="shared" si="110"/>
        <v>50895.496269127922</v>
      </c>
      <c r="I583" s="3">
        <f t="shared" si="111"/>
        <v>50839.839540442365</v>
      </c>
      <c r="J583" s="3">
        <f t="shared" si="112"/>
        <v>71937.756602348541</v>
      </c>
      <c r="K583" s="3">
        <f t="shared" si="113"/>
        <v>10895.496269127922</v>
      </c>
      <c r="L583" s="3">
        <f t="shared" si="114"/>
        <v>55839.839540442365</v>
      </c>
      <c r="M583" s="3">
        <f t="shared" si="115"/>
        <v>56892.877575782113</v>
      </c>
      <c r="N583" s="3">
        <f t="shared" si="116"/>
        <v>25895.496269127922</v>
      </c>
      <c r="O583" s="3">
        <f t="shared" si="117"/>
        <v>5839.8395404423645</v>
      </c>
      <c r="P583" s="3">
        <f t="shared" si="118"/>
        <v>26545.817992341697</v>
      </c>
    </row>
    <row r="584" spans="1:16" x14ac:dyDescent="0.25">
      <c r="A584">
        <f t="shared" si="105"/>
        <v>254</v>
      </c>
      <c r="B584">
        <f t="shared" si="106"/>
        <v>-27808.677234707891</v>
      </c>
      <c r="C584">
        <f t="shared" si="107"/>
        <v>-30459.141698170486</v>
      </c>
      <c r="D584">
        <f t="shared" si="108"/>
        <v>6173.6380688400614</v>
      </c>
      <c r="E584">
        <f t="shared" si="109"/>
        <v>10761.395684543757</v>
      </c>
      <c r="F584">
        <f>$C$23*(H584/(J584^2+$C$24^2)^1.5)+$C$32*(K584/(M584^2+$C$33^2)^1.5)+C$41*(N584/(P584^2+$C$42^2)^1.5)</f>
        <v>7000.9317840942522</v>
      </c>
      <c r="G584">
        <f>$C$23*(I584/(J584^2+$C$24^2)^1.5)+$C$32*(L584/(M584^2+$C$33^2)^1.5)+C$41*(O584/(P584^2+$C$42^2)^1.5)</f>
        <v>4939.6666438848379</v>
      </c>
      <c r="H584" s="3">
        <f t="shared" si="110"/>
        <v>47808.677234707895</v>
      </c>
      <c r="I584" s="3">
        <f t="shared" si="111"/>
        <v>45459.141698170482</v>
      </c>
      <c r="J584" s="3">
        <f t="shared" si="112"/>
        <v>65971.229963271253</v>
      </c>
      <c r="K584" s="3">
        <f t="shared" si="113"/>
        <v>7808.6772347078913</v>
      </c>
      <c r="L584" s="3">
        <f t="shared" si="114"/>
        <v>50459.141698170482</v>
      </c>
      <c r="M584" s="3">
        <f t="shared" si="115"/>
        <v>51059.773022134483</v>
      </c>
      <c r="N584" s="3">
        <f t="shared" si="116"/>
        <v>22808.677234707891</v>
      </c>
      <c r="O584" s="3">
        <f t="shared" si="117"/>
        <v>459.14169817048605</v>
      </c>
      <c r="P584" s="3">
        <f t="shared" si="118"/>
        <v>22813.298058283483</v>
      </c>
    </row>
    <row r="585" spans="1:16" x14ac:dyDescent="0.25">
      <c r="A585">
        <f t="shared" si="105"/>
        <v>254.5</v>
      </c>
      <c r="B585">
        <f t="shared" si="106"/>
        <v>-22971.625254264298</v>
      </c>
      <c r="C585">
        <f t="shared" si="107"/>
        <v>-23843.527194927399</v>
      </c>
      <c r="D585">
        <f t="shared" si="108"/>
        <v>9674.103960887187</v>
      </c>
      <c r="E585">
        <f t="shared" si="109"/>
        <v>13231.229006486175</v>
      </c>
      <c r="F585">
        <f>$C$23*(H585/(J585^2+$C$24^2)^1.5)+$C$32*(K585/(M585^2+$C$33^2)^1.5)+C$41*(N585/(P585^2+$C$42^2)^1.5)</f>
        <v>8142.4800574788333</v>
      </c>
      <c r="G585">
        <f>$C$23*(I585/(J585^2+$C$24^2)^1.5)+$C$32*(L585/(M585^2+$C$33^2)^1.5)+C$41*(O585/(P585^2+$C$42^2)^1.5)</f>
        <v>3688.2249418385295</v>
      </c>
      <c r="H585" s="3">
        <f t="shared" si="110"/>
        <v>42971.625254264298</v>
      </c>
      <c r="I585" s="3">
        <f t="shared" si="111"/>
        <v>38843.527194927403</v>
      </c>
      <c r="J585" s="3">
        <f t="shared" si="112"/>
        <v>57925.643560827099</v>
      </c>
      <c r="K585" s="3">
        <f t="shared" si="113"/>
        <v>2971.6252542642978</v>
      </c>
      <c r="L585" s="3">
        <f t="shared" si="114"/>
        <v>43843.527194927403</v>
      </c>
      <c r="M585" s="3">
        <f t="shared" si="115"/>
        <v>43944.117166511831</v>
      </c>
      <c r="N585" s="3">
        <f t="shared" si="116"/>
        <v>17971.625254264298</v>
      </c>
      <c r="O585" s="3">
        <f t="shared" si="117"/>
        <v>-6156.4728050726007</v>
      </c>
      <c r="P585" s="3">
        <f t="shared" si="118"/>
        <v>18996.880577592437</v>
      </c>
    </row>
    <row r="586" spans="1:16" x14ac:dyDescent="0.25">
      <c r="A586">
        <f t="shared" si="105"/>
        <v>255</v>
      </c>
      <c r="B586">
        <f t="shared" si="106"/>
        <v>-16098.953259450996</v>
      </c>
      <c r="C586">
        <f t="shared" si="107"/>
        <v>-16305.856456224679</v>
      </c>
      <c r="D586">
        <f t="shared" si="108"/>
        <v>13745.343989626603</v>
      </c>
      <c r="E586">
        <f t="shared" si="109"/>
        <v>15075.34147740544</v>
      </c>
      <c r="F586">
        <f>$C$23*(H586/(J586^2+$C$24^2)^1.5)+$C$32*(K586/(M586^2+$C$33^2)^1.5)+C$41*(N586/(P586^2+$C$42^2)^1.5)</f>
        <v>4859.3836223078415</v>
      </c>
      <c r="G586">
        <f>$C$23*(I586/(J586^2+$C$24^2)^1.5)+$C$32*(L586/(M586^2+$C$33^2)^1.5)+C$41*(O586/(P586^2+$C$42^2)^1.5)</f>
        <v>1599.8703018800807</v>
      </c>
      <c r="H586" s="3">
        <f t="shared" si="110"/>
        <v>36098.953259450995</v>
      </c>
      <c r="I586" s="3">
        <f t="shared" si="111"/>
        <v>31305.856456224679</v>
      </c>
      <c r="J586" s="3">
        <f t="shared" si="112"/>
        <v>47782.748716307353</v>
      </c>
      <c r="K586" s="3">
        <f t="shared" si="113"/>
        <v>-3901.0467405490035</v>
      </c>
      <c r="L586" s="3">
        <f t="shared" si="114"/>
        <v>36305.856456224676</v>
      </c>
      <c r="M586" s="3">
        <f t="shared" si="115"/>
        <v>36514.837788109355</v>
      </c>
      <c r="N586" s="3">
        <f t="shared" si="116"/>
        <v>11098.953259450996</v>
      </c>
      <c r="O586" s="3">
        <f t="shared" si="117"/>
        <v>-13694.143543775321</v>
      </c>
      <c r="P586" s="3">
        <f t="shared" si="118"/>
        <v>17627.147552936669</v>
      </c>
    </row>
    <row r="587" spans="1:16" x14ac:dyDescent="0.25">
      <c r="A587">
        <f t="shared" si="105"/>
        <v>255.5</v>
      </c>
      <c r="B587">
        <f t="shared" si="106"/>
        <v>-8011.4353590607352</v>
      </c>
      <c r="C587">
        <f t="shared" si="107"/>
        <v>-8368.2181420519391</v>
      </c>
      <c r="D587">
        <f t="shared" si="108"/>
        <v>16175.035800780523</v>
      </c>
      <c r="E587">
        <f t="shared" si="109"/>
        <v>15875.27662834548</v>
      </c>
      <c r="F587">
        <f>$C$23*(H587/(J587^2+$C$24^2)^1.5)+$C$32*(K587/(M587^2+$C$33^2)^1.5)+C$41*(N587/(P587^2+$C$42^2)^1.5)</f>
        <v>-3012.2084753339122</v>
      </c>
      <c r="G587">
        <f>$C$23*(I587/(J587^2+$C$24^2)^1.5)+$C$32*(L587/(M587^2+$C$33^2)^1.5)+C$41*(O587/(P587^2+$C$42^2)^1.5)</f>
        <v>3684.1231654505755</v>
      </c>
      <c r="H587" s="3">
        <f t="shared" si="110"/>
        <v>28011.435359060735</v>
      </c>
      <c r="I587" s="3">
        <f t="shared" si="111"/>
        <v>23368.218142051941</v>
      </c>
      <c r="J587" s="3">
        <f t="shared" si="112"/>
        <v>36478.95461782538</v>
      </c>
      <c r="K587" s="3">
        <f t="shared" si="113"/>
        <v>-11988.564640939265</v>
      </c>
      <c r="L587" s="3">
        <f t="shared" si="114"/>
        <v>28368.218142051941</v>
      </c>
      <c r="M587" s="3">
        <f t="shared" si="115"/>
        <v>30797.426559779702</v>
      </c>
      <c r="N587" s="3">
        <f t="shared" si="116"/>
        <v>3011.4353590607352</v>
      </c>
      <c r="O587" s="3">
        <f t="shared" si="117"/>
        <v>-21631.781857948059</v>
      </c>
      <c r="P587" s="3">
        <f t="shared" si="118"/>
        <v>21840.392150134394</v>
      </c>
    </row>
    <row r="588" spans="1:16" x14ac:dyDescent="0.25">
      <c r="A588">
        <f t="shared" si="105"/>
        <v>256</v>
      </c>
      <c r="B588">
        <f t="shared" si="106"/>
        <v>-676.969577503952</v>
      </c>
      <c r="C588">
        <f t="shared" si="107"/>
        <v>490.45096348344487</v>
      </c>
      <c r="D588">
        <f t="shared" si="108"/>
        <v>14668.931563113567</v>
      </c>
      <c r="E588">
        <f t="shared" si="109"/>
        <v>17717.338211070768</v>
      </c>
      <c r="F588">
        <f>$C$23*(H588/(J588^2+$C$24^2)^1.5)+$C$32*(K588/(M588^2+$C$33^2)^1.5)+C$41*(N588/(P588^2+$C$42^2)^1.5)</f>
        <v>-8817.2753058722865</v>
      </c>
      <c r="G588">
        <f>$C$23*(I588/(J588^2+$C$24^2)^1.5)+$C$32*(L588/(M588^2+$C$33^2)^1.5)+C$41*(O588/(P588^2+$C$42^2)^1.5)</f>
        <v>5686.3228864337307</v>
      </c>
      <c r="H588" s="3">
        <f t="shared" si="110"/>
        <v>20676.969577503951</v>
      </c>
      <c r="I588" s="3">
        <f t="shared" si="111"/>
        <v>14509.549036516555</v>
      </c>
      <c r="J588" s="3">
        <f t="shared" si="112"/>
        <v>25259.930406715346</v>
      </c>
      <c r="K588" s="3">
        <f t="shared" si="113"/>
        <v>-19323.030422496049</v>
      </c>
      <c r="L588" s="3">
        <f t="shared" si="114"/>
        <v>19509.549036516553</v>
      </c>
      <c r="M588" s="3">
        <f t="shared" si="115"/>
        <v>27459.097004762407</v>
      </c>
      <c r="N588" s="3">
        <f t="shared" si="116"/>
        <v>-4323.0304224960482</v>
      </c>
      <c r="O588" s="3">
        <f t="shared" si="117"/>
        <v>-30490.450963483447</v>
      </c>
      <c r="P588" s="3">
        <f t="shared" si="118"/>
        <v>30795.392382472008</v>
      </c>
    </row>
    <row r="589" spans="1:16" x14ac:dyDescent="0.25">
      <c r="A589">
        <f t="shared" si="105"/>
        <v>256.5</v>
      </c>
      <c r="B589">
        <f t="shared" si="106"/>
        <v>4453.1773775847596</v>
      </c>
      <c r="C589">
        <f t="shared" si="107"/>
        <v>10770.700790627261</v>
      </c>
      <c r="D589">
        <f t="shared" si="108"/>
        <v>10260.293910177425</v>
      </c>
      <c r="E589">
        <f t="shared" si="109"/>
        <v>20560.499654287632</v>
      </c>
      <c r="F589">
        <f>$C$23*(H589/(J589^2+$C$24^2)^1.5)+$C$32*(K589/(M589^2+$C$33^2)^1.5)+C$41*(N589/(P589^2+$C$42^2)^1.5)</f>
        <v>-11433.376799751055</v>
      </c>
      <c r="G589">
        <f>$C$23*(I589/(J589^2+$C$24^2)^1.5)+$C$32*(L589/(M589^2+$C$33^2)^1.5)+C$41*(O589/(P589^2+$C$42^2)^1.5)</f>
        <v>3085.4482984517367</v>
      </c>
      <c r="H589" s="3">
        <f t="shared" si="110"/>
        <v>15546.82262241524</v>
      </c>
      <c r="I589" s="3">
        <f t="shared" si="111"/>
        <v>4229.2992093727389</v>
      </c>
      <c r="J589" s="3">
        <f t="shared" si="112"/>
        <v>16111.81757143629</v>
      </c>
      <c r="K589" s="3">
        <f t="shared" si="113"/>
        <v>-24453.177377584761</v>
      </c>
      <c r="L589" s="3">
        <f t="shared" si="114"/>
        <v>9229.2992093727389</v>
      </c>
      <c r="M589" s="3">
        <f t="shared" si="115"/>
        <v>26136.905856580488</v>
      </c>
      <c r="N589" s="3">
        <f t="shared" si="116"/>
        <v>-9453.1773775847596</v>
      </c>
      <c r="O589" s="3">
        <f t="shared" si="117"/>
        <v>-40770.700790627263</v>
      </c>
      <c r="P589" s="3">
        <f t="shared" si="118"/>
        <v>41852.271210663523</v>
      </c>
    </row>
    <row r="590" spans="1:16" x14ac:dyDescent="0.25">
      <c r="A590">
        <f t="shared" ref="A590:A653" si="119">A589+$C$5</f>
        <v>257</v>
      </c>
      <c r="B590">
        <f t="shared" ref="B590:B653" si="120">B589+D589*(A590-A589)+F589*(A590-A589)^2</f>
        <v>6724.9801327357081</v>
      </c>
      <c r="C590">
        <f t="shared" ref="C590:C653" si="121">C589+E589*(A590-A589)+G589*(A590-A589)^2</f>
        <v>21822.312692384014</v>
      </c>
      <c r="D590">
        <f t="shared" ref="D590:D653" si="122">D589+F589*(A590-A589)</f>
        <v>4543.6055103018971</v>
      </c>
      <c r="E590">
        <f t="shared" ref="E590:E653" si="123">E589+G589*(A590-A589)</f>
        <v>22103.223803513501</v>
      </c>
      <c r="F590">
        <f>$C$23*(H590/(J590^2+$C$24^2)^1.5)+$C$32*(K590/(M590^2+$C$33^2)^1.5)+C$41*(N590/(P590^2+$C$42^2)^1.5)</f>
        <v>-11585.050234842642</v>
      </c>
      <c r="G590">
        <f>$C$23*(I590/(J590^2+$C$24^2)^1.5)+$C$32*(L590/(M590^2+$C$33^2)^1.5)+C$41*(O590/(P590^2+$C$42^2)^1.5)</f>
        <v>-3179.7961950377303</v>
      </c>
      <c r="H590" s="3">
        <f t="shared" ref="H590:H653" si="124">$C$19-B590</f>
        <v>13275.019867264291</v>
      </c>
      <c r="I590" s="3">
        <f t="shared" ref="I590:I653" si="125">$D$19-C590</f>
        <v>-6822.3126923840136</v>
      </c>
      <c r="J590" s="3">
        <f t="shared" ref="J590:J653" si="126">SQRT(H590^2+I590^2)</f>
        <v>14925.485015533855</v>
      </c>
      <c r="K590" s="3">
        <f t="shared" ref="K590:K653" si="127">$C$28-B590</f>
        <v>-26724.980132735709</v>
      </c>
      <c r="L590" s="3">
        <f t="shared" ref="L590:L653" si="128">$D$28-C590</f>
        <v>-1822.3126923840136</v>
      </c>
      <c r="M590" s="3">
        <f t="shared" ref="M590:M653" si="129">SQRT(K590^2+L590^2)</f>
        <v>26787.037660852726</v>
      </c>
      <c r="N590" s="3">
        <f t="shared" ref="N590:N653" si="130">$C$37-B590</f>
        <v>-11724.980132735709</v>
      </c>
      <c r="O590" s="3">
        <f t="shared" ref="O590:O653" si="131">$D$37-C590</f>
        <v>-51822.312692384017</v>
      </c>
      <c r="P590" s="3">
        <f t="shared" ref="P590:P653" si="132">SQRT(N590^2+O590^2)</f>
        <v>53132.167769631546</v>
      </c>
    </row>
    <row r="591" spans="1:16" x14ac:dyDescent="0.25">
      <c r="A591">
        <f t="shared" si="119"/>
        <v>257.5</v>
      </c>
      <c r="B591">
        <f t="shared" si="120"/>
        <v>6100.5203291759963</v>
      </c>
      <c r="C591">
        <f t="shared" si="121"/>
        <v>32078.97554538133</v>
      </c>
      <c r="D591">
        <f t="shared" si="122"/>
        <v>-1248.9196071194237</v>
      </c>
      <c r="E591">
        <f t="shared" si="123"/>
        <v>20513.325705994637</v>
      </c>
      <c r="F591">
        <f>$C$23*(H591/(J591^2+$C$24^2)^1.5)+$C$32*(K591/(M591^2+$C$33^2)^1.5)+C$41*(N591/(P591^2+$C$42^2)^1.5)</f>
        <v>-10358.413305512939</v>
      </c>
      <c r="G591">
        <f>$C$23*(I591/(J591^2+$C$24^2)^1.5)+$C$32*(L591/(M591^2+$C$33^2)^1.5)+C$41*(O591/(P591^2+$C$42^2)^1.5)</f>
        <v>-6779.1898652309228</v>
      </c>
      <c r="H591" s="3">
        <f t="shared" si="124"/>
        <v>13899.479670824003</v>
      </c>
      <c r="I591" s="3">
        <f t="shared" si="125"/>
        <v>-17078.97554538133</v>
      </c>
      <c r="J591" s="3">
        <f t="shared" si="126"/>
        <v>22020.148519012837</v>
      </c>
      <c r="K591" s="3">
        <f t="shared" si="127"/>
        <v>-26100.520329175997</v>
      </c>
      <c r="L591" s="3">
        <f t="shared" si="128"/>
        <v>-12078.97554538133</v>
      </c>
      <c r="M591" s="3">
        <f t="shared" si="129"/>
        <v>28760.021065354762</v>
      </c>
      <c r="N591" s="3">
        <f t="shared" si="130"/>
        <v>-11100.520329175997</v>
      </c>
      <c r="O591" s="3">
        <f t="shared" si="131"/>
        <v>-62078.975545381327</v>
      </c>
      <c r="P591" s="3">
        <f t="shared" si="132"/>
        <v>63063.624668603552</v>
      </c>
    </row>
    <row r="592" spans="1:16" x14ac:dyDescent="0.25">
      <c r="A592">
        <f t="shared" si="119"/>
        <v>258</v>
      </c>
      <c r="B592">
        <f t="shared" si="120"/>
        <v>2886.4571992380497</v>
      </c>
      <c r="C592">
        <f t="shared" si="121"/>
        <v>40640.840932070918</v>
      </c>
      <c r="D592">
        <f t="shared" si="122"/>
        <v>-6428.1262598758931</v>
      </c>
      <c r="E592">
        <f t="shared" si="123"/>
        <v>17123.730773379175</v>
      </c>
      <c r="F592">
        <f>$C$23*(H592/(J592^2+$C$24^2)^1.5)+$C$32*(K592/(M592^2+$C$33^2)^1.5)+C$41*(N592/(P592^2+$C$42^2)^1.5)</f>
        <v>-7829.9614370728705</v>
      </c>
      <c r="G592">
        <f>$C$23*(I592/(J592^2+$C$24^2)^1.5)+$C$32*(L592/(M592^2+$C$33^2)^1.5)+C$41*(O592/(P592^2+$C$42^2)^1.5)</f>
        <v>-8487.2985212554631</v>
      </c>
      <c r="H592" s="3">
        <f t="shared" si="124"/>
        <v>17113.542800761948</v>
      </c>
      <c r="I592" s="3">
        <f t="shared" si="125"/>
        <v>-25640.840932070918</v>
      </c>
      <c r="J592" s="3">
        <f t="shared" si="126"/>
        <v>30827.359129469303</v>
      </c>
      <c r="K592" s="3">
        <f t="shared" si="127"/>
        <v>-22886.457199238052</v>
      </c>
      <c r="L592" s="3">
        <f t="shared" si="128"/>
        <v>-20640.840932070918</v>
      </c>
      <c r="M592" s="3">
        <f t="shared" si="129"/>
        <v>30819.380874956096</v>
      </c>
      <c r="N592" s="3">
        <f t="shared" si="130"/>
        <v>-7886.4571992380497</v>
      </c>
      <c r="O592" s="3">
        <f t="shared" si="131"/>
        <v>-70640.840932070918</v>
      </c>
      <c r="P592" s="3">
        <f t="shared" si="132"/>
        <v>71079.706068227097</v>
      </c>
    </row>
    <row r="593" spans="1:16" x14ac:dyDescent="0.25">
      <c r="A593">
        <f t="shared" si="119"/>
        <v>258.5</v>
      </c>
      <c r="B593">
        <f t="shared" si="120"/>
        <v>-2285.0962899681144</v>
      </c>
      <c r="C593">
        <f t="shared" si="121"/>
        <v>47080.881688446643</v>
      </c>
      <c r="D593">
        <f t="shared" si="122"/>
        <v>-10343.106978412328</v>
      </c>
      <c r="E593">
        <f t="shared" si="123"/>
        <v>12880.081512751443</v>
      </c>
      <c r="F593">
        <f>$C$23*(H593/(J593^2+$C$24^2)^1.5)+$C$32*(K593/(M593^2+$C$33^2)^1.5)+C$41*(N593/(P593^2+$C$42^2)^1.5)</f>
        <v>-5352.2607451782078</v>
      </c>
      <c r="G593">
        <f>$C$23*(I593/(J593^2+$C$24^2)^1.5)+$C$32*(L593/(M593^2+$C$33^2)^1.5)+C$41*(O593/(P593^2+$C$42^2)^1.5)</f>
        <v>-9398.5280288438043</v>
      </c>
      <c r="H593" s="3">
        <f t="shared" si="124"/>
        <v>22285.096289968114</v>
      </c>
      <c r="I593" s="3">
        <f t="shared" si="125"/>
        <v>-32080.881688446643</v>
      </c>
      <c r="J593" s="3">
        <f t="shared" si="126"/>
        <v>39061.598617584277</v>
      </c>
      <c r="K593" s="3">
        <f t="shared" si="127"/>
        <v>-17714.903710031886</v>
      </c>
      <c r="L593" s="3">
        <f t="shared" si="128"/>
        <v>-27080.881688446643</v>
      </c>
      <c r="M593" s="3">
        <f t="shared" si="129"/>
        <v>32360.34558652528</v>
      </c>
      <c r="N593" s="3">
        <f t="shared" si="130"/>
        <v>-2714.9037100318856</v>
      </c>
      <c r="O593" s="3">
        <f t="shared" si="131"/>
        <v>-77080.881688446651</v>
      </c>
      <c r="P593" s="3">
        <f t="shared" si="132"/>
        <v>77128.67835003433</v>
      </c>
    </row>
    <row r="594" spans="1:16" x14ac:dyDescent="0.25">
      <c r="A594">
        <f t="shared" si="119"/>
        <v>259</v>
      </c>
      <c r="B594">
        <f t="shared" si="120"/>
        <v>-8794.714965468831</v>
      </c>
      <c r="C594">
        <f t="shared" si="121"/>
        <v>51171.290437611417</v>
      </c>
      <c r="D594">
        <f t="shared" si="122"/>
        <v>-13019.237351001433</v>
      </c>
      <c r="E594">
        <f t="shared" si="123"/>
        <v>8180.8174983295412</v>
      </c>
      <c r="F594">
        <f>$C$23*(H594/(J594^2+$C$24^2)^1.5)+$C$32*(K594/(M594^2+$C$33^2)^1.5)+C$41*(N594/(P594^2+$C$42^2)^1.5)</f>
        <v>-3115.9611924327342</v>
      </c>
      <c r="G594">
        <f>$C$23*(I594/(J594^2+$C$24^2)^1.5)+$C$32*(L594/(M594^2+$C$33^2)^1.5)+C$41*(O594/(P594^2+$C$42^2)^1.5)</f>
        <v>-9973.6166775651509</v>
      </c>
      <c r="H594" s="3">
        <f t="shared" si="124"/>
        <v>28794.714965468833</v>
      </c>
      <c r="I594" s="3">
        <f t="shared" si="125"/>
        <v>-36171.290437611417</v>
      </c>
      <c r="J594" s="3">
        <f t="shared" si="126"/>
        <v>46233.081898837692</v>
      </c>
      <c r="K594" s="3">
        <f t="shared" si="127"/>
        <v>-11205.285034531169</v>
      </c>
      <c r="L594" s="3">
        <f t="shared" si="128"/>
        <v>-31171.290437611417</v>
      </c>
      <c r="M594" s="3">
        <f t="shared" si="129"/>
        <v>33124.126558311138</v>
      </c>
      <c r="N594" s="3">
        <f t="shared" si="130"/>
        <v>3794.714965468831</v>
      </c>
      <c r="O594" s="3">
        <f t="shared" si="131"/>
        <v>-81171.290437611417</v>
      </c>
      <c r="P594" s="3">
        <f t="shared" si="132"/>
        <v>81259.942486911837</v>
      </c>
    </row>
    <row r="595" spans="1:16" x14ac:dyDescent="0.25">
      <c r="A595">
        <f t="shared" si="119"/>
        <v>259.5</v>
      </c>
      <c r="B595">
        <f t="shared" si="120"/>
        <v>-16083.323939077731</v>
      </c>
      <c r="C595">
        <f t="shared" si="121"/>
        <v>52768.295017384902</v>
      </c>
      <c r="D595">
        <f t="shared" si="122"/>
        <v>-14577.2179472178</v>
      </c>
      <c r="E595">
        <f t="shared" si="123"/>
        <v>3194.0091595469657</v>
      </c>
      <c r="F595">
        <f>$C$23*(H595/(J595^2+$C$24^2)^1.5)+$C$32*(K595/(M595^2+$C$33^2)^1.5)+C$41*(N595/(P595^2+$C$42^2)^1.5)</f>
        <v>-953.54568122699141</v>
      </c>
      <c r="G595">
        <f>$C$23*(I595/(J595^2+$C$24^2)^1.5)+$C$32*(L595/(M595^2+$C$33^2)^1.5)+C$41*(O595/(P595^2+$C$42^2)^1.5)</f>
        <v>-10444.279304099831</v>
      </c>
      <c r="H595" s="3">
        <f t="shared" si="124"/>
        <v>36083.323939077731</v>
      </c>
      <c r="I595" s="3">
        <f t="shared" si="125"/>
        <v>-37768.295017384902</v>
      </c>
      <c r="J595" s="3">
        <f t="shared" si="126"/>
        <v>52234.570688507061</v>
      </c>
      <c r="K595" s="3">
        <f t="shared" si="127"/>
        <v>-3916.6760609222692</v>
      </c>
      <c r="L595" s="3">
        <f t="shared" si="128"/>
        <v>-32768.295017384902</v>
      </c>
      <c r="M595" s="3">
        <f t="shared" si="129"/>
        <v>33001.537990108489</v>
      </c>
      <c r="N595" s="3">
        <f t="shared" si="130"/>
        <v>11083.323939077731</v>
      </c>
      <c r="O595" s="3">
        <f t="shared" si="131"/>
        <v>-82768.295017384895</v>
      </c>
      <c r="P595" s="3">
        <f t="shared" si="132"/>
        <v>83507.069937960303</v>
      </c>
    </row>
    <row r="596" spans="1:16" x14ac:dyDescent="0.25">
      <c r="A596">
        <f t="shared" si="119"/>
        <v>260</v>
      </c>
      <c r="B596">
        <f t="shared" si="120"/>
        <v>-23610.319332993378</v>
      </c>
      <c r="C596">
        <f t="shared" si="121"/>
        <v>51754.229771133432</v>
      </c>
      <c r="D596">
        <f t="shared" si="122"/>
        <v>-15053.990787831295</v>
      </c>
      <c r="E596">
        <f t="shared" si="123"/>
        <v>-2028.1304925029499</v>
      </c>
      <c r="F596">
        <f>$C$23*(H596/(J596^2+$C$24^2)^1.5)+$C$32*(K596/(M596^2+$C$33^2)^1.5)+C$41*(N596/(P596^2+$C$42^2)^1.5)</f>
        <v>1411.1128645767585</v>
      </c>
      <c r="G596">
        <f>$C$23*(I596/(J596^2+$C$24^2)^1.5)+$C$32*(L596/(M596^2+$C$33^2)^1.5)+C$41*(O596/(P596^2+$C$42^2)^1.5)</f>
        <v>-10873.594080937386</v>
      </c>
      <c r="H596" s="3">
        <f t="shared" si="124"/>
        <v>43610.319332993378</v>
      </c>
      <c r="I596" s="3">
        <f t="shared" si="125"/>
        <v>-36754.229771133432</v>
      </c>
      <c r="J596" s="3">
        <f t="shared" si="126"/>
        <v>57032.739355522164</v>
      </c>
      <c r="K596" s="3">
        <f t="shared" si="127"/>
        <v>3610.3193329933783</v>
      </c>
      <c r="L596" s="3">
        <f t="shared" si="128"/>
        <v>-31754.229771133432</v>
      </c>
      <c r="M596" s="3">
        <f t="shared" si="129"/>
        <v>31958.809646858288</v>
      </c>
      <c r="N596" s="3">
        <f t="shared" si="130"/>
        <v>18610.319332993378</v>
      </c>
      <c r="O596" s="3">
        <f t="shared" si="131"/>
        <v>-81754.229771133425</v>
      </c>
      <c r="P596" s="3">
        <f t="shared" si="132"/>
        <v>83845.680098304802</v>
      </c>
    </row>
    <row r="597" spans="1:16" x14ac:dyDescent="0.25">
      <c r="A597">
        <f t="shared" si="119"/>
        <v>260.5</v>
      </c>
      <c r="B597">
        <f t="shared" si="120"/>
        <v>-30784.536510764836</v>
      </c>
      <c r="C597">
        <f t="shared" si="121"/>
        <v>48021.766004647608</v>
      </c>
      <c r="D597">
        <f t="shared" si="122"/>
        <v>-14348.434355542915</v>
      </c>
      <c r="E597">
        <f t="shared" si="123"/>
        <v>-7464.9275329716429</v>
      </c>
      <c r="F597">
        <f>$C$23*(H597/(J597^2+$C$24^2)^1.5)+$C$32*(K597/(M597^2+$C$33^2)^1.5)+C$41*(N597/(P597^2+$C$42^2)^1.5)</f>
        <v>4341.1209016498324</v>
      </c>
      <c r="G597">
        <f>$C$23*(I597/(J597^2+$C$24^2)^1.5)+$C$32*(L597/(M597^2+$C$33^2)^1.5)+C$41*(O597/(P597^2+$C$42^2)^1.5)</f>
        <v>-11130.397542133529</v>
      </c>
      <c r="H597" s="3">
        <f t="shared" si="124"/>
        <v>50784.536510764839</v>
      </c>
      <c r="I597" s="3">
        <f t="shared" si="125"/>
        <v>-33021.766004647608</v>
      </c>
      <c r="J597" s="3">
        <f t="shared" si="126"/>
        <v>60576.449043162866</v>
      </c>
      <c r="K597" s="3">
        <f t="shared" si="127"/>
        <v>10784.536510764836</v>
      </c>
      <c r="L597" s="3">
        <f t="shared" si="128"/>
        <v>-28021.766004647608</v>
      </c>
      <c r="M597" s="3">
        <f t="shared" si="129"/>
        <v>30025.415863418846</v>
      </c>
      <c r="N597" s="3">
        <f t="shared" si="130"/>
        <v>25784.536510764836</v>
      </c>
      <c r="O597" s="3">
        <f t="shared" si="131"/>
        <v>-78021.766004647608</v>
      </c>
      <c r="P597" s="3">
        <f t="shared" si="132"/>
        <v>82172.004317522573</v>
      </c>
    </row>
    <row r="598" spans="1:16" x14ac:dyDescent="0.25">
      <c r="A598">
        <f t="shared" si="119"/>
        <v>261</v>
      </c>
      <c r="B598">
        <f t="shared" si="120"/>
        <v>-36873.473463123839</v>
      </c>
      <c r="C598">
        <f t="shared" si="121"/>
        <v>41506.702852628405</v>
      </c>
      <c r="D598">
        <f t="shared" si="122"/>
        <v>-12177.873904717999</v>
      </c>
      <c r="E598">
        <f t="shared" si="123"/>
        <v>-13030.126304038407</v>
      </c>
      <c r="F598">
        <f>$C$23*(H598/(J598^2+$C$24^2)^1.5)+$C$32*(K598/(M598^2+$C$33^2)^1.5)+C$41*(N598/(P598^2+$C$42^2)^1.5)</f>
        <v>8259.5832914793664</v>
      </c>
      <c r="G598">
        <f>$C$23*(I598/(J598^2+$C$24^2)^1.5)+$C$32*(L598/(M598^2+$C$33^2)^1.5)+C$41*(O598/(P598^2+$C$42^2)^1.5)</f>
        <v>-10694.129338220559</v>
      </c>
      <c r="H598" s="3">
        <f t="shared" si="124"/>
        <v>56873.473463123839</v>
      </c>
      <c r="I598" s="3">
        <f t="shared" si="125"/>
        <v>-26506.702852628405</v>
      </c>
      <c r="J598" s="3">
        <f t="shared" si="126"/>
        <v>62747.089812023878</v>
      </c>
      <c r="K598" s="3">
        <f t="shared" si="127"/>
        <v>16873.473463123839</v>
      </c>
      <c r="L598" s="3">
        <f t="shared" si="128"/>
        <v>-21506.702852628405</v>
      </c>
      <c r="M598" s="3">
        <f t="shared" si="129"/>
        <v>27335.917293955932</v>
      </c>
      <c r="N598" s="3">
        <f t="shared" si="130"/>
        <v>31873.473463123839</v>
      </c>
      <c r="O598" s="3">
        <f t="shared" si="131"/>
        <v>-71506.702852628398</v>
      </c>
      <c r="P598" s="3">
        <f t="shared" si="132"/>
        <v>78288.740336389077</v>
      </c>
    </row>
    <row r="599" spans="1:16" x14ac:dyDescent="0.25">
      <c r="A599">
        <f t="shared" si="119"/>
        <v>261.5</v>
      </c>
      <c r="B599">
        <f t="shared" si="120"/>
        <v>-40897.514592612999</v>
      </c>
      <c r="C599">
        <f t="shared" si="121"/>
        <v>32318.107366054061</v>
      </c>
      <c r="D599">
        <f t="shared" si="122"/>
        <v>-8048.0822589783156</v>
      </c>
      <c r="E599">
        <f t="shared" si="123"/>
        <v>-18377.190973148688</v>
      </c>
      <c r="F599">
        <f>$C$23*(H599/(J599^2+$C$24^2)^1.5)+$C$32*(K599/(M599^2+$C$33^2)^1.5)+C$41*(N599/(P599^2+$C$42^2)^1.5)</f>
        <v>13251.343074689046</v>
      </c>
      <c r="G599">
        <f>$C$23*(I599/(J599^2+$C$24^2)^1.5)+$C$32*(L599/(M599^2+$C$33^2)^1.5)+C$41*(O599/(P599^2+$C$42^2)^1.5)</f>
        <v>-8223.4326975636995</v>
      </c>
      <c r="H599" s="3">
        <f t="shared" si="124"/>
        <v>60897.514592612999</v>
      </c>
      <c r="I599" s="3">
        <f t="shared" si="125"/>
        <v>-17318.107366054061</v>
      </c>
      <c r="J599" s="3">
        <f t="shared" si="126"/>
        <v>63312.116741581856</v>
      </c>
      <c r="K599" s="3">
        <f t="shared" si="127"/>
        <v>20897.514592612999</v>
      </c>
      <c r="L599" s="3">
        <f t="shared" si="128"/>
        <v>-12318.107366054061</v>
      </c>
      <c r="M599" s="3">
        <f t="shared" si="129"/>
        <v>24257.82111464483</v>
      </c>
      <c r="N599" s="3">
        <f t="shared" si="130"/>
        <v>35897.514592612999</v>
      </c>
      <c r="O599" s="3">
        <f t="shared" si="131"/>
        <v>-62318.107366054057</v>
      </c>
      <c r="P599" s="3">
        <f t="shared" si="132"/>
        <v>71917.856333555334</v>
      </c>
    </row>
    <row r="600" spans="1:16" x14ac:dyDescent="0.25">
      <c r="A600">
        <f t="shared" si="119"/>
        <v>262</v>
      </c>
      <c r="B600">
        <f t="shared" si="120"/>
        <v>-41608.7199534299</v>
      </c>
      <c r="C600">
        <f t="shared" si="121"/>
        <v>21073.653705088793</v>
      </c>
      <c r="D600">
        <f t="shared" si="122"/>
        <v>-1422.4107216337925</v>
      </c>
      <c r="E600">
        <f t="shared" si="123"/>
        <v>-22488.907321930539</v>
      </c>
      <c r="F600">
        <f>$C$23*(H600/(J600^2+$C$24^2)^1.5)+$C$32*(K600/(M600^2+$C$33^2)^1.5)+C$41*(N600/(P600^2+$C$42^2)^1.5)</f>
        <v>17471.891924588668</v>
      </c>
      <c r="G600">
        <f>$C$23*(I600/(J600^2+$C$24^2)^1.5)+$C$32*(L600/(M600^2+$C$33^2)^1.5)+C$41*(O600/(P600^2+$C$42^2)^1.5)</f>
        <v>-1675.5612692933057</v>
      </c>
      <c r="H600" s="3">
        <f t="shared" si="124"/>
        <v>61608.7199534299</v>
      </c>
      <c r="I600" s="3">
        <f t="shared" si="125"/>
        <v>-6073.6537050887928</v>
      </c>
      <c r="J600" s="3">
        <f t="shared" si="126"/>
        <v>61907.379557121385</v>
      </c>
      <c r="K600" s="3">
        <f t="shared" si="127"/>
        <v>21608.7199534299</v>
      </c>
      <c r="L600" s="3">
        <f t="shared" si="128"/>
        <v>-1073.6537050887928</v>
      </c>
      <c r="M600" s="3">
        <f t="shared" si="129"/>
        <v>21635.376361510571</v>
      </c>
      <c r="N600" s="3">
        <f t="shared" si="130"/>
        <v>36608.7199534299</v>
      </c>
      <c r="O600" s="3">
        <f t="shared" si="131"/>
        <v>-51073.653705088793</v>
      </c>
      <c r="P600" s="3">
        <f t="shared" si="132"/>
        <v>62838.813478740878</v>
      </c>
    </row>
    <row r="601" spans="1:16" x14ac:dyDescent="0.25">
      <c r="A601">
        <f t="shared" si="119"/>
        <v>262.5</v>
      </c>
      <c r="B601">
        <f t="shared" si="120"/>
        <v>-37951.952333099624</v>
      </c>
      <c r="C601">
        <f t="shared" si="121"/>
        <v>9410.3097268001966</v>
      </c>
      <c r="D601">
        <f t="shared" si="122"/>
        <v>7313.5352406605416</v>
      </c>
      <c r="E601">
        <f t="shared" si="123"/>
        <v>-23326.687956577192</v>
      </c>
      <c r="F601">
        <f>$C$23*(H601/(J601^2+$C$24^2)^1.5)+$C$32*(K601/(M601^2+$C$33^2)^1.5)+C$41*(N601/(P601^2+$C$42^2)^1.5)</f>
        <v>16102.727860323717</v>
      </c>
      <c r="G601">
        <f>$C$23*(I601/(J601^2+$C$24^2)^1.5)+$C$32*(L601/(M601^2+$C$33^2)^1.5)+C$41*(O601/(P601^2+$C$42^2)^1.5)</f>
        <v>7704.1868422869275</v>
      </c>
      <c r="H601" s="3">
        <f t="shared" si="124"/>
        <v>57951.952333099624</v>
      </c>
      <c r="I601" s="3">
        <f t="shared" si="125"/>
        <v>5589.6902731998034</v>
      </c>
      <c r="J601" s="3">
        <f t="shared" si="126"/>
        <v>58220.901887278895</v>
      </c>
      <c r="K601" s="3">
        <f t="shared" si="127"/>
        <v>17951.952333099624</v>
      </c>
      <c r="L601" s="3">
        <f t="shared" si="128"/>
        <v>10589.690273199803</v>
      </c>
      <c r="M601" s="3">
        <f t="shared" si="129"/>
        <v>20842.603787727279</v>
      </c>
      <c r="N601" s="3">
        <f t="shared" si="130"/>
        <v>32951.952333099624</v>
      </c>
      <c r="O601" s="3">
        <f t="shared" si="131"/>
        <v>-39410.309726800195</v>
      </c>
      <c r="P601" s="3">
        <f t="shared" si="132"/>
        <v>51371.233928388283</v>
      </c>
    </row>
    <row r="602" spans="1:16" x14ac:dyDescent="0.25">
      <c r="A602">
        <f t="shared" si="119"/>
        <v>263</v>
      </c>
      <c r="B602">
        <f t="shared" si="120"/>
        <v>-30269.502747688424</v>
      </c>
      <c r="C602">
        <f t="shared" si="121"/>
        <v>-326.98754091666774</v>
      </c>
      <c r="D602">
        <f t="shared" si="122"/>
        <v>15364.8991708224</v>
      </c>
      <c r="E602">
        <f t="shared" si="123"/>
        <v>-19474.594535433727</v>
      </c>
      <c r="F602">
        <f>$C$23*(H602/(J602^2+$C$24^2)^1.5)+$C$32*(K602/(M602^2+$C$33^2)^1.5)+C$41*(N602/(P602^2+$C$42^2)^1.5)</f>
        <v>8962.8249763262538</v>
      </c>
      <c r="G602">
        <f>$C$23*(I602/(J602^2+$C$24^2)^1.5)+$C$32*(L602/(M602^2+$C$33^2)^1.5)+C$41*(O602/(P602^2+$C$42^2)^1.5)</f>
        <v>12317.041056502747</v>
      </c>
      <c r="H602" s="3">
        <f t="shared" si="124"/>
        <v>50269.502747688428</v>
      </c>
      <c r="I602" s="3">
        <f t="shared" si="125"/>
        <v>15326.987540916667</v>
      </c>
      <c r="J602" s="3">
        <f t="shared" si="126"/>
        <v>52554.157338685101</v>
      </c>
      <c r="K602" s="3">
        <f t="shared" si="127"/>
        <v>10269.502747688424</v>
      </c>
      <c r="L602" s="3">
        <f t="shared" si="128"/>
        <v>20326.987540916667</v>
      </c>
      <c r="M602" s="3">
        <f t="shared" si="129"/>
        <v>22773.868998774924</v>
      </c>
      <c r="N602" s="3">
        <f t="shared" si="130"/>
        <v>25269.502747688424</v>
      </c>
      <c r="O602" s="3">
        <f t="shared" si="131"/>
        <v>-29673.012459083333</v>
      </c>
      <c r="P602" s="3">
        <f t="shared" si="132"/>
        <v>38974.805163237797</v>
      </c>
    </row>
    <row r="603" spans="1:16" x14ac:dyDescent="0.25">
      <c r="A603">
        <f t="shared" si="119"/>
        <v>263.5</v>
      </c>
      <c r="B603">
        <f t="shared" si="120"/>
        <v>-20346.346918195661</v>
      </c>
      <c r="C603">
        <f t="shared" si="121"/>
        <v>-6985.0245445078435</v>
      </c>
      <c r="D603">
        <f t="shared" si="122"/>
        <v>19846.311658985527</v>
      </c>
      <c r="E603">
        <f t="shared" si="123"/>
        <v>-13316.074007182353</v>
      </c>
      <c r="F603">
        <f>$C$23*(H603/(J603^2+$C$24^2)^1.5)+$C$32*(K603/(M603^2+$C$33^2)^1.5)+C$41*(N603/(P603^2+$C$42^2)^1.5)</f>
        <v>2906.2358631743709</v>
      </c>
      <c r="G603">
        <f>$C$23*(I603/(J603^2+$C$24^2)^1.5)+$C$32*(L603/(M603^2+$C$33^2)^1.5)+C$41*(O603/(P603^2+$C$42^2)^1.5)</f>
        <v>9289.2979624002</v>
      </c>
      <c r="H603" s="3">
        <f t="shared" si="124"/>
        <v>40346.346918195661</v>
      </c>
      <c r="I603" s="3">
        <f t="shared" si="125"/>
        <v>21985.024544507844</v>
      </c>
      <c r="J603" s="3">
        <f t="shared" si="126"/>
        <v>45947.459275415968</v>
      </c>
      <c r="K603" s="3">
        <f t="shared" si="127"/>
        <v>346.34691819566069</v>
      </c>
      <c r="L603" s="3">
        <f t="shared" si="128"/>
        <v>26985.024544507844</v>
      </c>
      <c r="M603" s="3">
        <f t="shared" si="129"/>
        <v>26987.247096646119</v>
      </c>
      <c r="N603" s="3">
        <f t="shared" si="130"/>
        <v>15346.346918195661</v>
      </c>
      <c r="O603" s="3">
        <f t="shared" si="131"/>
        <v>-23014.975455492156</v>
      </c>
      <c r="P603" s="3">
        <f t="shared" si="132"/>
        <v>27662.238863666113</v>
      </c>
    </row>
    <row r="604" spans="1:16" x14ac:dyDescent="0.25">
      <c r="A604">
        <f t="shared" si="119"/>
        <v>264</v>
      </c>
      <c r="B604">
        <f t="shared" si="120"/>
        <v>-9696.6321229093046</v>
      </c>
      <c r="C604">
        <f t="shared" si="121"/>
        <v>-11320.737057498969</v>
      </c>
      <c r="D604">
        <f t="shared" si="122"/>
        <v>21299.429590572712</v>
      </c>
      <c r="E604">
        <f t="shared" si="123"/>
        <v>-8671.4250259822529</v>
      </c>
      <c r="F604">
        <f>$C$23*(H604/(J604^2+$C$24^2)^1.5)+$C$32*(K604/(M604^2+$C$33^2)^1.5)+C$41*(N604/(P604^2+$C$42^2)^1.5)</f>
        <v>-896.74593947171752</v>
      </c>
      <c r="G604">
        <f>$C$23*(I604/(J604^2+$C$24^2)^1.5)+$C$32*(L604/(M604^2+$C$33^2)^1.5)+C$41*(O604/(P604^2+$C$42^2)^1.5)</f>
        <v>1876.0465101491709</v>
      </c>
      <c r="H604" s="3">
        <f t="shared" si="124"/>
        <v>29696.632122909305</v>
      </c>
      <c r="I604" s="3">
        <f t="shared" si="125"/>
        <v>26320.737057498969</v>
      </c>
      <c r="J604" s="3">
        <f t="shared" si="126"/>
        <v>39682.126438655083</v>
      </c>
      <c r="K604" s="3">
        <f t="shared" si="127"/>
        <v>-10303.367877090695</v>
      </c>
      <c r="L604" s="3">
        <f t="shared" si="128"/>
        <v>31320.737057498969</v>
      </c>
      <c r="M604" s="3">
        <f t="shared" si="129"/>
        <v>32971.926838382584</v>
      </c>
      <c r="N604" s="3">
        <f t="shared" si="130"/>
        <v>4696.6321229093046</v>
      </c>
      <c r="O604" s="3">
        <f t="shared" si="131"/>
        <v>-18679.262942501031</v>
      </c>
      <c r="P604" s="3">
        <f t="shared" si="132"/>
        <v>19260.665029355445</v>
      </c>
    </row>
    <row r="605" spans="1:16" x14ac:dyDescent="0.25">
      <c r="A605">
        <f t="shared" si="119"/>
        <v>264.5</v>
      </c>
      <c r="B605">
        <f t="shared" si="120"/>
        <v>728.89618750912211</v>
      </c>
      <c r="C605">
        <f t="shared" si="121"/>
        <v>-15187.437942952802</v>
      </c>
      <c r="D605">
        <f t="shared" si="122"/>
        <v>20851.056620836855</v>
      </c>
      <c r="E605">
        <f t="shared" si="123"/>
        <v>-7733.401770907667</v>
      </c>
      <c r="F605">
        <f>$C$23*(H605/(J605^2+$C$24^2)^1.5)+$C$32*(K605/(M605^2+$C$33^2)^1.5)+C$41*(N605/(P605^2+$C$42^2)^1.5)</f>
        <v>-6975.1899304196068</v>
      </c>
      <c r="G605">
        <f>$C$23*(I605/(J605^2+$C$24^2)^1.5)+$C$32*(L605/(M605^2+$C$33^2)^1.5)+C$41*(O605/(P605^2+$C$42^2)^1.5)</f>
        <v>-3011.0494677288862</v>
      </c>
      <c r="H605" s="3">
        <f t="shared" si="124"/>
        <v>19271.103812490877</v>
      </c>
      <c r="I605" s="3">
        <f t="shared" si="125"/>
        <v>30187.437942952802</v>
      </c>
      <c r="J605" s="3">
        <f t="shared" si="126"/>
        <v>35814.199023731177</v>
      </c>
      <c r="K605" s="3">
        <f t="shared" si="127"/>
        <v>-20728.896187509123</v>
      </c>
      <c r="L605" s="3">
        <f t="shared" si="128"/>
        <v>35187.437942952805</v>
      </c>
      <c r="M605" s="3">
        <f t="shared" si="129"/>
        <v>40839.232683066963</v>
      </c>
      <c r="N605" s="3">
        <f t="shared" si="130"/>
        <v>-5728.8961875091218</v>
      </c>
      <c r="O605" s="3">
        <f t="shared" si="131"/>
        <v>-14812.562057047198</v>
      </c>
      <c r="P605" s="3">
        <f t="shared" si="132"/>
        <v>15881.821250131576</v>
      </c>
    </row>
    <row r="606" spans="1:16" x14ac:dyDescent="0.25">
      <c r="A606">
        <f t="shared" si="119"/>
        <v>265</v>
      </c>
      <c r="B606">
        <f t="shared" si="120"/>
        <v>9410.6270153226487</v>
      </c>
      <c r="C606">
        <f t="shared" si="121"/>
        <v>-19806.901195338854</v>
      </c>
      <c r="D606">
        <f t="shared" si="122"/>
        <v>17363.461655627052</v>
      </c>
      <c r="E606">
        <f t="shared" si="123"/>
        <v>-9238.9265047721092</v>
      </c>
      <c r="F606">
        <f>$C$23*(H606/(J606^2+$C$24^2)^1.5)+$C$32*(K606/(M606^2+$C$33^2)^1.5)+C$41*(N606/(P606^2+$C$42^2)^1.5)</f>
        <v>-10123.603115059319</v>
      </c>
      <c r="G606">
        <f>$C$23*(I606/(J606^2+$C$24^2)^1.5)+$C$32*(L606/(M606^2+$C$33^2)^1.5)+C$41*(O606/(P606^2+$C$42^2)^1.5)</f>
        <v>-677.2032466104838</v>
      </c>
      <c r="H606" s="3">
        <f t="shared" si="124"/>
        <v>10589.372984677351</v>
      </c>
      <c r="I606" s="3">
        <f t="shared" si="125"/>
        <v>34806.901195338854</v>
      </c>
      <c r="J606" s="3">
        <f t="shared" si="126"/>
        <v>36382.072385045576</v>
      </c>
      <c r="K606" s="3">
        <f t="shared" si="127"/>
        <v>-29410.627015322651</v>
      </c>
      <c r="L606" s="3">
        <f t="shared" si="128"/>
        <v>39806.901195338854</v>
      </c>
      <c r="M606" s="3">
        <f t="shared" si="129"/>
        <v>49493.174925537933</v>
      </c>
      <c r="N606" s="3">
        <f t="shared" si="130"/>
        <v>-14410.627015322649</v>
      </c>
      <c r="O606" s="3">
        <f t="shared" si="131"/>
        <v>-10193.098804661146</v>
      </c>
      <c r="P606" s="3">
        <f t="shared" si="132"/>
        <v>17651.216224847834</v>
      </c>
    </row>
    <row r="607" spans="1:16" x14ac:dyDescent="0.25">
      <c r="A607">
        <f t="shared" si="119"/>
        <v>265.5</v>
      </c>
      <c r="B607">
        <f t="shared" si="120"/>
        <v>15561.457064371345</v>
      </c>
      <c r="C607">
        <f t="shared" si="121"/>
        <v>-24595.665259377532</v>
      </c>
      <c r="D607">
        <f t="shared" si="122"/>
        <v>12301.660098097393</v>
      </c>
      <c r="E607">
        <f t="shared" si="123"/>
        <v>-9577.5281280773506</v>
      </c>
      <c r="F607">
        <f>$C$23*(H607/(J607^2+$C$24^2)^1.5)+$C$32*(K607/(M607^2+$C$33^2)^1.5)+C$41*(N607/(P607^2+$C$42^2)^1.5)</f>
        <v>-9056.0811735249499</v>
      </c>
      <c r="G607">
        <f>$C$23*(I607/(J607^2+$C$24^2)^1.5)+$C$32*(L607/(M607^2+$C$33^2)^1.5)+C$41*(O607/(P607^2+$C$42^2)^1.5)</f>
        <v>1647.750444107967</v>
      </c>
      <c r="H607" s="3">
        <f t="shared" si="124"/>
        <v>4438.542935628655</v>
      </c>
      <c r="I607" s="3">
        <f t="shared" si="125"/>
        <v>39595.665259377536</v>
      </c>
      <c r="J607" s="3">
        <f t="shared" si="126"/>
        <v>39843.661612910226</v>
      </c>
      <c r="K607" s="3">
        <f t="shared" si="127"/>
        <v>-35561.457064371345</v>
      </c>
      <c r="L607" s="3">
        <f t="shared" si="128"/>
        <v>44595.665259377536</v>
      </c>
      <c r="M607" s="3">
        <f t="shared" si="129"/>
        <v>57038.500931104238</v>
      </c>
      <c r="N607" s="3">
        <f t="shared" si="130"/>
        <v>-20561.457064371345</v>
      </c>
      <c r="O607" s="3">
        <f t="shared" si="131"/>
        <v>-5404.3347406224675</v>
      </c>
      <c r="P607" s="3">
        <f t="shared" si="132"/>
        <v>21259.829505400208</v>
      </c>
    </row>
    <row r="608" spans="1:16" x14ac:dyDescent="0.25">
      <c r="A608">
        <f t="shared" si="119"/>
        <v>266</v>
      </c>
      <c r="B608">
        <f t="shared" si="120"/>
        <v>19448.266820038803</v>
      </c>
      <c r="C608">
        <f t="shared" si="121"/>
        <v>-28972.491712389216</v>
      </c>
      <c r="D608">
        <f t="shared" si="122"/>
        <v>7773.6195113349177</v>
      </c>
      <c r="E608">
        <f t="shared" si="123"/>
        <v>-8753.6529060233679</v>
      </c>
      <c r="F608">
        <f>$C$23*(H608/(J608^2+$C$24^2)^1.5)+$C$32*(K608/(M608^2+$C$33^2)^1.5)+C$41*(N608/(P608^2+$C$42^2)^1.5)</f>
        <v>-7604.7740827782955</v>
      </c>
      <c r="G608">
        <f>$C$23*(I608/(J608^2+$C$24^2)^1.5)+$C$32*(L608/(M608^2+$C$33^2)^1.5)+C$41*(O608/(P608^2+$C$42^2)^1.5)</f>
        <v>2594.8709995543359</v>
      </c>
      <c r="H608" s="3">
        <f t="shared" si="124"/>
        <v>551.73317996119658</v>
      </c>
      <c r="I608" s="3">
        <f t="shared" si="125"/>
        <v>43972.491712389216</v>
      </c>
      <c r="J608" s="3">
        <f t="shared" si="126"/>
        <v>43975.952939055322</v>
      </c>
      <c r="K608" s="3">
        <f t="shared" si="127"/>
        <v>-39448.2668200388</v>
      </c>
      <c r="L608" s="3">
        <f t="shared" si="128"/>
        <v>48972.491712389216</v>
      </c>
      <c r="M608" s="3">
        <f t="shared" si="129"/>
        <v>62884.582368216492</v>
      </c>
      <c r="N608" s="3">
        <f t="shared" si="130"/>
        <v>-24448.266820038803</v>
      </c>
      <c r="O608" s="3">
        <f t="shared" si="131"/>
        <v>-1027.5082876107845</v>
      </c>
      <c r="P608" s="3">
        <f t="shared" si="132"/>
        <v>24469.849279979619</v>
      </c>
    </row>
    <row r="609" spans="1:16" x14ac:dyDescent="0.25">
      <c r="A609">
        <f t="shared" si="119"/>
        <v>266.5</v>
      </c>
      <c r="B609">
        <f t="shared" si="120"/>
        <v>21433.883055011687</v>
      </c>
      <c r="C609">
        <f t="shared" si="121"/>
        <v>-32700.600415512319</v>
      </c>
      <c r="D609">
        <f t="shared" si="122"/>
        <v>3971.2324699457699</v>
      </c>
      <c r="E609">
        <f t="shared" si="123"/>
        <v>-7456.2174062462</v>
      </c>
      <c r="F609">
        <f>$C$23*(H609/(J609^2+$C$24^2)^1.5)+$C$32*(K609/(M609^2+$C$33^2)^1.5)+C$41*(N609/(P609^2+$C$42^2)^1.5)</f>
        <v>-6652.1771935460974</v>
      </c>
      <c r="G609">
        <f>$C$23*(I609/(J609^2+$C$24^2)^1.5)+$C$32*(L609/(M609^2+$C$33^2)^1.5)+C$41*(O609/(P609^2+$C$42^2)^1.5)</f>
        <v>3018.5900218294641</v>
      </c>
      <c r="H609" s="3">
        <f t="shared" si="124"/>
        <v>-1433.8830550116872</v>
      </c>
      <c r="I609" s="3">
        <f t="shared" si="125"/>
        <v>47700.600415512323</v>
      </c>
      <c r="J609" s="3">
        <f t="shared" si="126"/>
        <v>47722.146856735431</v>
      </c>
      <c r="K609" s="3">
        <f t="shared" si="127"/>
        <v>-41433.883055011684</v>
      </c>
      <c r="L609" s="3">
        <f t="shared" si="128"/>
        <v>52700.600415512323</v>
      </c>
      <c r="M609" s="3">
        <f t="shared" si="129"/>
        <v>67038.197687377324</v>
      </c>
      <c r="N609" s="3">
        <f t="shared" si="130"/>
        <v>-26433.883055011687</v>
      </c>
      <c r="O609" s="3">
        <f t="shared" si="131"/>
        <v>2700.6004155123192</v>
      </c>
      <c r="P609" s="3">
        <f t="shared" si="132"/>
        <v>26571.477489411449</v>
      </c>
    </row>
    <row r="610" spans="1:16" x14ac:dyDescent="0.25">
      <c r="A610">
        <f t="shared" si="119"/>
        <v>267</v>
      </c>
      <c r="B610">
        <f t="shared" si="120"/>
        <v>21756.454991598046</v>
      </c>
      <c r="C610">
        <f t="shared" si="121"/>
        <v>-35674.061613178055</v>
      </c>
      <c r="D610">
        <f t="shared" si="122"/>
        <v>645.14387317272121</v>
      </c>
      <c r="E610">
        <f t="shared" si="123"/>
        <v>-5946.9223953314677</v>
      </c>
      <c r="F610">
        <f>$C$23*(H610/(J610^2+$C$24^2)^1.5)+$C$32*(K610/(M610^2+$C$33^2)^1.5)+C$41*(N610/(P610^2+$C$42^2)^1.5)</f>
        <v>-6180.8252205311965</v>
      </c>
      <c r="G610">
        <f>$C$23*(I610/(J610^2+$C$24^2)^1.5)+$C$32*(L610/(M610^2+$C$33^2)^1.5)+C$41*(O610/(P610^2+$C$42^2)^1.5)</f>
        <v>3344.2983465344682</v>
      </c>
      <c r="H610" s="3">
        <f t="shared" si="124"/>
        <v>-1756.454991598046</v>
      </c>
      <c r="I610" s="3">
        <f t="shared" si="125"/>
        <v>50674.061613178055</v>
      </c>
      <c r="J610" s="3">
        <f t="shared" si="126"/>
        <v>50704.493435135271</v>
      </c>
      <c r="K610" s="3">
        <f t="shared" si="127"/>
        <v>-41756.454991598046</v>
      </c>
      <c r="L610" s="3">
        <f t="shared" si="128"/>
        <v>55674.061613178055</v>
      </c>
      <c r="M610" s="3">
        <f t="shared" si="129"/>
        <v>69593.122289298815</v>
      </c>
      <c r="N610" s="3">
        <f t="shared" si="130"/>
        <v>-26756.454991598046</v>
      </c>
      <c r="O610" s="3">
        <f t="shared" si="131"/>
        <v>5674.0616131780553</v>
      </c>
      <c r="P610" s="3">
        <f t="shared" si="132"/>
        <v>27351.469044779893</v>
      </c>
    </row>
    <row r="611" spans="1:16" x14ac:dyDescent="0.25">
      <c r="A611">
        <f t="shared" si="119"/>
        <v>267.5</v>
      </c>
      <c r="B611">
        <f t="shared" si="120"/>
        <v>20533.820623051608</v>
      </c>
      <c r="C611">
        <f t="shared" si="121"/>
        <v>-37811.448224210173</v>
      </c>
      <c r="D611">
        <f t="shared" si="122"/>
        <v>-2445.268737092877</v>
      </c>
      <c r="E611">
        <f t="shared" si="123"/>
        <v>-4274.7732220642338</v>
      </c>
      <c r="F611">
        <f>$C$23*(H611/(J611^2+$C$24^2)^1.5)+$C$32*(K611/(M611^2+$C$33^2)^1.5)+C$41*(N611/(P611^2+$C$42^2)^1.5)</f>
        <v>-6139.5376256133968</v>
      </c>
      <c r="G611">
        <f>$C$23*(I611/(J611^2+$C$24^2)^1.5)+$C$32*(L611/(M611^2+$C$33^2)^1.5)+C$41*(O611/(P611^2+$C$42^2)^1.5)</f>
        <v>3769.9379079176147</v>
      </c>
      <c r="H611" s="3">
        <f t="shared" si="124"/>
        <v>-533.82062305160798</v>
      </c>
      <c r="I611" s="3">
        <f t="shared" si="125"/>
        <v>52811.448224210173</v>
      </c>
      <c r="J611" s="3">
        <f t="shared" si="126"/>
        <v>52814.146097385943</v>
      </c>
      <c r="K611" s="3">
        <f t="shared" si="127"/>
        <v>-40533.820623051608</v>
      </c>
      <c r="L611" s="3">
        <f t="shared" si="128"/>
        <v>57811.448224210173</v>
      </c>
      <c r="M611" s="3">
        <f t="shared" si="129"/>
        <v>70605.624139173626</v>
      </c>
      <c r="N611" s="3">
        <f t="shared" si="130"/>
        <v>-25533.820623051608</v>
      </c>
      <c r="O611" s="3">
        <f t="shared" si="131"/>
        <v>7811.4482242101731</v>
      </c>
      <c r="P611" s="3">
        <f t="shared" si="132"/>
        <v>26701.960957384606</v>
      </c>
    </row>
    <row r="612" spans="1:16" x14ac:dyDescent="0.25">
      <c r="A612">
        <f t="shared" si="119"/>
        <v>268</v>
      </c>
      <c r="B612">
        <f t="shared" si="120"/>
        <v>17776.301848101823</v>
      </c>
      <c r="C612">
        <f t="shared" si="121"/>
        <v>-39006.350358262884</v>
      </c>
      <c r="D612">
        <f t="shared" si="122"/>
        <v>-5515.0375498995754</v>
      </c>
      <c r="E612">
        <f t="shared" si="123"/>
        <v>-2389.8042681054267</v>
      </c>
      <c r="F612">
        <f>$C$23*(H612/(J612^2+$C$24^2)^1.5)+$C$32*(K612/(M612^2+$C$33^2)^1.5)+C$41*(N612/(P612^2+$C$42^2)^1.5)</f>
        <v>-6597.3590771744039</v>
      </c>
      <c r="G612">
        <f>$C$23*(I612/(J612^2+$C$24^2)^1.5)+$C$32*(L612/(M612^2+$C$33^2)^1.5)+C$41*(O612/(P612^2+$C$42^2)^1.5)</f>
        <v>4482.1252535330868</v>
      </c>
      <c r="H612" s="3">
        <f t="shared" si="124"/>
        <v>2223.6981518981775</v>
      </c>
      <c r="I612" s="3">
        <f t="shared" si="125"/>
        <v>54006.350358262884</v>
      </c>
      <c r="J612" s="3">
        <f t="shared" si="126"/>
        <v>54052.111082641328</v>
      </c>
      <c r="K612" s="3">
        <f t="shared" si="127"/>
        <v>-37776.301848101823</v>
      </c>
      <c r="L612" s="3">
        <f t="shared" si="128"/>
        <v>59006.350358262884</v>
      </c>
      <c r="M612" s="3">
        <f t="shared" si="129"/>
        <v>70062.817270796149</v>
      </c>
      <c r="N612" s="3">
        <f t="shared" si="130"/>
        <v>-22776.301848101823</v>
      </c>
      <c r="O612" s="3">
        <f t="shared" si="131"/>
        <v>9006.3503582628837</v>
      </c>
      <c r="P612" s="3">
        <f t="shared" si="132"/>
        <v>24492.330894621453</v>
      </c>
    </row>
    <row r="613" spans="1:16" x14ac:dyDescent="0.25">
      <c r="A613">
        <f t="shared" si="119"/>
        <v>268.5</v>
      </c>
      <c r="B613">
        <f t="shared" si="120"/>
        <v>13369.443303858434</v>
      </c>
      <c r="C613">
        <f t="shared" si="121"/>
        <v>-39080.721178932319</v>
      </c>
      <c r="D613">
        <f t="shared" si="122"/>
        <v>-8813.7170884867774</v>
      </c>
      <c r="E613">
        <f t="shared" si="123"/>
        <v>-148.74164133888326</v>
      </c>
      <c r="F613">
        <f>$C$23*(H613/(J613^2+$C$24^2)^1.5)+$C$32*(K613/(M613^2+$C$33^2)^1.5)+C$41*(N613/(P613^2+$C$42^2)^1.5)</f>
        <v>-7875.5641424797241</v>
      </c>
      <c r="G613">
        <f>$C$23*(I613/(J613^2+$C$24^2)^1.5)+$C$32*(L613/(M613^2+$C$33^2)^1.5)+C$41*(O613/(P613^2+$C$42^2)^1.5)</f>
        <v>5870.5587288479219</v>
      </c>
      <c r="H613" s="3">
        <f t="shared" si="124"/>
        <v>6630.5566961415661</v>
      </c>
      <c r="I613" s="3">
        <f t="shared" si="125"/>
        <v>54080.721178932319</v>
      </c>
      <c r="J613" s="3">
        <f t="shared" si="126"/>
        <v>54485.674129390798</v>
      </c>
      <c r="K613" s="3">
        <f t="shared" si="127"/>
        <v>-33369.443303858432</v>
      </c>
      <c r="L613" s="3">
        <f t="shared" si="128"/>
        <v>59080.721178932319</v>
      </c>
      <c r="M613" s="3">
        <f t="shared" si="129"/>
        <v>67853.160290675951</v>
      </c>
      <c r="N613" s="3">
        <f t="shared" si="130"/>
        <v>-18369.443303858432</v>
      </c>
      <c r="O613" s="3">
        <f t="shared" si="131"/>
        <v>9080.7211789323192</v>
      </c>
      <c r="P613" s="3">
        <f t="shared" si="132"/>
        <v>20491.362678533103</v>
      </c>
    </row>
    <row r="614" spans="1:16" x14ac:dyDescent="0.25">
      <c r="A614">
        <f t="shared" si="119"/>
        <v>269</v>
      </c>
      <c r="B614">
        <f t="shared" si="120"/>
        <v>6993.6937239951139</v>
      </c>
      <c r="C614">
        <f t="shared" si="121"/>
        <v>-37687.452317389783</v>
      </c>
      <c r="D614">
        <f t="shared" si="122"/>
        <v>-12751.49915972664</v>
      </c>
      <c r="E614">
        <f t="shared" si="123"/>
        <v>2786.5377230850777</v>
      </c>
      <c r="F614">
        <f>$C$23*(H614/(J614^2+$C$24^2)^1.5)+$C$32*(K614/(M614^2+$C$33^2)^1.5)+C$41*(N614/(P614^2+$C$42^2)^1.5)</f>
        <v>-10847.938310331387</v>
      </c>
      <c r="G614">
        <f>$C$23*(I614/(J614^2+$C$24^2)^1.5)+$C$32*(L614/(M614^2+$C$33^2)^1.5)+C$41*(O614/(P614^2+$C$42^2)^1.5)</f>
        <v>9188.423393075107</v>
      </c>
      <c r="H614" s="3">
        <f t="shared" si="124"/>
        <v>13006.306276004885</v>
      </c>
      <c r="I614" s="3">
        <f t="shared" si="125"/>
        <v>52687.452317389783</v>
      </c>
      <c r="J614" s="3">
        <f t="shared" si="126"/>
        <v>54269.067014667446</v>
      </c>
      <c r="K614" s="3">
        <f t="shared" si="127"/>
        <v>-26993.693723995115</v>
      </c>
      <c r="L614" s="3">
        <f t="shared" si="128"/>
        <v>57687.452317389783</v>
      </c>
      <c r="M614" s="3">
        <f t="shared" si="129"/>
        <v>63690.671653986923</v>
      </c>
      <c r="N614" s="3">
        <f t="shared" si="130"/>
        <v>-11993.693723995115</v>
      </c>
      <c r="O614" s="3">
        <f t="shared" si="131"/>
        <v>7687.4523173897833</v>
      </c>
      <c r="P614" s="3">
        <f t="shared" si="132"/>
        <v>14245.898086015544</v>
      </c>
    </row>
    <row r="615" spans="1:16" x14ac:dyDescent="0.25">
      <c r="A615">
        <f t="shared" si="119"/>
        <v>269.5</v>
      </c>
      <c r="B615">
        <f t="shared" si="120"/>
        <v>-2094.0404334510526</v>
      </c>
      <c r="C615">
        <f t="shared" si="121"/>
        <v>-33997.077607578467</v>
      </c>
      <c r="D615">
        <f t="shared" si="122"/>
        <v>-18175.468314892332</v>
      </c>
      <c r="E615">
        <f t="shared" si="123"/>
        <v>7380.7494196226307</v>
      </c>
      <c r="F615">
        <f>$C$23*(H615/(J615^2+$C$24^2)^1.5)+$C$32*(K615/(M615^2+$C$33^2)^1.5)+C$41*(N615/(P615^2+$C$42^2)^1.5)</f>
        <v>-9940.2777660036536</v>
      </c>
      <c r="G615">
        <f>$C$23*(I615/(J615^2+$C$24^2)^1.5)+$C$32*(L615/(M615^2+$C$33^2)^1.5)+C$41*(O615/(P615^2+$C$42^2)^1.5)</f>
        <v>15975.680040829076</v>
      </c>
      <c r="H615" s="3">
        <f t="shared" si="124"/>
        <v>22094.040433451053</v>
      </c>
      <c r="I615" s="3">
        <f t="shared" si="125"/>
        <v>48997.077607578467</v>
      </c>
      <c r="J615" s="3">
        <f t="shared" si="126"/>
        <v>53748.118448537687</v>
      </c>
      <c r="K615" s="3">
        <f t="shared" si="127"/>
        <v>-17905.959566548947</v>
      </c>
      <c r="L615" s="3">
        <f t="shared" si="128"/>
        <v>53997.077607578467</v>
      </c>
      <c r="M615" s="3">
        <f t="shared" si="129"/>
        <v>56888.555774933659</v>
      </c>
      <c r="N615" s="3">
        <f t="shared" si="130"/>
        <v>-2905.9595665489474</v>
      </c>
      <c r="O615" s="3">
        <f t="shared" si="131"/>
        <v>3997.077607578467</v>
      </c>
      <c r="P615" s="3">
        <f t="shared" si="132"/>
        <v>4941.7841316090035</v>
      </c>
    </row>
    <row r="616" spans="1:16" x14ac:dyDescent="0.25">
      <c r="A616">
        <f t="shared" si="119"/>
        <v>270</v>
      </c>
      <c r="B616">
        <f t="shared" si="120"/>
        <v>-13666.844032398132</v>
      </c>
      <c r="C616">
        <f t="shared" si="121"/>
        <v>-26312.782887559883</v>
      </c>
      <c r="D616">
        <f t="shared" si="122"/>
        <v>-23145.607197894158</v>
      </c>
      <c r="E616">
        <f t="shared" si="123"/>
        <v>15368.589440037169</v>
      </c>
      <c r="F616">
        <f>$C$23*(H616/(J616^2+$C$24^2)^1.5)+$C$32*(K616/(M616^2+$C$33^2)^1.5)+C$41*(N616/(P616^2+$C$42^2)^1.5)</f>
        <v>13362.365255709306</v>
      </c>
      <c r="G616">
        <f>$C$23*(I616/(J616^2+$C$24^2)^1.5)+$C$32*(L616/(M616^2+$C$33^2)^1.5)+C$41*(O616/(P616^2+$C$42^2)^1.5)</f>
        <v>-282.85191223550828</v>
      </c>
      <c r="H616" s="3">
        <f t="shared" si="124"/>
        <v>33666.844032398134</v>
      </c>
      <c r="I616" s="3">
        <f t="shared" si="125"/>
        <v>41312.782887559879</v>
      </c>
      <c r="J616" s="3">
        <f t="shared" si="126"/>
        <v>53293.549487874065</v>
      </c>
      <c r="K616" s="3">
        <f t="shared" si="127"/>
        <v>-6333.1559676018678</v>
      </c>
      <c r="L616" s="3">
        <f t="shared" si="128"/>
        <v>46312.782887559879</v>
      </c>
      <c r="M616" s="3">
        <f t="shared" si="129"/>
        <v>46743.79876839526</v>
      </c>
      <c r="N616" s="3">
        <f t="shared" si="130"/>
        <v>8666.8440323981322</v>
      </c>
      <c r="O616" s="3">
        <f t="shared" si="131"/>
        <v>-3687.2171124401175</v>
      </c>
      <c r="P616" s="3">
        <f t="shared" si="132"/>
        <v>9418.5856430881577</v>
      </c>
    </row>
    <row r="617" spans="1:16" x14ac:dyDescent="0.25">
      <c r="A617">
        <f t="shared" si="119"/>
        <v>270.5</v>
      </c>
      <c r="B617">
        <f t="shared" si="120"/>
        <v>-21899.056317417886</v>
      </c>
      <c r="C617">
        <f t="shared" si="121"/>
        <v>-18699.201145600175</v>
      </c>
      <c r="D617">
        <f t="shared" si="122"/>
        <v>-16464.424570039504</v>
      </c>
      <c r="E617">
        <f t="shared" si="123"/>
        <v>15227.163483919416</v>
      </c>
      <c r="F617">
        <f>$C$23*(H617/(J617^2+$C$24^2)^1.5)+$C$32*(K617/(M617^2+$C$33^2)^1.5)+C$41*(N617/(P617^2+$C$42^2)^1.5)</f>
        <v>6600.755237497513</v>
      </c>
      <c r="G617">
        <f>$C$23*(I617/(J617^2+$C$24^2)^1.5)+$C$32*(L617/(M617^2+$C$33^2)^1.5)+C$41*(O617/(P617^2+$C$42^2)^1.5)</f>
        <v>3669.5168322878662</v>
      </c>
      <c r="H617" s="3">
        <f t="shared" si="124"/>
        <v>41899.056317417882</v>
      </c>
      <c r="I617" s="3">
        <f t="shared" si="125"/>
        <v>33699.201145600178</v>
      </c>
      <c r="J617" s="3">
        <f t="shared" si="126"/>
        <v>53769.5739070134</v>
      </c>
      <c r="K617" s="3">
        <f t="shared" si="127"/>
        <v>1899.056317417886</v>
      </c>
      <c r="L617" s="3">
        <f t="shared" si="128"/>
        <v>38699.201145600178</v>
      </c>
      <c r="M617" s="3">
        <f t="shared" si="129"/>
        <v>38745.768597413924</v>
      </c>
      <c r="N617" s="3">
        <f t="shared" si="130"/>
        <v>16899.056317417886</v>
      </c>
      <c r="O617" s="3">
        <f t="shared" si="131"/>
        <v>-11300.798854399825</v>
      </c>
      <c r="P617" s="3">
        <f t="shared" si="132"/>
        <v>20329.440699804451</v>
      </c>
    </row>
    <row r="618" spans="1:16" x14ac:dyDescent="0.25">
      <c r="A618">
        <f t="shared" si="119"/>
        <v>271</v>
      </c>
      <c r="B618">
        <f t="shared" si="120"/>
        <v>-28481.079793063262</v>
      </c>
      <c r="C618">
        <f t="shared" si="121"/>
        <v>-10168.2401955685</v>
      </c>
      <c r="D618">
        <f t="shared" si="122"/>
        <v>-13164.046951290748</v>
      </c>
      <c r="E618">
        <f t="shared" si="123"/>
        <v>17061.921900063349</v>
      </c>
      <c r="F618">
        <f>$C$23*(H618/(J618^2+$C$24^2)^1.5)+$C$32*(K618/(M618^2+$C$33^2)^1.5)+C$41*(N618/(P618^2+$C$42^2)^1.5)</f>
        <v>5925.9009166734004</v>
      </c>
      <c r="G618">
        <f>$C$23*(I618/(J618^2+$C$24^2)^1.5)+$C$32*(L618/(M618^2+$C$33^2)^1.5)+C$41*(O618/(P618^2+$C$42^2)^1.5)</f>
        <v>7789.6126814707277</v>
      </c>
      <c r="H618" s="3">
        <f t="shared" si="124"/>
        <v>48481.079793063262</v>
      </c>
      <c r="I618" s="3">
        <f t="shared" si="125"/>
        <v>25168.240195568498</v>
      </c>
      <c r="J618" s="3">
        <f t="shared" si="126"/>
        <v>54624.677687316347</v>
      </c>
      <c r="K618" s="3">
        <f t="shared" si="127"/>
        <v>8481.0797930632616</v>
      </c>
      <c r="L618" s="3">
        <f t="shared" si="128"/>
        <v>30168.240195568498</v>
      </c>
      <c r="M618" s="3">
        <f t="shared" si="129"/>
        <v>31337.699835083953</v>
      </c>
      <c r="N618" s="3">
        <f t="shared" si="130"/>
        <v>23481.079793063262</v>
      </c>
      <c r="O618" s="3">
        <f t="shared" si="131"/>
        <v>-19831.759804431502</v>
      </c>
      <c r="P618" s="3">
        <f t="shared" si="132"/>
        <v>30735.318530785862</v>
      </c>
    </row>
    <row r="619" spans="1:16" x14ac:dyDescent="0.25">
      <c r="A619">
        <f t="shared" si="119"/>
        <v>271.5</v>
      </c>
      <c r="B619">
        <f t="shared" si="120"/>
        <v>-33581.628039540286</v>
      </c>
      <c r="C619">
        <f t="shared" si="121"/>
        <v>310.12392483085659</v>
      </c>
      <c r="D619">
        <f t="shared" si="122"/>
        <v>-10201.096492954048</v>
      </c>
      <c r="E619">
        <f t="shared" si="123"/>
        <v>20956.728240798715</v>
      </c>
      <c r="F619">
        <f>$C$23*(H619/(J619^2+$C$24^2)^1.5)+$C$32*(K619/(M619^2+$C$33^2)^1.5)+C$41*(N619/(P619^2+$C$42^2)^1.5)</f>
        <v>10214.98765613087</v>
      </c>
      <c r="G619">
        <f>$C$23*(I619/(J619^2+$C$24^2)^1.5)+$C$32*(L619/(M619^2+$C$33^2)^1.5)+C$41*(O619/(P619^2+$C$42^2)^1.5)</f>
        <v>10797.772467174815</v>
      </c>
      <c r="H619" s="3">
        <f t="shared" si="124"/>
        <v>53581.628039540286</v>
      </c>
      <c r="I619" s="3">
        <f t="shared" si="125"/>
        <v>14689.876075169144</v>
      </c>
      <c r="J619" s="3">
        <f t="shared" si="126"/>
        <v>55558.827583665559</v>
      </c>
      <c r="K619" s="3">
        <f t="shared" si="127"/>
        <v>13581.628039540286</v>
      </c>
      <c r="L619" s="3">
        <f t="shared" si="128"/>
        <v>19689.876075169144</v>
      </c>
      <c r="M619" s="3">
        <f t="shared" si="129"/>
        <v>23919.695651490743</v>
      </c>
      <c r="N619" s="3">
        <f t="shared" si="130"/>
        <v>28581.628039540286</v>
      </c>
      <c r="O619" s="3">
        <f t="shared" si="131"/>
        <v>-30310.123924830856</v>
      </c>
      <c r="P619" s="3">
        <f t="shared" si="132"/>
        <v>41660.689789407465</v>
      </c>
    </row>
    <row r="620" spans="1:16" x14ac:dyDescent="0.25">
      <c r="A620">
        <f t="shared" si="119"/>
        <v>272</v>
      </c>
      <c r="B620">
        <f t="shared" si="120"/>
        <v>-36128.429371984595</v>
      </c>
      <c r="C620">
        <f t="shared" si="121"/>
        <v>13487.931162023917</v>
      </c>
      <c r="D620">
        <f t="shared" si="122"/>
        <v>-5093.6026648886127</v>
      </c>
      <c r="E620">
        <f t="shared" si="123"/>
        <v>26355.614474386122</v>
      </c>
      <c r="F620">
        <f>$C$23*(H620/(J620^2+$C$24^2)^1.5)+$C$32*(K620/(M620^2+$C$33^2)^1.5)+C$41*(N620/(P620^2+$C$42^2)^1.5)</f>
        <v>19791.930564413826</v>
      </c>
      <c r="G620">
        <f>$C$23*(I620/(J620^2+$C$24^2)^1.5)+$C$32*(L620/(M620^2+$C$33^2)^1.5)+C$41*(O620/(P620^2+$C$42^2)^1.5)</f>
        <v>6471.50121497292</v>
      </c>
      <c r="H620" s="3">
        <f t="shared" si="124"/>
        <v>56128.429371984595</v>
      </c>
      <c r="I620" s="3">
        <f t="shared" si="125"/>
        <v>1512.0688379760832</v>
      </c>
      <c r="J620" s="3">
        <f t="shared" si="126"/>
        <v>56148.792827064783</v>
      </c>
      <c r="K620" s="3">
        <f t="shared" si="127"/>
        <v>16128.429371984595</v>
      </c>
      <c r="L620" s="3">
        <f t="shared" si="128"/>
        <v>6512.0688379760832</v>
      </c>
      <c r="M620" s="3">
        <f t="shared" si="129"/>
        <v>17393.483680897123</v>
      </c>
      <c r="N620" s="3">
        <f t="shared" si="130"/>
        <v>31128.429371984595</v>
      </c>
      <c r="O620" s="3">
        <f t="shared" si="131"/>
        <v>-43487.931162023917</v>
      </c>
      <c r="P620" s="3">
        <f t="shared" si="132"/>
        <v>53480.643899634983</v>
      </c>
    </row>
    <row r="621" spans="1:16" x14ac:dyDescent="0.25">
      <c r="A621">
        <f t="shared" si="119"/>
        <v>272.5</v>
      </c>
      <c r="B621">
        <f t="shared" si="120"/>
        <v>-33727.248063325445</v>
      </c>
      <c r="C621">
        <f t="shared" si="121"/>
        <v>28283.613702960207</v>
      </c>
      <c r="D621">
        <f t="shared" si="122"/>
        <v>4802.3626173183002</v>
      </c>
      <c r="E621">
        <f t="shared" si="123"/>
        <v>29591.365081872584</v>
      </c>
      <c r="F621">
        <f>$C$23*(H621/(J621^2+$C$24^2)^1.5)+$C$32*(K621/(M621^2+$C$33^2)^1.5)+C$41*(N621/(P621^2+$C$42^2)^1.5)</f>
        <v>18923.212190793274</v>
      </c>
      <c r="G621">
        <f>$C$23*(I621/(J621^2+$C$24^2)^1.5)+$C$32*(L621/(M621^2+$C$33^2)^1.5)+C$41*(O621/(P621^2+$C$42^2)^1.5)</f>
        <v>-11964.308550997865</v>
      </c>
      <c r="H621" s="3">
        <f t="shared" si="124"/>
        <v>53727.248063325445</v>
      </c>
      <c r="I621" s="3">
        <f t="shared" si="125"/>
        <v>-13283.613702960207</v>
      </c>
      <c r="J621" s="3">
        <f t="shared" si="126"/>
        <v>55345.02305959932</v>
      </c>
      <c r="K621" s="3">
        <f t="shared" si="127"/>
        <v>13727.248063325445</v>
      </c>
      <c r="L621" s="3">
        <f t="shared" si="128"/>
        <v>-8283.6137029602069</v>
      </c>
      <c r="M621" s="3">
        <f t="shared" si="129"/>
        <v>16032.953420126383</v>
      </c>
      <c r="N621" s="3">
        <f t="shared" si="130"/>
        <v>28727.248063325445</v>
      </c>
      <c r="O621" s="3">
        <f t="shared" si="131"/>
        <v>-58283.613702960211</v>
      </c>
      <c r="P621" s="3">
        <f t="shared" si="132"/>
        <v>64978.722729580695</v>
      </c>
    </row>
    <row r="622" spans="1:16" x14ac:dyDescent="0.25">
      <c r="A622">
        <f t="shared" si="119"/>
        <v>273</v>
      </c>
      <c r="B622">
        <f t="shared" si="120"/>
        <v>-26595.263706967977</v>
      </c>
      <c r="C622">
        <f t="shared" si="121"/>
        <v>40088.219106147029</v>
      </c>
      <c r="D622">
        <f t="shared" si="122"/>
        <v>14263.968712714937</v>
      </c>
      <c r="E622">
        <f t="shared" si="123"/>
        <v>23609.210806373652</v>
      </c>
      <c r="F622">
        <f>$C$23*(H622/(J622^2+$C$24^2)^1.5)+$C$32*(K622/(M622^2+$C$33^2)^1.5)+C$41*(N622/(P622^2+$C$42^2)^1.5)</f>
        <v>5737.3979094593969</v>
      </c>
      <c r="G622">
        <f>$C$23*(I622/(J622^2+$C$24^2)^1.5)+$C$32*(L622/(M622^2+$C$33^2)^1.5)+C$41*(O622/(P622^2+$C$42^2)^1.5)</f>
        <v>-17112.523163982925</v>
      </c>
      <c r="H622" s="3">
        <f t="shared" si="124"/>
        <v>46595.263706967977</v>
      </c>
      <c r="I622" s="3">
        <f t="shared" si="125"/>
        <v>-25088.219106147029</v>
      </c>
      <c r="J622" s="3">
        <f t="shared" si="126"/>
        <v>52920.103343057897</v>
      </c>
      <c r="K622" s="3">
        <f t="shared" si="127"/>
        <v>6595.2637069679768</v>
      </c>
      <c r="L622" s="3">
        <f t="shared" si="128"/>
        <v>-20088.219106147029</v>
      </c>
      <c r="M622" s="3">
        <f t="shared" si="129"/>
        <v>21143.179756626472</v>
      </c>
      <c r="N622" s="3">
        <f t="shared" si="130"/>
        <v>21595.263706967977</v>
      </c>
      <c r="O622" s="3">
        <f t="shared" si="131"/>
        <v>-70088.219106147037</v>
      </c>
      <c r="P622" s="3">
        <f t="shared" si="132"/>
        <v>73339.715516524622</v>
      </c>
    </row>
    <row r="623" spans="1:16" x14ac:dyDescent="0.25">
      <c r="A623">
        <f t="shared" si="119"/>
        <v>273.5</v>
      </c>
      <c r="B623">
        <f t="shared" si="120"/>
        <v>-18028.929873245659</v>
      </c>
      <c r="C623">
        <f t="shared" si="121"/>
        <v>47614.693718338123</v>
      </c>
      <c r="D623">
        <f t="shared" si="122"/>
        <v>17132.667667444635</v>
      </c>
      <c r="E623">
        <f t="shared" si="123"/>
        <v>15052.94922438219</v>
      </c>
      <c r="F623">
        <f>$C$23*(H623/(J623^2+$C$24^2)^1.5)+$C$32*(K623/(M623^2+$C$33^2)^1.5)+C$41*(N623/(P623^2+$C$42^2)^1.5)</f>
        <v>-627.2767786682233</v>
      </c>
      <c r="G623">
        <f>$C$23*(I623/(J623^2+$C$24^2)^1.5)+$C$32*(L623/(M623^2+$C$33^2)^1.5)+C$41*(O623/(P623^2+$C$42^2)^1.5)</f>
        <v>-13290.171198038774</v>
      </c>
      <c r="H623" s="3">
        <f t="shared" si="124"/>
        <v>38028.929873245659</v>
      </c>
      <c r="I623" s="3">
        <f t="shared" si="125"/>
        <v>-32614.693718338123</v>
      </c>
      <c r="J623" s="3">
        <f t="shared" si="126"/>
        <v>50099.079369238316</v>
      </c>
      <c r="K623" s="3">
        <f t="shared" si="127"/>
        <v>-1971.0701267543409</v>
      </c>
      <c r="L623" s="3">
        <f t="shared" si="128"/>
        <v>-27614.693718338123</v>
      </c>
      <c r="M623" s="3">
        <f t="shared" si="129"/>
        <v>27684.949459990105</v>
      </c>
      <c r="N623" s="3">
        <f t="shared" si="130"/>
        <v>13028.929873245659</v>
      </c>
      <c r="O623" s="3">
        <f t="shared" si="131"/>
        <v>-77614.693718338123</v>
      </c>
      <c r="P623" s="3">
        <f t="shared" si="132"/>
        <v>78700.658794151066</v>
      </c>
    </row>
    <row r="624" spans="1:16" x14ac:dyDescent="0.25">
      <c r="A624">
        <f t="shared" si="119"/>
        <v>274</v>
      </c>
      <c r="B624">
        <f t="shared" si="120"/>
        <v>-9619.4152341903973</v>
      </c>
      <c r="C624">
        <f t="shared" si="121"/>
        <v>51818.625531019527</v>
      </c>
      <c r="D624">
        <f t="shared" si="122"/>
        <v>16819.029278110524</v>
      </c>
      <c r="E624">
        <f t="shared" si="123"/>
        <v>8407.8636253628028</v>
      </c>
      <c r="F624">
        <f>$C$23*(H624/(J624^2+$C$24^2)^1.5)+$C$32*(K624/(M624^2+$C$33^2)^1.5)+C$41*(N624/(P624^2+$C$42^2)^1.5)</f>
        <v>-2795.5558209848687</v>
      </c>
      <c r="G624">
        <f>$C$23*(I624/(J624^2+$C$24^2)^1.5)+$C$32*(L624/(M624^2+$C$33^2)^1.5)+C$41*(O624/(P624^2+$C$42^2)^1.5)</f>
        <v>-9906.2033373709219</v>
      </c>
      <c r="H624" s="3">
        <f t="shared" si="124"/>
        <v>29619.415234190397</v>
      </c>
      <c r="I624" s="3">
        <f t="shared" si="125"/>
        <v>-36818.625531019527</v>
      </c>
      <c r="J624" s="3">
        <f t="shared" si="126"/>
        <v>47253.792914525213</v>
      </c>
      <c r="K624" s="3">
        <f t="shared" si="127"/>
        <v>-10380.584765809603</v>
      </c>
      <c r="L624" s="3">
        <f t="shared" si="128"/>
        <v>-31818.625531019527</v>
      </c>
      <c r="M624" s="3">
        <f t="shared" si="129"/>
        <v>33469.112189650419</v>
      </c>
      <c r="N624" s="3">
        <f t="shared" si="130"/>
        <v>4619.4152341903973</v>
      </c>
      <c r="O624" s="3">
        <f t="shared" si="131"/>
        <v>-81818.625531019527</v>
      </c>
      <c r="P624" s="3">
        <f t="shared" si="132"/>
        <v>81948.926050870679</v>
      </c>
    </row>
    <row r="625" spans="1:16" x14ac:dyDescent="0.25">
      <c r="A625">
        <f t="shared" si="119"/>
        <v>274.5</v>
      </c>
      <c r="B625">
        <f t="shared" si="120"/>
        <v>-1908.7895503813527</v>
      </c>
      <c r="C625">
        <f t="shared" si="121"/>
        <v>53546.006509358202</v>
      </c>
      <c r="D625">
        <f t="shared" si="122"/>
        <v>15421.25136761809</v>
      </c>
      <c r="E625">
        <f t="shared" si="123"/>
        <v>3454.7619566773419</v>
      </c>
      <c r="F625">
        <f>$C$23*(H625/(J625^2+$C$24^2)^1.5)+$C$32*(K625/(M625^2+$C$33^2)^1.5)+C$41*(N625/(P625^2+$C$42^2)^1.5)</f>
        <v>-3614.6384578300272</v>
      </c>
      <c r="G625">
        <f>$C$23*(I625/(J625^2+$C$24^2)^1.5)+$C$32*(L625/(M625^2+$C$33^2)^1.5)+C$41*(O625/(P625^2+$C$42^2)^1.5)</f>
        <v>-7715.245904979316</v>
      </c>
      <c r="H625" s="3">
        <f t="shared" si="124"/>
        <v>21908.789550381352</v>
      </c>
      <c r="I625" s="3">
        <f t="shared" si="125"/>
        <v>-38546.006509358202</v>
      </c>
      <c r="J625" s="3">
        <f t="shared" si="126"/>
        <v>44337.22676693237</v>
      </c>
      <c r="K625" s="3">
        <f t="shared" si="127"/>
        <v>-18091.210449618648</v>
      </c>
      <c r="L625" s="3">
        <f t="shared" si="128"/>
        <v>-33546.006509358202</v>
      </c>
      <c r="M625" s="3">
        <f t="shared" si="129"/>
        <v>38113.336881704461</v>
      </c>
      <c r="N625" s="3">
        <f t="shared" si="130"/>
        <v>-3091.2104496186475</v>
      </c>
      <c r="O625" s="3">
        <f t="shared" si="131"/>
        <v>-83546.006509358209</v>
      </c>
      <c r="P625" s="3">
        <f t="shared" si="132"/>
        <v>83603.174495383588</v>
      </c>
    </row>
    <row r="626" spans="1:16" x14ac:dyDescent="0.25">
      <c r="A626">
        <f t="shared" si="119"/>
        <v>275</v>
      </c>
      <c r="B626">
        <f t="shared" si="120"/>
        <v>4898.1765189701855</v>
      </c>
      <c r="C626">
        <f t="shared" si="121"/>
        <v>53344.576011452038</v>
      </c>
      <c r="D626">
        <f t="shared" si="122"/>
        <v>13613.932138703076</v>
      </c>
      <c r="E626">
        <f t="shared" si="123"/>
        <v>-402.86099581231611</v>
      </c>
      <c r="F626">
        <f>$C$23*(H626/(J626^2+$C$24^2)^1.5)+$C$32*(K626/(M626^2+$C$33^2)^1.5)+C$41*(N626/(P626^2+$C$42^2)^1.5)</f>
        <v>-4024.5995463245322</v>
      </c>
      <c r="G626">
        <f>$C$23*(I626/(J626^2+$C$24^2)^1.5)+$C$32*(L626/(M626^2+$C$33^2)^1.5)+C$41*(O626/(P626^2+$C$42^2)^1.5)</f>
        <v>-6304.7241766454772</v>
      </c>
      <c r="H626" s="3">
        <f t="shared" si="124"/>
        <v>15101.823481029815</v>
      </c>
      <c r="I626" s="3">
        <f t="shared" si="125"/>
        <v>-38344.576011452038</v>
      </c>
      <c r="J626" s="3">
        <f t="shared" si="126"/>
        <v>41211.304055443412</v>
      </c>
      <c r="K626" s="3">
        <f t="shared" si="127"/>
        <v>-24898.176518970184</v>
      </c>
      <c r="L626" s="3">
        <f t="shared" si="128"/>
        <v>-33344.576011452038</v>
      </c>
      <c r="M626" s="3">
        <f t="shared" si="129"/>
        <v>41614.660197498924</v>
      </c>
      <c r="N626" s="3">
        <f t="shared" si="130"/>
        <v>-9898.1765189701855</v>
      </c>
      <c r="O626" s="3">
        <f t="shared" si="131"/>
        <v>-83344.576011452038</v>
      </c>
      <c r="P626" s="3">
        <f t="shared" si="132"/>
        <v>83930.282073453083</v>
      </c>
    </row>
    <row r="627" spans="1:16" x14ac:dyDescent="0.25">
      <c r="A627">
        <f t="shared" si="119"/>
        <v>275.5</v>
      </c>
      <c r="B627">
        <f t="shared" si="120"/>
        <v>10698.99270174059</v>
      </c>
      <c r="C627">
        <f t="shared" si="121"/>
        <v>51566.964469384511</v>
      </c>
      <c r="D627">
        <f t="shared" si="122"/>
        <v>11601.63236554081</v>
      </c>
      <c r="E627">
        <f t="shared" si="123"/>
        <v>-3555.2230841350547</v>
      </c>
      <c r="F627">
        <f>$C$23*(H627/(J627^2+$C$24^2)^1.5)+$C$32*(K627/(M627^2+$C$33^2)^1.5)+C$41*(N627/(P627^2+$C$42^2)^1.5)</f>
        <v>-4335.4860376134675</v>
      </c>
      <c r="G627">
        <f>$C$23*(I627/(J627^2+$C$24^2)^1.5)+$C$32*(L627/(M627^2+$C$33^2)^1.5)+C$41*(O627/(P627^2+$C$42^2)^1.5)</f>
        <v>-5364.1030958779884</v>
      </c>
      <c r="H627" s="3">
        <f t="shared" si="124"/>
        <v>9301.0072982594102</v>
      </c>
      <c r="I627" s="3">
        <f t="shared" si="125"/>
        <v>-36566.964469384511</v>
      </c>
      <c r="J627" s="3">
        <f t="shared" si="126"/>
        <v>37731.308316403556</v>
      </c>
      <c r="K627" s="3">
        <f t="shared" si="127"/>
        <v>-30698.99270174059</v>
      </c>
      <c r="L627" s="3">
        <f t="shared" si="128"/>
        <v>-31566.964469384511</v>
      </c>
      <c r="M627" s="3">
        <f t="shared" si="129"/>
        <v>44032.958096327195</v>
      </c>
      <c r="N627" s="3">
        <f t="shared" si="130"/>
        <v>-15698.99270174059</v>
      </c>
      <c r="O627" s="3">
        <f t="shared" si="131"/>
        <v>-81566.964469384518</v>
      </c>
      <c r="P627" s="3">
        <f t="shared" si="132"/>
        <v>83063.999810983951</v>
      </c>
    </row>
    <row r="628" spans="1:16" x14ac:dyDescent="0.25">
      <c r="A628">
        <f t="shared" si="119"/>
        <v>276</v>
      </c>
      <c r="B628">
        <f t="shared" si="120"/>
        <v>15415.937375107629</v>
      </c>
      <c r="C628">
        <f t="shared" si="121"/>
        <v>48448.327153347491</v>
      </c>
      <c r="D628">
        <f t="shared" si="122"/>
        <v>9433.8893467340768</v>
      </c>
      <c r="E628">
        <f t="shared" si="123"/>
        <v>-6237.2746320740489</v>
      </c>
      <c r="F628">
        <f>$C$23*(H628/(J628^2+$C$24^2)^1.5)+$C$32*(K628/(M628^2+$C$33^2)^1.5)+C$41*(N628/(P628^2+$C$42^2)^1.5)</f>
        <v>-4669.64440546891</v>
      </c>
      <c r="G628">
        <f>$C$23*(I628/(J628^2+$C$24^2)^1.5)+$C$32*(L628/(M628^2+$C$33^2)^1.5)+C$41*(O628/(P628^2+$C$42^2)^1.5)</f>
        <v>-4717.0267582700872</v>
      </c>
      <c r="H628" s="3">
        <f t="shared" si="124"/>
        <v>4584.0626248923709</v>
      </c>
      <c r="I628" s="3">
        <f t="shared" si="125"/>
        <v>-33448.327153347491</v>
      </c>
      <c r="J628" s="3">
        <f t="shared" si="126"/>
        <v>33760.986648886581</v>
      </c>
      <c r="K628" s="3">
        <f t="shared" si="127"/>
        <v>-35415.937375107627</v>
      </c>
      <c r="L628" s="3">
        <f t="shared" si="128"/>
        <v>-28448.327153347491</v>
      </c>
      <c r="M628" s="3">
        <f t="shared" si="129"/>
        <v>45426.819589108738</v>
      </c>
      <c r="N628" s="3">
        <f t="shared" si="130"/>
        <v>-20415.937375107627</v>
      </c>
      <c r="O628" s="3">
        <f t="shared" si="131"/>
        <v>-78448.327153347491</v>
      </c>
      <c r="P628" s="3">
        <f t="shared" si="132"/>
        <v>81061.399766244809</v>
      </c>
    </row>
    <row r="629" spans="1:16" x14ac:dyDescent="0.25">
      <c r="A629">
        <f t="shared" si="119"/>
        <v>276.5</v>
      </c>
      <c r="B629">
        <f t="shared" si="120"/>
        <v>18965.470947107442</v>
      </c>
      <c r="C629">
        <f t="shared" si="121"/>
        <v>44150.433147742944</v>
      </c>
      <c r="D629">
        <f t="shared" si="122"/>
        <v>7099.0671439996222</v>
      </c>
      <c r="E629">
        <f t="shared" si="123"/>
        <v>-8595.7880112090934</v>
      </c>
      <c r="F629">
        <f>$C$23*(H629/(J629^2+$C$24^2)^1.5)+$C$32*(K629/(M629^2+$C$33^2)^1.5)+C$41*(N629/(P629^2+$C$42^2)^1.5)</f>
        <v>-5094.8782385686418</v>
      </c>
      <c r="G629">
        <f>$C$23*(I629/(J629^2+$C$24^2)^1.5)+$C$32*(L629/(M629^2+$C$33^2)^1.5)+C$41*(O629/(P629^2+$C$42^2)^1.5)</f>
        <v>-4271.7560503895693</v>
      </c>
      <c r="H629" s="3">
        <f t="shared" si="124"/>
        <v>1034.529052892558</v>
      </c>
      <c r="I629" s="3">
        <f t="shared" si="125"/>
        <v>-29150.433147742944</v>
      </c>
      <c r="J629" s="3">
        <f t="shared" si="126"/>
        <v>29168.784737494796</v>
      </c>
      <c r="K629" s="3">
        <f t="shared" si="127"/>
        <v>-38965.470947107446</v>
      </c>
      <c r="L629" s="3">
        <f t="shared" si="128"/>
        <v>-24150.433147742944</v>
      </c>
      <c r="M629" s="3">
        <f t="shared" si="129"/>
        <v>45842.680411964087</v>
      </c>
      <c r="N629" s="3">
        <f t="shared" si="130"/>
        <v>-23965.470947107442</v>
      </c>
      <c r="O629" s="3">
        <f t="shared" si="131"/>
        <v>-74150.433147742937</v>
      </c>
      <c r="P629" s="3">
        <f t="shared" si="132"/>
        <v>77927.084724853819</v>
      </c>
    </row>
    <row r="630" spans="1:16" x14ac:dyDescent="0.25">
      <c r="A630">
        <f t="shared" si="119"/>
        <v>277</v>
      </c>
      <c r="B630">
        <f t="shared" si="120"/>
        <v>21241.284959465094</v>
      </c>
      <c r="C630">
        <f t="shared" si="121"/>
        <v>38784.600129541002</v>
      </c>
      <c r="D630">
        <f t="shared" si="122"/>
        <v>4551.6280247153009</v>
      </c>
      <c r="E630">
        <f t="shared" si="123"/>
        <v>-10731.666036403878</v>
      </c>
      <c r="F630">
        <f>$C$23*(H630/(J630^2+$C$24^2)^1.5)+$C$32*(K630/(M630^2+$C$33^2)^1.5)+C$41*(N630/(P630^2+$C$42^2)^1.5)</f>
        <v>-5673.0891124466998</v>
      </c>
      <c r="G630">
        <f>$C$23*(I630/(J630^2+$C$24^2)^1.5)+$C$32*(L630/(M630^2+$C$33^2)^1.5)+C$41*(O630/(P630^2+$C$42^2)^1.5)</f>
        <v>-4007.9670966912208</v>
      </c>
      <c r="H630" s="3">
        <f t="shared" si="124"/>
        <v>-1241.2849594650943</v>
      </c>
      <c r="I630" s="3">
        <f t="shared" si="125"/>
        <v>-23784.600129541002</v>
      </c>
      <c r="J630" s="3">
        <f t="shared" si="126"/>
        <v>23816.968565977411</v>
      </c>
      <c r="K630" s="3">
        <f t="shared" si="127"/>
        <v>-41241.284959465091</v>
      </c>
      <c r="L630" s="3">
        <f t="shared" si="128"/>
        <v>-18784.600129541002</v>
      </c>
      <c r="M630" s="3">
        <f t="shared" si="129"/>
        <v>45317.819752659692</v>
      </c>
      <c r="N630" s="3">
        <f t="shared" si="130"/>
        <v>-26241.284959465094</v>
      </c>
      <c r="O630" s="3">
        <f t="shared" si="131"/>
        <v>-68784.60012954101</v>
      </c>
      <c r="P630" s="3">
        <f t="shared" si="132"/>
        <v>73620.148405886153</v>
      </c>
    </row>
    <row r="631" spans="1:16" x14ac:dyDescent="0.25">
      <c r="A631">
        <f t="shared" si="119"/>
        <v>277.5</v>
      </c>
      <c r="B631">
        <f t="shared" si="120"/>
        <v>22098.826693711067</v>
      </c>
      <c r="C631">
        <f t="shared" si="121"/>
        <v>32416.775337166255</v>
      </c>
      <c r="D631">
        <f t="shared" si="122"/>
        <v>1715.083468491951</v>
      </c>
      <c r="E631">
        <f t="shared" si="123"/>
        <v>-12735.649584749488</v>
      </c>
      <c r="F631">
        <f>$C$23*(H631/(J631^2+$C$24^2)^1.5)+$C$32*(K631/(M631^2+$C$33^2)^1.5)+C$41*(N631/(P631^2+$C$42^2)^1.5)</f>
        <v>-6493.7802368022703</v>
      </c>
      <c r="G631">
        <f>$C$23*(I631/(J631^2+$C$24^2)^1.5)+$C$32*(L631/(M631^2+$C$33^2)^1.5)+C$41*(O631/(P631^2+$C$42^2)^1.5)</f>
        <v>-4065.0638439762151</v>
      </c>
      <c r="H631" s="3">
        <f t="shared" si="124"/>
        <v>-2098.8266937110675</v>
      </c>
      <c r="I631" s="3">
        <f t="shared" si="125"/>
        <v>-17416.775337166255</v>
      </c>
      <c r="J631" s="3">
        <f t="shared" si="126"/>
        <v>17542.780185465381</v>
      </c>
      <c r="K631" s="3">
        <f t="shared" si="127"/>
        <v>-42098.826693711067</v>
      </c>
      <c r="L631" s="3">
        <f t="shared" si="128"/>
        <v>-12416.775337166255</v>
      </c>
      <c r="M631" s="3">
        <f t="shared" si="129"/>
        <v>43891.770512942167</v>
      </c>
      <c r="N631" s="3">
        <f t="shared" si="130"/>
        <v>-27098.826693711067</v>
      </c>
      <c r="O631" s="3">
        <f t="shared" si="131"/>
        <v>-62416.775337166255</v>
      </c>
      <c r="P631" s="3">
        <f t="shared" si="132"/>
        <v>68045.57481325345</v>
      </c>
    </row>
    <row r="632" spans="1:16" x14ac:dyDescent="0.25">
      <c r="A632">
        <f t="shared" si="119"/>
        <v>278</v>
      </c>
      <c r="B632">
        <f t="shared" si="120"/>
        <v>21332.923368756477</v>
      </c>
      <c r="C632">
        <f t="shared" si="121"/>
        <v>25032.684583797458</v>
      </c>
      <c r="D632">
        <f t="shared" si="122"/>
        <v>-1531.8066499091842</v>
      </c>
      <c r="E632">
        <f t="shared" si="123"/>
        <v>-14768.181506737596</v>
      </c>
      <c r="F632">
        <f>$C$23*(H632/(J632^2+$C$24^2)^1.5)+$C$32*(K632/(M632^2+$C$33^2)^1.5)+C$41*(N632/(P632^2+$C$42^2)^1.5)</f>
        <v>-7692.5098675407889</v>
      </c>
      <c r="G632">
        <f>$C$23*(I632/(J632^2+$C$24^2)^1.5)+$C$32*(L632/(M632^2+$C$33^2)^1.5)+C$41*(O632/(P632^2+$C$42^2)^1.5)</f>
        <v>-5448.0691298929751</v>
      </c>
      <c r="H632" s="3">
        <f t="shared" si="124"/>
        <v>-1332.9233687564774</v>
      </c>
      <c r="I632" s="3">
        <f t="shared" si="125"/>
        <v>-10032.684583797458</v>
      </c>
      <c r="J632" s="3">
        <f t="shared" si="126"/>
        <v>10120.842092679062</v>
      </c>
      <c r="K632" s="3">
        <f t="shared" si="127"/>
        <v>-41332.923368756477</v>
      </c>
      <c r="L632" s="3">
        <f t="shared" si="128"/>
        <v>-5032.6845837974579</v>
      </c>
      <c r="M632" s="3">
        <f t="shared" si="129"/>
        <v>41638.18521894882</v>
      </c>
      <c r="N632" s="3">
        <f t="shared" si="130"/>
        <v>-26332.923368756477</v>
      </c>
      <c r="O632" s="3">
        <f t="shared" si="131"/>
        <v>-55032.684583797454</v>
      </c>
      <c r="P632" s="3">
        <f t="shared" si="132"/>
        <v>61008.353736554302</v>
      </c>
    </row>
    <row r="633" spans="1:16" x14ac:dyDescent="0.25">
      <c r="A633">
        <f t="shared" si="119"/>
        <v>278.5</v>
      </c>
      <c r="B633">
        <f t="shared" si="120"/>
        <v>18643.892576916685</v>
      </c>
      <c r="C633">
        <f t="shared" si="121"/>
        <v>16286.576547955417</v>
      </c>
      <c r="D633">
        <f t="shared" si="122"/>
        <v>-5378.0615836795787</v>
      </c>
      <c r="E633">
        <f t="shared" si="123"/>
        <v>-17492.216071684084</v>
      </c>
      <c r="F633">
        <f>$C$23*(H633/(J633^2+$C$24^2)^1.5)+$C$32*(K633/(M633^2+$C$33^2)^1.5)+C$41*(N633/(P633^2+$C$42^2)^1.5)</f>
        <v>-3577.9042576268557</v>
      </c>
      <c r="G633">
        <f>$C$23*(I633/(J633^2+$C$24^2)^1.5)+$C$32*(L633/(M633^2+$C$33^2)^1.5)+C$41*(O633/(P633^2+$C$42^2)^1.5)</f>
        <v>-5008.2546843268756</v>
      </c>
      <c r="H633" s="3">
        <f t="shared" si="124"/>
        <v>1356.1074230833146</v>
      </c>
      <c r="I633" s="3">
        <f t="shared" si="125"/>
        <v>-1286.5765479554175</v>
      </c>
      <c r="J633" s="3">
        <f t="shared" si="126"/>
        <v>1869.3064373426168</v>
      </c>
      <c r="K633" s="3">
        <f t="shared" si="127"/>
        <v>-38643.892576916682</v>
      </c>
      <c r="L633" s="3">
        <f t="shared" si="128"/>
        <v>3713.4234520445825</v>
      </c>
      <c r="M633" s="3">
        <f t="shared" si="129"/>
        <v>38821.900355733116</v>
      </c>
      <c r="N633" s="3">
        <f t="shared" si="130"/>
        <v>-23643.892576916685</v>
      </c>
      <c r="O633" s="3">
        <f t="shared" si="131"/>
        <v>-46286.576547955417</v>
      </c>
      <c r="P633" s="3">
        <f t="shared" si="132"/>
        <v>51975.771516337423</v>
      </c>
    </row>
    <row r="634" spans="1:16" x14ac:dyDescent="0.25">
      <c r="A634">
        <f t="shared" si="119"/>
        <v>279</v>
      </c>
      <c r="B634">
        <f t="shared" si="120"/>
        <v>15060.385720670183</v>
      </c>
      <c r="C634">
        <f t="shared" si="121"/>
        <v>6288.4048410316564</v>
      </c>
      <c r="D634">
        <f t="shared" si="122"/>
        <v>-7167.0137124930061</v>
      </c>
      <c r="E634">
        <f t="shared" si="123"/>
        <v>-19996.34341384752</v>
      </c>
      <c r="F634">
        <f>$C$23*(H634/(J634^2+$C$24^2)^1.5)+$C$32*(K634/(M634^2+$C$33^2)^1.5)+C$41*(N634/(P634^2+$C$42^2)^1.5)</f>
        <v>-6686.4295364525287</v>
      </c>
      <c r="G634">
        <f>$C$23*(I634/(J634^2+$C$24^2)^1.5)+$C$32*(L634/(M634^2+$C$33^2)^1.5)+C$41*(O634/(P634^2+$C$42^2)^1.5)</f>
        <v>4206.271939313765</v>
      </c>
      <c r="H634" s="3">
        <f t="shared" si="124"/>
        <v>4939.6142793298168</v>
      </c>
      <c r="I634" s="3">
        <f t="shared" si="125"/>
        <v>8711.5951589683427</v>
      </c>
      <c r="J634" s="3">
        <f t="shared" si="126"/>
        <v>10014.573352985122</v>
      </c>
      <c r="K634" s="3">
        <f t="shared" si="127"/>
        <v>-35060.38572067018</v>
      </c>
      <c r="L634" s="3">
        <f t="shared" si="128"/>
        <v>13711.595158968343</v>
      </c>
      <c r="M634" s="3">
        <f t="shared" si="129"/>
        <v>37646.228080454726</v>
      </c>
      <c r="N634" s="3">
        <f t="shared" si="130"/>
        <v>-20060.385720670183</v>
      </c>
      <c r="O634" s="3">
        <f t="shared" si="131"/>
        <v>-36288.404841031654</v>
      </c>
      <c r="P634" s="3">
        <f t="shared" si="132"/>
        <v>41464.04950277623</v>
      </c>
    </row>
    <row r="635" spans="1:16" x14ac:dyDescent="0.25">
      <c r="A635">
        <f t="shared" si="119"/>
        <v>279.5</v>
      </c>
      <c r="B635">
        <f t="shared" si="120"/>
        <v>9805.2714803105482</v>
      </c>
      <c r="C635">
        <f t="shared" si="121"/>
        <v>-2658.1988810636626</v>
      </c>
      <c r="D635">
        <f t="shared" si="122"/>
        <v>-10510.22848071927</v>
      </c>
      <c r="E635">
        <f t="shared" si="123"/>
        <v>-17893.207444190637</v>
      </c>
      <c r="F635">
        <f>$C$23*(H635/(J635^2+$C$24^2)^1.5)+$C$32*(K635/(M635^2+$C$33^2)^1.5)+C$41*(N635/(P635^2+$C$42^2)^1.5)</f>
        <v>-7625.0904967212427</v>
      </c>
      <c r="G635">
        <f>$C$23*(I635/(J635^2+$C$24^2)^1.5)+$C$32*(L635/(M635^2+$C$33^2)^1.5)+C$41*(O635/(P635^2+$C$42^2)^1.5)</f>
        <v>2594.2613174954777</v>
      </c>
      <c r="H635" s="3">
        <f t="shared" si="124"/>
        <v>10194.728519689452</v>
      </c>
      <c r="I635" s="3">
        <f t="shared" si="125"/>
        <v>17658.198881063661</v>
      </c>
      <c r="J635" s="3">
        <f t="shared" si="126"/>
        <v>20389.813076959959</v>
      </c>
      <c r="K635" s="3">
        <f t="shared" si="127"/>
        <v>-29805.271480310548</v>
      </c>
      <c r="L635" s="3">
        <f t="shared" si="128"/>
        <v>22658.198881063661</v>
      </c>
      <c r="M635" s="3">
        <f t="shared" si="129"/>
        <v>37439.927678200016</v>
      </c>
      <c r="N635" s="3">
        <f t="shared" si="130"/>
        <v>-14805.271480310548</v>
      </c>
      <c r="O635" s="3">
        <f t="shared" si="131"/>
        <v>-27341.801118936339</v>
      </c>
      <c r="P635" s="3">
        <f t="shared" si="132"/>
        <v>31092.927685137103</v>
      </c>
    </row>
    <row r="636" spans="1:16" x14ac:dyDescent="0.25">
      <c r="A636">
        <f t="shared" si="119"/>
        <v>280</v>
      </c>
      <c r="B636">
        <f t="shared" si="120"/>
        <v>2643.8846157706025</v>
      </c>
      <c r="C636">
        <f t="shared" si="121"/>
        <v>-10956.237273785113</v>
      </c>
      <c r="D636">
        <f t="shared" si="122"/>
        <v>-14322.77372907989</v>
      </c>
      <c r="E636">
        <f t="shared" si="123"/>
        <v>-16596.0767854429</v>
      </c>
      <c r="F636">
        <f>$C$23*(H636/(J636^2+$C$24^2)^1.5)+$C$32*(K636/(M636^2+$C$33^2)^1.5)+C$41*(N636/(P636^2+$C$42^2)^1.5)</f>
        <v>-6987.4421422933437</v>
      </c>
      <c r="G636">
        <f>$C$23*(I636/(J636^2+$C$24^2)^1.5)+$C$32*(L636/(M636^2+$C$33^2)^1.5)+C$41*(O636/(P636^2+$C$42^2)^1.5)</f>
        <v>-10.718119846421359</v>
      </c>
      <c r="H636" s="3">
        <f t="shared" si="124"/>
        <v>17356.115384229397</v>
      </c>
      <c r="I636" s="3">
        <f t="shared" si="125"/>
        <v>25956.237273785111</v>
      </c>
      <c r="J636" s="3">
        <f t="shared" si="126"/>
        <v>31224.365400176124</v>
      </c>
      <c r="K636" s="3">
        <f t="shared" si="127"/>
        <v>-22643.884615770603</v>
      </c>
      <c r="L636" s="3">
        <f t="shared" si="128"/>
        <v>30956.237273785111</v>
      </c>
      <c r="M636" s="3">
        <f t="shared" si="129"/>
        <v>38354.062844022345</v>
      </c>
      <c r="N636" s="3">
        <f t="shared" si="130"/>
        <v>-7643.884615770603</v>
      </c>
      <c r="O636" s="3">
        <f t="shared" si="131"/>
        <v>-19043.762726214889</v>
      </c>
      <c r="P636" s="3">
        <f t="shared" si="132"/>
        <v>20520.571892410455</v>
      </c>
    </row>
    <row r="637" spans="1:16" x14ac:dyDescent="0.25">
      <c r="A637">
        <f t="shared" si="119"/>
        <v>280.5</v>
      </c>
      <c r="B637">
        <f t="shared" si="120"/>
        <v>-6264.3627843426784</v>
      </c>
      <c r="C637">
        <f t="shared" si="121"/>
        <v>-19256.955196468167</v>
      </c>
      <c r="D637">
        <f t="shared" si="122"/>
        <v>-17816.494800226563</v>
      </c>
      <c r="E637">
        <f t="shared" si="123"/>
        <v>-16601.435845366112</v>
      </c>
      <c r="F637">
        <f>$C$23*(H637/(J637^2+$C$24^2)^1.5)+$C$32*(K637/(M637^2+$C$33^2)^1.5)+C$41*(N637/(P637^2+$C$42^2)^1.5)</f>
        <v>-422.55014849476629</v>
      </c>
      <c r="G637">
        <f>$C$23*(I637/(J637^2+$C$24^2)^1.5)+$C$32*(L637/(M637^2+$C$33^2)^1.5)+C$41*(O637/(P637^2+$C$42^2)^1.5)</f>
        <v>-7436.3564857521951</v>
      </c>
      <c r="H637" s="3">
        <f t="shared" si="124"/>
        <v>26264.36278434268</v>
      </c>
      <c r="I637" s="3">
        <f t="shared" si="125"/>
        <v>34256.955196468167</v>
      </c>
      <c r="J637" s="3">
        <f t="shared" si="126"/>
        <v>43166.604358003329</v>
      </c>
      <c r="K637" s="3">
        <f t="shared" si="127"/>
        <v>-13735.637215657322</v>
      </c>
      <c r="L637" s="3">
        <f t="shared" si="128"/>
        <v>39256.955196468167</v>
      </c>
      <c r="M637" s="3">
        <f t="shared" si="129"/>
        <v>41590.578993537216</v>
      </c>
      <c r="N637" s="3">
        <f t="shared" si="130"/>
        <v>1264.3627843426784</v>
      </c>
      <c r="O637" s="3">
        <f t="shared" si="131"/>
        <v>-10743.044803531833</v>
      </c>
      <c r="P637" s="3">
        <f t="shared" si="132"/>
        <v>10817.191174289335</v>
      </c>
    </row>
    <row r="638" spans="1:16" x14ac:dyDescent="0.25">
      <c r="A638">
        <f t="shared" si="119"/>
        <v>281</v>
      </c>
      <c r="B638">
        <f t="shared" si="120"/>
        <v>-15278.247721579652</v>
      </c>
      <c r="C638">
        <f t="shared" si="121"/>
        <v>-29416.762240589273</v>
      </c>
      <c r="D638">
        <f t="shared" si="122"/>
        <v>-18027.769874473946</v>
      </c>
      <c r="E638">
        <f t="shared" si="123"/>
        <v>-20319.614088242208</v>
      </c>
      <c r="F638">
        <f>$C$23*(H638/(J638^2+$C$24^2)^1.5)+$C$32*(K638/(M638^2+$C$33^2)^1.5)+C$41*(N638/(P638^2+$C$42^2)^1.5)</f>
        <v>14184.788960006066</v>
      </c>
      <c r="G638">
        <f>$C$23*(I638/(J638^2+$C$24^2)^1.5)+$C$32*(L638/(M638^2+$C$33^2)^1.5)+C$41*(O638/(P638^2+$C$42^2)^1.5)</f>
        <v>4308.8438006541637</v>
      </c>
      <c r="H638" s="3">
        <f t="shared" si="124"/>
        <v>35278.247721579653</v>
      </c>
      <c r="I638" s="3">
        <f t="shared" si="125"/>
        <v>44416.762240589276</v>
      </c>
      <c r="J638" s="3">
        <f t="shared" si="126"/>
        <v>56722.160838971722</v>
      </c>
      <c r="K638" s="3">
        <f t="shared" si="127"/>
        <v>-4721.7522784203484</v>
      </c>
      <c r="L638" s="3">
        <f t="shared" si="128"/>
        <v>49416.762240589276</v>
      </c>
      <c r="M638" s="3">
        <f t="shared" si="129"/>
        <v>49641.830495275834</v>
      </c>
      <c r="N638" s="3">
        <f t="shared" si="130"/>
        <v>10278.247721579652</v>
      </c>
      <c r="O638" s="3">
        <f t="shared" si="131"/>
        <v>-583.23775941072745</v>
      </c>
      <c r="P638" s="3">
        <f t="shared" si="132"/>
        <v>10294.782295423236</v>
      </c>
    </row>
    <row r="639" spans="1:16" x14ac:dyDescent="0.25">
      <c r="A639">
        <f t="shared" si="119"/>
        <v>281.5</v>
      </c>
      <c r="B639">
        <f t="shared" si="120"/>
        <v>-20745.935418815112</v>
      </c>
      <c r="C639">
        <f t="shared" si="121"/>
        <v>-38499.358334546836</v>
      </c>
      <c r="D639">
        <f t="shared" si="122"/>
        <v>-10935.375394470913</v>
      </c>
      <c r="E639">
        <f t="shared" si="123"/>
        <v>-18165.192187915127</v>
      </c>
      <c r="F639">
        <f>$C$23*(H639/(J639^2+$C$24^2)^1.5)+$C$32*(K639/(M639^2+$C$33^2)^1.5)+C$41*(N639/(P639^2+$C$42^2)^1.5)</f>
        <v>7775.4140436034886</v>
      </c>
      <c r="G639">
        <f>$C$23*(I639/(J639^2+$C$24^2)^1.5)+$C$32*(L639/(M639^2+$C$33^2)^1.5)+C$41*(O639/(P639^2+$C$42^2)^1.5)</f>
        <v>7978.8487107882702</v>
      </c>
      <c r="H639" s="3">
        <f t="shared" si="124"/>
        <v>40745.935418815112</v>
      </c>
      <c r="I639" s="3">
        <f t="shared" si="125"/>
        <v>53499.358334546836</v>
      </c>
      <c r="J639" s="3">
        <f t="shared" si="126"/>
        <v>67248.885458143457</v>
      </c>
      <c r="K639" s="3">
        <f t="shared" si="127"/>
        <v>745.93541881511192</v>
      </c>
      <c r="L639" s="3">
        <f t="shared" si="128"/>
        <v>58499.358334546836</v>
      </c>
      <c r="M639" s="3">
        <f t="shared" si="129"/>
        <v>58504.113916909788</v>
      </c>
      <c r="N639" s="3">
        <f t="shared" si="130"/>
        <v>15745.935418815112</v>
      </c>
      <c r="O639" s="3">
        <f t="shared" si="131"/>
        <v>8499.358334546836</v>
      </c>
      <c r="P639" s="3">
        <f t="shared" si="132"/>
        <v>17893.394711807119</v>
      </c>
    </row>
    <row r="640" spans="1:16" x14ac:dyDescent="0.25">
      <c r="A640">
        <f t="shared" si="119"/>
        <v>282</v>
      </c>
      <c r="B640">
        <f t="shared" si="120"/>
        <v>-24269.769605149697</v>
      </c>
      <c r="C640">
        <f t="shared" si="121"/>
        <v>-45587.242250807329</v>
      </c>
      <c r="D640">
        <f t="shared" si="122"/>
        <v>-7047.668372669169</v>
      </c>
      <c r="E640">
        <f t="shared" si="123"/>
        <v>-14175.767832520993</v>
      </c>
      <c r="F640">
        <f>$C$23*(H640/(J640^2+$C$24^2)^1.5)+$C$32*(K640/(M640^2+$C$33^2)^1.5)+C$41*(N640/(P640^2+$C$42^2)^1.5)</f>
        <v>4479.7162041211895</v>
      </c>
      <c r="G640">
        <f>$C$23*(I640/(J640^2+$C$24^2)^1.5)+$C$32*(L640/(M640^2+$C$33^2)^1.5)+C$41*(O640/(P640^2+$C$42^2)^1.5)</f>
        <v>6520.9371727833886</v>
      </c>
      <c r="H640" s="3">
        <f t="shared" si="124"/>
        <v>44269.769605149697</v>
      </c>
      <c r="I640" s="3">
        <f t="shared" si="125"/>
        <v>60587.242250807329</v>
      </c>
      <c r="J640" s="3">
        <f t="shared" si="126"/>
        <v>75037.500121279678</v>
      </c>
      <c r="K640" s="3">
        <f t="shared" si="127"/>
        <v>4269.7696051496969</v>
      </c>
      <c r="L640" s="3">
        <f t="shared" si="128"/>
        <v>65587.242250807321</v>
      </c>
      <c r="M640" s="3">
        <f t="shared" si="129"/>
        <v>65726.077614194699</v>
      </c>
      <c r="N640" s="3">
        <f t="shared" si="130"/>
        <v>19269.769605149697</v>
      </c>
      <c r="O640" s="3">
        <f t="shared" si="131"/>
        <v>15587.242250807329</v>
      </c>
      <c r="P640" s="3">
        <f t="shared" si="132"/>
        <v>24784.796582197407</v>
      </c>
    </row>
    <row r="641" spans="1:16" x14ac:dyDescent="0.25">
      <c r="A641">
        <f t="shared" si="119"/>
        <v>282.5</v>
      </c>
      <c r="B641">
        <f t="shared" si="120"/>
        <v>-26673.674740453986</v>
      </c>
      <c r="C641">
        <f t="shared" si="121"/>
        <v>-51044.891873871973</v>
      </c>
      <c r="D641">
        <f t="shared" si="122"/>
        <v>-4807.8102706085738</v>
      </c>
      <c r="E641">
        <f t="shared" si="123"/>
        <v>-10915.299246129298</v>
      </c>
      <c r="F641">
        <f>$C$23*(H641/(J641^2+$C$24^2)^1.5)+$C$32*(K641/(M641^2+$C$33^2)^1.5)+C$41*(N641/(P641^2+$C$42^2)^1.5)</f>
        <v>3106.6462981316222</v>
      </c>
      <c r="G641">
        <f>$C$23*(I641/(J641^2+$C$24^2)^1.5)+$C$32*(L641/(M641^2+$C$33^2)^1.5)+C$41*(O641/(P641^2+$C$42^2)^1.5)</f>
        <v>5391.2556717355037</v>
      </c>
      <c r="H641" s="3">
        <f t="shared" si="124"/>
        <v>46673.674740453986</v>
      </c>
      <c r="I641" s="3">
        <f t="shared" si="125"/>
        <v>66044.891873871966</v>
      </c>
      <c r="J641" s="3">
        <f t="shared" si="126"/>
        <v>80872.490108869111</v>
      </c>
      <c r="K641" s="3">
        <f t="shared" si="127"/>
        <v>6673.6747404539856</v>
      </c>
      <c r="L641" s="3">
        <f t="shared" si="128"/>
        <v>71044.891873871966</v>
      </c>
      <c r="M641" s="3">
        <f t="shared" si="129"/>
        <v>71357.652679383536</v>
      </c>
      <c r="N641" s="3">
        <f t="shared" si="130"/>
        <v>21673.674740453986</v>
      </c>
      <c r="O641" s="3">
        <f t="shared" si="131"/>
        <v>21044.891873871973</v>
      </c>
      <c r="P641" s="3">
        <f t="shared" si="132"/>
        <v>30209.860157537238</v>
      </c>
    </row>
    <row r="642" spans="1:16" x14ac:dyDescent="0.25">
      <c r="A642">
        <f t="shared" si="119"/>
        <v>283</v>
      </c>
      <c r="B642">
        <f t="shared" si="120"/>
        <v>-28300.918301225367</v>
      </c>
      <c r="C642">
        <f t="shared" si="121"/>
        <v>-55154.727579002749</v>
      </c>
      <c r="D642">
        <f t="shared" si="122"/>
        <v>-3254.4871215427629</v>
      </c>
      <c r="E642">
        <f t="shared" si="123"/>
        <v>-8219.671410261546</v>
      </c>
      <c r="F642">
        <f>$C$23*(H642/(J642^2+$C$24^2)^1.5)+$C$32*(K642/(M642^2+$C$33^2)^1.5)+C$41*(N642/(P642^2+$C$42^2)^1.5)</f>
        <v>2439.0280242193944</v>
      </c>
      <c r="G642">
        <f>$C$23*(I642/(J642^2+$C$24^2)^1.5)+$C$32*(L642/(M642^2+$C$33^2)^1.5)+C$41*(O642/(P642^2+$C$42^2)^1.5)</f>
        <v>4691.2335210904957</v>
      </c>
      <c r="H642" s="3">
        <f t="shared" si="124"/>
        <v>48300.918301225363</v>
      </c>
      <c r="I642" s="3">
        <f t="shared" si="125"/>
        <v>70154.727579002749</v>
      </c>
      <c r="J642" s="3">
        <f t="shared" si="126"/>
        <v>85174.318373707778</v>
      </c>
      <c r="K642" s="3">
        <f t="shared" si="127"/>
        <v>8300.918301225367</v>
      </c>
      <c r="L642" s="3">
        <f t="shared" si="128"/>
        <v>75154.727579002749</v>
      </c>
      <c r="M642" s="3">
        <f t="shared" si="129"/>
        <v>75611.76047492701</v>
      </c>
      <c r="N642" s="3">
        <f t="shared" si="130"/>
        <v>23300.918301225367</v>
      </c>
      <c r="O642" s="3">
        <f t="shared" si="131"/>
        <v>25154.727579002749</v>
      </c>
      <c r="P642" s="3">
        <f t="shared" si="132"/>
        <v>34288.381607393203</v>
      </c>
    </row>
    <row r="643" spans="1:16" x14ac:dyDescent="0.25">
      <c r="A643">
        <f t="shared" si="119"/>
        <v>283.5</v>
      </c>
      <c r="B643">
        <f t="shared" si="120"/>
        <v>-29318.404855941899</v>
      </c>
      <c r="C643">
        <f t="shared" si="121"/>
        <v>-58091.7549038609</v>
      </c>
      <c r="D643">
        <f t="shared" si="122"/>
        <v>-2034.9731094330657</v>
      </c>
      <c r="E643">
        <f t="shared" si="123"/>
        <v>-5874.0546497162977</v>
      </c>
      <c r="F643">
        <f>$C$23*(H643/(J643^2+$C$24^2)^1.5)+$C$32*(K643/(M643^2+$C$33^2)^1.5)+C$41*(N643/(P643^2+$C$42^2)^1.5)</f>
        <v>2082.2954804940546</v>
      </c>
      <c r="G643">
        <f>$C$23*(I643/(J643^2+$C$24^2)^1.5)+$C$32*(L643/(M643^2+$C$33^2)^1.5)+C$41*(O643/(P643^2+$C$42^2)^1.5)</f>
        <v>4272.2542325005279</v>
      </c>
      <c r="H643" s="3">
        <f t="shared" si="124"/>
        <v>49318.404855941902</v>
      </c>
      <c r="I643" s="3">
        <f t="shared" si="125"/>
        <v>73091.7549038609</v>
      </c>
      <c r="J643" s="3">
        <f t="shared" si="126"/>
        <v>88174.314244345951</v>
      </c>
      <c r="K643" s="3">
        <f t="shared" si="127"/>
        <v>9318.4048559418989</v>
      </c>
      <c r="L643" s="3">
        <f t="shared" si="128"/>
        <v>78091.7549038609</v>
      </c>
      <c r="M643" s="3">
        <f t="shared" si="129"/>
        <v>78645.755467310024</v>
      </c>
      <c r="N643" s="3">
        <f t="shared" si="130"/>
        <v>24318.404855941899</v>
      </c>
      <c r="O643" s="3">
        <f t="shared" si="131"/>
        <v>28091.7549038609</v>
      </c>
      <c r="P643" s="3">
        <f t="shared" si="132"/>
        <v>37155.504414771327</v>
      </c>
    </row>
    <row r="644" spans="1:16" x14ac:dyDescent="0.25">
      <c r="A644">
        <f t="shared" si="119"/>
        <v>284</v>
      </c>
      <c r="B644">
        <f t="shared" si="120"/>
        <v>-29815.317540534917</v>
      </c>
      <c r="C644">
        <f t="shared" si="121"/>
        <v>-59960.718670593917</v>
      </c>
      <c r="D644">
        <f t="shared" si="122"/>
        <v>-993.82536918603842</v>
      </c>
      <c r="E644">
        <f t="shared" si="123"/>
        <v>-3737.9275334660338</v>
      </c>
      <c r="F644">
        <f>$C$23*(H644/(J644^2+$C$24^2)^1.5)+$C$32*(K644/(M644^2+$C$33^2)^1.5)+C$41*(N644/(P644^2+$C$42^2)^1.5)</f>
        <v>1891.6795090004514</v>
      </c>
      <c r="G644">
        <f>$C$23*(I644/(J644^2+$C$24^2)^1.5)+$C$32*(L644/(M644^2+$C$33^2)^1.5)+C$41*(O644/(P644^2+$C$42^2)^1.5)</f>
        <v>4044.3534383800652</v>
      </c>
      <c r="H644" s="3">
        <f t="shared" si="124"/>
        <v>49815.317540534917</v>
      </c>
      <c r="I644" s="3">
        <f t="shared" si="125"/>
        <v>74960.718670593924</v>
      </c>
      <c r="J644" s="3">
        <f t="shared" si="126"/>
        <v>90003.751062254363</v>
      </c>
      <c r="K644" s="3">
        <f t="shared" si="127"/>
        <v>9815.3175405349175</v>
      </c>
      <c r="L644" s="3">
        <f t="shared" si="128"/>
        <v>79960.718670593924</v>
      </c>
      <c r="M644" s="3">
        <f t="shared" si="129"/>
        <v>80560.889945055838</v>
      </c>
      <c r="N644" s="3">
        <f t="shared" si="130"/>
        <v>24815.317540534917</v>
      </c>
      <c r="O644" s="3">
        <f t="shared" si="131"/>
        <v>29960.718670593917</v>
      </c>
      <c r="P644" s="3">
        <f t="shared" si="132"/>
        <v>38903.015922882572</v>
      </c>
    </row>
    <row r="645" spans="1:16" x14ac:dyDescent="0.25">
      <c r="A645">
        <f t="shared" si="119"/>
        <v>284.5</v>
      </c>
      <c r="B645">
        <f t="shared" si="120"/>
        <v>-29839.310347877825</v>
      </c>
      <c r="C645">
        <f t="shared" si="121"/>
        <v>-60818.594077731919</v>
      </c>
      <c r="D645">
        <f t="shared" si="122"/>
        <v>-47.98561468581272</v>
      </c>
      <c r="E645">
        <f t="shared" si="123"/>
        <v>-1715.7508142760012</v>
      </c>
      <c r="F645">
        <f>$C$23*(H645/(J645^2+$C$24^2)^1.5)+$C$32*(K645/(M645^2+$C$33^2)^1.5)+C$41*(N645/(P645^2+$C$42^2)^1.5)</f>
        <v>1808.9606666513905</v>
      </c>
      <c r="G645">
        <f>$C$23*(I645/(J645^2+$C$24^2)^1.5)+$C$32*(L645/(M645^2+$C$33^2)^1.5)+C$41*(O645/(P645^2+$C$42^2)^1.5)</f>
        <v>3963.7507812698109</v>
      </c>
      <c r="H645" s="3">
        <f t="shared" si="124"/>
        <v>49839.310347877821</v>
      </c>
      <c r="I645" s="3">
        <f t="shared" si="125"/>
        <v>75818.594077731919</v>
      </c>
      <c r="J645" s="3">
        <f t="shared" si="126"/>
        <v>90732.662607662773</v>
      </c>
      <c r="K645" s="3">
        <f t="shared" si="127"/>
        <v>9839.3103478778248</v>
      </c>
      <c r="L645" s="3">
        <f t="shared" si="128"/>
        <v>80818.594077731919</v>
      </c>
      <c r="M645" s="3">
        <f t="shared" si="129"/>
        <v>81415.337479022099</v>
      </c>
      <c r="N645" s="3">
        <f t="shared" si="130"/>
        <v>24839.310347877825</v>
      </c>
      <c r="O645" s="3">
        <f t="shared" si="131"/>
        <v>30818.594077731919</v>
      </c>
      <c r="P645" s="3">
        <f t="shared" si="132"/>
        <v>39582.535031074032</v>
      </c>
    </row>
    <row r="646" spans="1:16" x14ac:dyDescent="0.25">
      <c r="A646">
        <f t="shared" si="119"/>
        <v>285</v>
      </c>
      <c r="B646">
        <f t="shared" si="120"/>
        <v>-29411.062988557886</v>
      </c>
      <c r="C646">
        <f t="shared" si="121"/>
        <v>-60685.531789552471</v>
      </c>
      <c r="D646">
        <f t="shared" si="122"/>
        <v>856.49471863988254</v>
      </c>
      <c r="E646">
        <f t="shared" si="123"/>
        <v>266.12457635890428</v>
      </c>
      <c r="F646">
        <f>$C$23*(H646/(J646^2+$C$24^2)^1.5)+$C$32*(K646/(M646^2+$C$33^2)^1.5)+C$41*(N646/(P646^2+$C$42^2)^1.5)</f>
        <v>1814.0366438124759</v>
      </c>
      <c r="G646">
        <f>$C$23*(I646/(J646^2+$C$24^2)^1.5)+$C$32*(L646/(M646^2+$C$33^2)^1.5)+C$41*(O646/(P646^2+$C$42^2)^1.5)</f>
        <v>4016.7934292779501</v>
      </c>
      <c r="H646" s="3">
        <f t="shared" si="124"/>
        <v>49411.062988557882</v>
      </c>
      <c r="I646" s="3">
        <f t="shared" si="125"/>
        <v>75685.531789552479</v>
      </c>
      <c r="J646" s="3">
        <f t="shared" si="126"/>
        <v>90386.685235860888</v>
      </c>
      <c r="K646" s="3">
        <f t="shared" si="127"/>
        <v>9411.0629885578855</v>
      </c>
      <c r="L646" s="3">
        <f t="shared" si="128"/>
        <v>80685.531789552479</v>
      </c>
      <c r="M646" s="3">
        <f t="shared" si="129"/>
        <v>81232.525177649673</v>
      </c>
      <c r="N646" s="3">
        <f t="shared" si="130"/>
        <v>24411.062988557886</v>
      </c>
      <c r="O646" s="3">
        <f t="shared" si="131"/>
        <v>30685.531789552471</v>
      </c>
      <c r="P646" s="3">
        <f t="shared" si="132"/>
        <v>39210.991538584887</v>
      </c>
    </row>
    <row r="647" spans="1:16" x14ac:dyDescent="0.25">
      <c r="A647">
        <f t="shared" si="119"/>
        <v>285.5</v>
      </c>
      <c r="B647">
        <f t="shared" si="120"/>
        <v>-28529.306468284823</v>
      </c>
      <c r="C647">
        <f t="shared" si="121"/>
        <v>-59548.271144053528</v>
      </c>
      <c r="D647">
        <f t="shared" si="122"/>
        <v>1763.5130405461205</v>
      </c>
      <c r="E647">
        <f t="shared" si="123"/>
        <v>2274.5212909978791</v>
      </c>
      <c r="F647">
        <f>$C$23*(H647/(J647^2+$C$24^2)^1.5)+$C$32*(K647/(M647^2+$C$33^2)^1.5)+C$41*(N647/(P647^2+$C$42^2)^1.5)</f>
        <v>1911.6811937521552</v>
      </c>
      <c r="G647">
        <f>$C$23*(I647/(J647^2+$C$24^2)^1.5)+$C$32*(L647/(M647^2+$C$33^2)^1.5)+C$41*(O647/(P647^2+$C$42^2)^1.5)</f>
        <v>4215.2043943175449</v>
      </c>
      <c r="H647" s="3">
        <f t="shared" si="124"/>
        <v>48529.30646828482</v>
      </c>
      <c r="I647" s="3">
        <f t="shared" si="125"/>
        <v>74548.27114405352</v>
      </c>
      <c r="J647" s="3">
        <f t="shared" si="126"/>
        <v>88952.449751876047</v>
      </c>
      <c r="K647" s="3">
        <f t="shared" si="127"/>
        <v>8529.3064682848235</v>
      </c>
      <c r="L647" s="3">
        <f t="shared" si="128"/>
        <v>79548.27114405352</v>
      </c>
      <c r="M647" s="3">
        <f t="shared" si="129"/>
        <v>80004.228081006964</v>
      </c>
      <c r="N647" s="3">
        <f t="shared" si="130"/>
        <v>23529.306468284823</v>
      </c>
      <c r="O647" s="3">
        <f t="shared" si="131"/>
        <v>29548.271144053528</v>
      </c>
      <c r="P647" s="3">
        <f t="shared" si="132"/>
        <v>37772.060977407316</v>
      </c>
    </row>
    <row r="648" spans="1:16" x14ac:dyDescent="0.25">
      <c r="A648">
        <f t="shared" si="119"/>
        <v>286</v>
      </c>
      <c r="B648">
        <f t="shared" si="120"/>
        <v>-27169.629649573726</v>
      </c>
      <c r="C648">
        <f t="shared" si="121"/>
        <v>-57357.209399975203</v>
      </c>
      <c r="D648">
        <f t="shared" si="122"/>
        <v>2719.3536374221981</v>
      </c>
      <c r="E648">
        <f t="shared" si="123"/>
        <v>4382.1234881566515</v>
      </c>
      <c r="F648">
        <f>$C$23*(H648/(J648^2+$C$24^2)^1.5)+$C$32*(K648/(M648^2+$C$33^2)^1.5)+C$41*(N648/(P648^2+$C$42^2)^1.5)</f>
        <v>2136.1151024238852</v>
      </c>
      <c r="G648">
        <f>$C$23*(I648/(J648^2+$C$24^2)^1.5)+$C$32*(L648/(M648^2+$C$33^2)^1.5)+C$41*(O648/(P648^2+$C$42^2)^1.5)</f>
        <v>4602.6258265794359</v>
      </c>
      <c r="H648" s="3">
        <f t="shared" si="124"/>
        <v>47169.629649573726</v>
      </c>
      <c r="I648" s="3">
        <f t="shared" si="125"/>
        <v>72357.209399975196</v>
      </c>
      <c r="J648" s="3">
        <f t="shared" si="126"/>
        <v>86374.415850006204</v>
      </c>
      <c r="K648" s="3">
        <f t="shared" si="127"/>
        <v>7169.6296495737261</v>
      </c>
      <c r="L648" s="3">
        <f t="shared" si="128"/>
        <v>77357.209399975196</v>
      </c>
      <c r="M648" s="3">
        <f t="shared" si="129"/>
        <v>77688.747161115025</v>
      </c>
      <c r="N648" s="3">
        <f t="shared" si="130"/>
        <v>22169.629649573726</v>
      </c>
      <c r="O648" s="3">
        <f t="shared" si="131"/>
        <v>27357.209399975203</v>
      </c>
      <c r="P648" s="3">
        <f t="shared" si="132"/>
        <v>35212.347052608551</v>
      </c>
    </row>
    <row r="649" spans="1:16" x14ac:dyDescent="0.25">
      <c r="A649">
        <f t="shared" si="119"/>
        <v>286.5</v>
      </c>
      <c r="B649">
        <f t="shared" si="120"/>
        <v>-25275.924055256659</v>
      </c>
      <c r="C649">
        <f t="shared" si="121"/>
        <v>-54015.491199252021</v>
      </c>
      <c r="D649">
        <f t="shared" si="122"/>
        <v>3787.4111886341407</v>
      </c>
      <c r="E649">
        <f t="shared" si="123"/>
        <v>6683.4364014463699</v>
      </c>
      <c r="F649">
        <f>$C$23*(H649/(J649^2+$C$24^2)^1.5)+$C$32*(K649/(M649^2+$C$33^2)^1.5)+C$41*(N649/(P649^2+$C$42^2)^1.5)</f>
        <v>2580.9070485140614</v>
      </c>
      <c r="G649">
        <f>$C$23*(I649/(J649^2+$C$24^2)^1.5)+$C$32*(L649/(M649^2+$C$33^2)^1.5)+C$41*(O649/(P649^2+$C$42^2)^1.5)</f>
        <v>5279.2564051223608</v>
      </c>
      <c r="H649" s="3">
        <f t="shared" si="124"/>
        <v>45275.924055256663</v>
      </c>
      <c r="I649" s="3">
        <f t="shared" si="125"/>
        <v>69015.491199252021</v>
      </c>
      <c r="J649" s="3">
        <f t="shared" si="126"/>
        <v>82541.185625912854</v>
      </c>
      <c r="K649" s="3">
        <f t="shared" si="127"/>
        <v>5275.9240552566589</v>
      </c>
      <c r="L649" s="3">
        <f t="shared" si="128"/>
        <v>74015.491199252021</v>
      </c>
      <c r="M649" s="3">
        <f t="shared" si="129"/>
        <v>74203.290439867895</v>
      </c>
      <c r="N649" s="3">
        <f t="shared" si="130"/>
        <v>20275.924055256659</v>
      </c>
      <c r="O649" s="3">
        <f t="shared" si="131"/>
        <v>24015.491199252021</v>
      </c>
      <c r="P649" s="3">
        <f t="shared" si="132"/>
        <v>31430.191119938914</v>
      </c>
    </row>
    <row r="650" spans="1:16" x14ac:dyDescent="0.25">
      <c r="A650">
        <f t="shared" si="119"/>
        <v>287</v>
      </c>
      <c r="B650">
        <f t="shared" si="120"/>
        <v>-22736.991698811074</v>
      </c>
      <c r="C650">
        <f t="shared" si="121"/>
        <v>-49353.958897248245</v>
      </c>
      <c r="D650">
        <f t="shared" si="122"/>
        <v>5077.8647128911716</v>
      </c>
      <c r="E650">
        <f t="shared" si="123"/>
        <v>9323.0646040075499</v>
      </c>
      <c r="F650">
        <f>$C$23*(H650/(J650^2+$C$24^2)^1.5)+$C$32*(K650/(M650^2+$C$33^2)^1.5)+C$41*(N650/(P650^2+$C$42^2)^1.5)</f>
        <v>3507.548667000051</v>
      </c>
      <c r="G650">
        <f>$C$23*(I650/(J650^2+$C$24^2)^1.5)+$C$32*(L650/(M650^2+$C$33^2)^1.5)+C$41*(O650/(P650^2+$C$42^2)^1.5)</f>
        <v>6467.6242560263772</v>
      </c>
      <c r="H650" s="3">
        <f t="shared" si="124"/>
        <v>42736.991698811078</v>
      </c>
      <c r="I650" s="3">
        <f t="shared" si="125"/>
        <v>64353.958897248245</v>
      </c>
      <c r="J650" s="3">
        <f t="shared" si="126"/>
        <v>77252.071073939267</v>
      </c>
      <c r="K650" s="3">
        <f t="shared" si="127"/>
        <v>2736.9916988110745</v>
      </c>
      <c r="L650" s="3">
        <f t="shared" si="128"/>
        <v>69353.958897248245</v>
      </c>
      <c r="M650" s="3">
        <f t="shared" si="129"/>
        <v>69407.944345590295</v>
      </c>
      <c r="N650" s="3">
        <f t="shared" si="130"/>
        <v>17736.991698811074</v>
      </c>
      <c r="O650" s="3">
        <f t="shared" si="131"/>
        <v>19353.958897248245</v>
      </c>
      <c r="P650" s="3">
        <f t="shared" si="132"/>
        <v>26252.173234230864</v>
      </c>
    </row>
    <row r="651" spans="1:16" x14ac:dyDescent="0.25">
      <c r="A651">
        <f t="shared" si="119"/>
        <v>287.5</v>
      </c>
      <c r="B651">
        <f t="shared" si="120"/>
        <v>-19321.172175615477</v>
      </c>
      <c r="C651">
        <f t="shared" si="121"/>
        <v>-43075.520531237875</v>
      </c>
      <c r="D651">
        <f t="shared" si="122"/>
        <v>6831.6390463911976</v>
      </c>
      <c r="E651">
        <f t="shared" si="123"/>
        <v>12556.876732020739</v>
      </c>
      <c r="F651">
        <f>$C$23*(H651/(J651^2+$C$24^2)^1.5)+$C$32*(K651/(M651^2+$C$33^2)^1.5)+C$41*(N651/(P651^2+$C$42^2)^1.5)</f>
        <v>5799.2259758998307</v>
      </c>
      <c r="G651">
        <f>$C$23*(I651/(J651^2+$C$24^2)^1.5)+$C$32*(L651/(M651^2+$C$33^2)^1.5)+C$41*(O651/(P651^2+$C$42^2)^1.5)</f>
        <v>8631.7427549233053</v>
      </c>
      <c r="H651" s="3">
        <f t="shared" si="124"/>
        <v>39321.172175615473</v>
      </c>
      <c r="I651" s="3">
        <f t="shared" si="125"/>
        <v>58075.520531237875</v>
      </c>
      <c r="J651" s="3">
        <f t="shared" si="126"/>
        <v>70135.017403852034</v>
      </c>
      <c r="K651" s="3">
        <f t="shared" si="127"/>
        <v>-678.82782438452341</v>
      </c>
      <c r="L651" s="3">
        <f t="shared" si="128"/>
        <v>63075.520531237875</v>
      </c>
      <c r="M651" s="3">
        <f t="shared" si="129"/>
        <v>63079.173246815539</v>
      </c>
      <c r="N651" s="3">
        <f t="shared" si="130"/>
        <v>14321.172175615477</v>
      </c>
      <c r="O651" s="3">
        <f t="shared" si="131"/>
        <v>13075.520531237875</v>
      </c>
      <c r="P651" s="3">
        <f t="shared" si="132"/>
        <v>19392.400822137679</v>
      </c>
    </row>
    <row r="652" spans="1:16" x14ac:dyDescent="0.25">
      <c r="A652">
        <f t="shared" si="119"/>
        <v>288</v>
      </c>
      <c r="B652">
        <f t="shared" si="120"/>
        <v>-14455.54615844492</v>
      </c>
      <c r="C652">
        <f t="shared" si="121"/>
        <v>-34639.14647649668</v>
      </c>
      <c r="D652">
        <f t="shared" si="122"/>
        <v>9731.2520343411124</v>
      </c>
      <c r="E652">
        <f t="shared" si="123"/>
        <v>16872.748109482392</v>
      </c>
      <c r="F652">
        <f>$C$23*(H652/(J652^2+$C$24^2)^1.5)+$C$32*(K652/(M652^2+$C$33^2)^1.5)+C$41*(N652/(P652^2+$C$42^2)^1.5)</f>
        <v>12585.326576792873</v>
      </c>
      <c r="G652">
        <f>$C$23*(I652/(J652^2+$C$24^2)^1.5)+$C$32*(L652/(M652^2+$C$33^2)^1.5)+C$41*(O652/(P652^2+$C$42^2)^1.5)</f>
        <v>10646.130486675069</v>
      </c>
      <c r="H652" s="3">
        <f t="shared" si="124"/>
        <v>34455.546158444922</v>
      </c>
      <c r="I652" s="3">
        <f t="shared" si="125"/>
        <v>49639.14647649668</v>
      </c>
      <c r="J652" s="3">
        <f t="shared" si="126"/>
        <v>60425.404624146468</v>
      </c>
      <c r="K652" s="3">
        <f t="shared" si="127"/>
        <v>-5544.4538415550796</v>
      </c>
      <c r="L652" s="3">
        <f t="shared" si="128"/>
        <v>54639.14647649668</v>
      </c>
      <c r="M652" s="3">
        <f t="shared" si="129"/>
        <v>54919.735032874974</v>
      </c>
      <c r="N652" s="3">
        <f t="shared" si="130"/>
        <v>9455.5461584449204</v>
      </c>
      <c r="O652" s="3">
        <f t="shared" si="131"/>
        <v>4639.1464764966804</v>
      </c>
      <c r="P652" s="3">
        <f t="shared" si="132"/>
        <v>10532.285278365473</v>
      </c>
    </row>
    <row r="653" spans="1:16" x14ac:dyDescent="0.25">
      <c r="A653">
        <f t="shared" si="119"/>
        <v>288.5</v>
      </c>
      <c r="B653">
        <f t="shared" si="120"/>
        <v>-6443.5884970761454</v>
      </c>
      <c r="C653">
        <f t="shared" si="121"/>
        <v>-23541.239800086718</v>
      </c>
      <c r="D653">
        <f t="shared" si="122"/>
        <v>16023.91532273755</v>
      </c>
      <c r="E653">
        <f t="shared" si="123"/>
        <v>22195.813352819925</v>
      </c>
      <c r="F653">
        <f>$C$23*(H653/(J653^2+$C$24^2)^1.5)+$C$32*(K653/(M653^2+$C$33^2)^1.5)+C$41*(N653/(P653^2+$C$42^2)^1.5)</f>
        <v>1907.7298904118886</v>
      </c>
      <c r="G653">
        <f>$C$23*(I653/(J653^2+$C$24^2)^1.5)+$C$32*(L653/(M653^2+$C$33^2)^1.5)+C$41*(O653/(P653^2+$C$42^2)^1.5)</f>
        <v>-9931.2268998444015</v>
      </c>
      <c r="H653" s="3">
        <f t="shared" si="124"/>
        <v>26443.588497076147</v>
      </c>
      <c r="I653" s="3">
        <f t="shared" si="125"/>
        <v>38541.239800086718</v>
      </c>
      <c r="J653" s="3">
        <f t="shared" si="126"/>
        <v>46740.673272113723</v>
      </c>
      <c r="K653" s="3">
        <f t="shared" si="127"/>
        <v>-13556.411502923855</v>
      </c>
      <c r="L653" s="3">
        <f t="shared" si="128"/>
        <v>43541.239800086718</v>
      </c>
      <c r="M653" s="3">
        <f t="shared" si="129"/>
        <v>45602.805354114585</v>
      </c>
      <c r="N653" s="3">
        <f t="shared" si="130"/>
        <v>1443.5884970761454</v>
      </c>
      <c r="O653" s="3">
        <f t="shared" si="131"/>
        <v>-6458.7601999132821</v>
      </c>
      <c r="P653" s="3">
        <f t="shared" si="132"/>
        <v>6618.1214153923183</v>
      </c>
    </row>
    <row r="654" spans="1:16" x14ac:dyDescent="0.25">
      <c r="A654">
        <f t="shared" ref="A654:A717" si="133">A653+$C$5</f>
        <v>289</v>
      </c>
      <c r="B654">
        <f t="shared" ref="B654:B717" si="134">B653+D653*(A654-A653)+F653*(A654-A653)^2</f>
        <v>2045.3016368956019</v>
      </c>
      <c r="C654">
        <f t="shared" ref="C654:C717" si="135">C653+E653*(A654-A653)+G653*(A654-A653)^2</f>
        <v>-14926.139848637857</v>
      </c>
      <c r="D654">
        <f t="shared" ref="D654:D717" si="136">D653+F653*(A654-A653)</f>
        <v>16977.780267943494</v>
      </c>
      <c r="E654">
        <f t="shared" ref="E654:E717" si="137">E653+G653*(A654-A653)</f>
        <v>17230.199902897722</v>
      </c>
      <c r="F654">
        <f>$C$23*(H654/(J654^2+$C$24^2)^1.5)+$C$32*(K654/(M654^2+$C$33^2)^1.5)+C$41*(N654/(P654^2+$C$42^2)^1.5)</f>
        <v>-7492.6882091317375</v>
      </c>
      <c r="G654">
        <f>$C$23*(I654/(J654^2+$C$24^2)^1.5)+$C$32*(L654/(M654^2+$C$33^2)^1.5)+C$41*(O654/(P654^2+$C$42^2)^1.5)</f>
        <v>-2453.4984977932936</v>
      </c>
      <c r="H654" s="3">
        <f t="shared" ref="H654:H717" si="138">$C$19-B654</f>
        <v>17954.698363104399</v>
      </c>
      <c r="I654" s="3">
        <f t="shared" ref="I654:I717" si="139">$D$19-C654</f>
        <v>29926.139848637857</v>
      </c>
      <c r="J654" s="3">
        <f t="shared" ref="J654:J717" si="140">SQRT(H654^2+I654^2)</f>
        <v>34899.069322122254</v>
      </c>
      <c r="K654" s="3">
        <f t="shared" ref="K654:K717" si="141">$C$28-B654</f>
        <v>-22045.301636895601</v>
      </c>
      <c r="L654" s="3">
        <f t="shared" ref="L654:L717" si="142">$D$28-C654</f>
        <v>34926.13984863786</v>
      </c>
      <c r="M654" s="3">
        <f t="shared" ref="M654:M717" si="143">SQRT(K654^2+L654^2)</f>
        <v>41301.70176867197</v>
      </c>
      <c r="N654" s="3">
        <f t="shared" ref="N654:N717" si="144">$C$37-B654</f>
        <v>-7045.3016368956014</v>
      </c>
      <c r="O654" s="3">
        <f t="shared" ref="O654:O717" si="145">$D$37-C654</f>
        <v>-15073.860151362143</v>
      </c>
      <c r="P654" s="3">
        <f t="shared" ref="P654:P717" si="146">SQRT(N654^2+O654^2)</f>
        <v>16639.036481048635</v>
      </c>
    </row>
    <row r="655" spans="1:16" x14ac:dyDescent="0.25">
      <c r="A655">
        <f t="shared" si="133"/>
        <v>289.5</v>
      </c>
      <c r="B655">
        <f t="shared" si="134"/>
        <v>8661.0197185844136</v>
      </c>
      <c r="C655">
        <f t="shared" si="135"/>
        <v>-6924.414521637319</v>
      </c>
      <c r="D655">
        <f t="shared" si="136"/>
        <v>13231.436163377624</v>
      </c>
      <c r="E655">
        <f t="shared" si="137"/>
        <v>16003.450654001075</v>
      </c>
      <c r="F655">
        <f>$C$23*(H655/(J655^2+$C$24^2)^1.5)+$C$32*(K655/(M655^2+$C$33^2)^1.5)+C$41*(N655/(P655^2+$C$42^2)^1.5)</f>
        <v>-7504.1200761618002</v>
      </c>
      <c r="G655">
        <f>$C$23*(I655/(J655^2+$C$24^2)^1.5)+$C$32*(L655/(M655^2+$C$33^2)^1.5)+C$41*(O655/(P655^2+$C$42^2)^1.5)</f>
        <v>1701.048415417401</v>
      </c>
      <c r="H655" s="3">
        <f t="shared" si="138"/>
        <v>11338.980281415586</v>
      </c>
      <c r="I655" s="3">
        <f t="shared" si="139"/>
        <v>21924.414521637318</v>
      </c>
      <c r="J655" s="3">
        <f t="shared" si="140"/>
        <v>24683.039236263285</v>
      </c>
      <c r="K655" s="3">
        <f t="shared" si="141"/>
        <v>-28661.019718584415</v>
      </c>
      <c r="L655" s="3">
        <f t="shared" si="142"/>
        <v>26924.414521637318</v>
      </c>
      <c r="M655" s="3">
        <f t="shared" si="143"/>
        <v>39324.014910001744</v>
      </c>
      <c r="N655" s="3">
        <f t="shared" si="144"/>
        <v>-13661.019718584414</v>
      </c>
      <c r="O655" s="3">
        <f t="shared" si="145"/>
        <v>-23075.585478362682</v>
      </c>
      <c r="P655" s="3">
        <f t="shared" si="146"/>
        <v>26816.153805510119</v>
      </c>
    </row>
    <row r="656" spans="1:16" x14ac:dyDescent="0.25">
      <c r="A656">
        <f t="shared" si="133"/>
        <v>290</v>
      </c>
      <c r="B656">
        <f t="shared" si="134"/>
        <v>13400.707781232775</v>
      </c>
      <c r="C656">
        <f t="shared" si="135"/>
        <v>1502.5729092175688</v>
      </c>
      <c r="D656">
        <f t="shared" si="136"/>
        <v>9479.3761252967233</v>
      </c>
      <c r="E656">
        <f t="shared" si="137"/>
        <v>16853.974861709776</v>
      </c>
      <c r="F656">
        <f>$C$23*(H656/(J656^2+$C$24^2)^1.5)+$C$32*(K656/(M656^2+$C$33^2)^1.5)+C$41*(N656/(P656^2+$C$42^2)^1.5)</f>
        <v>-7393.9610641007257</v>
      </c>
      <c r="G656">
        <f>$C$23*(I656/(J656^2+$C$24^2)^1.5)+$C$32*(L656/(M656^2+$C$33^2)^1.5)+C$41*(O656/(P656^2+$C$42^2)^1.5)</f>
        <v>3130.6523534407352</v>
      </c>
      <c r="H656" s="3">
        <f t="shared" si="138"/>
        <v>6599.2922187672248</v>
      </c>
      <c r="I656" s="3">
        <f t="shared" si="139"/>
        <v>13497.427090782432</v>
      </c>
      <c r="J656" s="3">
        <f t="shared" si="140"/>
        <v>15024.353425677564</v>
      </c>
      <c r="K656" s="3">
        <f t="shared" si="141"/>
        <v>-33400.707781232777</v>
      </c>
      <c r="L656" s="3">
        <f t="shared" si="142"/>
        <v>18497.427090782432</v>
      </c>
      <c r="M656" s="3">
        <f t="shared" si="143"/>
        <v>38180.650718212171</v>
      </c>
      <c r="N656" s="3">
        <f t="shared" si="144"/>
        <v>-18400.707781232777</v>
      </c>
      <c r="O656" s="3">
        <f t="shared" si="145"/>
        <v>-31502.572909217568</v>
      </c>
      <c r="P656" s="3">
        <f t="shared" si="146"/>
        <v>36482.847295008229</v>
      </c>
    </row>
    <row r="657" spans="1:16" x14ac:dyDescent="0.25">
      <c r="A657">
        <f t="shared" si="133"/>
        <v>290.5</v>
      </c>
      <c r="B657">
        <f t="shared" si="134"/>
        <v>16291.905577855958</v>
      </c>
      <c r="C657">
        <f t="shared" si="135"/>
        <v>10712.223428432641</v>
      </c>
      <c r="D657">
        <f t="shared" si="136"/>
        <v>5782.3955932463605</v>
      </c>
      <c r="E657">
        <f t="shared" si="137"/>
        <v>18419.301038430145</v>
      </c>
      <c r="F657">
        <f>$C$23*(H657/(J657^2+$C$24^2)^1.5)+$C$32*(K657/(M657^2+$C$33^2)^1.5)+C$41*(N657/(P657^2+$C$42^2)^1.5)</f>
        <v>-4170.3613241052199</v>
      </c>
      <c r="G657">
        <f>$C$23*(I657/(J657^2+$C$24^2)^1.5)+$C$32*(L657/(M657^2+$C$33^2)^1.5)+C$41*(O657/(P657^2+$C$42^2)^1.5)</f>
        <v>5556.2126046796748</v>
      </c>
      <c r="H657" s="3">
        <f t="shared" si="138"/>
        <v>3708.0944221440423</v>
      </c>
      <c r="I657" s="3">
        <f t="shared" si="139"/>
        <v>4287.7765715673595</v>
      </c>
      <c r="J657" s="3">
        <f t="shared" si="140"/>
        <v>5668.7734274018831</v>
      </c>
      <c r="K657" s="3">
        <f t="shared" si="141"/>
        <v>-36291.905577855956</v>
      </c>
      <c r="L657" s="3">
        <f t="shared" si="142"/>
        <v>9287.7765715673595</v>
      </c>
      <c r="M657" s="3">
        <f t="shared" si="143"/>
        <v>37461.51630827786</v>
      </c>
      <c r="N657" s="3">
        <f t="shared" si="144"/>
        <v>-21291.905577855956</v>
      </c>
      <c r="O657" s="3">
        <f t="shared" si="145"/>
        <v>-40712.223428432641</v>
      </c>
      <c r="P657" s="3">
        <f t="shared" si="146"/>
        <v>45943.77411165688</v>
      </c>
    </row>
    <row r="658" spans="1:16" x14ac:dyDescent="0.25">
      <c r="A658">
        <f t="shared" si="133"/>
        <v>291</v>
      </c>
      <c r="B658">
        <f t="shared" si="134"/>
        <v>18140.513043452833</v>
      </c>
      <c r="C658">
        <f t="shared" si="135"/>
        <v>21310.927098817632</v>
      </c>
      <c r="D658">
        <f t="shared" si="136"/>
        <v>3697.2149311937505</v>
      </c>
      <c r="E658">
        <f t="shared" si="137"/>
        <v>21197.407340769983</v>
      </c>
      <c r="F658">
        <f>$C$23*(H658/(J658^2+$C$24^2)^1.5)+$C$32*(K658/(M658^2+$C$33^2)^1.5)+C$41*(N658/(P658^2+$C$42^2)^1.5)</f>
        <v>-6613.8595638425659</v>
      </c>
      <c r="G658">
        <f>$C$23*(I658/(J658^2+$C$24^2)^1.5)+$C$32*(L658/(M658^2+$C$33^2)^1.5)+C$41*(O658/(P658^2+$C$42^2)^1.5)</f>
        <v>-7275.0874180378314</v>
      </c>
      <c r="H658" s="3">
        <f t="shared" si="138"/>
        <v>1859.4869565471672</v>
      </c>
      <c r="I658" s="3">
        <f t="shared" si="139"/>
        <v>-6310.9270988176322</v>
      </c>
      <c r="J658" s="3">
        <f t="shared" si="140"/>
        <v>6579.171117105846</v>
      </c>
      <c r="K658" s="3">
        <f t="shared" si="141"/>
        <v>-38140.513043452833</v>
      </c>
      <c r="L658" s="3">
        <f t="shared" si="142"/>
        <v>-1310.9270988176322</v>
      </c>
      <c r="M658" s="3">
        <f t="shared" si="143"/>
        <v>38163.035323152821</v>
      </c>
      <c r="N658" s="3">
        <f t="shared" si="144"/>
        <v>-23140.513043452833</v>
      </c>
      <c r="O658" s="3">
        <f t="shared" si="145"/>
        <v>-51310.927098817629</v>
      </c>
      <c r="P658" s="3">
        <f t="shared" si="146"/>
        <v>56287.605950638797</v>
      </c>
    </row>
    <row r="659" spans="1:16" x14ac:dyDescent="0.25">
      <c r="A659">
        <f t="shared" si="133"/>
        <v>291.5</v>
      </c>
      <c r="B659">
        <f t="shared" si="134"/>
        <v>18335.655618089069</v>
      </c>
      <c r="C659">
        <f t="shared" si="135"/>
        <v>30090.858914693166</v>
      </c>
      <c r="D659">
        <f t="shared" si="136"/>
        <v>390.28514927246761</v>
      </c>
      <c r="E659">
        <f t="shared" si="137"/>
        <v>17559.863631751068</v>
      </c>
      <c r="F659">
        <f>$C$23*(H659/(J659^2+$C$24^2)^1.5)+$C$32*(K659/(M659^2+$C$33^2)^1.5)+C$41*(N659/(P659^2+$C$42^2)^1.5)</f>
        <v>-7256.5020971238828</v>
      </c>
      <c r="G659">
        <f>$C$23*(I659/(J659^2+$C$24^2)^1.5)+$C$32*(L659/(M659^2+$C$33^2)^1.5)+C$41*(O659/(P659^2+$C$42^2)^1.5)</f>
        <v>-4715.0012386118806</v>
      </c>
      <c r="H659" s="3">
        <f t="shared" si="138"/>
        <v>1664.3443819109307</v>
      </c>
      <c r="I659" s="3">
        <f t="shared" si="139"/>
        <v>-15090.858914693166</v>
      </c>
      <c r="J659" s="3">
        <f t="shared" si="140"/>
        <v>15182.36032390131</v>
      </c>
      <c r="K659" s="3">
        <f t="shared" si="141"/>
        <v>-38335.655618089069</v>
      </c>
      <c r="L659" s="3">
        <f t="shared" si="142"/>
        <v>-10090.858914693166</v>
      </c>
      <c r="M659" s="3">
        <f t="shared" si="143"/>
        <v>39641.492470705067</v>
      </c>
      <c r="N659" s="3">
        <f t="shared" si="144"/>
        <v>-23335.655618089069</v>
      </c>
      <c r="O659" s="3">
        <f t="shared" si="145"/>
        <v>-60090.858914693163</v>
      </c>
      <c r="P659" s="3">
        <f t="shared" si="146"/>
        <v>64462.889698117091</v>
      </c>
    </row>
    <row r="660" spans="1:16" x14ac:dyDescent="0.25">
      <c r="A660">
        <f t="shared" si="133"/>
        <v>292</v>
      </c>
      <c r="B660">
        <f t="shared" si="134"/>
        <v>16716.672668444331</v>
      </c>
      <c r="C660">
        <f t="shared" si="135"/>
        <v>37692.040420915728</v>
      </c>
      <c r="D660">
        <f t="shared" si="136"/>
        <v>-3237.9658992894738</v>
      </c>
      <c r="E660">
        <f t="shared" si="137"/>
        <v>15202.363012445128</v>
      </c>
      <c r="F660">
        <f>$C$23*(H660/(J660^2+$C$24^2)^1.5)+$C$32*(K660/(M660^2+$C$33^2)^1.5)+C$41*(N660/(P660^2+$C$42^2)^1.5)</f>
        <v>-6449.6490824760876</v>
      </c>
      <c r="G660">
        <f>$C$23*(I660/(J660^2+$C$24^2)^1.5)+$C$32*(L660/(M660^2+$C$33^2)^1.5)+C$41*(O660/(P660^2+$C$42^2)^1.5)</f>
        <v>-4739.1376945438924</v>
      </c>
      <c r="H660" s="3">
        <f t="shared" si="138"/>
        <v>3283.3273315556689</v>
      </c>
      <c r="I660" s="3">
        <f t="shared" si="139"/>
        <v>-22692.040420915728</v>
      </c>
      <c r="J660" s="3">
        <f t="shared" si="140"/>
        <v>22928.343525658667</v>
      </c>
      <c r="K660" s="3">
        <f t="shared" si="141"/>
        <v>-36716.672668444327</v>
      </c>
      <c r="L660" s="3">
        <f t="shared" si="142"/>
        <v>-17692.040420915728</v>
      </c>
      <c r="M660" s="3">
        <f t="shared" si="143"/>
        <v>40756.868698380189</v>
      </c>
      <c r="N660" s="3">
        <f t="shared" si="144"/>
        <v>-21716.672668444331</v>
      </c>
      <c r="O660" s="3">
        <f t="shared" si="145"/>
        <v>-67692.040420915728</v>
      </c>
      <c r="P660" s="3">
        <f t="shared" si="146"/>
        <v>71090.26802689131</v>
      </c>
    </row>
    <row r="661" spans="1:16" x14ac:dyDescent="0.25">
      <c r="A661">
        <f t="shared" si="133"/>
        <v>292.5</v>
      </c>
      <c r="B661">
        <f t="shared" si="134"/>
        <v>13485.277448180572</v>
      </c>
      <c r="C661">
        <f t="shared" si="135"/>
        <v>44108.437503502319</v>
      </c>
      <c r="D661">
        <f t="shared" si="136"/>
        <v>-6462.7904405275176</v>
      </c>
      <c r="E661">
        <f t="shared" si="137"/>
        <v>12832.794165173182</v>
      </c>
      <c r="F661">
        <f>$C$23*(H661/(J661^2+$C$24^2)^1.5)+$C$32*(K661/(M661^2+$C$33^2)^1.5)+C$41*(N661/(P661^2+$C$42^2)^1.5)</f>
        <v>-5640.2205300691448</v>
      </c>
      <c r="G661">
        <f>$C$23*(I661/(J661^2+$C$24^2)^1.5)+$C$32*(L661/(M661^2+$C$33^2)^1.5)+C$41*(O661/(P661^2+$C$42^2)^1.5)</f>
        <v>-5257.6383631047229</v>
      </c>
      <c r="H661" s="3">
        <f t="shared" si="138"/>
        <v>6514.7225518194282</v>
      </c>
      <c r="I661" s="3">
        <f t="shared" si="139"/>
        <v>-29108.437503502319</v>
      </c>
      <c r="J661" s="3">
        <f t="shared" si="140"/>
        <v>29828.555845405674</v>
      </c>
      <c r="K661" s="3">
        <f t="shared" si="141"/>
        <v>-33485.277448180568</v>
      </c>
      <c r="L661" s="3">
        <f t="shared" si="142"/>
        <v>-24108.437503502319</v>
      </c>
      <c r="M661" s="3">
        <f t="shared" si="143"/>
        <v>41261.126555656563</v>
      </c>
      <c r="N661" s="3">
        <f t="shared" si="144"/>
        <v>-18485.277448180572</v>
      </c>
      <c r="O661" s="3">
        <f t="shared" si="145"/>
        <v>-74108.437503502326</v>
      </c>
      <c r="P661" s="3">
        <f t="shared" si="146"/>
        <v>76379.09394295486</v>
      </c>
    </row>
    <row r="662" spans="1:16" x14ac:dyDescent="0.25">
      <c r="A662">
        <f t="shared" si="133"/>
        <v>293</v>
      </c>
      <c r="B662">
        <f t="shared" si="134"/>
        <v>8843.827095399527</v>
      </c>
      <c r="C662">
        <f t="shared" si="135"/>
        <v>49210.424995312729</v>
      </c>
      <c r="D662">
        <f t="shared" si="136"/>
        <v>-9282.9007055620896</v>
      </c>
      <c r="E662">
        <f t="shared" si="137"/>
        <v>10203.974983620821</v>
      </c>
      <c r="F662">
        <f>$C$23*(H662/(J662^2+$C$24^2)^1.5)+$C$32*(K662/(M662^2+$C$33^2)^1.5)+C$41*(N662/(P662^2+$C$42^2)^1.5)</f>
        <v>-4871.3472034217993</v>
      </c>
      <c r="G662">
        <f>$C$23*(I662/(J662^2+$C$24^2)^1.5)+$C$32*(L662/(M662^2+$C$33^2)^1.5)+C$41*(O662/(P662^2+$C$42^2)^1.5)</f>
        <v>-5943.4698224415224</v>
      </c>
      <c r="H662" s="3">
        <f t="shared" si="138"/>
        <v>11156.172904600473</v>
      </c>
      <c r="I662" s="3">
        <f t="shared" si="139"/>
        <v>-34210.424995312729</v>
      </c>
      <c r="J662" s="3">
        <f t="shared" si="140"/>
        <v>35983.515284603025</v>
      </c>
      <c r="K662" s="3">
        <f t="shared" si="141"/>
        <v>-28843.827095399527</v>
      </c>
      <c r="L662" s="3">
        <f t="shared" si="142"/>
        <v>-29210.424995312729</v>
      </c>
      <c r="M662" s="3">
        <f t="shared" si="143"/>
        <v>41051.37378841413</v>
      </c>
      <c r="N662" s="3">
        <f t="shared" si="144"/>
        <v>-13843.827095399527</v>
      </c>
      <c r="O662" s="3">
        <f t="shared" si="145"/>
        <v>-79210.424995312729</v>
      </c>
      <c r="P662" s="3">
        <f t="shared" si="146"/>
        <v>80411.087398351854</v>
      </c>
    </row>
    <row r="663" spans="1:16" x14ac:dyDescent="0.25">
      <c r="A663">
        <f t="shared" si="133"/>
        <v>293.5</v>
      </c>
      <c r="B663">
        <f t="shared" si="134"/>
        <v>2984.5399417630324</v>
      </c>
      <c r="C663">
        <f t="shared" si="135"/>
        <v>52826.54503151276</v>
      </c>
      <c r="D663">
        <f t="shared" si="136"/>
        <v>-11718.574307272989</v>
      </c>
      <c r="E663">
        <f t="shared" si="137"/>
        <v>7232.2400724000599</v>
      </c>
      <c r="F663">
        <f>$C$23*(H663/(J663^2+$C$24^2)^1.5)+$C$32*(K663/(M663^2+$C$33^2)^1.5)+C$41*(N663/(P663^2+$C$42^2)^1.5)</f>
        <v>-4082.372340069518</v>
      </c>
      <c r="G663">
        <f>$C$23*(I663/(J663^2+$C$24^2)^1.5)+$C$32*(L663/(M663^2+$C$33^2)^1.5)+C$41*(O663/(P663^2+$C$42^2)^1.5)</f>
        <v>-6784.7899158789278</v>
      </c>
      <c r="H663" s="3">
        <f t="shared" si="138"/>
        <v>17015.460058236968</v>
      </c>
      <c r="I663" s="3">
        <f t="shared" si="139"/>
        <v>-37826.54503151276</v>
      </c>
      <c r="J663" s="3">
        <f t="shared" si="140"/>
        <v>41477.384078730429</v>
      </c>
      <c r="K663" s="3">
        <f t="shared" si="141"/>
        <v>-22984.539941763032</v>
      </c>
      <c r="L663" s="3">
        <f t="shared" si="142"/>
        <v>-32826.54503151276</v>
      </c>
      <c r="M663" s="3">
        <f t="shared" si="143"/>
        <v>40073.321986583986</v>
      </c>
      <c r="N663" s="3">
        <f t="shared" si="144"/>
        <v>-7984.5399417630324</v>
      </c>
      <c r="O663" s="3">
        <f t="shared" si="145"/>
        <v>-82826.545031512767</v>
      </c>
      <c r="P663" s="3">
        <f t="shared" si="146"/>
        <v>83210.512796994706</v>
      </c>
    </row>
    <row r="664" spans="1:16" x14ac:dyDescent="0.25">
      <c r="A664">
        <f t="shared" si="133"/>
        <v>294</v>
      </c>
      <c r="B664">
        <f t="shared" si="134"/>
        <v>-3895.3402968908417</v>
      </c>
      <c r="C664">
        <f t="shared" si="135"/>
        <v>54746.467588743057</v>
      </c>
      <c r="D664">
        <f t="shared" si="136"/>
        <v>-13759.760477307747</v>
      </c>
      <c r="E664">
        <f t="shared" si="137"/>
        <v>3839.8451144605961</v>
      </c>
      <c r="F664">
        <f>$C$23*(H664/(J664^2+$C$24^2)^1.5)+$C$32*(K664/(M664^2+$C$33^2)^1.5)+C$41*(N664/(P664^2+$C$42^2)^1.5)</f>
        <v>-3156.3486815118595</v>
      </c>
      <c r="G664">
        <f>$C$23*(I664/(J664^2+$C$24^2)^1.5)+$C$32*(L664/(M664^2+$C$33^2)^1.5)+C$41*(O664/(P664^2+$C$42^2)^1.5)</f>
        <v>-7836.0521921769978</v>
      </c>
      <c r="H664" s="3">
        <f t="shared" si="138"/>
        <v>23895.340296890841</v>
      </c>
      <c r="I664" s="3">
        <f t="shared" si="139"/>
        <v>-39746.467588743057</v>
      </c>
      <c r="J664" s="3">
        <f t="shared" si="140"/>
        <v>46376.383792693647</v>
      </c>
      <c r="K664" s="3">
        <f t="shared" si="141"/>
        <v>-16104.659703109159</v>
      </c>
      <c r="L664" s="3">
        <f t="shared" si="142"/>
        <v>-34746.467588743057</v>
      </c>
      <c r="M664" s="3">
        <f t="shared" si="143"/>
        <v>38297.220186960301</v>
      </c>
      <c r="N664" s="3">
        <f t="shared" si="144"/>
        <v>-1104.6597031091583</v>
      </c>
      <c r="O664" s="3">
        <f t="shared" si="145"/>
        <v>-84746.467588743049</v>
      </c>
      <c r="P664" s="3">
        <f t="shared" si="146"/>
        <v>84753.666834123171</v>
      </c>
    </row>
    <row r="665" spans="1:16" x14ac:dyDescent="0.25">
      <c r="A665">
        <f t="shared" si="133"/>
        <v>294.5</v>
      </c>
      <c r="B665">
        <f t="shared" si="134"/>
        <v>-11564.30770592268</v>
      </c>
      <c r="C665">
        <f t="shared" si="135"/>
        <v>54707.3770979291</v>
      </c>
      <c r="D665">
        <f t="shared" si="136"/>
        <v>-15337.934818063677</v>
      </c>
      <c r="E665">
        <f t="shared" si="137"/>
        <v>-78.180981627902838</v>
      </c>
      <c r="F665">
        <f>$C$23*(H665/(J665^2+$C$24^2)^1.5)+$C$32*(K665/(M665^2+$C$33^2)^1.5)+C$41*(N665/(P665^2+$C$42^2)^1.5)</f>
        <v>-1882.5065407050633</v>
      </c>
      <c r="G665">
        <f>$C$23*(I665/(J665^2+$C$24^2)^1.5)+$C$32*(L665/(M665^2+$C$33^2)^1.5)+C$41*(O665/(P665^2+$C$42^2)^1.5)</f>
        <v>-9163.2315082504247</v>
      </c>
      <c r="H665" s="3">
        <f t="shared" si="138"/>
        <v>31564.307705922678</v>
      </c>
      <c r="I665" s="3">
        <f t="shared" si="139"/>
        <v>-39707.3770979291</v>
      </c>
      <c r="J665" s="3">
        <f t="shared" si="140"/>
        <v>50724.563250473766</v>
      </c>
      <c r="K665" s="3">
        <f t="shared" si="141"/>
        <v>-8435.6922940773202</v>
      </c>
      <c r="L665" s="3">
        <f t="shared" si="142"/>
        <v>-34707.3770979291</v>
      </c>
      <c r="M665" s="3">
        <f t="shared" si="143"/>
        <v>35717.823694875493</v>
      </c>
      <c r="N665" s="3">
        <f t="shared" si="144"/>
        <v>6564.3077059226798</v>
      </c>
      <c r="O665" s="3">
        <f t="shared" si="145"/>
        <v>-84707.3770979291</v>
      </c>
      <c r="P665" s="3">
        <f t="shared" si="146"/>
        <v>84961.34338903075</v>
      </c>
    </row>
    <row r="666" spans="1:16" x14ac:dyDescent="0.25">
      <c r="A666">
        <f t="shared" si="133"/>
        <v>295</v>
      </c>
      <c r="B666">
        <f t="shared" si="134"/>
        <v>-19703.901750130783</v>
      </c>
      <c r="C666">
        <f t="shared" si="135"/>
        <v>52377.478730052542</v>
      </c>
      <c r="D666">
        <f t="shared" si="136"/>
        <v>-16279.188088416209</v>
      </c>
      <c r="E666">
        <f t="shared" si="137"/>
        <v>-4659.7967357531152</v>
      </c>
      <c r="F666">
        <f>$C$23*(H666/(J666^2+$C$24^2)^1.5)+$C$32*(K666/(M666^2+$C$33^2)^1.5)+C$41*(N666/(P666^2+$C$42^2)^1.5)</f>
        <v>137.39594031450639</v>
      </c>
      <c r="G666">
        <f>$C$23*(I666/(J666^2+$C$24^2)^1.5)+$C$32*(L666/(M666^2+$C$33^2)^1.5)+C$41*(O666/(P666^2+$C$42^2)^1.5)</f>
        <v>-10768.816486571603</v>
      </c>
      <c r="H666" s="3">
        <f t="shared" si="138"/>
        <v>39703.901750130783</v>
      </c>
      <c r="I666" s="3">
        <f t="shared" si="139"/>
        <v>-37377.478730052542</v>
      </c>
      <c r="J666" s="3">
        <f t="shared" si="140"/>
        <v>54529.585826407747</v>
      </c>
      <c r="K666" s="3">
        <f t="shared" si="141"/>
        <v>-296.0982498692174</v>
      </c>
      <c r="L666" s="3">
        <f t="shared" si="142"/>
        <v>-32377.478730052542</v>
      </c>
      <c r="M666" s="3">
        <f t="shared" si="143"/>
        <v>32378.832639373835</v>
      </c>
      <c r="N666" s="3">
        <f t="shared" si="144"/>
        <v>14703.901750130783</v>
      </c>
      <c r="O666" s="3">
        <f t="shared" si="145"/>
        <v>-82377.478730052535</v>
      </c>
      <c r="P666" s="3">
        <f t="shared" si="146"/>
        <v>83679.470173978494</v>
      </c>
    </row>
    <row r="667" spans="1:16" x14ac:dyDescent="0.25">
      <c r="A667">
        <f t="shared" si="133"/>
        <v>295.5</v>
      </c>
      <c r="B667">
        <f t="shared" si="134"/>
        <v>-27809.146809260259</v>
      </c>
      <c r="C667">
        <f t="shared" si="135"/>
        <v>47355.376240533085</v>
      </c>
      <c r="D667">
        <f t="shared" si="136"/>
        <v>-16210.490118258956</v>
      </c>
      <c r="E667">
        <f t="shared" si="137"/>
        <v>-10044.204979038917</v>
      </c>
      <c r="F667">
        <f>$C$23*(H667/(J667^2+$C$24^2)^1.5)+$C$32*(K667/(M667^2+$C$33^2)^1.5)+C$41*(N667/(P667^2+$C$42^2)^1.5)</f>
        <v>3625.6089573952759</v>
      </c>
      <c r="G667">
        <f>$C$23*(I667/(J667^2+$C$24^2)^1.5)+$C$32*(L667/(M667^2+$C$33^2)^1.5)+C$41*(O667/(P667^2+$C$42^2)^1.5)</f>
        <v>-12316.971286781842</v>
      </c>
      <c r="H667" s="3">
        <f t="shared" si="138"/>
        <v>47809.146809260259</v>
      </c>
      <c r="I667" s="3">
        <f t="shared" si="139"/>
        <v>-32355.376240533085</v>
      </c>
      <c r="J667" s="3">
        <f t="shared" si="140"/>
        <v>57728.544848245161</v>
      </c>
      <c r="K667" s="3">
        <f t="shared" si="141"/>
        <v>7809.146809260259</v>
      </c>
      <c r="L667" s="3">
        <f t="shared" si="142"/>
        <v>-27355.376240533085</v>
      </c>
      <c r="M667" s="3">
        <f t="shared" si="143"/>
        <v>28448.187695347162</v>
      </c>
      <c r="N667" s="3">
        <f t="shared" si="144"/>
        <v>22809.146809260259</v>
      </c>
      <c r="O667" s="3">
        <f t="shared" si="145"/>
        <v>-77355.376240533078</v>
      </c>
      <c r="P667" s="3">
        <f t="shared" si="146"/>
        <v>80648.071343838208</v>
      </c>
    </row>
    <row r="668" spans="1:16" x14ac:dyDescent="0.25">
      <c r="A668">
        <f t="shared" si="133"/>
        <v>296</v>
      </c>
      <c r="B668">
        <f t="shared" si="134"/>
        <v>-35007.989629040916</v>
      </c>
      <c r="C668">
        <f t="shared" si="135"/>
        <v>39254.030929318171</v>
      </c>
      <c r="D668">
        <f t="shared" si="136"/>
        <v>-14397.685639561318</v>
      </c>
      <c r="E668">
        <f t="shared" si="137"/>
        <v>-16202.690622429838</v>
      </c>
      <c r="F668">
        <f>$C$23*(H668/(J668^2+$C$24^2)^1.5)+$C$32*(K668/(M668^2+$C$33^2)^1.5)+C$41*(N668/(P668^2+$C$42^2)^1.5)</f>
        <v>9435.9603810050248</v>
      </c>
      <c r="G668">
        <f>$C$23*(I668/(J668^2+$C$24^2)^1.5)+$C$32*(L668/(M668^2+$C$33^2)^1.5)+C$41*(O668/(P668^2+$C$42^2)^1.5)</f>
        <v>-12287.020045377003</v>
      </c>
      <c r="H668" s="3">
        <f t="shared" si="138"/>
        <v>55007.989629040916</v>
      </c>
      <c r="I668" s="3">
        <f t="shared" si="139"/>
        <v>-24254.030929318171</v>
      </c>
      <c r="J668" s="3">
        <f t="shared" si="140"/>
        <v>60117.692398735628</v>
      </c>
      <c r="K668" s="3">
        <f t="shared" si="141"/>
        <v>15007.989629040916</v>
      </c>
      <c r="L668" s="3">
        <f t="shared" si="142"/>
        <v>-19254.030929318171</v>
      </c>
      <c r="M668" s="3">
        <f t="shared" si="143"/>
        <v>24412.239957294791</v>
      </c>
      <c r="N668" s="3">
        <f t="shared" si="144"/>
        <v>30007.989629040916</v>
      </c>
      <c r="O668" s="3">
        <f t="shared" si="145"/>
        <v>-69254.030929318164</v>
      </c>
      <c r="P668" s="3">
        <f t="shared" si="146"/>
        <v>75475.825543915606</v>
      </c>
    </row>
    <row r="669" spans="1:16" x14ac:dyDescent="0.25">
      <c r="A669">
        <f t="shared" si="133"/>
        <v>296.5</v>
      </c>
      <c r="B669">
        <f t="shared" si="134"/>
        <v>-39847.842353570319</v>
      </c>
      <c r="C669">
        <f t="shared" si="135"/>
        <v>28080.930606759001</v>
      </c>
      <c r="D669">
        <f t="shared" si="136"/>
        <v>-9679.7054490588052</v>
      </c>
      <c r="E669">
        <f t="shared" si="137"/>
        <v>-22346.200645118341</v>
      </c>
      <c r="F669">
        <f>$C$23*(H669/(J669^2+$C$24^2)^1.5)+$C$32*(K669/(M669^2+$C$33^2)^1.5)+C$41*(N669/(P669^2+$C$42^2)^1.5)</f>
        <v>16266.806143970611</v>
      </c>
      <c r="G669">
        <f>$C$23*(I669/(J669^2+$C$24^2)^1.5)+$C$32*(L669/(M669^2+$C$33^2)^1.5)+C$41*(O669/(P669^2+$C$42^2)^1.5)</f>
        <v>-7170.3247863581209</v>
      </c>
      <c r="H669" s="3">
        <f t="shared" si="138"/>
        <v>59847.842353570319</v>
      </c>
      <c r="I669" s="3">
        <f t="shared" si="139"/>
        <v>-13080.930606759001</v>
      </c>
      <c r="J669" s="3">
        <f t="shared" si="140"/>
        <v>61260.713184851593</v>
      </c>
      <c r="K669" s="3">
        <f t="shared" si="141"/>
        <v>19847.842353570319</v>
      </c>
      <c r="L669" s="3">
        <f t="shared" si="142"/>
        <v>-8080.9306067590005</v>
      </c>
      <c r="M669" s="3">
        <f t="shared" si="143"/>
        <v>21429.845672879546</v>
      </c>
      <c r="N669" s="3">
        <f t="shared" si="144"/>
        <v>34847.842353570319</v>
      </c>
      <c r="O669" s="3">
        <f t="shared" si="145"/>
        <v>-58080.930606759001</v>
      </c>
      <c r="P669" s="3">
        <f t="shared" si="146"/>
        <v>67733.054093599261</v>
      </c>
    </row>
    <row r="670" spans="1:16" x14ac:dyDescent="0.25">
      <c r="A670">
        <f t="shared" si="133"/>
        <v>297</v>
      </c>
      <c r="B670">
        <f t="shared" si="134"/>
        <v>-40620.99354210707</v>
      </c>
      <c r="C670">
        <f t="shared" si="135"/>
        <v>15115.2490876103</v>
      </c>
      <c r="D670">
        <f t="shared" si="136"/>
        <v>-1546.3023770734999</v>
      </c>
      <c r="E670">
        <f t="shared" si="137"/>
        <v>-25931.363038297401</v>
      </c>
      <c r="F670">
        <f>$C$23*(H670/(J670^2+$C$24^2)^1.5)+$C$32*(K670/(M670^2+$C$33^2)^1.5)+C$41*(N670/(P670^2+$C$42^2)^1.5)</f>
        <v>17549.331288895537</v>
      </c>
      <c r="G670">
        <f>$C$23*(I670/(J670^2+$C$24^2)^1.5)+$C$32*(L670/(M670^2+$C$33^2)^1.5)+C$41*(O670/(P670^2+$C$42^2)^1.5)</f>
        <v>2994.0608462065984</v>
      </c>
      <c r="H670" s="3">
        <f t="shared" si="138"/>
        <v>60620.99354210707</v>
      </c>
      <c r="I670" s="3">
        <f t="shared" si="139"/>
        <v>-115.24908761030019</v>
      </c>
      <c r="J670" s="3">
        <f t="shared" si="140"/>
        <v>60621.103094420687</v>
      </c>
      <c r="K670" s="3">
        <f t="shared" si="141"/>
        <v>20620.99354210707</v>
      </c>
      <c r="L670" s="3">
        <f t="shared" si="142"/>
        <v>4884.7509123896998</v>
      </c>
      <c r="M670" s="3">
        <f t="shared" si="143"/>
        <v>21191.653218654592</v>
      </c>
      <c r="N670" s="3">
        <f t="shared" si="144"/>
        <v>35620.99354210707</v>
      </c>
      <c r="O670" s="3">
        <f t="shared" si="145"/>
        <v>-45115.249087610297</v>
      </c>
      <c r="P670" s="3">
        <f t="shared" si="146"/>
        <v>57482.52674651624</v>
      </c>
    </row>
    <row r="671" spans="1:16" x14ac:dyDescent="0.25">
      <c r="A671">
        <f t="shared" si="133"/>
        <v>297.5</v>
      </c>
      <c r="B671">
        <f t="shared" si="134"/>
        <v>-37006.811908419935</v>
      </c>
      <c r="C671">
        <f t="shared" si="135"/>
        <v>2898.0827800132492</v>
      </c>
      <c r="D671">
        <f t="shared" si="136"/>
        <v>7228.3632673742686</v>
      </c>
      <c r="E671">
        <f t="shared" si="137"/>
        <v>-24434.3326151941</v>
      </c>
      <c r="F671">
        <f>$C$23*(H671/(J671^2+$C$24^2)^1.5)+$C$32*(K671/(M671^2+$C$33^2)^1.5)+C$41*(N671/(P671^2+$C$42^2)^1.5)</f>
        <v>11935.775020594871</v>
      </c>
      <c r="G671">
        <f>$C$23*(I671/(J671^2+$C$24^2)^1.5)+$C$32*(L671/(M671^2+$C$33^2)^1.5)+C$41*(O671/(P671^2+$C$42^2)^1.5)</f>
        <v>9254.2810370102543</v>
      </c>
      <c r="H671" s="3">
        <f t="shared" si="138"/>
        <v>57006.811908419935</v>
      </c>
      <c r="I671" s="3">
        <f t="shared" si="139"/>
        <v>12101.91721998675</v>
      </c>
      <c r="J671" s="3">
        <f t="shared" si="140"/>
        <v>58277.208275288722</v>
      </c>
      <c r="K671" s="3">
        <f t="shared" si="141"/>
        <v>17006.811908419935</v>
      </c>
      <c r="L671" s="3">
        <f t="shared" si="142"/>
        <v>17101.91721998675</v>
      </c>
      <c r="M671" s="3">
        <f t="shared" si="143"/>
        <v>24118.607420157023</v>
      </c>
      <c r="N671" s="3">
        <f t="shared" si="144"/>
        <v>32006.811908419935</v>
      </c>
      <c r="O671" s="3">
        <f t="shared" si="145"/>
        <v>-32898.082780013247</v>
      </c>
      <c r="P671" s="3">
        <f t="shared" si="146"/>
        <v>45899.018062934381</v>
      </c>
    </row>
    <row r="672" spans="1:16" x14ac:dyDescent="0.25">
      <c r="A672">
        <f t="shared" si="133"/>
        <v>298</v>
      </c>
      <c r="B672">
        <f t="shared" si="134"/>
        <v>-30408.686519584084</v>
      </c>
      <c r="C672">
        <f t="shared" si="135"/>
        <v>-7005.5132683312368</v>
      </c>
      <c r="D672">
        <f t="shared" si="136"/>
        <v>13196.250777671703</v>
      </c>
      <c r="E672">
        <f t="shared" si="137"/>
        <v>-19807.192096688974</v>
      </c>
      <c r="F672">
        <f>$C$23*(H672/(J672^2+$C$24^2)^1.5)+$C$32*(K672/(M672^2+$C$33^2)^1.5)+C$41*(N672/(P672^2+$C$42^2)^1.5)</f>
        <v>6744.2143580421744</v>
      </c>
      <c r="G672">
        <f>$C$23*(I672/(J672^2+$C$24^2)^1.5)+$C$32*(L672/(M672^2+$C$33^2)^1.5)+C$41*(O672/(P672^2+$C$42^2)^1.5)</f>
        <v>8972.4975969462103</v>
      </c>
      <c r="H672" s="3">
        <f t="shared" si="138"/>
        <v>50408.68651958408</v>
      </c>
      <c r="I672" s="3">
        <f t="shared" si="139"/>
        <v>22005.513268331237</v>
      </c>
      <c r="J672" s="3">
        <f t="shared" si="140"/>
        <v>55002.529858474692</v>
      </c>
      <c r="K672" s="3">
        <f t="shared" si="141"/>
        <v>10408.686519584084</v>
      </c>
      <c r="L672" s="3">
        <f t="shared" si="142"/>
        <v>27005.513268331237</v>
      </c>
      <c r="M672" s="3">
        <f t="shared" si="143"/>
        <v>28941.985107262182</v>
      </c>
      <c r="N672" s="3">
        <f t="shared" si="144"/>
        <v>25408.686519584084</v>
      </c>
      <c r="O672" s="3">
        <f t="shared" si="145"/>
        <v>-22994.486731668763</v>
      </c>
      <c r="P672" s="3">
        <f t="shared" si="146"/>
        <v>34268.757939315292</v>
      </c>
    </row>
    <row r="673" spans="1:16" x14ac:dyDescent="0.25">
      <c r="A673">
        <f t="shared" si="133"/>
        <v>298.5</v>
      </c>
      <c r="B673">
        <f t="shared" si="134"/>
        <v>-22124.50754123769</v>
      </c>
      <c r="C673">
        <f t="shared" si="135"/>
        <v>-14665.984917439171</v>
      </c>
      <c r="D673">
        <f t="shared" si="136"/>
        <v>16568.357956692791</v>
      </c>
      <c r="E673">
        <f t="shared" si="137"/>
        <v>-15320.943298215869</v>
      </c>
      <c r="F673">
        <f>$C$23*(H673/(J673^2+$C$24^2)^1.5)+$C$32*(K673/(M673^2+$C$33^2)^1.5)+C$41*(N673/(P673^2+$C$42^2)^1.5)</f>
        <v>5267.4894741609678</v>
      </c>
      <c r="G673">
        <f>$C$23*(I673/(J673^2+$C$24^2)^1.5)+$C$32*(L673/(M673^2+$C$33^2)^1.5)+C$41*(O673/(P673^2+$C$42^2)^1.5)</f>
        <v>5085.3101097622439</v>
      </c>
      <c r="H673" s="3">
        <f t="shared" si="138"/>
        <v>42124.50754123769</v>
      </c>
      <c r="I673" s="3">
        <f t="shared" si="139"/>
        <v>29665.984917439171</v>
      </c>
      <c r="J673" s="3">
        <f t="shared" si="140"/>
        <v>51522.274762606503</v>
      </c>
      <c r="K673" s="3">
        <f t="shared" si="141"/>
        <v>2124.50754123769</v>
      </c>
      <c r="L673" s="3">
        <f t="shared" si="142"/>
        <v>34665.984917439171</v>
      </c>
      <c r="M673" s="3">
        <f t="shared" si="143"/>
        <v>34731.024208751689</v>
      </c>
      <c r="N673" s="3">
        <f t="shared" si="144"/>
        <v>17124.50754123769</v>
      </c>
      <c r="O673" s="3">
        <f t="shared" si="145"/>
        <v>-15334.015082560829</v>
      </c>
      <c r="P673" s="3">
        <f t="shared" si="146"/>
        <v>22986.534690598961</v>
      </c>
    </row>
    <row r="674" spans="1:16" x14ac:dyDescent="0.25">
      <c r="A674">
        <f t="shared" si="133"/>
        <v>299</v>
      </c>
      <c r="B674">
        <f t="shared" si="134"/>
        <v>-12523.456194351053</v>
      </c>
      <c r="C674">
        <f t="shared" si="135"/>
        <v>-21055.129039106545</v>
      </c>
      <c r="D674">
        <f t="shared" si="136"/>
        <v>19202.102693773275</v>
      </c>
      <c r="E674">
        <f t="shared" si="137"/>
        <v>-12778.288243334748</v>
      </c>
      <c r="F674">
        <f>$C$23*(H674/(J674^2+$C$24^2)^1.5)+$C$32*(K674/(M674^2+$C$33^2)^1.5)+C$41*(N674/(P674^2+$C$42^2)^1.5)</f>
        <v>7592.8881567870812</v>
      </c>
      <c r="G674">
        <f>$C$23*(I674/(J674^2+$C$24^2)^1.5)+$C$32*(L674/(M674^2+$C$33^2)^1.5)+C$41*(O674/(P674^2+$C$42^2)^1.5)</f>
        <v>-3476.1504917656484</v>
      </c>
      <c r="H674" s="3">
        <f t="shared" si="138"/>
        <v>32523.456194351053</v>
      </c>
      <c r="I674" s="3">
        <f t="shared" si="139"/>
        <v>36055.129039106541</v>
      </c>
      <c r="J674" s="3">
        <f t="shared" si="140"/>
        <v>48556.642520385365</v>
      </c>
      <c r="K674" s="3">
        <f t="shared" si="141"/>
        <v>-7476.5438056489475</v>
      </c>
      <c r="L674" s="3">
        <f t="shared" si="142"/>
        <v>41055.129039106541</v>
      </c>
      <c r="M674" s="3">
        <f t="shared" si="143"/>
        <v>41730.352594909578</v>
      </c>
      <c r="N674" s="3">
        <f t="shared" si="144"/>
        <v>7523.4561943510525</v>
      </c>
      <c r="O674" s="3">
        <f t="shared" si="145"/>
        <v>-8944.870960893455</v>
      </c>
      <c r="P674" s="3">
        <f t="shared" si="146"/>
        <v>11688.161087842444</v>
      </c>
    </row>
    <row r="675" spans="1:16" x14ac:dyDescent="0.25">
      <c r="A675">
        <f t="shared" si="133"/>
        <v>299.5</v>
      </c>
      <c r="B675">
        <f t="shared" si="134"/>
        <v>-1024.1828082676448</v>
      </c>
      <c r="C675">
        <f t="shared" si="135"/>
        <v>-28313.310783715329</v>
      </c>
      <c r="D675">
        <f t="shared" si="136"/>
        <v>22998.546772166817</v>
      </c>
      <c r="E675">
        <f t="shared" si="137"/>
        <v>-14516.363489217572</v>
      </c>
      <c r="F675">
        <f>$C$23*(H675/(J675^2+$C$24^2)^1.5)+$C$32*(K675/(M675^2+$C$33^2)^1.5)+C$41*(N675/(P675^2+$C$42^2)^1.5)</f>
        <v>-14489.27034034413</v>
      </c>
      <c r="G675">
        <f>$C$23*(I675/(J675^2+$C$24^2)^1.5)+$C$32*(L675/(M675^2+$C$33^2)^1.5)+C$41*(O675/(P675^2+$C$42^2)^1.5)</f>
        <v>-936.23234142692763</v>
      </c>
      <c r="H675" s="3">
        <f t="shared" si="138"/>
        <v>21024.182808267644</v>
      </c>
      <c r="I675" s="3">
        <f t="shared" si="139"/>
        <v>43313.310783715329</v>
      </c>
      <c r="J675" s="3">
        <f t="shared" si="140"/>
        <v>48146.226786760431</v>
      </c>
      <c r="K675" s="3">
        <f t="shared" si="141"/>
        <v>-18975.817191732356</v>
      </c>
      <c r="L675" s="3">
        <f t="shared" si="142"/>
        <v>48313.310783715329</v>
      </c>
      <c r="M675" s="3">
        <f t="shared" si="143"/>
        <v>51906.238902254408</v>
      </c>
      <c r="N675" s="3">
        <f t="shared" si="144"/>
        <v>-3975.8171917323552</v>
      </c>
      <c r="O675" s="3">
        <f t="shared" si="145"/>
        <v>-1686.6892162846707</v>
      </c>
      <c r="P675" s="3">
        <f t="shared" si="146"/>
        <v>4318.8010899328938</v>
      </c>
    </row>
    <row r="676" spans="1:16" x14ac:dyDescent="0.25">
      <c r="A676">
        <f t="shared" si="133"/>
        <v>300</v>
      </c>
      <c r="B676">
        <f t="shared" si="134"/>
        <v>6852.7729927297323</v>
      </c>
      <c r="C676">
        <f t="shared" si="135"/>
        <v>-35805.550613680847</v>
      </c>
      <c r="D676">
        <f t="shared" si="136"/>
        <v>15753.911601994752</v>
      </c>
      <c r="E676">
        <f t="shared" si="137"/>
        <v>-14984.479659931036</v>
      </c>
      <c r="F676">
        <f>$C$23*(H676/(J676^2+$C$24^2)^1.5)+$C$32*(K676/(M676^2+$C$33^2)^1.5)+C$41*(N676/(P676^2+$C$42^2)^1.5)</f>
        <v>-12355.432981832408</v>
      </c>
      <c r="G676">
        <f>$C$23*(I676/(J676^2+$C$24^2)^1.5)+$C$32*(L676/(M676^2+$C$33^2)^1.5)+C$41*(O676/(P676^2+$C$42^2)^1.5)</f>
        <v>8586.9564864420281</v>
      </c>
      <c r="H676" s="3">
        <f t="shared" si="138"/>
        <v>13147.227007270267</v>
      </c>
      <c r="I676" s="3">
        <f t="shared" si="139"/>
        <v>50805.550613680847</v>
      </c>
      <c r="J676" s="3">
        <f t="shared" si="140"/>
        <v>52479.07727027966</v>
      </c>
      <c r="K676" s="3">
        <f t="shared" si="141"/>
        <v>-26852.772992729733</v>
      </c>
      <c r="L676" s="3">
        <f t="shared" si="142"/>
        <v>55805.550613680847</v>
      </c>
      <c r="M676" s="3">
        <f t="shared" si="143"/>
        <v>61930.048415088218</v>
      </c>
      <c r="N676" s="3">
        <f t="shared" si="144"/>
        <v>-11852.772992729733</v>
      </c>
      <c r="O676" s="3">
        <f t="shared" si="145"/>
        <v>5805.5506136808472</v>
      </c>
      <c r="P676" s="3">
        <f t="shared" si="146"/>
        <v>13198.20614876103</v>
      </c>
    </row>
    <row r="677" spans="1:16" x14ac:dyDescent="0.25">
      <c r="A677">
        <f t="shared" si="133"/>
        <v>300.5</v>
      </c>
      <c r="B677">
        <f t="shared" si="134"/>
        <v>11640.870548269006</v>
      </c>
      <c r="C677">
        <f t="shared" si="135"/>
        <v>-41151.051322035855</v>
      </c>
      <c r="D677">
        <f t="shared" si="136"/>
        <v>9576.1951110785485</v>
      </c>
      <c r="E677">
        <f t="shared" si="137"/>
        <v>-10691.001416710022</v>
      </c>
      <c r="F677">
        <f>$C$23*(H677/(J677^2+$C$24^2)^1.5)+$C$32*(K677/(M677^2+$C$33^2)^1.5)+C$41*(N677/(P677^2+$C$42^2)^1.5)</f>
        <v>-7465.7532018058064</v>
      </c>
      <c r="G677">
        <f>$C$23*(I677/(J677^2+$C$24^2)^1.5)+$C$32*(L677/(M677^2+$C$33^2)^1.5)+C$41*(O677/(P677^2+$C$42^2)^1.5)</f>
        <v>6791.5006082061564</v>
      </c>
      <c r="H677" s="3">
        <f t="shared" si="138"/>
        <v>8359.1294517309943</v>
      </c>
      <c r="I677" s="3">
        <f t="shared" si="139"/>
        <v>56151.051322035855</v>
      </c>
      <c r="J677" s="3">
        <f t="shared" si="140"/>
        <v>56769.847716553733</v>
      </c>
      <c r="K677" s="3">
        <f t="shared" si="141"/>
        <v>-31640.870548269006</v>
      </c>
      <c r="L677" s="3">
        <f t="shared" si="142"/>
        <v>61151.051322035855</v>
      </c>
      <c r="M677" s="3">
        <f t="shared" si="143"/>
        <v>68851.984480061132</v>
      </c>
      <c r="N677" s="3">
        <f t="shared" si="144"/>
        <v>-16640.870548269006</v>
      </c>
      <c r="O677" s="3">
        <f t="shared" si="145"/>
        <v>11151.051322035855</v>
      </c>
      <c r="P677" s="3">
        <f t="shared" si="146"/>
        <v>20031.588009714167</v>
      </c>
    </row>
    <row r="678" spans="1:16" x14ac:dyDescent="0.25">
      <c r="A678">
        <f t="shared" si="133"/>
        <v>301</v>
      </c>
      <c r="B678">
        <f t="shared" si="134"/>
        <v>14562.529803356827</v>
      </c>
      <c r="C678">
        <f t="shared" si="135"/>
        <v>-44798.676878339327</v>
      </c>
      <c r="D678">
        <f t="shared" si="136"/>
        <v>5843.3185101756453</v>
      </c>
      <c r="E678">
        <f t="shared" si="137"/>
        <v>-7295.2511126069439</v>
      </c>
      <c r="F678">
        <f>$C$23*(H678/(J678^2+$C$24^2)^1.5)+$C$32*(K678/(M678^2+$C$33^2)^1.5)+C$41*(N678/(P678^2+$C$42^2)^1.5)</f>
        <v>-5555.7332264195993</v>
      </c>
      <c r="G678">
        <f>$C$23*(I678/(J678^2+$C$24^2)^1.5)+$C$32*(L678/(M678^2+$C$33^2)^1.5)+C$41*(O678/(P678^2+$C$42^2)^1.5)</f>
        <v>5653.3249204199974</v>
      </c>
      <c r="H678" s="3">
        <f t="shared" si="138"/>
        <v>5437.470196643173</v>
      </c>
      <c r="I678" s="3">
        <f t="shared" si="139"/>
        <v>59798.676878339327</v>
      </c>
      <c r="J678" s="3">
        <f t="shared" si="140"/>
        <v>60045.381492163222</v>
      </c>
      <c r="K678" s="3">
        <f t="shared" si="141"/>
        <v>-34562.529803356825</v>
      </c>
      <c r="L678" s="3">
        <f t="shared" si="142"/>
        <v>64798.676878339327</v>
      </c>
      <c r="M678" s="3">
        <f t="shared" si="143"/>
        <v>73440.023090896124</v>
      </c>
      <c r="N678" s="3">
        <f t="shared" si="144"/>
        <v>-19562.529803356825</v>
      </c>
      <c r="O678" s="3">
        <f t="shared" si="145"/>
        <v>14798.676878339327</v>
      </c>
      <c r="P678" s="3">
        <f t="shared" si="146"/>
        <v>24529.439652318171</v>
      </c>
    </row>
    <row r="679" spans="1:16" x14ac:dyDescent="0.25">
      <c r="A679">
        <f t="shared" si="133"/>
        <v>301.5</v>
      </c>
      <c r="B679">
        <f t="shared" si="134"/>
        <v>16095.255751839748</v>
      </c>
      <c r="C679">
        <f t="shared" si="135"/>
        <v>-47032.971204537796</v>
      </c>
      <c r="D679">
        <f t="shared" si="136"/>
        <v>3065.4518969658457</v>
      </c>
      <c r="E679">
        <f t="shared" si="137"/>
        <v>-4468.5886523969457</v>
      </c>
      <c r="F679">
        <f>$C$23*(H679/(J679^2+$C$24^2)^1.5)+$C$32*(K679/(M679^2+$C$33^2)^1.5)+C$41*(N679/(P679^2+$C$42^2)^1.5)</f>
        <v>-4745.0543417234057</v>
      </c>
      <c r="G679">
        <f>$C$23*(I679/(J679^2+$C$24^2)^1.5)+$C$32*(L679/(M679^2+$C$33^2)^1.5)+C$41*(O679/(P679^2+$C$42^2)^1.5)</f>
        <v>5118.474296379014</v>
      </c>
      <c r="H679" s="3">
        <f t="shared" si="138"/>
        <v>3904.744248160252</v>
      </c>
      <c r="I679" s="3">
        <f t="shared" si="139"/>
        <v>62032.971204537796</v>
      </c>
      <c r="J679" s="3">
        <f t="shared" si="140"/>
        <v>62155.744256718186</v>
      </c>
      <c r="K679" s="3">
        <f t="shared" si="141"/>
        <v>-36095.255751839752</v>
      </c>
      <c r="L679" s="3">
        <f t="shared" si="142"/>
        <v>67032.971204537796</v>
      </c>
      <c r="M679" s="3">
        <f t="shared" si="143"/>
        <v>76133.348253568314</v>
      </c>
      <c r="N679" s="3">
        <f t="shared" si="144"/>
        <v>-21095.255751839748</v>
      </c>
      <c r="O679" s="3">
        <f t="shared" si="145"/>
        <v>17032.971204537796</v>
      </c>
      <c r="P679" s="3">
        <f t="shared" si="146"/>
        <v>27113.316346218915</v>
      </c>
    </row>
    <row r="680" spans="1:16" x14ac:dyDescent="0.25">
      <c r="A680">
        <f t="shared" si="133"/>
        <v>302</v>
      </c>
      <c r="B680">
        <f t="shared" si="134"/>
        <v>16441.718114891821</v>
      </c>
      <c r="C680">
        <f t="shared" si="135"/>
        <v>-47987.646956641518</v>
      </c>
      <c r="D680">
        <f t="shared" si="136"/>
        <v>692.92472610414279</v>
      </c>
      <c r="E680">
        <f t="shared" si="137"/>
        <v>-1909.3515042074387</v>
      </c>
      <c r="F680">
        <f>$C$23*(H680/(J680^2+$C$24^2)^1.5)+$C$32*(K680/(M680^2+$C$33^2)^1.5)+C$41*(N680/(P680^2+$C$42^2)^1.5)</f>
        <v>-4475.5192920234849</v>
      </c>
      <c r="G680">
        <f>$C$23*(I680/(J680^2+$C$24^2)^1.5)+$C$32*(L680/(M680^2+$C$33^2)^1.5)+C$41*(O680/(P680^2+$C$42^2)^1.5)</f>
        <v>4980.8569908640457</v>
      </c>
      <c r="H680" s="3">
        <f t="shared" si="138"/>
        <v>3558.2818851081793</v>
      </c>
      <c r="I680" s="3">
        <f t="shared" si="139"/>
        <v>62987.646956641518</v>
      </c>
      <c r="J680" s="3">
        <f t="shared" si="140"/>
        <v>63088.073667757526</v>
      </c>
      <c r="K680" s="3">
        <f t="shared" si="141"/>
        <v>-36441.718114891817</v>
      </c>
      <c r="L680" s="3">
        <f t="shared" si="142"/>
        <v>67987.646956641518</v>
      </c>
      <c r="M680" s="3">
        <f t="shared" si="143"/>
        <v>77138.310571765585</v>
      </c>
      <c r="N680" s="3">
        <f t="shared" si="144"/>
        <v>-21441.718114891821</v>
      </c>
      <c r="O680" s="3">
        <f t="shared" si="145"/>
        <v>17987.646956641518</v>
      </c>
      <c r="P680" s="3">
        <f t="shared" si="146"/>
        <v>27987.545779422227</v>
      </c>
    </row>
    <row r="681" spans="1:16" x14ac:dyDescent="0.25">
      <c r="A681">
        <f t="shared" si="133"/>
        <v>302.5</v>
      </c>
      <c r="B681">
        <f t="shared" si="134"/>
        <v>15669.300654938022</v>
      </c>
      <c r="C681">
        <f t="shared" si="135"/>
        <v>-47697.108461029231</v>
      </c>
      <c r="D681">
        <f t="shared" si="136"/>
        <v>-1544.8349199075997</v>
      </c>
      <c r="E681">
        <f t="shared" si="137"/>
        <v>581.07699122458416</v>
      </c>
      <c r="F681">
        <f>$C$23*(H681/(J681^2+$C$24^2)^1.5)+$C$32*(K681/(M681^2+$C$33^2)^1.5)+C$41*(N681/(P681^2+$C$42^2)^1.5)</f>
        <v>-4608.2450492421694</v>
      </c>
      <c r="G681">
        <f>$C$23*(I681/(J681^2+$C$24^2)^1.5)+$C$32*(L681/(M681^2+$C$33^2)^1.5)+C$41*(O681/(P681^2+$C$42^2)^1.5)</f>
        <v>5192.3105101764995</v>
      </c>
      <c r="H681" s="3">
        <f t="shared" si="138"/>
        <v>4330.6993450619775</v>
      </c>
      <c r="I681" s="3">
        <f t="shared" si="139"/>
        <v>62697.108461029231</v>
      </c>
      <c r="J681" s="3">
        <f t="shared" si="140"/>
        <v>62846.498440178693</v>
      </c>
      <c r="K681" s="3">
        <f t="shared" si="141"/>
        <v>-35669.300654938022</v>
      </c>
      <c r="L681" s="3">
        <f t="shared" si="142"/>
        <v>67697.108461029231</v>
      </c>
      <c r="M681" s="3">
        <f t="shared" si="143"/>
        <v>76519.2623017023</v>
      </c>
      <c r="N681" s="3">
        <f t="shared" si="144"/>
        <v>-20669.300654938022</v>
      </c>
      <c r="O681" s="3">
        <f t="shared" si="145"/>
        <v>17697.108461029231</v>
      </c>
      <c r="P681" s="3">
        <f t="shared" si="146"/>
        <v>27210.432511183164</v>
      </c>
    </row>
    <row r="682" spans="1:16" x14ac:dyDescent="0.25">
      <c r="A682">
        <f t="shared" si="133"/>
        <v>303</v>
      </c>
      <c r="B682">
        <f t="shared" si="134"/>
        <v>13744.82193267368</v>
      </c>
      <c r="C682">
        <f t="shared" si="135"/>
        <v>-46108.492337872813</v>
      </c>
      <c r="D682">
        <f t="shared" si="136"/>
        <v>-3848.9574445286844</v>
      </c>
      <c r="E682">
        <f t="shared" si="137"/>
        <v>3177.2322463128339</v>
      </c>
      <c r="F682">
        <f>$C$23*(H682/(J682^2+$C$24^2)^1.5)+$C$32*(K682/(M682^2+$C$33^2)^1.5)+C$41*(N682/(P682^2+$C$42^2)^1.5)</f>
        <v>-5227.5754219533064</v>
      </c>
      <c r="G682">
        <f>$C$23*(I682/(J682^2+$C$24^2)^1.5)+$C$32*(L682/(M682^2+$C$33^2)^1.5)+C$41*(O682/(P682^2+$C$42^2)^1.5)</f>
        <v>5849.3075087330562</v>
      </c>
      <c r="H682" s="3">
        <f t="shared" si="138"/>
        <v>6255.1780673263202</v>
      </c>
      <c r="I682" s="3">
        <f t="shared" si="139"/>
        <v>61108.492337872813</v>
      </c>
      <c r="J682" s="3">
        <f t="shared" si="140"/>
        <v>61427.803871388896</v>
      </c>
      <c r="K682" s="3">
        <f t="shared" si="141"/>
        <v>-33744.82193267368</v>
      </c>
      <c r="L682" s="3">
        <f t="shared" si="142"/>
        <v>66108.492337872813</v>
      </c>
      <c r="M682" s="3">
        <f t="shared" si="143"/>
        <v>74222.94636064001</v>
      </c>
      <c r="N682" s="3">
        <f t="shared" si="144"/>
        <v>-18744.82193267368</v>
      </c>
      <c r="O682" s="3">
        <f t="shared" si="145"/>
        <v>16108.492337872813</v>
      </c>
      <c r="P682" s="3">
        <f t="shared" si="146"/>
        <v>24715.417752628648</v>
      </c>
    </row>
    <row r="683" spans="1:16" x14ac:dyDescent="0.25">
      <c r="A683">
        <f t="shared" si="133"/>
        <v>303.5</v>
      </c>
      <c r="B683">
        <f t="shared" si="134"/>
        <v>10513.449354921011</v>
      </c>
      <c r="C683">
        <f t="shared" si="135"/>
        <v>-43057.549337533128</v>
      </c>
      <c r="D683">
        <f t="shared" si="136"/>
        <v>-6462.7451555053376</v>
      </c>
      <c r="E683">
        <f t="shared" si="137"/>
        <v>6101.886000679362</v>
      </c>
      <c r="F683">
        <f>$C$23*(H683/(J683^2+$C$24^2)^1.5)+$C$32*(K683/(M683^2+$C$33^2)^1.5)+C$41*(N683/(P683^2+$C$42^2)^1.5)</f>
        <v>-6771.8980123883439</v>
      </c>
      <c r="G683">
        <f>$C$23*(I683/(J683^2+$C$24^2)^1.5)+$C$32*(L683/(M683^2+$C$33^2)^1.5)+C$41*(O683/(P683^2+$C$42^2)^1.5)</f>
        <v>7304.922088632673</v>
      </c>
      <c r="H683" s="3">
        <f t="shared" si="138"/>
        <v>9486.550645078989</v>
      </c>
      <c r="I683" s="3">
        <f t="shared" si="139"/>
        <v>58057.549337533128</v>
      </c>
      <c r="J683" s="3">
        <f t="shared" si="140"/>
        <v>58827.490837377569</v>
      </c>
      <c r="K683" s="3">
        <f t="shared" si="141"/>
        <v>-30513.449354921009</v>
      </c>
      <c r="L683" s="3">
        <f t="shared" si="142"/>
        <v>63057.549337533128</v>
      </c>
      <c r="M683" s="3">
        <f t="shared" si="143"/>
        <v>70052.302745810957</v>
      </c>
      <c r="N683" s="3">
        <f t="shared" si="144"/>
        <v>-15513.449354921011</v>
      </c>
      <c r="O683" s="3">
        <f t="shared" si="145"/>
        <v>13057.549337533128</v>
      </c>
      <c r="P683" s="3">
        <f t="shared" si="146"/>
        <v>20277.246006048528</v>
      </c>
    </row>
    <row r="684" spans="1:16" x14ac:dyDescent="0.25">
      <c r="A684">
        <f t="shared" si="133"/>
        <v>304</v>
      </c>
      <c r="B684">
        <f t="shared" si="134"/>
        <v>5589.102274071256</v>
      </c>
      <c r="C684">
        <f t="shared" si="135"/>
        <v>-38180.375815035273</v>
      </c>
      <c r="D684">
        <f t="shared" si="136"/>
        <v>-9848.69416169951</v>
      </c>
      <c r="E684">
        <f t="shared" si="137"/>
        <v>9754.3470449956985</v>
      </c>
      <c r="F684">
        <f>$C$23*(H684/(J684^2+$C$24^2)^1.5)+$C$32*(K684/(M684^2+$C$33^2)^1.5)+C$41*(N684/(P684^2+$C$42^2)^1.5)</f>
        <v>-10769.811382066626</v>
      </c>
      <c r="G684">
        <f>$C$23*(I684/(J684^2+$C$24^2)^1.5)+$C$32*(L684/(M684^2+$C$33^2)^1.5)+C$41*(O684/(P684^2+$C$42^2)^1.5)</f>
        <v>10468.629006083382</v>
      </c>
      <c r="H684" s="3">
        <f t="shared" si="138"/>
        <v>14410.897725928744</v>
      </c>
      <c r="I684" s="3">
        <f t="shared" si="139"/>
        <v>53180.375815035273</v>
      </c>
      <c r="J684" s="3">
        <f t="shared" si="140"/>
        <v>55098.333414864435</v>
      </c>
      <c r="K684" s="3">
        <f t="shared" si="141"/>
        <v>-25589.102274071258</v>
      </c>
      <c r="L684" s="3">
        <f t="shared" si="142"/>
        <v>58180.375815035273</v>
      </c>
      <c r="M684" s="3">
        <f t="shared" si="143"/>
        <v>63559.092859886063</v>
      </c>
      <c r="N684" s="3">
        <f t="shared" si="144"/>
        <v>-10589.102274071256</v>
      </c>
      <c r="O684" s="3">
        <f t="shared" si="145"/>
        <v>8180.3758150352733</v>
      </c>
      <c r="P684" s="3">
        <f t="shared" si="146"/>
        <v>13380.868262035729</v>
      </c>
    </row>
    <row r="685" spans="1:16" x14ac:dyDescent="0.25">
      <c r="A685">
        <f t="shared" si="133"/>
        <v>304.5</v>
      </c>
      <c r="B685">
        <f t="shared" si="134"/>
        <v>-2027.6976522951554</v>
      </c>
      <c r="C685">
        <f t="shared" si="135"/>
        <v>-30686.045041016579</v>
      </c>
      <c r="D685">
        <f t="shared" si="136"/>
        <v>-15233.599852732823</v>
      </c>
      <c r="E685">
        <f t="shared" si="137"/>
        <v>14988.661548037389</v>
      </c>
      <c r="F685">
        <f>$C$23*(H685/(J685^2+$C$24^2)^1.5)+$C$32*(K685/(M685^2+$C$33^2)^1.5)+C$41*(N685/(P685^2+$C$42^2)^1.5)</f>
        <v>-12267.66671709213</v>
      </c>
      <c r="G685">
        <f>$C$23*(I685/(J685^2+$C$24^2)^1.5)+$C$32*(L685/(M685^2+$C$33^2)^1.5)+C$41*(O685/(P685^2+$C$42^2)^1.5)</f>
        <v>6812.8233000171394</v>
      </c>
      <c r="H685" s="3">
        <f t="shared" si="138"/>
        <v>22027.697652295155</v>
      </c>
      <c r="I685" s="3">
        <f t="shared" si="139"/>
        <v>45686.045041016579</v>
      </c>
      <c r="J685" s="3">
        <f t="shared" si="140"/>
        <v>50719.169702891675</v>
      </c>
      <c r="K685" s="3">
        <f t="shared" si="141"/>
        <v>-17972.302347704845</v>
      </c>
      <c r="L685" s="3">
        <f t="shared" si="142"/>
        <v>50686.045041016579</v>
      </c>
      <c r="M685" s="3">
        <f t="shared" si="143"/>
        <v>53778.051411121982</v>
      </c>
      <c r="N685" s="3">
        <f t="shared" si="144"/>
        <v>-2972.3023477048446</v>
      </c>
      <c r="O685" s="3">
        <f t="shared" si="145"/>
        <v>686.04504101657949</v>
      </c>
      <c r="P685" s="3">
        <f t="shared" si="146"/>
        <v>3050.4489906364884</v>
      </c>
    </row>
    <row r="686" spans="1:16" x14ac:dyDescent="0.25">
      <c r="A686">
        <f t="shared" si="133"/>
        <v>305</v>
      </c>
      <c r="B686">
        <f t="shared" si="134"/>
        <v>-12711.414257934599</v>
      </c>
      <c r="C686">
        <f t="shared" si="135"/>
        <v>-21488.508441993599</v>
      </c>
      <c r="D686">
        <f t="shared" si="136"/>
        <v>-21367.433211278887</v>
      </c>
      <c r="E686">
        <f t="shared" si="137"/>
        <v>18395.07319804596</v>
      </c>
      <c r="F686">
        <f>$C$23*(H686/(J686^2+$C$24^2)^1.5)+$C$32*(K686/(M686^2+$C$33^2)^1.5)+C$41*(N686/(P686^2+$C$42^2)^1.5)</f>
        <v>8136.9501656663188</v>
      </c>
      <c r="G686">
        <f>$C$23*(I686/(J686^2+$C$24^2)^1.5)+$C$32*(L686/(M686^2+$C$33^2)^1.5)+C$41*(O686/(P686^2+$C$42^2)^1.5)</f>
        <v>-3374.8083263904209</v>
      </c>
      <c r="H686" s="3">
        <f t="shared" si="138"/>
        <v>32711.414257934601</v>
      </c>
      <c r="I686" s="3">
        <f t="shared" si="139"/>
        <v>36488.508441993603</v>
      </c>
      <c r="J686" s="3">
        <f t="shared" si="140"/>
        <v>49004.569899914903</v>
      </c>
      <c r="K686" s="3">
        <f t="shared" si="141"/>
        <v>-7288.5857420654011</v>
      </c>
      <c r="L686" s="3">
        <f t="shared" si="142"/>
        <v>41488.508441993603</v>
      </c>
      <c r="M686" s="3">
        <f t="shared" si="143"/>
        <v>42123.86277231486</v>
      </c>
      <c r="N686" s="3">
        <f t="shared" si="144"/>
        <v>7711.4142579345989</v>
      </c>
      <c r="O686" s="3">
        <f t="shared" si="145"/>
        <v>-8511.4915580064007</v>
      </c>
      <c r="P686" s="3">
        <f t="shared" si="146"/>
        <v>11485.268756084519</v>
      </c>
    </row>
    <row r="687" spans="1:16" x14ac:dyDescent="0.25">
      <c r="A687">
        <f t="shared" si="133"/>
        <v>305.5</v>
      </c>
      <c r="B687">
        <f t="shared" si="134"/>
        <v>-21360.893322157463</v>
      </c>
      <c r="C687">
        <f t="shared" si="135"/>
        <v>-13134.673924568224</v>
      </c>
      <c r="D687">
        <f t="shared" si="136"/>
        <v>-17298.958128445727</v>
      </c>
      <c r="E687">
        <f t="shared" si="137"/>
        <v>16707.669034850751</v>
      </c>
      <c r="F687">
        <f>$C$23*(H687/(J687^2+$C$24^2)^1.5)+$C$32*(K687/(M687^2+$C$33^2)^1.5)+C$41*(N687/(P687^2+$C$42^2)^1.5)</f>
        <v>4684.8072653642339</v>
      </c>
      <c r="G687">
        <f>$C$23*(I687/(J687^2+$C$24^2)^1.5)+$C$32*(L687/(M687^2+$C$33^2)^1.5)+C$41*(O687/(P687^2+$C$42^2)^1.5)</f>
        <v>5588.6549135289069</v>
      </c>
      <c r="H687" s="3">
        <f t="shared" si="138"/>
        <v>41360.893322157463</v>
      </c>
      <c r="I687" s="3">
        <f t="shared" si="139"/>
        <v>28134.673924568226</v>
      </c>
      <c r="J687" s="3">
        <f t="shared" si="140"/>
        <v>50022.828521072945</v>
      </c>
      <c r="K687" s="3">
        <f t="shared" si="141"/>
        <v>1360.8933221574625</v>
      </c>
      <c r="L687" s="3">
        <f t="shared" si="142"/>
        <v>33134.673924568226</v>
      </c>
      <c r="M687" s="3">
        <f t="shared" si="143"/>
        <v>33162.60916637523</v>
      </c>
      <c r="N687" s="3">
        <f t="shared" si="144"/>
        <v>16360.893322157463</v>
      </c>
      <c r="O687" s="3">
        <f t="shared" si="145"/>
        <v>-16865.326075431774</v>
      </c>
      <c r="P687" s="3">
        <f t="shared" si="146"/>
        <v>23497.192469094167</v>
      </c>
    </row>
    <row r="688" spans="1:16" x14ac:dyDescent="0.25">
      <c r="A688">
        <f t="shared" si="133"/>
        <v>306</v>
      </c>
      <c r="B688">
        <f t="shared" si="134"/>
        <v>-28839.170570039267</v>
      </c>
      <c r="C688">
        <f t="shared" si="135"/>
        <v>-3383.6756787606218</v>
      </c>
      <c r="D688">
        <f t="shared" si="136"/>
        <v>-14956.55449576361</v>
      </c>
      <c r="E688">
        <f t="shared" si="137"/>
        <v>19501.996491615206</v>
      </c>
      <c r="F688">
        <f>$C$23*(H688/(J688^2+$C$24^2)^1.5)+$C$32*(K688/(M688^2+$C$33^2)^1.5)+C$41*(N688/(P688^2+$C$42^2)^1.5)</f>
        <v>7175.4481177906528</v>
      </c>
      <c r="G688">
        <f>$C$23*(I688/(J688^2+$C$24^2)^1.5)+$C$32*(L688/(M688^2+$C$33^2)^1.5)+C$41*(O688/(P688^2+$C$42^2)^1.5)</f>
        <v>11225.711788549701</v>
      </c>
      <c r="H688" s="3">
        <f t="shared" si="138"/>
        <v>48839.170570039263</v>
      </c>
      <c r="I688" s="3">
        <f t="shared" si="139"/>
        <v>18383.675678760621</v>
      </c>
      <c r="J688" s="3">
        <f t="shared" si="140"/>
        <v>52184.519863952417</v>
      </c>
      <c r="K688" s="3">
        <f t="shared" si="141"/>
        <v>8839.1705700392667</v>
      </c>
      <c r="L688" s="3">
        <f t="shared" si="142"/>
        <v>23383.675678760621</v>
      </c>
      <c r="M688" s="3">
        <f t="shared" si="143"/>
        <v>24998.544449941663</v>
      </c>
      <c r="N688" s="3">
        <f t="shared" si="144"/>
        <v>23839.170570039267</v>
      </c>
      <c r="O688" s="3">
        <f t="shared" si="145"/>
        <v>-26616.324321239379</v>
      </c>
      <c r="P688" s="3">
        <f t="shared" si="146"/>
        <v>35731.425578065384</v>
      </c>
    </row>
    <row r="689" spans="1:16" x14ac:dyDescent="0.25">
      <c r="A689">
        <f t="shared" si="133"/>
        <v>306.5</v>
      </c>
      <c r="B689">
        <f t="shared" si="134"/>
        <v>-34523.585788473407</v>
      </c>
      <c r="C689">
        <f t="shared" si="135"/>
        <v>9173.7505141844067</v>
      </c>
      <c r="D689">
        <f t="shared" si="136"/>
        <v>-11368.830436868284</v>
      </c>
      <c r="E689">
        <f t="shared" si="137"/>
        <v>25114.852385890055</v>
      </c>
      <c r="F689">
        <f>$C$23*(H689/(J689^2+$C$24^2)^1.5)+$C$32*(K689/(M689^2+$C$33^2)^1.5)+C$41*(N689/(P689^2+$C$42^2)^1.5)</f>
        <v>16939.368235049951</v>
      </c>
      <c r="G689">
        <f>$C$23*(I689/(J689^2+$C$24^2)^1.5)+$C$32*(L689/(M689^2+$C$33^2)^1.5)+C$41*(O689/(P689^2+$C$42^2)^1.5)</f>
        <v>10475.254862529842</v>
      </c>
      <c r="H689" s="3">
        <f t="shared" si="138"/>
        <v>54523.585788473407</v>
      </c>
      <c r="I689" s="3">
        <f t="shared" si="139"/>
        <v>5826.2494858155933</v>
      </c>
      <c r="J689" s="3">
        <f t="shared" si="140"/>
        <v>54833.99119436762</v>
      </c>
      <c r="K689" s="3">
        <f t="shared" si="141"/>
        <v>14523.585788473407</v>
      </c>
      <c r="L689" s="3">
        <f t="shared" si="142"/>
        <v>10826.249485815593</v>
      </c>
      <c r="M689" s="3">
        <f t="shared" si="143"/>
        <v>18114.696301187858</v>
      </c>
      <c r="N689" s="3">
        <f t="shared" si="144"/>
        <v>29523.585788473407</v>
      </c>
      <c r="O689" s="3">
        <f t="shared" si="145"/>
        <v>-39173.750514184409</v>
      </c>
      <c r="P689" s="3">
        <f t="shared" si="146"/>
        <v>49053.285793684729</v>
      </c>
    </row>
    <row r="690" spans="1:16" x14ac:dyDescent="0.25">
      <c r="A690">
        <f t="shared" si="133"/>
        <v>307</v>
      </c>
      <c r="B690">
        <f t="shared" si="134"/>
        <v>-35973.158948145065</v>
      </c>
      <c r="C690">
        <f t="shared" si="135"/>
        <v>24349.990422761894</v>
      </c>
      <c r="D690">
        <f t="shared" si="136"/>
        <v>-2899.1463193433083</v>
      </c>
      <c r="E690">
        <f t="shared" si="137"/>
        <v>30352.479817154977</v>
      </c>
      <c r="F690">
        <f>$C$23*(H690/(J690^2+$C$24^2)^1.5)+$C$32*(K690/(M690^2+$C$33^2)^1.5)+C$41*(N690/(P690^2+$C$42^2)^1.5)</f>
        <v>20923.180148224375</v>
      </c>
      <c r="G690">
        <f>$C$23*(I690/(J690^2+$C$24^2)^1.5)+$C$32*(L690/(M690^2+$C$33^2)^1.5)+C$41*(O690/(P690^2+$C$42^2)^1.5)</f>
        <v>-6437.8269632735874</v>
      </c>
      <c r="H690" s="3">
        <f t="shared" si="138"/>
        <v>55973.158948145065</v>
      </c>
      <c r="I690" s="3">
        <f t="shared" si="139"/>
        <v>-9349.9904227618936</v>
      </c>
      <c r="J690" s="3">
        <f t="shared" si="140"/>
        <v>56748.716668661778</v>
      </c>
      <c r="K690" s="3">
        <f t="shared" si="141"/>
        <v>15973.158948145065</v>
      </c>
      <c r="L690" s="3">
        <f t="shared" si="142"/>
        <v>-4349.9904227618936</v>
      </c>
      <c r="M690" s="3">
        <f t="shared" si="143"/>
        <v>16554.88518416322</v>
      </c>
      <c r="N690" s="3">
        <f t="shared" si="144"/>
        <v>30973.158948145065</v>
      </c>
      <c r="O690" s="3">
        <f t="shared" si="145"/>
        <v>-54349.990422761897</v>
      </c>
      <c r="P690" s="3">
        <f t="shared" si="146"/>
        <v>62556.039150359968</v>
      </c>
    </row>
    <row r="691" spans="1:16" x14ac:dyDescent="0.25">
      <c r="A691">
        <f t="shared" si="133"/>
        <v>307.5</v>
      </c>
      <c r="B691">
        <f t="shared" si="134"/>
        <v>-32191.937070760621</v>
      </c>
      <c r="C691">
        <f t="shared" si="135"/>
        <v>37916.773590520985</v>
      </c>
      <c r="D691">
        <f t="shared" si="136"/>
        <v>7562.4437547688794</v>
      </c>
      <c r="E691">
        <f t="shared" si="137"/>
        <v>27133.566335518182</v>
      </c>
      <c r="F691">
        <f>$C$23*(H691/(J691^2+$C$24^2)^1.5)+$C$32*(K691/(M691^2+$C$33^2)^1.5)+C$41*(N691/(P691^2+$C$42^2)^1.5)</f>
        <v>9842.9709854634511</v>
      </c>
      <c r="G691">
        <f>$C$23*(I691/(J691^2+$C$24^2)^1.5)+$C$32*(L691/(M691^2+$C$33^2)^1.5)+C$41*(O691/(P691^2+$C$42^2)^1.5)</f>
        <v>-14605.409599650155</v>
      </c>
      <c r="H691" s="3">
        <f t="shared" si="138"/>
        <v>52191.937070760621</v>
      </c>
      <c r="I691" s="3">
        <f t="shared" si="139"/>
        <v>-22916.773590520985</v>
      </c>
      <c r="J691" s="3">
        <f t="shared" si="140"/>
        <v>57001.550917474488</v>
      </c>
      <c r="K691" s="3">
        <f t="shared" si="141"/>
        <v>12191.937070760621</v>
      </c>
      <c r="L691" s="3">
        <f t="shared" si="142"/>
        <v>-17916.773590520985</v>
      </c>
      <c r="M691" s="3">
        <f t="shared" si="143"/>
        <v>21671.504457037063</v>
      </c>
      <c r="N691" s="3">
        <f t="shared" si="144"/>
        <v>27191.937070760621</v>
      </c>
      <c r="O691" s="3">
        <f t="shared" si="145"/>
        <v>-67916.773590520985</v>
      </c>
      <c r="P691" s="3">
        <f t="shared" si="146"/>
        <v>73157.976848777704</v>
      </c>
    </row>
    <row r="692" spans="1:16" x14ac:dyDescent="0.25">
      <c r="A692">
        <f t="shared" si="133"/>
        <v>308</v>
      </c>
      <c r="B692">
        <f t="shared" si="134"/>
        <v>-25949.972447010317</v>
      </c>
      <c r="C692">
        <f t="shared" si="135"/>
        <v>47832.204358367533</v>
      </c>
      <c r="D692">
        <f t="shared" si="136"/>
        <v>12483.929247500604</v>
      </c>
      <c r="E692">
        <f t="shared" si="137"/>
        <v>19830.861535693104</v>
      </c>
      <c r="F692">
        <f>$C$23*(H692/(J692^2+$C$24^2)^1.5)+$C$32*(K692/(M692^2+$C$33^2)^1.5)+C$41*(N692/(P692^2+$C$42^2)^1.5)</f>
        <v>2821.8781278331444</v>
      </c>
      <c r="G692">
        <f>$C$23*(I692/(J692^2+$C$24^2)^1.5)+$C$32*(L692/(M692^2+$C$33^2)^1.5)+C$41*(O692/(P692^2+$C$42^2)^1.5)</f>
        <v>-12519.030848523169</v>
      </c>
      <c r="H692" s="3">
        <f t="shared" si="138"/>
        <v>45949.972447010317</v>
      </c>
      <c r="I692" s="3">
        <f t="shared" si="139"/>
        <v>-32832.204358367533</v>
      </c>
      <c r="J692" s="3">
        <f t="shared" si="140"/>
        <v>56474.362421461788</v>
      </c>
      <c r="K692" s="3">
        <f t="shared" si="141"/>
        <v>5949.9724470103174</v>
      </c>
      <c r="L692" s="3">
        <f t="shared" si="142"/>
        <v>-27832.204358367533</v>
      </c>
      <c r="M692" s="3">
        <f t="shared" si="143"/>
        <v>28461.09224127062</v>
      </c>
      <c r="N692" s="3">
        <f t="shared" si="144"/>
        <v>20949.972447010317</v>
      </c>
      <c r="O692" s="3">
        <f t="shared" si="145"/>
        <v>-77832.20435836754</v>
      </c>
      <c r="P692" s="3">
        <f t="shared" si="146"/>
        <v>80602.440290683371</v>
      </c>
    </row>
    <row r="693" spans="1:16" x14ac:dyDescent="0.25">
      <c r="A693">
        <f t="shared" si="133"/>
        <v>308.5</v>
      </c>
      <c r="B693">
        <f t="shared" si="134"/>
        <v>-19002.538291301727</v>
      </c>
      <c r="C693">
        <f t="shared" si="135"/>
        <v>54617.87741408329</v>
      </c>
      <c r="D693">
        <f t="shared" si="136"/>
        <v>13894.868311417176</v>
      </c>
      <c r="E693">
        <f t="shared" si="137"/>
        <v>13571.34611143152</v>
      </c>
      <c r="F693">
        <f>$C$23*(H693/(J693^2+$C$24^2)^1.5)+$C$32*(K693/(M693^2+$C$33^2)^1.5)+C$41*(N693/(P693^2+$C$42^2)^1.5)</f>
        <v>-53.790352979113166</v>
      </c>
      <c r="G693">
        <f>$C$23*(I693/(J693^2+$C$24^2)^1.5)+$C$32*(L693/(M693^2+$C$33^2)^1.5)+C$41*(O693/(P693^2+$C$42^2)^1.5)</f>
        <v>-9773.497054591171</v>
      </c>
      <c r="H693" s="3">
        <f t="shared" si="138"/>
        <v>39002.538291301724</v>
      </c>
      <c r="I693" s="3">
        <f t="shared" si="139"/>
        <v>-39617.87741408329</v>
      </c>
      <c r="J693" s="3">
        <f t="shared" si="140"/>
        <v>55594.731800430411</v>
      </c>
      <c r="K693" s="3">
        <f t="shared" si="141"/>
        <v>-997.46170869827256</v>
      </c>
      <c r="L693" s="3">
        <f t="shared" si="142"/>
        <v>-34617.87741408329</v>
      </c>
      <c r="M693" s="3">
        <f t="shared" si="143"/>
        <v>34632.244606967324</v>
      </c>
      <c r="N693" s="3">
        <f t="shared" si="144"/>
        <v>14002.538291301727</v>
      </c>
      <c r="O693" s="3">
        <f t="shared" si="145"/>
        <v>-84617.877414083283</v>
      </c>
      <c r="P693" s="3">
        <f t="shared" si="146"/>
        <v>85768.620466136665</v>
      </c>
    </row>
    <row r="694" spans="1:16" x14ac:dyDescent="0.25">
      <c r="A694">
        <f t="shared" si="133"/>
        <v>309</v>
      </c>
      <c r="B694">
        <f t="shared" si="134"/>
        <v>-12068.551723837918</v>
      </c>
      <c r="C694">
        <f t="shared" si="135"/>
        <v>58960.176206151256</v>
      </c>
      <c r="D694">
        <f t="shared" si="136"/>
        <v>13867.973134927619</v>
      </c>
      <c r="E694">
        <f t="shared" si="137"/>
        <v>8684.5975841359341</v>
      </c>
      <c r="F694">
        <f>$C$23*(H694/(J694^2+$C$24^2)^1.5)+$C$32*(K694/(M694^2+$C$33^2)^1.5)+C$41*(N694/(P694^2+$C$42^2)^1.5)</f>
        <v>-1317.3975952933565</v>
      </c>
      <c r="G694">
        <f>$C$23*(I694/(J694^2+$C$24^2)^1.5)+$C$32*(L694/(M694^2+$C$33^2)^1.5)+C$41*(O694/(P694^2+$C$42^2)^1.5)</f>
        <v>-7833.2463785037944</v>
      </c>
      <c r="H694" s="3">
        <f t="shared" si="138"/>
        <v>32068.551723837918</v>
      </c>
      <c r="I694" s="3">
        <f t="shared" si="139"/>
        <v>-43960.176206151256</v>
      </c>
      <c r="J694" s="3">
        <f t="shared" si="140"/>
        <v>54414.052428948307</v>
      </c>
      <c r="K694" s="3">
        <f t="shared" si="141"/>
        <v>-7931.448276162082</v>
      </c>
      <c r="L694" s="3">
        <f t="shared" si="142"/>
        <v>-38960.176206151256</v>
      </c>
      <c r="M694" s="3">
        <f t="shared" si="143"/>
        <v>39759.315911768259</v>
      </c>
      <c r="N694" s="3">
        <f t="shared" si="144"/>
        <v>7068.551723837918</v>
      </c>
      <c r="O694" s="3">
        <f t="shared" si="145"/>
        <v>-88960.176206151256</v>
      </c>
      <c r="P694" s="3">
        <f t="shared" si="146"/>
        <v>89240.559019439432</v>
      </c>
    </row>
    <row r="695" spans="1:16" x14ac:dyDescent="0.25">
      <c r="A695">
        <f t="shared" si="133"/>
        <v>309.5</v>
      </c>
      <c r="B695">
        <f t="shared" si="134"/>
        <v>-5463.914555197448</v>
      </c>
      <c r="C695">
        <f t="shared" si="135"/>
        <v>61344.163403593273</v>
      </c>
      <c r="D695">
        <f t="shared" si="136"/>
        <v>13209.27433728094</v>
      </c>
      <c r="E695">
        <f t="shared" si="137"/>
        <v>4767.9743948840369</v>
      </c>
      <c r="F695">
        <f>$C$23*(H695/(J695^2+$C$24^2)^1.5)+$C$32*(K695/(M695^2+$C$33^2)^1.5)+C$41*(N695/(P695^2+$C$42^2)^1.5)</f>
        <v>-1976.1609344479157</v>
      </c>
      <c r="G695">
        <f>$C$23*(I695/(J695^2+$C$24^2)^1.5)+$C$32*(L695/(M695^2+$C$33^2)^1.5)+C$41*(O695/(P695^2+$C$42^2)^1.5)</f>
        <v>-6535.928761243852</v>
      </c>
      <c r="H695" s="3">
        <f t="shared" si="138"/>
        <v>25463.914555197447</v>
      </c>
      <c r="I695" s="3">
        <f t="shared" si="139"/>
        <v>-46344.163403593273</v>
      </c>
      <c r="J695" s="3">
        <f t="shared" si="140"/>
        <v>52879.03578974706</v>
      </c>
      <c r="K695" s="3">
        <f t="shared" si="141"/>
        <v>-14536.085444802553</v>
      </c>
      <c r="L695" s="3">
        <f t="shared" si="142"/>
        <v>-41344.163403593273</v>
      </c>
      <c r="M695" s="3">
        <f t="shared" si="143"/>
        <v>43825.07989270096</v>
      </c>
      <c r="N695" s="3">
        <f t="shared" si="144"/>
        <v>463.91455519744795</v>
      </c>
      <c r="O695" s="3">
        <f t="shared" si="145"/>
        <v>-91344.163403593266</v>
      </c>
      <c r="P695" s="3">
        <f t="shared" si="146"/>
        <v>91345.341449998814</v>
      </c>
    </row>
    <row r="696" spans="1:16" x14ac:dyDescent="0.25">
      <c r="A696">
        <f t="shared" si="133"/>
        <v>310</v>
      </c>
      <c r="B696">
        <f t="shared" si="134"/>
        <v>646.68237983104314</v>
      </c>
      <c r="C696">
        <f t="shared" si="135"/>
        <v>62094.168410724327</v>
      </c>
      <c r="D696">
        <f t="shared" si="136"/>
        <v>12221.193870056983</v>
      </c>
      <c r="E696">
        <f t="shared" si="137"/>
        <v>1500.0100142621109</v>
      </c>
      <c r="F696">
        <f>$C$23*(H696/(J696^2+$C$24^2)^1.5)+$C$32*(K696/(M696^2+$C$33^2)^1.5)+C$41*(N696/(P696^2+$C$42^2)^1.5)</f>
        <v>-2400.8792364847486</v>
      </c>
      <c r="G696">
        <f>$C$23*(I696/(J696^2+$C$24^2)^1.5)+$C$32*(L696/(M696^2+$C$33^2)^1.5)+C$41*(O696/(P696^2+$C$42^2)^1.5)</f>
        <v>-5655.5633423300515</v>
      </c>
      <c r="H696" s="3">
        <f t="shared" si="138"/>
        <v>19353.317620168957</v>
      </c>
      <c r="I696" s="3">
        <f t="shared" si="139"/>
        <v>-47094.168410724327</v>
      </c>
      <c r="J696" s="3">
        <f t="shared" si="140"/>
        <v>50915.730390566008</v>
      </c>
      <c r="K696" s="3">
        <f t="shared" si="141"/>
        <v>-20646.682379831043</v>
      </c>
      <c r="L696" s="3">
        <f t="shared" si="142"/>
        <v>-42094.168410724327</v>
      </c>
      <c r="M696" s="3">
        <f t="shared" si="143"/>
        <v>46885.013676910101</v>
      </c>
      <c r="N696" s="3">
        <f t="shared" si="144"/>
        <v>-5646.6823798310434</v>
      </c>
      <c r="O696" s="3">
        <f t="shared" si="145"/>
        <v>-92094.16841072432</v>
      </c>
      <c r="P696" s="3">
        <f t="shared" si="146"/>
        <v>92267.11698737285</v>
      </c>
    </row>
    <row r="697" spans="1:16" x14ac:dyDescent="0.25">
      <c r="A697">
        <f t="shared" si="133"/>
        <v>310.5</v>
      </c>
      <c r="B697">
        <f t="shared" si="134"/>
        <v>6157.0595057383471</v>
      </c>
      <c r="C697">
        <f t="shared" si="135"/>
        <v>61430.28258227287</v>
      </c>
      <c r="D697">
        <f t="shared" si="136"/>
        <v>11020.754251814607</v>
      </c>
      <c r="E697">
        <f t="shared" si="137"/>
        <v>-1327.7716569029149</v>
      </c>
      <c r="F697">
        <f>$C$23*(H697/(J697^2+$C$24^2)^1.5)+$C$32*(K697/(M697^2+$C$33^2)^1.5)+C$41*(N697/(P697^2+$C$42^2)^1.5)</f>
        <v>-2744.5236729733519</v>
      </c>
      <c r="G697">
        <f>$C$23*(I697/(J697^2+$C$24^2)^1.5)+$C$32*(L697/(M697^2+$C$33^2)^1.5)+C$41*(O697/(P697^2+$C$42^2)^1.5)</f>
        <v>-5045.2812714186402</v>
      </c>
      <c r="H697" s="3">
        <f t="shared" si="138"/>
        <v>13842.940494261653</v>
      </c>
      <c r="I697" s="3">
        <f t="shared" si="139"/>
        <v>-46430.28258227287</v>
      </c>
      <c r="J697" s="3">
        <f t="shared" si="140"/>
        <v>48449.955027815871</v>
      </c>
      <c r="K697" s="3">
        <f t="shared" si="141"/>
        <v>-26157.059505738347</v>
      </c>
      <c r="L697" s="3">
        <f t="shared" si="142"/>
        <v>-41430.28258227287</v>
      </c>
      <c r="M697" s="3">
        <f t="shared" si="143"/>
        <v>48996.531273486282</v>
      </c>
      <c r="N697" s="3">
        <f t="shared" si="144"/>
        <v>-11157.059505738347</v>
      </c>
      <c r="O697" s="3">
        <f t="shared" si="145"/>
        <v>-91430.282582272863</v>
      </c>
      <c r="P697" s="3">
        <f t="shared" si="146"/>
        <v>92108.504221319628</v>
      </c>
    </row>
    <row r="698" spans="1:16" x14ac:dyDescent="0.25">
      <c r="A698">
        <f t="shared" si="133"/>
        <v>311</v>
      </c>
      <c r="B698">
        <f t="shared" si="134"/>
        <v>10981.305713402313</v>
      </c>
      <c r="C698">
        <f t="shared" si="135"/>
        <v>59505.076435966752</v>
      </c>
      <c r="D698">
        <f t="shared" si="136"/>
        <v>9648.4924153279317</v>
      </c>
      <c r="E698">
        <f t="shared" si="137"/>
        <v>-3850.412292612235</v>
      </c>
      <c r="F698">
        <f>$C$23*(H698/(J698^2+$C$24^2)^1.5)+$C$32*(K698/(M698^2+$C$33^2)^1.5)+C$41*(N698/(P698^2+$C$42^2)^1.5)</f>
        <v>-3082.5572832266353</v>
      </c>
      <c r="G698">
        <f>$C$23*(I698/(J698^2+$C$24^2)^1.5)+$C$32*(L698/(M698^2+$C$33^2)^1.5)+C$41*(O698/(P698^2+$C$42^2)^1.5)</f>
        <v>-4616.5785786793804</v>
      </c>
      <c r="H698" s="3">
        <f t="shared" si="138"/>
        <v>9018.6942865976871</v>
      </c>
      <c r="I698" s="3">
        <f t="shared" si="139"/>
        <v>-44505.076435966752</v>
      </c>
      <c r="J698" s="3">
        <f t="shared" si="140"/>
        <v>45409.676008603637</v>
      </c>
      <c r="K698" s="3">
        <f t="shared" si="141"/>
        <v>-30981.305713402311</v>
      </c>
      <c r="L698" s="3">
        <f t="shared" si="142"/>
        <v>-39505.076435966752</v>
      </c>
      <c r="M698" s="3">
        <f t="shared" si="143"/>
        <v>50204.505454379985</v>
      </c>
      <c r="N698" s="3">
        <f t="shared" si="144"/>
        <v>-15981.305713402313</v>
      </c>
      <c r="O698" s="3">
        <f t="shared" si="145"/>
        <v>-89505.076435966752</v>
      </c>
      <c r="P698" s="3">
        <f t="shared" si="146"/>
        <v>90920.629342924571</v>
      </c>
    </row>
    <row r="699" spans="1:16" x14ac:dyDescent="0.25">
      <c r="A699">
        <f t="shared" si="133"/>
        <v>311.5</v>
      </c>
      <c r="B699">
        <f t="shared" si="134"/>
        <v>15034.91260025962</v>
      </c>
      <c r="C699">
        <f t="shared" si="135"/>
        <v>56425.725644990787</v>
      </c>
      <c r="D699">
        <f t="shared" si="136"/>
        <v>8107.213773714614</v>
      </c>
      <c r="E699">
        <f t="shared" si="137"/>
        <v>-6158.7015819519256</v>
      </c>
      <c r="F699">
        <f>$C$23*(H699/(J699^2+$C$24^2)^1.5)+$C$32*(K699/(M699^2+$C$33^2)^1.5)+C$41*(N699/(P699^2+$C$42^2)^1.5)</f>
        <v>-3463.2702937348422</v>
      </c>
      <c r="G699">
        <f>$C$23*(I699/(J699^2+$C$24^2)^1.5)+$C$32*(L699/(M699^2+$C$33^2)^1.5)+C$41*(O699/(P699^2+$C$42^2)^1.5)</f>
        <v>-4315.6246621544342</v>
      </c>
      <c r="H699" s="3">
        <f t="shared" si="138"/>
        <v>4965.0873997403796</v>
      </c>
      <c r="I699" s="3">
        <f t="shared" si="139"/>
        <v>-41425.725644990787</v>
      </c>
      <c r="J699" s="3">
        <f t="shared" si="140"/>
        <v>41722.21036931179</v>
      </c>
      <c r="K699" s="3">
        <f t="shared" si="141"/>
        <v>-35034.912600259617</v>
      </c>
      <c r="L699" s="3">
        <f t="shared" si="142"/>
        <v>-36425.725644990787</v>
      </c>
      <c r="M699" s="3">
        <f t="shared" si="143"/>
        <v>50539.871286658112</v>
      </c>
      <c r="N699" s="3">
        <f t="shared" si="144"/>
        <v>-20034.91260025962</v>
      </c>
      <c r="O699" s="3">
        <f t="shared" si="145"/>
        <v>-86425.725644990787</v>
      </c>
      <c r="P699" s="3">
        <f t="shared" si="146"/>
        <v>88717.550553220644</v>
      </c>
    </row>
    <row r="700" spans="1:16" x14ac:dyDescent="0.25">
      <c r="A700">
        <f t="shared" si="133"/>
        <v>312</v>
      </c>
      <c r="B700">
        <f t="shared" si="134"/>
        <v>18222.701913683217</v>
      </c>
      <c r="C700">
        <f t="shared" si="135"/>
        <v>52267.468688476212</v>
      </c>
      <c r="D700">
        <f t="shared" si="136"/>
        <v>6375.5786268471929</v>
      </c>
      <c r="E700">
        <f t="shared" si="137"/>
        <v>-8316.5139130291427</v>
      </c>
      <c r="F700">
        <f>$C$23*(H700/(J700^2+$C$24^2)^1.5)+$C$32*(K700/(M700^2+$C$33^2)^1.5)+C$41*(N700/(P700^2+$C$42^2)^1.5)</f>
        <v>-3929.3109998790774</v>
      </c>
      <c r="G700">
        <f>$C$23*(I700/(J700^2+$C$24^2)^1.5)+$C$32*(L700/(M700^2+$C$33^2)^1.5)+C$41*(O700/(P700^2+$C$42^2)^1.5)</f>
        <v>-4109.38747888121</v>
      </c>
      <c r="H700" s="3">
        <f t="shared" si="138"/>
        <v>1777.2980863167832</v>
      </c>
      <c r="I700" s="3">
        <f t="shared" si="139"/>
        <v>-37267.468688476212</v>
      </c>
      <c r="J700" s="3">
        <f t="shared" si="140"/>
        <v>37309.82458996799</v>
      </c>
      <c r="K700" s="3">
        <f t="shared" si="141"/>
        <v>-38222.701913683217</v>
      </c>
      <c r="L700" s="3">
        <f t="shared" si="142"/>
        <v>-32267.468688476212</v>
      </c>
      <c r="M700" s="3">
        <f t="shared" si="143"/>
        <v>50021.64008850645</v>
      </c>
      <c r="N700" s="3">
        <f t="shared" si="144"/>
        <v>-23222.701913683217</v>
      </c>
      <c r="O700" s="3">
        <f t="shared" si="145"/>
        <v>-82267.46868847622</v>
      </c>
      <c r="P700" s="3">
        <f t="shared" si="146"/>
        <v>85482.339044864711</v>
      </c>
    </row>
    <row r="701" spans="1:16" x14ac:dyDescent="0.25">
      <c r="A701">
        <f t="shared" si="133"/>
        <v>312.5</v>
      </c>
      <c r="B701">
        <f t="shared" si="134"/>
        <v>20428.163477137045</v>
      </c>
      <c r="C701">
        <f t="shared" si="135"/>
        <v>47081.864862241331</v>
      </c>
      <c r="D701">
        <f t="shared" si="136"/>
        <v>4410.9231269076545</v>
      </c>
      <c r="E701">
        <f t="shared" si="137"/>
        <v>-10371.207652469748</v>
      </c>
      <c r="F701">
        <f>$C$23*(H701/(J701^2+$C$24^2)^1.5)+$C$32*(K701/(M701^2+$C$33^2)^1.5)+C$41*(N701/(P701^2+$C$42^2)^1.5)</f>
        <v>-4530.1733417715614</v>
      </c>
      <c r="G701">
        <f>$C$23*(I701/(J701^2+$C$24^2)^1.5)+$C$32*(L701/(M701^2+$C$33^2)^1.5)+C$41*(O701/(P701^2+$C$42^2)^1.5)</f>
        <v>-3980.7323206076408</v>
      </c>
      <c r="H701" s="3">
        <f t="shared" si="138"/>
        <v>-428.16347713704454</v>
      </c>
      <c r="I701" s="3">
        <f t="shared" si="139"/>
        <v>-32081.864862241331</v>
      </c>
      <c r="J701" s="3">
        <f t="shared" si="140"/>
        <v>32084.721862629089</v>
      </c>
      <c r="K701" s="3">
        <f t="shared" si="141"/>
        <v>-40428.163477137045</v>
      </c>
      <c r="L701" s="3">
        <f t="shared" si="142"/>
        <v>-27081.864862241331</v>
      </c>
      <c r="M701" s="3">
        <f t="shared" si="143"/>
        <v>48660.700843193983</v>
      </c>
      <c r="N701" s="3">
        <f t="shared" si="144"/>
        <v>-25428.163477137045</v>
      </c>
      <c r="O701" s="3">
        <f t="shared" si="145"/>
        <v>-77081.864862241331</v>
      </c>
      <c r="P701" s="3">
        <f t="shared" si="146"/>
        <v>81167.760770276524</v>
      </c>
    </row>
    <row r="702" spans="1:16" x14ac:dyDescent="0.25">
      <c r="A702">
        <f t="shared" si="133"/>
        <v>313</v>
      </c>
      <c r="B702">
        <f t="shared" si="134"/>
        <v>21501.081705147983</v>
      </c>
      <c r="C702">
        <f t="shared" si="135"/>
        <v>40901.077955854547</v>
      </c>
      <c r="D702">
        <f t="shared" si="136"/>
        <v>2145.8364560218738</v>
      </c>
      <c r="E702">
        <f t="shared" si="137"/>
        <v>-12361.573812773568</v>
      </c>
      <c r="F702">
        <f>$C$23*(H702/(J702^2+$C$24^2)^1.5)+$C$32*(K702/(M702^2+$C$33^2)^1.5)+C$41*(N702/(P702^2+$C$42^2)^1.5)</f>
        <v>-5331.7817663706855</v>
      </c>
      <c r="G702">
        <f>$C$23*(I702/(J702^2+$C$24^2)^1.5)+$C$32*(L702/(M702^2+$C$33^2)^1.5)+C$41*(O702/(P702^2+$C$42^2)^1.5)</f>
        <v>-3940.683639202085</v>
      </c>
      <c r="H702" s="3">
        <f t="shared" si="138"/>
        <v>-1501.0817051479826</v>
      </c>
      <c r="I702" s="3">
        <f t="shared" si="139"/>
        <v>-25901.077955854547</v>
      </c>
      <c r="J702" s="3">
        <f t="shared" si="140"/>
        <v>25944.538646134843</v>
      </c>
      <c r="K702" s="3">
        <f t="shared" si="141"/>
        <v>-41501.081705147983</v>
      </c>
      <c r="L702" s="3">
        <f t="shared" si="142"/>
        <v>-20901.077955854547</v>
      </c>
      <c r="M702" s="3">
        <f t="shared" si="143"/>
        <v>46467.137230671717</v>
      </c>
      <c r="N702" s="3">
        <f t="shared" si="144"/>
        <v>-26501.081705147983</v>
      </c>
      <c r="O702" s="3">
        <f t="shared" si="145"/>
        <v>-70901.077955854547</v>
      </c>
      <c r="P702" s="3">
        <f t="shared" si="146"/>
        <v>75691.942681140717</v>
      </c>
    </row>
    <row r="703" spans="1:16" x14ac:dyDescent="0.25">
      <c r="A703">
        <f t="shared" si="133"/>
        <v>313.5</v>
      </c>
      <c r="B703">
        <f t="shared" si="134"/>
        <v>21241.05449156625</v>
      </c>
      <c r="C703">
        <f t="shared" si="135"/>
        <v>33735.12013966724</v>
      </c>
      <c r="D703">
        <f t="shared" si="136"/>
        <v>-520.05442716346897</v>
      </c>
      <c r="E703">
        <f t="shared" si="137"/>
        <v>-14331.91563237461</v>
      </c>
      <c r="F703">
        <f>$C$23*(H703/(J703^2+$C$24^2)^1.5)+$C$32*(K703/(M703^2+$C$33^2)^1.5)+C$41*(N703/(P703^2+$C$42^2)^1.5)</f>
        <v>-6410.2889451401188</v>
      </c>
      <c r="G703">
        <f>$C$23*(I703/(J703^2+$C$24^2)^1.5)+$C$32*(L703/(M703^2+$C$33^2)^1.5)+C$41*(O703/(P703^2+$C$42^2)^1.5)</f>
        <v>-4124.5018297150464</v>
      </c>
      <c r="H703" s="3">
        <f t="shared" si="138"/>
        <v>-1241.0544915662504</v>
      </c>
      <c r="I703" s="3">
        <f t="shared" si="139"/>
        <v>-18735.12013966724</v>
      </c>
      <c r="J703" s="3">
        <f t="shared" si="140"/>
        <v>18776.180199891613</v>
      </c>
      <c r="K703" s="3">
        <f t="shared" si="141"/>
        <v>-41241.054491566247</v>
      </c>
      <c r="L703" s="3">
        <f t="shared" si="142"/>
        <v>-13735.12013966724</v>
      </c>
      <c r="M703" s="3">
        <f t="shared" si="143"/>
        <v>43468.127413398302</v>
      </c>
      <c r="N703" s="3">
        <f t="shared" si="144"/>
        <v>-26241.05449156625</v>
      </c>
      <c r="O703" s="3">
        <f t="shared" si="145"/>
        <v>-63735.12013966724</v>
      </c>
      <c r="P703" s="3">
        <f t="shared" si="146"/>
        <v>68925.746133409149</v>
      </c>
    </row>
    <row r="704" spans="1:16" x14ac:dyDescent="0.25">
      <c r="A704">
        <f t="shared" si="133"/>
        <v>314</v>
      </c>
      <c r="B704">
        <f t="shared" si="134"/>
        <v>19378.455041699486</v>
      </c>
      <c r="C704">
        <f t="shared" si="135"/>
        <v>25538.03686605117</v>
      </c>
      <c r="D704">
        <f t="shared" si="136"/>
        <v>-3725.1988997335284</v>
      </c>
      <c r="E704">
        <f t="shared" si="137"/>
        <v>-16394.166547232133</v>
      </c>
      <c r="F704">
        <f>$C$23*(H704/(J704^2+$C$24^2)^1.5)+$C$32*(K704/(M704^2+$C$33^2)^1.5)+C$41*(N704/(P704^2+$C$42^2)^1.5)</f>
        <v>-7486.8440999623363</v>
      </c>
      <c r="G704">
        <f>$C$23*(I704/(J704^2+$C$24^2)^1.5)+$C$32*(L704/(M704^2+$C$33^2)^1.5)+C$41*(O704/(P704^2+$C$42^2)^1.5)</f>
        <v>-5483.5972050305372</v>
      </c>
      <c r="H704" s="3">
        <f t="shared" si="138"/>
        <v>621.54495830051383</v>
      </c>
      <c r="I704" s="3">
        <f t="shared" si="139"/>
        <v>-10538.03686605117</v>
      </c>
      <c r="J704" s="3">
        <f t="shared" si="140"/>
        <v>10556.35065377436</v>
      </c>
      <c r="K704" s="3">
        <f t="shared" si="141"/>
        <v>-39378.45504169949</v>
      </c>
      <c r="L704" s="3">
        <f t="shared" si="142"/>
        <v>-5538.0368660511704</v>
      </c>
      <c r="M704" s="3">
        <f t="shared" si="143"/>
        <v>39765.972561989351</v>
      </c>
      <c r="N704" s="3">
        <f t="shared" si="144"/>
        <v>-24378.455041699486</v>
      </c>
      <c r="O704" s="3">
        <f t="shared" si="145"/>
        <v>-55538.036866051174</v>
      </c>
      <c r="P704" s="3">
        <f t="shared" si="146"/>
        <v>60652.968675531643</v>
      </c>
    </row>
    <row r="705" spans="1:16" x14ac:dyDescent="0.25">
      <c r="A705">
        <f t="shared" si="133"/>
        <v>314.5</v>
      </c>
      <c r="B705">
        <f t="shared" si="134"/>
        <v>15644.144566842138</v>
      </c>
      <c r="C705">
        <f t="shared" si="135"/>
        <v>15970.05429117747</v>
      </c>
      <c r="D705">
        <f t="shared" si="136"/>
        <v>-7468.6209497146965</v>
      </c>
      <c r="E705">
        <f t="shared" si="137"/>
        <v>-19135.965149747401</v>
      </c>
      <c r="F705">
        <f>$C$23*(H705/(J705^2+$C$24^2)^1.5)+$C$32*(K705/(M705^2+$C$33^2)^1.5)+C$41*(N705/(P705^2+$C$42^2)^1.5)</f>
        <v>-1633.7853048884745</v>
      </c>
      <c r="G705">
        <f>$C$23*(I705/(J705^2+$C$24^2)^1.5)+$C$32*(L705/(M705^2+$C$33^2)^1.5)+C$41*(O705/(P705^2+$C$42^2)^1.5)</f>
        <v>-2138.1568040554448</v>
      </c>
      <c r="H705" s="3">
        <f t="shared" si="138"/>
        <v>4355.8554331578616</v>
      </c>
      <c r="I705" s="3">
        <f t="shared" si="139"/>
        <v>-970.05429117747008</v>
      </c>
      <c r="J705" s="3">
        <f t="shared" si="140"/>
        <v>4462.5644961616727</v>
      </c>
      <c r="K705" s="3">
        <f t="shared" si="141"/>
        <v>-35644.144566842137</v>
      </c>
      <c r="L705" s="3">
        <f t="shared" si="142"/>
        <v>4029.9457088225299</v>
      </c>
      <c r="M705" s="3">
        <f t="shared" si="143"/>
        <v>35871.235054260382</v>
      </c>
      <c r="N705" s="3">
        <f t="shared" si="144"/>
        <v>-20644.144566842137</v>
      </c>
      <c r="O705" s="3">
        <f t="shared" si="145"/>
        <v>-45970.054291177468</v>
      </c>
      <c r="P705" s="3">
        <f t="shared" si="146"/>
        <v>50392.723645686012</v>
      </c>
    </row>
    <row r="706" spans="1:16" x14ac:dyDescent="0.25">
      <c r="A706">
        <f t="shared" si="133"/>
        <v>315</v>
      </c>
      <c r="B706">
        <f t="shared" si="134"/>
        <v>11501.387765762673</v>
      </c>
      <c r="C706">
        <f t="shared" si="135"/>
        <v>5867.5325152899086</v>
      </c>
      <c r="D706">
        <f t="shared" si="136"/>
        <v>-8285.5136021589333</v>
      </c>
      <c r="E706">
        <f t="shared" si="137"/>
        <v>-20205.043551775125</v>
      </c>
      <c r="F706">
        <f>$C$23*(H706/(J706^2+$C$24^2)^1.5)+$C$32*(K706/(M706^2+$C$33^2)^1.5)+C$41*(N706/(P706^2+$C$42^2)^1.5)</f>
        <v>-7538.5886822484936</v>
      </c>
      <c r="G706">
        <f>$C$23*(I706/(J706^2+$C$24^2)^1.5)+$C$32*(L706/(M706^2+$C$33^2)^1.5)+C$41*(O706/(P706^2+$C$42^2)^1.5)</f>
        <v>3491.25128352611</v>
      </c>
      <c r="H706" s="3">
        <f t="shared" si="138"/>
        <v>8498.6122342373274</v>
      </c>
      <c r="I706" s="3">
        <f t="shared" si="139"/>
        <v>9132.4674847100905</v>
      </c>
      <c r="J706" s="3">
        <f t="shared" si="140"/>
        <v>12475.110110424494</v>
      </c>
      <c r="K706" s="3">
        <f t="shared" si="141"/>
        <v>-31501.387765762673</v>
      </c>
      <c r="L706" s="3">
        <f t="shared" si="142"/>
        <v>14132.467484710091</v>
      </c>
      <c r="M706" s="3">
        <f t="shared" si="143"/>
        <v>34526.28083613018</v>
      </c>
      <c r="N706" s="3">
        <f t="shared" si="144"/>
        <v>-16501.387765762673</v>
      </c>
      <c r="O706" s="3">
        <f t="shared" si="145"/>
        <v>-35867.532515289909</v>
      </c>
      <c r="P706" s="3">
        <f t="shared" si="146"/>
        <v>39481.333398600422</v>
      </c>
    </row>
    <row r="707" spans="1:16" x14ac:dyDescent="0.25">
      <c r="A707">
        <f t="shared" si="133"/>
        <v>315.5</v>
      </c>
      <c r="B707">
        <f t="shared" si="134"/>
        <v>5473.9837941210826</v>
      </c>
      <c r="C707">
        <f t="shared" si="135"/>
        <v>-3362.1764397161264</v>
      </c>
      <c r="D707">
        <f t="shared" si="136"/>
        <v>-12054.80794328318</v>
      </c>
      <c r="E707">
        <f t="shared" si="137"/>
        <v>-18459.417910012071</v>
      </c>
      <c r="F707">
        <f>$C$23*(H707/(J707^2+$C$24^2)^1.5)+$C$32*(K707/(M707^2+$C$33^2)^1.5)+C$41*(N707/(P707^2+$C$42^2)^1.5)</f>
        <v>-7752.0375526674861</v>
      </c>
      <c r="G707">
        <f>$C$23*(I707/(J707^2+$C$24^2)^1.5)+$C$32*(L707/(M707^2+$C$33^2)^1.5)+C$41*(O707/(P707^2+$C$42^2)^1.5)</f>
        <v>2871.4486065266174</v>
      </c>
      <c r="H707" s="3">
        <f t="shared" si="138"/>
        <v>14526.016205878917</v>
      </c>
      <c r="I707" s="3">
        <f t="shared" si="139"/>
        <v>18362.176439716128</v>
      </c>
      <c r="J707" s="3">
        <f t="shared" si="140"/>
        <v>23413.130299400869</v>
      </c>
      <c r="K707" s="3">
        <f t="shared" si="141"/>
        <v>-25473.983794121083</v>
      </c>
      <c r="L707" s="3">
        <f t="shared" si="142"/>
        <v>23362.176439716128</v>
      </c>
      <c r="M707" s="3">
        <f t="shared" si="143"/>
        <v>34564.651572720519</v>
      </c>
      <c r="N707" s="3">
        <f t="shared" si="144"/>
        <v>-10473.983794121083</v>
      </c>
      <c r="O707" s="3">
        <f t="shared" si="145"/>
        <v>-26637.823560283872</v>
      </c>
      <c r="P707" s="3">
        <f t="shared" si="146"/>
        <v>28623.032343697017</v>
      </c>
    </row>
    <row r="708" spans="1:16" x14ac:dyDescent="0.25">
      <c r="A708">
        <f t="shared" si="133"/>
        <v>316</v>
      </c>
      <c r="B708">
        <f t="shared" si="134"/>
        <v>-2491.4295656873792</v>
      </c>
      <c r="C708">
        <f t="shared" si="135"/>
        <v>-11874.023243090507</v>
      </c>
      <c r="D708">
        <f t="shared" si="136"/>
        <v>-15930.826719616924</v>
      </c>
      <c r="E708">
        <f t="shared" si="137"/>
        <v>-17023.693606748762</v>
      </c>
      <c r="F708">
        <f>$C$23*(H708/(J708^2+$C$24^2)^1.5)+$C$32*(K708/(M708^2+$C$33^2)^1.5)+C$41*(N708/(P708^2+$C$42^2)^1.5)</f>
        <v>-4959.3102663502705</v>
      </c>
      <c r="G708">
        <f>$C$23*(I708/(J708^2+$C$24^2)^1.5)+$C$32*(L708/(M708^2+$C$33^2)^1.5)+C$41*(O708/(P708^2+$C$42^2)^1.5)</f>
        <v>-653.89909419956984</v>
      </c>
      <c r="H708" s="3">
        <f t="shared" si="138"/>
        <v>22491.42956568738</v>
      </c>
      <c r="I708" s="3">
        <f t="shared" si="139"/>
        <v>26874.023243090509</v>
      </c>
      <c r="J708" s="3">
        <f t="shared" si="140"/>
        <v>35043.937124393502</v>
      </c>
      <c r="K708" s="3">
        <f t="shared" si="141"/>
        <v>-17508.57043431262</v>
      </c>
      <c r="L708" s="3">
        <f t="shared" si="142"/>
        <v>31874.023243090509</v>
      </c>
      <c r="M708" s="3">
        <f t="shared" si="143"/>
        <v>36366.239788495594</v>
      </c>
      <c r="N708" s="3">
        <f t="shared" si="144"/>
        <v>-2508.5704343126208</v>
      </c>
      <c r="O708" s="3">
        <f t="shared" si="145"/>
        <v>-18125.976756909491</v>
      </c>
      <c r="P708" s="3">
        <f t="shared" si="146"/>
        <v>18298.742006376571</v>
      </c>
    </row>
    <row r="709" spans="1:16" x14ac:dyDescent="0.25">
      <c r="A709">
        <f t="shared" si="133"/>
        <v>316.5</v>
      </c>
      <c r="B709">
        <f t="shared" si="134"/>
        <v>-11696.670492083409</v>
      </c>
      <c r="C709">
        <f t="shared" si="135"/>
        <v>-20549.34482001478</v>
      </c>
      <c r="D709">
        <f t="shared" si="136"/>
        <v>-18410.481852792058</v>
      </c>
      <c r="E709">
        <f t="shared" si="137"/>
        <v>-17350.643153848549</v>
      </c>
      <c r="F709">
        <f>$C$23*(H709/(J709^2+$C$24^2)^1.5)+$C$32*(K709/(M709^2+$C$33^2)^1.5)+C$41*(N709/(P709^2+$C$42^2)^1.5)</f>
        <v>6603.9072382555041</v>
      </c>
      <c r="G709">
        <f>$C$23*(I709/(J709^2+$C$24^2)^1.5)+$C$32*(L709/(M709^2+$C$33^2)^1.5)+C$41*(O709/(P709^2+$C$42^2)^1.5)</f>
        <v>-4160.2942625254973</v>
      </c>
      <c r="H709" s="3">
        <f t="shared" si="138"/>
        <v>31696.670492083409</v>
      </c>
      <c r="I709" s="3">
        <f t="shared" si="139"/>
        <v>35549.344820014783</v>
      </c>
      <c r="J709" s="3">
        <f t="shared" si="140"/>
        <v>47628.088744101653</v>
      </c>
      <c r="K709" s="3">
        <f t="shared" si="141"/>
        <v>-8303.329507916591</v>
      </c>
      <c r="L709" s="3">
        <f t="shared" si="142"/>
        <v>40549.344820014783</v>
      </c>
      <c r="M709" s="3">
        <f t="shared" si="143"/>
        <v>41390.755565095671</v>
      </c>
      <c r="N709" s="3">
        <f t="shared" si="144"/>
        <v>6696.670492083409</v>
      </c>
      <c r="O709" s="3">
        <f t="shared" si="145"/>
        <v>-9450.6551799852205</v>
      </c>
      <c r="P709" s="3">
        <f t="shared" si="146"/>
        <v>11582.757832680529</v>
      </c>
    </row>
    <row r="710" spans="1:16" x14ac:dyDescent="0.25">
      <c r="A710">
        <f t="shared" si="133"/>
        <v>317</v>
      </c>
      <c r="B710">
        <f t="shared" si="134"/>
        <v>-19250.934608915562</v>
      </c>
      <c r="C710">
        <f t="shared" si="135"/>
        <v>-30264.739962570427</v>
      </c>
      <c r="D710">
        <f t="shared" si="136"/>
        <v>-15108.528233664307</v>
      </c>
      <c r="E710">
        <f t="shared" si="137"/>
        <v>-19430.790285111296</v>
      </c>
      <c r="F710">
        <f>$C$23*(H710/(J710^2+$C$24^2)^1.5)+$C$32*(K710/(M710^2+$C$33^2)^1.5)+C$41*(N710/(P710^2+$C$42^2)^1.5)</f>
        <v>11330.267252215583</v>
      </c>
      <c r="G710">
        <f>$C$23*(I710/(J710^2+$C$24^2)^1.5)+$C$32*(L710/(M710^2+$C$33^2)^1.5)+C$41*(O710/(P710^2+$C$42^2)^1.5)</f>
        <v>5241.0010711386385</v>
      </c>
      <c r="H710" s="3">
        <f t="shared" si="138"/>
        <v>39250.934608915559</v>
      </c>
      <c r="I710" s="3">
        <f t="shared" si="139"/>
        <v>45264.739962570427</v>
      </c>
      <c r="J710" s="3">
        <f t="shared" si="140"/>
        <v>59912.707763482744</v>
      </c>
      <c r="K710" s="3">
        <f t="shared" si="141"/>
        <v>-749.06539108443758</v>
      </c>
      <c r="L710" s="3">
        <f t="shared" si="142"/>
        <v>50264.739962570427</v>
      </c>
      <c r="M710" s="3">
        <f t="shared" si="143"/>
        <v>50270.321089733901</v>
      </c>
      <c r="N710" s="3">
        <f t="shared" si="144"/>
        <v>14250.934608915562</v>
      </c>
      <c r="O710" s="3">
        <f t="shared" si="145"/>
        <v>264.73996257042745</v>
      </c>
      <c r="P710" s="3">
        <f t="shared" si="146"/>
        <v>14253.393437191338</v>
      </c>
    </row>
    <row r="711" spans="1:16" x14ac:dyDescent="0.25">
      <c r="A711">
        <f t="shared" si="133"/>
        <v>317.5</v>
      </c>
      <c r="B711">
        <f t="shared" si="134"/>
        <v>-23972.631912693822</v>
      </c>
      <c r="C711">
        <f t="shared" si="135"/>
        <v>-38669.884837341415</v>
      </c>
      <c r="D711">
        <f t="shared" si="136"/>
        <v>-9443.3946075565145</v>
      </c>
      <c r="E711">
        <f t="shared" si="137"/>
        <v>-16810.289749541975</v>
      </c>
      <c r="F711">
        <f>$C$23*(H711/(J711^2+$C$24^2)^1.5)+$C$32*(K711/(M711^2+$C$33^2)^1.5)+C$41*(N711/(P711^2+$C$42^2)^1.5)</f>
        <v>6739.5995412928032</v>
      </c>
      <c r="G711">
        <f>$C$23*(I711/(J711^2+$C$24^2)^1.5)+$C$32*(L711/(M711^2+$C$33^2)^1.5)+C$41*(O711/(P711^2+$C$42^2)^1.5)</f>
        <v>6728.1411818066108</v>
      </c>
      <c r="H711" s="3">
        <f t="shared" si="138"/>
        <v>43972.631912693818</v>
      </c>
      <c r="I711" s="3">
        <f t="shared" si="139"/>
        <v>53669.884837341415</v>
      </c>
      <c r="J711" s="3">
        <f t="shared" si="140"/>
        <v>69383.347395342265</v>
      </c>
      <c r="K711" s="3">
        <f t="shared" si="141"/>
        <v>3972.6319126938215</v>
      </c>
      <c r="L711" s="3">
        <f t="shared" si="142"/>
        <v>58669.884837341415</v>
      </c>
      <c r="M711" s="3">
        <f t="shared" si="143"/>
        <v>58804.227663839418</v>
      </c>
      <c r="N711" s="3">
        <f t="shared" si="144"/>
        <v>18972.631912693822</v>
      </c>
      <c r="O711" s="3">
        <f t="shared" si="145"/>
        <v>8669.8848373414148</v>
      </c>
      <c r="P711" s="3">
        <f t="shared" si="146"/>
        <v>20859.713919115253</v>
      </c>
    </row>
    <row r="712" spans="1:16" x14ac:dyDescent="0.25">
      <c r="A712">
        <f t="shared" si="133"/>
        <v>318</v>
      </c>
      <c r="B712">
        <f t="shared" si="134"/>
        <v>-27009.429331148876</v>
      </c>
      <c r="C712">
        <f t="shared" si="135"/>
        <v>-45392.994416660753</v>
      </c>
      <c r="D712">
        <f t="shared" si="136"/>
        <v>-6073.5948369101134</v>
      </c>
      <c r="E712">
        <f t="shared" si="137"/>
        <v>-13446.219158638669</v>
      </c>
      <c r="F712">
        <f>$C$23*(H712/(J712^2+$C$24^2)^1.5)+$C$32*(K712/(M712^2+$C$33^2)^1.5)+C$41*(N712/(P712^2+$C$42^2)^1.5)</f>
        <v>4293.8858675808124</v>
      </c>
      <c r="G712">
        <f>$C$23*(I712/(J712^2+$C$24^2)^1.5)+$C$32*(L712/(M712^2+$C$33^2)^1.5)+C$41*(O712/(P712^2+$C$42^2)^1.5)</f>
        <v>5820.9952853573368</v>
      </c>
      <c r="H712" s="3">
        <f t="shared" si="138"/>
        <v>47009.429331148873</v>
      </c>
      <c r="I712" s="3">
        <f t="shared" si="139"/>
        <v>60392.994416660753</v>
      </c>
      <c r="J712" s="3">
        <f t="shared" si="140"/>
        <v>76532.34754436255</v>
      </c>
      <c r="K712" s="3">
        <f t="shared" si="141"/>
        <v>7009.4293311488764</v>
      </c>
      <c r="L712" s="3">
        <f t="shared" si="142"/>
        <v>65392.994416660753</v>
      </c>
      <c r="M712" s="3">
        <f t="shared" si="143"/>
        <v>65767.589421582074</v>
      </c>
      <c r="N712" s="3">
        <f t="shared" si="144"/>
        <v>22009.429331148876</v>
      </c>
      <c r="O712" s="3">
        <f t="shared" si="145"/>
        <v>15392.994416660753</v>
      </c>
      <c r="P712" s="3">
        <f t="shared" si="146"/>
        <v>26858.132038438296</v>
      </c>
    </row>
    <row r="713" spans="1:16" x14ac:dyDescent="0.25">
      <c r="A713">
        <f t="shared" si="133"/>
        <v>318.5</v>
      </c>
      <c r="B713">
        <f t="shared" si="134"/>
        <v>-28972.755282708731</v>
      </c>
      <c r="C713">
        <f t="shared" si="135"/>
        <v>-50660.855174640747</v>
      </c>
      <c r="D713">
        <f t="shared" si="136"/>
        <v>-3926.6519031197072</v>
      </c>
      <c r="E713">
        <f t="shared" si="137"/>
        <v>-10535.72151596</v>
      </c>
      <c r="F713">
        <f>$C$23*(H713/(J713^2+$C$24^2)^1.5)+$C$32*(K713/(M713^2+$C$33^2)^1.5)+C$41*(N713/(P713^2+$C$42^2)^1.5)</f>
        <v>3121.8733597280202</v>
      </c>
      <c r="G713">
        <f>$C$23*(I713/(J713^2+$C$24^2)^1.5)+$C$32*(L713/(M713^2+$C$33^2)^1.5)+C$41*(O713/(P713^2+$C$42^2)^1.5)</f>
        <v>5019.4334468243205</v>
      </c>
      <c r="H713" s="3">
        <f t="shared" si="138"/>
        <v>48972.755282708735</v>
      </c>
      <c r="I713" s="3">
        <f t="shared" si="139"/>
        <v>65660.855174640747</v>
      </c>
      <c r="J713" s="3">
        <f t="shared" si="140"/>
        <v>81912.628222058789</v>
      </c>
      <c r="K713" s="3">
        <f t="shared" si="141"/>
        <v>8972.7552827087311</v>
      </c>
      <c r="L713" s="3">
        <f t="shared" si="142"/>
        <v>70660.855174640747</v>
      </c>
      <c r="M713" s="3">
        <f t="shared" si="143"/>
        <v>71228.272416049309</v>
      </c>
      <c r="N713" s="3">
        <f t="shared" si="144"/>
        <v>23972.755282708731</v>
      </c>
      <c r="O713" s="3">
        <f t="shared" si="145"/>
        <v>20660.855174640747</v>
      </c>
      <c r="P713" s="3">
        <f t="shared" si="146"/>
        <v>31647.494883357176</v>
      </c>
    </row>
    <row r="714" spans="1:16" x14ac:dyDescent="0.25">
      <c r="A714">
        <f t="shared" si="133"/>
        <v>319</v>
      </c>
      <c r="B714">
        <f t="shared" si="134"/>
        <v>-30155.61289433658</v>
      </c>
      <c r="C714">
        <f t="shared" si="135"/>
        <v>-54673.857570914668</v>
      </c>
      <c r="D714">
        <f t="shared" si="136"/>
        <v>-2365.7152232556973</v>
      </c>
      <c r="E714">
        <f t="shared" si="137"/>
        <v>-8026.0047925478393</v>
      </c>
      <c r="F714">
        <f>$C$23*(H714/(J714^2+$C$24^2)^1.5)+$C$32*(K714/(M714^2+$C$33^2)^1.5)+C$41*(N714/(P714^2+$C$42^2)^1.5)</f>
        <v>2502.0590541510005</v>
      </c>
      <c r="G714">
        <f>$C$23*(I714/(J714^2+$C$24^2)^1.5)+$C$32*(L714/(M714^2+$C$33^2)^1.5)+C$41*(O714/(P714^2+$C$42^2)^1.5)</f>
        <v>4487.4984487023285</v>
      </c>
      <c r="H714" s="3">
        <f t="shared" si="138"/>
        <v>50155.612894336577</v>
      </c>
      <c r="I714" s="3">
        <f t="shared" si="139"/>
        <v>69673.857570914668</v>
      </c>
      <c r="J714" s="3">
        <f t="shared" si="140"/>
        <v>85848.890112910871</v>
      </c>
      <c r="K714" s="3">
        <f t="shared" si="141"/>
        <v>10155.61289433658</v>
      </c>
      <c r="L714" s="3">
        <f t="shared" si="142"/>
        <v>74673.857570914668</v>
      </c>
      <c r="M714" s="3">
        <f t="shared" si="143"/>
        <v>75361.273063695422</v>
      </c>
      <c r="N714" s="3">
        <f t="shared" si="144"/>
        <v>25155.61289433658</v>
      </c>
      <c r="O714" s="3">
        <f t="shared" si="145"/>
        <v>24673.857570914668</v>
      </c>
      <c r="P714" s="3">
        <f t="shared" si="146"/>
        <v>35236.403158090579</v>
      </c>
    </row>
    <row r="715" spans="1:16" x14ac:dyDescent="0.25">
      <c r="A715">
        <f t="shared" si="133"/>
        <v>319.5</v>
      </c>
      <c r="B715">
        <f t="shared" si="134"/>
        <v>-30712.955742426679</v>
      </c>
      <c r="C715">
        <f t="shared" si="135"/>
        <v>-57564.985355013006</v>
      </c>
      <c r="D715">
        <f t="shared" si="136"/>
        <v>-1114.6856961801971</v>
      </c>
      <c r="E715">
        <f t="shared" si="137"/>
        <v>-5782.2555681966751</v>
      </c>
      <c r="F715">
        <f>$C$23*(H715/(J715^2+$C$24^2)^1.5)+$C$32*(K715/(M715^2+$C$33^2)^1.5)+C$41*(N715/(P715^2+$C$42^2)^1.5)</f>
        <v>2152.698793814674</v>
      </c>
      <c r="G715">
        <f>$C$23*(I715/(J715^2+$C$24^2)^1.5)+$C$32*(L715/(M715^2+$C$33^2)^1.5)+C$41*(O715/(P715^2+$C$42^2)^1.5)</f>
        <v>4164.9470992312708</v>
      </c>
      <c r="H715" s="3">
        <f t="shared" si="138"/>
        <v>50712.955742426682</v>
      </c>
      <c r="I715" s="3">
        <f t="shared" si="139"/>
        <v>72564.985355013006</v>
      </c>
      <c r="J715" s="3">
        <f t="shared" si="140"/>
        <v>88529.548624776013</v>
      </c>
      <c r="K715" s="3">
        <f t="shared" si="141"/>
        <v>10712.955742426679</v>
      </c>
      <c r="L715" s="3">
        <f t="shared" si="142"/>
        <v>77564.985355013006</v>
      </c>
      <c r="M715" s="3">
        <f t="shared" si="143"/>
        <v>78301.305058489132</v>
      </c>
      <c r="N715" s="3">
        <f t="shared" si="144"/>
        <v>25712.955742426679</v>
      </c>
      <c r="O715" s="3">
        <f t="shared" si="145"/>
        <v>27564.985355013006</v>
      </c>
      <c r="P715" s="3">
        <f t="shared" si="146"/>
        <v>37695.948199164253</v>
      </c>
    </row>
    <row r="716" spans="1:16" x14ac:dyDescent="0.25">
      <c r="A716">
        <f t="shared" si="133"/>
        <v>320</v>
      </c>
      <c r="B716">
        <f t="shared" si="134"/>
        <v>-30732.123892063108</v>
      </c>
      <c r="C716">
        <f t="shared" si="135"/>
        <v>-59414.876364303527</v>
      </c>
      <c r="D716">
        <f t="shared" si="136"/>
        <v>-38.33629927286006</v>
      </c>
      <c r="E716">
        <f t="shared" si="137"/>
        <v>-3699.7820185810397</v>
      </c>
      <c r="F716">
        <f>$C$23*(H716/(J716^2+$C$24^2)^1.5)+$C$32*(K716/(M716^2+$C$33^2)^1.5)+C$41*(N716/(P716^2+$C$42^2)^1.5)</f>
        <v>1958.0133512955779</v>
      </c>
      <c r="G716">
        <f>$C$23*(I716/(J716^2+$C$24^2)^1.5)+$C$32*(L716/(M716^2+$C$33^2)^1.5)+C$41*(O716/(P716^2+$C$42^2)^1.5)</f>
        <v>4001.6542584164581</v>
      </c>
      <c r="H716" s="3">
        <f t="shared" si="138"/>
        <v>50732.123892063108</v>
      </c>
      <c r="I716" s="3">
        <f t="shared" si="139"/>
        <v>74414.87636430352</v>
      </c>
      <c r="J716" s="3">
        <f t="shared" si="140"/>
        <v>90062.879250633661</v>
      </c>
      <c r="K716" s="3">
        <f t="shared" si="141"/>
        <v>10732.123892063108</v>
      </c>
      <c r="L716" s="3">
        <f t="shared" si="142"/>
        <v>79414.87636430352</v>
      </c>
      <c r="M716" s="3">
        <f t="shared" si="143"/>
        <v>80136.764791150665</v>
      </c>
      <c r="N716" s="3">
        <f t="shared" si="144"/>
        <v>25732.123892063108</v>
      </c>
      <c r="O716" s="3">
        <f t="shared" si="145"/>
        <v>29414.876364303527</v>
      </c>
      <c r="P716" s="3">
        <f t="shared" si="146"/>
        <v>39081.672834255027</v>
      </c>
    </row>
    <row r="717" spans="1:16" x14ac:dyDescent="0.25">
      <c r="A717">
        <f t="shared" si="133"/>
        <v>320.5</v>
      </c>
      <c r="B717">
        <f t="shared" si="134"/>
        <v>-30261.788703875642</v>
      </c>
      <c r="C717">
        <f t="shared" si="135"/>
        <v>-60264.35380898993</v>
      </c>
      <c r="D717">
        <f t="shared" si="136"/>
        <v>940.67037637492888</v>
      </c>
      <c r="E717">
        <f t="shared" si="137"/>
        <v>-1698.9548893728106</v>
      </c>
      <c r="F717">
        <f>$C$23*(H717/(J717^2+$C$24^2)^1.5)+$C$32*(K717/(M717^2+$C$33^2)^1.5)+C$41*(N717/(P717^2+$C$42^2)^1.5)</f>
        <v>1868.5693345436284</v>
      </c>
      <c r="G717">
        <f>$C$23*(I717/(J717^2+$C$24^2)^1.5)+$C$32*(L717/(M717^2+$C$33^2)^1.5)+C$41*(O717/(P717^2+$C$42^2)^1.5)</f>
        <v>3973.2018268934967</v>
      </c>
      <c r="H717" s="3">
        <f t="shared" si="138"/>
        <v>50261.788703875645</v>
      </c>
      <c r="I717" s="3">
        <f t="shared" si="139"/>
        <v>75264.353808989923</v>
      </c>
      <c r="J717" s="3">
        <f t="shared" si="140"/>
        <v>90503.979790934376</v>
      </c>
      <c r="K717" s="3">
        <f t="shared" si="141"/>
        <v>10261.788703875642</v>
      </c>
      <c r="L717" s="3">
        <f t="shared" si="142"/>
        <v>80264.353808989923</v>
      </c>
      <c r="M717" s="3">
        <f t="shared" si="143"/>
        <v>80917.67915466745</v>
      </c>
      <c r="N717" s="3">
        <f t="shared" si="144"/>
        <v>25261.788703875642</v>
      </c>
      <c r="O717" s="3">
        <f t="shared" si="145"/>
        <v>30264.35380898993</v>
      </c>
      <c r="P717" s="3">
        <f t="shared" si="146"/>
        <v>39421.936532785679</v>
      </c>
    </row>
    <row r="718" spans="1:16" x14ac:dyDescent="0.25">
      <c r="A718">
        <f t="shared" ref="A718:A781" si="147">A717+$C$5</f>
        <v>321</v>
      </c>
      <c r="B718">
        <f t="shared" ref="B718:B781" si="148">B717+D717*(A718-A717)+F717*(A718-A717)^2</f>
        <v>-29324.311182052268</v>
      </c>
      <c r="C718">
        <f t="shared" ref="C718:C781" si="149">C717+E717*(A718-A717)+G717*(A718-A717)^2</f>
        <v>-60120.53079695296</v>
      </c>
      <c r="D718">
        <f t="shared" ref="D718:D781" si="150">D717+F717*(A718-A717)</f>
        <v>1874.955043646743</v>
      </c>
      <c r="E718">
        <f t="shared" ref="E718:E781" si="151">E717+G717*(A718-A717)</f>
        <v>287.64602407393772</v>
      </c>
      <c r="F718">
        <f>$C$23*(H718/(J718^2+$C$24^2)^1.5)+$C$32*(K718/(M718^2+$C$33^2)^1.5)+C$41*(N718/(P718^2+$C$42^2)^1.5)</f>
        <v>1867.749510757918</v>
      </c>
      <c r="G718">
        <f>$C$23*(I718/(J718^2+$C$24^2)^1.5)+$C$32*(L718/(M718^2+$C$33^2)^1.5)+C$41*(O718/(P718^2+$C$42^2)^1.5)</f>
        <v>4078.3187934019184</v>
      </c>
      <c r="H718" s="3">
        <f t="shared" ref="H718:H781" si="152">$C$19-B718</f>
        <v>49324.311182052268</v>
      </c>
      <c r="I718" s="3">
        <f t="shared" ref="I718:I781" si="153">$D$19-C718</f>
        <v>75120.530796952953</v>
      </c>
      <c r="J718" s="3">
        <f t="shared" ref="J718:J781" si="154">SQRT(H718^2+I718^2)</f>
        <v>89866.466609074399</v>
      </c>
      <c r="K718" s="3">
        <f t="shared" ref="K718:K781" si="155">$C$28-B718</f>
        <v>9324.3111820522681</v>
      </c>
      <c r="L718" s="3">
        <f t="shared" ref="L718:L781" si="156">$D$28-C718</f>
        <v>80120.530796952953</v>
      </c>
      <c r="M718" s="3">
        <f t="shared" ref="M718:M781" si="157">SQRT(K718^2+L718^2)</f>
        <v>80661.280886217224</v>
      </c>
      <c r="N718" s="3">
        <f t="shared" ref="N718:N781" si="158">$C$37-B718</f>
        <v>24324.311182052268</v>
      </c>
      <c r="O718" s="3">
        <f t="shared" ref="O718:O781" si="159">$D$37-C718</f>
        <v>30120.53079695296</v>
      </c>
      <c r="P718" s="3">
        <f t="shared" ref="P718:P781" si="160">SQRT(N718^2+O718^2)</f>
        <v>38715.86871001999</v>
      </c>
    </row>
    <row r="719" spans="1:16" x14ac:dyDescent="0.25">
      <c r="A719">
        <f t="shared" si="147"/>
        <v>321.5</v>
      </c>
      <c r="B719">
        <f t="shared" si="148"/>
        <v>-27919.896282539419</v>
      </c>
      <c r="C719">
        <f t="shared" si="149"/>
        <v>-58957.128086565514</v>
      </c>
      <c r="D719">
        <f t="shared" si="150"/>
        <v>2808.829799025702</v>
      </c>
      <c r="E719">
        <f t="shared" si="151"/>
        <v>2326.8054207748969</v>
      </c>
      <c r="F719">
        <f>$C$23*(H719/(J719^2+$C$24^2)^1.5)+$C$32*(K719/(M719^2+$C$33^2)^1.5)+C$41*(N719/(P719^2+$C$42^2)^1.5)</f>
        <v>1963.2654906933678</v>
      </c>
      <c r="G719">
        <f>$C$23*(I719/(J719^2+$C$24^2)^1.5)+$C$32*(L719/(M719^2+$C$33^2)^1.5)+C$41*(O719/(P719^2+$C$42^2)^1.5)</f>
        <v>4341.3191037722154</v>
      </c>
      <c r="H719" s="3">
        <f t="shared" si="152"/>
        <v>47919.896282539419</v>
      </c>
      <c r="I719" s="3">
        <f t="shared" si="153"/>
        <v>73957.128086565514</v>
      </c>
      <c r="J719" s="3">
        <f t="shared" si="154"/>
        <v>88124.759599910351</v>
      </c>
      <c r="K719" s="3">
        <f t="shared" si="155"/>
        <v>7919.8962825394192</v>
      </c>
      <c r="L719" s="3">
        <f t="shared" si="156"/>
        <v>78957.128086565514</v>
      </c>
      <c r="M719" s="3">
        <f t="shared" si="157"/>
        <v>79353.341661233731</v>
      </c>
      <c r="N719" s="3">
        <f t="shared" si="158"/>
        <v>22919.896282539419</v>
      </c>
      <c r="O719" s="3">
        <f t="shared" si="159"/>
        <v>28957.128086565514</v>
      </c>
      <c r="P719" s="3">
        <f t="shared" si="160"/>
        <v>36930.162640098482</v>
      </c>
    </row>
    <row r="720" spans="1:16" x14ac:dyDescent="0.25">
      <c r="A720">
        <f t="shared" si="147"/>
        <v>322</v>
      </c>
      <c r="B720">
        <f t="shared" si="148"/>
        <v>-26024.665010353223</v>
      </c>
      <c r="C720">
        <f t="shared" si="149"/>
        <v>-56708.39560023501</v>
      </c>
      <c r="D720">
        <f t="shared" si="150"/>
        <v>3790.4625443723858</v>
      </c>
      <c r="E720">
        <f t="shared" si="151"/>
        <v>4497.4649726610041</v>
      </c>
      <c r="F720">
        <f>$C$23*(H720/(J720^2+$C$24^2)^1.5)+$C$32*(K720/(M720^2+$C$33^2)^1.5)+C$41*(N720/(P720^2+$C$42^2)^1.5)</f>
        <v>2195.5104517554519</v>
      </c>
      <c r="G720">
        <f>$C$23*(I720/(J720^2+$C$24^2)^1.5)+$C$32*(L720/(M720^2+$C$33^2)^1.5)+C$41*(O720/(P720^2+$C$42^2)^1.5)</f>
        <v>4826.5839359052443</v>
      </c>
      <c r="H720" s="3">
        <f t="shared" si="152"/>
        <v>46024.665010353223</v>
      </c>
      <c r="I720" s="3">
        <f t="shared" si="153"/>
        <v>71708.395600235002</v>
      </c>
      <c r="J720" s="3">
        <f t="shared" si="154"/>
        <v>85207.768359903872</v>
      </c>
      <c r="K720" s="3">
        <f t="shared" si="155"/>
        <v>6024.6650103532229</v>
      </c>
      <c r="L720" s="3">
        <f t="shared" si="156"/>
        <v>76708.395600235002</v>
      </c>
      <c r="M720" s="3">
        <f t="shared" si="157"/>
        <v>76944.619981185999</v>
      </c>
      <c r="N720" s="3">
        <f t="shared" si="158"/>
        <v>21024.665010353223</v>
      </c>
      <c r="O720" s="3">
        <f t="shared" si="159"/>
        <v>26708.39560023501</v>
      </c>
      <c r="P720" s="3">
        <f t="shared" si="160"/>
        <v>33990.806614969049</v>
      </c>
    </row>
    <row r="721" spans="1:16" x14ac:dyDescent="0.25">
      <c r="A721">
        <f t="shared" si="147"/>
        <v>322.5</v>
      </c>
      <c r="B721">
        <f t="shared" si="148"/>
        <v>-23580.556125228166</v>
      </c>
      <c r="C721">
        <f t="shared" si="149"/>
        <v>-53253.017129928194</v>
      </c>
      <c r="D721">
        <f t="shared" si="150"/>
        <v>4888.2177702501122</v>
      </c>
      <c r="E721">
        <f t="shared" si="151"/>
        <v>6910.7569406136263</v>
      </c>
      <c r="F721">
        <f>$C$23*(H721/(J721^2+$C$24^2)^1.5)+$C$32*(K721/(M721^2+$C$33^2)^1.5)+C$41*(N721/(P721^2+$C$42^2)^1.5)</f>
        <v>2677.4282923352812</v>
      </c>
      <c r="G721">
        <f>$C$23*(I721/(J721^2+$C$24^2)^1.5)+$C$32*(L721/(M721^2+$C$33^2)^1.5)+C$41*(O721/(P721^2+$C$42^2)^1.5)</f>
        <v>5681.8148954143726</v>
      </c>
      <c r="H721" s="3">
        <f t="shared" si="152"/>
        <v>43580.556125228162</v>
      </c>
      <c r="I721" s="3">
        <f t="shared" si="153"/>
        <v>68253.017129928194</v>
      </c>
      <c r="J721" s="3">
        <f t="shared" si="154"/>
        <v>80979.869223915361</v>
      </c>
      <c r="K721" s="3">
        <f t="shared" si="155"/>
        <v>3580.5561252281659</v>
      </c>
      <c r="L721" s="3">
        <f t="shared" si="156"/>
        <v>73253.017129928194</v>
      </c>
      <c r="M721" s="3">
        <f t="shared" si="157"/>
        <v>73340.472461005193</v>
      </c>
      <c r="N721" s="3">
        <f t="shared" si="158"/>
        <v>18580.556125228166</v>
      </c>
      <c r="O721" s="3">
        <f t="shared" si="159"/>
        <v>23253.017129928194</v>
      </c>
      <c r="P721" s="3">
        <f t="shared" si="160"/>
        <v>29764.742088039129</v>
      </c>
    </row>
    <row r="722" spans="1:16" x14ac:dyDescent="0.25">
      <c r="A722">
        <f t="shared" si="147"/>
        <v>323</v>
      </c>
      <c r="B722">
        <f t="shared" si="148"/>
        <v>-20467.090167019287</v>
      </c>
      <c r="C722">
        <f t="shared" si="149"/>
        <v>-48377.184935767786</v>
      </c>
      <c r="D722">
        <f t="shared" si="150"/>
        <v>6226.9319164177523</v>
      </c>
      <c r="E722">
        <f t="shared" si="151"/>
        <v>9751.6643883208126</v>
      </c>
      <c r="F722">
        <f>$C$23*(H722/(J722^2+$C$24^2)^1.5)+$C$32*(K722/(M722^2+$C$33^2)^1.5)+C$41*(N722/(P722^2+$C$42^2)^1.5)</f>
        <v>3747.1684517666622</v>
      </c>
      <c r="G722">
        <f>$C$23*(I722/(J722^2+$C$24^2)^1.5)+$C$32*(L722/(M722^2+$C$33^2)^1.5)+C$41*(O722/(P722^2+$C$42^2)^1.5)</f>
        <v>7265.7154611016867</v>
      </c>
      <c r="H722" s="3">
        <f t="shared" si="152"/>
        <v>40467.090167019283</v>
      </c>
      <c r="I722" s="3">
        <f t="shared" si="153"/>
        <v>63377.184935767786</v>
      </c>
      <c r="J722" s="3">
        <f t="shared" si="154"/>
        <v>75194.766819029232</v>
      </c>
      <c r="K722" s="3">
        <f t="shared" si="155"/>
        <v>467.09016701928704</v>
      </c>
      <c r="L722" s="3">
        <f t="shared" si="156"/>
        <v>68377.184935767786</v>
      </c>
      <c r="M722" s="3">
        <f t="shared" si="157"/>
        <v>68378.780282806401</v>
      </c>
      <c r="N722" s="3">
        <f t="shared" si="158"/>
        <v>15467.090167019287</v>
      </c>
      <c r="O722" s="3">
        <f t="shared" si="159"/>
        <v>18377.184935767786</v>
      </c>
      <c r="P722" s="3">
        <f t="shared" si="160"/>
        <v>24019.82107339926</v>
      </c>
    </row>
    <row r="723" spans="1:16" x14ac:dyDescent="0.25">
      <c r="A723">
        <f t="shared" si="147"/>
        <v>323.5</v>
      </c>
      <c r="B723">
        <f t="shared" si="148"/>
        <v>-16416.832095868747</v>
      </c>
      <c r="C723">
        <f t="shared" si="149"/>
        <v>-41684.923876331959</v>
      </c>
      <c r="D723">
        <f t="shared" si="150"/>
        <v>8100.5161423010832</v>
      </c>
      <c r="E723">
        <f t="shared" si="151"/>
        <v>13384.522118871657</v>
      </c>
      <c r="F723">
        <f>$C$23*(H723/(J723^2+$C$24^2)^1.5)+$C$32*(K723/(M723^2+$C$33^2)^1.5)+C$41*(N723/(P723^2+$C$42^2)^1.5)</f>
        <v>6670.0481549349315</v>
      </c>
      <c r="G723">
        <f>$C$23*(I723/(J723^2+$C$24^2)^1.5)+$C$32*(L723/(M723^2+$C$33^2)^1.5)+C$41*(O723/(P723^2+$C$42^2)^1.5)</f>
        <v>10453.722486887486</v>
      </c>
      <c r="H723" s="3">
        <f t="shared" si="152"/>
        <v>36416.832095868747</v>
      </c>
      <c r="I723" s="3">
        <f t="shared" si="153"/>
        <v>56684.923876331959</v>
      </c>
      <c r="J723" s="3">
        <f t="shared" si="154"/>
        <v>67374.819144575406</v>
      </c>
      <c r="K723" s="3">
        <f t="shared" si="155"/>
        <v>-3583.1679041312527</v>
      </c>
      <c r="L723" s="3">
        <f t="shared" si="156"/>
        <v>61684.923876331959</v>
      </c>
      <c r="M723" s="3">
        <f t="shared" si="157"/>
        <v>61788.906171399933</v>
      </c>
      <c r="N723" s="3">
        <f t="shared" si="158"/>
        <v>11416.832095868747</v>
      </c>
      <c r="O723" s="3">
        <f t="shared" si="159"/>
        <v>11684.923876331959</v>
      </c>
      <c r="P723" s="3">
        <f t="shared" si="160"/>
        <v>16336.508228533154</v>
      </c>
    </row>
    <row r="724" spans="1:16" x14ac:dyDescent="0.25">
      <c r="A724">
        <f t="shared" si="147"/>
        <v>324</v>
      </c>
      <c r="B724">
        <f t="shared" si="148"/>
        <v>-10699.061985984474</v>
      </c>
      <c r="C724">
        <f t="shared" si="149"/>
        <v>-32379.23219517426</v>
      </c>
      <c r="D724">
        <f t="shared" si="150"/>
        <v>11435.540219768549</v>
      </c>
      <c r="E724">
        <f t="shared" si="151"/>
        <v>18611.383362315399</v>
      </c>
      <c r="F724">
        <f>$C$23*(H724/(J724^2+$C$24^2)^1.5)+$C$32*(K724/(M724^2+$C$33^2)^1.5)+C$41*(N724/(P724^2+$C$42^2)^1.5)</f>
        <v>14012.845382028765</v>
      </c>
      <c r="G724">
        <f>$C$23*(I724/(J724^2+$C$24^2)^1.5)+$C$32*(L724/(M724^2+$C$33^2)^1.5)+C$41*(O724/(P724^2+$C$42^2)^1.5)</f>
        <v>10659.690813601068</v>
      </c>
      <c r="H724" s="3">
        <f t="shared" si="152"/>
        <v>30699.061985984474</v>
      </c>
      <c r="I724" s="3">
        <f t="shared" si="153"/>
        <v>47379.232195174263</v>
      </c>
      <c r="J724" s="3">
        <f t="shared" si="154"/>
        <v>56455.505047989376</v>
      </c>
      <c r="K724" s="3">
        <f t="shared" si="155"/>
        <v>-9300.9380140155263</v>
      </c>
      <c r="L724" s="3">
        <f t="shared" si="156"/>
        <v>52379.232195174263</v>
      </c>
      <c r="M724" s="3">
        <f t="shared" si="157"/>
        <v>53198.603490096793</v>
      </c>
      <c r="N724" s="3">
        <f t="shared" si="158"/>
        <v>5699.0619859844737</v>
      </c>
      <c r="O724" s="3">
        <f t="shared" si="159"/>
        <v>2379.2321951742597</v>
      </c>
      <c r="P724" s="3">
        <f t="shared" si="160"/>
        <v>6175.7633826634756</v>
      </c>
    </row>
    <row r="725" spans="1:16" x14ac:dyDescent="0.25">
      <c r="A725">
        <f t="shared" si="147"/>
        <v>324.5</v>
      </c>
      <c r="B725">
        <f t="shared" si="148"/>
        <v>-1478.080530593008</v>
      </c>
      <c r="C725">
        <f t="shared" si="149"/>
        <v>-20408.617810616292</v>
      </c>
      <c r="D725">
        <f t="shared" si="150"/>
        <v>18441.962910782931</v>
      </c>
      <c r="E725">
        <f t="shared" si="151"/>
        <v>23941.228769115933</v>
      </c>
      <c r="F725">
        <f>$C$23*(H725/(J725^2+$C$24^2)^1.5)+$C$32*(K725/(M725^2+$C$33^2)^1.5)+C$41*(N725/(P725^2+$C$42^2)^1.5)</f>
        <v>-7429.401702548379</v>
      </c>
      <c r="G725">
        <f>$C$23*(I725/(J725^2+$C$24^2)^1.5)+$C$32*(L725/(M725^2+$C$33^2)^1.5)+C$41*(O725/(P725^2+$C$42^2)^1.5)</f>
        <v>-7960.3946776149369</v>
      </c>
      <c r="H725" s="3">
        <f t="shared" si="152"/>
        <v>21478.080530593008</v>
      </c>
      <c r="I725" s="3">
        <f t="shared" si="153"/>
        <v>35408.617810616292</v>
      </c>
      <c r="J725" s="3">
        <f t="shared" si="154"/>
        <v>41413.502128375134</v>
      </c>
      <c r="K725" s="3">
        <f t="shared" si="155"/>
        <v>-18521.919469406992</v>
      </c>
      <c r="L725" s="3">
        <f t="shared" si="156"/>
        <v>40408.617810616292</v>
      </c>
      <c r="M725" s="3">
        <f t="shared" si="157"/>
        <v>44451.298003496522</v>
      </c>
      <c r="N725" s="3">
        <f t="shared" si="158"/>
        <v>-3521.919469406992</v>
      </c>
      <c r="O725" s="3">
        <f t="shared" si="159"/>
        <v>-9591.3821893837085</v>
      </c>
      <c r="P725" s="3">
        <f t="shared" si="160"/>
        <v>10217.559838425956</v>
      </c>
    </row>
    <row r="726" spans="1:16" x14ac:dyDescent="0.25">
      <c r="A726">
        <f t="shared" si="147"/>
        <v>325</v>
      </c>
      <c r="B726">
        <f t="shared" si="148"/>
        <v>5885.5504991613634</v>
      </c>
      <c r="C726">
        <f t="shared" si="149"/>
        <v>-10428.10209546206</v>
      </c>
      <c r="D726">
        <f t="shared" si="150"/>
        <v>14727.262059508743</v>
      </c>
      <c r="E726">
        <f t="shared" si="151"/>
        <v>19961.031430308463</v>
      </c>
      <c r="F726">
        <f>$C$23*(H726/(J726^2+$C$24^2)^1.5)+$C$32*(K726/(M726^2+$C$33^2)^1.5)+C$41*(N726/(P726^2+$C$42^2)^1.5)</f>
        <v>-7512.4417749814329</v>
      </c>
      <c r="G726">
        <f>$C$23*(I726/(J726^2+$C$24^2)^1.5)+$C$32*(L726/(M726^2+$C$33^2)^1.5)+C$41*(O726/(P726^2+$C$42^2)^1.5)</f>
        <v>497.53068794894079</v>
      </c>
      <c r="H726" s="3">
        <f t="shared" si="152"/>
        <v>14114.449500838637</v>
      </c>
      <c r="I726" s="3">
        <f t="shared" si="153"/>
        <v>25428.102095462062</v>
      </c>
      <c r="J726" s="3">
        <f t="shared" si="154"/>
        <v>29082.745071415906</v>
      </c>
      <c r="K726" s="3">
        <f t="shared" si="155"/>
        <v>-25885.550499161363</v>
      </c>
      <c r="L726" s="3">
        <f t="shared" si="156"/>
        <v>30428.102095462062</v>
      </c>
      <c r="M726" s="3">
        <f t="shared" si="157"/>
        <v>39949.106645537096</v>
      </c>
      <c r="N726" s="3">
        <f t="shared" si="158"/>
        <v>-10885.550499161363</v>
      </c>
      <c r="O726" s="3">
        <f t="shared" si="159"/>
        <v>-19571.897904537938</v>
      </c>
      <c r="P726" s="3">
        <f t="shared" si="160"/>
        <v>22395.410182790773</v>
      </c>
    </row>
    <row r="727" spans="1:16" x14ac:dyDescent="0.25">
      <c r="A727">
        <f t="shared" si="147"/>
        <v>325.5</v>
      </c>
      <c r="B727">
        <f t="shared" si="148"/>
        <v>11371.071085170377</v>
      </c>
      <c r="C727">
        <f t="shared" si="149"/>
        <v>-323.20370832059302</v>
      </c>
      <c r="D727">
        <f t="shared" si="150"/>
        <v>10971.041172018027</v>
      </c>
      <c r="E727">
        <f t="shared" si="151"/>
        <v>20209.796774282935</v>
      </c>
      <c r="F727">
        <f>$C$23*(H727/(J727^2+$C$24^2)^1.5)+$C$32*(K727/(M727^2+$C$33^2)^1.5)+C$41*(N727/(P727^2+$C$42^2)^1.5)</f>
        <v>-7602.7775063838899</v>
      </c>
      <c r="G727">
        <f>$C$23*(I727/(J727^2+$C$24^2)^1.5)+$C$32*(L727/(M727^2+$C$33^2)^1.5)+C$41*(O727/(P727^2+$C$42^2)^1.5)</f>
        <v>2893.2672653538816</v>
      </c>
      <c r="H727" s="3">
        <f t="shared" si="152"/>
        <v>8628.928914829623</v>
      </c>
      <c r="I727" s="3">
        <f t="shared" si="153"/>
        <v>15323.203708320592</v>
      </c>
      <c r="J727" s="3">
        <f t="shared" si="154"/>
        <v>17585.76089067154</v>
      </c>
      <c r="K727" s="3">
        <f t="shared" si="155"/>
        <v>-31371.071085170377</v>
      </c>
      <c r="L727" s="3">
        <f t="shared" si="156"/>
        <v>20323.203708320594</v>
      </c>
      <c r="M727" s="3">
        <f t="shared" si="157"/>
        <v>37378.827028154708</v>
      </c>
      <c r="N727" s="3">
        <f t="shared" si="158"/>
        <v>-16371.071085170377</v>
      </c>
      <c r="O727" s="3">
        <f t="shared" si="159"/>
        <v>-29676.796291679406</v>
      </c>
      <c r="P727" s="3">
        <f t="shared" si="160"/>
        <v>33892.834148438196</v>
      </c>
    </row>
    <row r="728" spans="1:16" x14ac:dyDescent="0.25">
      <c r="A728">
        <f t="shared" si="147"/>
        <v>326</v>
      </c>
      <c r="B728">
        <f t="shared" si="148"/>
        <v>14955.897294583418</v>
      </c>
      <c r="C728">
        <f t="shared" si="149"/>
        <v>10505.011495159346</v>
      </c>
      <c r="D728">
        <f t="shared" si="150"/>
        <v>7169.6524188260828</v>
      </c>
      <c r="E728">
        <f t="shared" si="151"/>
        <v>21656.430406959877</v>
      </c>
      <c r="F728">
        <f>$C$23*(H728/(J728^2+$C$24^2)^1.5)+$C$32*(K728/(M728^2+$C$33^2)^1.5)+C$41*(N728/(P728^2+$C$42^2)^1.5)</f>
        <v>-4597.8977482577438</v>
      </c>
      <c r="G728">
        <f>$C$23*(I728/(J728^2+$C$24^2)^1.5)+$C$32*(L728/(M728^2+$C$33^2)^1.5)+C$41*(O728/(P728^2+$C$42^2)^1.5)</f>
        <v>4475.7944638435829</v>
      </c>
      <c r="H728" s="3">
        <f t="shared" si="152"/>
        <v>5044.1027054165825</v>
      </c>
      <c r="I728" s="3">
        <f t="shared" si="153"/>
        <v>4494.9885048406541</v>
      </c>
      <c r="J728" s="3">
        <f t="shared" si="154"/>
        <v>6756.3225027703129</v>
      </c>
      <c r="K728" s="3">
        <f t="shared" si="155"/>
        <v>-34955.897294583418</v>
      </c>
      <c r="L728" s="3">
        <f t="shared" si="156"/>
        <v>9494.9885048406541</v>
      </c>
      <c r="M728" s="3">
        <f t="shared" si="157"/>
        <v>36222.500774746637</v>
      </c>
      <c r="N728" s="3">
        <f t="shared" si="158"/>
        <v>-19955.897294583418</v>
      </c>
      <c r="O728" s="3">
        <f t="shared" si="159"/>
        <v>-40505.011495159342</v>
      </c>
      <c r="P728" s="3">
        <f t="shared" si="160"/>
        <v>45154.111585269311</v>
      </c>
    </row>
    <row r="729" spans="1:16" x14ac:dyDescent="0.25">
      <c r="A729">
        <f t="shared" si="147"/>
        <v>326.5</v>
      </c>
      <c r="B729">
        <f t="shared" si="148"/>
        <v>17391.249066932021</v>
      </c>
      <c r="C729">
        <f t="shared" si="149"/>
        <v>22452.175314600183</v>
      </c>
      <c r="D729">
        <f t="shared" si="150"/>
        <v>4870.7035446972113</v>
      </c>
      <c r="E729">
        <f t="shared" si="151"/>
        <v>23894.327638881667</v>
      </c>
      <c r="F729">
        <f>$C$23*(H729/(J729^2+$C$24^2)^1.5)+$C$32*(K729/(M729^2+$C$33^2)^1.5)+C$41*(N729/(P729^2+$C$42^2)^1.5)</f>
        <v>-6848.7563914287175</v>
      </c>
      <c r="G729">
        <f>$C$23*(I729/(J729^2+$C$24^2)^1.5)+$C$32*(L729/(M729^2+$C$33^2)^1.5)+C$41*(O729/(P729^2+$C$42^2)^1.5)</f>
        <v>-6439.3710511787895</v>
      </c>
      <c r="H729" s="3">
        <f t="shared" si="152"/>
        <v>2608.7509330679786</v>
      </c>
      <c r="I729" s="3">
        <f t="shared" si="153"/>
        <v>-7452.1753146001829</v>
      </c>
      <c r="J729" s="3">
        <f t="shared" si="154"/>
        <v>7895.599936060552</v>
      </c>
      <c r="K729" s="3">
        <f t="shared" si="155"/>
        <v>-37391.249066932025</v>
      </c>
      <c r="L729" s="3">
        <f t="shared" si="156"/>
        <v>-2452.1753146001829</v>
      </c>
      <c r="M729" s="3">
        <f t="shared" si="157"/>
        <v>37471.571498389014</v>
      </c>
      <c r="N729" s="3">
        <f t="shared" si="158"/>
        <v>-22391.249066932021</v>
      </c>
      <c r="O729" s="3">
        <f t="shared" si="159"/>
        <v>-52452.175314600187</v>
      </c>
      <c r="P729" s="3">
        <f t="shared" si="160"/>
        <v>57031.55907049129</v>
      </c>
    </row>
    <row r="730" spans="1:16" x14ac:dyDescent="0.25">
      <c r="A730">
        <f t="shared" si="147"/>
        <v>327</v>
      </c>
      <c r="B730">
        <f t="shared" si="148"/>
        <v>18114.411741423446</v>
      </c>
      <c r="C730">
        <f t="shared" si="149"/>
        <v>32789.496371246321</v>
      </c>
      <c r="D730">
        <f t="shared" si="150"/>
        <v>1446.3253489828526</v>
      </c>
      <c r="E730">
        <f t="shared" si="151"/>
        <v>20674.642113292273</v>
      </c>
      <c r="F730">
        <f>$C$23*(H730/(J730^2+$C$24^2)^1.5)+$C$32*(K730/(M730^2+$C$33^2)^1.5)+C$41*(N730/(P730^2+$C$42^2)^1.5)</f>
        <v>-6978.4513306614535</v>
      </c>
      <c r="G730">
        <f>$C$23*(I730/(J730^2+$C$24^2)^1.5)+$C$32*(L730/(M730^2+$C$33^2)^1.5)+C$41*(O730/(P730^2+$C$42^2)^1.5)</f>
        <v>-4591.2889981180597</v>
      </c>
      <c r="H730" s="3">
        <f t="shared" si="152"/>
        <v>1885.5882585765539</v>
      </c>
      <c r="I730" s="3">
        <f t="shared" si="153"/>
        <v>-17789.496371246321</v>
      </c>
      <c r="J730" s="3">
        <f t="shared" si="154"/>
        <v>17889.148225208148</v>
      </c>
      <c r="K730" s="3">
        <f t="shared" si="155"/>
        <v>-38114.41174142345</v>
      </c>
      <c r="L730" s="3">
        <f t="shared" si="156"/>
        <v>-12789.496371246321</v>
      </c>
      <c r="M730" s="3">
        <f t="shared" si="157"/>
        <v>40202.979986872626</v>
      </c>
      <c r="N730" s="3">
        <f t="shared" si="158"/>
        <v>-23114.411741423446</v>
      </c>
      <c r="O730" s="3">
        <f t="shared" si="159"/>
        <v>-62789.496371246321</v>
      </c>
      <c r="P730" s="3">
        <f t="shared" si="160"/>
        <v>66908.870000223513</v>
      </c>
    </row>
    <row r="731" spans="1:16" x14ac:dyDescent="0.25">
      <c r="A731">
        <f t="shared" si="147"/>
        <v>327.5</v>
      </c>
      <c r="B731">
        <f t="shared" si="148"/>
        <v>17092.961583249507</v>
      </c>
      <c r="C731">
        <f t="shared" si="149"/>
        <v>41978.995178362944</v>
      </c>
      <c r="D731">
        <f t="shared" si="150"/>
        <v>-2042.9003163478742</v>
      </c>
      <c r="E731">
        <f t="shared" si="151"/>
        <v>18378.997614233245</v>
      </c>
      <c r="F731">
        <f>$C$23*(H731/(J731^2+$C$24^2)^1.5)+$C$32*(K731/(M731^2+$C$33^2)^1.5)+C$41*(N731/(P731^2+$C$42^2)^1.5)</f>
        <v>-5650.8531820954149</v>
      </c>
      <c r="G731">
        <f>$C$23*(I731/(J731^2+$C$24^2)^1.5)+$C$32*(L731/(M731^2+$C$33^2)^1.5)+C$41*(O731/(P731^2+$C$42^2)^1.5)</f>
        <v>-4626.6895865870401</v>
      </c>
      <c r="H731" s="3">
        <f t="shared" si="152"/>
        <v>2907.0384167504926</v>
      </c>
      <c r="I731" s="3">
        <f t="shared" si="153"/>
        <v>-26978.995178362944</v>
      </c>
      <c r="J731" s="3">
        <f t="shared" si="154"/>
        <v>27135.162671165144</v>
      </c>
      <c r="K731" s="3">
        <f t="shared" si="155"/>
        <v>-37092.961583249504</v>
      </c>
      <c r="L731" s="3">
        <f t="shared" si="156"/>
        <v>-21978.995178362944</v>
      </c>
      <c r="M731" s="3">
        <f t="shared" si="157"/>
        <v>43115.705120836479</v>
      </c>
      <c r="N731" s="3">
        <f t="shared" si="158"/>
        <v>-22092.961583249507</v>
      </c>
      <c r="O731" s="3">
        <f t="shared" si="159"/>
        <v>-71978.995178362937</v>
      </c>
      <c r="P731" s="3">
        <f t="shared" si="160"/>
        <v>75293.257987722478</v>
      </c>
    </row>
    <row r="732" spans="1:16" x14ac:dyDescent="0.25">
      <c r="A732">
        <f t="shared" si="147"/>
        <v>328</v>
      </c>
      <c r="B732">
        <f t="shared" si="148"/>
        <v>14658.798129551717</v>
      </c>
      <c r="C732">
        <f t="shared" si="149"/>
        <v>50011.821588832805</v>
      </c>
      <c r="D732">
        <f t="shared" si="150"/>
        <v>-4868.3269073955817</v>
      </c>
      <c r="E732">
        <f t="shared" si="151"/>
        <v>16065.652820939726</v>
      </c>
      <c r="F732">
        <f>$C$23*(H732/(J732^2+$C$24^2)^1.5)+$C$32*(K732/(M732^2+$C$33^2)^1.5)+C$41*(N732/(P732^2+$C$42^2)^1.5)</f>
        <v>-4448.0553346757415</v>
      </c>
      <c r="G732">
        <f>$C$23*(I732/(J732^2+$C$24^2)^1.5)+$C$32*(L732/(M732^2+$C$33^2)^1.5)+C$41*(O732/(P732^2+$C$42^2)^1.5)</f>
        <v>-4766.7120478375127</v>
      </c>
      <c r="H732" s="3">
        <f t="shared" si="152"/>
        <v>5341.2018704482834</v>
      </c>
      <c r="I732" s="3">
        <f t="shared" si="153"/>
        <v>-35011.821588832805</v>
      </c>
      <c r="J732" s="3">
        <f t="shared" si="154"/>
        <v>35416.889874594286</v>
      </c>
      <c r="K732" s="3">
        <f t="shared" si="155"/>
        <v>-34658.798129551717</v>
      </c>
      <c r="L732" s="3">
        <f t="shared" si="156"/>
        <v>-30011.821588832805</v>
      </c>
      <c r="M732" s="3">
        <f t="shared" si="157"/>
        <v>45846.937987884732</v>
      </c>
      <c r="N732" s="3">
        <f t="shared" si="158"/>
        <v>-19658.798129551717</v>
      </c>
      <c r="O732" s="3">
        <f t="shared" si="159"/>
        <v>-80011.821588832798</v>
      </c>
      <c r="P732" s="3">
        <f t="shared" si="160"/>
        <v>82391.504039322375</v>
      </c>
    </row>
    <row r="733" spans="1:16" x14ac:dyDescent="0.25">
      <c r="A733">
        <f t="shared" si="147"/>
        <v>328.5</v>
      </c>
      <c r="B733">
        <f t="shared" si="148"/>
        <v>11112.62084218499</v>
      </c>
      <c r="C733">
        <f t="shared" si="149"/>
        <v>56852.969987343291</v>
      </c>
      <c r="D733">
        <f t="shared" si="150"/>
        <v>-7092.354574733452</v>
      </c>
      <c r="E733">
        <f t="shared" si="151"/>
        <v>13682.296797020968</v>
      </c>
      <c r="F733">
        <f>$C$23*(H733/(J733^2+$C$24^2)^1.5)+$C$32*(K733/(M733^2+$C$33^2)^1.5)+C$41*(N733/(P733^2+$C$42^2)^1.5)</f>
        <v>-3451.3388741577969</v>
      </c>
      <c r="G733">
        <f>$C$23*(I733/(J733^2+$C$24^2)^1.5)+$C$32*(L733/(M733^2+$C$33^2)^1.5)+C$41*(O733/(P733^2+$C$42^2)^1.5)</f>
        <v>-4835.2508226093523</v>
      </c>
      <c r="H733" s="3">
        <f t="shared" si="152"/>
        <v>8887.3791578150103</v>
      </c>
      <c r="I733" s="3">
        <f t="shared" si="153"/>
        <v>-41852.969987343291</v>
      </c>
      <c r="J733" s="3">
        <f t="shared" si="154"/>
        <v>42786.173059251545</v>
      </c>
      <c r="K733" s="3">
        <f t="shared" si="155"/>
        <v>-31112.620842184988</v>
      </c>
      <c r="L733" s="3">
        <f t="shared" si="156"/>
        <v>-36852.969987343291</v>
      </c>
      <c r="M733" s="3">
        <f t="shared" si="157"/>
        <v>48230.038073358279</v>
      </c>
      <c r="N733" s="3">
        <f t="shared" si="158"/>
        <v>-16112.62084218499</v>
      </c>
      <c r="O733" s="3">
        <f t="shared" si="159"/>
        <v>-86852.969987343298</v>
      </c>
      <c r="P733" s="3">
        <f t="shared" si="160"/>
        <v>88334.902196280091</v>
      </c>
    </row>
    <row r="734" spans="1:16" x14ac:dyDescent="0.25">
      <c r="A734">
        <f t="shared" si="147"/>
        <v>329</v>
      </c>
      <c r="B734">
        <f t="shared" si="148"/>
        <v>6703.6088362788141</v>
      </c>
      <c r="C734">
        <f t="shared" si="149"/>
        <v>62485.30568020144</v>
      </c>
      <c r="D734">
        <f t="shared" si="150"/>
        <v>-8818.0240118123511</v>
      </c>
      <c r="E734">
        <f t="shared" si="151"/>
        <v>11264.671385716292</v>
      </c>
      <c r="F734">
        <f>$C$23*(H734/(J734^2+$C$24^2)^1.5)+$C$32*(K734/(M734^2+$C$33^2)^1.5)+C$41*(N734/(P734^2+$C$42^2)^1.5)</f>
        <v>-2629.9931475412786</v>
      </c>
      <c r="G734">
        <f>$C$23*(I734/(J734^2+$C$24^2)^1.5)+$C$32*(L734/(M734^2+$C$33^2)^1.5)+C$41*(O734/(P734^2+$C$42^2)^1.5)</f>
        <v>-4854.8776658042943</v>
      </c>
      <c r="H734" s="3">
        <f t="shared" si="152"/>
        <v>13296.391163721186</v>
      </c>
      <c r="I734" s="3">
        <f t="shared" si="153"/>
        <v>-47485.30568020144</v>
      </c>
      <c r="J734" s="3">
        <f t="shared" si="154"/>
        <v>49311.745796725285</v>
      </c>
      <c r="K734" s="3">
        <f t="shared" si="155"/>
        <v>-26703.608836278814</v>
      </c>
      <c r="L734" s="3">
        <f t="shared" si="156"/>
        <v>-42485.30568020144</v>
      </c>
      <c r="M734" s="3">
        <f t="shared" si="157"/>
        <v>50180.513385388404</v>
      </c>
      <c r="N734" s="3">
        <f t="shared" si="158"/>
        <v>-11703.608836278814</v>
      </c>
      <c r="O734" s="3">
        <f t="shared" si="159"/>
        <v>-92485.305680201447</v>
      </c>
      <c r="P734" s="3">
        <f t="shared" si="160"/>
        <v>93222.884671913722</v>
      </c>
    </row>
    <row r="735" spans="1:16" x14ac:dyDescent="0.25">
      <c r="A735">
        <f t="shared" si="147"/>
        <v>329.5</v>
      </c>
      <c r="B735">
        <f t="shared" si="148"/>
        <v>1637.0985434873189</v>
      </c>
      <c r="C735">
        <f t="shared" si="149"/>
        <v>66903.921956608508</v>
      </c>
      <c r="D735">
        <f t="shared" si="150"/>
        <v>-10133.02058558299</v>
      </c>
      <c r="E735">
        <f t="shared" si="151"/>
        <v>8837.2325528141446</v>
      </c>
      <c r="F735">
        <f>$C$23*(H735/(J735^2+$C$24^2)^1.5)+$C$32*(K735/(M735^2+$C$33^2)^1.5)+C$41*(N735/(P735^2+$C$42^2)^1.5)</f>
        <v>-1938.6083700761183</v>
      </c>
      <c r="G735">
        <f>$C$23*(I735/(J735^2+$C$24^2)^1.5)+$C$32*(L735/(M735^2+$C$33^2)^1.5)+C$41*(O735/(P735^2+$C$42^2)^1.5)</f>
        <v>-4857.9058166408531</v>
      </c>
      <c r="H735" s="3">
        <f t="shared" si="152"/>
        <v>18362.901456512682</v>
      </c>
      <c r="I735" s="3">
        <f t="shared" si="153"/>
        <v>-51903.921956608508</v>
      </c>
      <c r="J735" s="3">
        <f t="shared" si="154"/>
        <v>55056.455247130674</v>
      </c>
      <c r="K735" s="3">
        <f t="shared" si="155"/>
        <v>-21637.098543487318</v>
      </c>
      <c r="L735" s="3">
        <f t="shared" si="156"/>
        <v>-46903.921956608508</v>
      </c>
      <c r="M735" s="3">
        <f t="shared" si="157"/>
        <v>51654.06013366425</v>
      </c>
      <c r="N735" s="3">
        <f t="shared" si="158"/>
        <v>-6637.0985434873191</v>
      </c>
      <c r="O735" s="3">
        <f t="shared" si="159"/>
        <v>-96903.921956608508</v>
      </c>
      <c r="P735" s="3">
        <f t="shared" si="160"/>
        <v>97130.948557338997</v>
      </c>
    </row>
    <row r="736" spans="1:16" x14ac:dyDescent="0.25">
      <c r="A736">
        <f t="shared" si="147"/>
        <v>330</v>
      </c>
      <c r="B736">
        <f t="shared" si="148"/>
        <v>-3914.0638418232056</v>
      </c>
      <c r="C736">
        <f t="shared" si="149"/>
        <v>70108.061778855365</v>
      </c>
      <c r="D736">
        <f t="shared" si="150"/>
        <v>-11102.32477062105</v>
      </c>
      <c r="E736">
        <f t="shared" si="151"/>
        <v>6408.2796444937176</v>
      </c>
      <c r="F736">
        <f>$C$23*(H736/(J736^2+$C$24^2)^1.5)+$C$32*(K736/(M736^2+$C$33^2)^1.5)+C$41*(N736/(P736^2+$C$42^2)^1.5)</f>
        <v>-1335.036308568313</v>
      </c>
      <c r="G736">
        <f>$C$23*(I736/(J736^2+$C$24^2)^1.5)+$C$32*(L736/(M736^2+$C$33^2)^1.5)+C$41*(O736/(P736^2+$C$42^2)^1.5)</f>
        <v>-4866.2715620318804</v>
      </c>
      <c r="H736" s="3">
        <f t="shared" si="152"/>
        <v>23914.063841823205</v>
      </c>
      <c r="I736" s="3">
        <f t="shared" si="153"/>
        <v>-55108.061778855365</v>
      </c>
      <c r="J736" s="3">
        <f t="shared" si="154"/>
        <v>60073.129787392762</v>
      </c>
      <c r="K736" s="3">
        <f t="shared" si="155"/>
        <v>-16085.936158176795</v>
      </c>
      <c r="L736" s="3">
        <f t="shared" si="156"/>
        <v>-50108.061778855365</v>
      </c>
      <c r="M736" s="3">
        <f t="shared" si="157"/>
        <v>52626.753627014892</v>
      </c>
      <c r="N736" s="3">
        <f t="shared" si="158"/>
        <v>-1085.9361581767944</v>
      </c>
      <c r="O736" s="3">
        <f t="shared" si="159"/>
        <v>-100108.06177885536</v>
      </c>
      <c r="P736" s="3">
        <f t="shared" si="160"/>
        <v>100113.95152754064</v>
      </c>
    </row>
    <row r="737" spans="1:16" x14ac:dyDescent="0.25">
      <c r="A737">
        <f t="shared" si="147"/>
        <v>330.5</v>
      </c>
      <c r="B737">
        <f t="shared" si="148"/>
        <v>-9798.9853042758095</v>
      </c>
      <c r="C737">
        <f t="shared" si="149"/>
        <v>72095.633710594251</v>
      </c>
      <c r="D737">
        <f t="shared" si="150"/>
        <v>-11769.842924905206</v>
      </c>
      <c r="E737">
        <f t="shared" si="151"/>
        <v>3975.1438634777774</v>
      </c>
      <c r="F737">
        <f>$C$23*(H737/(J737^2+$C$24^2)^1.5)+$C$32*(K737/(M737^2+$C$33^2)^1.5)+C$41*(N737/(P737^2+$C$42^2)^1.5)</f>
        <v>-782.66945256224096</v>
      </c>
      <c r="G737">
        <f>$C$23*(I737/(J737^2+$C$24^2)^1.5)+$C$32*(L737/(M737^2+$C$33^2)^1.5)+C$41*(O737/(P737^2+$C$42^2)^1.5)</f>
        <v>-4893.1537696922587</v>
      </c>
      <c r="H737" s="3">
        <f t="shared" si="152"/>
        <v>29798.985304275811</v>
      </c>
      <c r="I737" s="3">
        <f t="shared" si="153"/>
        <v>-57095.633710594251</v>
      </c>
      <c r="J737" s="3">
        <f t="shared" si="154"/>
        <v>64404.121871032388</v>
      </c>
      <c r="K737" s="3">
        <f t="shared" si="155"/>
        <v>-10201.01469572419</v>
      </c>
      <c r="L737" s="3">
        <f t="shared" si="156"/>
        <v>-52095.633710594251</v>
      </c>
      <c r="M737" s="3">
        <f t="shared" si="157"/>
        <v>53084.986131021877</v>
      </c>
      <c r="N737" s="3">
        <f t="shared" si="158"/>
        <v>4798.9853042758095</v>
      </c>
      <c r="O737" s="3">
        <f t="shared" si="159"/>
        <v>-102095.63371059425</v>
      </c>
      <c r="P737" s="3">
        <f t="shared" si="160"/>
        <v>102208.35916263642</v>
      </c>
    </row>
    <row r="738" spans="1:16" x14ac:dyDescent="0.25">
      <c r="A738">
        <f t="shared" si="147"/>
        <v>331</v>
      </c>
      <c r="B738">
        <f t="shared" si="148"/>
        <v>-15879.574129868974</v>
      </c>
      <c r="C738">
        <f t="shared" si="149"/>
        <v>72859.91719991008</v>
      </c>
      <c r="D738">
        <f t="shared" si="150"/>
        <v>-12161.177651186326</v>
      </c>
      <c r="E738">
        <f t="shared" si="151"/>
        <v>1528.566978631648</v>
      </c>
      <c r="F738">
        <f>$C$23*(H738/(J738^2+$C$24^2)^1.5)+$C$32*(K738/(M738^2+$C$33^2)^1.5)+C$41*(N738/(P738^2+$C$42^2)^1.5)</f>
        <v>-248.52673057742976</v>
      </c>
      <c r="G738">
        <f>$C$23*(I738/(J738^2+$C$24^2)^1.5)+$C$32*(L738/(M738^2+$C$33^2)^1.5)+C$41*(O738/(P738^2+$C$42^2)^1.5)</f>
        <v>-4946.0735777501586</v>
      </c>
      <c r="H738" s="3">
        <f t="shared" si="152"/>
        <v>35879.574129868975</v>
      </c>
      <c r="I738" s="3">
        <f t="shared" si="153"/>
        <v>-57859.91719991008</v>
      </c>
      <c r="J738" s="3">
        <f t="shared" si="154"/>
        <v>68081.670500371925</v>
      </c>
      <c r="K738" s="3">
        <f t="shared" si="155"/>
        <v>-4120.4258701310264</v>
      </c>
      <c r="L738" s="3">
        <f t="shared" si="156"/>
        <v>-52859.91719991008</v>
      </c>
      <c r="M738" s="3">
        <f t="shared" si="157"/>
        <v>53020.267405329017</v>
      </c>
      <c r="N738" s="3">
        <f t="shared" si="158"/>
        <v>10879.574129868974</v>
      </c>
      <c r="O738" s="3">
        <f t="shared" si="159"/>
        <v>-102859.91719991008</v>
      </c>
      <c r="P738" s="3">
        <f t="shared" si="160"/>
        <v>103433.68745055777</v>
      </c>
    </row>
    <row r="739" spans="1:16" x14ac:dyDescent="0.25">
      <c r="A739">
        <f t="shared" si="147"/>
        <v>331.5</v>
      </c>
      <c r="B739">
        <f t="shared" si="148"/>
        <v>-22022.294638106494</v>
      </c>
      <c r="C739">
        <f t="shared" si="149"/>
        <v>72387.682294788363</v>
      </c>
      <c r="D739">
        <f t="shared" si="150"/>
        <v>-12285.441016475041</v>
      </c>
      <c r="E739">
        <f t="shared" si="151"/>
        <v>-944.46981024343131</v>
      </c>
      <c r="F739">
        <f>$C$23*(H739/(J739^2+$C$24^2)^1.5)+$C$32*(K739/(M739^2+$C$33^2)^1.5)+C$41*(N739/(P739^2+$C$42^2)^1.5)</f>
        <v>299.89976347993672</v>
      </c>
      <c r="G739">
        <f>$C$23*(I739/(J739^2+$C$24^2)^1.5)+$C$32*(L739/(M739^2+$C$33^2)^1.5)+C$41*(O739/(P739^2+$C$42^2)^1.5)</f>
        <v>-5028.6461286994154</v>
      </c>
      <c r="H739" s="3">
        <f t="shared" si="152"/>
        <v>42022.294638106498</v>
      </c>
      <c r="I739" s="3">
        <f t="shared" si="153"/>
        <v>-57387.682294788363</v>
      </c>
      <c r="J739" s="3">
        <f t="shared" si="154"/>
        <v>71128.189389435458</v>
      </c>
      <c r="K739" s="3">
        <f t="shared" si="155"/>
        <v>2022.2946381064939</v>
      </c>
      <c r="L739" s="3">
        <f t="shared" si="156"/>
        <v>-52387.682294788363</v>
      </c>
      <c r="M739" s="3">
        <f t="shared" si="157"/>
        <v>52426.700562051359</v>
      </c>
      <c r="N739" s="3">
        <f t="shared" si="158"/>
        <v>17022.294638106494</v>
      </c>
      <c r="O739" s="3">
        <f t="shared" si="159"/>
        <v>-102387.68229478836</v>
      </c>
      <c r="P739" s="3">
        <f t="shared" si="160"/>
        <v>103793.04408506876</v>
      </c>
    </row>
    <row r="740" spans="1:16" x14ac:dyDescent="0.25">
      <c r="A740">
        <f t="shared" si="147"/>
        <v>332</v>
      </c>
      <c r="B740">
        <f t="shared" si="148"/>
        <v>-28090.04020547403</v>
      </c>
      <c r="C740">
        <f t="shared" si="149"/>
        <v>70658.285857491792</v>
      </c>
      <c r="D740">
        <f t="shared" si="150"/>
        <v>-12135.491134735072</v>
      </c>
      <c r="E740">
        <f t="shared" si="151"/>
        <v>-3458.792874593139</v>
      </c>
      <c r="F740">
        <f>$C$23*(H740/(J740^2+$C$24^2)^1.5)+$C$32*(K740/(M740^2+$C$33^2)^1.5)+C$41*(N740/(P740^2+$C$42^2)^1.5)</f>
        <v>898.4809652331719</v>
      </c>
      <c r="G740">
        <f>$C$23*(I740/(J740^2+$C$24^2)^1.5)+$C$32*(L740/(M740^2+$C$33^2)^1.5)+C$41*(O740/(P740^2+$C$42^2)^1.5)</f>
        <v>-5140.6490735589359</v>
      </c>
      <c r="H740" s="3">
        <f t="shared" si="152"/>
        <v>48090.040205474026</v>
      </c>
      <c r="I740" s="3">
        <f t="shared" si="153"/>
        <v>-55658.285857491792</v>
      </c>
      <c r="J740" s="3">
        <f t="shared" si="154"/>
        <v>73556.078957203659</v>
      </c>
      <c r="K740" s="3">
        <f t="shared" si="155"/>
        <v>8090.0402054740298</v>
      </c>
      <c r="L740" s="3">
        <f t="shared" si="156"/>
        <v>-50658.285857491792</v>
      </c>
      <c r="M740" s="3">
        <f t="shared" si="157"/>
        <v>51300.201525389151</v>
      </c>
      <c r="N740" s="3">
        <f t="shared" si="158"/>
        <v>23090.04020547403</v>
      </c>
      <c r="O740" s="3">
        <f t="shared" si="159"/>
        <v>-100658.28585749179</v>
      </c>
      <c r="P740" s="3">
        <f t="shared" si="160"/>
        <v>103272.6511156702</v>
      </c>
    </row>
    <row r="741" spans="1:16" x14ac:dyDescent="0.25">
      <c r="A741">
        <f t="shared" si="147"/>
        <v>332.5</v>
      </c>
      <c r="B741">
        <f t="shared" si="148"/>
        <v>-33933.165531533275</v>
      </c>
      <c r="C741">
        <f t="shared" si="149"/>
        <v>67643.727151805491</v>
      </c>
      <c r="D741">
        <f t="shared" si="150"/>
        <v>-11686.250652118486</v>
      </c>
      <c r="E741">
        <f t="shared" si="151"/>
        <v>-6029.1174113726065</v>
      </c>
      <c r="F741">
        <f>$C$23*(H741/(J741^2+$C$24^2)^1.5)+$C$32*(K741/(M741^2+$C$33^2)^1.5)+C$41*(N741/(P741^2+$C$42^2)^1.5)</f>
        <v>1591.2120251250512</v>
      </c>
      <c r="G741">
        <f>$C$23*(I741/(J741^2+$C$24^2)^1.5)+$C$32*(L741/(M741^2+$C$33^2)^1.5)+C$41*(O741/(P741^2+$C$42^2)^1.5)</f>
        <v>-5275.898182609938</v>
      </c>
      <c r="H741" s="3">
        <f t="shared" si="152"/>
        <v>53933.165531533275</v>
      </c>
      <c r="I741" s="3">
        <f t="shared" si="153"/>
        <v>-52643.727151805491</v>
      </c>
      <c r="J741" s="3">
        <f t="shared" si="154"/>
        <v>75366.758937117047</v>
      </c>
      <c r="K741" s="3">
        <f t="shared" si="155"/>
        <v>13933.165531533275</v>
      </c>
      <c r="L741" s="3">
        <f t="shared" si="156"/>
        <v>-47643.727151805491</v>
      </c>
      <c r="M741" s="3">
        <f t="shared" si="157"/>
        <v>49639.277176896867</v>
      </c>
      <c r="N741" s="3">
        <f t="shared" si="158"/>
        <v>28933.165531533275</v>
      </c>
      <c r="O741" s="3">
        <f t="shared" si="159"/>
        <v>-97643.727151805491</v>
      </c>
      <c r="P741" s="3">
        <f t="shared" si="160"/>
        <v>101840.19599240441</v>
      </c>
    </row>
    <row r="742" spans="1:16" x14ac:dyDescent="0.25">
      <c r="A742">
        <f t="shared" si="147"/>
        <v>333</v>
      </c>
      <c r="B742">
        <f t="shared" si="148"/>
        <v>-39378.487851311256</v>
      </c>
      <c r="C742">
        <f t="shared" si="149"/>
        <v>63310.193900466707</v>
      </c>
      <c r="D742">
        <f t="shared" si="150"/>
        <v>-10890.64463955596</v>
      </c>
      <c r="E742">
        <f t="shared" si="151"/>
        <v>-8667.066502677575</v>
      </c>
      <c r="F742">
        <f>$C$23*(H742/(J742^2+$C$24^2)^1.5)+$C$32*(K742/(M742^2+$C$33^2)^1.5)+C$41*(N742/(P742^2+$C$42^2)^1.5)</f>
        <v>2436.3173145390492</v>
      </c>
      <c r="G742">
        <f>$C$23*(I742/(J742^2+$C$24^2)^1.5)+$C$32*(L742/(M742^2+$C$33^2)^1.5)+C$41*(O742/(P742^2+$C$42^2)^1.5)</f>
        <v>-5416.315535192467</v>
      </c>
      <c r="H742" s="3">
        <f t="shared" si="152"/>
        <v>59378.487851311256</v>
      </c>
      <c r="I742" s="3">
        <f t="shared" si="153"/>
        <v>-48310.193900466707</v>
      </c>
      <c r="J742" s="3">
        <f t="shared" si="154"/>
        <v>76548.544429068075</v>
      </c>
      <c r="K742" s="3">
        <f t="shared" si="155"/>
        <v>19378.487851311256</v>
      </c>
      <c r="L742" s="3">
        <f t="shared" si="156"/>
        <v>-43310.193900466707</v>
      </c>
      <c r="M742" s="3">
        <f t="shared" si="157"/>
        <v>47447.852291747004</v>
      </c>
      <c r="N742" s="3">
        <f t="shared" si="158"/>
        <v>34378.487851311256</v>
      </c>
      <c r="O742" s="3">
        <f t="shared" si="159"/>
        <v>-93310.193900466707</v>
      </c>
      <c r="P742" s="3">
        <f t="shared" si="160"/>
        <v>99441.805658814599</v>
      </c>
    </row>
    <row r="743" spans="1:16" x14ac:dyDescent="0.25">
      <c r="A743">
        <f t="shared" si="147"/>
        <v>333.5</v>
      </c>
      <c r="B743">
        <f t="shared" si="148"/>
        <v>-44214.730842454475</v>
      </c>
      <c r="C743">
        <f t="shared" si="149"/>
        <v>57622.581765329807</v>
      </c>
      <c r="D743">
        <f t="shared" si="150"/>
        <v>-9672.4859822864346</v>
      </c>
      <c r="E743">
        <f t="shared" si="151"/>
        <v>-11375.224270273808</v>
      </c>
      <c r="F743">
        <f>$C$23*(H743/(J743^2+$C$24^2)^1.5)+$C$32*(K743/(M743^2+$C$33^2)^1.5)+C$41*(N743/(P743^2+$C$42^2)^1.5)</f>
        <v>3513.4162590299052</v>
      </c>
      <c r="G743">
        <f>$C$23*(I743/(J743^2+$C$24^2)^1.5)+$C$32*(L743/(M743^2+$C$33^2)^1.5)+C$41*(O743/(P743^2+$C$42^2)^1.5)</f>
        <v>-5518.2349353217051</v>
      </c>
      <c r="H743" s="3">
        <f t="shared" si="152"/>
        <v>64214.730842454475</v>
      </c>
      <c r="I743" s="3">
        <f t="shared" si="153"/>
        <v>-42622.581765329807</v>
      </c>
      <c r="J743" s="3">
        <f t="shared" si="154"/>
        <v>77072.797623487742</v>
      </c>
      <c r="K743" s="3">
        <f t="shared" si="155"/>
        <v>24214.730842454475</v>
      </c>
      <c r="L743" s="3">
        <f t="shared" si="156"/>
        <v>-37622.581765329807</v>
      </c>
      <c r="M743" s="3">
        <f t="shared" si="157"/>
        <v>44741.612045851041</v>
      </c>
      <c r="N743" s="3">
        <f t="shared" si="158"/>
        <v>39214.730842454475</v>
      </c>
      <c r="O743" s="3">
        <f t="shared" si="159"/>
        <v>-87622.581765329815</v>
      </c>
      <c r="P743" s="3">
        <f t="shared" si="160"/>
        <v>95997.458040658865</v>
      </c>
    </row>
    <row r="744" spans="1:16" x14ac:dyDescent="0.25">
      <c r="A744">
        <f t="shared" si="147"/>
        <v>334</v>
      </c>
      <c r="B744">
        <f t="shared" si="148"/>
        <v>-48172.619768840217</v>
      </c>
      <c r="C744">
        <f t="shared" si="149"/>
        <v>50555.410896362482</v>
      </c>
      <c r="D744">
        <f t="shared" si="150"/>
        <v>-7915.7778527714818</v>
      </c>
      <c r="E744">
        <f t="shared" si="151"/>
        <v>-14134.341737934661</v>
      </c>
      <c r="F744">
        <f>$C$23*(H744/(J744^2+$C$24^2)^1.5)+$C$32*(K744/(M744^2+$C$33^2)^1.5)+C$41*(N744/(P744^2+$C$42^2)^1.5)</f>
        <v>4927.7252272052074</v>
      </c>
      <c r="G744">
        <f>$C$23*(I744/(J744^2+$C$24^2)^1.5)+$C$32*(L744/(M744^2+$C$33^2)^1.5)+C$41*(O744/(P744^2+$C$42^2)^1.5)</f>
        <v>-5482.3708539397603</v>
      </c>
      <c r="H744" s="3">
        <f t="shared" si="152"/>
        <v>68172.619768840217</v>
      </c>
      <c r="I744" s="3">
        <f t="shared" si="153"/>
        <v>-35555.410896362482</v>
      </c>
      <c r="J744" s="3">
        <f t="shared" si="154"/>
        <v>76887.536897445461</v>
      </c>
      <c r="K744" s="3">
        <f t="shared" si="155"/>
        <v>28172.619768840217</v>
      </c>
      <c r="L744" s="3">
        <f t="shared" si="156"/>
        <v>-30555.410896362482</v>
      </c>
      <c r="M744" s="3">
        <f t="shared" si="157"/>
        <v>41561.155418072703</v>
      </c>
      <c r="N744" s="3">
        <f t="shared" si="158"/>
        <v>43172.619768840217</v>
      </c>
      <c r="O744" s="3">
        <f t="shared" si="159"/>
        <v>-80555.410896362475</v>
      </c>
      <c r="P744" s="3">
        <f t="shared" si="160"/>
        <v>91395.018039205213</v>
      </c>
    </row>
    <row r="745" spans="1:16" x14ac:dyDescent="0.25">
      <c r="A745">
        <f t="shared" si="147"/>
        <v>334.5</v>
      </c>
      <c r="B745">
        <f t="shared" si="148"/>
        <v>-50898.577388424659</v>
      </c>
      <c r="C745">
        <f t="shared" si="149"/>
        <v>42117.647313910209</v>
      </c>
      <c r="D745">
        <f t="shared" si="150"/>
        <v>-5451.9152391688785</v>
      </c>
      <c r="E745">
        <f t="shared" si="151"/>
        <v>-16875.527164904543</v>
      </c>
      <c r="F745">
        <f>$C$23*(H745/(J745^2+$C$24^2)^1.5)+$C$32*(K745/(M745^2+$C$33^2)^1.5)+C$41*(N745/(P745^2+$C$42^2)^1.5)</f>
        <v>6792.8203480710526</v>
      </c>
      <c r="G745">
        <f>$C$23*(I745/(J745^2+$C$24^2)^1.5)+$C$32*(L745/(M745^2+$C$33^2)^1.5)+C$41*(O745/(P745^2+$C$42^2)^1.5)</f>
        <v>-5092.249439652971</v>
      </c>
      <c r="H745" s="3">
        <f t="shared" si="152"/>
        <v>70898.577388424659</v>
      </c>
      <c r="I745" s="3">
        <f t="shared" si="153"/>
        <v>-27117.647313910209</v>
      </c>
      <c r="J745" s="3">
        <f t="shared" si="154"/>
        <v>75907.674655097042</v>
      </c>
      <c r="K745" s="3">
        <f t="shared" si="155"/>
        <v>30898.577388424659</v>
      </c>
      <c r="L745" s="3">
        <f t="shared" si="156"/>
        <v>-22117.647313910209</v>
      </c>
      <c r="M745" s="3">
        <f t="shared" si="157"/>
        <v>37998.847447402761</v>
      </c>
      <c r="N745" s="3">
        <f t="shared" si="158"/>
        <v>45898.577388424659</v>
      </c>
      <c r="O745" s="3">
        <f t="shared" si="159"/>
        <v>-72117.647313910216</v>
      </c>
      <c r="P745" s="3">
        <f t="shared" si="160"/>
        <v>85484.70307823937</v>
      </c>
    </row>
    <row r="746" spans="1:16" x14ac:dyDescent="0.25">
      <c r="A746">
        <f t="shared" si="147"/>
        <v>335</v>
      </c>
      <c r="B746">
        <f t="shared" si="148"/>
        <v>-51926.329920991338</v>
      </c>
      <c r="C746">
        <f t="shared" si="149"/>
        <v>32406.821371544695</v>
      </c>
      <c r="D746">
        <f t="shared" si="150"/>
        <v>-2055.5050651333522</v>
      </c>
      <c r="E746">
        <f t="shared" si="151"/>
        <v>-19421.651884731029</v>
      </c>
      <c r="F746">
        <f>$C$23*(H746/(J746^2+$C$24^2)^1.5)+$C$32*(K746/(M746^2+$C$33^2)^1.5)+C$41*(N746/(P746^2+$C$42^2)^1.5)</f>
        <v>9127.9894516985896</v>
      </c>
      <c r="G746">
        <f>$C$23*(I746/(J746^2+$C$24^2)^1.5)+$C$32*(L746/(M746^2+$C$33^2)^1.5)+C$41*(O746/(P746^2+$C$42^2)^1.5)</f>
        <v>-3912.979491564945</v>
      </c>
      <c r="H746" s="3">
        <f t="shared" si="152"/>
        <v>71926.329920991338</v>
      </c>
      <c r="I746" s="3">
        <f t="shared" si="153"/>
        <v>-17406.821371544695</v>
      </c>
      <c r="J746" s="3">
        <f t="shared" si="154"/>
        <v>74002.664588271131</v>
      </c>
      <c r="K746" s="3">
        <f t="shared" si="155"/>
        <v>31926.329920991338</v>
      </c>
      <c r="L746" s="3">
        <f t="shared" si="156"/>
        <v>-12406.821371544695</v>
      </c>
      <c r="M746" s="3">
        <f t="shared" si="157"/>
        <v>34252.295671522588</v>
      </c>
      <c r="N746" s="3">
        <f t="shared" si="158"/>
        <v>46926.329920991338</v>
      </c>
      <c r="O746" s="3">
        <f t="shared" si="159"/>
        <v>-62406.821371544691</v>
      </c>
      <c r="P746" s="3">
        <f t="shared" si="160"/>
        <v>78081.31526526442</v>
      </c>
    </row>
    <row r="747" spans="1:16" x14ac:dyDescent="0.25">
      <c r="A747">
        <f t="shared" si="147"/>
        <v>335.5</v>
      </c>
      <c r="B747">
        <f t="shared" si="148"/>
        <v>-50672.085090633373</v>
      </c>
      <c r="C747">
        <f t="shared" si="149"/>
        <v>21717.750556287945</v>
      </c>
      <c r="D747">
        <f t="shared" si="150"/>
        <v>2508.4896607159426</v>
      </c>
      <c r="E747">
        <f t="shared" si="151"/>
        <v>-21378.141630513503</v>
      </c>
      <c r="F747">
        <f>$C$23*(H747/(J747^2+$C$24^2)^1.5)+$C$32*(K747/(M747^2+$C$33^2)^1.5)+C$41*(N747/(P747^2+$C$42^2)^1.5)</f>
        <v>11519.856150624884</v>
      </c>
      <c r="G747">
        <f>$C$23*(I747/(J747^2+$C$24^2)^1.5)+$C$32*(L747/(M747^2+$C$33^2)^1.5)+C$41*(O747/(P747^2+$C$42^2)^1.5)</f>
        <v>-1256.8179979152924</v>
      </c>
      <c r="H747" s="3">
        <f t="shared" si="152"/>
        <v>70672.085090633365</v>
      </c>
      <c r="I747" s="3">
        <f t="shared" si="153"/>
        <v>-6717.7505562879451</v>
      </c>
      <c r="J747" s="3">
        <f t="shared" si="154"/>
        <v>70990.645747128045</v>
      </c>
      <c r="K747" s="3">
        <f t="shared" si="155"/>
        <v>30672.085090633373</v>
      </c>
      <c r="L747" s="3">
        <f t="shared" si="156"/>
        <v>-1717.7505562879451</v>
      </c>
      <c r="M747" s="3">
        <f t="shared" si="157"/>
        <v>30720.147636049565</v>
      </c>
      <c r="N747" s="3">
        <f t="shared" si="158"/>
        <v>45672.085090633373</v>
      </c>
      <c r="O747" s="3">
        <f t="shared" si="159"/>
        <v>-51717.750556287945</v>
      </c>
      <c r="P747" s="3">
        <f t="shared" si="160"/>
        <v>68997.572994479138</v>
      </c>
    </row>
    <row r="748" spans="1:16" x14ac:dyDescent="0.25">
      <c r="A748">
        <f t="shared" si="147"/>
        <v>336</v>
      </c>
      <c r="B748">
        <f t="shared" si="148"/>
        <v>-46537.876222619176</v>
      </c>
      <c r="C748">
        <f t="shared" si="149"/>
        <v>10714.475241552371</v>
      </c>
      <c r="D748">
        <f t="shared" si="150"/>
        <v>8268.4177360283848</v>
      </c>
      <c r="E748">
        <f t="shared" si="151"/>
        <v>-22006.550629471149</v>
      </c>
      <c r="F748">
        <f>$C$23*(H748/(J748^2+$C$24^2)^1.5)+$C$32*(K748/(M748^2+$C$33^2)^1.5)+C$41*(N748/(P748^2+$C$42^2)^1.5)</f>
        <v>12556.666567147642</v>
      </c>
      <c r="G748">
        <f>$C$23*(I748/(J748^2+$C$24^2)^1.5)+$C$32*(L748/(M748^2+$C$33^2)^1.5)+C$41*(O748/(P748^2+$C$42^2)^1.5)</f>
        <v>3234.4529624580859</v>
      </c>
      <c r="H748" s="3">
        <f t="shared" si="152"/>
        <v>66537.876222619176</v>
      </c>
      <c r="I748" s="3">
        <f t="shared" si="153"/>
        <v>4285.5247584476292</v>
      </c>
      <c r="J748" s="3">
        <f t="shared" si="154"/>
        <v>66675.742925533705</v>
      </c>
      <c r="K748" s="3">
        <f t="shared" si="155"/>
        <v>26537.876222619176</v>
      </c>
      <c r="L748" s="3">
        <f t="shared" si="156"/>
        <v>9285.5247584476292</v>
      </c>
      <c r="M748" s="3">
        <f t="shared" si="157"/>
        <v>28115.473398945287</v>
      </c>
      <c r="N748" s="3">
        <f t="shared" si="158"/>
        <v>41537.876222619176</v>
      </c>
      <c r="O748" s="3">
        <f t="shared" si="159"/>
        <v>-40714.475241552369</v>
      </c>
      <c r="P748" s="3">
        <f t="shared" si="160"/>
        <v>58164.109683554962</v>
      </c>
    </row>
    <row r="749" spans="1:16" x14ac:dyDescent="0.25">
      <c r="A749">
        <f t="shared" si="147"/>
        <v>336.5</v>
      </c>
      <c r="B749">
        <f t="shared" si="148"/>
        <v>-39264.500712818073</v>
      </c>
      <c r="C749">
        <f t="shared" si="149"/>
        <v>519.81316743131799</v>
      </c>
      <c r="D749">
        <f t="shared" si="150"/>
        <v>14546.751019602205</v>
      </c>
      <c r="E749">
        <f t="shared" si="151"/>
        <v>-20389.324148242107</v>
      </c>
      <c r="F749">
        <f>$C$23*(H749/(J749^2+$C$24^2)^1.5)+$C$32*(K749/(M749^2+$C$33^2)^1.5)+C$41*(N749/(P749^2+$C$42^2)^1.5)</f>
        <v>10458.433330272048</v>
      </c>
      <c r="G749">
        <f>$C$23*(I749/(J749^2+$C$24^2)^1.5)+$C$32*(L749/(M749^2+$C$33^2)^1.5)+C$41*(O749/(P749^2+$C$42^2)^1.5)</f>
        <v>7836.3080056660492</v>
      </c>
      <c r="H749" s="3">
        <f t="shared" si="152"/>
        <v>59264.500712818073</v>
      </c>
      <c r="I749" s="3">
        <f t="shared" si="153"/>
        <v>14480.186832568683</v>
      </c>
      <c r="J749" s="3">
        <f t="shared" si="154"/>
        <v>61007.84257327667</v>
      </c>
      <c r="K749" s="3">
        <f t="shared" si="155"/>
        <v>19264.500712818073</v>
      </c>
      <c r="L749" s="3">
        <f t="shared" si="156"/>
        <v>19480.186832568681</v>
      </c>
      <c r="M749" s="3">
        <f t="shared" si="157"/>
        <v>27397.055804336898</v>
      </c>
      <c r="N749" s="3">
        <f t="shared" si="158"/>
        <v>34264.500712818073</v>
      </c>
      <c r="O749" s="3">
        <f t="shared" si="159"/>
        <v>-30519.813167431319</v>
      </c>
      <c r="P749" s="3">
        <f t="shared" si="160"/>
        <v>45885.891130865319</v>
      </c>
    </row>
    <row r="750" spans="1:16" x14ac:dyDescent="0.25">
      <c r="A750">
        <f t="shared" si="147"/>
        <v>337</v>
      </c>
      <c r="B750">
        <f t="shared" si="148"/>
        <v>-29376.516870448959</v>
      </c>
      <c r="C750">
        <f t="shared" si="149"/>
        <v>-7715.7719052732245</v>
      </c>
      <c r="D750">
        <f t="shared" si="150"/>
        <v>19775.967684738229</v>
      </c>
      <c r="E750">
        <f t="shared" si="151"/>
        <v>-16471.170145409083</v>
      </c>
      <c r="F750">
        <f>$C$23*(H750/(J750^2+$C$24^2)^1.5)+$C$32*(K750/(M750^2+$C$33^2)^1.5)+C$41*(N750/(P750^2+$C$42^2)^1.5)</f>
        <v>6373.0553081741546</v>
      </c>
      <c r="G750">
        <f>$C$23*(I750/(J750^2+$C$24^2)^1.5)+$C$32*(L750/(M750^2+$C$33^2)^1.5)+C$41*(O750/(P750^2+$C$42^2)^1.5)</f>
        <v>8824.5978162031661</v>
      </c>
      <c r="H750" s="3">
        <f t="shared" si="152"/>
        <v>49376.516870448962</v>
      </c>
      <c r="I750" s="3">
        <f t="shared" si="153"/>
        <v>22715.771905273225</v>
      </c>
      <c r="J750" s="3">
        <f t="shared" si="154"/>
        <v>54351.142688172906</v>
      </c>
      <c r="K750" s="3">
        <f t="shared" si="155"/>
        <v>9376.5168704489588</v>
      </c>
      <c r="L750" s="3">
        <f t="shared" si="156"/>
        <v>27715.771905273225</v>
      </c>
      <c r="M750" s="3">
        <f t="shared" si="157"/>
        <v>29258.897466017865</v>
      </c>
      <c r="N750" s="3">
        <f t="shared" si="158"/>
        <v>24376.516870448959</v>
      </c>
      <c r="O750" s="3">
        <f t="shared" si="159"/>
        <v>-22284.228094726775</v>
      </c>
      <c r="P750" s="3">
        <f t="shared" si="160"/>
        <v>33027.282608672074</v>
      </c>
    </row>
    <row r="751" spans="1:16" x14ac:dyDescent="0.25">
      <c r="A751">
        <f t="shared" si="147"/>
        <v>337.5</v>
      </c>
      <c r="B751">
        <f t="shared" si="148"/>
        <v>-17895.269201036306</v>
      </c>
      <c r="C751">
        <f t="shared" si="149"/>
        <v>-13745.207523926974</v>
      </c>
      <c r="D751">
        <f t="shared" si="150"/>
        <v>22962.495338825305</v>
      </c>
      <c r="E751">
        <f t="shared" si="151"/>
        <v>-12058.8712373075</v>
      </c>
      <c r="F751">
        <f>$C$23*(H751/(J751^2+$C$24^2)^1.5)+$C$32*(K751/(M751^2+$C$33^2)^1.5)+C$41*(N751/(P751^2+$C$42^2)^1.5)</f>
        <v>4014.0381446484307</v>
      </c>
      <c r="G751">
        <f>$C$23*(I751/(J751^2+$C$24^2)^1.5)+$C$32*(L751/(M751^2+$C$33^2)^1.5)+C$41*(O751/(P751^2+$C$42^2)^1.5)</f>
        <v>3992.1001162477487</v>
      </c>
      <c r="H751" s="3">
        <f t="shared" si="152"/>
        <v>37895.26920103631</v>
      </c>
      <c r="I751" s="3">
        <f t="shared" si="153"/>
        <v>28745.207523926976</v>
      </c>
      <c r="J751" s="3">
        <f t="shared" si="154"/>
        <v>47564.045069912201</v>
      </c>
      <c r="K751" s="3">
        <f t="shared" si="155"/>
        <v>-2104.7307989636938</v>
      </c>
      <c r="L751" s="3">
        <f t="shared" si="156"/>
        <v>33745.207523926976</v>
      </c>
      <c r="M751" s="3">
        <f t="shared" si="157"/>
        <v>33810.781158810933</v>
      </c>
      <c r="N751" s="3">
        <f t="shared" si="158"/>
        <v>12895.269201036306</v>
      </c>
      <c r="O751" s="3">
        <f t="shared" si="159"/>
        <v>-16254.792476073026</v>
      </c>
      <c r="P751" s="3">
        <f t="shared" si="160"/>
        <v>20748.64444264723</v>
      </c>
    </row>
    <row r="752" spans="1:16" x14ac:dyDescent="0.25">
      <c r="A752">
        <f t="shared" si="147"/>
        <v>338</v>
      </c>
      <c r="B752">
        <f t="shared" si="148"/>
        <v>-5410.5119954615457</v>
      </c>
      <c r="C752">
        <f t="shared" si="149"/>
        <v>-18776.618113518787</v>
      </c>
      <c r="D752">
        <f t="shared" si="150"/>
        <v>24969.514411149521</v>
      </c>
      <c r="E752">
        <f t="shared" si="151"/>
        <v>-10062.821179183626</v>
      </c>
      <c r="F752">
        <f>$C$23*(H752/(J752^2+$C$24^2)^1.5)+$C$32*(K752/(M752^2+$C$33^2)^1.5)+C$41*(N752/(P752^2+$C$42^2)^1.5)</f>
        <v>-1732.8036314859032</v>
      </c>
      <c r="G752">
        <f>$C$23*(I752/(J752^2+$C$24^2)^1.5)+$C$32*(L752/(M752^2+$C$33^2)^1.5)+C$41*(O752/(P752^2+$C$42^2)^1.5)</f>
        <v>-7187.5294115196311</v>
      </c>
      <c r="H752" s="3">
        <f t="shared" si="152"/>
        <v>25410.511995461544</v>
      </c>
      <c r="I752" s="3">
        <f t="shared" si="153"/>
        <v>33776.618113518787</v>
      </c>
      <c r="J752" s="3">
        <f t="shared" si="154"/>
        <v>42267.647806070076</v>
      </c>
      <c r="K752" s="3">
        <f t="shared" si="155"/>
        <v>-14589.488004538454</v>
      </c>
      <c r="L752" s="3">
        <f t="shared" si="156"/>
        <v>38776.618113518787</v>
      </c>
      <c r="M752" s="3">
        <f t="shared" si="157"/>
        <v>41430.414824814929</v>
      </c>
      <c r="N752" s="3">
        <f t="shared" si="158"/>
        <v>410.51199546154567</v>
      </c>
      <c r="O752" s="3">
        <f t="shared" si="159"/>
        <v>-11223.381886481213</v>
      </c>
      <c r="P752" s="3">
        <f t="shared" si="160"/>
        <v>11230.886922599318</v>
      </c>
    </row>
    <row r="753" spans="1:16" x14ac:dyDescent="0.25">
      <c r="A753">
        <f t="shared" si="147"/>
        <v>338.5</v>
      </c>
      <c r="B753">
        <f t="shared" si="148"/>
        <v>6641.0443022417394</v>
      </c>
      <c r="C753">
        <f t="shared" si="149"/>
        <v>-25604.911055990506</v>
      </c>
      <c r="D753">
        <f t="shared" si="150"/>
        <v>24103.112595406568</v>
      </c>
      <c r="E753">
        <f t="shared" si="151"/>
        <v>-13656.585884943441</v>
      </c>
      <c r="F753">
        <f>$C$23*(H753/(J753^2+$C$24^2)^1.5)+$C$32*(K753/(M753^2+$C$33^2)^1.5)+C$41*(N753/(P753^2+$C$42^2)^1.5)</f>
        <v>-14174.555035230969</v>
      </c>
      <c r="G753">
        <f>$C$23*(I753/(J753^2+$C$24^2)^1.5)+$C$32*(L753/(M753^2+$C$33^2)^1.5)+C$41*(O753/(P753^2+$C$42^2)^1.5)</f>
        <v>-363.62807932940632</v>
      </c>
      <c r="H753" s="3">
        <f t="shared" si="152"/>
        <v>13358.955697758262</v>
      </c>
      <c r="I753" s="3">
        <f t="shared" si="153"/>
        <v>40604.911055990509</v>
      </c>
      <c r="J753" s="3">
        <f t="shared" si="154"/>
        <v>42745.999803485334</v>
      </c>
      <c r="K753" s="3">
        <f t="shared" si="155"/>
        <v>-26641.044302241738</v>
      </c>
      <c r="L753" s="3">
        <f t="shared" si="156"/>
        <v>45604.911055990509</v>
      </c>
      <c r="M753" s="3">
        <f t="shared" si="157"/>
        <v>52816.220557124419</v>
      </c>
      <c r="N753" s="3">
        <f t="shared" si="158"/>
        <v>-11641.044302241738</v>
      </c>
      <c r="O753" s="3">
        <f t="shared" si="159"/>
        <v>-4395.0889440094943</v>
      </c>
      <c r="P753" s="3">
        <f t="shared" si="160"/>
        <v>12443.099263146194</v>
      </c>
    </row>
    <row r="754" spans="1:16" x14ac:dyDescent="0.25">
      <c r="A754">
        <f t="shared" si="147"/>
        <v>339</v>
      </c>
      <c r="B754">
        <f t="shared" si="148"/>
        <v>15148.961841137283</v>
      </c>
      <c r="C754">
        <f t="shared" si="149"/>
        <v>-32524.111018294578</v>
      </c>
      <c r="D754">
        <f t="shared" si="150"/>
        <v>17015.835077791082</v>
      </c>
      <c r="E754">
        <f t="shared" si="151"/>
        <v>-13838.399924608144</v>
      </c>
      <c r="F754">
        <f>$C$23*(H754/(J754^2+$C$24^2)^1.5)+$C$32*(K754/(M754^2+$C$33^2)^1.5)+C$41*(N754/(P754^2+$C$42^2)^1.5)</f>
        <v>-9067.8031504773007</v>
      </c>
      <c r="G754">
        <f>$C$23*(I754/(J754^2+$C$24^2)^1.5)+$C$32*(L754/(M754^2+$C$33^2)^1.5)+C$41*(O754/(P754^2+$C$42^2)^1.5)</f>
        <v>3845.6253900196525</v>
      </c>
      <c r="H754" s="3">
        <f t="shared" si="152"/>
        <v>4851.038158862717</v>
      </c>
      <c r="I754" s="3">
        <f t="shared" si="153"/>
        <v>47524.111018294578</v>
      </c>
      <c r="J754" s="3">
        <f t="shared" si="154"/>
        <v>47771.055036475074</v>
      </c>
      <c r="K754" s="3">
        <f t="shared" si="155"/>
        <v>-35148.961841137279</v>
      </c>
      <c r="L754" s="3">
        <f t="shared" si="156"/>
        <v>52524.111018294578</v>
      </c>
      <c r="M754" s="3">
        <f t="shared" si="157"/>
        <v>63199.934784553843</v>
      </c>
      <c r="N754" s="3">
        <f t="shared" si="158"/>
        <v>-20148.961841137283</v>
      </c>
      <c r="O754" s="3">
        <f t="shared" si="159"/>
        <v>2524.1110182945777</v>
      </c>
      <c r="P754" s="3">
        <f t="shared" si="160"/>
        <v>20306.447244860003</v>
      </c>
    </row>
    <row r="755" spans="1:16" x14ac:dyDescent="0.25">
      <c r="A755">
        <f t="shared" si="147"/>
        <v>339.5</v>
      </c>
      <c r="B755">
        <f t="shared" si="148"/>
        <v>21389.9285924135</v>
      </c>
      <c r="C755">
        <f t="shared" si="149"/>
        <v>-38481.904633093734</v>
      </c>
      <c r="D755">
        <f t="shared" si="150"/>
        <v>12481.933502552431</v>
      </c>
      <c r="E755">
        <f t="shared" si="151"/>
        <v>-11915.587229598317</v>
      </c>
      <c r="F755">
        <f>$C$23*(H755/(J755^2+$C$24^2)^1.5)+$C$32*(K755/(M755^2+$C$33^2)^1.5)+C$41*(N755/(P755^2+$C$42^2)^1.5)</f>
        <v>-5816.3799340366349</v>
      </c>
      <c r="G755">
        <f>$C$23*(I755/(J755^2+$C$24^2)^1.5)+$C$32*(L755/(M755^2+$C$33^2)^1.5)+C$41*(O755/(P755^2+$C$42^2)^1.5)</f>
        <v>3676.8228314859125</v>
      </c>
      <c r="H755" s="3">
        <f t="shared" si="152"/>
        <v>-1389.9285924135002</v>
      </c>
      <c r="I755" s="3">
        <f t="shared" si="153"/>
        <v>53481.904633093734</v>
      </c>
      <c r="J755" s="3">
        <f t="shared" si="154"/>
        <v>53499.962847420196</v>
      </c>
      <c r="K755" s="3">
        <f t="shared" si="155"/>
        <v>-41389.928592413504</v>
      </c>
      <c r="L755" s="3">
        <f t="shared" si="156"/>
        <v>58481.904633093734</v>
      </c>
      <c r="M755" s="3">
        <f t="shared" si="157"/>
        <v>71646.767955012168</v>
      </c>
      <c r="N755" s="3">
        <f t="shared" si="158"/>
        <v>-26389.9285924135</v>
      </c>
      <c r="O755" s="3">
        <f t="shared" si="159"/>
        <v>8481.9046330937344</v>
      </c>
      <c r="P755" s="3">
        <f t="shared" si="160"/>
        <v>27719.50644072835</v>
      </c>
    </row>
    <row r="756" spans="1:16" x14ac:dyDescent="0.25">
      <c r="A756">
        <f t="shared" si="147"/>
        <v>340</v>
      </c>
      <c r="B756">
        <f t="shared" si="148"/>
        <v>26176.800360180554</v>
      </c>
      <c r="C756">
        <f t="shared" si="149"/>
        <v>-43520.492540021412</v>
      </c>
      <c r="D756">
        <f t="shared" si="150"/>
        <v>9573.7435355341131</v>
      </c>
      <c r="E756">
        <f t="shared" si="151"/>
        <v>-10077.175813855361</v>
      </c>
      <c r="F756">
        <f>$C$23*(H756/(J756^2+$C$24^2)^1.5)+$C$32*(K756/(M756^2+$C$33^2)^1.5)+C$41*(N756/(P756^2+$C$42^2)^1.5)</f>
        <v>-4231.1251426693816</v>
      </c>
      <c r="G756">
        <f>$C$23*(I756/(J756^2+$C$24^2)^1.5)+$C$32*(L756/(M756^2+$C$33^2)^1.5)+C$41*(O756/(P756^2+$C$42^2)^1.5)</f>
        <v>3180.0470184171609</v>
      </c>
      <c r="H756" s="3">
        <f t="shared" si="152"/>
        <v>-6176.800360180554</v>
      </c>
      <c r="I756" s="3">
        <f t="shared" si="153"/>
        <v>58520.492540021412</v>
      </c>
      <c r="J756" s="3">
        <f t="shared" si="154"/>
        <v>58845.568310759212</v>
      </c>
      <c r="K756" s="3">
        <f t="shared" si="155"/>
        <v>-46176.800360180554</v>
      </c>
      <c r="L756" s="3">
        <f t="shared" si="156"/>
        <v>63520.492540021412</v>
      </c>
      <c r="M756" s="3">
        <f t="shared" si="157"/>
        <v>78531.2031235412</v>
      </c>
      <c r="N756" s="3">
        <f t="shared" si="158"/>
        <v>-31176.800360180554</v>
      </c>
      <c r="O756" s="3">
        <f t="shared" si="159"/>
        <v>13520.492540021412</v>
      </c>
      <c r="P756" s="3">
        <f t="shared" si="160"/>
        <v>33982.298321675196</v>
      </c>
    </row>
    <row r="757" spans="1:16" x14ac:dyDescent="0.25">
      <c r="A757">
        <f t="shared" si="147"/>
        <v>340.5</v>
      </c>
      <c r="B757">
        <f t="shared" si="148"/>
        <v>29905.890842280267</v>
      </c>
      <c r="C757">
        <f t="shared" si="149"/>
        <v>-47764.068692344801</v>
      </c>
      <c r="D757">
        <f t="shared" si="150"/>
        <v>7458.1809641994223</v>
      </c>
      <c r="E757">
        <f t="shared" si="151"/>
        <v>-8487.152304646781</v>
      </c>
      <c r="F757">
        <f>$C$23*(H757/(J757^2+$C$24^2)^1.5)+$C$32*(K757/(M757^2+$C$33^2)^1.5)+C$41*(N757/(P757^2+$C$42^2)^1.5)</f>
        <v>-3363.1354298289025</v>
      </c>
      <c r="G757">
        <f>$C$23*(I757/(J757^2+$C$24^2)^1.5)+$C$32*(L757/(M757^2+$C$33^2)^1.5)+C$41*(O757/(P757^2+$C$42^2)^1.5)</f>
        <v>2787.0594290272743</v>
      </c>
      <c r="H757" s="3">
        <f t="shared" si="152"/>
        <v>-9905.890842280267</v>
      </c>
      <c r="I757" s="3">
        <f t="shared" si="153"/>
        <v>62764.068692344801</v>
      </c>
      <c r="J757" s="3">
        <f t="shared" si="154"/>
        <v>63540.970973038711</v>
      </c>
      <c r="K757" s="3">
        <f t="shared" si="155"/>
        <v>-49905.890842280263</v>
      </c>
      <c r="L757" s="3">
        <f t="shared" si="156"/>
        <v>67764.068692344794</v>
      </c>
      <c r="M757" s="3">
        <f t="shared" si="157"/>
        <v>84157.988013630747</v>
      </c>
      <c r="N757" s="3">
        <f t="shared" si="158"/>
        <v>-34905.890842280263</v>
      </c>
      <c r="O757" s="3">
        <f t="shared" si="159"/>
        <v>17764.068692344801</v>
      </c>
      <c r="P757" s="3">
        <f t="shared" si="160"/>
        <v>39166.099524965844</v>
      </c>
    </row>
    <row r="758" spans="1:16" x14ac:dyDescent="0.25">
      <c r="A758">
        <f t="shared" si="147"/>
        <v>341</v>
      </c>
      <c r="B758">
        <f t="shared" si="148"/>
        <v>32794.197466922757</v>
      </c>
      <c r="C758">
        <f t="shared" si="149"/>
        <v>-51310.879987411368</v>
      </c>
      <c r="D758">
        <f t="shared" si="150"/>
        <v>5776.6132492849711</v>
      </c>
      <c r="E758">
        <f t="shared" si="151"/>
        <v>-7093.6225901331436</v>
      </c>
      <c r="F758">
        <f>$C$23*(H758/(J758^2+$C$24^2)^1.5)+$C$32*(K758/(M758^2+$C$33^2)^1.5)+C$41*(N758/(P758^2+$C$42^2)^1.5)</f>
        <v>-2839.2604976336715</v>
      </c>
      <c r="G758">
        <f>$C$23*(I758/(J758^2+$C$24^2)^1.5)+$C$32*(L758/(M758^2+$C$33^2)^1.5)+C$41*(O758/(P758^2+$C$42^2)^1.5)</f>
        <v>2506.5871518165513</v>
      </c>
      <c r="H758" s="3">
        <f t="shared" si="152"/>
        <v>-12794.197466922757</v>
      </c>
      <c r="I758" s="3">
        <f t="shared" si="153"/>
        <v>66310.879987411376</v>
      </c>
      <c r="J758" s="3">
        <f t="shared" si="154"/>
        <v>67533.875155565343</v>
      </c>
      <c r="K758" s="3">
        <f t="shared" si="155"/>
        <v>-52794.197466922757</v>
      </c>
      <c r="L758" s="3">
        <f t="shared" si="156"/>
        <v>71310.879987411376</v>
      </c>
      <c r="M758" s="3">
        <f t="shared" si="157"/>
        <v>88726.934415404103</v>
      </c>
      <c r="N758" s="3">
        <f t="shared" si="158"/>
        <v>-37794.197466922757</v>
      </c>
      <c r="O758" s="3">
        <f t="shared" si="159"/>
        <v>21310.879987411368</v>
      </c>
      <c r="P758" s="3">
        <f t="shared" si="160"/>
        <v>43388.419745441308</v>
      </c>
    </row>
    <row r="759" spans="1:16" x14ac:dyDescent="0.25">
      <c r="A759">
        <f t="shared" si="147"/>
        <v>341.5</v>
      </c>
      <c r="B759">
        <f t="shared" si="148"/>
        <v>34972.688967156828</v>
      </c>
      <c r="C759">
        <f t="shared" si="149"/>
        <v>-54231.044494523805</v>
      </c>
      <c r="D759">
        <f t="shared" si="150"/>
        <v>4356.9830004681353</v>
      </c>
      <c r="E759">
        <f t="shared" si="151"/>
        <v>-5840.3290142248679</v>
      </c>
      <c r="F759">
        <f>$C$23*(H759/(J759^2+$C$24^2)^1.5)+$C$32*(K759/(M759^2+$C$33^2)^1.5)+C$41*(N759/(P759^2+$C$42^2)^1.5)</f>
        <v>-2503.1958795675641</v>
      </c>
      <c r="G759">
        <f>$C$23*(I759/(J759^2+$C$24^2)^1.5)+$C$32*(L759/(M759^2+$C$33^2)^1.5)+C$41*(O759/(P759^2+$C$42^2)^1.5)</f>
        <v>2311.0694271273569</v>
      </c>
      <c r="H759" s="3">
        <f t="shared" si="152"/>
        <v>-14972.688967156828</v>
      </c>
      <c r="I759" s="3">
        <f t="shared" si="153"/>
        <v>69231.044494523812</v>
      </c>
      <c r="J759" s="3">
        <f t="shared" si="154"/>
        <v>70831.623846343922</v>
      </c>
      <c r="K759" s="3">
        <f t="shared" si="155"/>
        <v>-54972.688967156828</v>
      </c>
      <c r="L759" s="3">
        <f t="shared" si="156"/>
        <v>74231.044494523812</v>
      </c>
      <c r="M759" s="3">
        <f t="shared" si="157"/>
        <v>92370.149393771906</v>
      </c>
      <c r="N759" s="3">
        <f t="shared" si="158"/>
        <v>-39972.688967156828</v>
      </c>
      <c r="O759" s="3">
        <f t="shared" si="159"/>
        <v>24231.044494523805</v>
      </c>
      <c r="P759" s="3">
        <f t="shared" si="160"/>
        <v>46743.549079639357</v>
      </c>
    </row>
    <row r="760" spans="1:16" x14ac:dyDescent="0.25">
      <c r="A760">
        <f t="shared" si="147"/>
        <v>342</v>
      </c>
      <c r="B760">
        <f t="shared" si="148"/>
        <v>36525.381497499002</v>
      </c>
      <c r="C760">
        <f t="shared" si="149"/>
        <v>-56573.4416448544</v>
      </c>
      <c r="D760">
        <f t="shared" si="150"/>
        <v>3105.3850606843534</v>
      </c>
      <c r="E760">
        <f t="shared" si="151"/>
        <v>-4684.7943006611895</v>
      </c>
      <c r="F760">
        <f>$C$23*(H760/(J760^2+$C$24^2)^1.5)+$C$32*(K760/(M760^2+$C$33^2)^1.5)+C$41*(N760/(P760^2+$C$42^2)^1.5)</f>
        <v>-2281.4904106172794</v>
      </c>
      <c r="G760">
        <f>$C$23*(I760/(J760^2+$C$24^2)^1.5)+$C$32*(L760/(M760^2+$C$33^2)^1.5)+C$41*(O760/(P760^2+$C$42^2)^1.5)</f>
        <v>2178.5500574539265</v>
      </c>
      <c r="H760" s="3">
        <f t="shared" si="152"/>
        <v>-16525.381497499002</v>
      </c>
      <c r="I760" s="3">
        <f t="shared" si="153"/>
        <v>71573.441644854407</v>
      </c>
      <c r="J760" s="3">
        <f t="shared" si="154"/>
        <v>73456.420975482208</v>
      </c>
      <c r="K760" s="3">
        <f t="shared" si="155"/>
        <v>-56525.381497499002</v>
      </c>
      <c r="L760" s="3">
        <f t="shared" si="156"/>
        <v>76573.441644854407</v>
      </c>
      <c r="M760" s="3">
        <f t="shared" si="157"/>
        <v>95176.73412539289</v>
      </c>
      <c r="N760" s="3">
        <f t="shared" si="158"/>
        <v>-41525.381497499002</v>
      </c>
      <c r="O760" s="3">
        <f t="shared" si="159"/>
        <v>26573.4416448544</v>
      </c>
      <c r="P760" s="3">
        <f t="shared" si="160"/>
        <v>49300.153238760977</v>
      </c>
    </row>
    <row r="761" spans="1:16" x14ac:dyDescent="0.25">
      <c r="A761">
        <f t="shared" si="147"/>
        <v>342.5</v>
      </c>
      <c r="B761">
        <f t="shared" si="148"/>
        <v>37507.701425186853</v>
      </c>
      <c r="C761">
        <f t="shared" si="149"/>
        <v>-58371.201280821515</v>
      </c>
      <c r="D761">
        <f t="shared" si="150"/>
        <v>1964.6398553757138</v>
      </c>
      <c r="E761">
        <f t="shared" si="151"/>
        <v>-3595.5192719342263</v>
      </c>
      <c r="F761">
        <f>$C$23*(H761/(J761^2+$C$24^2)^1.5)+$C$32*(K761/(M761^2+$C$33^2)^1.5)+C$41*(N761/(P761^2+$C$42^2)^1.5)</f>
        <v>-2136.4778907931345</v>
      </c>
      <c r="G761">
        <f>$C$23*(I761/(J761^2+$C$24^2)^1.5)+$C$32*(L761/(M761^2+$C$33^2)^1.5)+C$41*(O761/(P761^2+$C$42^2)^1.5)</f>
        <v>2094.8471678512733</v>
      </c>
      <c r="H761" s="3">
        <f t="shared" si="152"/>
        <v>-17507.701425186853</v>
      </c>
      <c r="I761" s="3">
        <f t="shared" si="153"/>
        <v>73371.201280821522</v>
      </c>
      <c r="J761" s="3">
        <f t="shared" si="154"/>
        <v>75431.112855268919</v>
      </c>
      <c r="K761" s="3">
        <f t="shared" si="155"/>
        <v>-57507.701425186853</v>
      </c>
      <c r="L761" s="3">
        <f t="shared" si="156"/>
        <v>78371.201280821522</v>
      </c>
      <c r="M761" s="3">
        <f t="shared" si="157"/>
        <v>97206.897457986372</v>
      </c>
      <c r="N761" s="3">
        <f t="shared" si="158"/>
        <v>-42507.701425186853</v>
      </c>
      <c r="O761" s="3">
        <f t="shared" si="159"/>
        <v>28371.201280821515</v>
      </c>
      <c r="P761" s="3">
        <f t="shared" si="160"/>
        <v>51106.06365755164</v>
      </c>
    </row>
    <row r="762" spans="1:16" x14ac:dyDescent="0.25">
      <c r="A762">
        <f t="shared" si="147"/>
        <v>343</v>
      </c>
      <c r="B762">
        <f t="shared" si="148"/>
        <v>37955.901880176425</v>
      </c>
      <c r="C762">
        <f t="shared" si="149"/>
        <v>-59645.249124825808</v>
      </c>
      <c r="D762">
        <f t="shared" si="150"/>
        <v>896.40090997914649</v>
      </c>
      <c r="E762">
        <f t="shared" si="151"/>
        <v>-2548.0956880085896</v>
      </c>
      <c r="F762">
        <f>$C$23*(H762/(J762^2+$C$24^2)^1.5)+$C$32*(K762/(M762^2+$C$33^2)^1.5)+C$41*(N762/(P762^2+$C$42^2)^1.5)</f>
        <v>-2047.9538995628568</v>
      </c>
      <c r="G762">
        <f>$C$23*(I762/(J762^2+$C$24^2)^1.5)+$C$32*(L762/(M762^2+$C$33^2)^1.5)+C$41*(O762/(P762^2+$C$42^2)^1.5)</f>
        <v>2051.6154926414229</v>
      </c>
      <c r="H762" s="3">
        <f t="shared" si="152"/>
        <v>-17955.901880176425</v>
      </c>
      <c r="I762" s="3">
        <f t="shared" si="153"/>
        <v>74645.249124825816</v>
      </c>
      <c r="J762" s="3">
        <f t="shared" si="154"/>
        <v>76774.524610953027</v>
      </c>
      <c r="K762" s="3">
        <f t="shared" si="155"/>
        <v>-57955.901880176425</v>
      </c>
      <c r="L762" s="3">
        <f t="shared" si="156"/>
        <v>79645.249124825816</v>
      </c>
      <c r="M762" s="3">
        <f t="shared" si="157"/>
        <v>98500.011527411523</v>
      </c>
      <c r="N762" s="3">
        <f t="shared" si="158"/>
        <v>-42955.901880176425</v>
      </c>
      <c r="O762" s="3">
        <f t="shared" si="159"/>
        <v>29645.249124825808</v>
      </c>
      <c r="P762" s="3">
        <f t="shared" si="160"/>
        <v>52192.435294900068</v>
      </c>
    </row>
    <row r="763" spans="1:16" x14ac:dyDescent="0.25">
      <c r="A763">
        <f t="shared" si="147"/>
        <v>343.5</v>
      </c>
      <c r="B763">
        <f t="shared" si="148"/>
        <v>37892.113860275284</v>
      </c>
      <c r="C763">
        <f t="shared" si="149"/>
        <v>-60406.393095669744</v>
      </c>
      <c r="D763">
        <f t="shared" si="150"/>
        <v>-127.57603980228191</v>
      </c>
      <c r="E763">
        <f t="shared" si="151"/>
        <v>-1522.2879416878782</v>
      </c>
      <c r="F763">
        <f>$C$23*(H763/(J763^2+$C$24^2)^1.5)+$C$32*(K763/(M763^2+$C$33^2)^1.5)+C$41*(N763/(P763^2+$C$42^2)^1.5)</f>
        <v>-2005.3802641422774</v>
      </c>
      <c r="G763">
        <f>$C$23*(I763/(J763^2+$C$24^2)^1.5)+$C$32*(L763/(M763^2+$C$33^2)^1.5)+C$41*(O763/(P763^2+$C$42^2)^1.5)</f>
        <v>2044.8054078357295</v>
      </c>
      <c r="H763" s="3">
        <f t="shared" si="152"/>
        <v>-17892.113860275284</v>
      </c>
      <c r="I763" s="3">
        <f t="shared" si="153"/>
        <v>75406.393095669744</v>
      </c>
      <c r="J763" s="3">
        <f t="shared" si="154"/>
        <v>77500.011987661812</v>
      </c>
      <c r="K763" s="3">
        <f t="shared" si="155"/>
        <v>-57892.113860275284</v>
      </c>
      <c r="L763" s="3">
        <f t="shared" si="156"/>
        <v>80406.393095669744</v>
      </c>
      <c r="M763" s="3">
        <f t="shared" si="157"/>
        <v>99079.184987899673</v>
      </c>
      <c r="N763" s="3">
        <f t="shared" si="158"/>
        <v>-42892.113860275284</v>
      </c>
      <c r="O763" s="3">
        <f t="shared" si="159"/>
        <v>30406.393095669744</v>
      </c>
      <c r="P763" s="3">
        <f t="shared" si="160"/>
        <v>52576.441230756689</v>
      </c>
    </row>
    <row r="764" spans="1:16" x14ac:dyDescent="0.25">
      <c r="A764">
        <f t="shared" si="147"/>
        <v>344</v>
      </c>
      <c r="B764">
        <f t="shared" si="148"/>
        <v>37326.980774338575</v>
      </c>
      <c r="C764">
        <f t="shared" si="149"/>
        <v>-60656.335714554749</v>
      </c>
      <c r="D764">
        <f t="shared" si="150"/>
        <v>-1130.2661718734207</v>
      </c>
      <c r="E764">
        <f t="shared" si="151"/>
        <v>-499.88523777001342</v>
      </c>
      <c r="F764">
        <f>$C$23*(H764/(J764^2+$C$24^2)^1.5)+$C$32*(K764/(M764^2+$C$33^2)^1.5)+C$41*(N764/(P764^2+$C$42^2)^1.5)</f>
        <v>-2004.4968520253506</v>
      </c>
      <c r="G764">
        <f>$C$23*(I764/(J764^2+$C$24^2)^1.5)+$C$32*(L764/(M764^2+$C$33^2)^1.5)+C$41*(O764/(P764^2+$C$42^2)^1.5)</f>
        <v>2073.9147118929363</v>
      </c>
      <c r="H764" s="3">
        <f t="shared" si="152"/>
        <v>-17326.980774338575</v>
      </c>
      <c r="I764" s="3">
        <f t="shared" si="153"/>
        <v>75656.335714554749</v>
      </c>
      <c r="J764" s="3">
        <f t="shared" si="154"/>
        <v>77615.11061969641</v>
      </c>
      <c r="K764" s="3">
        <f t="shared" si="155"/>
        <v>-57326.980774338575</v>
      </c>
      <c r="L764" s="3">
        <f t="shared" si="156"/>
        <v>80656.335714554749</v>
      </c>
      <c r="M764" s="3">
        <f t="shared" si="157"/>
        <v>98953.661961548176</v>
      </c>
      <c r="N764" s="3">
        <f t="shared" si="158"/>
        <v>-42326.980774338575</v>
      </c>
      <c r="O764" s="3">
        <f t="shared" si="159"/>
        <v>30656.335714554749</v>
      </c>
      <c r="P764" s="3">
        <f t="shared" si="160"/>
        <v>52262.646516558198</v>
      </c>
    </row>
    <row r="765" spans="1:16" x14ac:dyDescent="0.25">
      <c r="A765">
        <f t="shared" si="147"/>
        <v>344.5</v>
      </c>
      <c r="B765">
        <f t="shared" si="148"/>
        <v>36260.723475395527</v>
      </c>
      <c r="C765">
        <f t="shared" si="149"/>
        <v>-60387.799655466522</v>
      </c>
      <c r="D765">
        <f t="shared" si="150"/>
        <v>-2132.514597886096</v>
      </c>
      <c r="E765">
        <f t="shared" si="151"/>
        <v>537.07211817645475</v>
      </c>
      <c r="F765">
        <f>$C$23*(H765/(J765^2+$C$24^2)^1.5)+$C$32*(K765/(M765^2+$C$33^2)^1.5)+C$41*(N765/(P765^2+$C$42^2)^1.5)</f>
        <v>-2046.1635445341205</v>
      </c>
      <c r="G765">
        <f>$C$23*(I765/(J765^2+$C$24^2)^1.5)+$C$32*(L765/(M765^2+$C$33^2)^1.5)+C$41*(O765/(P765^2+$C$42^2)^1.5)</f>
        <v>2141.9906600071427</v>
      </c>
      <c r="H765" s="3">
        <f t="shared" si="152"/>
        <v>-16260.723475395527</v>
      </c>
      <c r="I765" s="3">
        <f t="shared" si="153"/>
        <v>75387.799655466515</v>
      </c>
      <c r="J765" s="3">
        <f t="shared" si="154"/>
        <v>77121.53697143255</v>
      </c>
      <c r="K765" s="3">
        <f t="shared" si="155"/>
        <v>-56260.723475395527</v>
      </c>
      <c r="L765" s="3">
        <f t="shared" si="156"/>
        <v>80387.799655466515</v>
      </c>
      <c r="M765" s="3">
        <f t="shared" si="157"/>
        <v>98119.65827204223</v>
      </c>
      <c r="N765" s="3">
        <f t="shared" si="158"/>
        <v>-41260.723475395527</v>
      </c>
      <c r="O765" s="3">
        <f t="shared" si="159"/>
        <v>30387.799655466522</v>
      </c>
      <c r="P765" s="3">
        <f t="shared" si="160"/>
        <v>51243.201203806799</v>
      </c>
    </row>
    <row r="766" spans="1:16" x14ac:dyDescent="0.25">
      <c r="A766">
        <f t="shared" si="147"/>
        <v>345</v>
      </c>
      <c r="B766">
        <f t="shared" si="148"/>
        <v>34682.925290318948</v>
      </c>
      <c r="C766">
        <f t="shared" si="149"/>
        <v>-59583.765931376511</v>
      </c>
      <c r="D766">
        <f t="shared" si="150"/>
        <v>-3155.5963701531564</v>
      </c>
      <c r="E766">
        <f t="shared" si="151"/>
        <v>1608.0674481800261</v>
      </c>
      <c r="F766">
        <f>$C$23*(H766/(J766^2+$C$24^2)^1.5)+$C$32*(K766/(M766^2+$C$33^2)^1.5)+C$41*(N766/(P766^2+$C$42^2)^1.5)</f>
        <v>-2136.8059099589364</v>
      </c>
      <c r="G766">
        <f>$C$23*(I766/(J766^2+$C$24^2)^1.5)+$C$32*(L766/(M766^2+$C$33^2)^1.5)+C$41*(O766/(P766^2+$C$42^2)^1.5)</f>
        <v>2256.4867639547256</v>
      </c>
      <c r="H766" s="3">
        <f t="shared" si="152"/>
        <v>-14682.925290318948</v>
      </c>
      <c r="I766" s="3">
        <f t="shared" si="153"/>
        <v>74583.765931376518</v>
      </c>
      <c r="J766" s="3">
        <f t="shared" si="154"/>
        <v>76015.303956423464</v>
      </c>
      <c r="K766" s="3">
        <f t="shared" si="155"/>
        <v>-54682.925290318948</v>
      </c>
      <c r="L766" s="3">
        <f t="shared" si="156"/>
        <v>79583.765931376518</v>
      </c>
      <c r="M766" s="3">
        <f t="shared" si="157"/>
        <v>96559.816270158306</v>
      </c>
      <c r="N766" s="3">
        <f t="shared" si="158"/>
        <v>-39682.925290318948</v>
      </c>
      <c r="O766" s="3">
        <f t="shared" si="159"/>
        <v>29583.765931376511</v>
      </c>
      <c r="P766" s="3">
        <f t="shared" si="160"/>
        <v>49496.805616923491</v>
      </c>
    </row>
    <row r="767" spans="1:16" x14ac:dyDescent="0.25">
      <c r="A767">
        <f t="shared" si="147"/>
        <v>345.5</v>
      </c>
      <c r="B767">
        <f t="shared" si="148"/>
        <v>32570.925627752637</v>
      </c>
      <c r="C767">
        <f t="shared" si="149"/>
        <v>-58215.61051629782</v>
      </c>
      <c r="D767">
        <f t="shared" si="150"/>
        <v>-4223.999325132625</v>
      </c>
      <c r="E767">
        <f t="shared" si="151"/>
        <v>2736.3108301573889</v>
      </c>
      <c r="F767">
        <f>$C$23*(H767/(J767^2+$C$24^2)^1.5)+$C$32*(K767/(M767^2+$C$33^2)^1.5)+C$41*(N767/(P767^2+$C$42^2)^1.5)</f>
        <v>-2290.811705153119</v>
      </c>
      <c r="G767">
        <f>$C$23*(I767/(J767^2+$C$24^2)^1.5)+$C$32*(L767/(M767^2+$C$33^2)^1.5)+C$41*(O767/(P767^2+$C$42^2)^1.5)</f>
        <v>2431.448875255951</v>
      </c>
      <c r="H767" s="3">
        <f t="shared" si="152"/>
        <v>-12570.925627752637</v>
      </c>
      <c r="I767" s="3">
        <f t="shared" si="153"/>
        <v>73215.61051629782</v>
      </c>
      <c r="J767" s="3">
        <f t="shared" si="154"/>
        <v>74286.969210035124</v>
      </c>
      <c r="K767" s="3">
        <f t="shared" si="155"/>
        <v>-52570.925627752637</v>
      </c>
      <c r="L767" s="3">
        <f t="shared" si="156"/>
        <v>78215.61051629782</v>
      </c>
      <c r="M767" s="3">
        <f t="shared" si="157"/>
        <v>94241.094803678381</v>
      </c>
      <c r="N767" s="3">
        <f t="shared" si="158"/>
        <v>-37570.925627752637</v>
      </c>
      <c r="O767" s="3">
        <f t="shared" si="159"/>
        <v>28215.61051629782</v>
      </c>
      <c r="P767" s="3">
        <f t="shared" si="160"/>
        <v>46986.116346571318</v>
      </c>
    </row>
    <row r="768" spans="1:16" x14ac:dyDescent="0.25">
      <c r="A768">
        <f t="shared" si="147"/>
        <v>346</v>
      </c>
      <c r="B768">
        <f t="shared" si="148"/>
        <v>29886.223038898046</v>
      </c>
      <c r="C768">
        <f t="shared" si="149"/>
        <v>-56239.592882405137</v>
      </c>
      <c r="D768">
        <f t="shared" si="150"/>
        <v>-5369.4051777091845</v>
      </c>
      <c r="E768">
        <f t="shared" si="151"/>
        <v>3952.0352677853643</v>
      </c>
      <c r="F768">
        <f>$C$23*(H768/(J768^2+$C$24^2)^1.5)+$C$32*(K768/(M768^2+$C$33^2)^1.5)+C$41*(N768/(P768^2+$C$42^2)^1.5)</f>
        <v>-2536.6245051162778</v>
      </c>
      <c r="G768">
        <f>$C$23*(I768/(J768^2+$C$24^2)^1.5)+$C$32*(L768/(M768^2+$C$33^2)^1.5)+C$41*(O768/(P768^2+$C$42^2)^1.5)</f>
        <v>2692.3232901065107</v>
      </c>
      <c r="H768" s="3">
        <f t="shared" si="152"/>
        <v>-9886.2230388980461</v>
      </c>
      <c r="I768" s="3">
        <f t="shared" si="153"/>
        <v>71239.592882405137</v>
      </c>
      <c r="J768" s="3">
        <f t="shared" si="154"/>
        <v>71922.298350550976</v>
      </c>
      <c r="K768" s="3">
        <f t="shared" si="155"/>
        <v>-49886.223038898046</v>
      </c>
      <c r="L768" s="3">
        <f t="shared" si="156"/>
        <v>76239.592882405137</v>
      </c>
      <c r="M768" s="3">
        <f t="shared" si="157"/>
        <v>91110.431740616623</v>
      </c>
      <c r="N768" s="3">
        <f t="shared" si="158"/>
        <v>-34886.223038898046</v>
      </c>
      <c r="O768" s="3">
        <f t="shared" si="159"/>
        <v>26239.592882405137</v>
      </c>
      <c r="P768" s="3">
        <f t="shared" si="160"/>
        <v>43652.77531330748</v>
      </c>
    </row>
    <row r="769" spans="1:16" x14ac:dyDescent="0.25">
      <c r="A769">
        <f t="shared" si="147"/>
        <v>346.5</v>
      </c>
      <c r="B769">
        <f t="shared" si="148"/>
        <v>26567.364323764385</v>
      </c>
      <c r="C769">
        <f t="shared" si="149"/>
        <v>-53590.494425985824</v>
      </c>
      <c r="D769">
        <f t="shared" si="150"/>
        <v>-6637.7174302673229</v>
      </c>
      <c r="E769">
        <f t="shared" si="151"/>
        <v>5298.1969128386199</v>
      </c>
      <c r="F769">
        <f>$C$23*(H769/(J769^2+$C$24^2)^1.5)+$C$32*(K769/(M769^2+$C$33^2)^1.5)+C$41*(N769/(P769^2+$C$42^2)^1.5)</f>
        <v>-2931.9150732023563</v>
      </c>
      <c r="G769">
        <f>$C$23*(I769/(J769^2+$C$24^2)^1.5)+$C$32*(L769/(M769^2+$C$33^2)^1.5)+C$41*(O769/(P769^2+$C$42^2)^1.5)</f>
        <v>3086.8348286862019</v>
      </c>
      <c r="H769" s="3">
        <f t="shared" si="152"/>
        <v>-6567.3643237643846</v>
      </c>
      <c r="I769" s="3">
        <f t="shared" si="153"/>
        <v>68590.494425985817</v>
      </c>
      <c r="J769" s="3">
        <f t="shared" si="154"/>
        <v>68904.181293752015</v>
      </c>
      <c r="K769" s="3">
        <f t="shared" si="155"/>
        <v>-46567.364323764385</v>
      </c>
      <c r="L769" s="3">
        <f t="shared" si="156"/>
        <v>73590.494425985817</v>
      </c>
      <c r="M769" s="3">
        <f t="shared" si="157"/>
        <v>87086.625206878089</v>
      </c>
      <c r="N769" s="3">
        <f t="shared" si="158"/>
        <v>-31567.364323764385</v>
      </c>
      <c r="O769" s="3">
        <f t="shared" si="159"/>
        <v>23590.494425985824</v>
      </c>
      <c r="P769" s="3">
        <f t="shared" si="160"/>
        <v>39408.246822356115</v>
      </c>
    </row>
    <row r="770" spans="1:16" x14ac:dyDescent="0.25">
      <c r="A770">
        <f t="shared" si="147"/>
        <v>347</v>
      </c>
      <c r="B770">
        <f t="shared" si="148"/>
        <v>22515.526840330134</v>
      </c>
      <c r="C770">
        <f t="shared" si="149"/>
        <v>-50169.68726239496</v>
      </c>
      <c r="D770">
        <f t="shared" si="150"/>
        <v>-8103.6749668685006</v>
      </c>
      <c r="E770">
        <f t="shared" si="151"/>
        <v>6841.6143271817209</v>
      </c>
      <c r="F770">
        <f>$C$23*(H770/(J770^2+$C$24^2)^1.5)+$C$32*(K770/(M770^2+$C$33^2)^1.5)+C$41*(N770/(P770^2+$C$42^2)^1.5)</f>
        <v>-3605.6497534915447</v>
      </c>
      <c r="G770">
        <f>$C$23*(I770/(J770^2+$C$24^2)^1.5)+$C$32*(L770/(M770^2+$C$33^2)^1.5)+C$41*(O770/(P770^2+$C$42^2)^1.5)</f>
        <v>3711.9266734686653</v>
      </c>
      <c r="H770" s="3">
        <f t="shared" si="152"/>
        <v>-2515.5268403301343</v>
      </c>
      <c r="I770" s="3">
        <f t="shared" si="153"/>
        <v>65169.68726239496</v>
      </c>
      <c r="J770" s="3">
        <f t="shared" si="154"/>
        <v>65218.218414510418</v>
      </c>
      <c r="K770" s="3">
        <f t="shared" si="155"/>
        <v>-42515.526840330131</v>
      </c>
      <c r="L770" s="3">
        <f t="shared" si="156"/>
        <v>70169.68726239496</v>
      </c>
      <c r="M770" s="3">
        <f t="shared" si="157"/>
        <v>82044.835504821051</v>
      </c>
      <c r="N770" s="3">
        <f t="shared" si="158"/>
        <v>-27515.526840330134</v>
      </c>
      <c r="O770" s="3">
        <f t="shared" si="159"/>
        <v>20169.68726239496</v>
      </c>
      <c r="P770" s="3">
        <f t="shared" si="160"/>
        <v>34116.279128353744</v>
      </c>
    </row>
    <row r="771" spans="1:16" x14ac:dyDescent="0.25">
      <c r="A771">
        <f t="shared" si="147"/>
        <v>347.5</v>
      </c>
      <c r="B771">
        <f t="shared" si="148"/>
        <v>17562.276918522999</v>
      </c>
      <c r="C771">
        <f t="shared" si="149"/>
        <v>-45820.89843043693</v>
      </c>
      <c r="D771">
        <f t="shared" si="150"/>
        <v>-9906.4998436142723</v>
      </c>
      <c r="E771">
        <f t="shared" si="151"/>
        <v>8697.577663916054</v>
      </c>
      <c r="F771">
        <f>$C$23*(H771/(J771^2+$C$24^2)^1.5)+$C$32*(K771/(M771^2+$C$33^2)^1.5)+C$41*(N771/(P771^2+$C$42^2)^1.5)</f>
        <v>-4897.6421836589134</v>
      </c>
      <c r="G771">
        <f>$C$23*(I771/(J771^2+$C$24^2)^1.5)+$C$32*(L771/(M771^2+$C$33^2)^1.5)+C$41*(O771/(P771^2+$C$42^2)^1.5)</f>
        <v>4788.5407305796434</v>
      </c>
      <c r="H771" s="3">
        <f t="shared" si="152"/>
        <v>2437.723081477001</v>
      </c>
      <c r="I771" s="3">
        <f t="shared" si="153"/>
        <v>60820.89843043693</v>
      </c>
      <c r="J771" s="3">
        <f t="shared" si="154"/>
        <v>60869.731227495089</v>
      </c>
      <c r="K771" s="3">
        <f t="shared" si="155"/>
        <v>-37562.276918522999</v>
      </c>
      <c r="L771" s="3">
        <f t="shared" si="156"/>
        <v>65820.898430436937</v>
      </c>
      <c r="M771" s="3">
        <f t="shared" si="157"/>
        <v>75784.66413129837</v>
      </c>
      <c r="N771" s="3">
        <f t="shared" si="158"/>
        <v>-22562.276918522999</v>
      </c>
      <c r="O771" s="3">
        <f t="shared" si="159"/>
        <v>15820.89843043693</v>
      </c>
      <c r="P771" s="3">
        <f t="shared" si="160"/>
        <v>27556.436033970673</v>
      </c>
    </row>
    <row r="772" spans="1:16" x14ac:dyDescent="0.25">
      <c r="A772">
        <f t="shared" si="147"/>
        <v>348</v>
      </c>
      <c r="B772">
        <f t="shared" si="148"/>
        <v>11384.616450801135</v>
      </c>
      <c r="C772">
        <f t="shared" si="149"/>
        <v>-40274.974415833989</v>
      </c>
      <c r="D772">
        <f t="shared" si="150"/>
        <v>-12355.320935443729</v>
      </c>
      <c r="E772">
        <f t="shared" si="151"/>
        <v>11091.848029205876</v>
      </c>
      <c r="F772">
        <f>$C$23*(H772/(J772^2+$C$24^2)^1.5)+$C$32*(K772/(M772^2+$C$33^2)^1.5)+C$41*(N772/(P772^2+$C$42^2)^1.5)</f>
        <v>-7940.8716972054017</v>
      </c>
      <c r="G772">
        <f>$C$23*(I772/(J772^2+$C$24^2)^1.5)+$C$32*(L772/(M772^2+$C$33^2)^1.5)+C$41*(O772/(P772^2+$C$42^2)^1.5)</f>
        <v>6861.8193899453909</v>
      </c>
      <c r="H772" s="3">
        <f t="shared" si="152"/>
        <v>8615.3835491988648</v>
      </c>
      <c r="I772" s="3">
        <f t="shared" si="153"/>
        <v>55274.974415833989</v>
      </c>
      <c r="J772" s="3">
        <f t="shared" si="154"/>
        <v>55942.359892758439</v>
      </c>
      <c r="K772" s="3">
        <f t="shared" si="155"/>
        <v>-31384.616450801135</v>
      </c>
      <c r="L772" s="3">
        <f t="shared" si="156"/>
        <v>60274.974415833989</v>
      </c>
      <c r="M772" s="3">
        <f t="shared" si="157"/>
        <v>67956.358720824195</v>
      </c>
      <c r="N772" s="3">
        <f t="shared" si="158"/>
        <v>-16384.616450801135</v>
      </c>
      <c r="O772" s="3">
        <f t="shared" si="159"/>
        <v>10274.974415833989</v>
      </c>
      <c r="P772" s="3">
        <f t="shared" si="160"/>
        <v>19339.874753625118</v>
      </c>
    </row>
    <row r="773" spans="1:16" x14ac:dyDescent="0.25">
      <c r="A773">
        <f t="shared" si="147"/>
        <v>348.5</v>
      </c>
      <c r="B773">
        <f t="shared" si="148"/>
        <v>3221.7380587779198</v>
      </c>
      <c r="C773">
        <f t="shared" si="149"/>
        <v>-33013.595553744701</v>
      </c>
      <c r="D773">
        <f t="shared" si="150"/>
        <v>-16325.756784046431</v>
      </c>
      <c r="E773">
        <f t="shared" si="151"/>
        <v>14522.757724178571</v>
      </c>
      <c r="F773">
        <f>$C$23*(H773/(J773^2+$C$24^2)^1.5)+$C$32*(K773/(M773^2+$C$33^2)^1.5)+C$41*(N773/(P773^2+$C$42^2)^1.5)</f>
        <v>-16135.00226359258</v>
      </c>
      <c r="G773">
        <f>$C$23*(I773/(J773^2+$C$24^2)^1.5)+$C$32*(L773/(M773^2+$C$33^2)^1.5)+C$41*(O773/(P773^2+$C$42^2)^1.5)</f>
        <v>9070.2206366743758</v>
      </c>
      <c r="H773" s="3">
        <f t="shared" si="152"/>
        <v>16778.261941222081</v>
      </c>
      <c r="I773" s="3">
        <f t="shared" si="153"/>
        <v>48013.595553744701</v>
      </c>
      <c r="J773" s="3">
        <f t="shared" si="154"/>
        <v>50860.745489688161</v>
      </c>
      <c r="K773" s="3">
        <f t="shared" si="155"/>
        <v>-23221.738058777919</v>
      </c>
      <c r="L773" s="3">
        <f t="shared" si="156"/>
        <v>53013.595553744701</v>
      </c>
      <c r="M773" s="3">
        <f t="shared" si="157"/>
        <v>57876.510192015849</v>
      </c>
      <c r="N773" s="3">
        <f t="shared" si="158"/>
        <v>-8221.7380587779189</v>
      </c>
      <c r="O773" s="3">
        <f t="shared" si="159"/>
        <v>3013.5955537447007</v>
      </c>
      <c r="P773" s="3">
        <f t="shared" si="160"/>
        <v>8756.6394734913647</v>
      </c>
    </row>
    <row r="774" spans="1:16" x14ac:dyDescent="0.25">
      <c r="A774">
        <f t="shared" si="147"/>
        <v>349</v>
      </c>
      <c r="B774">
        <f t="shared" si="148"/>
        <v>-8974.89089914344</v>
      </c>
      <c r="C774">
        <f t="shared" si="149"/>
        <v>-23484.661532486822</v>
      </c>
      <c r="D774">
        <f t="shared" si="150"/>
        <v>-24393.257915842722</v>
      </c>
      <c r="E774">
        <f t="shared" si="151"/>
        <v>19057.868042515758</v>
      </c>
      <c r="F774">
        <f>$C$23*(H774/(J774^2+$C$24^2)^1.5)+$C$32*(K774/(M774^2+$C$33^2)^1.5)+C$41*(N774/(P774^2+$C$42^2)^1.5)</f>
        <v>7024.6069540617045</v>
      </c>
      <c r="G774">
        <f>$C$23*(I774/(J774^2+$C$24^2)^1.5)+$C$32*(L774/(M774^2+$C$33^2)^1.5)+C$41*(O774/(P774^2+$C$42^2)^1.5)</f>
        <v>-7723.3472393437851</v>
      </c>
      <c r="H774" s="3">
        <f t="shared" si="152"/>
        <v>28974.89089914344</v>
      </c>
      <c r="I774" s="3">
        <f t="shared" si="153"/>
        <v>38484.661532486818</v>
      </c>
      <c r="J774" s="3">
        <f t="shared" si="154"/>
        <v>48172.746194163934</v>
      </c>
      <c r="K774" s="3">
        <f t="shared" si="155"/>
        <v>-11025.10910085656</v>
      </c>
      <c r="L774" s="3">
        <f t="shared" si="156"/>
        <v>43484.661532486818</v>
      </c>
      <c r="M774" s="3">
        <f t="shared" si="157"/>
        <v>44860.548584259741</v>
      </c>
      <c r="N774" s="3">
        <f t="shared" si="158"/>
        <v>3974.89089914344</v>
      </c>
      <c r="O774" s="3">
        <f t="shared" si="159"/>
        <v>-6515.3384675131783</v>
      </c>
      <c r="P774" s="3">
        <f t="shared" si="160"/>
        <v>7632.12899565713</v>
      </c>
    </row>
    <row r="775" spans="1:16" x14ac:dyDescent="0.25">
      <c r="A775">
        <f t="shared" si="147"/>
        <v>349.5</v>
      </c>
      <c r="B775">
        <f t="shared" si="148"/>
        <v>-19415.368118549373</v>
      </c>
      <c r="C775">
        <f t="shared" si="149"/>
        <v>-15886.564321064889</v>
      </c>
      <c r="D775">
        <f t="shared" si="150"/>
        <v>-20880.95443881187</v>
      </c>
      <c r="E775">
        <f t="shared" si="151"/>
        <v>15196.194422843866</v>
      </c>
      <c r="F775">
        <f>$C$23*(H775/(J775^2+$C$24^2)^1.5)+$C$32*(K775/(M775^2+$C$33^2)^1.5)+C$41*(N775/(P775^2+$C$42^2)^1.5)</f>
        <v>5310.9952414275149</v>
      </c>
      <c r="G775">
        <f>$C$23*(I775/(J775^2+$C$24^2)^1.5)+$C$32*(L775/(M775^2+$C$33^2)^1.5)+C$41*(O775/(P775^2+$C$42^2)^1.5)</f>
        <v>3567.1695875078212</v>
      </c>
      <c r="H775" s="3">
        <f t="shared" si="152"/>
        <v>39415.368118549377</v>
      </c>
      <c r="I775" s="3">
        <f t="shared" si="153"/>
        <v>30886.564321064889</v>
      </c>
      <c r="J775" s="3">
        <f t="shared" si="154"/>
        <v>50075.454061646182</v>
      </c>
      <c r="K775" s="3">
        <f t="shared" si="155"/>
        <v>-584.63188145062668</v>
      </c>
      <c r="L775" s="3">
        <f t="shared" si="156"/>
        <v>35886.564321064885</v>
      </c>
      <c r="M775" s="3">
        <f t="shared" si="157"/>
        <v>35891.326155587172</v>
      </c>
      <c r="N775" s="3">
        <f t="shared" si="158"/>
        <v>14415.368118549373</v>
      </c>
      <c r="O775" s="3">
        <f t="shared" si="159"/>
        <v>-14113.435678935111</v>
      </c>
      <c r="P775" s="3">
        <f t="shared" si="160"/>
        <v>20174.040365200231</v>
      </c>
    </row>
    <row r="776" spans="1:16" x14ac:dyDescent="0.25">
      <c r="A776">
        <f t="shared" si="147"/>
        <v>350</v>
      </c>
      <c r="B776">
        <f t="shared" si="148"/>
        <v>-28528.096527598431</v>
      </c>
      <c r="C776">
        <f t="shared" si="149"/>
        <v>-7396.6747127660001</v>
      </c>
      <c r="D776">
        <f t="shared" si="150"/>
        <v>-18225.456818098111</v>
      </c>
      <c r="E776">
        <f t="shared" si="151"/>
        <v>16979.779216597777</v>
      </c>
      <c r="F776">
        <f>$C$23*(H776/(J776^2+$C$24^2)^1.5)+$C$32*(K776/(M776^2+$C$33^2)^1.5)+C$41*(N776/(P776^2+$C$42^2)^1.5)</f>
        <v>6196.4820768630088</v>
      </c>
      <c r="G776">
        <f>$C$23*(I776/(J776^2+$C$24^2)^1.5)+$C$32*(L776/(M776^2+$C$33^2)^1.5)+C$41*(O776/(P776^2+$C$42^2)^1.5)</f>
        <v>9104.264738664082</v>
      </c>
      <c r="H776" s="3">
        <f t="shared" si="152"/>
        <v>48528.096527598434</v>
      </c>
      <c r="I776" s="3">
        <f t="shared" si="153"/>
        <v>22396.674712765998</v>
      </c>
      <c r="J776" s="3">
        <f t="shared" si="154"/>
        <v>53447.050346874741</v>
      </c>
      <c r="K776" s="3">
        <f t="shared" si="155"/>
        <v>8528.0965275984308</v>
      </c>
      <c r="L776" s="3">
        <f t="shared" si="156"/>
        <v>27396.674712765998</v>
      </c>
      <c r="M776" s="3">
        <f t="shared" si="157"/>
        <v>28693.313083384921</v>
      </c>
      <c r="N776" s="3">
        <f t="shared" si="158"/>
        <v>23528.096527598431</v>
      </c>
      <c r="O776" s="3">
        <f t="shared" si="159"/>
        <v>-22603.325287234002</v>
      </c>
      <c r="P776" s="3">
        <f t="shared" si="160"/>
        <v>32626.394839952842</v>
      </c>
    </row>
    <row r="777" spans="1:16" x14ac:dyDescent="0.25">
      <c r="A777">
        <f t="shared" si="147"/>
        <v>350.5</v>
      </c>
      <c r="B777">
        <f t="shared" si="148"/>
        <v>-36091.704417431734</v>
      </c>
      <c r="C777">
        <f t="shared" si="149"/>
        <v>3369.281080198909</v>
      </c>
      <c r="D777">
        <f t="shared" si="150"/>
        <v>-15127.215779666607</v>
      </c>
      <c r="E777">
        <f t="shared" si="151"/>
        <v>21531.911585929818</v>
      </c>
      <c r="F777">
        <f>$C$23*(H777/(J777^2+$C$24^2)^1.5)+$C$32*(K777/(M777^2+$C$33^2)^1.5)+C$41*(N777/(P777^2+$C$42^2)^1.5)</f>
        <v>12280.452202116208</v>
      </c>
      <c r="G777">
        <f>$C$23*(I777/(J777^2+$C$24^2)^1.5)+$C$32*(L777/(M777^2+$C$33^2)^1.5)+C$41*(O777/(P777^2+$C$42^2)^1.5)</f>
        <v>9868.9314254766141</v>
      </c>
      <c r="H777" s="3">
        <f t="shared" si="152"/>
        <v>56091.704417431734</v>
      </c>
      <c r="I777" s="3">
        <f t="shared" si="153"/>
        <v>11630.718919801091</v>
      </c>
      <c r="J777" s="3">
        <f t="shared" si="154"/>
        <v>57284.840289940148</v>
      </c>
      <c r="K777" s="3">
        <f t="shared" si="155"/>
        <v>16091.704417431734</v>
      </c>
      <c r="L777" s="3">
        <f t="shared" si="156"/>
        <v>16630.718919801089</v>
      </c>
      <c r="M777" s="3">
        <f t="shared" si="157"/>
        <v>23141.386363989128</v>
      </c>
      <c r="N777" s="3">
        <f t="shared" si="158"/>
        <v>31091.704417431734</v>
      </c>
      <c r="O777" s="3">
        <f t="shared" si="159"/>
        <v>-33369.281080198911</v>
      </c>
      <c r="P777" s="3">
        <f t="shared" si="160"/>
        <v>45609.24252155768</v>
      </c>
    </row>
    <row r="778" spans="1:16" x14ac:dyDescent="0.25">
      <c r="A778">
        <f t="shared" si="147"/>
        <v>351</v>
      </c>
      <c r="B778">
        <f t="shared" si="148"/>
        <v>-40585.199256735985</v>
      </c>
      <c r="C778">
        <f t="shared" si="149"/>
        <v>16602.469729532972</v>
      </c>
      <c r="D778">
        <f t="shared" si="150"/>
        <v>-8986.9896786085028</v>
      </c>
      <c r="E778">
        <f t="shared" si="151"/>
        <v>26466.377298668125</v>
      </c>
      <c r="F778">
        <f>$C$23*(H778/(J778^2+$C$24^2)^1.5)+$C$32*(K778/(M778^2+$C$33^2)^1.5)+C$41*(N778/(P778^2+$C$42^2)^1.5)</f>
        <v>18001.215815799726</v>
      </c>
      <c r="G778">
        <f>$C$23*(I778/(J778^2+$C$24^2)^1.5)+$C$32*(L778/(M778^2+$C$33^2)^1.5)+C$41*(O778/(P778^2+$C$42^2)^1.5)</f>
        <v>1899.5777571095045</v>
      </c>
      <c r="H778" s="3">
        <f t="shared" si="152"/>
        <v>60585.199256735985</v>
      </c>
      <c r="I778" s="3">
        <f t="shared" si="153"/>
        <v>-1602.4697295329715</v>
      </c>
      <c r="J778" s="3">
        <f t="shared" si="154"/>
        <v>60606.388097398376</v>
      </c>
      <c r="K778" s="3">
        <f t="shared" si="155"/>
        <v>20585.199256735985</v>
      </c>
      <c r="L778" s="3">
        <f t="shared" si="156"/>
        <v>3397.5302704670285</v>
      </c>
      <c r="M778" s="3">
        <f t="shared" si="157"/>
        <v>20863.691916299558</v>
      </c>
      <c r="N778" s="3">
        <f t="shared" si="158"/>
        <v>35585.199256735985</v>
      </c>
      <c r="O778" s="3">
        <f t="shared" si="159"/>
        <v>-46602.469729532968</v>
      </c>
      <c r="P778" s="3">
        <f t="shared" si="160"/>
        <v>58635.284522492424</v>
      </c>
    </row>
    <row r="779" spans="1:16" x14ac:dyDescent="0.25">
      <c r="A779">
        <f t="shared" si="147"/>
        <v>351.5</v>
      </c>
      <c r="B779">
        <f t="shared" si="148"/>
        <v>-40578.390142090306</v>
      </c>
      <c r="C779">
        <f t="shared" si="149"/>
        <v>30310.55281814441</v>
      </c>
      <c r="D779">
        <f t="shared" si="150"/>
        <v>13.618229291359967</v>
      </c>
      <c r="E779">
        <f t="shared" si="151"/>
        <v>27416.166177222876</v>
      </c>
      <c r="F779">
        <f>$C$23*(H779/(J779^2+$C$24^2)^1.5)+$C$32*(K779/(M779^2+$C$33^2)^1.5)+C$41*(N779/(P779^2+$C$42^2)^1.5)</f>
        <v>14579.503534830759</v>
      </c>
      <c r="G779">
        <f>$C$23*(I779/(J779^2+$C$24^2)^1.5)+$C$32*(L779/(M779^2+$C$33^2)^1.5)+C$41*(O779/(P779^2+$C$42^2)^1.5)</f>
        <v>-7775.7679340505319</v>
      </c>
      <c r="H779" s="3">
        <f t="shared" si="152"/>
        <v>60578.390142090306</v>
      </c>
      <c r="I779" s="3">
        <f t="shared" si="153"/>
        <v>-15310.55281814441</v>
      </c>
      <c r="J779" s="3">
        <f t="shared" si="154"/>
        <v>62483.232789321119</v>
      </c>
      <c r="K779" s="3">
        <f t="shared" si="155"/>
        <v>20578.390142090306</v>
      </c>
      <c r="L779" s="3">
        <f t="shared" si="156"/>
        <v>-10310.55281814441</v>
      </c>
      <c r="M779" s="3">
        <f t="shared" si="157"/>
        <v>23016.899014763589</v>
      </c>
      <c r="N779" s="3">
        <f t="shared" si="158"/>
        <v>35578.390142090306</v>
      </c>
      <c r="O779" s="3">
        <f t="shared" si="159"/>
        <v>-60310.55281814441</v>
      </c>
      <c r="P779" s="3">
        <f t="shared" si="160"/>
        <v>70022.743636142783</v>
      </c>
    </row>
    <row r="780" spans="1:16" x14ac:dyDescent="0.25">
      <c r="A780">
        <f t="shared" si="147"/>
        <v>352</v>
      </c>
      <c r="B780">
        <f t="shared" si="148"/>
        <v>-36926.705143736937</v>
      </c>
      <c r="C780">
        <f t="shared" si="149"/>
        <v>42074.69392324322</v>
      </c>
      <c r="D780">
        <f t="shared" si="150"/>
        <v>7303.3699967067396</v>
      </c>
      <c r="E780">
        <f t="shared" si="151"/>
        <v>23528.282210197609</v>
      </c>
      <c r="F780">
        <f>$C$23*(H780/(J780^2+$C$24^2)^1.5)+$C$32*(K780/(M780^2+$C$33^2)^1.5)+C$41*(N780/(P780^2+$C$42^2)^1.5)</f>
        <v>7965.2014163020995</v>
      </c>
      <c r="G780">
        <f>$C$23*(I780/(J780^2+$C$24^2)^1.5)+$C$32*(L780/(M780^2+$C$33^2)^1.5)+C$41*(O780/(P780^2+$C$42^2)^1.5)</f>
        <v>-10544.145167035282</v>
      </c>
      <c r="H780" s="3">
        <f t="shared" si="152"/>
        <v>56926.705143736937</v>
      </c>
      <c r="I780" s="3">
        <f t="shared" si="153"/>
        <v>-27074.69392324322</v>
      </c>
      <c r="J780" s="3">
        <f t="shared" si="154"/>
        <v>63037.201790365572</v>
      </c>
      <c r="K780" s="3">
        <f t="shared" si="155"/>
        <v>16926.705143736937</v>
      </c>
      <c r="L780" s="3">
        <f t="shared" si="156"/>
        <v>-22074.69392324322</v>
      </c>
      <c r="M780" s="3">
        <f t="shared" si="157"/>
        <v>27817.358947748464</v>
      </c>
      <c r="N780" s="3">
        <f t="shared" si="158"/>
        <v>31926.705143736937</v>
      </c>
      <c r="O780" s="3">
        <f t="shared" si="159"/>
        <v>-72074.69392324322</v>
      </c>
      <c r="P780" s="3">
        <f t="shared" si="160"/>
        <v>78829.41078978272</v>
      </c>
    </row>
    <row r="781" spans="1:16" x14ac:dyDescent="0.25">
      <c r="A781">
        <f t="shared" si="147"/>
        <v>352.5</v>
      </c>
      <c r="B781">
        <f t="shared" si="148"/>
        <v>-31283.719791308045</v>
      </c>
      <c r="C781">
        <f t="shared" si="149"/>
        <v>51202.798736583201</v>
      </c>
      <c r="D781">
        <f t="shared" si="150"/>
        <v>11285.970704857789</v>
      </c>
      <c r="E781">
        <f t="shared" si="151"/>
        <v>18256.209626679967</v>
      </c>
      <c r="F781">
        <f>$C$23*(H781/(J781^2+$C$24^2)^1.5)+$C$32*(K781/(M781^2+$C$33^2)^1.5)+C$41*(N781/(P781^2+$C$42^2)^1.5)</f>
        <v>3584.9397763096754</v>
      </c>
      <c r="G781">
        <f>$C$23*(I781/(J781^2+$C$24^2)^1.5)+$C$32*(L781/(M781^2+$C$33^2)^1.5)+C$41*(O781/(P781^2+$C$42^2)^1.5)</f>
        <v>-9748.222312506763</v>
      </c>
      <c r="H781" s="3">
        <f t="shared" si="152"/>
        <v>51283.719791308045</v>
      </c>
      <c r="I781" s="3">
        <f t="shared" si="153"/>
        <v>-36202.798736583201</v>
      </c>
      <c r="J781" s="3">
        <f t="shared" si="154"/>
        <v>62774.696749526003</v>
      </c>
      <c r="K781" s="3">
        <f t="shared" si="155"/>
        <v>11283.719791308045</v>
      </c>
      <c r="L781" s="3">
        <f t="shared" si="156"/>
        <v>-31202.798736583201</v>
      </c>
      <c r="M781" s="3">
        <f t="shared" si="157"/>
        <v>33180.370421748987</v>
      </c>
      <c r="N781" s="3">
        <f t="shared" si="158"/>
        <v>26283.719791308045</v>
      </c>
      <c r="O781" s="3">
        <f t="shared" si="159"/>
        <v>-81202.798736583209</v>
      </c>
      <c r="P781" s="3">
        <f t="shared" si="160"/>
        <v>85350.620669811397</v>
      </c>
    </row>
    <row r="782" spans="1:16" x14ac:dyDescent="0.25">
      <c r="A782">
        <f t="shared" ref="A782:A845" si="161">A781+$C$5</f>
        <v>353</v>
      </c>
      <c r="B782">
        <f t="shared" ref="B782:B845" si="162">B781+D781*(A782-A781)+F781*(A782-A781)^2</f>
        <v>-24744.49949480173</v>
      </c>
      <c r="C782">
        <f t="shared" ref="C782:C845" si="163">C781+E781*(A782-A781)+G781*(A782-A781)^2</f>
        <v>57893.847971796495</v>
      </c>
      <c r="D782">
        <f t="shared" ref="D782:D845" si="164">D781+F781*(A782-A781)</f>
        <v>13078.440593012627</v>
      </c>
      <c r="E782">
        <f t="shared" ref="E782:E845" si="165">E781+G781*(A782-A781)</f>
        <v>13382.098470426587</v>
      </c>
      <c r="F782">
        <f>$C$23*(H782/(J782^2+$C$24^2)^1.5)+$C$32*(K782/(M782^2+$C$33^2)^1.5)+C$41*(N782/(P782^2+$C$42^2)^1.5)</f>
        <v>1179.5724050819595</v>
      </c>
      <c r="G782">
        <f>$C$23*(I782/(J782^2+$C$24^2)^1.5)+$C$32*(L782/(M782^2+$C$33^2)^1.5)+C$41*(O782/(P782^2+$C$42^2)^1.5)</f>
        <v>-8343.6948515002241</v>
      </c>
      <c r="H782" s="3">
        <f t="shared" ref="H782:H845" si="166">$C$19-B782</f>
        <v>44744.499494801727</v>
      </c>
      <c r="I782" s="3">
        <f t="shared" ref="I782:I845" si="167">$D$19-C782</f>
        <v>-42893.847971796495</v>
      </c>
      <c r="J782" s="3">
        <f t="shared" ref="J782:J845" si="168">SQRT(H782^2+I782^2)</f>
        <v>61983.485130056237</v>
      </c>
      <c r="K782" s="3">
        <f t="shared" ref="K782:K845" si="169">$C$28-B782</f>
        <v>4744.4994948017302</v>
      </c>
      <c r="L782" s="3">
        <f t="shared" ref="L782:L845" si="170">$D$28-C782</f>
        <v>-37893.847971796495</v>
      </c>
      <c r="M782" s="3">
        <f t="shared" ref="M782:M845" si="171">SQRT(K782^2+L782^2)</f>
        <v>38189.71051953391</v>
      </c>
      <c r="N782" s="3">
        <f t="shared" ref="N782:N845" si="172">$C$37-B782</f>
        <v>19744.49949480173</v>
      </c>
      <c r="O782" s="3">
        <f t="shared" ref="O782:O845" si="173">$D$37-C782</f>
        <v>-87893.847971796495</v>
      </c>
      <c r="P782" s="3">
        <f t="shared" ref="P782:P845" si="174">SQRT(N782^2+O782^2)</f>
        <v>90084.25928867652</v>
      </c>
    </row>
    <row r="783" spans="1:16" x14ac:dyDescent="0.25">
      <c r="A783">
        <f t="shared" si="161"/>
        <v>353.5</v>
      </c>
      <c r="B783">
        <f t="shared" si="162"/>
        <v>-17910.386097024926</v>
      </c>
      <c r="C783">
        <f t="shared" si="163"/>
        <v>62498.973494134734</v>
      </c>
      <c r="D783">
        <f t="shared" si="164"/>
        <v>13668.226795553606</v>
      </c>
      <c r="E783">
        <f t="shared" si="165"/>
        <v>9210.2510446764754</v>
      </c>
      <c r="F783">
        <f>$C$23*(H783/(J783^2+$C$24^2)^1.5)+$C$32*(K783/(M783^2+$C$33^2)^1.5)+C$41*(N783/(P783^2+$C$42^2)^1.5)</f>
        <v>-168.87000992950459</v>
      </c>
      <c r="G783">
        <f>$C$23*(I783/(J783^2+$C$24^2)^1.5)+$C$32*(L783/(M783^2+$C$33^2)^1.5)+C$41*(O783/(P783^2+$C$42^2)^1.5)</f>
        <v>-7119.4443486794407</v>
      </c>
      <c r="H783" s="3">
        <f t="shared" si="166"/>
        <v>37910.386097024922</v>
      </c>
      <c r="I783" s="3">
        <f t="shared" si="167"/>
        <v>-47498.973494134734</v>
      </c>
      <c r="J783" s="3">
        <f t="shared" si="168"/>
        <v>60772.936880012756</v>
      </c>
      <c r="K783" s="3">
        <f t="shared" si="169"/>
        <v>-2089.6139029750739</v>
      </c>
      <c r="L783" s="3">
        <f t="shared" si="170"/>
        <v>-42498.973494134734</v>
      </c>
      <c r="M783" s="3">
        <f t="shared" si="171"/>
        <v>42550.314150646096</v>
      </c>
      <c r="N783" s="3">
        <f t="shared" si="172"/>
        <v>12910.386097024926</v>
      </c>
      <c r="O783" s="3">
        <f t="shared" si="173"/>
        <v>-92498.973494134727</v>
      </c>
      <c r="P783" s="3">
        <f t="shared" si="174"/>
        <v>93395.600360203767</v>
      </c>
    </row>
    <row r="784" spans="1:16" x14ac:dyDescent="0.25">
      <c r="A784">
        <f t="shared" si="161"/>
        <v>354</v>
      </c>
      <c r="B784">
        <f t="shared" si="162"/>
        <v>-11118.490201730498</v>
      </c>
      <c r="C784">
        <f t="shared" si="163"/>
        <v>65324.237929303112</v>
      </c>
      <c r="D784">
        <f t="shared" si="164"/>
        <v>13583.791790588853</v>
      </c>
      <c r="E784">
        <f t="shared" si="165"/>
        <v>5650.5288703367551</v>
      </c>
      <c r="F784">
        <f>$C$23*(H784/(J784^2+$C$24^2)^1.5)+$C$32*(K784/(M784^2+$C$33^2)^1.5)+C$41*(N784/(P784^2+$C$42^2)^1.5)</f>
        <v>-989.69194596376826</v>
      </c>
      <c r="G784">
        <f>$C$23*(I784/(J784^2+$C$24^2)^1.5)+$C$32*(L784/(M784^2+$C$33^2)^1.5)+C$41*(O784/(P784^2+$C$42^2)^1.5)</f>
        <v>-6171.9676638357241</v>
      </c>
      <c r="H784" s="3">
        <f t="shared" si="166"/>
        <v>31118.490201730499</v>
      </c>
      <c r="I784" s="3">
        <f t="shared" si="167"/>
        <v>-50324.237929303112</v>
      </c>
      <c r="J784" s="3">
        <f t="shared" si="168"/>
        <v>59168.313780268465</v>
      </c>
      <c r="K784" s="3">
        <f t="shared" si="169"/>
        <v>-8881.5097982695024</v>
      </c>
      <c r="L784" s="3">
        <f t="shared" si="170"/>
        <v>-45324.237929303112</v>
      </c>
      <c r="M784" s="3">
        <f t="shared" si="171"/>
        <v>46186.229118307936</v>
      </c>
      <c r="N784" s="3">
        <f t="shared" si="172"/>
        <v>6118.4902017304976</v>
      </c>
      <c r="O784" s="3">
        <f t="shared" si="173"/>
        <v>-95324.237929303112</v>
      </c>
      <c r="P784" s="3">
        <f t="shared" si="174"/>
        <v>95520.397084345619</v>
      </c>
    </row>
    <row r="785" spans="1:16" x14ac:dyDescent="0.25">
      <c r="A785">
        <f t="shared" si="161"/>
        <v>354.5</v>
      </c>
      <c r="B785">
        <f t="shared" si="162"/>
        <v>-4574.0172929270129</v>
      </c>
      <c r="C785">
        <f t="shared" si="163"/>
        <v>66606.510448512563</v>
      </c>
      <c r="D785">
        <f t="shared" si="164"/>
        <v>13088.945817606969</v>
      </c>
      <c r="E785">
        <f t="shared" si="165"/>
        <v>2564.545038418893</v>
      </c>
      <c r="F785">
        <f>$C$23*(H785/(J785^2+$C$24^2)^1.5)+$C$32*(K785/(M785^2+$C$33^2)^1.5)+C$41*(N785/(P785^2+$C$42^2)^1.5)</f>
        <v>-1546.0065109890572</v>
      </c>
      <c r="G785">
        <f>$C$23*(I785/(J785^2+$C$24^2)^1.5)+$C$32*(L785/(M785^2+$C$33^2)^1.5)+C$41*(O785/(P785^2+$C$42^2)^1.5)</f>
        <v>-5455.6128535277167</v>
      </c>
      <c r="H785" s="3">
        <f t="shared" si="166"/>
        <v>24574.017292927012</v>
      </c>
      <c r="I785" s="3">
        <f t="shared" si="167"/>
        <v>-51606.510448512563</v>
      </c>
      <c r="J785" s="3">
        <f t="shared" si="168"/>
        <v>57158.676039473765</v>
      </c>
      <c r="K785" s="3">
        <f t="shared" si="169"/>
        <v>-15425.982707072988</v>
      </c>
      <c r="L785" s="3">
        <f t="shared" si="170"/>
        <v>-46606.510448512563</v>
      </c>
      <c r="M785" s="3">
        <f t="shared" si="171"/>
        <v>49093.052040652612</v>
      </c>
      <c r="N785" s="3">
        <f t="shared" si="172"/>
        <v>-425.98270707298707</v>
      </c>
      <c r="O785" s="3">
        <f t="shared" si="173"/>
        <v>-96606.510448512563</v>
      </c>
      <c r="P785" s="3">
        <f t="shared" si="174"/>
        <v>96607.449621161679</v>
      </c>
    </row>
    <row r="786" spans="1:16" x14ac:dyDescent="0.25">
      <c r="A786">
        <f t="shared" si="161"/>
        <v>355</v>
      </c>
      <c r="B786">
        <f t="shared" si="162"/>
        <v>1583.9539881292073</v>
      </c>
      <c r="C786">
        <f t="shared" si="163"/>
        <v>66524.879754340087</v>
      </c>
      <c r="D786">
        <f t="shared" si="164"/>
        <v>12315.942562112441</v>
      </c>
      <c r="E786">
        <f t="shared" si="165"/>
        <v>-163.26138834496533</v>
      </c>
      <c r="F786">
        <f>$C$23*(H786/(J786^2+$C$24^2)^1.5)+$C$32*(K786/(M786^2+$C$33^2)^1.5)+C$41*(N786/(P786^2+$C$42^2)^1.5)</f>
        <v>-1971.636991592628</v>
      </c>
      <c r="G786">
        <f>$C$23*(I786/(J786^2+$C$24^2)^1.5)+$C$32*(L786/(M786^2+$C$33^2)^1.5)+C$41*(O786/(P786^2+$C$42^2)^1.5)</f>
        <v>-4912.6668977829322</v>
      </c>
      <c r="H786" s="3">
        <f t="shared" si="166"/>
        <v>18416.046011870792</v>
      </c>
      <c r="I786" s="3">
        <f t="shared" si="167"/>
        <v>-51524.879754340087</v>
      </c>
      <c r="J786" s="3">
        <f t="shared" si="168"/>
        <v>54717.126975112165</v>
      </c>
      <c r="K786" s="3">
        <f t="shared" si="169"/>
        <v>-21583.953988129208</v>
      </c>
      <c r="L786" s="3">
        <f t="shared" si="170"/>
        <v>-46524.879754340087</v>
      </c>
      <c r="M786" s="3">
        <f t="shared" si="171"/>
        <v>51287.732509026784</v>
      </c>
      <c r="N786" s="3">
        <f t="shared" si="172"/>
        <v>-6583.9539881292076</v>
      </c>
      <c r="O786" s="3">
        <f t="shared" si="173"/>
        <v>-96524.879754340087</v>
      </c>
      <c r="P786" s="3">
        <f t="shared" si="174"/>
        <v>96749.164656381472</v>
      </c>
    </row>
    <row r="787" spans="1:16" x14ac:dyDescent="0.25">
      <c r="A787">
        <f t="shared" si="161"/>
        <v>355.5</v>
      </c>
      <c r="B787">
        <f t="shared" si="162"/>
        <v>7249.0160212872706</v>
      </c>
      <c r="C787">
        <f t="shared" si="163"/>
        <v>65215.082335721876</v>
      </c>
      <c r="D787">
        <f t="shared" si="164"/>
        <v>11330.124066316126</v>
      </c>
      <c r="E787">
        <f t="shared" si="165"/>
        <v>-2619.5948372364314</v>
      </c>
      <c r="F787">
        <f>$C$23*(H787/(J787^2+$C$24^2)^1.5)+$C$32*(K787/(M787^2+$C$33^2)^1.5)+C$41*(N787/(P787^2+$C$42^2)^1.5)</f>
        <v>-2340.2180802621133</v>
      </c>
      <c r="G787">
        <f>$C$23*(I787/(J787^2+$C$24^2)^1.5)+$C$32*(L787/(M787^2+$C$33^2)^1.5)+C$41*(O787/(P787^2+$C$42^2)^1.5)</f>
        <v>-4497.0922991339312</v>
      </c>
      <c r="H787" s="3">
        <f t="shared" si="166"/>
        <v>12750.983978712729</v>
      </c>
      <c r="I787" s="3">
        <f t="shared" si="167"/>
        <v>-50215.082335721876</v>
      </c>
      <c r="J787" s="3">
        <f t="shared" si="168"/>
        <v>51808.70666604906</v>
      </c>
      <c r="K787" s="3">
        <f t="shared" si="169"/>
        <v>-27249.016021287272</v>
      </c>
      <c r="L787" s="3">
        <f t="shared" si="170"/>
        <v>-45215.082335721876</v>
      </c>
      <c r="M787" s="3">
        <f t="shared" si="171"/>
        <v>52791.216549294251</v>
      </c>
      <c r="N787" s="3">
        <f t="shared" si="172"/>
        <v>-12249.016021287271</v>
      </c>
      <c r="O787" s="3">
        <f t="shared" si="173"/>
        <v>-95215.082335721876</v>
      </c>
      <c r="P787" s="3">
        <f t="shared" si="174"/>
        <v>95999.741133442891</v>
      </c>
    </row>
    <row r="788" spans="1:16" x14ac:dyDescent="0.25">
      <c r="A788">
        <f t="shared" si="161"/>
        <v>356</v>
      </c>
      <c r="B788">
        <f t="shared" si="162"/>
        <v>12329.023534379805</v>
      </c>
      <c r="C788">
        <f t="shared" si="163"/>
        <v>62781.011842320178</v>
      </c>
      <c r="D788">
        <f t="shared" si="164"/>
        <v>10160.015026185069</v>
      </c>
      <c r="E788">
        <f t="shared" si="165"/>
        <v>-4868.140986803397</v>
      </c>
      <c r="F788">
        <f>$C$23*(H788/(J788^2+$C$24^2)^1.5)+$C$32*(K788/(M788^2+$C$33^2)^1.5)+C$41*(N788/(P788^2+$C$42^2)^1.5)</f>
        <v>-2697.4912921785781</v>
      </c>
      <c r="G788">
        <f>$C$23*(I788/(J788^2+$C$24^2)^1.5)+$C$32*(L788/(M788^2+$C$33^2)^1.5)+C$41*(O788/(P788^2+$C$42^2)^1.5)</f>
        <v>-4175.2041783875193</v>
      </c>
      <c r="H788" s="3">
        <f t="shared" si="166"/>
        <v>7670.9764656201951</v>
      </c>
      <c r="I788" s="3">
        <f t="shared" si="167"/>
        <v>-47781.011842320178</v>
      </c>
      <c r="J788" s="3">
        <f t="shared" si="168"/>
        <v>48392.860760777927</v>
      </c>
      <c r="K788" s="3">
        <f t="shared" si="169"/>
        <v>-32329.023534379805</v>
      </c>
      <c r="L788" s="3">
        <f t="shared" si="170"/>
        <v>-42781.011842320178</v>
      </c>
      <c r="M788" s="3">
        <f t="shared" si="171"/>
        <v>53622.576746546067</v>
      </c>
      <c r="N788" s="3">
        <f t="shared" si="172"/>
        <v>-17329.023534379805</v>
      </c>
      <c r="O788" s="3">
        <f t="shared" si="173"/>
        <v>-92781.011842320178</v>
      </c>
      <c r="P788" s="3">
        <f t="shared" si="174"/>
        <v>94385.439635252245</v>
      </c>
    </row>
    <row r="789" spans="1:16" x14ac:dyDescent="0.25">
      <c r="A789">
        <f t="shared" si="161"/>
        <v>356.5</v>
      </c>
      <c r="B789">
        <f t="shared" si="162"/>
        <v>16734.658224427694</v>
      </c>
      <c r="C789">
        <f t="shared" si="163"/>
        <v>59303.140304321598</v>
      </c>
      <c r="D789">
        <f t="shared" si="164"/>
        <v>8811.2693800957786</v>
      </c>
      <c r="E789">
        <f t="shared" si="165"/>
        <v>-6955.7430759971567</v>
      </c>
      <c r="F789">
        <f>$C$23*(H789/(J789^2+$C$24^2)^1.5)+$C$32*(K789/(M789^2+$C$33^2)^1.5)+C$41*(N789/(P789^2+$C$42^2)^1.5)</f>
        <v>-3077.1909482237552</v>
      </c>
      <c r="G789">
        <f>$C$23*(I789/(J789^2+$C$24^2)^1.5)+$C$32*(L789/(M789^2+$C$33^2)^1.5)+C$41*(O789/(P789^2+$C$42^2)^1.5)</f>
        <v>-3922.585889023097</v>
      </c>
      <c r="H789" s="3">
        <f t="shared" si="166"/>
        <v>3265.3417755723058</v>
      </c>
      <c r="I789" s="3">
        <f t="shared" si="167"/>
        <v>-44303.140304321598</v>
      </c>
      <c r="J789" s="3">
        <f t="shared" si="168"/>
        <v>44423.312547982081</v>
      </c>
      <c r="K789" s="3">
        <f t="shared" si="169"/>
        <v>-36734.658224427694</v>
      </c>
      <c r="L789" s="3">
        <f t="shared" si="170"/>
        <v>-39303.140304321598</v>
      </c>
      <c r="M789" s="3">
        <f t="shared" si="171"/>
        <v>53797.508795916394</v>
      </c>
      <c r="N789" s="3">
        <f t="shared" si="172"/>
        <v>-21734.658224427694</v>
      </c>
      <c r="O789" s="3">
        <f t="shared" si="173"/>
        <v>-89303.140304321598</v>
      </c>
      <c r="P789" s="3">
        <f t="shared" si="174"/>
        <v>91909.989861527196</v>
      </c>
    </row>
    <row r="790" spans="1:16" x14ac:dyDescent="0.25">
      <c r="A790">
        <f t="shared" si="161"/>
        <v>357</v>
      </c>
      <c r="B790">
        <f t="shared" si="162"/>
        <v>20370.995177419645</v>
      </c>
      <c r="C790">
        <f t="shared" si="163"/>
        <v>54844.622294067245</v>
      </c>
      <c r="D790">
        <f t="shared" si="164"/>
        <v>7272.673905983901</v>
      </c>
      <c r="E790">
        <f t="shared" si="165"/>
        <v>-8917.0360205087054</v>
      </c>
      <c r="F790">
        <f>$C$23*(H790/(J790^2+$C$24^2)^1.5)+$C$32*(K790/(M790^2+$C$33^2)^1.5)+C$41*(N790/(P790^2+$C$42^2)^1.5)</f>
        <v>-3510.0858054689588</v>
      </c>
      <c r="G790">
        <f>$C$23*(I790/(J790^2+$C$24^2)^1.5)+$C$32*(L790/(M790^2+$C$33^2)^1.5)+C$41*(O790/(P790^2+$C$42^2)^1.5)</f>
        <v>-3721.6416157459298</v>
      </c>
      <c r="H790" s="3">
        <f t="shared" si="166"/>
        <v>-370.99517741964519</v>
      </c>
      <c r="I790" s="3">
        <f t="shared" si="167"/>
        <v>-39844.622294067245</v>
      </c>
      <c r="J790" s="3">
        <f t="shared" si="168"/>
        <v>39846.349433524636</v>
      </c>
      <c r="K790" s="3">
        <f t="shared" si="169"/>
        <v>-40370.995177419645</v>
      </c>
      <c r="L790" s="3">
        <f t="shared" si="170"/>
        <v>-34844.622294067245</v>
      </c>
      <c r="M790" s="3">
        <f t="shared" si="171"/>
        <v>53328.837925004969</v>
      </c>
      <c r="N790" s="3">
        <f t="shared" si="172"/>
        <v>-25370.995177419645</v>
      </c>
      <c r="O790" s="3">
        <f t="shared" si="173"/>
        <v>-84844.622294067245</v>
      </c>
      <c r="P790" s="3">
        <f t="shared" si="174"/>
        <v>88556.746374940762</v>
      </c>
    </row>
    <row r="791" spans="1:16" x14ac:dyDescent="0.25">
      <c r="A791">
        <f t="shared" si="161"/>
        <v>357.5</v>
      </c>
      <c r="B791">
        <f t="shared" si="162"/>
        <v>23129.810679044356</v>
      </c>
      <c r="C791">
        <f t="shared" si="163"/>
        <v>49455.693879876409</v>
      </c>
      <c r="D791">
        <f t="shared" si="164"/>
        <v>5517.6310032494221</v>
      </c>
      <c r="E791">
        <f t="shared" si="165"/>
        <v>-10777.856828381671</v>
      </c>
      <c r="F791">
        <f>$C$23*(H791/(J791^2+$C$24^2)^1.5)+$C$32*(K791/(M791^2+$C$33^2)^1.5)+C$41*(N791/(P791^2+$C$42^2)^1.5)</f>
        <v>-4031.0599002727836</v>
      </c>
      <c r="G791">
        <f>$C$23*(I791/(J791^2+$C$24^2)^1.5)+$C$32*(L791/(M791^2+$C$33^2)^1.5)+C$41*(O791/(P791^2+$C$42^2)^1.5)</f>
        <v>-3561.8322919873908</v>
      </c>
      <c r="H791" s="3">
        <f t="shared" si="166"/>
        <v>-3129.8106790443562</v>
      </c>
      <c r="I791" s="3">
        <f t="shared" si="167"/>
        <v>-34455.693879876409</v>
      </c>
      <c r="J791" s="3">
        <f t="shared" si="168"/>
        <v>34597.551295292746</v>
      </c>
      <c r="K791" s="3">
        <f t="shared" si="169"/>
        <v>-43129.810679044356</v>
      </c>
      <c r="L791" s="3">
        <f t="shared" si="170"/>
        <v>-29455.693879876409</v>
      </c>
      <c r="M791" s="3">
        <f t="shared" si="171"/>
        <v>52228.521625211615</v>
      </c>
      <c r="N791" s="3">
        <f t="shared" si="172"/>
        <v>-28129.810679044356</v>
      </c>
      <c r="O791" s="3">
        <f t="shared" si="173"/>
        <v>-79455.693879876402</v>
      </c>
      <c r="P791" s="3">
        <f t="shared" si="174"/>
        <v>84288.157761167764</v>
      </c>
    </row>
    <row r="792" spans="1:16" x14ac:dyDescent="0.25">
      <c r="A792">
        <f t="shared" si="161"/>
        <v>358</v>
      </c>
      <c r="B792">
        <f t="shared" si="162"/>
        <v>24880.861205600871</v>
      </c>
      <c r="C792">
        <f t="shared" si="163"/>
        <v>43176.307392688723</v>
      </c>
      <c r="D792">
        <f t="shared" si="164"/>
        <v>3502.1010531130305</v>
      </c>
      <c r="E792">
        <f t="shared" si="165"/>
        <v>-12558.772974375366</v>
      </c>
      <c r="F792">
        <f>$C$23*(H792/(J792^2+$C$24^2)^1.5)+$C$32*(K792/(M792^2+$C$33^2)^1.5)+C$41*(N792/(P792^2+$C$42^2)^1.5)</f>
        <v>-4688.9904739989161</v>
      </c>
      <c r="G792">
        <f>$C$23*(I792/(J792^2+$C$24^2)^1.5)+$C$32*(L792/(M792^2+$C$33^2)^1.5)+C$41*(O792/(P792^2+$C$42^2)^1.5)</f>
        <v>-3448.7715820976123</v>
      </c>
      <c r="H792" s="3">
        <f t="shared" si="166"/>
        <v>-4880.8612056008715</v>
      </c>
      <c r="I792" s="3">
        <f t="shared" si="167"/>
        <v>-28176.307392688723</v>
      </c>
      <c r="J792" s="3">
        <f t="shared" si="168"/>
        <v>28595.92810865954</v>
      </c>
      <c r="K792" s="3">
        <f t="shared" si="169"/>
        <v>-44880.861205600871</v>
      </c>
      <c r="L792" s="3">
        <f t="shared" si="170"/>
        <v>-23176.307392688723</v>
      </c>
      <c r="M792" s="3">
        <f t="shared" si="171"/>
        <v>50511.710789843644</v>
      </c>
      <c r="N792" s="3">
        <f t="shared" si="172"/>
        <v>-29880.861205600871</v>
      </c>
      <c r="O792" s="3">
        <f t="shared" si="173"/>
        <v>-73176.30739268873</v>
      </c>
      <c r="P792" s="3">
        <f t="shared" si="174"/>
        <v>79042.000417611227</v>
      </c>
    </row>
    <row r="793" spans="1:16" x14ac:dyDescent="0.25">
      <c r="A793">
        <f t="shared" si="161"/>
        <v>358.5</v>
      </c>
      <c r="B793">
        <f t="shared" si="162"/>
        <v>25459.664113657658</v>
      </c>
      <c r="C793">
        <f t="shared" si="163"/>
        <v>36034.728009976643</v>
      </c>
      <c r="D793">
        <f t="shared" si="164"/>
        <v>1157.6058161135725</v>
      </c>
      <c r="E793">
        <f t="shared" si="165"/>
        <v>-14283.158765424172</v>
      </c>
      <c r="F793">
        <f>$C$23*(H793/(J793^2+$C$24^2)^1.5)+$C$32*(K793/(M793^2+$C$33^2)^1.5)+C$41*(N793/(P793^2+$C$42^2)^1.5)</f>
        <v>-5575.1017163358156</v>
      </c>
      <c r="G793">
        <f>$C$23*(I793/(J793^2+$C$24^2)^1.5)+$C$32*(L793/(M793^2+$C$33^2)^1.5)+C$41*(O793/(P793^2+$C$42^2)^1.5)</f>
        <v>-3454.3109900914442</v>
      </c>
      <c r="H793" s="3">
        <f t="shared" si="166"/>
        <v>-5459.6641136576582</v>
      </c>
      <c r="I793" s="3">
        <f t="shared" si="167"/>
        <v>-21034.728009976643</v>
      </c>
      <c r="J793" s="3">
        <f t="shared" si="168"/>
        <v>21731.721392647596</v>
      </c>
      <c r="K793" s="3">
        <f t="shared" si="169"/>
        <v>-45459.664113657658</v>
      </c>
      <c r="L793" s="3">
        <f t="shared" si="170"/>
        <v>-16034.728009976643</v>
      </c>
      <c r="M793" s="3">
        <f t="shared" si="171"/>
        <v>48204.704787816132</v>
      </c>
      <c r="N793" s="3">
        <f t="shared" si="172"/>
        <v>-30459.664113657658</v>
      </c>
      <c r="O793" s="3">
        <f t="shared" si="173"/>
        <v>-66034.72800997665</v>
      </c>
      <c r="P793" s="3">
        <f t="shared" si="174"/>
        <v>72721.22414583269</v>
      </c>
    </row>
    <row r="794" spans="1:16" x14ac:dyDescent="0.25">
      <c r="A794">
        <f t="shared" si="161"/>
        <v>359</v>
      </c>
      <c r="B794">
        <f t="shared" si="162"/>
        <v>24644.69159263049</v>
      </c>
      <c r="C794">
        <f t="shared" si="163"/>
        <v>28029.570879741696</v>
      </c>
      <c r="D794">
        <f t="shared" si="164"/>
        <v>-1629.9450420543353</v>
      </c>
      <c r="E794">
        <f t="shared" si="165"/>
        <v>-16010.314260469895</v>
      </c>
      <c r="F794">
        <f>$C$23*(H794/(J794^2+$C$24^2)^1.5)+$C$32*(K794/(M794^2+$C$33^2)^1.5)+C$41*(N794/(P794^2+$C$42^2)^1.5)</f>
        <v>-6985.0048103964336</v>
      </c>
      <c r="G794">
        <f>$C$23*(I794/(J794^2+$C$24^2)^1.5)+$C$32*(L794/(M794^2+$C$33^2)^1.5)+C$41*(O794/(P794^2+$C$42^2)^1.5)</f>
        <v>-4033.1732783712769</v>
      </c>
      <c r="H794" s="3">
        <f t="shared" si="166"/>
        <v>-4644.69159263049</v>
      </c>
      <c r="I794" s="3">
        <f t="shared" si="167"/>
        <v>-13029.570879741696</v>
      </c>
      <c r="J794" s="3">
        <f t="shared" si="168"/>
        <v>13832.674264250754</v>
      </c>
      <c r="K794" s="3">
        <f t="shared" si="169"/>
        <v>-44644.691592630494</v>
      </c>
      <c r="L794" s="3">
        <f t="shared" si="170"/>
        <v>-8029.5708797416955</v>
      </c>
      <c r="M794" s="3">
        <f t="shared" si="171"/>
        <v>45361.023973383664</v>
      </c>
      <c r="N794" s="3">
        <f t="shared" si="172"/>
        <v>-29644.69159263049</v>
      </c>
      <c r="O794" s="3">
        <f t="shared" si="173"/>
        <v>-58029.570879741696</v>
      </c>
      <c r="P794" s="3">
        <f t="shared" si="174"/>
        <v>65163.170856774166</v>
      </c>
    </row>
    <row r="795" spans="1:16" x14ac:dyDescent="0.25">
      <c r="A795">
        <f t="shared" si="161"/>
        <v>359.5</v>
      </c>
      <c r="B795">
        <f t="shared" si="162"/>
        <v>22083.467869004213</v>
      </c>
      <c r="C795">
        <f t="shared" si="163"/>
        <v>19016.120429913928</v>
      </c>
      <c r="D795">
        <f t="shared" si="164"/>
        <v>-5122.4474472525526</v>
      </c>
      <c r="E795">
        <f t="shared" si="165"/>
        <v>-18026.900899655535</v>
      </c>
      <c r="F795">
        <f>$C$23*(H795/(J795^2+$C$24^2)^1.5)+$C$32*(K795/(M795^2+$C$33^2)^1.5)+C$41*(N795/(P795^2+$C$42^2)^1.5)</f>
        <v>-10840.889313076968</v>
      </c>
      <c r="G795">
        <f>$C$23*(I795/(J795^2+$C$24^2)^1.5)+$C$32*(L795/(M795^2+$C$33^2)^1.5)+C$41*(O795/(P795^2+$C$42^2)^1.5)</f>
        <v>-7817.7567669597929</v>
      </c>
      <c r="H795" s="3">
        <f t="shared" si="166"/>
        <v>-2083.4678690042128</v>
      </c>
      <c r="I795" s="3">
        <f t="shared" si="167"/>
        <v>-4016.1204299139281</v>
      </c>
      <c r="J795" s="3">
        <f t="shared" si="168"/>
        <v>4524.3852255024649</v>
      </c>
      <c r="K795" s="3">
        <f t="shared" si="169"/>
        <v>-42083.467869004213</v>
      </c>
      <c r="L795" s="3">
        <f t="shared" si="170"/>
        <v>983.87957008607191</v>
      </c>
      <c r="M795" s="3">
        <f t="shared" si="171"/>
        <v>42094.967477003032</v>
      </c>
      <c r="N795" s="3">
        <f t="shared" si="172"/>
        <v>-27083.467869004213</v>
      </c>
      <c r="O795" s="3">
        <f t="shared" si="173"/>
        <v>-49016.120429913928</v>
      </c>
      <c r="P795" s="3">
        <f t="shared" si="174"/>
        <v>56000.841902700078</v>
      </c>
    </row>
    <row r="796" spans="1:16" x14ac:dyDescent="0.25">
      <c r="A796">
        <f t="shared" si="161"/>
        <v>360</v>
      </c>
      <c r="B796">
        <f t="shared" si="162"/>
        <v>16812.021817108693</v>
      </c>
      <c r="C796">
        <f t="shared" si="163"/>
        <v>8048.2307883462126</v>
      </c>
      <c r="D796">
        <f t="shared" si="164"/>
        <v>-10542.892103791037</v>
      </c>
      <c r="E796">
        <f t="shared" si="165"/>
        <v>-21935.779283135431</v>
      </c>
      <c r="F796">
        <f>$C$23*(H796/(J796^2+$C$24^2)^1.5)+$C$32*(K796/(M796^2+$C$33^2)^1.5)+C$41*(N796/(P796^2+$C$42^2)^1.5)</f>
        <v>-6092.4651944286934</v>
      </c>
      <c r="G796">
        <f>$C$23*(I796/(J796^2+$C$24^2)^1.5)+$C$32*(L796/(M796^2+$C$33^2)^1.5)+C$41*(O796/(P796^2+$C$42^2)^1.5)</f>
        <v>5382.8535576683898</v>
      </c>
      <c r="H796" s="3">
        <f t="shared" si="166"/>
        <v>3187.9781828913074</v>
      </c>
      <c r="I796" s="3">
        <f t="shared" si="167"/>
        <v>6951.7692116537874</v>
      </c>
      <c r="J796" s="3">
        <f t="shared" si="168"/>
        <v>7647.8951396242664</v>
      </c>
      <c r="K796" s="3">
        <f t="shared" si="169"/>
        <v>-36812.021817108689</v>
      </c>
      <c r="L796" s="3">
        <f t="shared" si="170"/>
        <v>11951.769211653787</v>
      </c>
      <c r="M796" s="3">
        <f t="shared" si="171"/>
        <v>38703.614011509591</v>
      </c>
      <c r="N796" s="3">
        <f t="shared" si="172"/>
        <v>-21812.021817108693</v>
      </c>
      <c r="O796" s="3">
        <f t="shared" si="173"/>
        <v>-38048.230788346213</v>
      </c>
      <c r="P796" s="3">
        <f t="shared" si="174"/>
        <v>43856.95112377606</v>
      </c>
    </row>
    <row r="797" spans="1:16" x14ac:dyDescent="0.25">
      <c r="A797">
        <f t="shared" si="161"/>
        <v>360.5</v>
      </c>
      <c r="B797">
        <f t="shared" si="162"/>
        <v>10017.459466606</v>
      </c>
      <c r="C797">
        <f t="shared" si="163"/>
        <v>-1573.9454638044053</v>
      </c>
      <c r="D797">
        <f t="shared" si="164"/>
        <v>-13589.124701005383</v>
      </c>
      <c r="E797">
        <f t="shared" si="165"/>
        <v>-19244.352504301234</v>
      </c>
      <c r="F797">
        <f>$C$23*(H797/(J797^2+$C$24^2)^1.5)+$C$32*(K797/(M797^2+$C$33^2)^1.5)+C$41*(N797/(P797^2+$C$42^2)^1.5)</f>
        <v>-7677.214132393211</v>
      </c>
      <c r="G797">
        <f>$C$23*(I797/(J797^2+$C$24^2)^1.5)+$C$32*(L797/(M797^2+$C$33^2)^1.5)+C$41*(O797/(P797^2+$C$42^2)^1.5)</f>
        <v>2771.4049336482399</v>
      </c>
      <c r="H797" s="3">
        <f t="shared" si="166"/>
        <v>9982.5405333939998</v>
      </c>
      <c r="I797" s="3">
        <f t="shared" si="167"/>
        <v>16573.945463804404</v>
      </c>
      <c r="J797" s="3">
        <f t="shared" si="168"/>
        <v>19348.043408521098</v>
      </c>
      <c r="K797" s="3">
        <f t="shared" si="169"/>
        <v>-30017.459466606</v>
      </c>
      <c r="L797" s="3">
        <f t="shared" si="170"/>
        <v>21573.945463804404</v>
      </c>
      <c r="M797" s="3">
        <f t="shared" si="171"/>
        <v>36965.970779955729</v>
      </c>
      <c r="N797" s="3">
        <f t="shared" si="172"/>
        <v>-15017.459466606</v>
      </c>
      <c r="O797" s="3">
        <f t="shared" si="173"/>
        <v>-28426.054536195596</v>
      </c>
      <c r="P797" s="3">
        <f t="shared" si="174"/>
        <v>32149.100536810052</v>
      </c>
    </row>
    <row r="798" spans="1:16" x14ac:dyDescent="0.25">
      <c r="A798">
        <f t="shared" si="161"/>
        <v>361</v>
      </c>
      <c r="B798">
        <f t="shared" si="162"/>
        <v>1303.5935830050059</v>
      </c>
      <c r="C798">
        <f t="shared" si="163"/>
        <v>-10503.270482542961</v>
      </c>
      <c r="D798">
        <f t="shared" si="164"/>
        <v>-17427.731767201989</v>
      </c>
      <c r="E798">
        <f t="shared" si="165"/>
        <v>-17858.650037477113</v>
      </c>
      <c r="F798">
        <f>$C$23*(H798/(J798^2+$C$24^2)^1.5)+$C$32*(K798/(M798^2+$C$33^2)^1.5)+C$41*(N798/(P798^2+$C$42^2)^1.5)</f>
        <v>-6594.460561907481</v>
      </c>
      <c r="G798">
        <f>$C$23*(I798/(J798^2+$C$24^2)^1.5)+$C$32*(L798/(M798^2+$C$33^2)^1.5)+C$41*(O798/(P798^2+$C$42^2)^1.5)</f>
        <v>196.55623637101689</v>
      </c>
      <c r="H798" s="3">
        <f t="shared" si="166"/>
        <v>18696.406416994992</v>
      </c>
      <c r="I798" s="3">
        <f t="shared" si="167"/>
        <v>25503.270482542961</v>
      </c>
      <c r="J798" s="3">
        <f t="shared" si="168"/>
        <v>31622.340492367079</v>
      </c>
      <c r="K798" s="3">
        <f t="shared" si="169"/>
        <v>-21303.593583005008</v>
      </c>
      <c r="L798" s="3">
        <f t="shared" si="170"/>
        <v>30503.270482542961</v>
      </c>
      <c r="M798" s="3">
        <f t="shared" si="171"/>
        <v>37206.08296610957</v>
      </c>
      <c r="N798" s="3">
        <f t="shared" si="172"/>
        <v>-6303.5935830050057</v>
      </c>
      <c r="O798" s="3">
        <f t="shared" si="173"/>
        <v>-19496.729517457039</v>
      </c>
      <c r="P798" s="3">
        <f t="shared" si="174"/>
        <v>20490.43078943394</v>
      </c>
    </row>
    <row r="799" spans="1:16" x14ac:dyDescent="0.25">
      <c r="A799">
        <f t="shared" si="161"/>
        <v>361.5</v>
      </c>
      <c r="B799">
        <f t="shared" si="162"/>
        <v>-9058.8874410728586</v>
      </c>
      <c r="C799">
        <f t="shared" si="163"/>
        <v>-19383.456442188763</v>
      </c>
      <c r="D799">
        <f t="shared" si="164"/>
        <v>-20724.962048155729</v>
      </c>
      <c r="E799">
        <f t="shared" si="165"/>
        <v>-17760.371919291603</v>
      </c>
      <c r="F799">
        <f>$C$23*(H799/(J799^2+$C$24^2)^1.5)+$C$32*(K799/(M799^2+$C$33^2)^1.5)+C$41*(N799/(P799^2+$C$42^2)^1.5)</f>
        <v>3190.0357026231759</v>
      </c>
      <c r="G799">
        <f>$C$23*(I799/(J799^2+$C$24^2)^1.5)+$C$32*(L799/(M799^2+$C$33^2)^1.5)+C$41*(O799/(P799^2+$C$42^2)^1.5)</f>
        <v>-5878.1284553637224</v>
      </c>
      <c r="H799" s="3">
        <f t="shared" si="166"/>
        <v>29058.88744107286</v>
      </c>
      <c r="I799" s="3">
        <f t="shared" si="167"/>
        <v>34383.456442188763</v>
      </c>
      <c r="J799" s="3">
        <f t="shared" si="168"/>
        <v>45018.229821093963</v>
      </c>
      <c r="K799" s="3">
        <f t="shared" si="169"/>
        <v>-10941.112558927141</v>
      </c>
      <c r="L799" s="3">
        <f t="shared" si="170"/>
        <v>39383.456442188763</v>
      </c>
      <c r="M799" s="3">
        <f t="shared" si="171"/>
        <v>40874.987282700073</v>
      </c>
      <c r="N799" s="3">
        <f t="shared" si="172"/>
        <v>4058.8874410728586</v>
      </c>
      <c r="O799" s="3">
        <f t="shared" si="173"/>
        <v>-10616.543557811237</v>
      </c>
      <c r="P799" s="3">
        <f t="shared" si="174"/>
        <v>11365.982772035257</v>
      </c>
    </row>
    <row r="800" spans="1:16" x14ac:dyDescent="0.25">
      <c r="A800">
        <f t="shared" si="161"/>
        <v>362</v>
      </c>
      <c r="B800">
        <f t="shared" si="162"/>
        <v>-18623.859539494926</v>
      </c>
      <c r="C800">
        <f t="shared" si="163"/>
        <v>-29733.174515675495</v>
      </c>
      <c r="D800">
        <f t="shared" si="164"/>
        <v>-19129.944196844139</v>
      </c>
      <c r="E800">
        <f t="shared" si="165"/>
        <v>-20699.436146973465</v>
      </c>
      <c r="F800">
        <f>$C$23*(H800/(J800^2+$C$24^2)^1.5)+$C$32*(K800/(M800^2+$C$33^2)^1.5)+C$41*(N800/(P800^2+$C$42^2)^1.5)</f>
        <v>11776.912686510552</v>
      </c>
      <c r="G800">
        <f>$C$23*(I800/(J800^2+$C$24^2)^1.5)+$C$32*(L800/(M800^2+$C$33^2)^1.5)+C$41*(O800/(P800^2+$C$42^2)^1.5)</f>
        <v>4891.4447033301321</v>
      </c>
      <c r="H800" s="3">
        <f t="shared" si="166"/>
        <v>38623.859539494923</v>
      </c>
      <c r="I800" s="3">
        <f t="shared" si="167"/>
        <v>44733.174515675491</v>
      </c>
      <c r="J800" s="3">
        <f t="shared" si="168"/>
        <v>59100.4181709107</v>
      </c>
      <c r="K800" s="3">
        <f t="shared" si="169"/>
        <v>-1376.1404605050739</v>
      </c>
      <c r="L800" s="3">
        <f t="shared" si="170"/>
        <v>49733.174515675491</v>
      </c>
      <c r="M800" s="3">
        <f t="shared" si="171"/>
        <v>49752.210101398239</v>
      </c>
      <c r="N800" s="3">
        <f t="shared" si="172"/>
        <v>13623.859539494926</v>
      </c>
      <c r="O800" s="3">
        <f t="shared" si="173"/>
        <v>-266.82548432450494</v>
      </c>
      <c r="P800" s="3">
        <f t="shared" si="174"/>
        <v>13626.472199031263</v>
      </c>
    </row>
    <row r="801" spans="1:16" x14ac:dyDescent="0.25">
      <c r="A801">
        <f t="shared" si="161"/>
        <v>362.5</v>
      </c>
      <c r="B801">
        <f t="shared" si="162"/>
        <v>-25244.603466289358</v>
      </c>
      <c r="C801">
        <f t="shared" si="163"/>
        <v>-38860.031413329692</v>
      </c>
      <c r="D801">
        <f t="shared" si="164"/>
        <v>-13241.487853588864</v>
      </c>
      <c r="E801">
        <f t="shared" si="165"/>
        <v>-18253.713795308398</v>
      </c>
      <c r="F801">
        <f>$C$23*(H801/(J801^2+$C$24^2)^1.5)+$C$32*(K801/(M801^2+$C$33^2)^1.5)+C$41*(N801/(P801^2+$C$42^2)^1.5)</f>
        <v>6336.9784654125724</v>
      </c>
      <c r="G801">
        <f>$C$23*(I801/(J801^2+$C$24^2)^1.5)+$C$32*(L801/(M801^2+$C$33^2)^1.5)+C$41*(O801/(P801^2+$C$42^2)^1.5)</f>
        <v>6352.9480688782569</v>
      </c>
      <c r="H801" s="3">
        <f t="shared" si="166"/>
        <v>45244.603466289358</v>
      </c>
      <c r="I801" s="3">
        <f t="shared" si="167"/>
        <v>53860.031413329692</v>
      </c>
      <c r="J801" s="3">
        <f t="shared" si="168"/>
        <v>70341.858993536865</v>
      </c>
      <c r="K801" s="3">
        <f t="shared" si="169"/>
        <v>5244.603466289358</v>
      </c>
      <c r="L801" s="3">
        <f t="shared" si="170"/>
        <v>58860.031413329692</v>
      </c>
      <c r="M801" s="3">
        <f t="shared" si="171"/>
        <v>59093.22434506999</v>
      </c>
      <c r="N801" s="3">
        <f t="shared" si="172"/>
        <v>20244.603466289358</v>
      </c>
      <c r="O801" s="3">
        <f t="shared" si="173"/>
        <v>8860.0314133296924</v>
      </c>
      <c r="P801" s="3">
        <f t="shared" si="174"/>
        <v>22098.509591202841</v>
      </c>
    </row>
    <row r="802" spans="1:16" x14ac:dyDescent="0.25">
      <c r="A802">
        <f t="shared" si="161"/>
        <v>363</v>
      </c>
      <c r="B802">
        <f t="shared" si="162"/>
        <v>-30281.102776730648</v>
      </c>
      <c r="C802">
        <f t="shared" si="163"/>
        <v>-46398.651293764327</v>
      </c>
      <c r="D802">
        <f t="shared" si="164"/>
        <v>-10072.998620882578</v>
      </c>
      <c r="E802">
        <f t="shared" si="165"/>
        <v>-15077.23976086927</v>
      </c>
      <c r="F802">
        <f>$C$23*(H802/(J802^2+$C$24^2)^1.5)+$C$32*(K802/(M802^2+$C$33^2)^1.5)+C$41*(N802/(P802^2+$C$42^2)^1.5)</f>
        <v>3806.551262117342</v>
      </c>
      <c r="G802">
        <f>$C$23*(I802/(J802^2+$C$24^2)^1.5)+$C$32*(L802/(M802^2+$C$33^2)^1.5)+C$41*(O802/(P802^2+$C$42^2)^1.5)</f>
        <v>5087.061243060296</v>
      </c>
      <c r="H802" s="3">
        <f t="shared" si="166"/>
        <v>50281.102776730651</v>
      </c>
      <c r="I802" s="3">
        <f t="shared" si="167"/>
        <v>61398.651293764327</v>
      </c>
      <c r="J802" s="3">
        <f t="shared" si="168"/>
        <v>79359.836675344908</v>
      </c>
      <c r="K802" s="3">
        <f t="shared" si="169"/>
        <v>10281.102776730648</v>
      </c>
      <c r="L802" s="3">
        <f t="shared" si="170"/>
        <v>66398.651293764327</v>
      </c>
      <c r="M802" s="3">
        <f t="shared" si="171"/>
        <v>67189.894834986975</v>
      </c>
      <c r="N802" s="3">
        <f t="shared" si="172"/>
        <v>25281.102776730648</v>
      </c>
      <c r="O802" s="3">
        <f t="shared" si="173"/>
        <v>16398.651293764327</v>
      </c>
      <c r="P802" s="3">
        <f t="shared" si="174"/>
        <v>30133.866692844058</v>
      </c>
    </row>
    <row r="803" spans="1:16" x14ac:dyDescent="0.25">
      <c r="A803">
        <f t="shared" si="161"/>
        <v>363.5</v>
      </c>
      <c r="B803">
        <f t="shared" si="162"/>
        <v>-34365.964271642602</v>
      </c>
      <c r="C803">
        <f t="shared" si="163"/>
        <v>-52665.505863433886</v>
      </c>
      <c r="D803">
        <f t="shared" si="164"/>
        <v>-8169.7229898239066</v>
      </c>
      <c r="E803">
        <f t="shared" si="165"/>
        <v>-12533.709139339122</v>
      </c>
      <c r="F803">
        <f>$C$23*(H803/(J803^2+$C$24^2)^1.5)+$C$32*(K803/(M803^2+$C$33^2)^1.5)+C$41*(N803/(P803^2+$C$42^2)^1.5)</f>
        <v>2682.8369264899925</v>
      </c>
      <c r="G803">
        <f>$C$23*(I803/(J803^2+$C$24^2)^1.5)+$C$32*(L803/(M803^2+$C$33^2)^1.5)+C$41*(O803/(P803^2+$C$42^2)^1.5)</f>
        <v>4107.8673448890477</v>
      </c>
      <c r="H803" s="3">
        <f t="shared" si="166"/>
        <v>54365.964271642602</v>
      </c>
      <c r="I803" s="3">
        <f t="shared" si="167"/>
        <v>67665.505863433878</v>
      </c>
      <c r="J803" s="3">
        <f t="shared" si="168"/>
        <v>86800.22324245442</v>
      </c>
      <c r="K803" s="3">
        <f t="shared" si="169"/>
        <v>14365.964271642602</v>
      </c>
      <c r="L803" s="3">
        <f t="shared" si="170"/>
        <v>72665.505863433878</v>
      </c>
      <c r="M803" s="3">
        <f t="shared" si="171"/>
        <v>74071.969542080187</v>
      </c>
      <c r="N803" s="3">
        <f t="shared" si="172"/>
        <v>29365.964271642602</v>
      </c>
      <c r="O803" s="3">
        <f t="shared" si="173"/>
        <v>22665.505863433886</v>
      </c>
      <c r="P803" s="3">
        <f t="shared" si="174"/>
        <v>37095.619871471965</v>
      </c>
    </row>
    <row r="804" spans="1:16" x14ac:dyDescent="0.25">
      <c r="A804">
        <f t="shared" si="161"/>
        <v>364</v>
      </c>
      <c r="B804">
        <f t="shared" si="162"/>
        <v>-37780.116534932058</v>
      </c>
      <c r="C804">
        <f t="shared" si="163"/>
        <v>-57905.393596881186</v>
      </c>
      <c r="D804">
        <f t="shared" si="164"/>
        <v>-6828.3045265789106</v>
      </c>
      <c r="E804">
        <f t="shared" si="165"/>
        <v>-10479.775466894598</v>
      </c>
      <c r="F804">
        <f>$C$23*(H804/(J804^2+$C$24^2)^1.5)+$C$32*(K804/(M804^2+$C$33^2)^1.5)+C$41*(N804/(P804^2+$C$42^2)^1.5)</f>
        <v>2095.7165618434728</v>
      </c>
      <c r="G804">
        <f>$C$23*(I804/(J804^2+$C$24^2)^1.5)+$C$32*(L804/(M804^2+$C$33^2)^1.5)+C$41*(O804/(P804^2+$C$42^2)^1.5)</f>
        <v>3450.5105456264428</v>
      </c>
      <c r="H804" s="3">
        <f t="shared" si="166"/>
        <v>57780.116534932058</v>
      </c>
      <c r="I804" s="3">
        <f t="shared" si="167"/>
        <v>72905.393596881186</v>
      </c>
      <c r="J804" s="3">
        <f t="shared" si="168"/>
        <v>93025.471147995224</v>
      </c>
      <c r="K804" s="3">
        <f t="shared" si="169"/>
        <v>17780.116534932058</v>
      </c>
      <c r="L804" s="3">
        <f t="shared" si="170"/>
        <v>77905.393596881186</v>
      </c>
      <c r="M804" s="3">
        <f t="shared" si="171"/>
        <v>79908.590874077738</v>
      </c>
      <c r="N804" s="3">
        <f t="shared" si="172"/>
        <v>32780.116534932058</v>
      </c>
      <c r="O804" s="3">
        <f t="shared" si="173"/>
        <v>27905.393596881186</v>
      </c>
      <c r="P804" s="3">
        <f t="shared" si="174"/>
        <v>43049.355765685781</v>
      </c>
    </row>
    <row r="805" spans="1:16" x14ac:dyDescent="0.25">
      <c r="A805">
        <f t="shared" si="161"/>
        <v>364.5</v>
      </c>
      <c r="B805">
        <f t="shared" si="162"/>
        <v>-40670.339657760647</v>
      </c>
      <c r="C805">
        <f t="shared" si="163"/>
        <v>-62282.653693921879</v>
      </c>
      <c r="D805">
        <f t="shared" si="164"/>
        <v>-5780.4462456571746</v>
      </c>
      <c r="E805">
        <f t="shared" si="165"/>
        <v>-8754.5201940813768</v>
      </c>
      <c r="F805">
        <f>$C$23*(H805/(J805^2+$C$24^2)^1.5)+$C$32*(K805/(M805^2+$C$33^2)^1.5)+C$41*(N805/(P805^2+$C$42^2)^1.5)</f>
        <v>1749.6527842315513</v>
      </c>
      <c r="G805">
        <f>$C$23*(I805/(J805^2+$C$24^2)^1.5)+$C$32*(L805/(M805^2+$C$33^2)^1.5)+C$41*(O805/(P805^2+$C$42^2)^1.5)</f>
        <v>3001.2174028932477</v>
      </c>
      <c r="H805" s="3">
        <f t="shared" si="166"/>
        <v>60670.339657760647</v>
      </c>
      <c r="I805" s="3">
        <f t="shared" si="167"/>
        <v>77282.653693921879</v>
      </c>
      <c r="J805" s="3">
        <f t="shared" si="168"/>
        <v>98252.219700944668</v>
      </c>
      <c r="K805" s="3">
        <f t="shared" si="169"/>
        <v>20670.339657760647</v>
      </c>
      <c r="L805" s="3">
        <f t="shared" si="170"/>
        <v>82282.653693921879</v>
      </c>
      <c r="M805" s="3">
        <f t="shared" si="171"/>
        <v>84839.248231470483</v>
      </c>
      <c r="N805" s="3">
        <f t="shared" si="172"/>
        <v>35670.339657760647</v>
      </c>
      <c r="O805" s="3">
        <f t="shared" si="173"/>
        <v>32282.653693921879</v>
      </c>
      <c r="P805" s="3">
        <f t="shared" si="174"/>
        <v>48109.696120654306</v>
      </c>
    </row>
    <row r="806" spans="1:16" x14ac:dyDescent="0.25">
      <c r="A806">
        <f t="shared" si="161"/>
        <v>365</v>
      </c>
      <c r="B806">
        <f t="shared" si="162"/>
        <v>-43123.149584531348</v>
      </c>
      <c r="C806">
        <f t="shared" si="163"/>
        <v>-65909.609440239263</v>
      </c>
      <c r="D806">
        <f t="shared" si="164"/>
        <v>-4905.6198535413987</v>
      </c>
      <c r="E806">
        <f t="shared" si="165"/>
        <v>-7253.9114926347529</v>
      </c>
      <c r="F806">
        <f>$C$23*(H806/(J806^2+$C$24^2)^1.5)+$C$32*(K806/(M806^2+$C$33^2)^1.5)+C$41*(N806/(P806^2+$C$42^2)^1.5)</f>
        <v>1529.0943041649723</v>
      </c>
      <c r="G806">
        <f>$C$23*(I806/(J806^2+$C$24^2)^1.5)+$C$32*(L806/(M806^2+$C$33^2)^1.5)+C$41*(O806/(P806^2+$C$42^2)^1.5)</f>
        <v>2685.1053959858905</v>
      </c>
      <c r="H806" s="3">
        <f t="shared" si="166"/>
        <v>63123.149584531348</v>
      </c>
      <c r="I806" s="3">
        <f t="shared" si="167"/>
        <v>80909.609440239263</v>
      </c>
      <c r="J806" s="3">
        <f t="shared" si="168"/>
        <v>102620.15841560163</v>
      </c>
      <c r="K806" s="3">
        <f t="shared" si="169"/>
        <v>23123.149584531348</v>
      </c>
      <c r="L806" s="3">
        <f t="shared" si="170"/>
        <v>85909.609440239263</v>
      </c>
      <c r="M806" s="3">
        <f t="shared" si="171"/>
        <v>88967.078410404487</v>
      </c>
      <c r="N806" s="3">
        <f t="shared" si="172"/>
        <v>38123.149584531348</v>
      </c>
      <c r="O806" s="3">
        <f t="shared" si="173"/>
        <v>35909.609440239263</v>
      </c>
      <c r="P806" s="3">
        <f t="shared" si="174"/>
        <v>52372.460171306382</v>
      </c>
    </row>
    <row r="807" spans="1:16" x14ac:dyDescent="0.25">
      <c r="A807">
        <f t="shared" si="161"/>
        <v>365.5</v>
      </c>
      <c r="B807">
        <f t="shared" si="162"/>
        <v>-45193.685935260808</v>
      </c>
      <c r="C807">
        <f t="shared" si="163"/>
        <v>-68865.288837560161</v>
      </c>
      <c r="D807">
        <f t="shared" si="164"/>
        <v>-4141.0727014589129</v>
      </c>
      <c r="E807">
        <f t="shared" si="165"/>
        <v>-5911.3587946418074</v>
      </c>
      <c r="F807">
        <f>$C$23*(H807/(J807^2+$C$24^2)^1.5)+$C$32*(K807/(M807^2+$C$33^2)^1.5)+C$41*(N807/(P807^2+$C$42^2)^1.5)</f>
        <v>1381.8770296548741</v>
      </c>
      <c r="G807">
        <f>$C$23*(I807/(J807^2+$C$24^2)^1.5)+$C$32*(L807/(M807^2+$C$33^2)^1.5)+C$41*(O807/(P807^2+$C$42^2)^1.5)</f>
        <v>2458.1208067655293</v>
      </c>
      <c r="H807" s="3">
        <f t="shared" si="166"/>
        <v>65193.685935260808</v>
      </c>
      <c r="I807" s="3">
        <f t="shared" si="167"/>
        <v>83865.288837560161</v>
      </c>
      <c r="J807" s="3">
        <f t="shared" si="168"/>
        <v>106224.30681173127</v>
      </c>
      <c r="K807" s="3">
        <f t="shared" si="169"/>
        <v>25193.685935260808</v>
      </c>
      <c r="L807" s="3">
        <f t="shared" si="170"/>
        <v>88865.288837560161</v>
      </c>
      <c r="M807" s="3">
        <f t="shared" si="171"/>
        <v>92367.53418375719</v>
      </c>
      <c r="N807" s="3">
        <f t="shared" si="172"/>
        <v>40193.685935260808</v>
      </c>
      <c r="O807" s="3">
        <f t="shared" si="173"/>
        <v>38865.288837560161</v>
      </c>
      <c r="P807" s="3">
        <f t="shared" si="174"/>
        <v>55911.028120482282</v>
      </c>
    </row>
    <row r="808" spans="1:16" x14ac:dyDescent="0.25">
      <c r="A808">
        <f t="shared" si="161"/>
        <v>366</v>
      </c>
      <c r="B808">
        <f t="shared" si="162"/>
        <v>-46918.753028576546</v>
      </c>
      <c r="C808">
        <f t="shared" si="163"/>
        <v>-71206.438033189683</v>
      </c>
      <c r="D808">
        <f t="shared" si="164"/>
        <v>-3450.134186631476</v>
      </c>
      <c r="E808">
        <f t="shared" si="165"/>
        <v>-4682.2983912590425</v>
      </c>
      <c r="F808">
        <f>$C$23*(H808/(J808^2+$C$24^2)^1.5)+$C$32*(K808/(M808^2+$C$33^2)^1.5)+C$41*(N808/(P808^2+$C$42^2)^1.5)</f>
        <v>1281.7185961005066</v>
      </c>
      <c r="G808">
        <f>$C$23*(I808/(J808^2+$C$24^2)^1.5)+$C$32*(L808/(M808^2+$C$33^2)^1.5)+C$41*(O808/(P808^2+$C$42^2)^1.5)</f>
        <v>2293.9675268049541</v>
      </c>
      <c r="H808" s="3">
        <f t="shared" si="166"/>
        <v>66918.753028576553</v>
      </c>
      <c r="I808" s="3">
        <f t="shared" si="167"/>
        <v>86206.438033189683</v>
      </c>
      <c r="J808" s="3">
        <f t="shared" si="168"/>
        <v>109131.43206826251</v>
      </c>
      <c r="K808" s="3">
        <f t="shared" si="169"/>
        <v>26918.753028576546</v>
      </c>
      <c r="L808" s="3">
        <f t="shared" si="170"/>
        <v>91206.438033189683</v>
      </c>
      <c r="M808" s="3">
        <f t="shared" si="171"/>
        <v>95095.917910894408</v>
      </c>
      <c r="N808" s="3">
        <f t="shared" si="172"/>
        <v>41918.753028576546</v>
      </c>
      <c r="O808" s="3">
        <f t="shared" si="173"/>
        <v>41206.438033189683</v>
      </c>
      <c r="P808" s="3">
        <f t="shared" si="174"/>
        <v>58780.544322538357</v>
      </c>
    </row>
    <row r="809" spans="1:16" x14ac:dyDescent="0.25">
      <c r="A809">
        <f t="shared" si="161"/>
        <v>366.5</v>
      </c>
      <c r="B809">
        <f t="shared" si="162"/>
        <v>-48323.390472867155</v>
      </c>
      <c r="C809">
        <f t="shared" si="163"/>
        <v>-72974.095347117967</v>
      </c>
      <c r="D809">
        <f t="shared" si="164"/>
        <v>-2809.2748885812225</v>
      </c>
      <c r="E809">
        <f t="shared" si="165"/>
        <v>-3535.3146278565655</v>
      </c>
      <c r="F809">
        <f>$C$23*(H809/(J809^2+$C$24^2)^1.5)+$C$32*(K809/(M809^2+$C$33^2)^1.5)+C$41*(N809/(P809^2+$C$42^2)^1.5)</f>
        <v>1214.3140419615809</v>
      </c>
      <c r="G809">
        <f>$C$23*(I809/(J809^2+$C$24^2)^1.5)+$C$32*(L809/(M809^2+$C$33^2)^1.5)+C$41*(O809/(P809^2+$C$42^2)^1.5)</f>
        <v>2176.500557654892</v>
      </c>
      <c r="H809" s="3">
        <f t="shared" si="166"/>
        <v>68323.390472867148</v>
      </c>
      <c r="I809" s="3">
        <f t="shared" si="167"/>
        <v>87974.095347117967</v>
      </c>
      <c r="J809" s="3">
        <f t="shared" si="168"/>
        <v>111389.07997578433</v>
      </c>
      <c r="K809" s="3">
        <f t="shared" si="169"/>
        <v>28323.390472867155</v>
      </c>
      <c r="L809" s="3">
        <f t="shared" si="170"/>
        <v>92974.095347117967</v>
      </c>
      <c r="M809" s="3">
        <f t="shared" si="171"/>
        <v>97192.576123351537</v>
      </c>
      <c r="N809" s="3">
        <f t="shared" si="172"/>
        <v>43323.390472867155</v>
      </c>
      <c r="O809" s="3">
        <f t="shared" si="173"/>
        <v>42974.095347117967</v>
      </c>
      <c r="P809" s="3">
        <f t="shared" si="174"/>
        <v>61022.037273166345</v>
      </c>
    </row>
    <row r="810" spans="1:16" x14ac:dyDescent="0.25">
      <c r="A810">
        <f t="shared" si="161"/>
        <v>367</v>
      </c>
      <c r="B810">
        <f t="shared" si="162"/>
        <v>-49424.449406667372</v>
      </c>
      <c r="C810">
        <f t="shared" si="163"/>
        <v>-74197.62752163253</v>
      </c>
      <c r="D810">
        <f t="shared" si="164"/>
        <v>-2202.117867600432</v>
      </c>
      <c r="E810">
        <f t="shared" si="165"/>
        <v>-2447.0643490291195</v>
      </c>
      <c r="F810">
        <f>$C$23*(H810/(J810^2+$C$24^2)^1.5)+$C$32*(K810/(M810^2+$C$33^2)^1.5)+C$41*(N810/(P810^2+$C$42^2)^1.5)</f>
        <v>1171.5232030819939</v>
      </c>
      <c r="G810">
        <f>$C$23*(I810/(J810^2+$C$24^2)^1.5)+$C$32*(L810/(M810^2+$C$33^2)^1.5)+C$41*(O810/(P810^2+$C$42^2)^1.5)</f>
        <v>2095.6312722642006</v>
      </c>
      <c r="H810" s="3">
        <f t="shared" si="166"/>
        <v>69424.44940666738</v>
      </c>
      <c r="I810" s="3">
        <f t="shared" si="167"/>
        <v>89197.62752163253</v>
      </c>
      <c r="J810" s="3">
        <f t="shared" si="168"/>
        <v>113030.84061842067</v>
      </c>
      <c r="K810" s="3">
        <f t="shared" si="169"/>
        <v>29424.449406667372</v>
      </c>
      <c r="L810" s="3">
        <f t="shared" si="170"/>
        <v>94197.62752163253</v>
      </c>
      <c r="M810" s="3">
        <f t="shared" si="171"/>
        <v>98686.327591970665</v>
      </c>
      <c r="N810" s="3">
        <f t="shared" si="172"/>
        <v>44424.449406667372</v>
      </c>
      <c r="O810" s="3">
        <f t="shared" si="173"/>
        <v>44197.62752163253</v>
      </c>
      <c r="P810" s="3">
        <f t="shared" si="174"/>
        <v>62665.476808419153</v>
      </c>
    </row>
    <row r="811" spans="1:16" x14ac:dyDescent="0.25">
      <c r="A811">
        <f t="shared" si="161"/>
        <v>367.5</v>
      </c>
      <c r="B811">
        <f t="shared" si="162"/>
        <v>-50232.627539697089</v>
      </c>
      <c r="C811">
        <f t="shared" si="163"/>
        <v>-74897.25187808105</v>
      </c>
      <c r="D811">
        <f t="shared" si="164"/>
        <v>-1616.356266059435</v>
      </c>
      <c r="E811">
        <f t="shared" si="165"/>
        <v>-1399.2487128970192</v>
      </c>
      <c r="F811">
        <f>$C$23*(H811/(J811^2+$C$24^2)^1.5)+$C$32*(K811/(M811^2+$C$33^2)^1.5)+C$41*(N811/(P811^2+$C$42^2)^1.5)</f>
        <v>1148.7117170849651</v>
      </c>
      <c r="G811">
        <f>$C$23*(I811/(J811^2+$C$24^2)^1.5)+$C$32*(L811/(M811^2+$C$33^2)^1.5)+C$41*(O811/(P811^2+$C$42^2)^1.5)</f>
        <v>2045.106357904968</v>
      </c>
      <c r="H811" s="3">
        <f t="shared" si="166"/>
        <v>70232.627539697089</v>
      </c>
      <c r="I811" s="3">
        <f t="shared" si="167"/>
        <v>89897.25187808105</v>
      </c>
      <c r="J811" s="3">
        <f t="shared" si="168"/>
        <v>114079.52430809381</v>
      </c>
      <c r="K811" s="3">
        <f t="shared" si="169"/>
        <v>30232.627539697089</v>
      </c>
      <c r="L811" s="3">
        <f t="shared" si="170"/>
        <v>94897.25187808105</v>
      </c>
      <c r="M811" s="3">
        <f t="shared" si="171"/>
        <v>99596.687605391809</v>
      </c>
      <c r="N811" s="3">
        <f t="shared" si="172"/>
        <v>45232.627539697089</v>
      </c>
      <c r="O811" s="3">
        <f t="shared" si="173"/>
        <v>44897.25187808105</v>
      </c>
      <c r="P811" s="3">
        <f t="shared" si="174"/>
        <v>63731.890136326692</v>
      </c>
    </row>
    <row r="812" spans="1:16" x14ac:dyDescent="0.25">
      <c r="A812">
        <f t="shared" si="161"/>
        <v>368</v>
      </c>
      <c r="B812">
        <f t="shared" si="162"/>
        <v>-50753.627743455567</v>
      </c>
      <c r="C812">
        <f t="shared" si="163"/>
        <v>-75085.599645053313</v>
      </c>
      <c r="D812">
        <f t="shared" si="164"/>
        <v>-1042.0004075169525</v>
      </c>
      <c r="E812">
        <f t="shared" si="165"/>
        <v>-376.69553394453521</v>
      </c>
      <c r="F812">
        <f>$C$23*(H812/(J812^2+$C$24^2)^1.5)+$C$32*(K812/(M812^2+$C$33^2)^1.5)+C$41*(N812/(P812^2+$C$42^2)^1.5)</f>
        <v>1143.4701211007434</v>
      </c>
      <c r="G812">
        <f>$C$23*(I812/(J812^2+$C$24^2)^1.5)+$C$32*(L812/(M812^2+$C$33^2)^1.5)+C$41*(O812/(P812^2+$C$42^2)^1.5)</f>
        <v>2021.2912184983115</v>
      </c>
      <c r="H812" s="3">
        <f t="shared" si="166"/>
        <v>70753.627743455567</v>
      </c>
      <c r="I812" s="3">
        <f t="shared" si="167"/>
        <v>90085.599645053313</v>
      </c>
      <c r="J812" s="3">
        <f t="shared" si="168"/>
        <v>114549.07726502346</v>
      </c>
      <c r="K812" s="3">
        <f t="shared" si="169"/>
        <v>30753.627743455567</v>
      </c>
      <c r="L812" s="3">
        <f t="shared" si="170"/>
        <v>95085.599645053313</v>
      </c>
      <c r="M812" s="3">
        <f t="shared" si="171"/>
        <v>99935.263442102369</v>
      </c>
      <c r="N812" s="3">
        <f t="shared" si="172"/>
        <v>45753.627743455567</v>
      </c>
      <c r="O812" s="3">
        <f t="shared" si="173"/>
        <v>45085.599645053313</v>
      </c>
      <c r="P812" s="3">
        <f t="shared" si="174"/>
        <v>64234.770545559964</v>
      </c>
    </row>
    <row r="813" spans="1:16" x14ac:dyDescent="0.25">
      <c r="A813">
        <f t="shared" si="161"/>
        <v>368.5</v>
      </c>
      <c r="B813">
        <f t="shared" si="162"/>
        <v>-50988.760416938858</v>
      </c>
      <c r="C813">
        <f t="shared" si="163"/>
        <v>-74768.624607400998</v>
      </c>
      <c r="D813">
        <f t="shared" si="164"/>
        <v>-470.26534696658075</v>
      </c>
      <c r="E813">
        <f t="shared" si="165"/>
        <v>633.95007530462055</v>
      </c>
      <c r="F813">
        <f>$C$23*(H813/(J813^2+$C$24^2)^1.5)+$C$32*(K813/(M813^2+$C$33^2)^1.5)+C$41*(N813/(P813^2+$C$42^2)^1.5)</f>
        <v>1155.0111613078991</v>
      </c>
      <c r="G813">
        <f>$C$23*(I813/(J813^2+$C$24^2)^1.5)+$C$32*(L813/(M813^2+$C$33^2)^1.5)+C$41*(O813/(P813^2+$C$42^2)^1.5)</f>
        <v>2022.5241745635437</v>
      </c>
      <c r="H813" s="3">
        <f t="shared" si="166"/>
        <v>70988.760416938865</v>
      </c>
      <c r="I813" s="3">
        <f t="shared" si="167"/>
        <v>89768.624607400998</v>
      </c>
      <c r="J813" s="3">
        <f t="shared" si="168"/>
        <v>114445.66426666423</v>
      </c>
      <c r="K813" s="3">
        <f t="shared" si="169"/>
        <v>30988.760416938858</v>
      </c>
      <c r="L813" s="3">
        <f t="shared" si="170"/>
        <v>94768.624607400998</v>
      </c>
      <c r="M813" s="3">
        <f t="shared" si="171"/>
        <v>99706.546836990237</v>
      </c>
      <c r="N813" s="3">
        <f t="shared" si="172"/>
        <v>45988.760416938858</v>
      </c>
      <c r="O813" s="3">
        <f t="shared" si="173"/>
        <v>44768.624607400998</v>
      </c>
      <c r="P813" s="3">
        <f t="shared" si="174"/>
        <v>64180.961615770393</v>
      </c>
    </row>
    <row r="814" spans="1:16" x14ac:dyDescent="0.25">
      <c r="A814">
        <f t="shared" si="161"/>
        <v>369</v>
      </c>
      <c r="B814">
        <f t="shared" si="162"/>
        <v>-50935.140300095176</v>
      </c>
      <c r="C814">
        <f t="shared" si="163"/>
        <v>-73946.0185261078</v>
      </c>
      <c r="D814">
        <f t="shared" si="164"/>
        <v>107.2402336873688</v>
      </c>
      <c r="E814">
        <f t="shared" si="165"/>
        <v>1645.2121625863924</v>
      </c>
      <c r="F814">
        <f>$C$23*(H814/(J814^2+$C$24^2)^1.5)+$C$32*(K814/(M814^2+$C$33^2)^1.5)+C$41*(N814/(P814^2+$C$42^2)^1.5)</f>
        <v>1183.9602373832965</v>
      </c>
      <c r="G814">
        <f>$C$23*(I814/(J814^2+$C$24^2)^1.5)+$C$32*(L814/(M814^2+$C$33^2)^1.5)+C$41*(O814/(P814^2+$C$42^2)^1.5)</f>
        <v>2048.8309949933509</v>
      </c>
      <c r="H814" s="3">
        <f t="shared" si="166"/>
        <v>70935.140300095169</v>
      </c>
      <c r="I814" s="3">
        <f t="shared" si="167"/>
        <v>88946.0185261078</v>
      </c>
      <c r="J814" s="3">
        <f t="shared" si="168"/>
        <v>113768.13411953673</v>
      </c>
      <c r="K814" s="3">
        <f t="shared" si="169"/>
        <v>30935.140300095176</v>
      </c>
      <c r="L814" s="3">
        <f t="shared" si="170"/>
        <v>93946.0185261078</v>
      </c>
      <c r="M814" s="3">
        <f t="shared" si="171"/>
        <v>98908.226666412142</v>
      </c>
      <c r="N814" s="3">
        <f t="shared" si="172"/>
        <v>45935.140300095176</v>
      </c>
      <c r="O814" s="3">
        <f t="shared" si="173"/>
        <v>43946.0185261078</v>
      </c>
      <c r="P814" s="3">
        <f t="shared" si="174"/>
        <v>63571.138566856243</v>
      </c>
    </row>
    <row r="815" spans="1:16" x14ac:dyDescent="0.25">
      <c r="A815">
        <f t="shared" si="161"/>
        <v>369.5</v>
      </c>
      <c r="B815">
        <f t="shared" si="162"/>
        <v>-50585.530123905672</v>
      </c>
      <c r="C815">
        <f t="shared" si="163"/>
        <v>-72611.20469606627</v>
      </c>
      <c r="D815">
        <f t="shared" si="164"/>
        <v>699.22035237901707</v>
      </c>
      <c r="E815">
        <f t="shared" si="165"/>
        <v>2669.6276600830679</v>
      </c>
      <c r="F815">
        <f>$C$23*(H815/(J815^2+$C$24^2)^1.5)+$C$32*(K815/(M815^2+$C$33^2)^1.5)+C$41*(N815/(P815^2+$C$42^2)^1.5)</f>
        <v>1232.4427062110135</v>
      </c>
      <c r="G815">
        <f>$C$23*(I815/(J815^2+$C$24^2)^1.5)+$C$32*(L815/(M815^2+$C$33^2)^1.5)+C$41*(O815/(P815^2+$C$42^2)^1.5)</f>
        <v>2101.9098688111999</v>
      </c>
      <c r="H815" s="3">
        <f t="shared" si="166"/>
        <v>70585.530123905672</v>
      </c>
      <c r="I815" s="3">
        <f t="shared" si="167"/>
        <v>87611.20469606627</v>
      </c>
      <c r="J815" s="3">
        <f t="shared" si="168"/>
        <v>112507.95639050964</v>
      </c>
      <c r="K815" s="3">
        <f t="shared" si="169"/>
        <v>30585.530123905672</v>
      </c>
      <c r="L815" s="3">
        <f t="shared" si="170"/>
        <v>92611.20469606627</v>
      </c>
      <c r="M815" s="3">
        <f t="shared" si="171"/>
        <v>97531.07139889845</v>
      </c>
      <c r="N815" s="3">
        <f t="shared" si="172"/>
        <v>45585.530123905672</v>
      </c>
      <c r="O815" s="3">
        <f t="shared" si="173"/>
        <v>42611.20469606627</v>
      </c>
      <c r="P815" s="3">
        <f t="shared" si="174"/>
        <v>62399.962518639157</v>
      </c>
    </row>
    <row r="816" spans="1:16" x14ac:dyDescent="0.25">
      <c r="A816">
        <f t="shared" si="161"/>
        <v>370</v>
      </c>
      <c r="B816">
        <f t="shared" si="162"/>
        <v>-49927.809271163409</v>
      </c>
      <c r="C816">
        <f t="shared" si="163"/>
        <v>-70750.91339882194</v>
      </c>
      <c r="D816">
        <f t="shared" si="164"/>
        <v>1315.4417054845239</v>
      </c>
      <c r="E816">
        <f t="shared" si="165"/>
        <v>3720.5825944886678</v>
      </c>
      <c r="F816">
        <f>$C$23*(H816/(J816^2+$C$24^2)^1.5)+$C$32*(K816/(M816^2+$C$33^2)^1.5)+C$41*(N816/(P816^2+$C$42^2)^1.5)</f>
        <v>1304.4901779554871</v>
      </c>
      <c r="G816">
        <f>$C$23*(I816/(J816^2+$C$24^2)^1.5)+$C$32*(L816/(M816^2+$C$33^2)^1.5)+C$41*(O816/(P816^2+$C$42^2)^1.5)</f>
        <v>2185.3737638280581</v>
      </c>
      <c r="H816" s="3">
        <f t="shared" si="166"/>
        <v>69927.809271163409</v>
      </c>
      <c r="I816" s="3">
        <f t="shared" si="167"/>
        <v>85750.91339882194</v>
      </c>
      <c r="J816" s="3">
        <f t="shared" si="168"/>
        <v>110648.62248666483</v>
      </c>
      <c r="K816" s="3">
        <f t="shared" si="169"/>
        <v>29927.809271163409</v>
      </c>
      <c r="L816" s="3">
        <f t="shared" si="170"/>
        <v>90750.91339882194</v>
      </c>
      <c r="M816" s="3">
        <f t="shared" si="171"/>
        <v>95558.369860999694</v>
      </c>
      <c r="N816" s="3">
        <f t="shared" si="172"/>
        <v>44927.809271163409</v>
      </c>
      <c r="O816" s="3">
        <f t="shared" si="173"/>
        <v>40750.91339882194</v>
      </c>
      <c r="P816" s="3">
        <f t="shared" si="174"/>
        <v>60655.955921445362</v>
      </c>
    </row>
    <row r="817" spans="1:16" x14ac:dyDescent="0.25">
      <c r="A817">
        <f t="shared" si="161"/>
        <v>370.5</v>
      </c>
      <c r="B817">
        <f t="shared" si="162"/>
        <v>-48943.965873932277</v>
      </c>
      <c r="C817">
        <f t="shared" si="163"/>
        <v>-68344.278660620592</v>
      </c>
      <c r="D817">
        <f t="shared" si="164"/>
        <v>1967.6867944622675</v>
      </c>
      <c r="E817">
        <f t="shared" si="165"/>
        <v>4813.2694764026965</v>
      </c>
      <c r="F817">
        <f>$C$23*(H817/(J817^2+$C$24^2)^1.5)+$C$32*(K817/(M817^2+$C$33^2)^1.5)+C$41*(N817/(P817^2+$C$42^2)^1.5)</f>
        <v>1406.9142360068272</v>
      </c>
      <c r="G817">
        <f>$C$23*(I817/(J817^2+$C$24^2)^1.5)+$C$32*(L817/(M817^2+$C$33^2)^1.5)+C$41*(O817/(P817^2+$C$42^2)^1.5)</f>
        <v>2305.3016838168437</v>
      </c>
      <c r="H817" s="3">
        <f t="shared" si="166"/>
        <v>68943.965873932277</v>
      </c>
      <c r="I817" s="3">
        <f t="shared" si="167"/>
        <v>83344.278660620592</v>
      </c>
      <c r="J817" s="3">
        <f t="shared" si="168"/>
        <v>108164.4082676234</v>
      </c>
      <c r="K817" s="3">
        <f t="shared" si="169"/>
        <v>28943.965873932277</v>
      </c>
      <c r="L817" s="3">
        <f t="shared" si="170"/>
        <v>88344.278660620592</v>
      </c>
      <c r="M817" s="3">
        <f t="shared" si="171"/>
        <v>92964.857513883908</v>
      </c>
      <c r="N817" s="3">
        <f t="shared" si="172"/>
        <v>43943.965873932277</v>
      </c>
      <c r="O817" s="3">
        <f t="shared" si="173"/>
        <v>38344.278660620592</v>
      </c>
      <c r="P817" s="3">
        <f t="shared" si="174"/>
        <v>58321.144045128676</v>
      </c>
    </row>
    <row r="818" spans="1:16" x14ac:dyDescent="0.25">
      <c r="A818">
        <f t="shared" si="161"/>
        <v>371</v>
      </c>
      <c r="B818">
        <f t="shared" si="162"/>
        <v>-47608.393917699439</v>
      </c>
      <c r="C818">
        <f t="shared" si="163"/>
        <v>-65361.31850146503</v>
      </c>
      <c r="D818">
        <f t="shared" si="164"/>
        <v>2671.1439124656808</v>
      </c>
      <c r="E818">
        <f t="shared" si="165"/>
        <v>5965.9203183111185</v>
      </c>
      <c r="F818">
        <f>$C$23*(H818/(J818^2+$C$24^2)^1.5)+$C$32*(K818/(M818^2+$C$33^2)^1.5)+C$41*(N818/(P818^2+$C$42^2)^1.5)</f>
        <v>1551.0104560207624</v>
      </c>
      <c r="G818">
        <f>$C$23*(I818/(J818^2+$C$24^2)^1.5)+$C$32*(L818/(M818^2+$C$33^2)^1.5)+C$41*(O818/(P818^2+$C$42^2)^1.5)</f>
        <v>2471.2189710297316</v>
      </c>
      <c r="H818" s="3">
        <f t="shared" si="166"/>
        <v>67608.393917699432</v>
      </c>
      <c r="I818" s="3">
        <f t="shared" si="167"/>
        <v>80361.318501465023</v>
      </c>
      <c r="J818" s="3">
        <f t="shared" si="168"/>
        <v>105018.26717016769</v>
      </c>
      <c r="K818" s="3">
        <f t="shared" si="169"/>
        <v>27608.393917699439</v>
      </c>
      <c r="L818" s="3">
        <f t="shared" si="170"/>
        <v>85361.318501465023</v>
      </c>
      <c r="M818" s="3">
        <f t="shared" si="171"/>
        <v>89714.982645171476</v>
      </c>
      <c r="N818" s="3">
        <f t="shared" si="172"/>
        <v>42608.393917699439</v>
      </c>
      <c r="O818" s="3">
        <f t="shared" si="173"/>
        <v>35361.31850146503</v>
      </c>
      <c r="P818" s="3">
        <f t="shared" si="174"/>
        <v>55370.552448100963</v>
      </c>
    </row>
    <row r="819" spans="1:16" x14ac:dyDescent="0.25">
      <c r="A819">
        <f t="shared" si="161"/>
        <v>371.5</v>
      </c>
      <c r="B819">
        <f t="shared" si="162"/>
        <v>-45885.069347461409</v>
      </c>
      <c r="C819">
        <f t="shared" si="163"/>
        <v>-61760.553599552033</v>
      </c>
      <c r="D819">
        <f t="shared" si="164"/>
        <v>3446.6491404760618</v>
      </c>
      <c r="E819">
        <f t="shared" si="165"/>
        <v>7201.5298038259843</v>
      </c>
      <c r="F819">
        <f>$C$23*(H819/(J819^2+$C$24^2)^1.5)+$C$32*(K819/(M819^2+$C$33^2)^1.5)+C$41*(N819/(P819^2+$C$42^2)^1.5)</f>
        <v>1755.9140350518906</v>
      </c>
      <c r="G819">
        <f>$C$23*(I819/(J819^2+$C$24^2)^1.5)+$C$32*(L819/(M819^2+$C$33^2)^1.5)+C$41*(O819/(P819^2+$C$42^2)^1.5)</f>
        <v>2697.6881542072379</v>
      </c>
      <c r="H819" s="3">
        <f t="shared" si="166"/>
        <v>65885.069347461409</v>
      </c>
      <c r="I819" s="3">
        <f t="shared" si="167"/>
        <v>76760.553599552033</v>
      </c>
      <c r="J819" s="3">
        <f t="shared" si="168"/>
        <v>101158.41513106806</v>
      </c>
      <c r="K819" s="3">
        <f t="shared" si="169"/>
        <v>25885.069347461409</v>
      </c>
      <c r="L819" s="3">
        <f t="shared" si="170"/>
        <v>81760.553599552033</v>
      </c>
      <c r="M819" s="3">
        <f t="shared" si="171"/>
        <v>85760.276002518251</v>
      </c>
      <c r="N819" s="3">
        <f t="shared" si="172"/>
        <v>40885.069347461409</v>
      </c>
      <c r="O819" s="3">
        <f t="shared" si="173"/>
        <v>31760.553599552033</v>
      </c>
      <c r="P819" s="3">
        <f t="shared" si="174"/>
        <v>51771.823036249611</v>
      </c>
    </row>
    <row r="820" spans="1:16" x14ac:dyDescent="0.25">
      <c r="A820">
        <f t="shared" si="161"/>
        <v>372</v>
      </c>
      <c r="B820">
        <f t="shared" si="162"/>
        <v>-43722.766268460407</v>
      </c>
      <c r="C820">
        <f t="shared" si="163"/>
        <v>-57485.366659087231</v>
      </c>
      <c r="D820">
        <f t="shared" si="164"/>
        <v>4324.6061580020069</v>
      </c>
      <c r="E820">
        <f t="shared" si="165"/>
        <v>8550.3738809296028</v>
      </c>
      <c r="F820">
        <f>$C$23*(H820/(J820^2+$C$24^2)^1.5)+$C$32*(K820/(M820^2+$C$33^2)^1.5)+C$41*(N820/(P820^2+$C$42^2)^1.5)</f>
        <v>2055.5159430102067</v>
      </c>
      <c r="G820">
        <f>$C$23*(I820/(J820^2+$C$24^2)^1.5)+$C$32*(L820/(M820^2+$C$33^2)^1.5)+C$41*(O820/(P820^2+$C$42^2)^1.5)</f>
        <v>3006.6015837258055</v>
      </c>
      <c r="H820" s="3">
        <f t="shared" si="166"/>
        <v>63722.766268460407</v>
      </c>
      <c r="I820" s="3">
        <f t="shared" si="167"/>
        <v>72485.366659087231</v>
      </c>
      <c r="J820" s="3">
        <f t="shared" si="168"/>
        <v>96512.79355923312</v>
      </c>
      <c r="K820" s="3">
        <f t="shared" si="169"/>
        <v>23722.766268460407</v>
      </c>
      <c r="L820" s="3">
        <f t="shared" si="170"/>
        <v>77485.366659087231</v>
      </c>
      <c r="M820" s="3">
        <f t="shared" si="171"/>
        <v>81035.496455079425</v>
      </c>
      <c r="N820" s="3">
        <f t="shared" si="172"/>
        <v>38722.766268460407</v>
      </c>
      <c r="O820" s="3">
        <f t="shared" si="173"/>
        <v>27485.366659087231</v>
      </c>
      <c r="P820" s="3">
        <f t="shared" si="174"/>
        <v>47485.76637126413</v>
      </c>
    </row>
    <row r="821" spans="1:16" x14ac:dyDescent="0.25">
      <c r="A821">
        <f t="shared" si="161"/>
        <v>372.5</v>
      </c>
      <c r="B821">
        <f t="shared" si="162"/>
        <v>-41046.584203706851</v>
      </c>
      <c r="C821">
        <f t="shared" si="163"/>
        <v>-52458.529322690978</v>
      </c>
      <c r="D821">
        <f t="shared" si="164"/>
        <v>5352.3641295071102</v>
      </c>
      <c r="E821">
        <f t="shared" si="165"/>
        <v>10053.674672792506</v>
      </c>
      <c r="F821">
        <f>$C$23*(H821/(J821^2+$C$24^2)^1.5)+$C$32*(K821/(M821^2+$C$33^2)^1.5)+C$41*(N821/(P821^2+$C$42^2)^1.5)</f>
        <v>2513.5519103247857</v>
      </c>
      <c r="G821">
        <f>$C$23*(I821/(J821^2+$C$24^2)^1.5)+$C$32*(L821/(M821^2+$C$33^2)^1.5)+C$41*(O821/(P821^2+$C$42^2)^1.5)</f>
        <v>3429.1659470015366</v>
      </c>
      <c r="H821" s="3">
        <f t="shared" si="166"/>
        <v>61046.584203706851</v>
      </c>
      <c r="I821" s="3">
        <f t="shared" si="167"/>
        <v>67458.529322690971</v>
      </c>
      <c r="J821" s="3">
        <f t="shared" si="168"/>
        <v>90979.880310542445</v>
      </c>
      <c r="K821" s="3">
        <f t="shared" si="169"/>
        <v>21046.584203706851</v>
      </c>
      <c r="L821" s="3">
        <f t="shared" si="170"/>
        <v>72458.529322690971</v>
      </c>
      <c r="M821" s="3">
        <f t="shared" si="171"/>
        <v>75453.278114678295</v>
      </c>
      <c r="N821" s="3">
        <f t="shared" si="172"/>
        <v>36046.584203706851</v>
      </c>
      <c r="O821" s="3">
        <f t="shared" si="173"/>
        <v>22458.529322690978</v>
      </c>
      <c r="P821" s="3">
        <f t="shared" si="174"/>
        <v>42470.481185090182</v>
      </c>
    </row>
    <row r="822" spans="1:16" x14ac:dyDescent="0.25">
      <c r="A822">
        <f t="shared" si="161"/>
        <v>373</v>
      </c>
      <c r="B822">
        <f t="shared" si="162"/>
        <v>-37742.014161372099</v>
      </c>
      <c r="C822">
        <f t="shared" si="163"/>
        <v>-46574.400499544339</v>
      </c>
      <c r="D822">
        <f t="shared" si="164"/>
        <v>6609.1400846695033</v>
      </c>
      <c r="E822">
        <f t="shared" si="165"/>
        <v>11768.257646293274</v>
      </c>
      <c r="F822">
        <f>$C$23*(H822/(J822^2+$C$24^2)^1.5)+$C$32*(K822/(M822^2+$C$33^2)^1.5)+C$41*(N822/(P822^2+$C$42^2)^1.5)</f>
        <v>3257.7680721425822</v>
      </c>
      <c r="G822">
        <f>$C$23*(I822/(J822^2+$C$24^2)^1.5)+$C$32*(L822/(M822^2+$C$33^2)^1.5)+C$41*(O822/(P822^2+$C$42^2)^1.5)</f>
        <v>3999.5777486001107</v>
      </c>
      <c r="H822" s="3">
        <f t="shared" si="166"/>
        <v>57742.014161372099</v>
      </c>
      <c r="I822" s="3">
        <f t="shared" si="167"/>
        <v>61574.400499544339</v>
      </c>
      <c r="J822" s="3">
        <f t="shared" si="168"/>
        <v>84412.955144873238</v>
      </c>
      <c r="K822" s="3">
        <f t="shared" si="169"/>
        <v>17742.014161372099</v>
      </c>
      <c r="L822" s="3">
        <f t="shared" si="170"/>
        <v>66574.400499544339</v>
      </c>
      <c r="M822" s="3">
        <f t="shared" si="171"/>
        <v>68897.967084494288</v>
      </c>
      <c r="N822" s="3">
        <f t="shared" si="172"/>
        <v>32742.014161372099</v>
      </c>
      <c r="O822" s="3">
        <f t="shared" si="173"/>
        <v>16574.400499544339</v>
      </c>
      <c r="P822" s="3">
        <f t="shared" si="174"/>
        <v>36698.09590786403</v>
      </c>
    </row>
    <row r="823" spans="1:16" x14ac:dyDescent="0.25">
      <c r="A823">
        <f t="shared" si="161"/>
        <v>373.5</v>
      </c>
      <c r="B823">
        <f t="shared" si="162"/>
        <v>-33623.002101001701</v>
      </c>
      <c r="C823">
        <f t="shared" si="163"/>
        <v>-39690.377239247675</v>
      </c>
      <c r="D823">
        <f t="shared" si="164"/>
        <v>8238.0241207407944</v>
      </c>
      <c r="E823">
        <f t="shared" si="165"/>
        <v>13768.046520593329</v>
      </c>
      <c r="F823">
        <f>$C$23*(H823/(J823^2+$C$24^2)^1.5)+$C$32*(K823/(M823^2+$C$33^2)^1.5)+C$41*(N823/(P823^2+$C$42^2)^1.5)</f>
        <v>4548.688800481299</v>
      </c>
      <c r="G823">
        <f>$C$23*(I823/(J823^2+$C$24^2)^1.5)+$C$32*(L823/(M823^2+$C$33^2)^1.5)+C$41*(O823/(P823^2+$C$42^2)^1.5)</f>
        <v>4690.9701504448694</v>
      </c>
      <c r="H823" s="3">
        <f t="shared" si="166"/>
        <v>53623.002101001701</v>
      </c>
      <c r="I823" s="3">
        <f t="shared" si="167"/>
        <v>54690.377239247675</v>
      </c>
      <c r="J823" s="3">
        <f t="shared" si="168"/>
        <v>76592.843770780906</v>
      </c>
      <c r="K823" s="3">
        <f t="shared" si="169"/>
        <v>13623.002101001701</v>
      </c>
      <c r="L823" s="3">
        <f t="shared" si="170"/>
        <v>59690.377239247675</v>
      </c>
      <c r="M823" s="3">
        <f t="shared" si="171"/>
        <v>61225.218016823703</v>
      </c>
      <c r="N823" s="3">
        <f t="shared" si="172"/>
        <v>28623.002101001701</v>
      </c>
      <c r="O823" s="3">
        <f t="shared" si="173"/>
        <v>9690.3772392476749</v>
      </c>
      <c r="P823" s="3">
        <f t="shared" si="174"/>
        <v>30218.862657500482</v>
      </c>
    </row>
    <row r="824" spans="1:16" x14ac:dyDescent="0.25">
      <c r="A824">
        <f t="shared" si="161"/>
        <v>374</v>
      </c>
      <c r="B824">
        <f t="shared" si="162"/>
        <v>-28366.817840510979</v>
      </c>
      <c r="C824">
        <f t="shared" si="163"/>
        <v>-31633.611441339792</v>
      </c>
      <c r="D824">
        <f t="shared" si="164"/>
        <v>10512.368520981443</v>
      </c>
      <c r="E824">
        <f t="shared" si="165"/>
        <v>16113.531595815763</v>
      </c>
      <c r="F824">
        <f>$C$23*(H824/(J824^2+$C$24^2)^1.5)+$C$32*(K824/(M824^2+$C$33^2)^1.5)+C$41*(N824/(P824^2+$C$42^2)^1.5)</f>
        <v>6741.3337998523157</v>
      </c>
      <c r="G824">
        <f>$C$23*(I824/(J824^2+$C$24^2)^1.5)+$C$32*(L824/(M824^2+$C$33^2)^1.5)+C$41*(O824/(P824^2+$C$42^2)^1.5)</f>
        <v>5024.361817065319</v>
      </c>
      <c r="H824" s="3">
        <f t="shared" si="166"/>
        <v>48366.817840510979</v>
      </c>
      <c r="I824" s="3">
        <f t="shared" si="167"/>
        <v>46633.611441339788</v>
      </c>
      <c r="J824" s="3">
        <f t="shared" si="168"/>
        <v>67186.626527003347</v>
      </c>
      <c r="K824" s="3">
        <f t="shared" si="169"/>
        <v>8366.8178405109793</v>
      </c>
      <c r="L824" s="3">
        <f t="shared" si="170"/>
        <v>51633.611441339788</v>
      </c>
      <c r="M824" s="3">
        <f t="shared" si="171"/>
        <v>52307.107272831941</v>
      </c>
      <c r="N824" s="3">
        <f t="shared" si="172"/>
        <v>23366.817840510979</v>
      </c>
      <c r="O824" s="3">
        <f t="shared" si="173"/>
        <v>1633.6114413397918</v>
      </c>
      <c r="P824" s="3">
        <f t="shared" si="174"/>
        <v>23423.852422966178</v>
      </c>
    </row>
    <row r="825" spans="1:16" x14ac:dyDescent="0.25">
      <c r="A825">
        <f t="shared" si="161"/>
        <v>374.5</v>
      </c>
      <c r="B825">
        <f t="shared" si="162"/>
        <v>-21425.300130057178</v>
      </c>
      <c r="C825">
        <f t="shared" si="163"/>
        <v>-22320.755189165578</v>
      </c>
      <c r="D825">
        <f t="shared" si="164"/>
        <v>13883.035420907601</v>
      </c>
      <c r="E825">
        <f t="shared" si="165"/>
        <v>18625.712504348423</v>
      </c>
      <c r="F825">
        <f>$C$23*(H825/(J825^2+$C$24^2)^1.5)+$C$32*(K825/(M825^2+$C$33^2)^1.5)+C$41*(N825/(P825^2+$C$42^2)^1.5)</f>
        <v>8095.4815753554603</v>
      </c>
      <c r="G825">
        <f>$C$23*(I825/(J825^2+$C$24^2)^1.5)+$C$32*(L825/(M825^2+$C$33^2)^1.5)+C$41*(O825/(P825^2+$C$42^2)^1.5)</f>
        <v>3087.7232643675507</v>
      </c>
      <c r="H825" s="3">
        <f t="shared" si="166"/>
        <v>41425.300130057178</v>
      </c>
      <c r="I825" s="3">
        <f t="shared" si="167"/>
        <v>37320.755189165575</v>
      </c>
      <c r="J825" s="3">
        <f t="shared" si="168"/>
        <v>55757.459220762059</v>
      </c>
      <c r="K825" s="3">
        <f t="shared" si="169"/>
        <v>1425.3001300571777</v>
      </c>
      <c r="L825" s="3">
        <f t="shared" si="170"/>
        <v>42320.755189165575</v>
      </c>
      <c r="M825" s="3">
        <f t="shared" si="171"/>
        <v>42344.749382208254</v>
      </c>
      <c r="N825" s="3">
        <f t="shared" si="172"/>
        <v>16425.300130057178</v>
      </c>
      <c r="O825" s="3">
        <f t="shared" si="173"/>
        <v>-7679.2448108344215</v>
      </c>
      <c r="P825" s="3">
        <f t="shared" si="174"/>
        <v>18131.775567417099</v>
      </c>
    </row>
    <row r="826" spans="1:16" x14ac:dyDescent="0.25">
      <c r="A826">
        <f t="shared" si="161"/>
        <v>375</v>
      </c>
      <c r="B826">
        <f t="shared" si="162"/>
        <v>-12459.912025764512</v>
      </c>
      <c r="C826">
        <f t="shared" si="163"/>
        <v>-12235.968120899479</v>
      </c>
      <c r="D826">
        <f t="shared" si="164"/>
        <v>17930.776208585332</v>
      </c>
      <c r="E826">
        <f t="shared" si="165"/>
        <v>20169.574136532199</v>
      </c>
      <c r="F826">
        <f>$C$23*(H826/(J826^2+$C$24^2)^1.5)+$C$32*(K826/(M826^2+$C$33^2)^1.5)+C$41*(N826/(P826^2+$C$42^2)^1.5)</f>
        <v>1053.595843243324</v>
      </c>
      <c r="G826">
        <f>$C$23*(I826/(J826^2+$C$24^2)^1.5)+$C$32*(L826/(M826^2+$C$33^2)^1.5)+C$41*(O826/(P826^2+$C$42^2)^1.5)</f>
        <v>2400.731620573798</v>
      </c>
      <c r="H826" s="3">
        <f t="shared" si="166"/>
        <v>32459.912025764512</v>
      </c>
      <c r="I826" s="3">
        <f t="shared" si="167"/>
        <v>27235.968120899481</v>
      </c>
      <c r="J826" s="3">
        <f t="shared" si="168"/>
        <v>42372.678086274231</v>
      </c>
      <c r="K826" s="3">
        <f t="shared" si="169"/>
        <v>-7540.0879742354882</v>
      </c>
      <c r="L826" s="3">
        <f t="shared" si="170"/>
        <v>32235.968120899481</v>
      </c>
      <c r="M826" s="3">
        <f t="shared" si="171"/>
        <v>33106.05031336203</v>
      </c>
      <c r="N826" s="3">
        <f t="shared" si="172"/>
        <v>7459.9120257645118</v>
      </c>
      <c r="O826" s="3">
        <f t="shared" si="173"/>
        <v>-17764.031879100519</v>
      </c>
      <c r="P826" s="3">
        <f t="shared" si="174"/>
        <v>19266.839804021976</v>
      </c>
    </row>
    <row r="827" spans="1:16" x14ac:dyDescent="0.25">
      <c r="A827">
        <f t="shared" si="161"/>
        <v>375.5</v>
      </c>
      <c r="B827">
        <f t="shared" si="162"/>
        <v>-3231.1249606610149</v>
      </c>
      <c r="C827">
        <f t="shared" si="163"/>
        <v>-1550.9981474899298</v>
      </c>
      <c r="D827">
        <f t="shared" si="164"/>
        <v>18457.574130206995</v>
      </c>
      <c r="E827">
        <f t="shared" si="165"/>
        <v>21369.939946819097</v>
      </c>
      <c r="F827">
        <f>$C$23*(H827/(J827^2+$C$24^2)^1.5)+$C$32*(K827/(M827^2+$C$33^2)^1.5)+C$41*(N827/(P827^2+$C$42^2)^1.5)</f>
        <v>-7607.2741601553516</v>
      </c>
      <c r="G827">
        <f>$C$23*(I827/(J827^2+$C$24^2)^1.5)+$C$32*(L827/(M827^2+$C$33^2)^1.5)+C$41*(O827/(P827^2+$C$42^2)^1.5)</f>
        <v>6108.3803499201085</v>
      </c>
      <c r="H827" s="3">
        <f t="shared" si="166"/>
        <v>23231.124960661014</v>
      </c>
      <c r="I827" s="3">
        <f t="shared" si="167"/>
        <v>16550.998147489929</v>
      </c>
      <c r="J827" s="3">
        <f t="shared" si="168"/>
        <v>28524.037347753951</v>
      </c>
      <c r="K827" s="3">
        <f t="shared" si="169"/>
        <v>-16768.875039338986</v>
      </c>
      <c r="L827" s="3">
        <f t="shared" si="170"/>
        <v>21550.998147489929</v>
      </c>
      <c r="M827" s="3">
        <f t="shared" si="171"/>
        <v>27306.422161060946</v>
      </c>
      <c r="N827" s="3">
        <f t="shared" si="172"/>
        <v>-1768.8750393389851</v>
      </c>
      <c r="O827" s="3">
        <f t="shared" si="173"/>
        <v>-28449.001852510071</v>
      </c>
      <c r="P827" s="3">
        <f t="shared" si="174"/>
        <v>28503.940522477205</v>
      </c>
    </row>
    <row r="828" spans="1:16" x14ac:dyDescent="0.25">
      <c r="A828">
        <f t="shared" si="161"/>
        <v>376</v>
      </c>
      <c r="B828">
        <f t="shared" si="162"/>
        <v>4095.8435644036449</v>
      </c>
      <c r="C828">
        <f t="shared" si="163"/>
        <v>10661.066913399645</v>
      </c>
      <c r="D828">
        <f t="shared" si="164"/>
        <v>14653.93705012932</v>
      </c>
      <c r="E828">
        <f t="shared" si="165"/>
        <v>24424.130121779152</v>
      </c>
      <c r="F828">
        <f>$C$23*(H828/(J828^2+$C$24^2)^1.5)+$C$32*(K828/(M828^2+$C$33^2)^1.5)+C$41*(N828/(P828^2+$C$42^2)^1.5)</f>
        <v>-11624.368636783123</v>
      </c>
      <c r="G828">
        <f>$C$23*(I828/(J828^2+$C$24^2)^1.5)+$C$32*(L828/(M828^2+$C$33^2)^1.5)+C$41*(O828/(P828^2+$C$42^2)^1.5)</f>
        <v>3228.3920594706478</v>
      </c>
      <c r="H828" s="3">
        <f t="shared" si="166"/>
        <v>15904.156435596355</v>
      </c>
      <c r="I828" s="3">
        <f t="shared" si="167"/>
        <v>4338.9330866003547</v>
      </c>
      <c r="J828" s="3">
        <f t="shared" si="168"/>
        <v>16485.403612223639</v>
      </c>
      <c r="K828" s="3">
        <f t="shared" si="169"/>
        <v>-24095.843564403644</v>
      </c>
      <c r="L828" s="3">
        <f t="shared" si="170"/>
        <v>9338.9330866003547</v>
      </c>
      <c r="M828" s="3">
        <f t="shared" si="171"/>
        <v>25842.317006727768</v>
      </c>
      <c r="N828" s="3">
        <f t="shared" si="172"/>
        <v>-9095.8435644036454</v>
      </c>
      <c r="O828" s="3">
        <f t="shared" si="173"/>
        <v>-40661.066913399642</v>
      </c>
      <c r="P828" s="3">
        <f t="shared" si="174"/>
        <v>41666.01412043233</v>
      </c>
    </row>
    <row r="829" spans="1:16" x14ac:dyDescent="0.25">
      <c r="A829">
        <f t="shared" si="161"/>
        <v>376.5</v>
      </c>
      <c r="B829">
        <f t="shared" si="162"/>
        <v>8516.7199302725239</v>
      </c>
      <c r="C829">
        <f t="shared" si="163"/>
        <v>23680.229989156884</v>
      </c>
      <c r="D829">
        <f t="shared" si="164"/>
        <v>8841.7527317377571</v>
      </c>
      <c r="E829">
        <f t="shared" si="165"/>
        <v>26038.326151514477</v>
      </c>
      <c r="F829">
        <f>$C$23*(H829/(J829^2+$C$24^2)^1.5)+$C$32*(K829/(M829^2+$C$33^2)^1.5)+C$41*(N829/(P829^2+$C$42^2)^1.5)</f>
        <v>-10438.300492780039</v>
      </c>
      <c r="G829">
        <f>$C$23*(I829/(J829^2+$C$24^2)^1.5)+$C$32*(L829/(M829^2+$C$33^2)^1.5)+C$41*(O829/(P829^2+$C$42^2)^1.5)</f>
        <v>-4073.0195012798954</v>
      </c>
      <c r="H829" s="3">
        <f t="shared" si="166"/>
        <v>11483.280069727476</v>
      </c>
      <c r="I829" s="3">
        <f t="shared" si="167"/>
        <v>-8680.2299891568837</v>
      </c>
      <c r="J829" s="3">
        <f t="shared" si="168"/>
        <v>14394.864147481865</v>
      </c>
      <c r="K829" s="3">
        <f t="shared" si="169"/>
        <v>-28516.719930272524</v>
      </c>
      <c r="L829" s="3">
        <f t="shared" si="170"/>
        <v>-3680.2299891568837</v>
      </c>
      <c r="M829" s="3">
        <f t="shared" si="171"/>
        <v>28753.215617643393</v>
      </c>
      <c r="N829" s="3">
        <f t="shared" si="172"/>
        <v>-13516.719930272524</v>
      </c>
      <c r="O829" s="3">
        <f t="shared" si="173"/>
        <v>-53680.229989156884</v>
      </c>
      <c r="P829" s="3">
        <f t="shared" si="174"/>
        <v>55355.838078401495</v>
      </c>
    </row>
    <row r="830" spans="1:16" x14ac:dyDescent="0.25">
      <c r="A830">
        <f t="shared" si="161"/>
        <v>377</v>
      </c>
      <c r="B830">
        <f t="shared" si="162"/>
        <v>10328.021172946392</v>
      </c>
      <c r="C830">
        <f t="shared" si="163"/>
        <v>35681.138189594152</v>
      </c>
      <c r="D830">
        <f t="shared" si="164"/>
        <v>3622.6024853477375</v>
      </c>
      <c r="E830">
        <f t="shared" si="165"/>
        <v>24001.81640087453</v>
      </c>
      <c r="F830">
        <f>$C$23*(H830/(J830^2+$C$24^2)^1.5)+$C$32*(K830/(M830^2+$C$33^2)^1.5)+C$41*(N830/(P830^2+$C$42^2)^1.5)</f>
        <v>-8073.1686947332573</v>
      </c>
      <c r="G830">
        <f>$C$23*(I830/(J830^2+$C$24^2)^1.5)+$C$32*(L830/(M830^2+$C$33^2)^1.5)+C$41*(O830/(P830^2+$C$42^2)^1.5)</f>
        <v>-5990.7160495741182</v>
      </c>
      <c r="H830" s="3">
        <f t="shared" si="166"/>
        <v>9671.9788270536083</v>
      </c>
      <c r="I830" s="3">
        <f t="shared" si="167"/>
        <v>-20681.138189594152</v>
      </c>
      <c r="J830" s="3">
        <f t="shared" si="168"/>
        <v>22831.045776487397</v>
      </c>
      <c r="K830" s="3">
        <f t="shared" si="169"/>
        <v>-30328.021172946392</v>
      </c>
      <c r="L830" s="3">
        <f t="shared" si="170"/>
        <v>-15681.138189594152</v>
      </c>
      <c r="M830" s="3">
        <f t="shared" si="171"/>
        <v>34142.158150706186</v>
      </c>
      <c r="N830" s="3">
        <f t="shared" si="172"/>
        <v>-15328.021172946392</v>
      </c>
      <c r="O830" s="3">
        <f t="shared" si="173"/>
        <v>-65681.138189594145</v>
      </c>
      <c r="P830" s="3">
        <f t="shared" si="174"/>
        <v>67445.979472158724</v>
      </c>
    </row>
    <row r="831" spans="1:16" x14ac:dyDescent="0.25">
      <c r="A831">
        <f t="shared" si="161"/>
        <v>377.5</v>
      </c>
      <c r="B831">
        <f t="shared" si="162"/>
        <v>10121.030241936945</v>
      </c>
      <c r="C831">
        <f t="shared" si="163"/>
        <v>46184.367377637893</v>
      </c>
      <c r="D831">
        <f t="shared" si="164"/>
        <v>-413.98186201889121</v>
      </c>
      <c r="E831">
        <f t="shared" si="165"/>
        <v>21006.45837608747</v>
      </c>
      <c r="F831">
        <f>$C$23*(H831/(J831^2+$C$24^2)^1.5)+$C$32*(K831/(M831^2+$C$33^2)^1.5)+C$41*(N831/(P831^2+$C$42^2)^1.5)</f>
        <v>-5483.0076813118894</v>
      </c>
      <c r="G831">
        <f>$C$23*(I831/(J831^2+$C$24^2)^1.5)+$C$32*(L831/(M831^2+$C$33^2)^1.5)+C$41*(O831/(P831^2+$C$42^2)^1.5)</f>
        <v>-5890.9060675855681</v>
      </c>
      <c r="H831" s="3">
        <f t="shared" si="166"/>
        <v>9878.9697580630545</v>
      </c>
      <c r="I831" s="3">
        <f t="shared" si="167"/>
        <v>-31184.367377637893</v>
      </c>
      <c r="J831" s="3">
        <f t="shared" si="168"/>
        <v>32711.753426317748</v>
      </c>
      <c r="K831" s="3">
        <f t="shared" si="169"/>
        <v>-30121.030241936947</v>
      </c>
      <c r="L831" s="3">
        <f t="shared" si="170"/>
        <v>-26184.367377637893</v>
      </c>
      <c r="M831" s="3">
        <f t="shared" si="171"/>
        <v>39911.120728473506</v>
      </c>
      <c r="N831" s="3">
        <f t="shared" si="172"/>
        <v>-15121.030241936945</v>
      </c>
      <c r="O831" s="3">
        <f t="shared" si="173"/>
        <v>-76184.367377637886</v>
      </c>
      <c r="P831" s="3">
        <f t="shared" si="174"/>
        <v>77670.479516406151</v>
      </c>
    </row>
    <row r="832" spans="1:16" x14ac:dyDescent="0.25">
      <c r="A832">
        <f t="shared" si="161"/>
        <v>378</v>
      </c>
      <c r="B832">
        <f t="shared" si="162"/>
        <v>8543.2873905995275</v>
      </c>
      <c r="C832">
        <f t="shared" si="163"/>
        <v>55214.870048785233</v>
      </c>
      <c r="D832">
        <f t="shared" si="164"/>
        <v>-3155.4857026748359</v>
      </c>
      <c r="E832">
        <f t="shared" si="165"/>
        <v>18061.005342294688</v>
      </c>
      <c r="F832">
        <f>$C$23*(H832/(J832^2+$C$24^2)^1.5)+$C$32*(K832/(M832^2+$C$33^2)^1.5)+C$41*(N832/(P832^2+$C$42^2)^1.5)</f>
        <v>-3713.2162411006379</v>
      </c>
      <c r="G832">
        <f>$C$23*(I832/(J832^2+$C$24^2)^1.5)+$C$32*(L832/(M832^2+$C$33^2)^1.5)+C$41*(O832/(P832^2+$C$42^2)^1.5)</f>
        <v>-5400.0024994353953</v>
      </c>
      <c r="H832" s="3">
        <f t="shared" si="166"/>
        <v>11456.712609400473</v>
      </c>
      <c r="I832" s="3">
        <f t="shared" si="167"/>
        <v>-40214.870048785233</v>
      </c>
      <c r="J832" s="3">
        <f t="shared" si="168"/>
        <v>41814.973835398712</v>
      </c>
      <c r="K832" s="3">
        <f t="shared" si="169"/>
        <v>-28543.287390599529</v>
      </c>
      <c r="L832" s="3">
        <f t="shared" si="170"/>
        <v>-35214.870048785233</v>
      </c>
      <c r="M832" s="3">
        <f t="shared" si="171"/>
        <v>45329.971626013503</v>
      </c>
      <c r="N832" s="3">
        <f t="shared" si="172"/>
        <v>-13543.287390599527</v>
      </c>
      <c r="O832" s="3">
        <f t="shared" si="173"/>
        <v>-85214.870048785233</v>
      </c>
      <c r="P832" s="3">
        <f t="shared" si="174"/>
        <v>86284.382774495913</v>
      </c>
    </row>
    <row r="833" spans="1:16" x14ac:dyDescent="0.25">
      <c r="A833">
        <f t="shared" si="161"/>
        <v>378.5</v>
      </c>
      <c r="B833">
        <f t="shared" si="162"/>
        <v>6037.2404789869497</v>
      </c>
      <c r="C833">
        <f t="shared" si="163"/>
        <v>62895.372095073733</v>
      </c>
      <c r="D833">
        <f t="shared" si="164"/>
        <v>-5012.0938232251547</v>
      </c>
      <c r="E833">
        <f t="shared" si="165"/>
        <v>15361.00409257699</v>
      </c>
      <c r="F833">
        <f>$C$23*(H833/(J833^2+$C$24^2)^1.5)+$C$32*(K833/(M833^2+$C$33^2)^1.5)+C$41*(N833/(P833^2+$C$42^2)^1.5)</f>
        <v>-2559.8180920564228</v>
      </c>
      <c r="G833">
        <f>$C$23*(I833/(J833^2+$C$24^2)^1.5)+$C$32*(L833/(M833^2+$C$33^2)^1.5)+C$41*(O833/(P833^2+$C$42^2)^1.5)</f>
        <v>-4887.5237616611385</v>
      </c>
      <c r="H833" s="3">
        <f t="shared" si="166"/>
        <v>13962.759521013049</v>
      </c>
      <c r="I833" s="3">
        <f t="shared" si="167"/>
        <v>-47895.372095073733</v>
      </c>
      <c r="J833" s="3">
        <f t="shared" si="168"/>
        <v>49889.130294756673</v>
      </c>
      <c r="K833" s="3">
        <f t="shared" si="169"/>
        <v>-26037.240478986951</v>
      </c>
      <c r="L833" s="3">
        <f t="shared" si="170"/>
        <v>-42895.372095073733</v>
      </c>
      <c r="M833" s="3">
        <f t="shared" si="171"/>
        <v>50179.187308439214</v>
      </c>
      <c r="N833" s="3">
        <f t="shared" si="172"/>
        <v>-11037.240478986951</v>
      </c>
      <c r="O833" s="3">
        <f t="shared" si="173"/>
        <v>-92895.372095073733</v>
      </c>
      <c r="P833" s="3">
        <f t="shared" si="174"/>
        <v>93548.761798717518</v>
      </c>
    </row>
    <row r="834" spans="1:16" x14ac:dyDescent="0.25">
      <c r="A834">
        <f t="shared" si="161"/>
        <v>379</v>
      </c>
      <c r="B834">
        <f t="shared" si="162"/>
        <v>2891.2390443602667</v>
      </c>
      <c r="C834">
        <f t="shared" si="163"/>
        <v>69353.993200946948</v>
      </c>
      <c r="D834">
        <f t="shared" si="164"/>
        <v>-6292.002869253366</v>
      </c>
      <c r="E834">
        <f t="shared" si="165"/>
        <v>12917.242211746421</v>
      </c>
      <c r="F834">
        <f>$C$23*(H834/(J834^2+$C$24^2)^1.5)+$C$32*(K834/(M834^2+$C$33^2)^1.5)+C$41*(N834/(P834^2+$C$42^2)^1.5)</f>
        <v>-1785.5700403888891</v>
      </c>
      <c r="G834">
        <f>$C$23*(I834/(J834^2+$C$24^2)^1.5)+$C$32*(L834/(M834^2+$C$33^2)^1.5)+C$41*(O834/(P834^2+$C$42^2)^1.5)</f>
        <v>-4448.1511538992872</v>
      </c>
      <c r="H834" s="3">
        <f t="shared" si="166"/>
        <v>17108.760955639733</v>
      </c>
      <c r="I834" s="3">
        <f t="shared" si="167"/>
        <v>-54353.993200946948</v>
      </c>
      <c r="J834" s="3">
        <f t="shared" si="168"/>
        <v>56983.035004515245</v>
      </c>
      <c r="K834" s="3">
        <f t="shared" si="169"/>
        <v>-22891.239044360267</v>
      </c>
      <c r="L834" s="3">
        <f t="shared" si="170"/>
        <v>-49353.993200946948</v>
      </c>
      <c r="M834" s="3">
        <f t="shared" si="171"/>
        <v>54404.278047458378</v>
      </c>
      <c r="N834" s="3">
        <f t="shared" si="172"/>
        <v>-7891.2390443602671</v>
      </c>
      <c r="O834" s="3">
        <f t="shared" si="173"/>
        <v>-99353.993200946948</v>
      </c>
      <c r="P834" s="3">
        <f t="shared" si="174"/>
        <v>99666.883259330672</v>
      </c>
    </row>
    <row r="835" spans="1:16" x14ac:dyDescent="0.25">
      <c r="A835">
        <f t="shared" si="161"/>
        <v>379.5</v>
      </c>
      <c r="B835">
        <f t="shared" si="162"/>
        <v>-701.1549003636386</v>
      </c>
      <c r="C835">
        <f t="shared" si="163"/>
        <v>74700.576518345348</v>
      </c>
      <c r="D835">
        <f t="shared" si="164"/>
        <v>-7184.7878894478108</v>
      </c>
      <c r="E835">
        <f t="shared" si="165"/>
        <v>10693.166634796777</v>
      </c>
      <c r="F835">
        <f>$C$23*(H835/(J835^2+$C$24^2)^1.5)+$C$32*(K835/(M835^2+$C$33^2)^1.5)+C$41*(N835/(P835^2+$C$42^2)^1.5)</f>
        <v>-1241.4759839526655</v>
      </c>
      <c r="G835">
        <f>$C$23*(I835/(J835^2+$C$24^2)^1.5)+$C$32*(L835/(M835^2+$C$33^2)^1.5)+C$41*(O835/(P835^2+$C$42^2)^1.5)</f>
        <v>-4094.4635893034747</v>
      </c>
      <c r="H835" s="3">
        <f t="shared" si="166"/>
        <v>20701.154900363639</v>
      </c>
      <c r="I835" s="3">
        <f t="shared" si="167"/>
        <v>-59700.576518345348</v>
      </c>
      <c r="J835" s="3">
        <f t="shared" si="168"/>
        <v>63187.788779412571</v>
      </c>
      <c r="K835" s="3">
        <f t="shared" si="169"/>
        <v>-19298.845099636361</v>
      </c>
      <c r="L835" s="3">
        <f t="shared" si="170"/>
        <v>-54700.576518345348</v>
      </c>
      <c r="M835" s="3">
        <f t="shared" si="171"/>
        <v>58005.159198291258</v>
      </c>
      <c r="N835" s="3">
        <f t="shared" si="172"/>
        <v>-4298.8450996363617</v>
      </c>
      <c r="O835" s="3">
        <f t="shared" si="173"/>
        <v>-104700.57651834535</v>
      </c>
      <c r="P835" s="3">
        <f t="shared" si="174"/>
        <v>104788.79134938316</v>
      </c>
    </row>
    <row r="836" spans="1:16" x14ac:dyDescent="0.25">
      <c r="A836">
        <f t="shared" si="161"/>
        <v>380</v>
      </c>
      <c r="B836">
        <f t="shared" si="162"/>
        <v>-4603.9178410757104</v>
      </c>
      <c r="C836">
        <f t="shared" si="163"/>
        <v>79023.543938417861</v>
      </c>
      <c r="D836">
        <f t="shared" si="164"/>
        <v>-7805.5258814241433</v>
      </c>
      <c r="E836">
        <f t="shared" si="165"/>
        <v>8645.9348401450388</v>
      </c>
      <c r="F836">
        <f>$C$23*(H836/(J836^2+$C$24^2)^1.5)+$C$32*(K836/(M836^2+$C$33^2)^1.5)+C$41*(N836/(P836^2+$C$42^2)^1.5)</f>
        <v>-839.80146763172695</v>
      </c>
      <c r="G836">
        <f>$C$23*(I836/(J836^2+$C$24^2)^1.5)+$C$32*(L836/(M836^2+$C$33^2)^1.5)+C$41*(O836/(P836^2+$C$42^2)^1.5)</f>
        <v>-3817.5991905889514</v>
      </c>
      <c r="H836" s="3">
        <f t="shared" si="166"/>
        <v>24603.917841075709</v>
      </c>
      <c r="I836" s="3">
        <f t="shared" si="167"/>
        <v>-64023.543938417861</v>
      </c>
      <c r="J836" s="3">
        <f t="shared" si="168"/>
        <v>68588.387876993627</v>
      </c>
      <c r="K836" s="3">
        <f t="shared" si="169"/>
        <v>-15396.08215892429</v>
      </c>
      <c r="L836" s="3">
        <f t="shared" si="170"/>
        <v>-59023.543938417861</v>
      </c>
      <c r="M836" s="3">
        <f t="shared" si="171"/>
        <v>60998.508874354389</v>
      </c>
      <c r="N836" s="3">
        <f t="shared" si="172"/>
        <v>-396.08215892428962</v>
      </c>
      <c r="O836" s="3">
        <f t="shared" si="173"/>
        <v>-109023.54393841786</v>
      </c>
      <c r="P836" s="3">
        <f t="shared" si="174"/>
        <v>109024.26341860213</v>
      </c>
    </row>
    <row r="837" spans="1:16" x14ac:dyDescent="0.25">
      <c r="A837">
        <f t="shared" si="161"/>
        <v>380.5</v>
      </c>
      <c r="B837">
        <f t="shared" si="162"/>
        <v>-8716.6311486957129</v>
      </c>
      <c r="C837">
        <f t="shared" si="163"/>
        <v>82392.111560843143</v>
      </c>
      <c r="D837">
        <f t="shared" si="164"/>
        <v>-8225.4266152400069</v>
      </c>
      <c r="E837">
        <f t="shared" si="165"/>
        <v>6737.1352448505631</v>
      </c>
      <c r="F837">
        <f>$C$23*(H837/(J837^2+$C$24^2)^1.5)+$C$32*(K837/(M837^2+$C$33^2)^1.5)+C$41*(N837/(P837^2+$C$42^2)^1.5)</f>
        <v>-527.92591560787821</v>
      </c>
      <c r="G837">
        <f>$C$23*(I837/(J837^2+$C$24^2)^1.5)+$C$32*(L837/(M837^2+$C$33^2)^1.5)+C$41*(O837/(P837^2+$C$42^2)^1.5)</f>
        <v>-3605.3609945406502</v>
      </c>
      <c r="H837" s="3">
        <f t="shared" si="166"/>
        <v>28716.631148695713</v>
      </c>
      <c r="I837" s="3">
        <f t="shared" si="167"/>
        <v>-67392.111560843143</v>
      </c>
      <c r="J837" s="3">
        <f t="shared" si="168"/>
        <v>73255.317930914534</v>
      </c>
      <c r="K837" s="3">
        <f t="shared" si="169"/>
        <v>-11283.368851304287</v>
      </c>
      <c r="L837" s="3">
        <f t="shared" si="170"/>
        <v>-62392.111560843143</v>
      </c>
      <c r="M837" s="3">
        <f t="shared" si="171"/>
        <v>63404.179654461899</v>
      </c>
      <c r="N837" s="3">
        <f t="shared" si="172"/>
        <v>3716.6311486957129</v>
      </c>
      <c r="O837" s="3">
        <f t="shared" si="173"/>
        <v>-112392.11156084314</v>
      </c>
      <c r="P837" s="3">
        <f t="shared" si="174"/>
        <v>112453.54635670884</v>
      </c>
    </row>
    <row r="838" spans="1:16" x14ac:dyDescent="0.25">
      <c r="A838">
        <f t="shared" si="161"/>
        <v>381</v>
      </c>
      <c r="B838">
        <f t="shared" si="162"/>
        <v>-12961.325935217686</v>
      </c>
      <c r="C838">
        <f t="shared" si="163"/>
        <v>84859.338934633255</v>
      </c>
      <c r="D838">
        <f t="shared" si="164"/>
        <v>-8489.3895730439453</v>
      </c>
      <c r="E838">
        <f t="shared" si="165"/>
        <v>4934.4547475802383</v>
      </c>
      <c r="F838">
        <f>$C$23*(H838/(J838^2+$C$24^2)^1.5)+$C$32*(K838/(M838^2+$C$33^2)^1.5)+C$41*(N838/(P838^2+$C$42^2)^1.5)</f>
        <v>-272.8878981217506</v>
      </c>
      <c r="G838">
        <f>$C$23*(I838/(J838^2+$C$24^2)^1.5)+$C$32*(L838/(M838^2+$C$33^2)^1.5)+C$41*(O838/(P838^2+$C$42^2)^1.5)</f>
        <v>-3447.1219904817021</v>
      </c>
      <c r="H838" s="3">
        <f t="shared" si="166"/>
        <v>32961.325935217683</v>
      </c>
      <c r="I838" s="3">
        <f t="shared" si="167"/>
        <v>-69859.338934633255</v>
      </c>
      <c r="J838" s="3">
        <f t="shared" si="168"/>
        <v>77244.910795414995</v>
      </c>
      <c r="K838" s="3">
        <f t="shared" si="169"/>
        <v>-7038.6740647823135</v>
      </c>
      <c r="L838" s="3">
        <f t="shared" si="170"/>
        <v>-64859.338934633255</v>
      </c>
      <c r="M838" s="3">
        <f t="shared" si="171"/>
        <v>65240.14699269057</v>
      </c>
      <c r="N838" s="3">
        <f t="shared" si="172"/>
        <v>7961.3259352176865</v>
      </c>
      <c r="O838" s="3">
        <f t="shared" si="173"/>
        <v>-114859.33893463326</v>
      </c>
      <c r="P838" s="3">
        <f t="shared" si="174"/>
        <v>115134.9228129664</v>
      </c>
    </row>
    <row r="839" spans="1:16" x14ac:dyDescent="0.25">
      <c r="A839">
        <f t="shared" si="161"/>
        <v>381.5</v>
      </c>
      <c r="B839">
        <f t="shared" si="162"/>
        <v>-17274.242696270099</v>
      </c>
      <c r="C839">
        <f t="shared" si="163"/>
        <v>86464.785810802947</v>
      </c>
      <c r="D839">
        <f t="shared" si="164"/>
        <v>-8625.8335221048201</v>
      </c>
      <c r="E839">
        <f t="shared" si="165"/>
        <v>3210.893752339387</v>
      </c>
      <c r="F839">
        <f>$C$23*(H839/(J839^2+$C$24^2)^1.5)+$C$32*(K839/(M839^2+$C$33^2)^1.5)+C$41*(N839/(P839^2+$C$42^2)^1.5)</f>
        <v>-52.804343733696768</v>
      </c>
      <c r="G839">
        <f>$C$23*(I839/(J839^2+$C$24^2)^1.5)+$C$32*(L839/(M839^2+$C$33^2)^1.5)+C$41*(O839/(P839^2+$C$42^2)^1.5)</f>
        <v>-3334.793777988787</v>
      </c>
      <c r="H839" s="3">
        <f t="shared" si="166"/>
        <v>37274.242696270099</v>
      </c>
      <c r="I839" s="3">
        <f t="shared" si="167"/>
        <v>-71464.785810802947</v>
      </c>
      <c r="J839" s="3">
        <f t="shared" si="168"/>
        <v>80601.394402109363</v>
      </c>
      <c r="K839" s="3">
        <f t="shared" si="169"/>
        <v>-2725.7573037299007</v>
      </c>
      <c r="L839" s="3">
        <f t="shared" si="170"/>
        <v>-66464.785810802947</v>
      </c>
      <c r="M839" s="3">
        <f t="shared" si="171"/>
        <v>66520.654730352355</v>
      </c>
      <c r="N839" s="3">
        <f t="shared" si="172"/>
        <v>12274.242696270099</v>
      </c>
      <c r="O839" s="3">
        <f t="shared" si="173"/>
        <v>-116464.78581080295</v>
      </c>
      <c r="P839" s="3">
        <f t="shared" si="174"/>
        <v>117109.79193783562</v>
      </c>
    </row>
    <row r="840" spans="1:16" x14ac:dyDescent="0.25">
      <c r="A840">
        <f t="shared" si="161"/>
        <v>382</v>
      </c>
      <c r="B840">
        <f t="shared" si="162"/>
        <v>-21600.360543255934</v>
      </c>
      <c r="C840">
        <f t="shared" si="163"/>
        <v>87236.534242475434</v>
      </c>
      <c r="D840">
        <f t="shared" si="164"/>
        <v>-8652.2356939716683</v>
      </c>
      <c r="E840">
        <f t="shared" si="165"/>
        <v>1543.4968633449935</v>
      </c>
      <c r="F840">
        <f>$C$23*(H840/(J840^2+$C$24^2)^1.5)+$C$32*(K840/(M840^2+$C$33^2)^1.5)+C$41*(N840/(P840^2+$C$42^2)^1.5)</f>
        <v>147.99250732215032</v>
      </c>
      <c r="G840">
        <f>$C$23*(I840/(J840^2+$C$24^2)^1.5)+$C$32*(L840/(M840^2+$C$33^2)^1.5)+C$41*(O840/(P840^2+$C$42^2)^1.5)</f>
        <v>-3262.7165258234363</v>
      </c>
      <c r="H840" s="3">
        <f t="shared" si="166"/>
        <v>41600.360543255934</v>
      </c>
      <c r="I840" s="3">
        <f t="shared" si="167"/>
        <v>-72236.534242475434</v>
      </c>
      <c r="J840" s="3">
        <f t="shared" si="168"/>
        <v>83358.904003670847</v>
      </c>
      <c r="K840" s="3">
        <f t="shared" si="169"/>
        <v>1600.3605432559343</v>
      </c>
      <c r="L840" s="3">
        <f t="shared" si="170"/>
        <v>-67236.534242475434</v>
      </c>
      <c r="M840" s="3">
        <f t="shared" si="171"/>
        <v>67255.577395543791</v>
      </c>
      <c r="N840" s="3">
        <f t="shared" si="172"/>
        <v>16600.360543255934</v>
      </c>
      <c r="O840" s="3">
        <f t="shared" si="173"/>
        <v>-117236.53424247543</v>
      </c>
      <c r="P840" s="3">
        <f t="shared" si="174"/>
        <v>118405.98351161652</v>
      </c>
    </row>
    <row r="841" spans="1:16" x14ac:dyDescent="0.25">
      <c r="A841">
        <f t="shared" si="161"/>
        <v>382.5</v>
      </c>
      <c r="B841">
        <f t="shared" si="162"/>
        <v>-25889.480263411231</v>
      </c>
      <c r="C841">
        <f t="shared" si="163"/>
        <v>87192.603542692072</v>
      </c>
      <c r="D841">
        <f t="shared" si="164"/>
        <v>-8578.2394403105936</v>
      </c>
      <c r="E841">
        <f t="shared" si="165"/>
        <v>-87.861399566724685</v>
      </c>
      <c r="F841">
        <f>$C$23*(H841/(J841^2+$C$24^2)^1.5)+$C$32*(K841/(M841^2+$C$33^2)^1.5)+C$41*(N841/(P841^2+$C$42^2)^1.5)</f>
        <v>341.89040094315277</v>
      </c>
      <c r="G841">
        <f>$C$23*(I841/(J841^2+$C$24^2)^1.5)+$C$32*(L841/(M841^2+$C$33^2)^1.5)+C$41*(O841/(P841^2+$C$42^2)^1.5)</f>
        <v>-3227.3420905601915</v>
      </c>
      <c r="H841" s="3">
        <f t="shared" si="166"/>
        <v>45889.480263411227</v>
      </c>
      <c r="I841" s="3">
        <f t="shared" si="167"/>
        <v>-72192.603542692072</v>
      </c>
      <c r="J841" s="3">
        <f t="shared" si="168"/>
        <v>85543.06754564232</v>
      </c>
      <c r="K841" s="3">
        <f t="shared" si="169"/>
        <v>5889.4802634112311</v>
      </c>
      <c r="L841" s="3">
        <f t="shared" si="170"/>
        <v>-67192.603542692072</v>
      </c>
      <c r="M841" s="3">
        <f t="shared" si="171"/>
        <v>67450.21829926502</v>
      </c>
      <c r="N841" s="3">
        <f t="shared" si="172"/>
        <v>20889.480263411231</v>
      </c>
      <c r="O841" s="3">
        <f t="shared" si="173"/>
        <v>-117192.60354269207</v>
      </c>
      <c r="P841" s="3">
        <f t="shared" si="174"/>
        <v>119039.81145310189</v>
      </c>
    </row>
    <row r="842" spans="1:16" x14ac:dyDescent="0.25">
      <c r="A842">
        <f t="shared" si="161"/>
        <v>383</v>
      </c>
      <c r="B842">
        <f t="shared" si="162"/>
        <v>-30093.127383330739</v>
      </c>
      <c r="C842">
        <f t="shared" si="163"/>
        <v>86341.837320268663</v>
      </c>
      <c r="D842">
        <f t="shared" si="164"/>
        <v>-8407.2942398390169</v>
      </c>
      <c r="E842">
        <f t="shared" si="165"/>
        <v>-1701.5324448468205</v>
      </c>
      <c r="F842">
        <f>$C$23*(H842/(J842^2+$C$24^2)^1.5)+$C$32*(K842/(M842^2+$C$33^2)^1.5)+C$41*(N842/(P842^2+$C$42^2)^1.5)</f>
        <v>539.98415732959552</v>
      </c>
      <c r="G842">
        <f>$C$23*(I842/(J842^2+$C$24^2)^1.5)+$C$32*(L842/(M842^2+$C$33^2)^1.5)+C$41*(O842/(P842^2+$C$42^2)^1.5)</f>
        <v>-3226.9628575771603</v>
      </c>
      <c r="H842" s="3">
        <f t="shared" si="166"/>
        <v>50093.127383330735</v>
      </c>
      <c r="I842" s="3">
        <f t="shared" si="167"/>
        <v>-71341.837320268663</v>
      </c>
      <c r="J842" s="3">
        <f t="shared" si="168"/>
        <v>87172.123774026972</v>
      </c>
      <c r="K842" s="3">
        <f t="shared" si="169"/>
        <v>10093.127383330739</v>
      </c>
      <c r="L842" s="3">
        <f t="shared" si="170"/>
        <v>-66341.837320268663</v>
      </c>
      <c r="M842" s="3">
        <f t="shared" si="171"/>
        <v>67105.220358815102</v>
      </c>
      <c r="N842" s="3">
        <f t="shared" si="172"/>
        <v>25093.127383330739</v>
      </c>
      <c r="O842" s="3">
        <f t="shared" si="173"/>
        <v>-116341.83732026866</v>
      </c>
      <c r="P842" s="3">
        <f t="shared" si="174"/>
        <v>119017.17587361885</v>
      </c>
    </row>
    <row r="843" spans="1:16" x14ac:dyDescent="0.25">
      <c r="A843">
        <f t="shared" si="161"/>
        <v>383.5</v>
      </c>
      <c r="B843">
        <f t="shared" si="162"/>
        <v>-34161.77846391785</v>
      </c>
      <c r="C843">
        <f t="shared" si="163"/>
        <v>84684.330383450972</v>
      </c>
      <c r="D843">
        <f t="shared" si="164"/>
        <v>-8137.3021611742188</v>
      </c>
      <c r="E843">
        <f t="shared" si="165"/>
        <v>-3315.0138736354006</v>
      </c>
      <c r="F843">
        <f>$C$23*(H843/(J843^2+$C$24^2)^1.5)+$C$32*(K843/(M843^2+$C$33^2)^1.5)+C$41*(N843/(P843^2+$C$42^2)^1.5)</f>
        <v>753.69824827962896</v>
      </c>
      <c r="G843">
        <f>$C$23*(I843/(J843^2+$C$24^2)^1.5)+$C$32*(L843/(M843^2+$C$33^2)^1.5)+C$41*(O843/(P843^2+$C$42^2)^1.5)</f>
        <v>-3261.543287049994</v>
      </c>
      <c r="H843" s="3">
        <f t="shared" si="166"/>
        <v>54161.77846391785</v>
      </c>
      <c r="I843" s="3">
        <f t="shared" si="167"/>
        <v>-69684.330383450972</v>
      </c>
      <c r="J843" s="3">
        <f t="shared" si="168"/>
        <v>88257.601074153747</v>
      </c>
      <c r="K843" s="3">
        <f t="shared" si="169"/>
        <v>14161.77846391785</v>
      </c>
      <c r="L843" s="3">
        <f t="shared" si="170"/>
        <v>-64684.330383450972</v>
      </c>
      <c r="M843" s="3">
        <f t="shared" si="171"/>
        <v>66216.452384709686</v>
      </c>
      <c r="N843" s="3">
        <f t="shared" si="172"/>
        <v>29161.77846391785</v>
      </c>
      <c r="O843" s="3">
        <f t="shared" si="173"/>
        <v>-114684.33038345097</v>
      </c>
      <c r="P843" s="3">
        <f t="shared" si="174"/>
        <v>118333.87071620348</v>
      </c>
    </row>
    <row r="844" spans="1:16" x14ac:dyDescent="0.25">
      <c r="A844">
        <f t="shared" si="161"/>
        <v>384</v>
      </c>
      <c r="B844">
        <f t="shared" si="162"/>
        <v>-38042.00498243505</v>
      </c>
      <c r="C844">
        <f t="shared" si="163"/>
        <v>82211.43762487077</v>
      </c>
      <c r="D844">
        <f t="shared" si="164"/>
        <v>-7760.4530370344046</v>
      </c>
      <c r="E844">
        <f t="shared" si="165"/>
        <v>-4945.7855171603978</v>
      </c>
      <c r="F844">
        <f>$C$23*(H844/(J844^2+$C$24^2)^1.5)+$C$32*(K844/(M844^2+$C$33^2)^1.5)+C$41*(N844/(P844^2+$C$42^2)^1.5)</f>
        <v>996.48075666965724</v>
      </c>
      <c r="G844">
        <f>$C$23*(I844/(J844^2+$C$24^2)^1.5)+$C$32*(L844/(M844^2+$C$33^2)^1.5)+C$41*(O844/(P844^2+$C$42^2)^1.5)</f>
        <v>-3332.6415454572839</v>
      </c>
      <c r="H844" s="3">
        <f t="shared" si="166"/>
        <v>58042.00498243505</v>
      </c>
      <c r="I844" s="3">
        <f t="shared" si="167"/>
        <v>-67211.43762487077</v>
      </c>
      <c r="J844" s="3">
        <f t="shared" si="168"/>
        <v>88804.570208874444</v>
      </c>
      <c r="K844" s="3">
        <f t="shared" si="169"/>
        <v>18042.00498243505</v>
      </c>
      <c r="L844" s="3">
        <f t="shared" si="170"/>
        <v>-62211.43762487077</v>
      </c>
      <c r="M844" s="3">
        <f t="shared" si="171"/>
        <v>64774.816982677745</v>
      </c>
      <c r="N844" s="3">
        <f t="shared" si="172"/>
        <v>33042.00498243505</v>
      </c>
      <c r="O844" s="3">
        <f t="shared" si="173"/>
        <v>-112211.43762487077</v>
      </c>
      <c r="P844" s="3">
        <f t="shared" si="174"/>
        <v>116975.12909631485</v>
      </c>
    </row>
    <row r="845" spans="1:16" x14ac:dyDescent="0.25">
      <c r="A845">
        <f t="shared" si="161"/>
        <v>384.5</v>
      </c>
      <c r="B845">
        <f t="shared" si="162"/>
        <v>-41673.111311784836</v>
      </c>
      <c r="C845">
        <f t="shared" si="163"/>
        <v>78905.384479926244</v>
      </c>
      <c r="D845">
        <f t="shared" si="164"/>
        <v>-7262.2126586995764</v>
      </c>
      <c r="E845">
        <f t="shared" si="165"/>
        <v>-6612.1062898890395</v>
      </c>
      <c r="F845">
        <f>$C$23*(H845/(J845^2+$C$24^2)^1.5)+$C$32*(K845/(M845^2+$C$33^2)^1.5)+C$41*(N845/(P845^2+$C$42^2)^1.5)</f>
        <v>1286.0349072869167</v>
      </c>
      <c r="G845">
        <f>$C$23*(I845/(J845^2+$C$24^2)^1.5)+$C$32*(L845/(M845^2+$C$33^2)^1.5)+C$41*(O845/(P845^2+$C$42^2)^1.5)</f>
        <v>-3443.3546494710617</v>
      </c>
      <c r="H845" s="3">
        <f t="shared" si="166"/>
        <v>61673.111311784836</v>
      </c>
      <c r="I845" s="3">
        <f t="shared" si="167"/>
        <v>-63905.384479926244</v>
      </c>
      <c r="J845" s="3">
        <f t="shared" si="168"/>
        <v>88811.434085949775</v>
      </c>
      <c r="K845" s="3">
        <f t="shared" si="169"/>
        <v>21673.111311784836</v>
      </c>
      <c r="L845" s="3">
        <f t="shared" si="170"/>
        <v>-58905.384479926244</v>
      </c>
      <c r="M845" s="3">
        <f t="shared" si="171"/>
        <v>62765.978640191308</v>
      </c>
      <c r="N845" s="3">
        <f t="shared" si="172"/>
        <v>36673.111311784836</v>
      </c>
      <c r="O845" s="3">
        <f t="shared" si="173"/>
        <v>-108905.38447992624</v>
      </c>
      <c r="P845" s="3">
        <f t="shared" si="174"/>
        <v>114914.3153049572</v>
      </c>
    </row>
    <row r="846" spans="1:16" x14ac:dyDescent="0.25">
      <c r="A846">
        <f t="shared" ref="A846:A909" si="175">A845+$C$5</f>
        <v>385</v>
      </c>
      <c r="B846">
        <f t="shared" ref="B846:B909" si="176">B845+D845*(A846-A845)+F845*(A846-A845)^2</f>
        <v>-44982.708914312891</v>
      </c>
      <c r="C846">
        <f t="shared" ref="C846:C909" si="177">C845+E845*(A846-A845)+G845*(A846-A845)^2</f>
        <v>74738.492672613953</v>
      </c>
      <c r="D846">
        <f t="shared" ref="D846:D909" si="178">D845+F845*(A846-A845)</f>
        <v>-6619.1952050561176</v>
      </c>
      <c r="E846">
        <f t="shared" ref="E846:E909" si="179">E845+G845*(A846-A845)</f>
        <v>-8333.78361462457</v>
      </c>
      <c r="F846">
        <f>$C$23*(H846/(J846^2+$C$24^2)^1.5)+$C$32*(K846/(M846^2+$C$33^2)^1.5)+C$41*(N846/(P846^2+$C$42^2)^1.5)</f>
        <v>1647.7834531366557</v>
      </c>
      <c r="G846">
        <f>$C$23*(I846/(J846^2+$C$24^2)^1.5)+$C$32*(L846/(M846^2+$C$33^2)^1.5)+C$41*(O846/(P846^2+$C$42^2)^1.5)</f>
        <v>-3598.1008412974475</v>
      </c>
      <c r="H846" s="3">
        <f t="shared" ref="H846:H909" si="180">$C$19-B846</f>
        <v>64982.708914312891</v>
      </c>
      <c r="I846" s="3">
        <f t="shared" ref="I846:I909" si="181">$D$19-C846</f>
        <v>-59738.492672613953</v>
      </c>
      <c r="J846" s="3">
        <f t="shared" ref="J846:J909" si="182">SQRT(H846^2+I846^2)</f>
        <v>88269.133702774445</v>
      </c>
      <c r="K846" s="3">
        <f t="shared" ref="K846:K909" si="183">$C$28-B846</f>
        <v>24982.708914312891</v>
      </c>
      <c r="L846" s="3">
        <f t="shared" ref="L846:L909" si="184">$D$28-C846</f>
        <v>-54738.492672613953</v>
      </c>
      <c r="M846" s="3">
        <f t="shared" ref="M846:M909" si="185">SQRT(K846^2+L846^2)</f>
        <v>60170.078317774358</v>
      </c>
      <c r="N846" s="3">
        <f t="shared" ref="N846:N909" si="186">$C$37-B846</f>
        <v>39982.708914312891</v>
      </c>
      <c r="O846" s="3">
        <f t="shared" ref="O846:O909" si="187">$D$37-C846</f>
        <v>-104738.49267261395</v>
      </c>
      <c r="P846" s="3">
        <f t="shared" ref="P846:P909" si="188">SQRT(N846^2+O846^2)</f>
        <v>112110.52073493318</v>
      </c>
    </row>
    <row r="847" spans="1:16" x14ac:dyDescent="0.25">
      <c r="A847">
        <f t="shared" si="175"/>
        <v>385.5</v>
      </c>
      <c r="B847">
        <f t="shared" si="176"/>
        <v>-47880.360653556789</v>
      </c>
      <c r="C847">
        <f t="shared" si="177"/>
        <v>69672.075654977307</v>
      </c>
      <c r="D847">
        <f t="shared" si="178"/>
        <v>-5795.30347848779</v>
      </c>
      <c r="E847">
        <f t="shared" si="179"/>
        <v>-10132.834035273294</v>
      </c>
      <c r="F847">
        <f>$C$23*(H847/(J847^2+$C$24^2)^1.5)+$C$32*(K847/(M847^2+$C$33^2)^1.5)+C$41*(N847/(P847^2+$C$42^2)^1.5)</f>
        <v>2120.82047150983</v>
      </c>
      <c r="G847">
        <f>$C$23*(I847/(J847^2+$C$24^2)^1.5)+$C$32*(L847/(M847^2+$C$33^2)^1.5)+C$41*(O847/(P847^2+$C$42^2)^1.5)</f>
        <v>-3801.7026898948416</v>
      </c>
      <c r="H847" s="3">
        <f t="shared" si="180"/>
        <v>67880.360653556796</v>
      </c>
      <c r="I847" s="3">
        <f t="shared" si="181"/>
        <v>-54672.075654977307</v>
      </c>
      <c r="J847" s="3">
        <f t="shared" si="182"/>
        <v>87159.504466698898</v>
      </c>
      <c r="K847" s="3">
        <f t="shared" si="183"/>
        <v>27880.360653556789</v>
      </c>
      <c r="L847" s="3">
        <f t="shared" si="184"/>
        <v>-49672.075654977307</v>
      </c>
      <c r="M847" s="3">
        <f t="shared" si="185"/>
        <v>56961.650345176859</v>
      </c>
      <c r="N847" s="3">
        <f t="shared" si="186"/>
        <v>42880.360653556789</v>
      </c>
      <c r="O847" s="3">
        <f t="shared" si="187"/>
        <v>-99672.075654977307</v>
      </c>
      <c r="P847" s="3">
        <f t="shared" si="188"/>
        <v>108504.59895852627</v>
      </c>
    </row>
    <row r="848" spans="1:16" x14ac:dyDescent="0.25">
      <c r="A848">
        <f t="shared" si="175"/>
        <v>386</v>
      </c>
      <c r="B848">
        <f t="shared" si="176"/>
        <v>-50247.807274923231</v>
      </c>
      <c r="C848">
        <f t="shared" si="177"/>
        <v>63655.232964866947</v>
      </c>
      <c r="D848">
        <f t="shared" si="178"/>
        <v>-4734.8932427328746</v>
      </c>
      <c r="E848">
        <f t="shared" si="179"/>
        <v>-12033.685380220715</v>
      </c>
      <c r="F848">
        <f>$C$23*(H848/(J848^2+$C$24^2)^1.5)+$C$32*(K848/(M848^2+$C$33^2)^1.5)+C$41*(N848/(P848^2+$C$42^2)^1.5)</f>
        <v>2768.8074232370955</v>
      </c>
      <c r="G848">
        <f>$C$23*(I848/(J848^2+$C$24^2)^1.5)+$C$32*(L848/(M848^2+$C$33^2)^1.5)+C$41*(O848/(P848^2+$C$42^2)^1.5)</f>
        <v>-4056.1572781750397</v>
      </c>
      <c r="H848" s="3">
        <f t="shared" si="180"/>
        <v>70247.807274923223</v>
      </c>
      <c r="I848" s="3">
        <f t="shared" si="181"/>
        <v>-48655.232964866947</v>
      </c>
      <c r="J848" s="3">
        <f t="shared" si="182"/>
        <v>85452.244685556579</v>
      </c>
      <c r="K848" s="3">
        <f t="shared" si="183"/>
        <v>30247.807274923231</v>
      </c>
      <c r="L848" s="3">
        <f t="shared" si="184"/>
        <v>-43655.232964866947</v>
      </c>
      <c r="M848" s="3">
        <f t="shared" si="185"/>
        <v>53110.349369569245</v>
      </c>
      <c r="N848" s="3">
        <f t="shared" si="186"/>
        <v>45247.807274923231</v>
      </c>
      <c r="O848" s="3">
        <f t="shared" si="187"/>
        <v>-93655.23296486694</v>
      </c>
      <c r="P848" s="3">
        <f t="shared" si="188"/>
        <v>104012.82000259437</v>
      </c>
    </row>
    <row r="849" spans="1:16" x14ac:dyDescent="0.25">
      <c r="A849">
        <f t="shared" si="175"/>
        <v>386.5</v>
      </c>
      <c r="B849">
        <f t="shared" si="176"/>
        <v>-51923.05204048039</v>
      </c>
      <c r="C849">
        <f t="shared" si="177"/>
        <v>56624.350955212831</v>
      </c>
      <c r="D849">
        <f t="shared" si="178"/>
        <v>-3350.4895311143268</v>
      </c>
      <c r="E849">
        <f t="shared" si="179"/>
        <v>-14061.764019308235</v>
      </c>
      <c r="F849">
        <f>$C$23*(H849/(J849^2+$C$24^2)^1.5)+$C$32*(K849/(M849^2+$C$33^2)^1.5)+C$41*(N849/(P849^2+$C$42^2)^1.5)</f>
        <v>3700.6594144139785</v>
      </c>
      <c r="G849">
        <f>$C$23*(I849/(J849^2+$C$24^2)^1.5)+$C$32*(L849/(M849^2+$C$33^2)^1.5)+C$41*(O849/(P849^2+$C$42^2)^1.5)</f>
        <v>-4350.0060823552267</v>
      </c>
      <c r="H849" s="3">
        <f t="shared" si="180"/>
        <v>71923.052040480397</v>
      </c>
      <c r="I849" s="3">
        <f t="shared" si="181"/>
        <v>-41624.350955212831</v>
      </c>
      <c r="J849" s="3">
        <f t="shared" si="182"/>
        <v>83099.410390570032</v>
      </c>
      <c r="K849" s="3">
        <f t="shared" si="183"/>
        <v>31923.05204048039</v>
      </c>
      <c r="L849" s="3">
        <f t="shared" si="184"/>
        <v>-36624.350955212831</v>
      </c>
      <c r="M849" s="3">
        <f t="shared" si="185"/>
        <v>48584.198403079761</v>
      </c>
      <c r="N849" s="3">
        <f t="shared" si="186"/>
        <v>46923.05204048039</v>
      </c>
      <c r="O849" s="3">
        <f t="shared" si="187"/>
        <v>-86624.350955212838</v>
      </c>
      <c r="P849" s="3">
        <f t="shared" si="188"/>
        <v>98516.754875531275</v>
      </c>
    </row>
    <row r="850" spans="1:16" x14ac:dyDescent="0.25">
      <c r="A850">
        <f t="shared" si="175"/>
        <v>387</v>
      </c>
      <c r="B850">
        <f t="shared" si="176"/>
        <v>-52673.131952434065</v>
      </c>
      <c r="C850">
        <f t="shared" si="177"/>
        <v>48505.967424969909</v>
      </c>
      <c r="D850">
        <f t="shared" si="178"/>
        <v>-1500.1598239073376</v>
      </c>
      <c r="E850">
        <f t="shared" si="179"/>
        <v>-16236.767060485849</v>
      </c>
      <c r="F850">
        <f>$C$23*(H850/(J850^2+$C$24^2)^1.5)+$C$32*(K850/(M850^2+$C$33^2)^1.5)+C$41*(N850/(P850^2+$C$42^2)^1.5)</f>
        <v>5109.3291462556081</v>
      </c>
      <c r="G850">
        <f>$C$23*(I850/(J850^2+$C$24^2)^1.5)+$C$32*(L850/(M850^2+$C$33^2)^1.5)+C$41*(O850/(P850^2+$C$42^2)^1.5)</f>
        <v>-4623.3736806634597</v>
      </c>
      <c r="H850" s="3">
        <f t="shared" si="180"/>
        <v>72673.131952434065</v>
      </c>
      <c r="I850" s="3">
        <f t="shared" si="181"/>
        <v>-33505.967424969909</v>
      </c>
      <c r="J850" s="3">
        <f t="shared" si="182"/>
        <v>80025.208283759173</v>
      </c>
      <c r="K850" s="3">
        <f t="shared" si="183"/>
        <v>32673.131952434065</v>
      </c>
      <c r="L850" s="3">
        <f t="shared" si="184"/>
        <v>-28505.967424969909</v>
      </c>
      <c r="M850" s="3">
        <f t="shared" si="185"/>
        <v>43360.393568493047</v>
      </c>
      <c r="N850" s="3">
        <f t="shared" si="186"/>
        <v>47673.131952434065</v>
      </c>
      <c r="O850" s="3">
        <f t="shared" si="187"/>
        <v>-78505.967424969916</v>
      </c>
      <c r="P850" s="3">
        <f t="shared" si="188"/>
        <v>91847.234207049623</v>
      </c>
    </row>
    <row r="851" spans="1:16" x14ac:dyDescent="0.25">
      <c r="A851">
        <f t="shared" si="175"/>
        <v>387.5</v>
      </c>
      <c r="B851">
        <f t="shared" si="176"/>
        <v>-52145.879577823827</v>
      </c>
      <c r="C851">
        <f t="shared" si="177"/>
        <v>39231.74047456112</v>
      </c>
      <c r="D851">
        <f t="shared" si="178"/>
        <v>1054.5047492204665</v>
      </c>
      <c r="E851">
        <f t="shared" si="179"/>
        <v>-18548.453900817578</v>
      </c>
      <c r="F851">
        <f>$C$23*(H851/(J851^2+$C$24^2)^1.5)+$C$32*(K851/(M851^2+$C$33^2)^1.5)+C$41*(N851/(P851^2+$C$42^2)^1.5)</f>
        <v>7331.1650390159184</v>
      </c>
      <c r="G851">
        <f>$C$23*(I851/(J851^2+$C$24^2)^1.5)+$C$32*(L851/(M851^2+$C$33^2)^1.5)+C$41*(O851/(P851^2+$C$42^2)^1.5)</f>
        <v>-4649.9319368216857</v>
      </c>
      <c r="H851" s="3">
        <f t="shared" si="180"/>
        <v>72145.879577823827</v>
      </c>
      <c r="I851" s="3">
        <f t="shared" si="181"/>
        <v>-24231.74047456112</v>
      </c>
      <c r="J851" s="3">
        <f t="shared" si="182"/>
        <v>76106.538395096781</v>
      </c>
      <c r="K851" s="3">
        <f t="shared" si="183"/>
        <v>32145.879577823827</v>
      </c>
      <c r="L851" s="3">
        <f t="shared" si="184"/>
        <v>-19231.74047456112</v>
      </c>
      <c r="M851" s="3">
        <f t="shared" si="185"/>
        <v>37459.543717360248</v>
      </c>
      <c r="N851" s="3">
        <f t="shared" si="186"/>
        <v>47145.879577823827</v>
      </c>
      <c r="O851" s="3">
        <f t="shared" si="187"/>
        <v>-69231.740474561113</v>
      </c>
      <c r="P851" s="3">
        <f t="shared" si="188"/>
        <v>83760.180577071646</v>
      </c>
    </row>
    <row r="852" spans="1:16" x14ac:dyDescent="0.25">
      <c r="A852">
        <f t="shared" si="175"/>
        <v>388</v>
      </c>
      <c r="B852">
        <f t="shared" si="176"/>
        <v>-49785.83594345962</v>
      </c>
      <c r="C852">
        <f t="shared" si="177"/>
        <v>28795.030539946911</v>
      </c>
      <c r="D852">
        <f t="shared" si="178"/>
        <v>4720.0872687284254</v>
      </c>
      <c r="E852">
        <f t="shared" si="179"/>
        <v>-20873.419869228419</v>
      </c>
      <c r="F852">
        <f>$C$23*(H852/(J852^2+$C$24^2)^1.5)+$C$32*(K852/(M852^2+$C$33^2)^1.5)+C$41*(N852/(P852^2+$C$42^2)^1.5)</f>
        <v>10816.517428386978</v>
      </c>
      <c r="G852">
        <f>$C$23*(I852/(J852^2+$C$24^2)^1.5)+$C$32*(L852/(M852^2+$C$33^2)^1.5)+C$41*(O852/(P852^2+$C$42^2)^1.5)</f>
        <v>-3644.1237216059885</v>
      </c>
      <c r="H852" s="3">
        <f t="shared" si="180"/>
        <v>69785.83594345962</v>
      </c>
      <c r="I852" s="3">
        <f t="shared" si="181"/>
        <v>-13795.030539946911</v>
      </c>
      <c r="J852" s="3">
        <f t="shared" si="182"/>
        <v>71136.247904465199</v>
      </c>
      <c r="K852" s="3">
        <f t="shared" si="183"/>
        <v>29785.83594345962</v>
      </c>
      <c r="L852" s="3">
        <f t="shared" si="184"/>
        <v>-8795.0305399469107</v>
      </c>
      <c r="M852" s="3">
        <f t="shared" si="185"/>
        <v>31057.182503396696</v>
      </c>
      <c r="N852" s="3">
        <f t="shared" si="186"/>
        <v>44785.83594345962</v>
      </c>
      <c r="O852" s="3">
        <f t="shared" si="187"/>
        <v>-58795.030539946907</v>
      </c>
      <c r="P852" s="3">
        <f t="shared" si="188"/>
        <v>73909.584746146211</v>
      </c>
    </row>
    <row r="853" spans="1:16" x14ac:dyDescent="0.25">
      <c r="A853">
        <f t="shared" si="175"/>
        <v>388.5</v>
      </c>
      <c r="B853">
        <f t="shared" si="176"/>
        <v>-44721.66295199866</v>
      </c>
      <c r="C853">
        <f t="shared" si="177"/>
        <v>17447.289674931206</v>
      </c>
      <c r="D853">
        <f t="shared" si="178"/>
        <v>10128.345982921914</v>
      </c>
      <c r="E853">
        <f t="shared" si="179"/>
        <v>-22695.481730031413</v>
      </c>
      <c r="F853">
        <f>$C$23*(H853/(J853^2+$C$24^2)^1.5)+$C$32*(K853/(M853^2+$C$33^2)^1.5)+C$41*(N853/(P853^2+$C$42^2)^1.5)</f>
        <v>15086.455205558783</v>
      </c>
      <c r="G853">
        <f>$C$23*(I853/(J853^2+$C$24^2)^1.5)+$C$32*(L853/(M853^2+$C$33^2)^1.5)+C$41*(O853/(P853^2+$C$42^2)^1.5)</f>
        <v>663.60882917901222</v>
      </c>
      <c r="H853" s="3">
        <f t="shared" si="180"/>
        <v>64721.66295199866</v>
      </c>
      <c r="I853" s="3">
        <f t="shared" si="181"/>
        <v>-2447.2896749312058</v>
      </c>
      <c r="J853" s="3">
        <f t="shared" si="182"/>
        <v>64767.915529412712</v>
      </c>
      <c r="K853" s="3">
        <f t="shared" si="183"/>
        <v>24721.66295199866</v>
      </c>
      <c r="L853" s="3">
        <f t="shared" si="184"/>
        <v>2552.7103250687942</v>
      </c>
      <c r="M853" s="3">
        <f t="shared" si="185"/>
        <v>24853.107433798614</v>
      </c>
      <c r="N853" s="3">
        <f t="shared" si="186"/>
        <v>39721.66295199866</v>
      </c>
      <c r="O853" s="3">
        <f t="shared" si="187"/>
        <v>-47447.289674931206</v>
      </c>
      <c r="P853" s="3">
        <f t="shared" si="188"/>
        <v>61879.364938313774</v>
      </c>
    </row>
    <row r="854" spans="1:16" x14ac:dyDescent="0.25">
      <c r="A854">
        <f t="shared" si="175"/>
        <v>389</v>
      </c>
      <c r="B854">
        <f t="shared" si="176"/>
        <v>-35885.876159148007</v>
      </c>
      <c r="C854">
        <f t="shared" si="177"/>
        <v>6265.4510172102518</v>
      </c>
      <c r="D854">
        <f t="shared" si="178"/>
        <v>17671.573585701306</v>
      </c>
      <c r="E854">
        <f t="shared" si="179"/>
        <v>-22363.677315441906</v>
      </c>
      <c r="F854">
        <f>$C$23*(H854/(J854^2+$C$24^2)^1.5)+$C$32*(K854/(M854^2+$C$33^2)^1.5)+C$41*(N854/(P854^2+$C$42^2)^1.5)</f>
        <v>14348.365850146216</v>
      </c>
      <c r="G854">
        <f>$C$23*(I854/(J854^2+$C$24^2)^1.5)+$C$32*(L854/(M854^2+$C$33^2)^1.5)+C$41*(O854/(P854^2+$C$42^2)^1.5)</f>
        <v>10004.715804873189</v>
      </c>
      <c r="H854" s="3">
        <f t="shared" si="180"/>
        <v>55885.876159148007</v>
      </c>
      <c r="I854" s="3">
        <f t="shared" si="181"/>
        <v>8734.5489827897472</v>
      </c>
      <c r="J854" s="3">
        <f t="shared" si="182"/>
        <v>56564.330633433485</v>
      </c>
      <c r="K854" s="3">
        <f t="shared" si="183"/>
        <v>15885.876159148007</v>
      </c>
      <c r="L854" s="3">
        <f t="shared" si="184"/>
        <v>13734.548982789747</v>
      </c>
      <c r="M854" s="3">
        <f t="shared" si="185"/>
        <v>20999.973740565438</v>
      </c>
      <c r="N854" s="3">
        <f t="shared" si="186"/>
        <v>30885.876159148007</v>
      </c>
      <c r="O854" s="3">
        <f t="shared" si="187"/>
        <v>-36265.451017210253</v>
      </c>
      <c r="P854" s="3">
        <f t="shared" si="188"/>
        <v>47635.284019305509</v>
      </c>
    </row>
    <row r="855" spans="1:16" x14ac:dyDescent="0.25">
      <c r="A855">
        <f t="shared" si="175"/>
        <v>389.5</v>
      </c>
      <c r="B855">
        <f t="shared" si="176"/>
        <v>-23462.997903760799</v>
      </c>
      <c r="C855">
        <f t="shared" si="177"/>
        <v>-2415.208689292404</v>
      </c>
      <c r="D855">
        <f t="shared" si="178"/>
        <v>24845.756510774416</v>
      </c>
      <c r="E855">
        <f t="shared" si="179"/>
        <v>-17361.319413005313</v>
      </c>
      <c r="F855">
        <f>$C$23*(H855/(J855^2+$C$24^2)^1.5)+$C$32*(K855/(M855^2+$C$33^2)^1.5)+C$41*(N855/(P855^2+$C$42^2)^1.5)</f>
        <v>4509.0408224541179</v>
      </c>
      <c r="G855">
        <f>$C$23*(I855/(J855^2+$C$24^2)^1.5)+$C$32*(L855/(M855^2+$C$33^2)^1.5)+C$41*(O855/(P855^2+$C$42^2)^1.5)</f>
        <v>13073.956651662593</v>
      </c>
      <c r="H855" s="3">
        <f t="shared" si="180"/>
        <v>43462.997903760799</v>
      </c>
      <c r="I855" s="3">
        <f t="shared" si="181"/>
        <v>17415.208689292405</v>
      </c>
      <c r="J855" s="3">
        <f t="shared" si="182"/>
        <v>46822.234894053501</v>
      </c>
      <c r="K855" s="3">
        <f t="shared" si="183"/>
        <v>3462.9979037607991</v>
      </c>
      <c r="L855" s="3">
        <f t="shared" si="184"/>
        <v>22415.208689292405</v>
      </c>
      <c r="M855" s="3">
        <f t="shared" si="185"/>
        <v>22681.136106156177</v>
      </c>
      <c r="N855" s="3">
        <f t="shared" si="186"/>
        <v>18462.997903760799</v>
      </c>
      <c r="O855" s="3">
        <f t="shared" si="187"/>
        <v>-27584.791310707595</v>
      </c>
      <c r="P855" s="3">
        <f t="shared" si="188"/>
        <v>33193.418071201479</v>
      </c>
    </row>
    <row r="856" spans="1:16" x14ac:dyDescent="0.25">
      <c r="A856">
        <f t="shared" si="175"/>
        <v>390</v>
      </c>
      <c r="B856">
        <f t="shared" si="176"/>
        <v>-9912.8594427600619</v>
      </c>
      <c r="C856">
        <f t="shared" si="177"/>
        <v>-7827.3792328794116</v>
      </c>
      <c r="D856">
        <f t="shared" si="178"/>
        <v>27100.276922001474</v>
      </c>
      <c r="E856">
        <f t="shared" si="179"/>
        <v>-10824.341087174016</v>
      </c>
      <c r="F856">
        <f>$C$23*(H856/(J856^2+$C$24^2)^1.5)+$C$32*(K856/(M856^2+$C$33^2)^1.5)+C$41*(N856/(P856^2+$C$42^2)^1.5)</f>
        <v>-2269.6855404848247</v>
      </c>
      <c r="G856">
        <f>$C$23*(I856/(J856^2+$C$24^2)^1.5)+$C$32*(L856/(M856^2+$C$33^2)^1.5)+C$41*(O856/(P856^2+$C$42^2)^1.5)</f>
        <v>4906.9635172976232</v>
      </c>
      <c r="H856" s="3">
        <f t="shared" si="180"/>
        <v>29912.859442760062</v>
      </c>
      <c r="I856" s="3">
        <f t="shared" si="181"/>
        <v>22827.379232879412</v>
      </c>
      <c r="J856" s="3">
        <f t="shared" si="182"/>
        <v>37628.026824217268</v>
      </c>
      <c r="K856" s="3">
        <f t="shared" si="183"/>
        <v>-10087.140557239938</v>
      </c>
      <c r="L856" s="3">
        <f t="shared" si="184"/>
        <v>27827.379232879412</v>
      </c>
      <c r="M856" s="3">
        <f t="shared" si="185"/>
        <v>29599.21349617255</v>
      </c>
      <c r="N856" s="3">
        <f t="shared" si="186"/>
        <v>4912.8594427600619</v>
      </c>
      <c r="O856" s="3">
        <f t="shared" si="187"/>
        <v>-22172.620767120588</v>
      </c>
      <c r="P856" s="3">
        <f t="shared" si="188"/>
        <v>22710.378675549731</v>
      </c>
    </row>
    <row r="857" spans="1:16" x14ac:dyDescent="0.25">
      <c r="A857">
        <f t="shared" si="175"/>
        <v>390.5</v>
      </c>
      <c r="B857">
        <f t="shared" si="176"/>
        <v>3069.857633119469</v>
      </c>
      <c r="C857">
        <f t="shared" si="177"/>
        <v>-12012.808897142015</v>
      </c>
      <c r="D857">
        <f t="shared" si="178"/>
        <v>25965.434151759062</v>
      </c>
      <c r="E857">
        <f t="shared" si="179"/>
        <v>-8370.8593285252045</v>
      </c>
      <c r="F857">
        <f>$C$23*(H857/(J857^2+$C$24^2)^1.5)+$C$32*(K857/(M857^2+$C$33^2)^1.5)+C$41*(N857/(P857^2+$C$42^2)^1.5)</f>
        <v>-7200.8847788102867</v>
      </c>
      <c r="G857">
        <f>$C$23*(I857/(J857^2+$C$24^2)^1.5)+$C$32*(L857/(M857^2+$C$33^2)^1.5)+C$41*(O857/(P857^2+$C$42^2)^1.5)</f>
        <v>-537.97496794520521</v>
      </c>
      <c r="H857" s="3">
        <f t="shared" si="180"/>
        <v>16930.142366880529</v>
      </c>
      <c r="I857" s="3">
        <f t="shared" si="181"/>
        <v>27012.808897142015</v>
      </c>
      <c r="J857" s="3">
        <f t="shared" si="182"/>
        <v>31879.798698805454</v>
      </c>
      <c r="K857" s="3">
        <f t="shared" si="183"/>
        <v>-23069.857633119471</v>
      </c>
      <c r="L857" s="3">
        <f t="shared" si="184"/>
        <v>32012.808897142015</v>
      </c>
      <c r="M857" s="3">
        <f t="shared" si="185"/>
        <v>39459.32417942983</v>
      </c>
      <c r="N857" s="3">
        <f t="shared" si="186"/>
        <v>-8069.857633119469</v>
      </c>
      <c r="O857" s="3">
        <f t="shared" si="187"/>
        <v>-17987.191102857985</v>
      </c>
      <c r="P857" s="3">
        <f t="shared" si="188"/>
        <v>19714.503442632027</v>
      </c>
    </row>
    <row r="858" spans="1:16" x14ac:dyDescent="0.25">
      <c r="A858">
        <f t="shared" si="175"/>
        <v>391</v>
      </c>
      <c r="B858">
        <f t="shared" si="176"/>
        <v>14252.353514296428</v>
      </c>
      <c r="C858">
        <f t="shared" si="177"/>
        <v>-16332.73230339092</v>
      </c>
      <c r="D858">
        <f t="shared" si="178"/>
        <v>22364.991762353919</v>
      </c>
      <c r="E858">
        <f t="shared" si="179"/>
        <v>-8639.8468124978062</v>
      </c>
      <c r="F858">
        <f>$C$23*(H858/(J858^2+$C$24^2)^1.5)+$C$32*(K858/(M858^2+$C$33^2)^1.5)+C$41*(N858/(P858^2+$C$42^2)^1.5)</f>
        <v>-8110.8443723051851</v>
      </c>
      <c r="G858">
        <f>$C$23*(I858/(J858^2+$C$24^2)^1.5)+$C$32*(L858/(M858^2+$C$33^2)^1.5)+C$41*(O858/(P858^2+$C$42^2)^1.5)</f>
        <v>717.4624837883066</v>
      </c>
      <c r="H858" s="3">
        <f t="shared" si="180"/>
        <v>5747.6464857035717</v>
      </c>
      <c r="I858" s="3">
        <f t="shared" si="181"/>
        <v>31332.73230339092</v>
      </c>
      <c r="J858" s="3">
        <f t="shared" si="182"/>
        <v>31855.541962436888</v>
      </c>
      <c r="K858" s="3">
        <f t="shared" si="183"/>
        <v>-34252.353514296425</v>
      </c>
      <c r="L858" s="3">
        <f t="shared" si="184"/>
        <v>36332.73230339092</v>
      </c>
      <c r="M858" s="3">
        <f t="shared" si="185"/>
        <v>49932.866509927117</v>
      </c>
      <c r="N858" s="3">
        <f t="shared" si="186"/>
        <v>-19252.353514296428</v>
      </c>
      <c r="O858" s="3">
        <f t="shared" si="187"/>
        <v>-13667.26769660908</v>
      </c>
      <c r="P858" s="3">
        <f t="shared" si="188"/>
        <v>23610.322363962252</v>
      </c>
    </row>
    <row r="859" spans="1:16" x14ac:dyDescent="0.25">
      <c r="A859">
        <f t="shared" si="175"/>
        <v>391.5</v>
      </c>
      <c r="B859">
        <f t="shared" si="176"/>
        <v>23407.138302397088</v>
      </c>
      <c r="C859">
        <f t="shared" si="177"/>
        <v>-20473.290088692749</v>
      </c>
      <c r="D859">
        <f t="shared" si="178"/>
        <v>18309.569576201327</v>
      </c>
      <c r="E859">
        <f t="shared" si="179"/>
        <v>-8281.1155706036534</v>
      </c>
      <c r="F859">
        <f>$C$23*(H859/(J859^2+$C$24^2)^1.5)+$C$32*(K859/(M859^2+$C$33^2)^1.5)+C$41*(N859/(P859^2+$C$42^2)^1.5)</f>
        <v>-6489.1816685004305</v>
      </c>
      <c r="G859">
        <f>$C$23*(I859/(J859^2+$C$24^2)^1.5)+$C$32*(L859/(M859^2+$C$33^2)^1.5)+C$41*(O859/(P859^2+$C$42^2)^1.5)</f>
        <v>1626.6974850895476</v>
      </c>
      <c r="H859" s="3">
        <f t="shared" si="180"/>
        <v>-3407.1383023970884</v>
      </c>
      <c r="I859" s="3">
        <f t="shared" si="181"/>
        <v>35473.290088692753</v>
      </c>
      <c r="J859" s="3">
        <f t="shared" si="182"/>
        <v>35636.538848886667</v>
      </c>
      <c r="K859" s="3">
        <f t="shared" si="183"/>
        <v>-43407.138302397085</v>
      </c>
      <c r="L859" s="3">
        <f t="shared" si="184"/>
        <v>40473.290088692753</v>
      </c>
      <c r="M859" s="3">
        <f t="shared" si="185"/>
        <v>59348.688833089676</v>
      </c>
      <c r="N859" s="3">
        <f t="shared" si="186"/>
        <v>-28407.138302397088</v>
      </c>
      <c r="O859" s="3">
        <f t="shared" si="187"/>
        <v>-9526.7099113072509</v>
      </c>
      <c r="P859" s="3">
        <f t="shared" si="188"/>
        <v>29962.037785599889</v>
      </c>
    </row>
    <row r="860" spans="1:16" x14ac:dyDescent="0.25">
      <c r="A860">
        <f t="shared" si="175"/>
        <v>392</v>
      </c>
      <c r="B860">
        <f t="shared" si="176"/>
        <v>30939.627673372644</v>
      </c>
      <c r="C860">
        <f t="shared" si="177"/>
        <v>-24207.173502722188</v>
      </c>
      <c r="D860">
        <f t="shared" si="178"/>
        <v>15064.978741951112</v>
      </c>
      <c r="E860">
        <f t="shared" si="179"/>
        <v>-7467.7668280588796</v>
      </c>
      <c r="F860">
        <f>$C$23*(H860/(J860^2+$C$24^2)^1.5)+$C$32*(K860/(M860^2+$C$33^2)^1.5)+C$41*(N860/(P860^2+$C$42^2)^1.5)</f>
        <v>-5064.1316556294678</v>
      </c>
      <c r="G860">
        <f>$C$23*(I860/(J860^2+$C$24^2)^1.5)+$C$32*(L860/(M860^2+$C$33^2)^1.5)+C$41*(O860/(P860^2+$C$42^2)^1.5)</f>
        <v>1741.2347788675906</v>
      </c>
      <c r="H860" s="3">
        <f t="shared" si="180"/>
        <v>-10939.627673372644</v>
      </c>
      <c r="I860" s="3">
        <f t="shared" si="181"/>
        <v>39207.173502722188</v>
      </c>
      <c r="J860" s="3">
        <f t="shared" si="182"/>
        <v>40704.765171962128</v>
      </c>
      <c r="K860" s="3">
        <f t="shared" si="183"/>
        <v>-50939.627673372641</v>
      </c>
      <c r="L860" s="3">
        <f t="shared" si="184"/>
        <v>44207.173502722188</v>
      </c>
      <c r="M860" s="3">
        <f t="shared" si="185"/>
        <v>67447.163443703204</v>
      </c>
      <c r="N860" s="3">
        <f t="shared" si="186"/>
        <v>-35939.627673372641</v>
      </c>
      <c r="O860" s="3">
        <f t="shared" si="187"/>
        <v>-5792.8264972778125</v>
      </c>
      <c r="P860" s="3">
        <f t="shared" si="188"/>
        <v>36403.484395428641</v>
      </c>
    </row>
    <row r="861" spans="1:16" x14ac:dyDescent="0.25">
      <c r="A861">
        <f t="shared" si="175"/>
        <v>392.5</v>
      </c>
      <c r="B861">
        <f t="shared" si="176"/>
        <v>37206.084130440831</v>
      </c>
      <c r="C861">
        <f t="shared" si="177"/>
        <v>-27505.74822203473</v>
      </c>
      <c r="D861">
        <f t="shared" si="178"/>
        <v>12532.912914136377</v>
      </c>
      <c r="E861">
        <f t="shared" si="179"/>
        <v>-6597.1494386250843</v>
      </c>
      <c r="F861">
        <f>$C$23*(H861/(J861^2+$C$24^2)^1.5)+$C$32*(K861/(M861^2+$C$33^2)^1.5)+C$41*(N861/(P861^2+$C$42^2)^1.5)</f>
        <v>-4100.3135331764952</v>
      </c>
      <c r="G861">
        <f>$C$23*(I861/(J861^2+$C$24^2)^1.5)+$C$32*(L861/(M861^2+$C$33^2)^1.5)+C$41*(O861/(P861^2+$C$42^2)^1.5)</f>
        <v>1637.9185283746542</v>
      </c>
      <c r="H861" s="3">
        <f t="shared" si="180"/>
        <v>-17206.084130440831</v>
      </c>
      <c r="I861" s="3">
        <f t="shared" si="181"/>
        <v>42505.74822203473</v>
      </c>
      <c r="J861" s="3">
        <f t="shared" si="182"/>
        <v>45856.166030522181</v>
      </c>
      <c r="K861" s="3">
        <f t="shared" si="183"/>
        <v>-57206.084130440831</v>
      </c>
      <c r="L861" s="3">
        <f t="shared" si="184"/>
        <v>47505.74822203473</v>
      </c>
      <c r="M861" s="3">
        <f t="shared" si="185"/>
        <v>74359.47939351399</v>
      </c>
      <c r="N861" s="3">
        <f t="shared" si="186"/>
        <v>-42206.084130440831</v>
      </c>
      <c r="O861" s="3">
        <f t="shared" si="187"/>
        <v>-2494.2517779652699</v>
      </c>
      <c r="P861" s="3">
        <f t="shared" si="188"/>
        <v>42279.721256859448</v>
      </c>
    </row>
    <row r="862" spans="1:16" x14ac:dyDescent="0.25">
      <c r="A862">
        <f t="shared" si="175"/>
        <v>393</v>
      </c>
      <c r="B862">
        <f t="shared" si="176"/>
        <v>42447.462204214899</v>
      </c>
      <c r="C862">
        <f t="shared" si="177"/>
        <v>-30394.843309253611</v>
      </c>
      <c r="D862">
        <f t="shared" si="178"/>
        <v>10482.756147548131</v>
      </c>
      <c r="E862">
        <f t="shared" si="179"/>
        <v>-5778.1901744377574</v>
      </c>
      <c r="F862">
        <f>$C$23*(H862/(J862^2+$C$24^2)^1.5)+$C$32*(K862/(M862^2+$C$33^2)^1.5)+C$41*(N862/(P862^2+$C$42^2)^1.5)</f>
        <v>-3454.9468209480119</v>
      </c>
      <c r="G862">
        <f>$C$23*(I862/(J862^2+$C$24^2)^1.5)+$C$32*(L862/(M862^2+$C$33^2)^1.5)+C$41*(O862/(P862^2+$C$42^2)^1.5)</f>
        <v>1504.3997829860675</v>
      </c>
      <c r="H862" s="3">
        <f t="shared" si="180"/>
        <v>-22447.462204214899</v>
      </c>
      <c r="I862" s="3">
        <f t="shared" si="181"/>
        <v>45394.843309253614</v>
      </c>
      <c r="J862" s="3">
        <f t="shared" si="182"/>
        <v>50641.685975896813</v>
      </c>
      <c r="K862" s="3">
        <f t="shared" si="183"/>
        <v>-62447.462204214899</v>
      </c>
      <c r="L862" s="3">
        <f t="shared" si="184"/>
        <v>50394.843309253614</v>
      </c>
      <c r="M862" s="3">
        <f t="shared" si="185"/>
        <v>80245.40963763019</v>
      </c>
      <c r="N862" s="3">
        <f t="shared" si="186"/>
        <v>-47447.462204214899</v>
      </c>
      <c r="O862" s="3">
        <f t="shared" si="187"/>
        <v>394.84330925361064</v>
      </c>
      <c r="P862" s="3">
        <f t="shared" si="188"/>
        <v>47449.105058570538</v>
      </c>
    </row>
    <row r="863" spans="1:16" x14ac:dyDescent="0.25">
      <c r="A863">
        <f t="shared" si="175"/>
        <v>393.5</v>
      </c>
      <c r="B863">
        <f t="shared" si="176"/>
        <v>46825.103572751963</v>
      </c>
      <c r="C863">
        <f t="shared" si="177"/>
        <v>-32907.838450725976</v>
      </c>
      <c r="D863">
        <f t="shared" si="178"/>
        <v>8755.2827370741252</v>
      </c>
      <c r="E863">
        <f t="shared" si="179"/>
        <v>-5025.9902829447237</v>
      </c>
      <c r="F863">
        <f>$C$23*(H863/(J863^2+$C$24^2)^1.5)+$C$32*(K863/(M863^2+$C$33^2)^1.5)+C$41*(N863/(P863^2+$C$42^2)^1.5)</f>
        <v>-3010.9284493970545</v>
      </c>
      <c r="G863">
        <f>$C$23*(I863/(J863^2+$C$24^2)^1.5)+$C$32*(L863/(M863^2+$C$33^2)^1.5)+C$41*(O863/(P863^2+$C$42^2)^1.5)</f>
        <v>1386.0520174120247</v>
      </c>
      <c r="H863" s="3">
        <f t="shared" si="180"/>
        <v>-26825.103572751963</v>
      </c>
      <c r="I863" s="3">
        <f t="shared" si="181"/>
        <v>47907.838450725976</v>
      </c>
      <c r="J863" s="3">
        <f t="shared" si="182"/>
        <v>54906.713311850384</v>
      </c>
      <c r="K863" s="3">
        <f t="shared" si="183"/>
        <v>-66825.103572751963</v>
      </c>
      <c r="L863" s="3">
        <f t="shared" si="184"/>
        <v>52907.838450725976</v>
      </c>
      <c r="M863" s="3">
        <f t="shared" si="185"/>
        <v>85233.994609176603</v>
      </c>
      <c r="N863" s="3">
        <f t="shared" si="186"/>
        <v>-51825.103572751963</v>
      </c>
      <c r="O863" s="3">
        <f t="shared" si="187"/>
        <v>2907.8384507259761</v>
      </c>
      <c r="P863" s="3">
        <f t="shared" si="188"/>
        <v>51906.616965296336</v>
      </c>
    </row>
    <row r="864" spans="1:16" x14ac:dyDescent="0.25">
      <c r="A864">
        <f t="shared" si="175"/>
        <v>394</v>
      </c>
      <c r="B864">
        <f t="shared" si="176"/>
        <v>50450.012828939762</v>
      </c>
      <c r="C864">
        <f t="shared" si="177"/>
        <v>-35074.32058784533</v>
      </c>
      <c r="D864">
        <f t="shared" si="178"/>
        <v>7249.8185123755975</v>
      </c>
      <c r="E864">
        <f t="shared" si="179"/>
        <v>-4332.9642742387114</v>
      </c>
      <c r="F864">
        <f>$C$23*(H864/(J864^2+$C$24^2)^1.5)+$C$32*(K864/(M864^2+$C$33^2)^1.5)+C$41*(N864/(P864^2+$C$42^2)^1.5)</f>
        <v>-2697.2520881987239</v>
      </c>
      <c r="G864">
        <f>$C$23*(I864/(J864^2+$C$24^2)^1.5)+$C$32*(L864/(M864^2+$C$33^2)^1.5)+C$41*(O864/(P864^2+$C$42^2)^1.5)</f>
        <v>1290.7052008185965</v>
      </c>
      <c r="H864" s="3">
        <f t="shared" si="180"/>
        <v>-30450.012828939762</v>
      </c>
      <c r="I864" s="3">
        <f t="shared" si="181"/>
        <v>50074.32058784533</v>
      </c>
      <c r="J864" s="3">
        <f t="shared" si="182"/>
        <v>58605.809128591565</v>
      </c>
      <c r="K864" s="3">
        <f t="shared" si="183"/>
        <v>-70450.012828939769</v>
      </c>
      <c r="L864" s="3">
        <f t="shared" si="184"/>
        <v>55074.32058784533</v>
      </c>
      <c r="M864" s="3">
        <f t="shared" si="185"/>
        <v>89422.508887922289</v>
      </c>
      <c r="N864" s="3">
        <f t="shared" si="186"/>
        <v>-55450.012828939762</v>
      </c>
      <c r="O864" s="3">
        <f t="shared" si="187"/>
        <v>5074.32058784533</v>
      </c>
      <c r="P864" s="3">
        <f t="shared" si="188"/>
        <v>55681.708416299647</v>
      </c>
    </row>
    <row r="865" spans="1:16" x14ac:dyDescent="0.25">
      <c r="A865">
        <f t="shared" si="175"/>
        <v>394.5</v>
      </c>
      <c r="B865">
        <f t="shared" si="176"/>
        <v>53400.609063077878</v>
      </c>
      <c r="C865">
        <f t="shared" si="177"/>
        <v>-36918.126424760034</v>
      </c>
      <c r="D865">
        <f t="shared" si="178"/>
        <v>5901.1924682762356</v>
      </c>
      <c r="E865">
        <f t="shared" si="179"/>
        <v>-3687.6116738294131</v>
      </c>
      <c r="F865">
        <f>$C$23*(H865/(J865^2+$C$24^2)^1.5)+$C$32*(K865/(M865^2+$C$33^2)^1.5)+C$41*(N865/(P865^2+$C$42^2)^1.5)</f>
        <v>-2471.8971536125819</v>
      </c>
      <c r="G865">
        <f>$C$23*(I865/(J865^2+$C$24^2)^1.5)+$C$32*(L865/(M865^2+$C$33^2)^1.5)+C$41*(O865/(P865^2+$C$42^2)^1.5)</f>
        <v>1217.0408402492151</v>
      </c>
      <c r="H865" s="3">
        <f t="shared" si="180"/>
        <v>-33400.609063077878</v>
      </c>
      <c r="I865" s="3">
        <f t="shared" si="181"/>
        <v>51918.126424760034</v>
      </c>
      <c r="J865" s="3">
        <f t="shared" si="182"/>
        <v>61734.046823790246</v>
      </c>
      <c r="K865" s="3">
        <f t="shared" si="183"/>
        <v>-73400.609063077878</v>
      </c>
      <c r="L865" s="3">
        <f t="shared" si="184"/>
        <v>56918.126424760034</v>
      </c>
      <c r="M865" s="3">
        <f t="shared" si="185"/>
        <v>92883.381325917275</v>
      </c>
      <c r="N865" s="3">
        <f t="shared" si="186"/>
        <v>-58400.609063077878</v>
      </c>
      <c r="O865" s="3">
        <f t="shared" si="187"/>
        <v>6918.1264247600338</v>
      </c>
      <c r="P865" s="3">
        <f t="shared" si="188"/>
        <v>58808.94160046937</v>
      </c>
    </row>
    <row r="866" spans="1:16" x14ac:dyDescent="0.25">
      <c r="A866">
        <f t="shared" si="175"/>
        <v>395</v>
      </c>
      <c r="B866">
        <f t="shared" si="176"/>
        <v>55733.231008812851</v>
      </c>
      <c r="C866">
        <f t="shared" si="177"/>
        <v>-38457.672051612433</v>
      </c>
      <c r="D866">
        <f t="shared" si="178"/>
        <v>4665.2438914699451</v>
      </c>
      <c r="E866">
        <f t="shared" si="179"/>
        <v>-3079.0912537048057</v>
      </c>
      <c r="F866">
        <f>$C$23*(H866/(J866^2+$C$24^2)^1.5)+$C$32*(K866/(M866^2+$C$33^2)^1.5)+C$41*(N866/(P866^2+$C$42^2)^1.5)</f>
        <v>-2309.4711970127128</v>
      </c>
      <c r="G866">
        <f>$C$23*(I866/(J866^2+$C$24^2)^1.5)+$C$32*(L866/(M866^2+$C$33^2)^1.5)+C$41*(O866/(P866^2+$C$42^2)^1.5)</f>
        <v>1162.0790609188593</v>
      </c>
      <c r="H866" s="3">
        <f t="shared" si="180"/>
        <v>-35733.231008812851</v>
      </c>
      <c r="I866" s="3">
        <f t="shared" si="181"/>
        <v>53457.672051612433</v>
      </c>
      <c r="J866" s="3">
        <f t="shared" si="182"/>
        <v>64300.750380589881</v>
      </c>
      <c r="K866" s="3">
        <f t="shared" si="183"/>
        <v>-75733.231008812843</v>
      </c>
      <c r="L866" s="3">
        <f t="shared" si="184"/>
        <v>58457.672051612433</v>
      </c>
      <c r="M866" s="3">
        <f t="shared" si="185"/>
        <v>95670.380477596511</v>
      </c>
      <c r="N866" s="3">
        <f t="shared" si="186"/>
        <v>-60733.231008812851</v>
      </c>
      <c r="O866" s="3">
        <f t="shared" si="187"/>
        <v>8457.6720516124333</v>
      </c>
      <c r="P866" s="3">
        <f t="shared" si="188"/>
        <v>61319.308258512283</v>
      </c>
    </row>
    <row r="867" spans="1:16" x14ac:dyDescent="0.25">
      <c r="A867">
        <f t="shared" si="175"/>
        <v>395.5</v>
      </c>
      <c r="B867">
        <f t="shared" si="176"/>
        <v>57488.485155294642</v>
      </c>
      <c r="C867">
        <f t="shared" si="177"/>
        <v>-39706.697913235119</v>
      </c>
      <c r="D867">
        <f t="shared" si="178"/>
        <v>3510.5082929635887</v>
      </c>
      <c r="E867">
        <f t="shared" si="179"/>
        <v>-2498.0517232453758</v>
      </c>
      <c r="F867">
        <f>$C$23*(H867/(J867^2+$C$24^2)^1.5)+$C$32*(K867/(M867^2+$C$33^2)^1.5)+C$41*(N867/(P867^2+$C$42^2)^1.5)</f>
        <v>-2194.268680157591</v>
      </c>
      <c r="G867">
        <f>$C$23*(I867/(J867^2+$C$24^2)^1.5)+$C$32*(L867/(M867^2+$C$33^2)^1.5)+C$41*(O867/(P867^2+$C$42^2)^1.5)</f>
        <v>1123.1092591984798</v>
      </c>
      <c r="H867" s="3">
        <f t="shared" si="180"/>
        <v>-37488.485155294642</v>
      </c>
      <c r="I867" s="3">
        <f t="shared" si="181"/>
        <v>54706.697913235119</v>
      </c>
      <c r="J867" s="3">
        <f t="shared" si="182"/>
        <v>66318.996643561419</v>
      </c>
      <c r="K867" s="3">
        <f t="shared" si="183"/>
        <v>-77488.485155294649</v>
      </c>
      <c r="L867" s="3">
        <f t="shared" si="184"/>
        <v>59706.697913235119</v>
      </c>
      <c r="M867" s="3">
        <f t="shared" si="185"/>
        <v>97823.080647486422</v>
      </c>
      <c r="N867" s="3">
        <f t="shared" si="186"/>
        <v>-62488.485155294642</v>
      </c>
      <c r="O867" s="3">
        <f t="shared" si="187"/>
        <v>9706.6979132351189</v>
      </c>
      <c r="P867" s="3">
        <f t="shared" si="188"/>
        <v>63237.89023506621</v>
      </c>
    </row>
    <row r="868" spans="1:16" x14ac:dyDescent="0.25">
      <c r="A868">
        <f t="shared" si="175"/>
        <v>396</v>
      </c>
      <c r="B868">
        <f t="shared" si="176"/>
        <v>58695.172131737039</v>
      </c>
      <c r="C868">
        <f t="shared" si="177"/>
        <v>-40674.946460058185</v>
      </c>
      <c r="D868">
        <f t="shared" si="178"/>
        <v>2413.3739528847932</v>
      </c>
      <c r="E868">
        <f t="shared" si="179"/>
        <v>-1936.4970936461359</v>
      </c>
      <c r="F868">
        <f>$C$23*(H868/(J868^2+$C$24^2)^1.5)+$C$32*(K868/(M868^2+$C$33^2)^1.5)+C$41*(N868/(P868^2+$C$42^2)^1.5)</f>
        <v>-2116.4880172091507</v>
      </c>
      <c r="G868">
        <f>$C$23*(I868/(J868^2+$C$24^2)^1.5)+$C$32*(L868/(M868^2+$C$33^2)^1.5)+C$41*(O868/(P868^2+$C$42^2)^1.5)</f>
        <v>1098.1103532437667</v>
      </c>
      <c r="H868" s="3">
        <f t="shared" si="180"/>
        <v>-38695.172131737039</v>
      </c>
      <c r="I868" s="3">
        <f t="shared" si="181"/>
        <v>55674.946460058185</v>
      </c>
      <c r="J868" s="3">
        <f t="shared" si="182"/>
        <v>67801.297993733897</v>
      </c>
      <c r="K868" s="3">
        <f t="shared" si="183"/>
        <v>-78695.172131737039</v>
      </c>
      <c r="L868" s="3">
        <f t="shared" si="184"/>
        <v>60674.946460058185</v>
      </c>
      <c r="M868" s="3">
        <f t="shared" si="185"/>
        <v>99369.91116416805</v>
      </c>
      <c r="N868" s="3">
        <f t="shared" si="186"/>
        <v>-63695.172131737039</v>
      </c>
      <c r="O868" s="3">
        <f t="shared" si="187"/>
        <v>10674.946460058185</v>
      </c>
      <c r="P868" s="3">
        <f t="shared" si="188"/>
        <v>64583.507452109778</v>
      </c>
    </row>
    <row r="869" spans="1:16" x14ac:dyDescent="0.25">
      <c r="A869">
        <f t="shared" si="175"/>
        <v>396.5</v>
      </c>
      <c r="B869">
        <f t="shared" si="176"/>
        <v>59372.737103877153</v>
      </c>
      <c r="C869">
        <f t="shared" si="177"/>
        <v>-41368.667418570309</v>
      </c>
      <c r="D869">
        <f t="shared" si="178"/>
        <v>1355.1299442802178</v>
      </c>
      <c r="E869">
        <f t="shared" si="179"/>
        <v>-1387.4419170242527</v>
      </c>
      <c r="F869">
        <f>$C$23*(H869/(J869^2+$C$24^2)^1.5)+$C$32*(K869/(M869^2+$C$33^2)^1.5)+C$41*(N869/(P869^2+$C$42^2)^1.5)</f>
        <v>-2070.1569476014206</v>
      </c>
      <c r="G869">
        <f>$C$23*(I869/(J869^2+$C$24^2)^1.5)+$C$32*(L869/(M869^2+$C$33^2)^1.5)+C$41*(O869/(P869^2+$C$42^2)^1.5)</f>
        <v>1085.7752339202843</v>
      </c>
      <c r="H869" s="3">
        <f t="shared" si="180"/>
        <v>-39372.737103877153</v>
      </c>
      <c r="I869" s="3">
        <f t="shared" si="181"/>
        <v>56368.667418570309</v>
      </c>
      <c r="J869" s="3">
        <f t="shared" si="182"/>
        <v>68757.829325804167</v>
      </c>
      <c r="K869" s="3">
        <f t="shared" si="183"/>
        <v>-79372.737103877153</v>
      </c>
      <c r="L869" s="3">
        <f t="shared" si="184"/>
        <v>61368.667418570309</v>
      </c>
      <c r="M869" s="3">
        <f t="shared" si="185"/>
        <v>100330.17859095184</v>
      </c>
      <c r="N869" s="3">
        <f t="shared" si="186"/>
        <v>-64372.737103877153</v>
      </c>
      <c r="O869" s="3">
        <f t="shared" si="187"/>
        <v>11368.667418570309</v>
      </c>
      <c r="P869" s="3">
        <f t="shared" si="188"/>
        <v>65368.921370318967</v>
      </c>
    </row>
    <row r="870" spans="1:16" x14ac:dyDescent="0.25">
      <c r="A870">
        <f t="shared" si="175"/>
        <v>397</v>
      </c>
      <c r="B870">
        <f t="shared" si="176"/>
        <v>59532.762839116906</v>
      </c>
      <c r="C870">
        <f t="shared" si="177"/>
        <v>-41790.944568602361</v>
      </c>
      <c r="D870">
        <f t="shared" si="178"/>
        <v>320.05147047950754</v>
      </c>
      <c r="E870">
        <f t="shared" si="179"/>
        <v>-844.55430006411052</v>
      </c>
      <c r="F870">
        <f>$C$23*(H870/(J870^2+$C$24^2)^1.5)+$C$32*(K870/(M870^2+$C$33^2)^1.5)+C$41*(N870/(P870^2+$C$42^2)^1.5)</f>
        <v>-2052.0040550345452</v>
      </c>
      <c r="G870">
        <f>$C$23*(I870/(J870^2+$C$24^2)^1.5)+$C$32*(L870/(M870^2+$C$33^2)^1.5)+C$41*(O870/(P870^2+$C$42^2)^1.5)</f>
        <v>1085.4593928615052</v>
      </c>
      <c r="H870" s="3">
        <f t="shared" si="180"/>
        <v>-39532.762839116906</v>
      </c>
      <c r="I870" s="3">
        <f t="shared" si="181"/>
        <v>56790.944568602361</v>
      </c>
      <c r="J870" s="3">
        <f t="shared" si="182"/>
        <v>69195.742084957281</v>
      </c>
      <c r="K870" s="3">
        <f t="shared" si="183"/>
        <v>-79532.762839116913</v>
      </c>
      <c r="L870" s="3">
        <f t="shared" si="184"/>
        <v>61790.944568602361</v>
      </c>
      <c r="M870" s="3">
        <f t="shared" si="185"/>
        <v>100715.34736823036</v>
      </c>
      <c r="N870" s="3">
        <f t="shared" si="186"/>
        <v>-64532.762839116906</v>
      </c>
      <c r="O870" s="3">
        <f t="shared" si="187"/>
        <v>11790.944568602361</v>
      </c>
      <c r="P870" s="3">
        <f t="shared" si="188"/>
        <v>65601.096434964871</v>
      </c>
    </row>
    <row r="871" spans="1:16" x14ac:dyDescent="0.25">
      <c r="A871">
        <f t="shared" si="175"/>
        <v>397.5</v>
      </c>
      <c r="B871">
        <f t="shared" si="176"/>
        <v>59179.787560598023</v>
      </c>
      <c r="C871">
        <f t="shared" si="177"/>
        <v>-41941.85687041904</v>
      </c>
      <c r="D871">
        <f t="shared" si="178"/>
        <v>-705.95055703776507</v>
      </c>
      <c r="E871">
        <f t="shared" si="179"/>
        <v>-301.82460363335792</v>
      </c>
      <c r="F871">
        <f>$C$23*(H871/(J871^2+$C$24^2)^1.5)+$C$32*(K871/(M871^2+$C$33^2)^1.5)+C$41*(N871/(P871^2+$C$42^2)^1.5)</f>
        <v>-2060.8958295215289</v>
      </c>
      <c r="G871">
        <f>$C$23*(I871/(J871^2+$C$24^2)^1.5)+$C$32*(L871/(M871^2+$C$33^2)^1.5)+C$41*(O871/(P871^2+$C$42^2)^1.5)</f>
        <v>1097.1477953621045</v>
      </c>
      <c r="H871" s="3">
        <f t="shared" si="180"/>
        <v>-39179.787560598023</v>
      </c>
      <c r="I871" s="3">
        <f t="shared" si="181"/>
        <v>56941.85687041904</v>
      </c>
      <c r="J871" s="3">
        <f t="shared" si="182"/>
        <v>69118.961343070536</v>
      </c>
      <c r="K871" s="3">
        <f t="shared" si="183"/>
        <v>-79179.787560598023</v>
      </c>
      <c r="L871" s="3">
        <f t="shared" si="184"/>
        <v>61941.85687041904</v>
      </c>
      <c r="M871" s="3">
        <f t="shared" si="185"/>
        <v>100529.75873191436</v>
      </c>
      <c r="N871" s="3">
        <f t="shared" si="186"/>
        <v>-64179.787560598023</v>
      </c>
      <c r="O871" s="3">
        <f t="shared" si="187"/>
        <v>11941.85687041904</v>
      </c>
      <c r="P871" s="3">
        <f t="shared" si="188"/>
        <v>65281.337890985866</v>
      </c>
    </row>
    <row r="872" spans="1:16" x14ac:dyDescent="0.25">
      <c r="A872">
        <f t="shared" si="175"/>
        <v>398</v>
      </c>
      <c r="B872">
        <f t="shared" si="176"/>
        <v>58311.588324698758</v>
      </c>
      <c r="C872">
        <f t="shared" si="177"/>
        <v>-41818.482223395193</v>
      </c>
      <c r="D872">
        <f t="shared" si="178"/>
        <v>-1736.3984717985295</v>
      </c>
      <c r="E872">
        <f t="shared" si="179"/>
        <v>246.74929404769432</v>
      </c>
      <c r="F872">
        <f>$C$23*(H872/(J872^2+$C$24^2)^1.5)+$C$32*(K872/(M872^2+$C$33^2)^1.5)+C$41*(N872/(P872^2+$C$42^2)^1.5)</f>
        <v>-2097.665338052263</v>
      </c>
      <c r="G872">
        <f>$C$23*(I872/(J872^2+$C$24^2)^1.5)+$C$32*(L872/(M872^2+$C$33^2)^1.5)+C$41*(O872/(P872^2+$C$42^2)^1.5)</f>
        <v>1121.4697230898798</v>
      </c>
      <c r="H872" s="3">
        <f t="shared" si="180"/>
        <v>-38311.588324698758</v>
      </c>
      <c r="I872" s="3">
        <f t="shared" si="181"/>
        <v>56818.482223395193</v>
      </c>
      <c r="J872" s="3">
        <f t="shared" si="182"/>
        <v>68528.225733134735</v>
      </c>
      <c r="K872" s="3">
        <f t="shared" si="183"/>
        <v>-78311.588324698765</v>
      </c>
      <c r="L872" s="3">
        <f t="shared" si="184"/>
        <v>61818.482223395193</v>
      </c>
      <c r="M872" s="3">
        <f t="shared" si="185"/>
        <v>99770.88558462997</v>
      </c>
      <c r="N872" s="3">
        <f t="shared" si="186"/>
        <v>-63311.588324698758</v>
      </c>
      <c r="O872" s="3">
        <f t="shared" si="187"/>
        <v>11818.482223395193</v>
      </c>
      <c r="P872" s="3">
        <f t="shared" si="188"/>
        <v>64405.230674696293</v>
      </c>
    </row>
    <row r="873" spans="1:16" x14ac:dyDescent="0.25">
      <c r="A873">
        <f t="shared" si="175"/>
        <v>398.5</v>
      </c>
      <c r="B873">
        <f t="shared" si="176"/>
        <v>56918.972754286428</v>
      </c>
      <c r="C873">
        <f t="shared" si="177"/>
        <v>-41414.740145598873</v>
      </c>
      <c r="D873">
        <f t="shared" si="178"/>
        <v>-2785.231140824661</v>
      </c>
      <c r="E873">
        <f t="shared" si="179"/>
        <v>807.48415559263424</v>
      </c>
      <c r="F873">
        <f>$C$23*(H873/(J873^2+$C$24^2)^1.5)+$C$32*(K873/(M873^2+$C$33^2)^1.5)+C$41*(N873/(P873^2+$C$42^2)^1.5)</f>
        <v>-2165.2869847570273</v>
      </c>
      <c r="G873">
        <f>$C$23*(I873/(J873^2+$C$24^2)^1.5)+$C$32*(L873/(M873^2+$C$33^2)^1.5)+C$41*(O873/(P873^2+$C$42^2)^1.5)</f>
        <v>1159.7755490580864</v>
      </c>
      <c r="H873" s="3">
        <f t="shared" si="180"/>
        <v>-36918.972754286428</v>
      </c>
      <c r="I873" s="3">
        <f t="shared" si="181"/>
        <v>56414.740145598873</v>
      </c>
      <c r="J873" s="3">
        <f t="shared" si="182"/>
        <v>67421.313061428795</v>
      </c>
      <c r="K873" s="3">
        <f t="shared" si="183"/>
        <v>-76918.972754286428</v>
      </c>
      <c r="L873" s="3">
        <f t="shared" si="184"/>
        <v>61414.740145598873</v>
      </c>
      <c r="M873" s="3">
        <f t="shared" si="185"/>
        <v>98429.155623352228</v>
      </c>
      <c r="N873" s="3">
        <f t="shared" si="186"/>
        <v>-61918.972754286428</v>
      </c>
      <c r="O873" s="3">
        <f t="shared" si="187"/>
        <v>11414.740145598873</v>
      </c>
      <c r="P873" s="3">
        <f t="shared" si="188"/>
        <v>62962.333815842721</v>
      </c>
    </row>
    <row r="874" spans="1:16" x14ac:dyDescent="0.25">
      <c r="A874">
        <f t="shared" si="175"/>
        <v>399</v>
      </c>
      <c r="B874">
        <f t="shared" si="176"/>
        <v>54985.035437684841</v>
      </c>
      <c r="C874">
        <f t="shared" si="177"/>
        <v>-40721.054180538034</v>
      </c>
      <c r="D874">
        <f t="shared" si="178"/>
        <v>-3867.8746332031747</v>
      </c>
      <c r="E874">
        <f t="shared" si="179"/>
        <v>1387.3719301216775</v>
      </c>
      <c r="F874">
        <f>$C$23*(H874/(J874^2+$C$24^2)^1.5)+$C$32*(K874/(M874^2+$C$33^2)^1.5)+C$41*(N874/(P874^2+$C$42^2)^1.5)</f>
        <v>-2269.4634762747301</v>
      </c>
      <c r="G874">
        <f>$C$23*(I874/(J874^2+$C$24^2)^1.5)+$C$32*(L874/(M874^2+$C$33^2)^1.5)+C$41*(O874/(P874^2+$C$42^2)^1.5)</f>
        <v>1214.2876682944479</v>
      </c>
      <c r="H874" s="3">
        <f t="shared" si="180"/>
        <v>-34985.035437684841</v>
      </c>
      <c r="I874" s="3">
        <f t="shared" si="181"/>
        <v>55721.054180538034</v>
      </c>
      <c r="J874" s="3">
        <f t="shared" si="182"/>
        <v>65793.529952165656</v>
      </c>
      <c r="K874" s="3">
        <f t="shared" si="183"/>
        <v>-74985.035437684841</v>
      </c>
      <c r="L874" s="3">
        <f t="shared" si="184"/>
        <v>60721.054180538034</v>
      </c>
      <c r="M874" s="3">
        <f t="shared" si="185"/>
        <v>96487.315023202347</v>
      </c>
      <c r="N874" s="3">
        <f t="shared" si="186"/>
        <v>-59985.035437684841</v>
      </c>
      <c r="O874" s="3">
        <f t="shared" si="187"/>
        <v>10721.054180538034</v>
      </c>
      <c r="P874" s="3">
        <f t="shared" si="188"/>
        <v>60935.584671047</v>
      </c>
    </row>
    <row r="875" spans="1:16" x14ac:dyDescent="0.25">
      <c r="A875">
        <f t="shared" si="175"/>
        <v>399.5</v>
      </c>
      <c r="B875">
        <f t="shared" si="176"/>
        <v>52483.732252014568</v>
      </c>
      <c r="C875">
        <f t="shared" si="177"/>
        <v>-39723.796298403584</v>
      </c>
      <c r="D875">
        <f t="shared" si="178"/>
        <v>-5002.6063713405401</v>
      </c>
      <c r="E875">
        <f t="shared" si="179"/>
        <v>1994.5157642689014</v>
      </c>
      <c r="F875">
        <f>$C$23*(H875/(J875^2+$C$24^2)^1.5)+$C$32*(K875/(M875^2+$C$33^2)^1.5)+C$41*(N875/(P875^2+$C$42^2)^1.5)</f>
        <v>-2419.8426589262117</v>
      </c>
      <c r="G875">
        <f>$C$23*(I875/(J875^2+$C$24^2)^1.5)+$C$32*(L875/(M875^2+$C$33^2)^1.5)+C$41*(O875/(P875^2+$C$42^2)^1.5)</f>
        <v>1288.333577684258</v>
      </c>
      <c r="H875" s="3">
        <f t="shared" si="180"/>
        <v>-32483.732252014568</v>
      </c>
      <c r="I875" s="3">
        <f t="shared" si="181"/>
        <v>54723.796298403584</v>
      </c>
      <c r="J875" s="3">
        <f t="shared" si="182"/>
        <v>63638.720464271915</v>
      </c>
      <c r="K875" s="3">
        <f t="shared" si="183"/>
        <v>-72483.732252014568</v>
      </c>
      <c r="L875" s="3">
        <f t="shared" si="184"/>
        <v>59723.796298403584</v>
      </c>
      <c r="M875" s="3">
        <f t="shared" si="185"/>
        <v>93919.238101013907</v>
      </c>
      <c r="N875" s="3">
        <f t="shared" si="186"/>
        <v>-57483.732252014568</v>
      </c>
      <c r="O875" s="3">
        <f t="shared" si="187"/>
        <v>9723.7962984035839</v>
      </c>
      <c r="P875" s="3">
        <f t="shared" si="188"/>
        <v>58300.357529556772</v>
      </c>
    </row>
    <row r="876" spans="1:16" x14ac:dyDescent="0.25">
      <c r="A876">
        <f t="shared" si="175"/>
        <v>400</v>
      </c>
      <c r="B876">
        <f t="shared" si="176"/>
        <v>49377.468401612743</v>
      </c>
      <c r="C876">
        <f t="shared" si="177"/>
        <v>-38404.455021848065</v>
      </c>
      <c r="D876">
        <f t="shared" si="178"/>
        <v>-6212.5277008036464</v>
      </c>
      <c r="E876">
        <f t="shared" si="179"/>
        <v>2638.6825531110303</v>
      </c>
      <c r="F876">
        <f>$C$23*(H876/(J876^2+$C$24^2)^1.5)+$C$32*(K876/(M876^2+$C$33^2)^1.5)+C$41*(N876/(P876^2+$C$42^2)^1.5)</f>
        <v>-2632.365492566968</v>
      </c>
      <c r="G876">
        <f>$C$23*(I876/(J876^2+$C$24^2)^1.5)+$C$32*(L876/(M876^2+$C$33^2)^1.5)+C$41*(O876/(P876^2+$C$42^2)^1.5)</f>
        <v>1386.6337263664443</v>
      </c>
      <c r="H876" s="3">
        <f t="shared" si="180"/>
        <v>-29377.468401612743</v>
      </c>
      <c r="I876" s="3">
        <f t="shared" si="181"/>
        <v>53404.455021848065</v>
      </c>
      <c r="J876" s="3">
        <f t="shared" si="182"/>
        <v>60951.38608652266</v>
      </c>
      <c r="K876" s="3">
        <f t="shared" si="183"/>
        <v>-69377.468401612743</v>
      </c>
      <c r="L876" s="3">
        <f t="shared" si="184"/>
        <v>58404.455021848065</v>
      </c>
      <c r="M876" s="3">
        <f t="shared" si="185"/>
        <v>90688.000795120897</v>
      </c>
      <c r="N876" s="3">
        <f t="shared" si="186"/>
        <v>-54377.468401612743</v>
      </c>
      <c r="O876" s="3">
        <f t="shared" si="187"/>
        <v>8404.4550218480654</v>
      </c>
      <c r="P876" s="3">
        <f t="shared" si="188"/>
        <v>55023.121812404097</v>
      </c>
    </row>
    <row r="877" spans="1:16" x14ac:dyDescent="0.25">
      <c r="A877">
        <f t="shared" si="175"/>
        <v>400.5</v>
      </c>
      <c r="B877">
        <f t="shared" si="176"/>
        <v>45613.113178069179</v>
      </c>
      <c r="C877">
        <f t="shared" si="177"/>
        <v>-36738.455313700935</v>
      </c>
      <c r="D877">
        <f t="shared" si="178"/>
        <v>-7528.7104470871309</v>
      </c>
      <c r="E877">
        <f t="shared" si="179"/>
        <v>3331.9994162942526</v>
      </c>
      <c r="F877">
        <f>$C$23*(H877/(J877^2+$C$24^2)^1.5)+$C$32*(K877/(M877^2+$C$33^2)^1.5)+C$41*(N877/(P877^2+$C$42^2)^1.5)</f>
        <v>-2933.872852381684</v>
      </c>
      <c r="G877">
        <f>$C$23*(I877/(J877^2+$C$24^2)^1.5)+$C$32*(L877/(M877^2+$C$33^2)^1.5)+C$41*(O877/(P877^2+$C$42^2)^1.5)</f>
        <v>1515.4480951773326</v>
      </c>
      <c r="H877" s="3">
        <f t="shared" si="180"/>
        <v>-25613.113178069179</v>
      </c>
      <c r="I877" s="3">
        <f t="shared" si="181"/>
        <v>51738.455313700935</v>
      </c>
      <c r="J877" s="3">
        <f t="shared" si="182"/>
        <v>57731.268173498574</v>
      </c>
      <c r="K877" s="3">
        <f t="shared" si="183"/>
        <v>-65613.113178069179</v>
      </c>
      <c r="L877" s="3">
        <f t="shared" si="184"/>
        <v>56738.455313700935</v>
      </c>
      <c r="M877" s="3">
        <f t="shared" si="185"/>
        <v>86742.912864988306</v>
      </c>
      <c r="N877" s="3">
        <f t="shared" si="186"/>
        <v>-50613.113178069179</v>
      </c>
      <c r="O877" s="3">
        <f t="shared" si="187"/>
        <v>6738.4553137009352</v>
      </c>
      <c r="P877" s="3">
        <f t="shared" si="188"/>
        <v>51059.710198852328</v>
      </c>
    </row>
    <row r="878" spans="1:16" x14ac:dyDescent="0.25">
      <c r="A878">
        <f t="shared" si="175"/>
        <v>401</v>
      </c>
      <c r="B878">
        <f t="shared" si="176"/>
        <v>41115.289741430191</v>
      </c>
      <c r="C878">
        <f t="shared" si="177"/>
        <v>-34693.59358175948</v>
      </c>
      <c r="D878">
        <f t="shared" si="178"/>
        <v>-8995.6468732779722</v>
      </c>
      <c r="E878">
        <f t="shared" si="179"/>
        <v>4089.7234638829186</v>
      </c>
      <c r="F878">
        <f>$C$23*(H878/(J878^2+$C$24^2)^1.5)+$C$32*(K878/(M878^2+$C$33^2)^1.5)+C$41*(N878/(P878^2+$C$42^2)^1.5)</f>
        <v>-3371.6204932758324</v>
      </c>
      <c r="G878">
        <f>$C$23*(I878/(J878^2+$C$24^2)^1.5)+$C$32*(L878/(M878^2+$C$33^2)^1.5)+C$41*(O878/(P878^2+$C$42^2)^1.5)</f>
        <v>1681.6617563367652</v>
      </c>
      <c r="H878" s="3">
        <f t="shared" si="180"/>
        <v>-21115.289741430191</v>
      </c>
      <c r="I878" s="3">
        <f t="shared" si="181"/>
        <v>49693.59358175948</v>
      </c>
      <c r="J878" s="3">
        <f t="shared" si="182"/>
        <v>53993.598731086953</v>
      </c>
      <c r="K878" s="3">
        <f t="shared" si="183"/>
        <v>-61115.289741430191</v>
      </c>
      <c r="L878" s="3">
        <f t="shared" si="184"/>
        <v>54693.59358175948</v>
      </c>
      <c r="M878" s="3">
        <f t="shared" si="185"/>
        <v>82015.04629679631</v>
      </c>
      <c r="N878" s="3">
        <f t="shared" si="186"/>
        <v>-46115.289741430191</v>
      </c>
      <c r="O878" s="3">
        <f t="shared" si="187"/>
        <v>4693.59358175948</v>
      </c>
      <c r="P878" s="3">
        <f t="shared" si="188"/>
        <v>46353.530271671763</v>
      </c>
    </row>
    <row r="879" spans="1:16" x14ac:dyDescent="0.25">
      <c r="A879">
        <f t="shared" si="175"/>
        <v>401.5</v>
      </c>
      <c r="B879">
        <f t="shared" si="176"/>
        <v>35774.561181472243</v>
      </c>
      <c r="C879">
        <f t="shared" si="177"/>
        <v>-32228.316410733831</v>
      </c>
      <c r="D879">
        <f t="shared" si="178"/>
        <v>-10681.457119915889</v>
      </c>
      <c r="E879">
        <f t="shared" si="179"/>
        <v>4930.5543420513013</v>
      </c>
      <c r="F879">
        <f>$C$23*(H879/(J879^2+$C$24^2)^1.5)+$C$32*(K879/(M879^2+$C$33^2)^1.5)+C$41*(N879/(P879^2+$C$42^2)^1.5)</f>
        <v>-4034.2625858340507</v>
      </c>
      <c r="G879">
        <f>$C$23*(I879/(J879^2+$C$24^2)^1.5)+$C$32*(L879/(M879^2+$C$33^2)^1.5)+C$41*(O879/(P879^2+$C$42^2)^1.5)</f>
        <v>1886.6910963171185</v>
      </c>
      <c r="H879" s="3">
        <f t="shared" si="180"/>
        <v>-15774.561181472243</v>
      </c>
      <c r="I879" s="3">
        <f t="shared" si="181"/>
        <v>47228.316410733831</v>
      </c>
      <c r="J879" s="3">
        <f t="shared" si="182"/>
        <v>49793.078348907104</v>
      </c>
      <c r="K879" s="3">
        <f t="shared" si="183"/>
        <v>-55774.561181472243</v>
      </c>
      <c r="L879" s="3">
        <f t="shared" si="184"/>
        <v>52228.316410733831</v>
      </c>
      <c r="M879" s="3">
        <f t="shared" si="185"/>
        <v>76410.723789828859</v>
      </c>
      <c r="N879" s="3">
        <f t="shared" si="186"/>
        <v>-40774.561181472243</v>
      </c>
      <c r="O879" s="3">
        <f t="shared" si="187"/>
        <v>2228.3164107338307</v>
      </c>
      <c r="P879" s="3">
        <f t="shared" si="188"/>
        <v>40835.404168049674</v>
      </c>
    </row>
    <row r="880" spans="1:16" x14ac:dyDescent="0.25">
      <c r="A880">
        <f t="shared" si="175"/>
        <v>402</v>
      </c>
      <c r="B880">
        <f t="shared" si="176"/>
        <v>29425.266975055787</v>
      </c>
      <c r="C880">
        <f t="shared" si="177"/>
        <v>-29291.3664656289</v>
      </c>
      <c r="D880">
        <f t="shared" si="178"/>
        <v>-12698.588412832914</v>
      </c>
      <c r="E880">
        <f t="shared" si="179"/>
        <v>5873.899890209861</v>
      </c>
      <c r="F880">
        <f>$C$23*(H880/(J880^2+$C$24^2)^1.5)+$C$32*(K880/(M880^2+$C$33^2)^1.5)+C$41*(N880/(P880^2+$C$42^2)^1.5)</f>
        <v>-5100.3657249880343</v>
      </c>
      <c r="G880">
        <f>$C$23*(I880/(J880^2+$C$24^2)^1.5)+$C$32*(L880/(M880^2+$C$33^2)^1.5)+C$41*(O880/(P880^2+$C$42^2)^1.5)</f>
        <v>2095.5458927537484</v>
      </c>
      <c r="H880" s="3">
        <f t="shared" si="180"/>
        <v>-9425.266975055787</v>
      </c>
      <c r="I880" s="3">
        <f t="shared" si="181"/>
        <v>44291.366465628904</v>
      </c>
      <c r="J880" s="3">
        <f t="shared" si="182"/>
        <v>45283.118277606656</v>
      </c>
      <c r="K880" s="3">
        <f t="shared" si="183"/>
        <v>-49425.266975055783</v>
      </c>
      <c r="L880" s="3">
        <f t="shared" si="184"/>
        <v>49291.366465628904</v>
      </c>
      <c r="M880" s="3">
        <f t="shared" si="185"/>
        <v>69803.26513569738</v>
      </c>
      <c r="N880" s="3">
        <f t="shared" si="186"/>
        <v>-34425.266975055783</v>
      </c>
      <c r="O880" s="3">
        <f t="shared" si="187"/>
        <v>-708.63353437109981</v>
      </c>
      <c r="P880" s="3">
        <f t="shared" si="188"/>
        <v>34432.559704295898</v>
      </c>
    </row>
    <row r="881" spans="1:16" x14ac:dyDescent="0.25">
      <c r="A881">
        <f t="shared" si="175"/>
        <v>402.5</v>
      </c>
      <c r="B881">
        <f t="shared" si="176"/>
        <v>21800.881337392322</v>
      </c>
      <c r="C881">
        <f t="shared" si="177"/>
        <v>-25830.530047335531</v>
      </c>
      <c r="D881">
        <f t="shared" si="178"/>
        <v>-15248.771275326932</v>
      </c>
      <c r="E881">
        <f t="shared" si="179"/>
        <v>6921.6728365867348</v>
      </c>
      <c r="F881">
        <f>$C$23*(H881/(J881^2+$C$24^2)^1.5)+$C$32*(K881/(M881^2+$C$33^2)^1.5)+C$41*(N881/(P881^2+$C$42^2)^1.5)</f>
        <v>-6934.2405812712041</v>
      </c>
      <c r="G881">
        <f>$C$23*(I881/(J881^2+$C$24^2)^1.5)+$C$32*(L881/(M881^2+$C$33^2)^1.5)+C$41*(O881/(P881^2+$C$42^2)^1.5)</f>
        <v>2076.082061886043</v>
      </c>
      <c r="H881" s="3">
        <f t="shared" si="180"/>
        <v>-1800.8813373923222</v>
      </c>
      <c r="I881" s="3">
        <f t="shared" si="181"/>
        <v>40830.530047335531</v>
      </c>
      <c r="J881" s="3">
        <f t="shared" si="182"/>
        <v>40870.225807276103</v>
      </c>
      <c r="K881" s="3">
        <f t="shared" si="183"/>
        <v>-41800.881337392319</v>
      </c>
      <c r="L881" s="3">
        <f t="shared" si="184"/>
        <v>45830.530047335531</v>
      </c>
      <c r="M881" s="3">
        <f t="shared" si="185"/>
        <v>62030.243954078389</v>
      </c>
      <c r="N881" s="3">
        <f t="shared" si="186"/>
        <v>-26800.881337392322</v>
      </c>
      <c r="O881" s="3">
        <f t="shared" si="187"/>
        <v>-4169.469952664469</v>
      </c>
      <c r="P881" s="3">
        <f t="shared" si="188"/>
        <v>27123.268979736862</v>
      </c>
    </row>
    <row r="882" spans="1:16" x14ac:dyDescent="0.25">
      <c r="A882">
        <f t="shared" si="175"/>
        <v>403</v>
      </c>
      <c r="B882">
        <f t="shared" si="176"/>
        <v>12442.935554411057</v>
      </c>
      <c r="C882">
        <f t="shared" si="177"/>
        <v>-21850.673113570654</v>
      </c>
      <c r="D882">
        <f t="shared" si="178"/>
        <v>-18715.891565962535</v>
      </c>
      <c r="E882">
        <f t="shared" si="179"/>
        <v>7959.7138675297565</v>
      </c>
      <c r="F882">
        <f>$C$23*(H882/(J882^2+$C$24^2)^1.5)+$C$32*(K882/(M882^2+$C$33^2)^1.5)+C$41*(N882/(P882^2+$C$42^2)^1.5)</f>
        <v>-9834.2839027143127</v>
      </c>
      <c r="G882">
        <f>$C$23*(I882/(J882^2+$C$24^2)^1.5)+$C$32*(L882/(M882^2+$C$33^2)^1.5)+C$41*(O882/(P882^2+$C$42^2)^1.5)</f>
        <v>559.09291422557317</v>
      </c>
      <c r="H882" s="3">
        <f t="shared" si="180"/>
        <v>7557.0644455889433</v>
      </c>
      <c r="I882" s="3">
        <f t="shared" si="181"/>
        <v>36850.67311357065</v>
      </c>
      <c r="J882" s="3">
        <f t="shared" si="182"/>
        <v>37617.566800073917</v>
      </c>
      <c r="K882" s="3">
        <f t="shared" si="183"/>
        <v>-32442.935554411059</v>
      </c>
      <c r="L882" s="3">
        <f t="shared" si="184"/>
        <v>41850.67311357065</v>
      </c>
      <c r="M882" s="3">
        <f t="shared" si="185"/>
        <v>52953.025479632553</v>
      </c>
      <c r="N882" s="3">
        <f t="shared" si="186"/>
        <v>-17442.935554411059</v>
      </c>
      <c r="O882" s="3">
        <f t="shared" si="187"/>
        <v>-8149.3268864293459</v>
      </c>
      <c r="P882" s="3">
        <f t="shared" si="188"/>
        <v>19252.72784457355</v>
      </c>
    </row>
    <row r="883" spans="1:16" x14ac:dyDescent="0.25">
      <c r="A883">
        <f t="shared" si="175"/>
        <v>403.5</v>
      </c>
      <c r="B883">
        <f t="shared" si="176"/>
        <v>626.41879575121129</v>
      </c>
      <c r="C883">
        <f t="shared" si="177"/>
        <v>-17731.042951249383</v>
      </c>
      <c r="D883">
        <f t="shared" si="178"/>
        <v>-23633.033517319691</v>
      </c>
      <c r="E883">
        <f t="shared" si="179"/>
        <v>8239.2603246425424</v>
      </c>
      <c r="F883">
        <f>$C$23*(H883/(J883^2+$C$24^2)^1.5)+$C$32*(K883/(M883^2+$C$33^2)^1.5)+C$41*(N883/(P883^2+$C$42^2)^1.5)</f>
        <v>-7879.2986401920007</v>
      </c>
      <c r="G883">
        <f>$C$23*(I883/(J883^2+$C$24^2)^1.5)+$C$32*(L883/(M883^2+$C$33^2)^1.5)+C$41*(O883/(P883^2+$C$42^2)^1.5)</f>
        <v>-4891.0865086376107</v>
      </c>
      <c r="H883" s="3">
        <f t="shared" si="180"/>
        <v>19373.581204248789</v>
      </c>
      <c r="I883" s="3">
        <f t="shared" si="181"/>
        <v>32731.042951249383</v>
      </c>
      <c r="J883" s="3">
        <f t="shared" si="182"/>
        <v>38034.942110566619</v>
      </c>
      <c r="K883" s="3">
        <f t="shared" si="183"/>
        <v>-20626.418795751211</v>
      </c>
      <c r="L883" s="3">
        <f t="shared" si="184"/>
        <v>37731.042951249387</v>
      </c>
      <c r="M883" s="3">
        <f t="shared" si="185"/>
        <v>43000.938995872457</v>
      </c>
      <c r="N883" s="3">
        <f t="shared" si="186"/>
        <v>-5626.4187957512113</v>
      </c>
      <c r="O883" s="3">
        <f t="shared" si="187"/>
        <v>-12268.957048750617</v>
      </c>
      <c r="P883" s="3">
        <f t="shared" si="188"/>
        <v>13497.551464220092</v>
      </c>
    </row>
    <row r="884" spans="1:16" x14ac:dyDescent="0.25">
      <c r="A884">
        <f t="shared" si="175"/>
        <v>404</v>
      </c>
      <c r="B884">
        <f t="shared" si="176"/>
        <v>-13159.922622956634</v>
      </c>
      <c r="C884">
        <f t="shared" si="177"/>
        <v>-14834.184416087515</v>
      </c>
      <c r="D884">
        <f t="shared" si="178"/>
        <v>-27572.68283741569</v>
      </c>
      <c r="E884">
        <f t="shared" si="179"/>
        <v>5793.7170703237371</v>
      </c>
      <c r="F884">
        <f>$C$23*(H884/(J884^2+$C$24^2)^1.5)+$C$32*(K884/(M884^2+$C$33^2)^1.5)+C$41*(N884/(P884^2+$C$42^2)^1.5)</f>
        <v>2830.3723584555437</v>
      </c>
      <c r="G884">
        <f>$C$23*(I884/(J884^2+$C$24^2)^1.5)+$C$32*(L884/(M884^2+$C$33^2)^1.5)+C$41*(O884/(P884^2+$C$42^2)^1.5)</f>
        <v>732.94087462838161</v>
      </c>
      <c r="H884" s="3">
        <f t="shared" si="180"/>
        <v>33159.922622956634</v>
      </c>
      <c r="I884" s="3">
        <f t="shared" si="181"/>
        <v>29834.184416087515</v>
      </c>
      <c r="J884" s="3">
        <f t="shared" si="182"/>
        <v>44605.594134969106</v>
      </c>
      <c r="K884" s="3">
        <f t="shared" si="183"/>
        <v>-6840.0773770433661</v>
      </c>
      <c r="L884" s="3">
        <f t="shared" si="184"/>
        <v>34834.184416087519</v>
      </c>
      <c r="M884" s="3">
        <f t="shared" si="185"/>
        <v>35499.395240735234</v>
      </c>
      <c r="N884" s="3">
        <f t="shared" si="186"/>
        <v>8159.9226229566339</v>
      </c>
      <c r="O884" s="3">
        <f t="shared" si="187"/>
        <v>-15165.815583912485</v>
      </c>
      <c r="P884" s="3">
        <f t="shared" si="188"/>
        <v>17221.681089193422</v>
      </c>
    </row>
    <row r="885" spans="1:16" x14ac:dyDescent="0.25">
      <c r="A885">
        <f t="shared" si="175"/>
        <v>404.5</v>
      </c>
      <c r="B885">
        <f t="shared" si="176"/>
        <v>-26238.670952050594</v>
      </c>
      <c r="C885">
        <f t="shared" si="177"/>
        <v>-11754.090662268552</v>
      </c>
      <c r="D885">
        <f t="shared" si="178"/>
        <v>-26157.49665818792</v>
      </c>
      <c r="E885">
        <f t="shared" si="179"/>
        <v>6160.1875076379274</v>
      </c>
      <c r="F885">
        <f>$C$23*(H885/(J885^2+$C$24^2)^1.5)+$C$32*(K885/(M885^2+$C$33^2)^1.5)+C$41*(N885/(P885^2+$C$42^2)^1.5)</f>
        <v>5485.1762452946605</v>
      </c>
      <c r="G885">
        <f>$C$23*(I885/(J885^2+$C$24^2)^1.5)+$C$32*(L885/(M885^2+$C$33^2)^1.5)+C$41*(O885/(P885^2+$C$42^2)^1.5)</f>
        <v>7075.307115248077</v>
      </c>
      <c r="H885" s="3">
        <f t="shared" si="180"/>
        <v>46238.670952050597</v>
      </c>
      <c r="I885" s="3">
        <f t="shared" si="181"/>
        <v>26754.090662268551</v>
      </c>
      <c r="J885" s="3">
        <f t="shared" si="182"/>
        <v>53420.932775241701</v>
      </c>
      <c r="K885" s="3">
        <f t="shared" si="183"/>
        <v>6238.6709520505938</v>
      </c>
      <c r="L885" s="3">
        <f t="shared" si="184"/>
        <v>31754.090662268551</v>
      </c>
      <c r="M885" s="3">
        <f t="shared" si="185"/>
        <v>32361.138562101467</v>
      </c>
      <c r="N885" s="3">
        <f t="shared" si="186"/>
        <v>21238.670952050594</v>
      </c>
      <c r="O885" s="3">
        <f t="shared" si="187"/>
        <v>-18245.909337731449</v>
      </c>
      <c r="P885" s="3">
        <f t="shared" si="188"/>
        <v>27999.899131428909</v>
      </c>
    </row>
    <row r="886" spans="1:16" x14ac:dyDescent="0.25">
      <c r="A886">
        <f t="shared" si="175"/>
        <v>405</v>
      </c>
      <c r="B886">
        <f t="shared" si="176"/>
        <v>-37946.125219820889</v>
      </c>
      <c r="C886">
        <f t="shared" si="177"/>
        <v>-6905.1701296375704</v>
      </c>
      <c r="D886">
        <f t="shared" si="178"/>
        <v>-23414.908535540591</v>
      </c>
      <c r="E886">
        <f t="shared" si="179"/>
        <v>9697.8410652619659</v>
      </c>
      <c r="F886">
        <f>$C$23*(H886/(J886^2+$C$24^2)^1.5)+$C$32*(K886/(M886^2+$C$33^2)^1.5)+C$41*(N886/(P886^2+$C$42^2)^1.5)</f>
        <v>7662.3989015413918</v>
      </c>
      <c r="G886">
        <f>$C$23*(I886/(J886^2+$C$24^2)^1.5)+$C$32*(L886/(M886^2+$C$33^2)^1.5)+C$41*(O886/(P886^2+$C$42^2)^1.5)</f>
        <v>7084.9089647719193</v>
      </c>
      <c r="H886" s="3">
        <f t="shared" si="180"/>
        <v>57946.125219820889</v>
      </c>
      <c r="I886" s="3">
        <f t="shared" si="181"/>
        <v>21905.170129637569</v>
      </c>
      <c r="J886" s="3">
        <f t="shared" si="182"/>
        <v>61948.284127968618</v>
      </c>
      <c r="K886" s="3">
        <f t="shared" si="183"/>
        <v>17946.125219820889</v>
      </c>
      <c r="L886" s="3">
        <f t="shared" si="184"/>
        <v>26905.170129637569</v>
      </c>
      <c r="M886" s="3">
        <f t="shared" si="185"/>
        <v>32341.174841218013</v>
      </c>
      <c r="N886" s="3">
        <f t="shared" si="186"/>
        <v>32946.125219820889</v>
      </c>
      <c r="O886" s="3">
        <f t="shared" si="187"/>
        <v>-23094.829870362431</v>
      </c>
      <c r="P886" s="3">
        <f t="shared" si="188"/>
        <v>40234.541550030153</v>
      </c>
    </row>
    <row r="887" spans="1:16" x14ac:dyDescent="0.25">
      <c r="A887">
        <f t="shared" si="175"/>
        <v>405.5</v>
      </c>
      <c r="B887">
        <f t="shared" si="176"/>
        <v>-47737.979762205832</v>
      </c>
      <c r="C887">
        <f t="shared" si="177"/>
        <v>-285.02235581360765</v>
      </c>
      <c r="D887">
        <f t="shared" si="178"/>
        <v>-19583.709084769896</v>
      </c>
      <c r="E887">
        <f t="shared" si="179"/>
        <v>13240.295547647926</v>
      </c>
      <c r="F887">
        <f>$C$23*(H887/(J887^2+$C$24^2)^1.5)+$C$32*(K887/(M887^2+$C$33^2)^1.5)+C$41*(N887/(P887^2+$C$42^2)^1.5)</f>
        <v>8746.2672666767321</v>
      </c>
      <c r="G887">
        <f>$C$23*(I887/(J887^2+$C$24^2)^1.5)+$C$32*(L887/(M887^2+$C$33^2)^1.5)+C$41*(O887/(P887^2+$C$42^2)^1.5)</f>
        <v>4628.1095876493137</v>
      </c>
      <c r="H887" s="3">
        <f t="shared" si="180"/>
        <v>67737.979762205825</v>
      </c>
      <c r="I887" s="3">
        <f t="shared" si="181"/>
        <v>15285.022355813608</v>
      </c>
      <c r="J887" s="3">
        <f t="shared" si="182"/>
        <v>69441.095978409838</v>
      </c>
      <c r="K887" s="3">
        <f t="shared" si="183"/>
        <v>27737.979762205832</v>
      </c>
      <c r="L887" s="3">
        <f t="shared" si="184"/>
        <v>20285.022355813606</v>
      </c>
      <c r="M887" s="3">
        <f t="shared" si="185"/>
        <v>34363.900437296084</v>
      </c>
      <c r="N887" s="3">
        <f t="shared" si="186"/>
        <v>42737.979762205832</v>
      </c>
      <c r="O887" s="3">
        <f t="shared" si="187"/>
        <v>-29714.977644186394</v>
      </c>
      <c r="P887" s="3">
        <f t="shared" si="188"/>
        <v>52053.000014881109</v>
      </c>
    </row>
    <row r="888" spans="1:16" x14ac:dyDescent="0.25">
      <c r="A888">
        <f t="shared" si="175"/>
        <v>406</v>
      </c>
      <c r="B888">
        <f t="shared" si="176"/>
        <v>-55343.267487921599</v>
      </c>
      <c r="C888">
        <f t="shared" si="177"/>
        <v>7492.1528149226833</v>
      </c>
      <c r="D888">
        <f t="shared" si="178"/>
        <v>-15210.57545143153</v>
      </c>
      <c r="E888">
        <f t="shared" si="179"/>
        <v>15554.350341472582</v>
      </c>
      <c r="F888">
        <f>$C$23*(H888/(J888^2+$C$24^2)^1.5)+$C$32*(K888/(M888^2+$C$33^2)^1.5)+C$41*(N888/(P888^2+$C$42^2)^1.5)</f>
        <v>8499.8847227496863</v>
      </c>
      <c r="G888">
        <f>$C$23*(I888/(J888^2+$C$24^2)^1.5)+$C$32*(L888/(M888^2+$C$33^2)^1.5)+C$41*(O888/(P888^2+$C$42^2)^1.5)</f>
        <v>2082.9455492655616</v>
      </c>
      <c r="H888" s="3">
        <f t="shared" si="180"/>
        <v>75343.267487921607</v>
      </c>
      <c r="I888" s="3">
        <f t="shared" si="181"/>
        <v>7507.8471850773167</v>
      </c>
      <c r="J888" s="3">
        <f t="shared" si="182"/>
        <v>75716.41648355381</v>
      </c>
      <c r="K888" s="3">
        <f t="shared" si="183"/>
        <v>35343.267487921599</v>
      </c>
      <c r="L888" s="3">
        <f t="shared" si="184"/>
        <v>12507.847185077317</v>
      </c>
      <c r="M888" s="3">
        <f t="shared" si="185"/>
        <v>37491.236281670179</v>
      </c>
      <c r="N888" s="3">
        <f t="shared" si="186"/>
        <v>50343.267487921599</v>
      </c>
      <c r="O888" s="3">
        <f t="shared" si="187"/>
        <v>-37492.15281492268</v>
      </c>
      <c r="P888" s="3">
        <f t="shared" si="188"/>
        <v>62770.264489310051</v>
      </c>
    </row>
    <row r="889" spans="1:16" x14ac:dyDescent="0.25">
      <c r="A889">
        <f t="shared" si="175"/>
        <v>406.5</v>
      </c>
      <c r="B889">
        <f t="shared" si="176"/>
        <v>-60823.584032949948</v>
      </c>
      <c r="C889">
        <f t="shared" si="177"/>
        <v>15790.064372975365</v>
      </c>
      <c r="D889">
        <f t="shared" si="178"/>
        <v>-10960.633090056686</v>
      </c>
      <c r="E889">
        <f t="shared" si="179"/>
        <v>16595.823116105363</v>
      </c>
      <c r="F889">
        <f>$C$23*(H889/(J889^2+$C$24^2)^1.5)+$C$32*(K889/(M889^2+$C$33^2)^1.5)+C$41*(N889/(P889^2+$C$42^2)^1.5)</f>
        <v>7601.2592116559899</v>
      </c>
      <c r="G889">
        <f>$C$23*(I889/(J889^2+$C$24^2)^1.5)+$C$32*(L889/(M889^2+$C$33^2)^1.5)+C$41*(O889/(P889^2+$C$42^2)^1.5)</f>
        <v>217.33786199881422</v>
      </c>
      <c r="H889" s="3">
        <f t="shared" si="180"/>
        <v>80823.584032949948</v>
      </c>
      <c r="I889" s="3">
        <f t="shared" si="181"/>
        <v>-790.06437297536468</v>
      </c>
      <c r="J889" s="3">
        <f t="shared" si="182"/>
        <v>80827.445447971244</v>
      </c>
      <c r="K889" s="3">
        <f t="shared" si="183"/>
        <v>40823.584032949948</v>
      </c>
      <c r="L889" s="3">
        <f t="shared" si="184"/>
        <v>4209.9356270246353</v>
      </c>
      <c r="M889" s="3">
        <f t="shared" si="185"/>
        <v>41040.084932648679</v>
      </c>
      <c r="N889" s="3">
        <f t="shared" si="186"/>
        <v>55823.584032949948</v>
      </c>
      <c r="O889" s="3">
        <f t="shared" si="187"/>
        <v>-45790.064372975365</v>
      </c>
      <c r="P889" s="3">
        <f t="shared" si="188"/>
        <v>72201.125542231355</v>
      </c>
    </row>
    <row r="890" spans="1:16" x14ac:dyDescent="0.25">
      <c r="A890">
        <f t="shared" si="175"/>
        <v>407</v>
      </c>
      <c r="B890">
        <f t="shared" si="176"/>
        <v>-64403.58577506429</v>
      </c>
      <c r="C890">
        <f t="shared" si="177"/>
        <v>24142.310396527748</v>
      </c>
      <c r="D890">
        <f t="shared" si="178"/>
        <v>-7160.0034842286914</v>
      </c>
      <c r="E890">
        <f t="shared" si="179"/>
        <v>16704.49204710477</v>
      </c>
      <c r="F890">
        <f>$C$23*(H890/(J890^2+$C$24^2)^1.5)+$C$32*(K890/(M890^2+$C$33^2)^1.5)+C$41*(N890/(P890^2+$C$42^2)^1.5)</f>
        <v>6566.6085172107223</v>
      </c>
      <c r="G890">
        <f>$C$23*(I890/(J890^2+$C$24^2)^1.5)+$C$32*(L890/(M890^2+$C$33^2)^1.5)+C$41*(O890/(P890^2+$C$42^2)^1.5)</f>
        <v>-996.80416285029673</v>
      </c>
      <c r="H890" s="3">
        <f t="shared" si="180"/>
        <v>84403.58577506429</v>
      </c>
      <c r="I890" s="3">
        <f t="shared" si="181"/>
        <v>-9142.3103965277478</v>
      </c>
      <c r="J890" s="3">
        <f t="shared" si="182"/>
        <v>84897.273990836096</v>
      </c>
      <c r="K890" s="3">
        <f t="shared" si="183"/>
        <v>44403.58577506429</v>
      </c>
      <c r="L890" s="3">
        <f t="shared" si="184"/>
        <v>-4142.3103965277478</v>
      </c>
      <c r="M890" s="3">
        <f t="shared" si="185"/>
        <v>44596.380627856714</v>
      </c>
      <c r="N890" s="3">
        <f t="shared" si="186"/>
        <v>59403.58577506429</v>
      </c>
      <c r="O890" s="3">
        <f t="shared" si="187"/>
        <v>-54142.310396527748</v>
      </c>
      <c r="P890" s="3">
        <f t="shared" si="188"/>
        <v>80375.218680942795</v>
      </c>
    </row>
    <row r="891" spans="1:16" x14ac:dyDescent="0.25">
      <c r="A891">
        <f t="shared" si="175"/>
        <v>407.5</v>
      </c>
      <c r="B891">
        <f t="shared" si="176"/>
        <v>-66341.935387875958</v>
      </c>
      <c r="C891">
        <f t="shared" si="177"/>
        <v>32245.355379367556</v>
      </c>
      <c r="D891">
        <f t="shared" si="178"/>
        <v>-3876.6992256233302</v>
      </c>
      <c r="E891">
        <f t="shared" si="179"/>
        <v>16206.089965679621</v>
      </c>
      <c r="F891">
        <f>$C$23*(H891/(J891^2+$C$24^2)^1.5)+$C$32*(K891/(M891^2+$C$33^2)^1.5)+C$41*(N891/(P891^2+$C$42^2)^1.5)</f>
        <v>5614.5600716404806</v>
      </c>
      <c r="G891">
        <f>$C$23*(I891/(J891^2+$C$24^2)^1.5)+$C$32*(L891/(M891^2+$C$33^2)^1.5)+C$41*(O891/(P891^2+$C$42^2)^1.5)</f>
        <v>-1762.6727495172718</v>
      </c>
      <c r="H891" s="3">
        <f t="shared" si="180"/>
        <v>86341.935387875958</v>
      </c>
      <c r="I891" s="3">
        <f t="shared" si="181"/>
        <v>-17245.355379367556</v>
      </c>
      <c r="J891" s="3">
        <f t="shared" si="182"/>
        <v>88047.328685683751</v>
      </c>
      <c r="K891" s="3">
        <f t="shared" si="183"/>
        <v>46341.935387875958</v>
      </c>
      <c r="L891" s="3">
        <f t="shared" si="184"/>
        <v>-12245.355379367556</v>
      </c>
      <c r="M891" s="3">
        <f t="shared" si="185"/>
        <v>47932.491108444134</v>
      </c>
      <c r="N891" s="3">
        <f t="shared" si="186"/>
        <v>61341.935387875958</v>
      </c>
      <c r="O891" s="3">
        <f t="shared" si="187"/>
        <v>-62245.355379367553</v>
      </c>
      <c r="P891" s="3">
        <f t="shared" si="188"/>
        <v>87391.746197419066</v>
      </c>
    </row>
    <row r="892" spans="1:16" x14ac:dyDescent="0.25">
      <c r="A892">
        <f t="shared" si="175"/>
        <v>408</v>
      </c>
      <c r="B892">
        <f t="shared" si="176"/>
        <v>-66876.644982777507</v>
      </c>
      <c r="C892">
        <f t="shared" si="177"/>
        <v>39907.732174828045</v>
      </c>
      <c r="D892">
        <f t="shared" si="178"/>
        <v>-1069.4191898030899</v>
      </c>
      <c r="E892">
        <f t="shared" si="179"/>
        <v>15324.753590920986</v>
      </c>
      <c r="F892">
        <f>$C$23*(H892/(J892^2+$C$24^2)^1.5)+$C$32*(K892/(M892^2+$C$33^2)^1.5)+C$41*(N892/(P892^2+$C$42^2)^1.5)</f>
        <v>4802.7666289115368</v>
      </c>
      <c r="G892">
        <f>$C$23*(I892/(J892^2+$C$24^2)^1.5)+$C$32*(L892/(M892^2+$C$33^2)^1.5)+C$41*(O892/(P892^2+$C$42^2)^1.5)</f>
        <v>-2251.9807409795926</v>
      </c>
      <c r="H892" s="3">
        <f t="shared" si="180"/>
        <v>86876.644982777507</v>
      </c>
      <c r="I892" s="3">
        <f t="shared" si="181"/>
        <v>-24907.732174828045</v>
      </c>
      <c r="J892" s="3">
        <f t="shared" si="182"/>
        <v>90376.692601336792</v>
      </c>
      <c r="K892" s="3">
        <f t="shared" si="183"/>
        <v>46876.644982777507</v>
      </c>
      <c r="L892" s="3">
        <f t="shared" si="184"/>
        <v>-19907.732174828045</v>
      </c>
      <c r="M892" s="3">
        <f t="shared" si="185"/>
        <v>50928.750673721057</v>
      </c>
      <c r="N892" s="3">
        <f t="shared" si="186"/>
        <v>61876.644982777507</v>
      </c>
      <c r="O892" s="3">
        <f t="shared" si="187"/>
        <v>-69907.732174828037</v>
      </c>
      <c r="P892" s="3">
        <f t="shared" si="188"/>
        <v>93358.503694908111</v>
      </c>
    </row>
    <row r="893" spans="1:16" x14ac:dyDescent="0.25">
      <c r="A893">
        <f t="shared" si="175"/>
        <v>408.5</v>
      </c>
      <c r="B893">
        <f t="shared" si="176"/>
        <v>-66210.66292045117</v>
      </c>
      <c r="C893">
        <f t="shared" si="177"/>
        <v>47007.113785043635</v>
      </c>
      <c r="D893">
        <f t="shared" si="178"/>
        <v>1331.9641246526785</v>
      </c>
      <c r="E893">
        <f t="shared" si="179"/>
        <v>14198.763220431189</v>
      </c>
      <c r="F893">
        <f>$C$23*(H893/(J893^2+$C$24^2)^1.5)+$C$32*(K893/(M893^2+$C$33^2)^1.5)+C$41*(N893/(P893^2+$C$42^2)^1.5)</f>
        <v>4126.7210706105698</v>
      </c>
      <c r="G893">
        <f>$C$23*(I893/(J893^2+$C$24^2)^1.5)+$C$32*(L893/(M893^2+$C$33^2)^1.5)+C$41*(O893/(P893^2+$C$42^2)^1.5)</f>
        <v>-2578.1459909247601</v>
      </c>
      <c r="H893" s="3">
        <f t="shared" si="180"/>
        <v>86210.66292045117</v>
      </c>
      <c r="I893" s="3">
        <f t="shared" si="181"/>
        <v>-32007.113785043635</v>
      </c>
      <c r="J893" s="3">
        <f t="shared" si="182"/>
        <v>91960.500944875152</v>
      </c>
      <c r="K893" s="3">
        <f t="shared" si="183"/>
        <v>46210.66292045117</v>
      </c>
      <c r="L893" s="3">
        <f t="shared" si="184"/>
        <v>-27007.113785043635</v>
      </c>
      <c r="M893" s="3">
        <f t="shared" si="185"/>
        <v>53523.915799816576</v>
      </c>
      <c r="N893" s="3">
        <f t="shared" si="186"/>
        <v>61210.66292045117</v>
      </c>
      <c r="O893" s="3">
        <f t="shared" si="187"/>
        <v>-77007.113785043635</v>
      </c>
      <c r="P893" s="3">
        <f t="shared" si="188"/>
        <v>98370.934877451247</v>
      </c>
    </row>
    <row r="894" spans="1:16" x14ac:dyDescent="0.25">
      <c r="A894">
        <f t="shared" si="175"/>
        <v>409</v>
      </c>
      <c r="B894">
        <f t="shared" si="176"/>
        <v>-64513.000590472191</v>
      </c>
      <c r="C894">
        <f t="shared" si="177"/>
        <v>53461.958897528042</v>
      </c>
      <c r="D894">
        <f t="shared" si="178"/>
        <v>3395.3246599579634</v>
      </c>
      <c r="E894">
        <f t="shared" si="179"/>
        <v>12909.690224968808</v>
      </c>
      <c r="F894">
        <f>$C$23*(H894/(J894^2+$C$24^2)^1.5)+$C$32*(K894/(M894^2+$C$33^2)^1.5)+C$41*(N894/(P894^2+$C$42^2)^1.5)</f>
        <v>3563.74335427094</v>
      </c>
      <c r="G894">
        <f>$C$23*(I894/(J894^2+$C$24^2)^1.5)+$C$32*(L894/(M894^2+$C$33^2)^1.5)+C$41*(O894/(P894^2+$C$42^2)^1.5)</f>
        <v>-2811.1330004276824</v>
      </c>
      <c r="H894" s="3">
        <f t="shared" si="180"/>
        <v>84513.000590472191</v>
      </c>
      <c r="I894" s="3">
        <f t="shared" si="181"/>
        <v>-38461.958897528042</v>
      </c>
      <c r="J894" s="3">
        <f t="shared" si="182"/>
        <v>92853.484323639088</v>
      </c>
      <c r="K894" s="3">
        <f t="shared" si="183"/>
        <v>44513.000590472191</v>
      </c>
      <c r="L894" s="3">
        <f t="shared" si="184"/>
        <v>-33461.958897528042</v>
      </c>
      <c r="M894" s="3">
        <f t="shared" si="185"/>
        <v>55687.610065680085</v>
      </c>
      <c r="N894" s="3">
        <f t="shared" si="186"/>
        <v>59513.000590472191</v>
      </c>
      <c r="O894" s="3">
        <f t="shared" si="187"/>
        <v>-83461.958897528035</v>
      </c>
      <c r="P894" s="3">
        <f t="shared" si="188"/>
        <v>102507.05254905246</v>
      </c>
    </row>
    <row r="895" spans="1:16" x14ac:dyDescent="0.25">
      <c r="A895">
        <f t="shared" si="175"/>
        <v>409.5</v>
      </c>
      <c r="B895">
        <f t="shared" si="176"/>
        <v>-61924.402421925479</v>
      </c>
      <c r="C895">
        <f t="shared" si="177"/>
        <v>59214.020759905528</v>
      </c>
      <c r="D895">
        <f t="shared" si="178"/>
        <v>5177.1963370934336</v>
      </c>
      <c r="E895">
        <f t="shared" si="179"/>
        <v>11504.123724754967</v>
      </c>
      <c r="F895">
        <f>$C$23*(H895/(J895^2+$C$24^2)^1.5)+$C$32*(K895/(M895^2+$C$33^2)^1.5)+C$41*(N895/(P895^2+$C$42^2)^1.5)</f>
        <v>3088.9961334912723</v>
      </c>
      <c r="G895">
        <f>$C$23*(I895/(J895^2+$C$24^2)^1.5)+$C$32*(L895/(M895^2+$C$33^2)^1.5)+C$41*(O895/(P895^2+$C$42^2)^1.5)</f>
        <v>-2993.7891330034463</v>
      </c>
      <c r="H895" s="3">
        <f t="shared" si="180"/>
        <v>81924.402421925479</v>
      </c>
      <c r="I895" s="3">
        <f t="shared" si="181"/>
        <v>-44214.020759905528</v>
      </c>
      <c r="J895" s="3">
        <f t="shared" si="182"/>
        <v>93093.9705026429</v>
      </c>
      <c r="K895" s="3">
        <f t="shared" si="183"/>
        <v>41924.402421925479</v>
      </c>
      <c r="L895" s="3">
        <f t="shared" si="184"/>
        <v>-39214.020759905528</v>
      </c>
      <c r="M895" s="3">
        <f t="shared" si="185"/>
        <v>57405.530592390249</v>
      </c>
      <c r="N895" s="3">
        <f t="shared" si="186"/>
        <v>56924.402421925479</v>
      </c>
      <c r="O895" s="3">
        <f t="shared" si="187"/>
        <v>-89214.020759905528</v>
      </c>
      <c r="P895" s="3">
        <f t="shared" si="188"/>
        <v>105827.82758444098</v>
      </c>
    </row>
    <row r="896" spans="1:16" x14ac:dyDescent="0.25">
      <c r="A896">
        <f t="shared" si="175"/>
        <v>410</v>
      </c>
      <c r="B896">
        <f t="shared" si="176"/>
        <v>-58563.555220005939</v>
      </c>
      <c r="C896">
        <f t="shared" si="177"/>
        <v>64217.635339032153</v>
      </c>
      <c r="D896">
        <f t="shared" si="178"/>
        <v>6721.6944038390702</v>
      </c>
      <c r="E896">
        <f t="shared" si="179"/>
        <v>10007.229158253243</v>
      </c>
      <c r="F896">
        <f>$C$23*(H896/(J896^2+$C$24^2)^1.5)+$C$32*(K896/(M896^2+$C$33^2)^1.5)+C$41*(N896/(P896^2+$C$42^2)^1.5)</f>
        <v>2680.1966626567651</v>
      </c>
      <c r="G896">
        <f>$C$23*(I896/(J896^2+$C$24^2)^1.5)+$C$32*(L896/(M896^2+$C$33^2)^1.5)+C$41*(O896/(P896^2+$C$42^2)^1.5)</f>
        <v>-3152.9871816136479</v>
      </c>
      <c r="H896" s="3">
        <f t="shared" si="180"/>
        <v>78563.555220005946</v>
      </c>
      <c r="I896" s="3">
        <f t="shared" si="181"/>
        <v>-49217.635339032153</v>
      </c>
      <c r="J896" s="3">
        <f t="shared" si="182"/>
        <v>92707.107802869519</v>
      </c>
      <c r="K896" s="3">
        <f t="shared" si="183"/>
        <v>38563.555220005939</v>
      </c>
      <c r="L896" s="3">
        <f t="shared" si="184"/>
        <v>-44217.635339032153</v>
      </c>
      <c r="M896" s="3">
        <f t="shared" si="185"/>
        <v>58671.518355860477</v>
      </c>
      <c r="N896" s="3">
        <f t="shared" si="186"/>
        <v>53563.555220005939</v>
      </c>
      <c r="O896" s="3">
        <f t="shared" si="187"/>
        <v>-94217.63533903216</v>
      </c>
      <c r="P896" s="3">
        <f t="shared" si="188"/>
        <v>108379.04436137766</v>
      </c>
    </row>
    <row r="897" spans="1:16" x14ac:dyDescent="0.25">
      <c r="A897">
        <f t="shared" si="175"/>
        <v>410.5</v>
      </c>
      <c r="B897">
        <f t="shared" si="176"/>
        <v>-54532.658852422217</v>
      </c>
      <c r="C897">
        <f t="shared" si="177"/>
        <v>68433.00312275537</v>
      </c>
      <c r="D897">
        <f t="shared" si="178"/>
        <v>8061.7927351674525</v>
      </c>
      <c r="E897">
        <f t="shared" si="179"/>
        <v>8430.7355674464197</v>
      </c>
      <c r="F897">
        <f>$C$23*(H897/(J897^2+$C$24^2)^1.5)+$C$32*(K897/(M897^2+$C$33^2)^1.5)+C$41*(N897/(P897^2+$C$42^2)^1.5)</f>
        <v>2318.2297996271072</v>
      </c>
      <c r="G897">
        <f>$C$23*(I897/(J897^2+$C$24^2)^1.5)+$C$32*(L897/(M897^2+$C$33^2)^1.5)+C$41*(O897/(P897^2+$C$42^2)^1.5)</f>
        <v>-3306.403328298552</v>
      </c>
      <c r="H897" s="3">
        <f t="shared" si="180"/>
        <v>74532.658852422217</v>
      </c>
      <c r="I897" s="3">
        <f t="shared" si="181"/>
        <v>-53433.00312275537</v>
      </c>
      <c r="J897" s="3">
        <f t="shared" si="182"/>
        <v>91707.159253397098</v>
      </c>
      <c r="K897" s="3">
        <f t="shared" si="183"/>
        <v>34532.658852422217</v>
      </c>
      <c r="L897" s="3">
        <f t="shared" si="184"/>
        <v>-48433.00312275537</v>
      </c>
      <c r="M897" s="3">
        <f t="shared" si="185"/>
        <v>59483.27764091859</v>
      </c>
      <c r="N897" s="3">
        <f t="shared" si="186"/>
        <v>49532.658852422217</v>
      </c>
      <c r="O897" s="3">
        <f t="shared" si="187"/>
        <v>-98433.00312275537</v>
      </c>
      <c r="P897" s="3">
        <f t="shared" si="188"/>
        <v>110193.19578247474</v>
      </c>
    </row>
    <row r="898" spans="1:16" x14ac:dyDescent="0.25">
      <c r="A898">
        <f t="shared" si="175"/>
        <v>411</v>
      </c>
      <c r="B898">
        <f t="shared" si="176"/>
        <v>-49922.205034931714</v>
      </c>
      <c r="C898">
        <f t="shared" si="177"/>
        <v>71821.770074403947</v>
      </c>
      <c r="D898">
        <f t="shared" si="178"/>
        <v>9220.9076349810057</v>
      </c>
      <c r="E898">
        <f t="shared" si="179"/>
        <v>6777.5339032971442</v>
      </c>
      <c r="F898">
        <f>$C$23*(H898/(J898^2+$C$24^2)^1.5)+$C$32*(K898/(M898^2+$C$33^2)^1.5)+C$41*(N898/(P898^2+$C$42^2)^1.5)</f>
        <v>1986.3950452800561</v>
      </c>
      <c r="G898">
        <f>$C$23*(I898/(J898^2+$C$24^2)^1.5)+$C$32*(L898/(M898^2+$C$33^2)^1.5)+C$41*(O898/(P898^2+$C$42^2)^1.5)</f>
        <v>-3466.5262732982219</v>
      </c>
      <c r="H898" s="3">
        <f t="shared" si="180"/>
        <v>69922.205034931714</v>
      </c>
      <c r="I898" s="3">
        <f t="shared" si="181"/>
        <v>-56821.770074403947</v>
      </c>
      <c r="J898" s="3">
        <f t="shared" si="182"/>
        <v>90098.991733179006</v>
      </c>
      <c r="K898" s="3">
        <f t="shared" si="183"/>
        <v>29922.205034931714</v>
      </c>
      <c r="L898" s="3">
        <f t="shared" si="184"/>
        <v>-51821.770074403947</v>
      </c>
      <c r="M898" s="3">
        <f t="shared" si="185"/>
        <v>59840.071923393283</v>
      </c>
      <c r="N898" s="3">
        <f t="shared" si="186"/>
        <v>44922.205034931714</v>
      </c>
      <c r="O898" s="3">
        <f t="shared" si="187"/>
        <v>-101821.77007440395</v>
      </c>
      <c r="P898" s="3">
        <f t="shared" si="188"/>
        <v>111290.95815152832</v>
      </c>
    </row>
    <row r="899" spans="1:16" x14ac:dyDescent="0.25">
      <c r="A899">
        <f t="shared" si="175"/>
        <v>411.5</v>
      </c>
      <c r="B899">
        <f t="shared" si="176"/>
        <v>-44815.152456121199</v>
      </c>
      <c r="C899">
        <f t="shared" si="177"/>
        <v>74343.905457727975</v>
      </c>
      <c r="D899">
        <f t="shared" si="178"/>
        <v>10214.105157621034</v>
      </c>
      <c r="E899">
        <f t="shared" si="179"/>
        <v>5044.2707666480328</v>
      </c>
      <c r="F899">
        <f>$C$23*(H899/(J899^2+$C$24^2)^1.5)+$C$32*(K899/(M899^2+$C$33^2)^1.5)+C$41*(N899/(P899^2+$C$42^2)^1.5)</f>
        <v>1669.2150473089005</v>
      </c>
      <c r="G899">
        <f>$C$23*(I899/(J899^2+$C$24^2)^1.5)+$C$32*(L899/(M899^2+$C$33^2)^1.5)+C$41*(O899/(P899^2+$C$42^2)^1.5)</f>
        <v>-3643.036375867162</v>
      </c>
      <c r="H899" s="3">
        <f t="shared" si="180"/>
        <v>64815.152456121199</v>
      </c>
      <c r="I899" s="3">
        <f t="shared" si="181"/>
        <v>-59343.905457727975</v>
      </c>
      <c r="J899" s="3">
        <f t="shared" si="182"/>
        <v>87878.91159365818</v>
      </c>
      <c r="K899" s="3">
        <f t="shared" si="183"/>
        <v>24815.152456121199</v>
      </c>
      <c r="L899" s="3">
        <f t="shared" si="184"/>
        <v>-54343.905457727975</v>
      </c>
      <c r="M899" s="3">
        <f t="shared" si="185"/>
        <v>59741.542094417135</v>
      </c>
      <c r="N899" s="3">
        <f t="shared" si="186"/>
        <v>39815.152456121199</v>
      </c>
      <c r="O899" s="3">
        <f t="shared" si="187"/>
        <v>-104343.90545772797</v>
      </c>
      <c r="P899" s="3">
        <f t="shared" si="188"/>
        <v>111682.1246721043</v>
      </c>
    </row>
    <row r="900" spans="1:16" x14ac:dyDescent="0.25">
      <c r="A900">
        <f t="shared" si="175"/>
        <v>412</v>
      </c>
      <c r="B900">
        <f t="shared" si="176"/>
        <v>-39290.796115483456</v>
      </c>
      <c r="C900">
        <f t="shared" si="177"/>
        <v>75955.281747085202</v>
      </c>
      <c r="D900">
        <f t="shared" si="178"/>
        <v>11048.712681275483</v>
      </c>
      <c r="E900">
        <f t="shared" si="179"/>
        <v>3222.7525787144518</v>
      </c>
      <c r="F900">
        <f>$C$23*(H900/(J900^2+$C$24^2)^1.5)+$C$32*(K900/(M900^2+$C$33^2)^1.5)+C$41*(N900/(P900^2+$C$42^2)^1.5)</f>
        <v>1351.0303803797151</v>
      </c>
      <c r="G900">
        <f>$C$23*(I900/(J900^2+$C$24^2)^1.5)+$C$32*(L900/(M900^2+$C$33^2)^1.5)+C$41*(O900/(P900^2+$C$42^2)^1.5)</f>
        <v>-3844.2212189442143</v>
      </c>
      <c r="H900" s="3">
        <f t="shared" si="180"/>
        <v>59290.796115483456</v>
      </c>
      <c r="I900" s="3">
        <f t="shared" si="181"/>
        <v>-60955.281747085202</v>
      </c>
      <c r="J900" s="3">
        <f t="shared" si="182"/>
        <v>85034.962673446076</v>
      </c>
      <c r="K900" s="3">
        <f t="shared" si="183"/>
        <v>19290.796115483456</v>
      </c>
      <c r="L900" s="3">
        <f t="shared" si="184"/>
        <v>-55955.281747085202</v>
      </c>
      <c r="M900" s="3">
        <f t="shared" si="185"/>
        <v>59187.231479136091</v>
      </c>
      <c r="N900" s="3">
        <f t="shared" si="186"/>
        <v>34290.796115483456</v>
      </c>
      <c r="O900" s="3">
        <f t="shared" si="187"/>
        <v>-105955.2817470852</v>
      </c>
      <c r="P900" s="3">
        <f t="shared" si="188"/>
        <v>111365.97518244907</v>
      </c>
    </row>
    <row r="901" spans="1:16" x14ac:dyDescent="0.25">
      <c r="A901">
        <f t="shared" si="175"/>
        <v>412.5</v>
      </c>
      <c r="B901">
        <f t="shared" si="176"/>
        <v>-33428.68217975078</v>
      </c>
      <c r="C901">
        <f t="shared" si="177"/>
        <v>76605.602731706371</v>
      </c>
      <c r="D901">
        <f t="shared" si="178"/>
        <v>11724.22787146534</v>
      </c>
      <c r="E901">
        <f t="shared" si="179"/>
        <v>1300.6419692423447</v>
      </c>
      <c r="F901">
        <f>$C$23*(H901/(J901^2+$C$24^2)^1.5)+$C$32*(K901/(M901^2+$C$33^2)^1.5)+C$41*(N901/(P901^2+$C$42^2)^1.5)</f>
        <v>1014.3114110595122</v>
      </c>
      <c r="G901">
        <f>$C$23*(I901/(J901^2+$C$24^2)^1.5)+$C$32*(L901/(M901^2+$C$33^2)^1.5)+C$41*(O901/(P901^2+$C$42^2)^1.5)</f>
        <v>-4077.7568089202587</v>
      </c>
      <c r="H901" s="3">
        <f t="shared" si="180"/>
        <v>53428.68217975078</v>
      </c>
      <c r="I901" s="3">
        <f t="shared" si="181"/>
        <v>-61605.602731706371</v>
      </c>
      <c r="J901" s="3">
        <f t="shared" si="182"/>
        <v>81546.761844978522</v>
      </c>
      <c r="K901" s="3">
        <f t="shared" si="183"/>
        <v>13428.68217975078</v>
      </c>
      <c r="L901" s="3">
        <f t="shared" si="184"/>
        <v>-56605.602731706371</v>
      </c>
      <c r="M901" s="3">
        <f t="shared" si="185"/>
        <v>58176.65997377746</v>
      </c>
      <c r="N901" s="3">
        <f t="shared" si="186"/>
        <v>28428.68217975078</v>
      </c>
      <c r="O901" s="3">
        <f t="shared" si="187"/>
        <v>-106605.60273170637</v>
      </c>
      <c r="P901" s="3">
        <f t="shared" si="188"/>
        <v>110331.06772014708</v>
      </c>
    </row>
    <row r="902" spans="1:16" x14ac:dyDescent="0.25">
      <c r="A902">
        <f t="shared" si="175"/>
        <v>413</v>
      </c>
      <c r="B902">
        <f t="shared" si="176"/>
        <v>-27312.990391253235</v>
      </c>
      <c r="C902">
        <f t="shared" si="177"/>
        <v>76236.484514097479</v>
      </c>
      <c r="D902">
        <f t="shared" si="178"/>
        <v>12231.383576995097</v>
      </c>
      <c r="E902">
        <f t="shared" si="179"/>
        <v>-738.23643521778467</v>
      </c>
      <c r="F902">
        <f>$C$23*(H902/(J902^2+$C$24^2)^1.5)+$C$32*(K902/(M902^2+$C$33^2)^1.5)+C$41*(N902/(P902^2+$C$42^2)^1.5)</f>
        <v>637.45270572709296</v>
      </c>
      <c r="G902">
        <f>$C$23*(I902/(J902^2+$C$24^2)^1.5)+$C$32*(L902/(M902^2+$C$33^2)^1.5)+C$41*(O902/(P902^2+$C$42^2)^1.5)</f>
        <v>-4350.9171504197611</v>
      </c>
      <c r="H902" s="3">
        <f t="shared" si="180"/>
        <v>47312.990391253232</v>
      </c>
      <c r="I902" s="3">
        <f t="shared" si="181"/>
        <v>-61236.484514097479</v>
      </c>
      <c r="J902" s="3">
        <f t="shared" si="182"/>
        <v>77384.921628235315</v>
      </c>
      <c r="K902" s="3">
        <f t="shared" si="183"/>
        <v>7312.9903912532354</v>
      </c>
      <c r="L902" s="3">
        <f t="shared" si="184"/>
        <v>-56236.484514097479</v>
      </c>
      <c r="M902" s="3">
        <f t="shared" si="185"/>
        <v>56709.981651971</v>
      </c>
      <c r="N902" s="3">
        <f t="shared" si="186"/>
        <v>22312.990391253235</v>
      </c>
      <c r="O902" s="3">
        <f t="shared" si="187"/>
        <v>-106236.48451409748</v>
      </c>
      <c r="P902" s="3">
        <f t="shared" si="188"/>
        <v>108554.41115917047</v>
      </c>
    </row>
    <row r="903" spans="1:16" x14ac:dyDescent="0.25">
      <c r="A903">
        <f t="shared" si="175"/>
        <v>413.5</v>
      </c>
      <c r="B903">
        <f t="shared" si="176"/>
        <v>-21037.935426323915</v>
      </c>
      <c r="C903">
        <f t="shared" si="177"/>
        <v>74779.637008883641</v>
      </c>
      <c r="D903">
        <f t="shared" si="178"/>
        <v>12550.109929858643</v>
      </c>
      <c r="E903">
        <f t="shared" si="179"/>
        <v>-2913.6950104276652</v>
      </c>
      <c r="F903">
        <f>$C$23*(H903/(J903^2+$C$24^2)^1.5)+$C$32*(K903/(M903^2+$C$33^2)^1.5)+C$41*(N903/(P903^2+$C$42^2)^1.5)</f>
        <v>191.67250006397245</v>
      </c>
      <c r="G903">
        <f>$C$23*(I903/(J903^2+$C$24^2)^1.5)+$C$32*(L903/(M903^2+$C$33^2)^1.5)+C$41*(O903/(P903^2+$C$42^2)^1.5)</f>
        <v>-4669.9639454631324</v>
      </c>
      <c r="H903" s="3">
        <f t="shared" si="180"/>
        <v>41037.935426323915</v>
      </c>
      <c r="I903" s="3">
        <f t="shared" si="181"/>
        <v>-59779.637008883641</v>
      </c>
      <c r="J903" s="3">
        <f t="shared" si="182"/>
        <v>72510.117535203477</v>
      </c>
      <c r="K903" s="3">
        <f t="shared" si="183"/>
        <v>1037.9354263239147</v>
      </c>
      <c r="L903" s="3">
        <f t="shared" si="184"/>
        <v>-54779.637008883641</v>
      </c>
      <c r="M903" s="3">
        <f t="shared" si="185"/>
        <v>54789.469250707953</v>
      </c>
      <c r="N903" s="3">
        <f t="shared" si="186"/>
        <v>16037.935426323915</v>
      </c>
      <c r="O903" s="3">
        <f t="shared" si="187"/>
        <v>-104779.63700888364</v>
      </c>
      <c r="P903" s="3">
        <f t="shared" si="188"/>
        <v>105999.94200211788</v>
      </c>
    </row>
    <row r="904" spans="1:16" x14ac:dyDescent="0.25">
      <c r="A904">
        <f t="shared" si="175"/>
        <v>414</v>
      </c>
      <c r="B904">
        <f t="shared" si="176"/>
        <v>-14714.962336378601</v>
      </c>
      <c r="C904">
        <f t="shared" si="177"/>
        <v>72155.298517304022</v>
      </c>
      <c r="D904">
        <f t="shared" si="178"/>
        <v>12645.946179890629</v>
      </c>
      <c r="E904">
        <f t="shared" si="179"/>
        <v>-5248.6769831592319</v>
      </c>
      <c r="F904">
        <f>$C$23*(H904/(J904^2+$C$24^2)^1.5)+$C$32*(K904/(M904^2+$C$33^2)^1.5)+C$41*(N904/(P904^2+$C$42^2)^1.5)</f>
        <v>-363.48028285962909</v>
      </c>
      <c r="G904">
        <f>$C$23*(I904/(J904^2+$C$24^2)^1.5)+$C$32*(L904/(M904^2+$C$33^2)^1.5)+C$41*(O904/(P904^2+$C$42^2)^1.5)</f>
        <v>-5037.929821345766</v>
      </c>
      <c r="H904" s="3">
        <f t="shared" si="180"/>
        <v>34714.962336378601</v>
      </c>
      <c r="I904" s="3">
        <f t="shared" si="181"/>
        <v>-57155.298517304022</v>
      </c>
      <c r="J904" s="3">
        <f t="shared" si="182"/>
        <v>66871.942985218557</v>
      </c>
      <c r="K904" s="3">
        <f t="shared" si="183"/>
        <v>-5285.0376636213987</v>
      </c>
      <c r="L904" s="3">
        <f t="shared" si="184"/>
        <v>-52155.298517304022</v>
      </c>
      <c r="M904" s="3">
        <f t="shared" si="185"/>
        <v>52422.388218536864</v>
      </c>
      <c r="N904" s="3">
        <f t="shared" si="186"/>
        <v>9714.9623363786013</v>
      </c>
      <c r="O904" s="3">
        <f t="shared" si="187"/>
        <v>-102155.29851730402</v>
      </c>
      <c r="P904" s="3">
        <f t="shared" si="188"/>
        <v>102616.2049013544</v>
      </c>
    </row>
    <row r="905" spans="1:16" x14ac:dyDescent="0.25">
      <c r="A905">
        <f t="shared" si="175"/>
        <v>414.5</v>
      </c>
      <c r="B905">
        <f t="shared" si="176"/>
        <v>-8482.8593171481953</v>
      </c>
      <c r="C905">
        <f t="shared" si="177"/>
        <v>68271.477570387957</v>
      </c>
      <c r="D905">
        <f t="shared" si="178"/>
        <v>12464.206038460814</v>
      </c>
      <c r="E905">
        <f t="shared" si="179"/>
        <v>-7767.6418938321149</v>
      </c>
      <c r="F905">
        <f>$C$23*(H905/(J905^2+$C$24^2)^1.5)+$C$32*(K905/(M905^2+$C$33^2)^1.5)+C$41*(N905/(P905^2+$C$42^2)^1.5)</f>
        <v>-1086.3929456757694</v>
      </c>
      <c r="G905">
        <f>$C$23*(I905/(J905^2+$C$24^2)^1.5)+$C$32*(L905/(M905^2+$C$33^2)^1.5)+C$41*(O905/(P905^2+$C$42^2)^1.5)</f>
        <v>-5448.9077143747663</v>
      </c>
      <c r="H905" s="3">
        <f t="shared" si="180"/>
        <v>28482.859317148195</v>
      </c>
      <c r="I905" s="3">
        <f t="shared" si="181"/>
        <v>-53271.477570387957</v>
      </c>
      <c r="J905" s="3">
        <f t="shared" si="182"/>
        <v>60407.976273111504</v>
      </c>
      <c r="K905" s="3">
        <f t="shared" si="183"/>
        <v>-11517.140682851805</v>
      </c>
      <c r="L905" s="3">
        <f t="shared" si="184"/>
        <v>-48271.477570387957</v>
      </c>
      <c r="M905" s="3">
        <f t="shared" si="185"/>
        <v>49626.405031364782</v>
      </c>
      <c r="N905" s="3">
        <f t="shared" si="186"/>
        <v>3482.8593171481953</v>
      </c>
      <c r="O905" s="3">
        <f t="shared" si="187"/>
        <v>-98271.477570387957</v>
      </c>
      <c r="P905" s="3">
        <f t="shared" si="188"/>
        <v>98333.176562594119</v>
      </c>
    </row>
    <row r="906" spans="1:16" x14ac:dyDescent="0.25">
      <c r="A906">
        <f t="shared" si="175"/>
        <v>415</v>
      </c>
      <c r="B906">
        <f t="shared" si="176"/>
        <v>-2522.3545343367305</v>
      </c>
      <c r="C906">
        <f t="shared" si="177"/>
        <v>63025.429694878207</v>
      </c>
      <c r="D906">
        <f t="shared" si="178"/>
        <v>11921.00956562293</v>
      </c>
      <c r="E906">
        <f t="shared" si="179"/>
        <v>-10492.095751019498</v>
      </c>
      <c r="F906">
        <f>$C$23*(H906/(J906^2+$C$24^2)^1.5)+$C$32*(K906/(M906^2+$C$33^2)^1.5)+C$41*(N906/(P906^2+$C$42^2)^1.5)</f>
        <v>-2060.5091448683706</v>
      </c>
      <c r="G906">
        <f>$C$23*(I906/(J906^2+$C$24^2)^1.5)+$C$32*(L906/(M906^2+$C$33^2)^1.5)+C$41*(O906/(P906^2+$C$42^2)^1.5)</f>
        <v>-5874.756761522347</v>
      </c>
      <c r="H906" s="3">
        <f t="shared" si="180"/>
        <v>22522.35453433673</v>
      </c>
      <c r="I906" s="3">
        <f t="shared" si="181"/>
        <v>-48025.429694878207</v>
      </c>
      <c r="J906" s="3">
        <f t="shared" si="182"/>
        <v>53044.305548739605</v>
      </c>
      <c r="K906" s="3">
        <f t="shared" si="183"/>
        <v>-17477.64546566327</v>
      </c>
      <c r="L906" s="3">
        <f t="shared" si="184"/>
        <v>-43025.429694878207</v>
      </c>
      <c r="M906" s="3">
        <f t="shared" si="185"/>
        <v>46439.807185778962</v>
      </c>
      <c r="N906" s="3">
        <f t="shared" si="186"/>
        <v>-2477.6454656632695</v>
      </c>
      <c r="O906" s="3">
        <f t="shared" si="187"/>
        <v>-93025.429694878199</v>
      </c>
      <c r="P906" s="3">
        <f t="shared" si="188"/>
        <v>93058.418732376114</v>
      </c>
    </row>
    <row r="907" spans="1:16" x14ac:dyDescent="0.25">
      <c r="A907">
        <f t="shared" si="175"/>
        <v>415.5</v>
      </c>
      <c r="B907">
        <f t="shared" si="176"/>
        <v>2923.0229622576417</v>
      </c>
      <c r="C907">
        <f t="shared" si="177"/>
        <v>56310.692628987868</v>
      </c>
      <c r="D907">
        <f t="shared" si="178"/>
        <v>10890.754993188744</v>
      </c>
      <c r="E907">
        <f t="shared" si="179"/>
        <v>-13429.474131780673</v>
      </c>
      <c r="F907">
        <f>$C$23*(H907/(J907^2+$C$24^2)^1.5)+$C$32*(K907/(M907^2+$C$33^2)^1.5)+C$41*(N907/(P907^2+$C$42^2)^1.5)</f>
        <v>-3395.3343600707599</v>
      </c>
      <c r="G907">
        <f>$C$23*(I907/(J907^2+$C$24^2)^1.5)+$C$32*(L907/(M907^2+$C$33^2)^1.5)+C$41*(O907/(P907^2+$C$42^2)^1.5)</f>
        <v>-6236.8234913818715</v>
      </c>
      <c r="H907" s="3">
        <f t="shared" si="180"/>
        <v>17076.977037742359</v>
      </c>
      <c r="I907" s="3">
        <f t="shared" si="181"/>
        <v>-41310.692628987868</v>
      </c>
      <c r="J907" s="3">
        <f t="shared" si="182"/>
        <v>44701.190926353323</v>
      </c>
      <c r="K907" s="3">
        <f t="shared" si="183"/>
        <v>-22923.022962257641</v>
      </c>
      <c r="L907" s="3">
        <f t="shared" si="184"/>
        <v>-36310.692628987868</v>
      </c>
      <c r="M907" s="3">
        <f t="shared" si="185"/>
        <v>42941.02212249989</v>
      </c>
      <c r="N907" s="3">
        <f t="shared" si="186"/>
        <v>-7923.0229622576417</v>
      </c>
      <c r="O907" s="3">
        <f t="shared" si="187"/>
        <v>-86310.692628987861</v>
      </c>
      <c r="P907" s="3">
        <f t="shared" si="188"/>
        <v>86673.582797505733</v>
      </c>
    </row>
    <row r="908" spans="1:16" x14ac:dyDescent="0.25">
      <c r="A908">
        <f t="shared" si="175"/>
        <v>416</v>
      </c>
      <c r="B908">
        <f t="shared" si="176"/>
        <v>7519.5668688343249</v>
      </c>
      <c r="C908">
        <f t="shared" si="177"/>
        <v>48036.749690252065</v>
      </c>
      <c r="D908">
        <f t="shared" si="178"/>
        <v>9193.0878131533646</v>
      </c>
      <c r="E908">
        <f t="shared" si="179"/>
        <v>-16547.88587747161</v>
      </c>
      <c r="F908">
        <f>$C$23*(H908/(J908^2+$C$24^2)^1.5)+$C$32*(K908/(M908^2+$C$33^2)^1.5)+C$41*(N908/(P908^2+$C$42^2)^1.5)</f>
        <v>-5191.3579257839865</v>
      </c>
      <c r="G908">
        <f>$C$23*(I908/(J908^2+$C$24^2)^1.5)+$C$32*(L908/(M908^2+$C$33^2)^1.5)+C$41*(O908/(P908^2+$C$42^2)^1.5)</f>
        <v>-6357.711249509799</v>
      </c>
      <c r="H908" s="3">
        <f t="shared" si="180"/>
        <v>12480.433131165675</v>
      </c>
      <c r="I908" s="3">
        <f t="shared" si="181"/>
        <v>-33036.749690252065</v>
      </c>
      <c r="J908" s="3">
        <f t="shared" si="182"/>
        <v>35315.549567263821</v>
      </c>
      <c r="K908" s="3">
        <f t="shared" si="183"/>
        <v>-27519.566868834325</v>
      </c>
      <c r="L908" s="3">
        <f t="shared" si="184"/>
        <v>-28036.749690252065</v>
      </c>
      <c r="M908" s="3">
        <f t="shared" si="185"/>
        <v>39285.95033650189</v>
      </c>
      <c r="N908" s="3">
        <f t="shared" si="186"/>
        <v>-12519.566868834325</v>
      </c>
      <c r="O908" s="3">
        <f t="shared" si="187"/>
        <v>-78036.749690252065</v>
      </c>
      <c r="P908" s="3">
        <f t="shared" si="188"/>
        <v>79034.637070099023</v>
      </c>
    </row>
    <row r="909" spans="1:16" x14ac:dyDescent="0.25">
      <c r="A909">
        <f t="shared" si="175"/>
        <v>416.5</v>
      </c>
      <c r="B909">
        <f t="shared" si="176"/>
        <v>10818.27129396501</v>
      </c>
      <c r="C909">
        <f t="shared" si="177"/>
        <v>38173.378939138813</v>
      </c>
      <c r="D909">
        <f t="shared" si="178"/>
        <v>6597.4088502613713</v>
      </c>
      <c r="E909">
        <f t="shared" si="179"/>
        <v>-19726.741502226509</v>
      </c>
      <c r="F909">
        <f>$C$23*(H909/(J909^2+$C$24^2)^1.5)+$C$32*(K909/(M909^2+$C$33^2)^1.5)+C$41*(N909/(P909^2+$C$42^2)^1.5)</f>
        <v>-7356.844386543763</v>
      </c>
      <c r="G909">
        <f>$C$23*(I909/(J909^2+$C$24^2)^1.5)+$C$32*(L909/(M909^2+$C$33^2)^1.5)+C$41*(O909/(P909^2+$C$42^2)^1.5)</f>
        <v>-5946.9308862758044</v>
      </c>
      <c r="H909" s="3">
        <f t="shared" si="180"/>
        <v>9181.72870603499</v>
      </c>
      <c r="I909" s="3">
        <f t="shared" si="181"/>
        <v>-23173.378939138813</v>
      </c>
      <c r="J909" s="3">
        <f t="shared" si="182"/>
        <v>24926.083396477461</v>
      </c>
      <c r="K909" s="3">
        <f t="shared" si="183"/>
        <v>-30818.271293965008</v>
      </c>
      <c r="L909" s="3">
        <f t="shared" si="184"/>
        <v>-18173.378939138813</v>
      </c>
      <c r="M909" s="3">
        <f t="shared" si="185"/>
        <v>35777.612380006045</v>
      </c>
      <c r="N909" s="3">
        <f t="shared" si="186"/>
        <v>-15818.27129396501</v>
      </c>
      <c r="O909" s="3">
        <f t="shared" si="187"/>
        <v>-68173.378939138813</v>
      </c>
      <c r="P909" s="3">
        <f t="shared" si="188"/>
        <v>69984.479012913245</v>
      </c>
    </row>
    <row r="910" spans="1:16" x14ac:dyDescent="0.25">
      <c r="A910">
        <f t="shared" ref="A910:A973" si="189">A909+$C$5</f>
        <v>417</v>
      </c>
      <c r="B910">
        <f t="shared" ref="B910:B973" si="190">B909+D909*(A910-A909)+F909*(A910-A909)^2</f>
        <v>12277.764622459754</v>
      </c>
      <c r="C910">
        <f t="shared" ref="C910:C973" si="191">C909+E909*(A910-A909)+G909*(A910-A909)^2</f>
        <v>26823.275466456609</v>
      </c>
      <c r="D910">
        <f t="shared" ref="D910:D973" si="192">D909+F909*(A910-A909)</f>
        <v>2918.9866569894898</v>
      </c>
      <c r="E910">
        <f t="shared" ref="E910:E973" si="193">E909+G909*(A910-A909)</f>
        <v>-22700.206945364411</v>
      </c>
      <c r="F910">
        <f>$C$23*(H910/(J910^2+$C$24^2)^1.5)+$C$32*(K910/(M910^2+$C$33^2)^1.5)+C$41*(N910/(P910^2+$C$42^2)^1.5)</f>
        <v>-8715.2179234305277</v>
      </c>
      <c r="G910">
        <f>$C$23*(I910/(J910^2+$C$24^2)^1.5)+$C$32*(L910/(M910^2+$C$33^2)^1.5)+C$41*(O910/(P910^2+$C$42^2)^1.5)</f>
        <v>-4957.36792897135</v>
      </c>
      <c r="H910" s="3">
        <f t="shared" ref="H910:H973" si="194">$C$19-B910</f>
        <v>7722.2353775402462</v>
      </c>
      <c r="I910" s="3">
        <f t="shared" ref="I910:I973" si="195">$D$19-C910</f>
        <v>-11823.275466456609</v>
      </c>
      <c r="J910" s="3">
        <f t="shared" ref="J910:J973" si="196">SQRT(H910^2+I910^2)</f>
        <v>14121.712430928796</v>
      </c>
      <c r="K910" s="3">
        <f t="shared" ref="K910:K973" si="197">$C$28-B910</f>
        <v>-32277.764622459756</v>
      </c>
      <c r="L910" s="3">
        <f t="shared" ref="L910:L973" si="198">$D$28-C910</f>
        <v>-6823.2754664566091</v>
      </c>
      <c r="M910" s="3">
        <f t="shared" ref="M910:M973" si="199">SQRT(K910^2+L910^2)</f>
        <v>32991.077234823104</v>
      </c>
      <c r="N910" s="3">
        <f t="shared" ref="N910:N973" si="200">$C$37-B910</f>
        <v>-17277.764622459756</v>
      </c>
      <c r="O910" s="3">
        <f t="shared" ref="O910:O973" si="201">$D$37-C910</f>
        <v>-56823.275466456609</v>
      </c>
      <c r="P910" s="3">
        <f t="shared" ref="P910:P973" si="202">SQRT(N910^2+O910^2)</f>
        <v>59391.967344801196</v>
      </c>
    </row>
    <row r="911" spans="1:16" x14ac:dyDescent="0.25">
      <c r="A911">
        <f t="shared" si="189"/>
        <v>417.5</v>
      </c>
      <c r="B911">
        <f t="shared" si="190"/>
        <v>11558.453470096867</v>
      </c>
      <c r="C911">
        <f t="shared" si="191"/>
        <v>14233.830011531567</v>
      </c>
      <c r="D911">
        <f t="shared" si="192"/>
        <v>-1438.622304725774</v>
      </c>
      <c r="E911">
        <f t="shared" si="193"/>
        <v>-25178.890909850084</v>
      </c>
      <c r="F911">
        <f>$C$23*(H911/(J911^2+$C$24^2)^1.5)+$C$32*(K911/(M911^2+$C$33^2)^1.5)+C$41*(N911/(P911^2+$C$42^2)^1.5)</f>
        <v>-6023.4523386281371</v>
      </c>
      <c r="G911">
        <f>$C$23*(I911/(J911^2+$C$24^2)^1.5)+$C$32*(L911/(M911^2+$C$33^2)^1.5)+C$41*(O911/(P911^2+$C$42^2)^1.5)</f>
        <v>609.64337653103644</v>
      </c>
      <c r="H911" s="3">
        <f t="shared" si="194"/>
        <v>8441.546529903133</v>
      </c>
      <c r="I911" s="3">
        <f t="shared" si="195"/>
        <v>766.16998846843308</v>
      </c>
      <c r="J911" s="3">
        <f t="shared" si="196"/>
        <v>8476.2447031541833</v>
      </c>
      <c r="K911" s="3">
        <f t="shared" si="197"/>
        <v>-31558.453470096865</v>
      </c>
      <c r="L911" s="3">
        <f t="shared" si="198"/>
        <v>5766.1699884684331</v>
      </c>
      <c r="M911" s="3">
        <f t="shared" si="199"/>
        <v>32080.908680400295</v>
      </c>
      <c r="N911" s="3">
        <f t="shared" si="200"/>
        <v>-16558.453470096865</v>
      </c>
      <c r="O911" s="3">
        <f t="shared" si="201"/>
        <v>-44233.830011531565</v>
      </c>
      <c r="P911" s="3">
        <f t="shared" si="202"/>
        <v>47231.494776371765</v>
      </c>
    </row>
    <row r="912" spans="1:16" x14ac:dyDescent="0.25">
      <c r="A912">
        <f t="shared" si="189"/>
        <v>418</v>
      </c>
      <c r="B912">
        <f t="shared" si="190"/>
        <v>9333.2792330769462</v>
      </c>
      <c r="C912">
        <f t="shared" si="191"/>
        <v>1796.7954007392839</v>
      </c>
      <c r="D912">
        <f t="shared" si="192"/>
        <v>-4450.3484740398426</v>
      </c>
      <c r="E912">
        <f t="shared" si="193"/>
        <v>-24874.069221584567</v>
      </c>
      <c r="F912">
        <f>$C$23*(H912/(J912^2+$C$24^2)^1.5)+$C$32*(K912/(M912^2+$C$33^2)^1.5)+C$41*(N912/(P912^2+$C$42^2)^1.5)</f>
        <v>-8024.9375860584632</v>
      </c>
      <c r="G912">
        <f>$C$23*(I912/(J912^2+$C$24^2)^1.5)+$C$32*(L912/(M912^2+$C$33^2)^1.5)+C$41*(O912/(P912^2+$C$42^2)^1.5)</f>
        <v>3284.996198623578</v>
      </c>
      <c r="H912" s="3">
        <f t="shared" si="194"/>
        <v>10666.720766923054</v>
      </c>
      <c r="I912" s="3">
        <f t="shared" si="195"/>
        <v>13203.204599260716</v>
      </c>
      <c r="J912" s="3">
        <f t="shared" si="196"/>
        <v>16973.613157175667</v>
      </c>
      <c r="K912" s="3">
        <f t="shared" si="197"/>
        <v>-29333.279233076944</v>
      </c>
      <c r="L912" s="3">
        <f t="shared" si="198"/>
        <v>18203.204599260716</v>
      </c>
      <c r="M912" s="3">
        <f t="shared" si="199"/>
        <v>34522.426453657768</v>
      </c>
      <c r="N912" s="3">
        <f t="shared" si="200"/>
        <v>-14333.279233076946</v>
      </c>
      <c r="O912" s="3">
        <f t="shared" si="201"/>
        <v>-31796.795400739284</v>
      </c>
      <c r="P912" s="3">
        <f t="shared" si="202"/>
        <v>34878.060314900395</v>
      </c>
    </row>
    <row r="913" spans="1:16" x14ac:dyDescent="0.25">
      <c r="A913">
        <f t="shared" si="189"/>
        <v>418.5</v>
      </c>
      <c r="B913">
        <f t="shared" si="190"/>
        <v>5101.8705995424098</v>
      </c>
      <c r="C913">
        <f t="shared" si="191"/>
        <v>-9818.9901603971048</v>
      </c>
      <c r="D913">
        <f t="shared" si="192"/>
        <v>-8462.8172670690747</v>
      </c>
      <c r="E913">
        <f t="shared" si="193"/>
        <v>-23231.571122272777</v>
      </c>
      <c r="F913">
        <f>$C$23*(H913/(J913^2+$C$24^2)^1.5)+$C$32*(K913/(M913^2+$C$33^2)^1.5)+C$41*(N913/(P913^2+$C$42^2)^1.5)</f>
        <v>-7376.9176874282748</v>
      </c>
      <c r="G913">
        <f>$C$23*(I913/(J913^2+$C$24^2)^1.5)+$C$32*(L913/(M913^2+$C$33^2)^1.5)+C$41*(O913/(P913^2+$C$42^2)^1.5)</f>
        <v>679.02567429967712</v>
      </c>
      <c r="H913" s="3">
        <f t="shared" si="194"/>
        <v>14898.12940045759</v>
      </c>
      <c r="I913" s="3">
        <f t="shared" si="195"/>
        <v>24818.990160397105</v>
      </c>
      <c r="J913" s="3">
        <f t="shared" si="196"/>
        <v>28947.133402371073</v>
      </c>
      <c r="K913" s="3">
        <f t="shared" si="197"/>
        <v>-25101.87059954241</v>
      </c>
      <c r="L913" s="3">
        <f t="shared" si="198"/>
        <v>29818.990160397105</v>
      </c>
      <c r="M913" s="3">
        <f t="shared" si="199"/>
        <v>38977.892218307948</v>
      </c>
      <c r="N913" s="3">
        <f t="shared" si="200"/>
        <v>-10101.87059954241</v>
      </c>
      <c r="O913" s="3">
        <f t="shared" si="201"/>
        <v>-20181.009839602895</v>
      </c>
      <c r="P913" s="3">
        <f t="shared" si="202"/>
        <v>22568.140104050406</v>
      </c>
    </row>
    <row r="914" spans="1:16" x14ac:dyDescent="0.25">
      <c r="A914">
        <f t="shared" si="189"/>
        <v>419</v>
      </c>
      <c r="B914">
        <f t="shared" si="190"/>
        <v>-973.76745584919627</v>
      </c>
      <c r="C914">
        <f t="shared" si="191"/>
        <v>-21265.019302958575</v>
      </c>
      <c r="D914">
        <f t="shared" si="192"/>
        <v>-12151.276110783212</v>
      </c>
      <c r="E914">
        <f t="shared" si="193"/>
        <v>-22892.058285122937</v>
      </c>
      <c r="F914">
        <f>$C$23*(H914/(J914^2+$C$24^2)^1.5)+$C$32*(K914/(M914^2+$C$33^2)^1.5)+C$41*(N914/(P914^2+$C$42^2)^1.5)</f>
        <v>-8622.6112762884277</v>
      </c>
      <c r="G914">
        <f>$C$23*(I914/(J914^2+$C$24^2)^1.5)+$C$32*(L914/(M914^2+$C$33^2)^1.5)+C$41*(O914/(P914^2+$C$42^2)^1.5)</f>
        <v>-8121.4166764348111</v>
      </c>
      <c r="H914" s="3">
        <f t="shared" si="194"/>
        <v>20973.767455849196</v>
      </c>
      <c r="I914" s="3">
        <f t="shared" si="195"/>
        <v>36265.019302958579</v>
      </c>
      <c r="J914" s="3">
        <f t="shared" si="196"/>
        <v>41893.323410013647</v>
      </c>
      <c r="K914" s="3">
        <f t="shared" si="197"/>
        <v>-19026.232544150804</v>
      </c>
      <c r="L914" s="3">
        <f t="shared" si="198"/>
        <v>41265.019302958579</v>
      </c>
      <c r="M914" s="3">
        <f t="shared" si="199"/>
        <v>45440.063192051646</v>
      </c>
      <c r="N914" s="3">
        <f t="shared" si="200"/>
        <v>-4026.2325441508037</v>
      </c>
      <c r="O914" s="3">
        <f t="shared" si="201"/>
        <v>-8734.9806970414247</v>
      </c>
      <c r="P914" s="3">
        <f t="shared" si="202"/>
        <v>9618.2345717530388</v>
      </c>
    </row>
    <row r="915" spans="1:16" x14ac:dyDescent="0.25">
      <c r="A915">
        <f t="shared" si="189"/>
        <v>419.5</v>
      </c>
      <c r="B915">
        <f t="shared" si="190"/>
        <v>-9205.0583303129097</v>
      </c>
      <c r="C915">
        <f t="shared" si="191"/>
        <v>-34741.402614628743</v>
      </c>
      <c r="D915">
        <f t="shared" si="192"/>
        <v>-16462.581748927427</v>
      </c>
      <c r="E915">
        <f t="shared" si="193"/>
        <v>-26952.766623340343</v>
      </c>
      <c r="F915">
        <f>$C$23*(H915/(J915^2+$C$24^2)^1.5)+$C$32*(K915/(M915^2+$C$33^2)^1.5)+C$41*(N915/(P915^2+$C$42^2)^1.5)</f>
        <v>9902.2446297877232</v>
      </c>
      <c r="G915">
        <f>$C$23*(I915/(J915^2+$C$24^2)^1.5)+$C$32*(L915/(M915^2+$C$33^2)^1.5)+C$41*(O915/(P915^2+$C$42^2)^1.5)</f>
        <v>16115.334418303009</v>
      </c>
      <c r="H915" s="3">
        <f t="shared" si="194"/>
        <v>29205.05833031291</v>
      </c>
      <c r="I915" s="3">
        <f t="shared" si="195"/>
        <v>49741.402614628743</v>
      </c>
      <c r="J915" s="3">
        <f t="shared" si="196"/>
        <v>57681.388386095343</v>
      </c>
      <c r="K915" s="3">
        <f t="shared" si="197"/>
        <v>-10794.94166968709</v>
      </c>
      <c r="L915" s="3">
        <f t="shared" si="198"/>
        <v>54741.402614628743</v>
      </c>
      <c r="M915" s="3">
        <f t="shared" si="199"/>
        <v>55795.62640448469</v>
      </c>
      <c r="N915" s="3">
        <f t="shared" si="200"/>
        <v>4205.0583303129097</v>
      </c>
      <c r="O915" s="3">
        <f t="shared" si="201"/>
        <v>4741.4026146287433</v>
      </c>
      <c r="P915" s="3">
        <f t="shared" si="202"/>
        <v>6337.4611884683191</v>
      </c>
    </row>
    <row r="916" spans="1:16" x14ac:dyDescent="0.25">
      <c r="A916">
        <f t="shared" si="189"/>
        <v>420</v>
      </c>
      <c r="B916">
        <f t="shared" si="190"/>
        <v>-14960.788047329692</v>
      </c>
      <c r="C916">
        <f t="shared" si="191"/>
        <v>-44188.952321723162</v>
      </c>
      <c r="D916">
        <f t="shared" si="192"/>
        <v>-11511.459434033564</v>
      </c>
      <c r="E916">
        <f t="shared" si="193"/>
        <v>-18895.099414188837</v>
      </c>
      <c r="F916">
        <f>$C$23*(H916/(J916^2+$C$24^2)^1.5)+$C$32*(K916/(M916^2+$C$33^2)^1.5)+C$41*(N916/(P916^2+$C$42^2)^1.5)</f>
        <v>5014.194001378939</v>
      </c>
      <c r="G916">
        <f>$C$23*(I916/(J916^2+$C$24^2)^1.5)+$C$32*(L916/(M916^2+$C$33^2)^1.5)+C$41*(O916/(P916^2+$C$42^2)^1.5)</f>
        <v>10649.419076601316</v>
      </c>
      <c r="H916" s="3">
        <f t="shared" si="194"/>
        <v>34960.78804732969</v>
      </c>
      <c r="I916" s="3">
        <f t="shared" si="195"/>
        <v>59188.952321723162</v>
      </c>
      <c r="J916" s="3">
        <f t="shared" si="196"/>
        <v>68742.918019484219</v>
      </c>
      <c r="K916" s="3">
        <f t="shared" si="197"/>
        <v>-5039.2119526703082</v>
      </c>
      <c r="L916" s="3">
        <f t="shared" si="198"/>
        <v>64188.952321723162</v>
      </c>
      <c r="M916" s="3">
        <f t="shared" si="199"/>
        <v>64386.452435775529</v>
      </c>
      <c r="N916" s="3">
        <f t="shared" si="200"/>
        <v>9960.7880473296918</v>
      </c>
      <c r="O916" s="3">
        <f t="shared" si="201"/>
        <v>14188.952321723162</v>
      </c>
      <c r="P916" s="3">
        <f t="shared" si="202"/>
        <v>17336.195272087793</v>
      </c>
    </row>
    <row r="917" spans="1:16" x14ac:dyDescent="0.25">
      <c r="A917">
        <f t="shared" si="189"/>
        <v>420.5</v>
      </c>
      <c r="B917">
        <f t="shared" si="190"/>
        <v>-19462.969264001738</v>
      </c>
      <c r="C917">
        <f t="shared" si="191"/>
        <v>-50974.147259667254</v>
      </c>
      <c r="D917">
        <f t="shared" si="192"/>
        <v>-9004.3624333440948</v>
      </c>
      <c r="E917">
        <f t="shared" si="193"/>
        <v>-13570.389875888179</v>
      </c>
      <c r="F917">
        <f>$C$23*(H917/(J917^2+$C$24^2)^1.5)+$C$32*(K917/(M917^2+$C$33^2)^1.5)+C$41*(N917/(P917^2+$C$42^2)^1.5)</f>
        <v>2980.2077628303896</v>
      </c>
      <c r="G917">
        <f>$C$23*(I917/(J917^2+$C$24^2)^1.5)+$C$32*(L917/(M917^2+$C$33^2)^1.5)+C$41*(O917/(P917^2+$C$42^2)^1.5)</f>
        <v>6988.9493869165617</v>
      </c>
      <c r="H917" s="3">
        <f t="shared" si="194"/>
        <v>39462.969264001738</v>
      </c>
      <c r="I917" s="3">
        <f t="shared" si="195"/>
        <v>65974.147259667254</v>
      </c>
      <c r="J917" s="3">
        <f t="shared" si="196"/>
        <v>76875.965358308225</v>
      </c>
      <c r="K917" s="3">
        <f t="shared" si="197"/>
        <v>-537.03073599826166</v>
      </c>
      <c r="L917" s="3">
        <f t="shared" si="198"/>
        <v>70974.147259667254</v>
      </c>
      <c r="M917" s="3">
        <f t="shared" si="199"/>
        <v>70976.178970471068</v>
      </c>
      <c r="N917" s="3">
        <f t="shared" si="200"/>
        <v>14462.969264001738</v>
      </c>
      <c r="O917" s="3">
        <f t="shared" si="201"/>
        <v>20974.147259667254</v>
      </c>
      <c r="P917" s="3">
        <f t="shared" si="202"/>
        <v>25477.290538863555</v>
      </c>
    </row>
    <row r="918" spans="1:16" x14ac:dyDescent="0.25">
      <c r="A918">
        <f t="shared" si="189"/>
        <v>421</v>
      </c>
      <c r="B918">
        <f t="shared" si="190"/>
        <v>-23220.098539966188</v>
      </c>
      <c r="C918">
        <f t="shared" si="191"/>
        <v>-56012.104850882206</v>
      </c>
      <c r="D918">
        <f t="shared" si="192"/>
        <v>-7514.2585519289005</v>
      </c>
      <c r="E918">
        <f t="shared" si="193"/>
        <v>-10075.915182429897</v>
      </c>
      <c r="F918">
        <f>$C$23*(H918/(J918^2+$C$24^2)^1.5)+$C$32*(K918/(M918^2+$C$33^2)^1.5)+C$41*(N918/(P918^2+$C$42^2)^1.5)</f>
        <v>2204.4516397526463</v>
      </c>
      <c r="G918">
        <f>$C$23*(I918/(J918^2+$C$24^2)^1.5)+$C$32*(L918/(M918^2+$C$33^2)^1.5)+C$41*(O918/(P918^2+$C$42^2)^1.5)</f>
        <v>5320.8141391548616</v>
      </c>
      <c r="H918" s="3">
        <f t="shared" si="194"/>
        <v>43220.098539966188</v>
      </c>
      <c r="I918" s="3">
        <f t="shared" si="195"/>
        <v>71012.104850882199</v>
      </c>
      <c r="J918" s="3">
        <f t="shared" si="196"/>
        <v>83130.595770492786</v>
      </c>
      <c r="K918" s="3">
        <f t="shared" si="197"/>
        <v>3220.0985399661877</v>
      </c>
      <c r="L918" s="3">
        <f t="shared" si="198"/>
        <v>76012.104850882199</v>
      </c>
      <c r="M918" s="3">
        <f t="shared" si="199"/>
        <v>76080.280746515389</v>
      </c>
      <c r="N918" s="3">
        <f t="shared" si="200"/>
        <v>18220.098539966188</v>
      </c>
      <c r="O918" s="3">
        <f t="shared" si="201"/>
        <v>26012.104850882206</v>
      </c>
      <c r="P918" s="3">
        <f t="shared" si="202"/>
        <v>31758.488464965831</v>
      </c>
    </row>
    <row r="919" spans="1:16" x14ac:dyDescent="0.25">
      <c r="A919">
        <f t="shared" si="189"/>
        <v>421.5</v>
      </c>
      <c r="B919">
        <f t="shared" si="190"/>
        <v>-26426.114905992476</v>
      </c>
      <c r="C919">
        <f t="shared" si="191"/>
        <v>-59719.858907308444</v>
      </c>
      <c r="D919">
        <f t="shared" si="192"/>
        <v>-6412.0327320525776</v>
      </c>
      <c r="E919">
        <f t="shared" si="193"/>
        <v>-7415.5081128524662</v>
      </c>
      <c r="F919">
        <f>$C$23*(H919/(J919^2+$C$24^2)^1.5)+$C$32*(K919/(M919^2+$C$33^2)^1.5)+C$41*(N919/(P919^2+$C$42^2)^1.5)</f>
        <v>1842.5679871582445</v>
      </c>
      <c r="G919">
        <f>$C$23*(I919/(J919^2+$C$24^2)^1.5)+$C$32*(L919/(M919^2+$C$33^2)^1.5)+C$41*(O919/(P919^2+$C$42^2)^1.5)</f>
        <v>4421.4829205467513</v>
      </c>
      <c r="H919" s="3">
        <f t="shared" si="194"/>
        <v>46426.114905992479</v>
      </c>
      <c r="I919" s="3">
        <f t="shared" si="195"/>
        <v>74719.858907308444</v>
      </c>
      <c r="J919" s="3">
        <f t="shared" si="196"/>
        <v>87968.41171916484</v>
      </c>
      <c r="K919" s="3">
        <f t="shared" si="197"/>
        <v>6426.1149059924755</v>
      </c>
      <c r="L919" s="3">
        <f t="shared" si="198"/>
        <v>79719.858907308444</v>
      </c>
      <c r="M919" s="3">
        <f t="shared" si="199"/>
        <v>79978.439950940432</v>
      </c>
      <c r="N919" s="3">
        <f t="shared" si="200"/>
        <v>21426.114905992476</v>
      </c>
      <c r="O919" s="3">
        <f t="shared" si="201"/>
        <v>29719.858907308444</v>
      </c>
      <c r="P919" s="3">
        <f t="shared" si="202"/>
        <v>36638.073276785639</v>
      </c>
    </row>
    <row r="920" spans="1:16" x14ac:dyDescent="0.25">
      <c r="A920">
        <f t="shared" si="189"/>
        <v>422</v>
      </c>
      <c r="B920">
        <f t="shared" si="190"/>
        <v>-29171.489275229203</v>
      </c>
      <c r="C920">
        <f t="shared" si="191"/>
        <v>-62322.242233597986</v>
      </c>
      <c r="D920">
        <f t="shared" si="192"/>
        <v>-5490.748738473455</v>
      </c>
      <c r="E920">
        <f t="shared" si="193"/>
        <v>-5204.7666525790901</v>
      </c>
      <c r="F920">
        <f>$C$23*(H920/(J920^2+$C$24^2)^1.5)+$C$32*(K920/(M920^2+$C$33^2)^1.5)+C$41*(N920/(P920^2+$C$42^2)^1.5)</f>
        <v>1659.0095147139937</v>
      </c>
      <c r="G920">
        <f>$C$23*(I920/(J920^2+$C$24^2)^1.5)+$C$32*(L920/(M920^2+$C$33^2)^1.5)+C$41*(O920/(P920^2+$C$42^2)^1.5)</f>
        <v>3886.6745496758972</v>
      </c>
      <c r="H920" s="3">
        <f t="shared" si="194"/>
        <v>49171.489275229207</v>
      </c>
      <c r="I920" s="3">
        <f t="shared" si="195"/>
        <v>77322.242233597994</v>
      </c>
      <c r="J920" s="3">
        <f t="shared" si="196"/>
        <v>91632.769801939226</v>
      </c>
      <c r="K920" s="3">
        <f t="shared" si="197"/>
        <v>9171.4892752292035</v>
      </c>
      <c r="L920" s="3">
        <f t="shared" si="198"/>
        <v>82322.242233597994</v>
      </c>
      <c r="M920" s="3">
        <f t="shared" si="199"/>
        <v>82831.562715506152</v>
      </c>
      <c r="N920" s="3">
        <f t="shared" si="200"/>
        <v>24171.489275229203</v>
      </c>
      <c r="O920" s="3">
        <f t="shared" si="201"/>
        <v>32322.242233597986</v>
      </c>
      <c r="P920" s="3">
        <f t="shared" si="202"/>
        <v>40360.726415537989</v>
      </c>
    </row>
    <row r="921" spans="1:16" x14ac:dyDescent="0.25">
      <c r="A921">
        <f t="shared" si="189"/>
        <v>422.5</v>
      </c>
      <c r="B921">
        <f t="shared" si="190"/>
        <v>-31502.111265787433</v>
      </c>
      <c r="C921">
        <f t="shared" si="191"/>
        <v>-63952.956922468555</v>
      </c>
      <c r="D921">
        <f t="shared" si="192"/>
        <v>-4661.2439811164586</v>
      </c>
      <c r="E921">
        <f t="shared" si="193"/>
        <v>-3261.4293777411413</v>
      </c>
      <c r="F921">
        <f>$C$23*(H921/(J921^2+$C$24^2)^1.5)+$C$32*(K921/(M921^2+$C$33^2)^1.5)+C$41*(N921/(P921^2+$C$42^2)^1.5)</f>
        <v>1571.3058101155966</v>
      </c>
      <c r="G921">
        <f>$C$23*(I921/(J921^2+$C$24^2)^1.5)+$C$32*(L921/(M921^2+$C$33^2)^1.5)+C$41*(O921/(P921^2+$C$42^2)^1.5)</f>
        <v>3556.6518867885125</v>
      </c>
      <c r="H921" s="3">
        <f t="shared" si="194"/>
        <v>51502.111265787433</v>
      </c>
      <c r="I921" s="3">
        <f t="shared" si="195"/>
        <v>78952.956922468555</v>
      </c>
      <c r="J921" s="3">
        <f t="shared" si="196"/>
        <v>94265.777839228191</v>
      </c>
      <c r="K921" s="3">
        <f t="shared" si="197"/>
        <v>11502.111265787433</v>
      </c>
      <c r="L921" s="3">
        <f t="shared" si="198"/>
        <v>83952.956922468555</v>
      </c>
      <c r="M921" s="3">
        <f t="shared" si="199"/>
        <v>84737.226409627154</v>
      </c>
      <c r="N921" s="3">
        <f t="shared" si="200"/>
        <v>26502.111265787433</v>
      </c>
      <c r="O921" s="3">
        <f t="shared" si="201"/>
        <v>33952.956922468555</v>
      </c>
      <c r="P921" s="3">
        <f t="shared" si="202"/>
        <v>43071.628542733124</v>
      </c>
    </row>
    <row r="922" spans="1:16" x14ac:dyDescent="0.25">
      <c r="A922">
        <f t="shared" si="189"/>
        <v>423</v>
      </c>
      <c r="B922">
        <f t="shared" si="190"/>
        <v>-33439.906803816761</v>
      </c>
      <c r="C922">
        <f t="shared" si="191"/>
        <v>-64694.508639642001</v>
      </c>
      <c r="D922">
        <f t="shared" si="192"/>
        <v>-3875.5910760586603</v>
      </c>
      <c r="E922">
        <f t="shared" si="193"/>
        <v>-1483.103434346885</v>
      </c>
      <c r="F922">
        <f>$C$23*(H922/(J922^2+$C$24^2)^1.5)+$C$32*(K922/(M922^2+$C$33^2)^1.5)+C$41*(N922/(P922^2+$C$42^2)^1.5)</f>
        <v>1546.4246966241303</v>
      </c>
      <c r="G922">
        <f>$C$23*(I922/(J922^2+$C$24^2)^1.5)+$C$32*(L922/(M922^2+$C$33^2)^1.5)+C$41*(O922/(P922^2+$C$42^2)^1.5)</f>
        <v>3358.5230927468538</v>
      </c>
      <c r="H922" s="3">
        <f t="shared" si="194"/>
        <v>53439.906803816761</v>
      </c>
      <c r="I922" s="3">
        <f t="shared" si="195"/>
        <v>79694.508639642008</v>
      </c>
      <c r="J922" s="3">
        <f t="shared" si="196"/>
        <v>95953.313369130687</v>
      </c>
      <c r="K922" s="3">
        <f t="shared" si="197"/>
        <v>13439.906803816761</v>
      </c>
      <c r="L922" s="3">
        <f t="shared" si="198"/>
        <v>84694.508639642008</v>
      </c>
      <c r="M922" s="3">
        <f t="shared" si="199"/>
        <v>85754.247058706518</v>
      </c>
      <c r="N922" s="3">
        <f t="shared" si="200"/>
        <v>28439.906803816761</v>
      </c>
      <c r="O922" s="3">
        <f t="shared" si="201"/>
        <v>34694.508639642001</v>
      </c>
      <c r="P922" s="3">
        <f t="shared" si="202"/>
        <v>44861.311045888709</v>
      </c>
    </row>
    <row r="923" spans="1:16" x14ac:dyDescent="0.25">
      <c r="A923">
        <f t="shared" si="189"/>
        <v>423.5</v>
      </c>
      <c r="B923">
        <f t="shared" si="190"/>
        <v>-34991.096167690055</v>
      </c>
      <c r="C923">
        <f t="shared" si="191"/>
        <v>-64596.429583628727</v>
      </c>
      <c r="D923">
        <f t="shared" si="192"/>
        <v>-3102.3787277465954</v>
      </c>
      <c r="E923">
        <f t="shared" si="193"/>
        <v>196.15811202654186</v>
      </c>
      <c r="F923">
        <f>$C$23*(H923/(J923^2+$C$24^2)^1.5)+$C$32*(K923/(M923^2+$C$33^2)^1.5)+C$41*(N923/(P923^2+$C$42^2)^1.5)</f>
        <v>1571.5963743411548</v>
      </c>
      <c r="G923">
        <f>$C$23*(I923/(J923^2+$C$24^2)^1.5)+$C$32*(L923/(M923^2+$C$33^2)^1.5)+C$41*(O923/(P923^2+$C$42^2)^1.5)</f>
        <v>3256.5327613020099</v>
      </c>
      <c r="H923" s="3">
        <f t="shared" si="194"/>
        <v>54991.096167690055</v>
      </c>
      <c r="I923" s="3">
        <f t="shared" si="195"/>
        <v>79596.42958362872</v>
      </c>
      <c r="J923" s="3">
        <f t="shared" si="196"/>
        <v>96745.089075289507</v>
      </c>
      <c r="K923" s="3">
        <f t="shared" si="197"/>
        <v>14991.096167690055</v>
      </c>
      <c r="L923" s="3">
        <f t="shared" si="198"/>
        <v>84596.42958362872</v>
      </c>
      <c r="M923" s="3">
        <f t="shared" si="199"/>
        <v>85914.427557929899</v>
      </c>
      <c r="N923" s="3">
        <f t="shared" si="200"/>
        <v>29991.096167690055</v>
      </c>
      <c r="O923" s="3">
        <f t="shared" si="201"/>
        <v>34596.429583628727</v>
      </c>
      <c r="P923" s="3">
        <f t="shared" si="202"/>
        <v>45786.229253724472</v>
      </c>
    </row>
    <row r="924" spans="1:16" x14ac:dyDescent="0.25">
      <c r="A924">
        <f t="shared" si="189"/>
        <v>424</v>
      </c>
      <c r="B924">
        <f t="shared" si="190"/>
        <v>-36149.386437978064</v>
      </c>
      <c r="C924">
        <f t="shared" si="191"/>
        <v>-63684.217337289949</v>
      </c>
      <c r="D924">
        <f t="shared" si="192"/>
        <v>-2316.5805405760179</v>
      </c>
      <c r="E924">
        <f t="shared" si="193"/>
        <v>1824.4244926775468</v>
      </c>
      <c r="F924">
        <f>$C$23*(H924/(J924^2+$C$24^2)^1.5)+$C$32*(K924/(M924^2+$C$33^2)^1.5)+C$41*(N924/(P924^2+$C$42^2)^1.5)</f>
        <v>1644.9408400432428</v>
      </c>
      <c r="G924">
        <f>$C$23*(I924/(J924^2+$C$24^2)^1.5)+$C$32*(L924/(M924^2+$C$33^2)^1.5)+C$41*(O924/(P924^2+$C$42^2)^1.5)</f>
        <v>3233.7250231361745</v>
      </c>
      <c r="H924" s="3">
        <f t="shared" si="194"/>
        <v>56149.386437978064</v>
      </c>
      <c r="I924" s="3">
        <f t="shared" si="195"/>
        <v>78684.217337289941</v>
      </c>
      <c r="J924" s="3">
        <f t="shared" si="196"/>
        <v>96664.159104309569</v>
      </c>
      <c r="K924" s="3">
        <f t="shared" si="197"/>
        <v>16149.386437978064</v>
      </c>
      <c r="L924" s="3">
        <f t="shared" si="198"/>
        <v>83684.217337289941</v>
      </c>
      <c r="M924" s="3">
        <f t="shared" si="199"/>
        <v>85228.228385188952</v>
      </c>
      <c r="N924" s="3">
        <f t="shared" si="200"/>
        <v>31149.386437978064</v>
      </c>
      <c r="O924" s="3">
        <f t="shared" si="201"/>
        <v>33684.217337289949</v>
      </c>
      <c r="P924" s="3">
        <f t="shared" si="202"/>
        <v>45879.306589008913</v>
      </c>
    </row>
    <row r="925" spans="1:16" x14ac:dyDescent="0.25">
      <c r="A925">
        <f t="shared" si="189"/>
        <v>424.5</v>
      </c>
      <c r="B925">
        <f t="shared" si="190"/>
        <v>-36896.441498255263</v>
      </c>
      <c r="C925">
        <f t="shared" si="191"/>
        <v>-61963.573835167132</v>
      </c>
      <c r="D925">
        <f t="shared" si="192"/>
        <v>-1494.1101205543964</v>
      </c>
      <c r="E925">
        <f t="shared" si="193"/>
        <v>3441.2870042456343</v>
      </c>
      <c r="F925">
        <f>$C$23*(H925/(J925^2+$C$24^2)^1.5)+$C$32*(K925/(M925^2+$C$33^2)^1.5)+C$41*(N925/(P925^2+$C$42^2)^1.5)</f>
        <v>1773.0241084198312</v>
      </c>
      <c r="G925">
        <f>$C$23*(I925/(J925^2+$C$24^2)^1.5)+$C$32*(L925/(M925^2+$C$33^2)^1.5)+C$41*(O925/(P925^2+$C$42^2)^1.5)</f>
        <v>3284.5548510887411</v>
      </c>
      <c r="H925" s="3">
        <f t="shared" si="194"/>
        <v>56896.441498255263</v>
      </c>
      <c r="I925" s="3">
        <f t="shared" si="195"/>
        <v>76963.573835167132</v>
      </c>
      <c r="J925" s="3">
        <f t="shared" si="196"/>
        <v>95711.006434190247</v>
      </c>
      <c r="K925" s="3">
        <f t="shared" si="197"/>
        <v>16896.441498255263</v>
      </c>
      <c r="L925" s="3">
        <f t="shared" si="198"/>
        <v>81963.573835167132</v>
      </c>
      <c r="M925" s="3">
        <f t="shared" si="199"/>
        <v>83687.019131624329</v>
      </c>
      <c r="N925" s="3">
        <f t="shared" si="200"/>
        <v>31896.441498255263</v>
      </c>
      <c r="O925" s="3">
        <f t="shared" si="201"/>
        <v>31963.573835167132</v>
      </c>
      <c r="P925" s="3">
        <f t="shared" si="202"/>
        <v>45155.874840022771</v>
      </c>
    </row>
    <row r="926" spans="1:16" x14ac:dyDescent="0.25">
      <c r="A926">
        <f t="shared" si="189"/>
        <v>425</v>
      </c>
      <c r="B926">
        <f t="shared" si="190"/>
        <v>-37200.240531427502</v>
      </c>
      <c r="C926">
        <f t="shared" si="191"/>
        <v>-59421.791620272132</v>
      </c>
      <c r="D926">
        <f t="shared" si="192"/>
        <v>-607.5980663444808</v>
      </c>
      <c r="E926">
        <f t="shared" si="193"/>
        <v>5083.5644297900053</v>
      </c>
      <c r="F926">
        <f>$C$23*(H926/(J926^2+$C$24^2)^1.5)+$C$32*(K926/(M926^2+$C$33^2)^1.5)+C$41*(N926/(P926^2+$C$42^2)^1.5)</f>
        <v>1972.1631050326114</v>
      </c>
      <c r="G926">
        <f>$C$23*(I926/(J926^2+$C$24^2)^1.5)+$C$32*(L926/(M926^2+$C$33^2)^1.5)+C$41*(O926/(P926^2+$C$42^2)^1.5)</f>
        <v>3411.9745039879535</v>
      </c>
      <c r="H926" s="3">
        <f t="shared" si="194"/>
        <v>57200.240531427502</v>
      </c>
      <c r="I926" s="3">
        <f t="shared" si="195"/>
        <v>74421.791620272124</v>
      </c>
      <c r="J926" s="3">
        <f t="shared" si="196"/>
        <v>93864.107010211141</v>
      </c>
      <c r="K926" s="3">
        <f t="shared" si="197"/>
        <v>17200.240531427502</v>
      </c>
      <c r="L926" s="3">
        <f t="shared" si="198"/>
        <v>79421.791620272124</v>
      </c>
      <c r="M926" s="3">
        <f t="shared" si="199"/>
        <v>81262.963633582112</v>
      </c>
      <c r="N926" s="3">
        <f t="shared" si="200"/>
        <v>32200.240531427502</v>
      </c>
      <c r="O926" s="3">
        <f t="shared" si="201"/>
        <v>29421.791620272132</v>
      </c>
      <c r="P926" s="3">
        <f t="shared" si="202"/>
        <v>43617.626166820468</v>
      </c>
    </row>
    <row r="927" spans="1:16" x14ac:dyDescent="0.25">
      <c r="A927">
        <f t="shared" si="189"/>
        <v>425.5</v>
      </c>
      <c r="B927">
        <f t="shared" si="190"/>
        <v>-37010.998788341589</v>
      </c>
      <c r="C927">
        <f t="shared" si="191"/>
        <v>-56027.015779380141</v>
      </c>
      <c r="D927">
        <f t="shared" si="192"/>
        <v>378.48348617182489</v>
      </c>
      <c r="E927">
        <f t="shared" si="193"/>
        <v>6789.5516817839816</v>
      </c>
      <c r="F927">
        <f>$C$23*(H927/(J927^2+$C$24^2)^1.5)+$C$32*(K927/(M927^2+$C$33^2)^1.5)+C$41*(N927/(P927^2+$C$42^2)^1.5)</f>
        <v>2273.6299202979717</v>
      </c>
      <c r="G927">
        <f>$C$23*(I927/(J927^2+$C$24^2)^1.5)+$C$32*(L927/(M927^2+$C$33^2)^1.5)+C$41*(O927/(P927^2+$C$42^2)^1.5)</f>
        <v>3626.3288180508625</v>
      </c>
      <c r="H927" s="3">
        <f t="shared" si="194"/>
        <v>57010.998788341589</v>
      </c>
      <c r="I927" s="3">
        <f t="shared" si="195"/>
        <v>71027.015779380134</v>
      </c>
      <c r="J927" s="3">
        <f t="shared" si="196"/>
        <v>91077.389913021776</v>
      </c>
      <c r="K927" s="3">
        <f t="shared" si="197"/>
        <v>17010.998788341589</v>
      </c>
      <c r="L927" s="3">
        <f t="shared" si="198"/>
        <v>76027.015779380134</v>
      </c>
      <c r="M927" s="3">
        <f t="shared" si="199"/>
        <v>77906.875229950499</v>
      </c>
      <c r="N927" s="3">
        <f t="shared" si="200"/>
        <v>32010.998788341589</v>
      </c>
      <c r="O927" s="3">
        <f t="shared" si="201"/>
        <v>26027.015779380141</v>
      </c>
      <c r="P927" s="3">
        <f t="shared" si="202"/>
        <v>41256.630907131883</v>
      </c>
    </row>
    <row r="928" spans="1:16" x14ac:dyDescent="0.25">
      <c r="A928">
        <f t="shared" si="189"/>
        <v>426</v>
      </c>
      <c r="B928">
        <f t="shared" si="190"/>
        <v>-36253.349565181183</v>
      </c>
      <c r="C928">
        <f t="shared" si="191"/>
        <v>-51725.657733975437</v>
      </c>
      <c r="D928">
        <f t="shared" si="192"/>
        <v>1515.2984463208109</v>
      </c>
      <c r="E928">
        <f t="shared" si="193"/>
        <v>8602.716090809412</v>
      </c>
      <c r="F928">
        <f>$C$23*(H928/(J928^2+$C$24^2)^1.5)+$C$32*(K928/(M928^2+$C$33^2)^1.5)+C$41*(N928/(P928^2+$C$42^2)^1.5)</f>
        <v>2735.321136522437</v>
      </c>
      <c r="G928">
        <f>$C$23*(I928/(J928^2+$C$24^2)^1.5)+$C$32*(L928/(M928^2+$C$33^2)^1.5)+C$41*(O928/(P928^2+$C$42^2)^1.5)</f>
        <v>3943.3226328327655</v>
      </c>
      <c r="H928" s="3">
        <f t="shared" si="194"/>
        <v>56253.349565181183</v>
      </c>
      <c r="I928" s="3">
        <f t="shared" si="195"/>
        <v>66725.657733975444</v>
      </c>
      <c r="J928" s="3">
        <f t="shared" si="196"/>
        <v>87274.009517920669</v>
      </c>
      <c r="K928" s="3">
        <f t="shared" si="197"/>
        <v>16253.349565181183</v>
      </c>
      <c r="L928" s="3">
        <f t="shared" si="198"/>
        <v>71725.657733975444</v>
      </c>
      <c r="M928" s="3">
        <f t="shared" si="199"/>
        <v>73544.145582495999</v>
      </c>
      <c r="N928" s="3">
        <f t="shared" si="200"/>
        <v>31253.349565181183</v>
      </c>
      <c r="O928" s="3">
        <f t="shared" si="201"/>
        <v>21725.657733975437</v>
      </c>
      <c r="P928" s="3">
        <f t="shared" si="202"/>
        <v>38062.791056585134</v>
      </c>
    </row>
    <row r="929" spans="1:16" x14ac:dyDescent="0.25">
      <c r="A929">
        <f t="shared" si="189"/>
        <v>426.5</v>
      </c>
      <c r="B929">
        <f t="shared" si="190"/>
        <v>-34811.87005789017</v>
      </c>
      <c r="C929">
        <f t="shared" si="191"/>
        <v>-46438.469030362539</v>
      </c>
      <c r="D929">
        <f t="shared" si="192"/>
        <v>2882.9590145820293</v>
      </c>
      <c r="E929">
        <f t="shared" si="193"/>
        <v>10574.377407225795</v>
      </c>
      <c r="F929">
        <f>$C$23*(H929/(J929^2+$C$24^2)^1.5)+$C$32*(K929/(M929^2+$C$33^2)^1.5)+C$41*(N929/(P929^2+$C$42^2)^1.5)</f>
        <v>3464.9377272954112</v>
      </c>
      <c r="G929">
        <f>$C$23*(I929/(J929^2+$C$24^2)^1.5)+$C$32*(L929/(M929^2+$C$33^2)^1.5)+C$41*(O929/(P929^2+$C$42^2)^1.5)</f>
        <v>4372.2934416532989</v>
      </c>
      <c r="H929" s="3">
        <f t="shared" si="194"/>
        <v>54811.87005789017</v>
      </c>
      <c r="I929" s="3">
        <f t="shared" si="195"/>
        <v>61438.469030362539</v>
      </c>
      <c r="J929" s="3">
        <f t="shared" si="196"/>
        <v>82334.844240077684</v>
      </c>
      <c r="K929" s="3">
        <f t="shared" si="197"/>
        <v>14811.87005789017</v>
      </c>
      <c r="L929" s="3">
        <f t="shared" si="198"/>
        <v>66438.469030362539</v>
      </c>
      <c r="M929" s="3">
        <f t="shared" si="199"/>
        <v>68069.535489161848</v>
      </c>
      <c r="N929" s="3">
        <f t="shared" si="200"/>
        <v>29811.87005789017</v>
      </c>
      <c r="O929" s="3">
        <f t="shared" si="201"/>
        <v>16438.469030362539</v>
      </c>
      <c r="P929" s="3">
        <f t="shared" si="202"/>
        <v>34043.66108999907</v>
      </c>
    </row>
    <row r="930" spans="1:16" x14ac:dyDescent="0.25">
      <c r="A930">
        <f t="shared" si="189"/>
        <v>427</v>
      </c>
      <c r="B930">
        <f t="shared" si="190"/>
        <v>-32504.156118775303</v>
      </c>
      <c r="C930">
        <f t="shared" si="191"/>
        <v>-40058.206966336315</v>
      </c>
      <c r="D930">
        <f t="shared" si="192"/>
        <v>4615.4278782297351</v>
      </c>
      <c r="E930">
        <f t="shared" si="193"/>
        <v>12760.524128052444</v>
      </c>
      <c r="F930">
        <f>$C$23*(H930/(J930^2+$C$24^2)^1.5)+$C$32*(K930/(M930^2+$C$33^2)^1.5)+C$41*(N930/(P930^2+$C$42^2)^1.5)</f>
        <v>4651.4310712788356</v>
      </c>
      <c r="G930">
        <f>$C$23*(I930/(J930^2+$C$24^2)^1.5)+$C$32*(L930/(M930^2+$C$33^2)^1.5)+C$41*(O930/(P930^2+$C$42^2)^1.5)</f>
        <v>4857.6256028109301</v>
      </c>
      <c r="H930" s="3">
        <f t="shared" si="194"/>
        <v>52504.156118775303</v>
      </c>
      <c r="I930" s="3">
        <f t="shared" si="195"/>
        <v>55058.206966336315</v>
      </c>
      <c r="J930" s="3">
        <f t="shared" si="196"/>
        <v>76079.51474669548</v>
      </c>
      <c r="K930" s="3">
        <f t="shared" si="197"/>
        <v>12504.156118775303</v>
      </c>
      <c r="L930" s="3">
        <f t="shared" si="198"/>
        <v>60058.206966336315</v>
      </c>
      <c r="M930" s="3">
        <f t="shared" si="199"/>
        <v>61346.084995327888</v>
      </c>
      <c r="N930" s="3">
        <f t="shared" si="200"/>
        <v>27504.156118775303</v>
      </c>
      <c r="O930" s="3">
        <f t="shared" si="201"/>
        <v>10058.206966336315</v>
      </c>
      <c r="P930" s="3">
        <f t="shared" si="202"/>
        <v>29285.59596770435</v>
      </c>
    </row>
    <row r="931" spans="1:16" x14ac:dyDescent="0.25">
      <c r="A931">
        <f t="shared" si="189"/>
        <v>427.5</v>
      </c>
      <c r="B931">
        <f t="shared" si="190"/>
        <v>-29033.584411840726</v>
      </c>
      <c r="C931">
        <f t="shared" si="191"/>
        <v>-32463.538501607356</v>
      </c>
      <c r="D931">
        <f t="shared" si="192"/>
        <v>6941.1434138691529</v>
      </c>
      <c r="E931">
        <f t="shared" si="193"/>
        <v>15189.33692945791</v>
      </c>
      <c r="F931">
        <f>$C$23*(H931/(J931^2+$C$24^2)^1.5)+$C$32*(K931/(M931^2+$C$33^2)^1.5)+C$41*(N931/(P931^2+$C$42^2)^1.5)</f>
        <v>6466.4852760767744</v>
      </c>
      <c r="G931">
        <f>$C$23*(I931/(J931^2+$C$24^2)^1.5)+$C$32*(L931/(M931^2+$C$33^2)^1.5)+C$41*(O931/(P931^2+$C$42^2)^1.5)</f>
        <v>5038.5635429020685</v>
      </c>
      <c r="H931" s="3">
        <f t="shared" si="194"/>
        <v>49033.584411840726</v>
      </c>
      <c r="I931" s="3">
        <f t="shared" si="195"/>
        <v>47463.538501607356</v>
      </c>
      <c r="J931" s="3">
        <f t="shared" si="196"/>
        <v>68242.800992974153</v>
      </c>
      <c r="K931" s="3">
        <f t="shared" si="197"/>
        <v>9033.5844118407258</v>
      </c>
      <c r="L931" s="3">
        <f t="shared" si="198"/>
        <v>52463.538501607356</v>
      </c>
      <c r="M931" s="3">
        <f t="shared" si="199"/>
        <v>53235.594478088526</v>
      </c>
      <c r="N931" s="3">
        <f t="shared" si="200"/>
        <v>24033.584411840726</v>
      </c>
      <c r="O931" s="3">
        <f t="shared" si="201"/>
        <v>2463.538501607356</v>
      </c>
      <c r="P931" s="3">
        <f t="shared" si="202"/>
        <v>24159.515757356879</v>
      </c>
    </row>
    <row r="932" spans="1:16" x14ac:dyDescent="0.25">
      <c r="A932">
        <f t="shared" si="189"/>
        <v>428</v>
      </c>
      <c r="B932">
        <f t="shared" si="190"/>
        <v>-23946.391385886956</v>
      </c>
      <c r="C932">
        <f t="shared" si="191"/>
        <v>-23609.229151152886</v>
      </c>
      <c r="D932">
        <f t="shared" si="192"/>
        <v>10174.386051907541</v>
      </c>
      <c r="E932">
        <f t="shared" si="193"/>
        <v>17708.618700908944</v>
      </c>
      <c r="F932">
        <f>$C$23*(H932/(J932^2+$C$24^2)^1.5)+$C$32*(K932/(M932^2+$C$33^2)^1.5)+C$41*(N932/(P932^2+$C$42^2)^1.5)</f>
        <v>7778.8326908298204</v>
      </c>
      <c r="G932">
        <f>$C$23*(I932/(J932^2+$C$24^2)^1.5)+$C$32*(L932/(M932^2+$C$33^2)^1.5)+C$41*(O932/(P932^2+$C$42^2)^1.5)</f>
        <v>3921.5617464974694</v>
      </c>
      <c r="H932" s="3">
        <f t="shared" si="194"/>
        <v>43946.391385886956</v>
      </c>
      <c r="I932" s="3">
        <f t="shared" si="195"/>
        <v>38609.229151152889</v>
      </c>
      <c r="J932" s="3">
        <f t="shared" si="196"/>
        <v>58497.503292771333</v>
      </c>
      <c r="K932" s="3">
        <f t="shared" si="197"/>
        <v>3946.3913858869564</v>
      </c>
      <c r="L932" s="3">
        <f t="shared" si="198"/>
        <v>43609.229151152889</v>
      </c>
      <c r="M932" s="3">
        <f t="shared" si="199"/>
        <v>43787.428242914262</v>
      </c>
      <c r="N932" s="3">
        <f t="shared" si="200"/>
        <v>18946.391385886956</v>
      </c>
      <c r="O932" s="3">
        <f t="shared" si="201"/>
        <v>-6390.7708488471144</v>
      </c>
      <c r="P932" s="3">
        <f t="shared" si="202"/>
        <v>19995.191886793324</v>
      </c>
    </row>
    <row r="933" spans="1:16" x14ac:dyDescent="0.25">
      <c r="A933">
        <f t="shared" si="189"/>
        <v>428.5</v>
      </c>
      <c r="B933">
        <f t="shared" si="190"/>
        <v>-16914.490187225732</v>
      </c>
      <c r="C933">
        <f t="shared" si="191"/>
        <v>-13774.529364074046</v>
      </c>
      <c r="D933">
        <f t="shared" si="192"/>
        <v>14063.802397322452</v>
      </c>
      <c r="E933">
        <f t="shared" si="193"/>
        <v>19669.39957415768</v>
      </c>
      <c r="F933">
        <f>$C$23*(H933/(J933^2+$C$24^2)^1.5)+$C$32*(K933/(M933^2+$C$33^2)^1.5)+C$41*(N933/(P933^2+$C$42^2)^1.5)</f>
        <v>3724.8512630340156</v>
      </c>
      <c r="G933">
        <f>$C$23*(I933/(J933^2+$C$24^2)^1.5)+$C$32*(L933/(M933^2+$C$33^2)^1.5)+C$41*(O933/(P933^2+$C$42^2)^1.5)</f>
        <v>3521.8045349963731</v>
      </c>
      <c r="H933" s="3">
        <f t="shared" si="194"/>
        <v>36914.490187225732</v>
      </c>
      <c r="I933" s="3">
        <f t="shared" si="195"/>
        <v>28774.529364074046</v>
      </c>
      <c r="J933" s="3">
        <f t="shared" si="196"/>
        <v>46804.413530208287</v>
      </c>
      <c r="K933" s="3">
        <f t="shared" si="197"/>
        <v>-3085.5098127742676</v>
      </c>
      <c r="L933" s="3">
        <f t="shared" si="198"/>
        <v>33774.529364074042</v>
      </c>
      <c r="M933" s="3">
        <f t="shared" si="199"/>
        <v>33915.176611207942</v>
      </c>
      <c r="N933" s="3">
        <f t="shared" si="200"/>
        <v>11914.490187225732</v>
      </c>
      <c r="O933" s="3">
        <f t="shared" si="201"/>
        <v>-16225.470635925954</v>
      </c>
      <c r="P933" s="3">
        <f t="shared" si="202"/>
        <v>20130.101186501615</v>
      </c>
    </row>
    <row r="934" spans="1:16" x14ac:dyDescent="0.25">
      <c r="A934">
        <f t="shared" si="189"/>
        <v>429</v>
      </c>
      <c r="B934">
        <f t="shared" si="190"/>
        <v>-8951.3761728060017</v>
      </c>
      <c r="C934">
        <f t="shared" si="191"/>
        <v>-3059.3784432461125</v>
      </c>
      <c r="D934">
        <f t="shared" si="192"/>
        <v>15926.22802883946</v>
      </c>
      <c r="E934">
        <f t="shared" si="193"/>
        <v>21430.301841655866</v>
      </c>
      <c r="F934">
        <f>$C$23*(H934/(J934^2+$C$24^2)^1.5)+$C$32*(K934/(M934^2+$C$33^2)^1.5)+C$41*(N934/(P934^2+$C$42^2)^1.5)</f>
        <v>-4947.830434343985</v>
      </c>
      <c r="G934">
        <f>$C$23*(I934/(J934^2+$C$24^2)^1.5)+$C$32*(L934/(M934^2+$C$33^2)^1.5)+C$41*(O934/(P934^2+$C$42^2)^1.5)</f>
        <v>8120.1371030073105</v>
      </c>
      <c r="H934" s="3">
        <f t="shared" si="194"/>
        <v>28951.376172806002</v>
      </c>
      <c r="I934" s="3">
        <f t="shared" si="195"/>
        <v>18059.378443246111</v>
      </c>
      <c r="J934" s="3">
        <f t="shared" si="196"/>
        <v>34122.182404642605</v>
      </c>
      <c r="K934" s="3">
        <f t="shared" si="197"/>
        <v>-11048.623827193998</v>
      </c>
      <c r="L934" s="3">
        <f t="shared" si="198"/>
        <v>23059.378443246111</v>
      </c>
      <c r="M934" s="3">
        <f t="shared" si="199"/>
        <v>25569.650421225597</v>
      </c>
      <c r="N934" s="3">
        <f t="shared" si="200"/>
        <v>3951.3761728060017</v>
      </c>
      <c r="O934" s="3">
        <f t="shared" si="201"/>
        <v>-26940.621556753889</v>
      </c>
      <c r="P934" s="3">
        <f t="shared" si="202"/>
        <v>27228.853510995486</v>
      </c>
    </row>
    <row r="935" spans="1:16" x14ac:dyDescent="0.25">
      <c r="A935">
        <f t="shared" si="189"/>
        <v>429.5</v>
      </c>
      <c r="B935">
        <f t="shared" si="190"/>
        <v>-2225.2197669722682</v>
      </c>
      <c r="C935">
        <f t="shared" si="191"/>
        <v>9685.8067533336489</v>
      </c>
      <c r="D935">
        <f t="shared" si="192"/>
        <v>13452.312811667467</v>
      </c>
      <c r="E935">
        <f t="shared" si="193"/>
        <v>25490.370393159523</v>
      </c>
      <c r="F935">
        <f>$C$23*(H935/(J935^2+$C$24^2)^1.5)+$C$32*(K935/(M935^2+$C$33^2)^1.5)+C$41*(N935/(P935^2+$C$42^2)^1.5)</f>
        <v>-14516.740297184901</v>
      </c>
      <c r="G935">
        <f>$C$23*(I935/(J935^2+$C$24^2)^1.5)+$C$32*(L935/(M935^2+$C$33^2)^1.5)+C$41*(O935/(P935^2+$C$42^2)^1.5)</f>
        <v>6662.4534560372285</v>
      </c>
      <c r="H935" s="3">
        <f t="shared" si="194"/>
        <v>22225.219766972266</v>
      </c>
      <c r="I935" s="3">
        <f t="shared" si="195"/>
        <v>5314.1932466663511</v>
      </c>
      <c r="J935" s="3">
        <f t="shared" si="196"/>
        <v>22851.718612680514</v>
      </c>
      <c r="K935" s="3">
        <f t="shared" si="197"/>
        <v>-17774.780233027734</v>
      </c>
      <c r="L935" s="3">
        <f t="shared" si="198"/>
        <v>10314.193246666351</v>
      </c>
      <c r="M935" s="3">
        <f t="shared" si="199"/>
        <v>20550.557040187774</v>
      </c>
      <c r="N935" s="3">
        <f t="shared" si="200"/>
        <v>-2774.7802330277318</v>
      </c>
      <c r="O935" s="3">
        <f t="shared" si="201"/>
        <v>-39685.806753333651</v>
      </c>
      <c r="P935" s="3">
        <f t="shared" si="202"/>
        <v>39782.693008449598</v>
      </c>
    </row>
    <row r="936" spans="1:16" x14ac:dyDescent="0.25">
      <c r="A936">
        <f t="shared" si="189"/>
        <v>430</v>
      </c>
      <c r="B936">
        <f t="shared" si="190"/>
        <v>871.75156456524019</v>
      </c>
      <c r="C936">
        <f t="shared" si="191"/>
        <v>24096.605313922719</v>
      </c>
      <c r="D936">
        <f t="shared" si="192"/>
        <v>6193.9426630750168</v>
      </c>
      <c r="E936">
        <f t="shared" si="193"/>
        <v>28821.597121178136</v>
      </c>
      <c r="F936">
        <f>$C$23*(H936/(J936^2+$C$24^2)^1.5)+$C$32*(K936/(M936^2+$C$33^2)^1.5)+C$41*(N936/(P936^2+$C$42^2)^1.5)</f>
        <v>-15909.219492156273</v>
      </c>
      <c r="G936">
        <f>$C$23*(I936/(J936^2+$C$24^2)^1.5)+$C$32*(L936/(M936^2+$C$33^2)^1.5)+C$41*(O936/(P936^2+$C$42^2)^1.5)</f>
        <v>-5084.9311346728282</v>
      </c>
      <c r="H936" s="3">
        <f t="shared" si="194"/>
        <v>19128.248435434762</v>
      </c>
      <c r="I936" s="3">
        <f t="shared" si="195"/>
        <v>-9096.6053139227188</v>
      </c>
      <c r="J936" s="3">
        <f t="shared" si="196"/>
        <v>21181.079208694715</v>
      </c>
      <c r="K936" s="3">
        <f t="shared" si="197"/>
        <v>-20871.751564565238</v>
      </c>
      <c r="L936" s="3">
        <f t="shared" si="198"/>
        <v>-4096.6053139227188</v>
      </c>
      <c r="M936" s="3">
        <f t="shared" si="199"/>
        <v>21269.983273876624</v>
      </c>
      <c r="N936" s="3">
        <f t="shared" si="200"/>
        <v>-5871.7515645652402</v>
      </c>
      <c r="O936" s="3">
        <f t="shared" si="201"/>
        <v>-54096.605313922715</v>
      </c>
      <c r="P936" s="3">
        <f t="shared" si="202"/>
        <v>54414.337935201467</v>
      </c>
    </row>
    <row r="937" spans="1:16" x14ac:dyDescent="0.25">
      <c r="A937">
        <f t="shared" si="189"/>
        <v>430.5</v>
      </c>
      <c r="B937">
        <f t="shared" si="190"/>
        <v>-8.5819769363197338</v>
      </c>
      <c r="C937">
        <f t="shared" si="191"/>
        <v>37236.171090843578</v>
      </c>
      <c r="D937">
        <f t="shared" si="192"/>
        <v>-1760.6670830031198</v>
      </c>
      <c r="E937">
        <f t="shared" si="193"/>
        <v>26279.131553841722</v>
      </c>
      <c r="F937">
        <f>$C$23*(H937/(J937^2+$C$24^2)^1.5)+$C$32*(K937/(M937^2+$C$33^2)^1.5)+C$41*(N937/(P937^2+$C$42^2)^1.5)</f>
        <v>-9789.7778021774102</v>
      </c>
      <c r="G937">
        <f>$C$23*(I937/(J937^2+$C$24^2)^1.5)+$C$32*(L937/(M937^2+$C$33^2)^1.5)+C$41*(O937/(P937^2+$C$42^2)^1.5)</f>
        <v>-10014.240850622802</v>
      </c>
      <c r="H937" s="3">
        <f t="shared" si="194"/>
        <v>20008.581976936319</v>
      </c>
      <c r="I937" s="3">
        <f t="shared" si="195"/>
        <v>-22236.171090843578</v>
      </c>
      <c r="J937" s="3">
        <f t="shared" si="196"/>
        <v>29913.051624818363</v>
      </c>
      <c r="K937" s="3">
        <f t="shared" si="197"/>
        <v>-19991.418023063681</v>
      </c>
      <c r="L937" s="3">
        <f t="shared" si="198"/>
        <v>-17236.171090843578</v>
      </c>
      <c r="M937" s="3">
        <f t="shared" si="199"/>
        <v>26395.878247289053</v>
      </c>
      <c r="N937" s="3">
        <f t="shared" si="200"/>
        <v>-4991.4180230636803</v>
      </c>
      <c r="O937" s="3">
        <f t="shared" si="201"/>
        <v>-67236.171090843578</v>
      </c>
      <c r="P937" s="3">
        <f t="shared" si="202"/>
        <v>67421.190710622686</v>
      </c>
    </row>
    <row r="938" spans="1:16" x14ac:dyDescent="0.25">
      <c r="A938">
        <f t="shared" si="189"/>
        <v>431</v>
      </c>
      <c r="B938">
        <f t="shared" si="190"/>
        <v>-3336.3599689822322</v>
      </c>
      <c r="C938">
        <f t="shared" si="191"/>
        <v>47872.176655108742</v>
      </c>
      <c r="D938">
        <f t="shared" si="192"/>
        <v>-6655.5559840918249</v>
      </c>
      <c r="E938">
        <f t="shared" si="193"/>
        <v>21272.011128530321</v>
      </c>
      <c r="F938">
        <f>$C$23*(H938/(J938^2+$C$24^2)^1.5)+$C$32*(K938/(M938^2+$C$33^2)^1.5)+C$41*(N938/(P938^2+$C$42^2)^1.5)</f>
        <v>-4979.10647924773</v>
      </c>
      <c r="G938">
        <f>$C$23*(I938/(J938^2+$C$24^2)^1.5)+$C$32*(L938/(M938^2+$C$33^2)^1.5)+C$41*(O938/(P938^2+$C$42^2)^1.5)</f>
        <v>-9539.3697877954983</v>
      </c>
      <c r="H938" s="3">
        <f t="shared" si="194"/>
        <v>23336.359968982233</v>
      </c>
      <c r="I938" s="3">
        <f t="shared" si="195"/>
        <v>-32872.176655108742</v>
      </c>
      <c r="J938" s="3">
        <f t="shared" si="196"/>
        <v>40313.343878256892</v>
      </c>
      <c r="K938" s="3">
        <f t="shared" si="197"/>
        <v>-16663.640031017767</v>
      </c>
      <c r="L938" s="3">
        <f t="shared" si="198"/>
        <v>-27872.176655108742</v>
      </c>
      <c r="M938" s="3">
        <f t="shared" si="199"/>
        <v>32473.606676452288</v>
      </c>
      <c r="N938" s="3">
        <f t="shared" si="200"/>
        <v>-1663.6400310177678</v>
      </c>
      <c r="O938" s="3">
        <f t="shared" si="201"/>
        <v>-77872.176655108749</v>
      </c>
      <c r="P938" s="3">
        <f t="shared" si="202"/>
        <v>77889.945404764978</v>
      </c>
    </row>
    <row r="939" spans="1:16" x14ac:dyDescent="0.25">
      <c r="A939">
        <f t="shared" si="189"/>
        <v>431.5</v>
      </c>
      <c r="B939">
        <f t="shared" si="190"/>
        <v>-7908.9145808400772</v>
      </c>
      <c r="C939">
        <f t="shared" si="191"/>
        <v>56123.339772425032</v>
      </c>
      <c r="D939">
        <f t="shared" si="192"/>
        <v>-9145.10922371569</v>
      </c>
      <c r="E939">
        <f t="shared" si="193"/>
        <v>16502.326234632572</v>
      </c>
      <c r="F939">
        <f>$C$23*(H939/(J939^2+$C$24^2)^1.5)+$C$32*(K939/(M939^2+$C$33^2)^1.5)+C$41*(N939/(P939^2+$C$42^2)^1.5)</f>
        <v>-2355.1281273586692</v>
      </c>
      <c r="G939">
        <f>$C$23*(I939/(J939^2+$C$24^2)^1.5)+$C$32*(L939/(M939^2+$C$33^2)^1.5)+C$41*(O939/(P939^2+$C$42^2)^1.5)</f>
        <v>-8167.5948445884624</v>
      </c>
      <c r="H939" s="3">
        <f t="shared" si="194"/>
        <v>27908.914580840079</v>
      </c>
      <c r="I939" s="3">
        <f t="shared" si="195"/>
        <v>-41123.339772425032</v>
      </c>
      <c r="J939" s="3">
        <f t="shared" si="196"/>
        <v>49699.46264416691</v>
      </c>
      <c r="K939" s="3">
        <f t="shared" si="197"/>
        <v>-12091.085419159923</v>
      </c>
      <c r="L939" s="3">
        <f t="shared" si="198"/>
        <v>-36123.339772425032</v>
      </c>
      <c r="M939" s="3">
        <f t="shared" si="199"/>
        <v>38093.175542706937</v>
      </c>
      <c r="N939" s="3">
        <f t="shared" si="200"/>
        <v>2908.9145808400772</v>
      </c>
      <c r="O939" s="3">
        <f t="shared" si="201"/>
        <v>-86123.339772425039</v>
      </c>
      <c r="P939" s="3">
        <f t="shared" si="202"/>
        <v>86172.45173252988</v>
      </c>
    </row>
    <row r="940" spans="1:16" x14ac:dyDescent="0.25">
      <c r="A940">
        <f t="shared" si="189"/>
        <v>432</v>
      </c>
      <c r="B940">
        <f t="shared" si="190"/>
        <v>-13070.251224537589</v>
      </c>
      <c r="C940">
        <f t="shared" si="191"/>
        <v>62332.6041785942</v>
      </c>
      <c r="D940">
        <f t="shared" si="192"/>
        <v>-10322.673287395024</v>
      </c>
      <c r="E940">
        <f t="shared" si="193"/>
        <v>12418.52881233834</v>
      </c>
      <c r="F940">
        <f>$C$23*(H940/(J940^2+$C$24^2)^1.5)+$C$32*(K940/(M940^2+$C$33^2)^1.5)+C$41*(N940/(P940^2+$C$42^2)^1.5)</f>
        <v>-913.27376819480514</v>
      </c>
      <c r="G940">
        <f>$C$23*(I940/(J940^2+$C$24^2)^1.5)+$C$32*(L940/(M940^2+$C$33^2)^1.5)+C$41*(O940/(P940^2+$C$42^2)^1.5)</f>
        <v>-6981.9744258006685</v>
      </c>
      <c r="H940" s="3">
        <f t="shared" si="194"/>
        <v>33070.251224537591</v>
      </c>
      <c r="I940" s="3">
        <f t="shared" si="195"/>
        <v>-47332.6041785942</v>
      </c>
      <c r="J940" s="3">
        <f t="shared" si="196"/>
        <v>57740.946774204378</v>
      </c>
      <c r="K940" s="3">
        <f t="shared" si="197"/>
        <v>-6929.7487754624108</v>
      </c>
      <c r="L940" s="3">
        <f t="shared" si="198"/>
        <v>-42332.6041785942</v>
      </c>
      <c r="M940" s="3">
        <f t="shared" si="199"/>
        <v>42896.046375307757</v>
      </c>
      <c r="N940" s="3">
        <f t="shared" si="200"/>
        <v>8070.2512245375892</v>
      </c>
      <c r="O940" s="3">
        <f t="shared" si="201"/>
        <v>-92332.604178594192</v>
      </c>
      <c r="P940" s="3">
        <f t="shared" si="202"/>
        <v>92684.61980948133</v>
      </c>
    </row>
    <row r="941" spans="1:16" x14ac:dyDescent="0.25">
      <c r="A941">
        <f t="shared" si="189"/>
        <v>432.5</v>
      </c>
      <c r="B941">
        <f t="shared" si="190"/>
        <v>-18459.906310283804</v>
      </c>
      <c r="C941">
        <f t="shared" si="191"/>
        <v>66796.374978313208</v>
      </c>
      <c r="D941">
        <f t="shared" si="192"/>
        <v>-10779.310171492427</v>
      </c>
      <c r="E941">
        <f t="shared" si="193"/>
        <v>8927.5415994380055</v>
      </c>
      <c r="F941">
        <f>$C$23*(H941/(J941^2+$C$24^2)^1.5)+$C$32*(K941/(M941^2+$C$33^2)^1.5)+C$41*(N941/(P941^2+$C$42^2)^1.5)</f>
        <v>-49.401748618013919</v>
      </c>
      <c r="G941">
        <f>$C$23*(I941/(J941^2+$C$24^2)^1.5)+$C$32*(L941/(M941^2+$C$33^2)^1.5)+C$41*(O941/(P941^2+$C$42^2)^1.5)</f>
        <v>-6094.3218655553301</v>
      </c>
      <c r="H941" s="3">
        <f t="shared" si="194"/>
        <v>38459.906310283804</v>
      </c>
      <c r="I941" s="3">
        <f t="shared" si="195"/>
        <v>-51796.374978313208</v>
      </c>
      <c r="J941" s="3">
        <f t="shared" si="196"/>
        <v>64513.788094405361</v>
      </c>
      <c r="K941" s="3">
        <f t="shared" si="197"/>
        <v>-1540.0936897161955</v>
      </c>
      <c r="L941" s="3">
        <f t="shared" si="198"/>
        <v>-46796.374978313208</v>
      </c>
      <c r="M941" s="3">
        <f t="shared" si="199"/>
        <v>46821.710772717415</v>
      </c>
      <c r="N941" s="3">
        <f t="shared" si="200"/>
        <v>13459.906310283804</v>
      </c>
      <c r="O941" s="3">
        <f t="shared" si="201"/>
        <v>-96796.374978313208</v>
      </c>
      <c r="P941" s="3">
        <f t="shared" si="202"/>
        <v>97727.720155664312</v>
      </c>
    </row>
    <row r="942" spans="1:16" x14ac:dyDescent="0.25">
      <c r="A942">
        <f t="shared" si="189"/>
        <v>433</v>
      </c>
      <c r="B942">
        <f t="shared" si="190"/>
        <v>-23861.91183318452</v>
      </c>
      <c r="C942">
        <f t="shared" si="191"/>
        <v>69736.565311643382</v>
      </c>
      <c r="D942">
        <f t="shared" si="192"/>
        <v>-10804.011045801433</v>
      </c>
      <c r="E942">
        <f t="shared" si="193"/>
        <v>5880.3806666603405</v>
      </c>
      <c r="F942">
        <f>$C$23*(H942/(J942^2+$C$24^2)^1.5)+$C$32*(K942/(M942^2+$C$33^2)^1.5)+C$41*(N942/(P942^2+$C$42^2)^1.5)</f>
        <v>526.72736618700344</v>
      </c>
      <c r="G942">
        <f>$C$23*(I942/(J942^2+$C$24^2)^1.5)+$C$32*(L942/(M942^2+$C$33^2)^1.5)+C$41*(O942/(P942^2+$C$42^2)^1.5)</f>
        <v>-5450.1927088124603</v>
      </c>
      <c r="H942" s="3">
        <f t="shared" si="194"/>
        <v>43861.911833184524</v>
      </c>
      <c r="I942" s="3">
        <f t="shared" si="195"/>
        <v>-54736.565311643382</v>
      </c>
      <c r="J942" s="3">
        <f t="shared" si="196"/>
        <v>70142.418633647467</v>
      </c>
      <c r="K942" s="3">
        <f t="shared" si="197"/>
        <v>3861.9118331845202</v>
      </c>
      <c r="L942" s="3">
        <f t="shared" si="198"/>
        <v>-49736.565311643382</v>
      </c>
      <c r="M942" s="3">
        <f t="shared" si="199"/>
        <v>49886.273583087546</v>
      </c>
      <c r="N942" s="3">
        <f t="shared" si="200"/>
        <v>18861.91183318452</v>
      </c>
      <c r="O942" s="3">
        <f t="shared" si="201"/>
        <v>-99736.565311643382</v>
      </c>
      <c r="P942" s="3">
        <f t="shared" si="202"/>
        <v>101504.45398191418</v>
      </c>
    </row>
    <row r="943" spans="1:16" x14ac:dyDescent="0.25">
      <c r="A943">
        <f t="shared" si="189"/>
        <v>433.5</v>
      </c>
      <c r="B943">
        <f t="shared" si="190"/>
        <v>-29132.235514538486</v>
      </c>
      <c r="C943">
        <f t="shared" si="191"/>
        <v>71314.207467770437</v>
      </c>
      <c r="D943">
        <f t="shared" si="192"/>
        <v>-10540.647362707932</v>
      </c>
      <c r="E943">
        <f t="shared" si="193"/>
        <v>3155.2843122541103</v>
      </c>
      <c r="F943">
        <f>$C$23*(H943/(J943^2+$C$24^2)^1.5)+$C$32*(K943/(M943^2+$C$33^2)^1.5)+C$41*(N943/(P943^2+$C$42^2)^1.5)</f>
        <v>958.71387330771108</v>
      </c>
      <c r="G943">
        <f>$C$23*(I943/(J943^2+$C$24^2)^1.5)+$C$32*(L943/(M943^2+$C$33^2)^1.5)+C$41*(O943/(P943^2+$C$42^2)^1.5)</f>
        <v>-4987.8179536935986</v>
      </c>
      <c r="H943" s="3">
        <f t="shared" si="194"/>
        <v>49132.235514538486</v>
      </c>
      <c r="I943" s="3">
        <f t="shared" si="195"/>
        <v>-56314.207467770437</v>
      </c>
      <c r="J943" s="3">
        <f t="shared" si="196"/>
        <v>74734.640759015951</v>
      </c>
      <c r="K943" s="3">
        <f t="shared" si="197"/>
        <v>9132.2355145384863</v>
      </c>
      <c r="L943" s="3">
        <f t="shared" si="198"/>
        <v>-51314.207467770437</v>
      </c>
      <c r="M943" s="3">
        <f t="shared" si="199"/>
        <v>52120.491301774826</v>
      </c>
      <c r="N943" s="3">
        <f t="shared" si="200"/>
        <v>24132.235514538486</v>
      </c>
      <c r="O943" s="3">
        <f t="shared" si="201"/>
        <v>-101314.20746777044</v>
      </c>
      <c r="P943" s="3">
        <f t="shared" si="202"/>
        <v>104148.61221231699</v>
      </c>
    </row>
    <row r="944" spans="1:16" x14ac:dyDescent="0.25">
      <c r="A944">
        <f t="shared" si="189"/>
        <v>434</v>
      </c>
      <c r="B944">
        <f t="shared" si="190"/>
        <v>-34162.88072756552</v>
      </c>
      <c r="C944">
        <f t="shared" si="191"/>
        <v>71644.895135474086</v>
      </c>
      <c r="D944">
        <f t="shared" si="192"/>
        <v>-10061.290426054076</v>
      </c>
      <c r="E944">
        <f t="shared" si="193"/>
        <v>661.37533540731101</v>
      </c>
      <c r="F944">
        <f>$C$23*(H944/(J944^2+$C$24^2)^1.5)+$C$32*(K944/(M944^2+$C$33^2)^1.5)+C$41*(N944/(P944^2+$C$42^2)^1.5)</f>
        <v>1324.5905099295342</v>
      </c>
      <c r="G944">
        <f>$C$23*(I944/(J944^2+$C$24^2)^1.5)+$C$32*(L944/(M944^2+$C$33^2)^1.5)+C$41*(O944/(P944^2+$C$42^2)^1.5)</f>
        <v>-4661.4135282770376</v>
      </c>
      <c r="H944" s="3">
        <f t="shared" si="194"/>
        <v>54162.88072756552</v>
      </c>
      <c r="I944" s="3">
        <f t="shared" si="195"/>
        <v>-56644.895135474086</v>
      </c>
      <c r="J944" s="3">
        <f t="shared" si="196"/>
        <v>78372.5831756064</v>
      </c>
      <c r="K944" s="3">
        <f t="shared" si="197"/>
        <v>14162.88072756552</v>
      </c>
      <c r="L944" s="3">
        <f t="shared" si="198"/>
        <v>-51644.895135474086</v>
      </c>
      <c r="M944" s="3">
        <f t="shared" si="199"/>
        <v>53551.679563365346</v>
      </c>
      <c r="N944" s="3">
        <f t="shared" si="200"/>
        <v>29162.88072756552</v>
      </c>
      <c r="O944" s="3">
        <f t="shared" si="201"/>
        <v>-101644.89513547409</v>
      </c>
      <c r="P944" s="3">
        <f t="shared" si="202"/>
        <v>105745.72482815433</v>
      </c>
    </row>
    <row r="945" spans="1:16" x14ac:dyDescent="0.25">
      <c r="A945">
        <f t="shared" si="189"/>
        <v>434.5</v>
      </c>
      <c r="B945">
        <f t="shared" si="190"/>
        <v>-38862.378313110181</v>
      </c>
      <c r="C945">
        <f t="shared" si="191"/>
        <v>70810.229421108481</v>
      </c>
      <c r="D945">
        <f t="shared" si="192"/>
        <v>-9398.9951710893092</v>
      </c>
      <c r="E945">
        <f t="shared" si="193"/>
        <v>-1669.3314287312078</v>
      </c>
      <c r="F945">
        <f>$C$23*(H945/(J945^2+$C$24^2)^1.5)+$C$32*(K945/(M945^2+$C$33^2)^1.5)+C$41*(N945/(P945^2+$C$42^2)^1.5)</f>
        <v>1673.2173121682674</v>
      </c>
      <c r="G945">
        <f>$C$23*(I945/(J945^2+$C$24^2)^1.5)+$C$32*(L945/(M945^2+$C$33^2)^1.5)+C$41*(O945/(P945^2+$C$42^2)^1.5)</f>
        <v>-4439.9449217838801</v>
      </c>
      <c r="H945" s="3">
        <f t="shared" si="194"/>
        <v>58862.378313110181</v>
      </c>
      <c r="I945" s="3">
        <f t="shared" si="195"/>
        <v>-55810.229421108481</v>
      </c>
      <c r="J945" s="3">
        <f t="shared" si="196"/>
        <v>81114.494935938957</v>
      </c>
      <c r="K945" s="3">
        <f t="shared" si="197"/>
        <v>18862.378313110181</v>
      </c>
      <c r="L945" s="3">
        <f t="shared" si="198"/>
        <v>-50810.229421108481</v>
      </c>
      <c r="M945" s="3">
        <f t="shared" si="199"/>
        <v>54198.419990370261</v>
      </c>
      <c r="N945" s="3">
        <f t="shared" si="200"/>
        <v>33862.378313110181</v>
      </c>
      <c r="O945" s="3">
        <f t="shared" si="201"/>
        <v>-100810.22942110848</v>
      </c>
      <c r="P945" s="3">
        <f t="shared" si="202"/>
        <v>106345.48895442966</v>
      </c>
    </row>
    <row r="946" spans="1:16" x14ac:dyDescent="0.25">
      <c r="A946">
        <f t="shared" si="189"/>
        <v>435</v>
      </c>
      <c r="B946">
        <f t="shared" si="190"/>
        <v>-43143.571570612767</v>
      </c>
      <c r="C946">
        <f t="shared" si="191"/>
        <v>68865.577476296909</v>
      </c>
      <c r="D946">
        <f t="shared" si="192"/>
        <v>-8562.3865150051752</v>
      </c>
      <c r="E946">
        <f t="shared" si="193"/>
        <v>-3889.3038896231478</v>
      </c>
      <c r="F946">
        <f>$C$23*(H946/(J946^2+$C$24^2)^1.5)+$C$32*(K946/(M946^2+$C$33^2)^1.5)+C$41*(N946/(P946^2+$C$42^2)^1.5)</f>
        <v>2042.0205689113482</v>
      </c>
      <c r="G946">
        <f>$C$23*(I946/(J946^2+$C$24^2)^1.5)+$C$32*(L946/(M946^2+$C$33^2)^1.5)+C$41*(O946/(P946^2+$C$42^2)^1.5)</f>
        <v>-4302.8389087612913</v>
      </c>
      <c r="H946" s="3">
        <f t="shared" si="194"/>
        <v>63143.571570612767</v>
      </c>
      <c r="I946" s="3">
        <f t="shared" si="195"/>
        <v>-53865.577476296909</v>
      </c>
      <c r="J946" s="3">
        <f t="shared" si="196"/>
        <v>82997.65700035177</v>
      </c>
      <c r="K946" s="3">
        <f t="shared" si="197"/>
        <v>23143.571570612767</v>
      </c>
      <c r="L946" s="3">
        <f t="shared" si="198"/>
        <v>-48865.577476296909</v>
      </c>
      <c r="M946" s="3">
        <f t="shared" si="199"/>
        <v>54069.118423884545</v>
      </c>
      <c r="N946" s="3">
        <f t="shared" si="200"/>
        <v>38143.571570612767</v>
      </c>
      <c r="O946" s="3">
        <f t="shared" si="201"/>
        <v>-98865.577476296909</v>
      </c>
      <c r="P946" s="3">
        <f t="shared" si="202"/>
        <v>105968.55411811621</v>
      </c>
    </row>
    <row r="947" spans="1:16" x14ac:dyDescent="0.25">
      <c r="A947">
        <f t="shared" si="189"/>
        <v>435.5</v>
      </c>
      <c r="B947">
        <f t="shared" si="190"/>
        <v>-46914.259685887519</v>
      </c>
      <c r="C947">
        <f t="shared" si="191"/>
        <v>65845.215804295018</v>
      </c>
      <c r="D947">
        <f t="shared" si="192"/>
        <v>-7541.3762305495011</v>
      </c>
      <c r="E947">
        <f t="shared" si="193"/>
        <v>-6040.7233440037935</v>
      </c>
      <c r="F947">
        <f>$C$23*(H947/(J947^2+$C$24^2)^1.5)+$C$32*(K947/(M947^2+$C$33^2)^1.5)+C$41*(N947/(P947^2+$C$42^2)^1.5)</f>
        <v>2467.6073062782166</v>
      </c>
      <c r="G947">
        <f>$C$23*(I947/(J947^2+$C$24^2)^1.5)+$C$32*(L947/(M947^2+$C$33^2)^1.5)+C$41*(O947/(P947^2+$C$42^2)^1.5)</f>
        <v>-4236.1242732457868</v>
      </c>
      <c r="H947" s="3">
        <f t="shared" si="194"/>
        <v>66914.259685887519</v>
      </c>
      <c r="I947" s="3">
        <f t="shared" si="195"/>
        <v>-50845.215804295018</v>
      </c>
      <c r="J947" s="3">
        <f t="shared" si="196"/>
        <v>84040.193476072644</v>
      </c>
      <c r="K947" s="3">
        <f t="shared" si="197"/>
        <v>26914.259685887519</v>
      </c>
      <c r="L947" s="3">
        <f t="shared" si="198"/>
        <v>-45845.215804295018</v>
      </c>
      <c r="M947" s="3">
        <f t="shared" si="199"/>
        <v>53161.651465899478</v>
      </c>
      <c r="N947" s="3">
        <f t="shared" si="200"/>
        <v>41914.259685887519</v>
      </c>
      <c r="O947" s="3">
        <f t="shared" si="201"/>
        <v>-95845.215804295018</v>
      </c>
      <c r="P947" s="3">
        <f t="shared" si="202"/>
        <v>104609.32347352171</v>
      </c>
    </row>
    <row r="948" spans="1:16" x14ac:dyDescent="0.25">
      <c r="A948">
        <f t="shared" si="189"/>
        <v>436</v>
      </c>
      <c r="B948">
        <f t="shared" si="190"/>
        <v>-50068.045974592715</v>
      </c>
      <c r="C948">
        <f t="shared" si="191"/>
        <v>61765.823063981676</v>
      </c>
      <c r="D948">
        <f t="shared" si="192"/>
        <v>-6307.572577410393</v>
      </c>
      <c r="E948">
        <f t="shared" si="193"/>
        <v>-8158.7854806266869</v>
      </c>
      <c r="F948">
        <f>$C$23*(H948/(J948^2+$C$24^2)^1.5)+$C$32*(K948/(M948^2+$C$33^2)^1.5)+C$41*(N948/(P948^2+$C$42^2)^1.5)</f>
        <v>2994.8768220765919</v>
      </c>
      <c r="G948">
        <f>$C$23*(I948/(J948^2+$C$24^2)^1.5)+$C$32*(L948/(M948^2+$C$33^2)^1.5)+C$41*(O948/(P948^2+$C$42^2)^1.5)</f>
        <v>-4228.6653283804289</v>
      </c>
      <c r="H948" s="3">
        <f t="shared" si="194"/>
        <v>70068.045974592707</v>
      </c>
      <c r="I948" s="3">
        <f t="shared" si="195"/>
        <v>-46765.823063981676</v>
      </c>
      <c r="J948" s="3">
        <f t="shared" si="196"/>
        <v>84241.161397201067</v>
      </c>
      <c r="K948" s="3">
        <f t="shared" si="197"/>
        <v>30068.045974592715</v>
      </c>
      <c r="L948" s="3">
        <f t="shared" si="198"/>
        <v>-41765.823063981676</v>
      </c>
      <c r="M948" s="3">
        <f t="shared" si="199"/>
        <v>51463.301146953687</v>
      </c>
      <c r="N948" s="3">
        <f t="shared" si="200"/>
        <v>45068.045974592715</v>
      </c>
      <c r="O948" s="3">
        <f t="shared" si="201"/>
        <v>-91765.823063981676</v>
      </c>
      <c r="P948" s="3">
        <f t="shared" si="202"/>
        <v>102235.48821509091</v>
      </c>
    </row>
    <row r="949" spans="1:16" x14ac:dyDescent="0.25">
      <c r="A949">
        <f t="shared" si="189"/>
        <v>436.5</v>
      </c>
      <c r="B949">
        <f t="shared" si="190"/>
        <v>-52473.113057778763</v>
      </c>
      <c r="C949">
        <f t="shared" si="191"/>
        <v>56629.263991573229</v>
      </c>
      <c r="D949">
        <f t="shared" si="192"/>
        <v>-4810.1341663720968</v>
      </c>
      <c r="E949">
        <f t="shared" si="193"/>
        <v>-10273.118144816901</v>
      </c>
      <c r="F949">
        <f>$C$23*(H949/(J949^2+$C$24^2)^1.5)+$C$32*(K949/(M949^2+$C$33^2)^1.5)+C$41*(N949/(P949^2+$C$42^2)^1.5)</f>
        <v>3688.6607755130376</v>
      </c>
      <c r="G949">
        <f>$C$23*(I949/(J949^2+$C$24^2)^1.5)+$C$32*(L949/(M949^2+$C$33^2)^1.5)+C$41*(O949/(P949^2+$C$42^2)^1.5)</f>
        <v>-4266.53813212556</v>
      </c>
      <c r="H949" s="3">
        <f t="shared" si="194"/>
        <v>72473.11305777877</v>
      </c>
      <c r="I949" s="3">
        <f t="shared" si="195"/>
        <v>-41629.263991573229</v>
      </c>
      <c r="J949" s="3">
        <f t="shared" si="196"/>
        <v>83578.392762517746</v>
      </c>
      <c r="K949" s="3">
        <f t="shared" si="197"/>
        <v>32473.113057778763</v>
      </c>
      <c r="L949" s="3">
        <f t="shared" si="198"/>
        <v>-36629.263991573229</v>
      </c>
      <c r="M949" s="3">
        <f t="shared" si="199"/>
        <v>48951.057723277489</v>
      </c>
      <c r="N949" s="3">
        <f t="shared" si="200"/>
        <v>47473.113057778763</v>
      </c>
      <c r="O949" s="3">
        <f t="shared" si="201"/>
        <v>-86629.263991573229</v>
      </c>
      <c r="P949" s="3">
        <f t="shared" si="202"/>
        <v>98784.238839595928</v>
      </c>
    </row>
    <row r="950" spans="1:16" x14ac:dyDescent="0.25">
      <c r="A950">
        <f t="shared" si="189"/>
        <v>437</v>
      </c>
      <c r="B950">
        <f t="shared" si="190"/>
        <v>-53956.014947086551</v>
      </c>
      <c r="C950">
        <f t="shared" si="191"/>
        <v>50426.07038613339</v>
      </c>
      <c r="D950">
        <f t="shared" si="192"/>
        <v>-2965.8037786155783</v>
      </c>
      <c r="E950">
        <f t="shared" si="193"/>
        <v>-12406.38721087968</v>
      </c>
      <c r="F950">
        <f>$C$23*(H950/(J950^2+$C$24^2)^1.5)+$C$32*(K950/(M950^2+$C$33^2)^1.5)+C$41*(N950/(P950^2+$C$42^2)^1.5)</f>
        <v>4652.7602995867028</v>
      </c>
      <c r="G950">
        <f>$C$23*(I950/(J950^2+$C$24^2)^1.5)+$C$32*(L950/(M950^2+$C$33^2)^1.5)+C$41*(O950/(P950^2+$C$42^2)^1.5)</f>
        <v>-4320.3626210053644</v>
      </c>
      <c r="H950" s="3">
        <f t="shared" si="194"/>
        <v>73956.014947086544</v>
      </c>
      <c r="I950" s="3">
        <f t="shared" si="195"/>
        <v>-35426.07038613339</v>
      </c>
      <c r="J950" s="3">
        <f t="shared" si="196"/>
        <v>82003.040247645476</v>
      </c>
      <c r="K950" s="3">
        <f t="shared" si="197"/>
        <v>33956.014947086551</v>
      </c>
      <c r="L950" s="3">
        <f t="shared" si="198"/>
        <v>-30426.07038613339</v>
      </c>
      <c r="M950" s="3">
        <f t="shared" si="199"/>
        <v>45593.384500700413</v>
      </c>
      <c r="N950" s="3">
        <f t="shared" si="200"/>
        <v>48956.014947086551</v>
      </c>
      <c r="O950" s="3">
        <f t="shared" si="201"/>
        <v>-80426.07038613339</v>
      </c>
      <c r="P950" s="3">
        <f t="shared" si="202"/>
        <v>94154.363665496901</v>
      </c>
    </row>
    <row r="951" spans="1:16" x14ac:dyDescent="0.25">
      <c r="A951">
        <f t="shared" si="189"/>
        <v>437.5</v>
      </c>
      <c r="B951">
        <f t="shared" si="190"/>
        <v>-54275.726761497666</v>
      </c>
      <c r="C951">
        <f t="shared" si="191"/>
        <v>43142.78612544221</v>
      </c>
      <c r="D951">
        <f t="shared" si="192"/>
        <v>-639.42362882222687</v>
      </c>
      <c r="E951">
        <f t="shared" si="193"/>
        <v>-14566.568521382364</v>
      </c>
      <c r="F951">
        <f>$C$23*(H951/(J951^2+$C$24^2)^1.5)+$C$32*(K951/(M951^2+$C$33^2)^1.5)+C$41*(N951/(P951^2+$C$42^2)^1.5)</f>
        <v>6063.3353173884689</v>
      </c>
      <c r="G951">
        <f>$C$23*(I951/(J951^2+$C$24^2)^1.5)+$C$32*(L951/(M951^2+$C$33^2)^1.5)+C$41*(O951/(P951^2+$C$42^2)^1.5)</f>
        <v>-4309.9279620783955</v>
      </c>
      <c r="H951" s="3">
        <f t="shared" si="194"/>
        <v>74275.726761497674</v>
      </c>
      <c r="I951" s="3">
        <f t="shared" si="195"/>
        <v>-28142.78612544221</v>
      </c>
      <c r="J951" s="3">
        <f t="shared" si="196"/>
        <v>79428.584255613197</v>
      </c>
      <c r="K951" s="3">
        <f t="shared" si="197"/>
        <v>34275.726761497666</v>
      </c>
      <c r="L951" s="3">
        <f t="shared" si="198"/>
        <v>-23142.78612544221</v>
      </c>
      <c r="M951" s="3">
        <f t="shared" si="199"/>
        <v>41357.15167509493</v>
      </c>
      <c r="N951" s="3">
        <f t="shared" si="200"/>
        <v>49275.726761497666</v>
      </c>
      <c r="O951" s="3">
        <f t="shared" si="201"/>
        <v>-73142.786125442217</v>
      </c>
      <c r="P951" s="3">
        <f t="shared" si="202"/>
        <v>88192.768468089038</v>
      </c>
    </row>
    <row r="952" spans="1:16" x14ac:dyDescent="0.25">
      <c r="A952">
        <f t="shared" si="189"/>
        <v>438</v>
      </c>
      <c r="B952">
        <f t="shared" si="190"/>
        <v>-53079.604746561665</v>
      </c>
      <c r="C952">
        <f t="shared" si="191"/>
        <v>34782.019874231431</v>
      </c>
      <c r="D952">
        <f t="shared" si="192"/>
        <v>2392.2440298720076</v>
      </c>
      <c r="E952">
        <f t="shared" si="193"/>
        <v>-16721.53250242156</v>
      </c>
      <c r="F952">
        <f>$C$23*(H952/(J952^2+$C$24^2)^1.5)+$C$32*(K952/(M952^2+$C$33^2)^1.5)+C$41*(N952/(P952^2+$C$42^2)^1.5)</f>
        <v>8217.5753840170964</v>
      </c>
      <c r="G952">
        <f>$C$23*(I952/(J952^2+$C$24^2)^1.5)+$C$32*(L952/(M952^2+$C$33^2)^1.5)+C$41*(O952/(P952^2+$C$42^2)^1.5)</f>
        <v>-3994.293287248317</v>
      </c>
      <c r="H952" s="3">
        <f t="shared" si="194"/>
        <v>73079.604746561672</v>
      </c>
      <c r="I952" s="3">
        <f t="shared" si="195"/>
        <v>-19782.019874231431</v>
      </c>
      <c r="J952" s="3">
        <f t="shared" si="196"/>
        <v>75709.688549208586</v>
      </c>
      <c r="K952" s="3">
        <f t="shared" si="197"/>
        <v>33079.604746561665</v>
      </c>
      <c r="L952" s="3">
        <f t="shared" si="198"/>
        <v>-14782.019874231431</v>
      </c>
      <c r="M952" s="3">
        <f t="shared" si="199"/>
        <v>36232.145420205496</v>
      </c>
      <c r="N952" s="3">
        <f t="shared" si="200"/>
        <v>48079.604746561665</v>
      </c>
      <c r="O952" s="3">
        <f t="shared" si="201"/>
        <v>-64782.019874231431</v>
      </c>
      <c r="P952" s="3">
        <f t="shared" si="202"/>
        <v>80674.397993235194</v>
      </c>
    </row>
    <row r="953" spans="1:16" x14ac:dyDescent="0.25">
      <c r="A953">
        <f t="shared" si="189"/>
        <v>438.5</v>
      </c>
      <c r="B953">
        <f t="shared" si="190"/>
        <v>-49829.088885621386</v>
      </c>
      <c r="C953">
        <f t="shared" si="191"/>
        <v>25422.680301208573</v>
      </c>
      <c r="D953">
        <f t="shared" si="192"/>
        <v>6501.0317218805558</v>
      </c>
      <c r="E953">
        <f t="shared" si="193"/>
        <v>-18718.679146045717</v>
      </c>
      <c r="F953">
        <f>$C$23*(H953/(J953^2+$C$24^2)^1.5)+$C$32*(K953/(M953^2+$C$33^2)^1.5)+C$41*(N953/(P953^2+$C$42^2)^1.5)</f>
        <v>11502.442545836675</v>
      </c>
      <c r="G953">
        <f>$C$23*(I953/(J953^2+$C$24^2)^1.5)+$C$32*(L953/(M953^2+$C$33^2)^1.5)+C$41*(O953/(P953^2+$C$42^2)^1.5)</f>
        <v>-2618.6299925403578</v>
      </c>
      <c r="H953" s="3">
        <f t="shared" si="194"/>
        <v>69829.088885621386</v>
      </c>
      <c r="I953" s="3">
        <f t="shared" si="195"/>
        <v>-10422.680301208573</v>
      </c>
      <c r="J953" s="3">
        <f t="shared" si="196"/>
        <v>70602.648103716434</v>
      </c>
      <c r="K953" s="3">
        <f t="shared" si="197"/>
        <v>29829.088885621386</v>
      </c>
      <c r="L953" s="3">
        <f t="shared" si="198"/>
        <v>-5422.6803012085729</v>
      </c>
      <c r="M953" s="3">
        <f t="shared" si="199"/>
        <v>30317.981552132009</v>
      </c>
      <c r="N953" s="3">
        <f t="shared" si="200"/>
        <v>44829.088885621386</v>
      </c>
      <c r="O953" s="3">
        <f t="shared" si="201"/>
        <v>-55422.680301208573</v>
      </c>
      <c r="P953" s="3">
        <f t="shared" si="202"/>
        <v>71283.383071266435</v>
      </c>
    </row>
    <row r="954" spans="1:16" x14ac:dyDescent="0.25">
      <c r="A954">
        <f t="shared" si="189"/>
        <v>439</v>
      </c>
      <c r="B954">
        <f t="shared" si="190"/>
        <v>-43702.962388221938</v>
      </c>
      <c r="C954">
        <f t="shared" si="191"/>
        <v>15408.683230050625</v>
      </c>
      <c r="D954">
        <f t="shared" si="192"/>
        <v>12252.252994798893</v>
      </c>
      <c r="E954">
        <f t="shared" si="193"/>
        <v>-20027.994142315896</v>
      </c>
      <c r="F954">
        <f>$C$23*(H954/(J954^2+$C$24^2)^1.5)+$C$32*(K954/(M954^2+$C$33^2)^1.5)+C$41*(N954/(P954^2+$C$42^2)^1.5)</f>
        <v>15452.219427596792</v>
      </c>
      <c r="G954">
        <f>$C$23*(I954/(J954^2+$C$24^2)^1.5)+$C$32*(L954/(M954^2+$C$33^2)^1.5)+C$41*(O954/(P954^2+$C$42^2)^1.5)</f>
        <v>1966.6451450267714</v>
      </c>
      <c r="H954" s="3">
        <f t="shared" si="194"/>
        <v>63702.962388221938</v>
      </c>
      <c r="I954" s="3">
        <f t="shared" si="195"/>
        <v>-408.68323005062484</v>
      </c>
      <c r="J954" s="3">
        <f t="shared" si="196"/>
        <v>63704.273318339823</v>
      </c>
      <c r="K954" s="3">
        <f t="shared" si="197"/>
        <v>23702.962388221938</v>
      </c>
      <c r="L954" s="3">
        <f t="shared" si="198"/>
        <v>4591.3167699493752</v>
      </c>
      <c r="M954" s="3">
        <f t="shared" si="199"/>
        <v>24143.541903777957</v>
      </c>
      <c r="N954" s="3">
        <f t="shared" si="200"/>
        <v>38702.962388221938</v>
      </c>
      <c r="O954" s="3">
        <f t="shared" si="201"/>
        <v>-45408.683230050621</v>
      </c>
      <c r="P954" s="3">
        <f t="shared" si="202"/>
        <v>59664.627798312817</v>
      </c>
    </row>
    <row r="955" spans="1:16" x14ac:dyDescent="0.25">
      <c r="A955">
        <f t="shared" si="189"/>
        <v>439.5</v>
      </c>
      <c r="B955">
        <f t="shared" si="190"/>
        <v>-33713.781033923296</v>
      </c>
      <c r="C955">
        <f t="shared" si="191"/>
        <v>5886.3474451493694</v>
      </c>
      <c r="D955">
        <f t="shared" si="192"/>
        <v>19978.362708597291</v>
      </c>
      <c r="E955">
        <f t="shared" si="193"/>
        <v>-19044.671569802511</v>
      </c>
      <c r="F955">
        <f>$C$23*(H955/(J955^2+$C$24^2)^1.5)+$C$32*(K955/(M955^2+$C$33^2)^1.5)+C$41*(N955/(P955^2+$C$42^2)^1.5)</f>
        <v>14124.74346963053</v>
      </c>
      <c r="G955">
        <f>$C$23*(I955/(J955^2+$C$24^2)^1.5)+$C$32*(L955/(M955^2+$C$33^2)^1.5)+C$41*(O955/(P955^2+$C$42^2)^1.5)</f>
        <v>11754.810243632583</v>
      </c>
      <c r="H955" s="3">
        <f t="shared" si="194"/>
        <v>53713.781033923296</v>
      </c>
      <c r="I955" s="3">
        <f t="shared" si="195"/>
        <v>9113.6525548506306</v>
      </c>
      <c r="J955" s="3">
        <f t="shared" si="196"/>
        <v>54481.454971859857</v>
      </c>
      <c r="K955" s="3">
        <f t="shared" si="197"/>
        <v>13713.781033923296</v>
      </c>
      <c r="L955" s="3">
        <f t="shared" si="198"/>
        <v>14113.652554850631</v>
      </c>
      <c r="M955" s="3">
        <f t="shared" si="199"/>
        <v>19678.998416724262</v>
      </c>
      <c r="N955" s="3">
        <f t="shared" si="200"/>
        <v>28713.781033923296</v>
      </c>
      <c r="O955" s="3">
        <f t="shared" si="201"/>
        <v>-35886.347445149368</v>
      </c>
      <c r="P955" s="3">
        <f t="shared" si="202"/>
        <v>45959.886359934266</v>
      </c>
    </row>
    <row r="956" spans="1:16" x14ac:dyDescent="0.25">
      <c r="A956">
        <f t="shared" si="189"/>
        <v>440</v>
      </c>
      <c r="B956">
        <f t="shared" si="190"/>
        <v>-20193.413812217019</v>
      </c>
      <c r="C956">
        <f t="shared" si="191"/>
        <v>-697.28577884374045</v>
      </c>
      <c r="D956">
        <f t="shared" si="192"/>
        <v>27040.734443412555</v>
      </c>
      <c r="E956">
        <f t="shared" si="193"/>
        <v>-13167.26644798622</v>
      </c>
      <c r="F956">
        <f>$C$23*(H956/(J956^2+$C$24^2)^1.5)+$C$32*(K956/(M956^2+$C$33^2)^1.5)+C$41*(N956/(P956^2+$C$42^2)^1.5)</f>
        <v>1971.7922948967646</v>
      </c>
      <c r="G956">
        <f>$C$23*(I956/(J956^2+$C$24^2)^1.5)+$C$32*(L956/(M956^2+$C$33^2)^1.5)+C$41*(O956/(P956^2+$C$42^2)^1.5)</f>
        <v>14626.61987234934</v>
      </c>
      <c r="H956" s="3">
        <f t="shared" si="194"/>
        <v>40193.413812217019</v>
      </c>
      <c r="I956" s="3">
        <f t="shared" si="195"/>
        <v>15697.28577884374</v>
      </c>
      <c r="J956" s="3">
        <f t="shared" si="196"/>
        <v>43149.916508642375</v>
      </c>
      <c r="K956" s="3">
        <f t="shared" si="197"/>
        <v>193.41381221701886</v>
      </c>
      <c r="L956" s="3">
        <f t="shared" si="198"/>
        <v>20697.28577884374</v>
      </c>
      <c r="M956" s="3">
        <f t="shared" si="199"/>
        <v>20698.189474296625</v>
      </c>
      <c r="N956" s="3">
        <f t="shared" si="200"/>
        <v>15193.413812217019</v>
      </c>
      <c r="O956" s="3">
        <f t="shared" si="201"/>
        <v>-29302.71422115626</v>
      </c>
      <c r="P956" s="3">
        <f t="shared" si="202"/>
        <v>33007.406502117374</v>
      </c>
    </row>
    <row r="957" spans="1:16" x14ac:dyDescent="0.25">
      <c r="A957">
        <f t="shared" si="189"/>
        <v>440.5</v>
      </c>
      <c r="B957">
        <f t="shared" si="190"/>
        <v>-6180.0985167865501</v>
      </c>
      <c r="C957">
        <f t="shared" si="191"/>
        <v>-3624.2640347495153</v>
      </c>
      <c r="D957">
        <f t="shared" si="192"/>
        <v>28026.630590860939</v>
      </c>
      <c r="E957">
        <f t="shared" si="193"/>
        <v>-5853.9565118115497</v>
      </c>
      <c r="F957">
        <f>$C$23*(H957/(J957^2+$C$24^2)^1.5)+$C$32*(K957/(M957^2+$C$33^2)^1.5)+C$41*(N957/(P957^2+$C$42^2)^1.5)</f>
        <v>-5807.9482283683938</v>
      </c>
      <c r="G957">
        <f>$C$23*(I957/(J957^2+$C$24^2)^1.5)+$C$32*(L957/(M957^2+$C$33^2)^1.5)+C$41*(O957/(P957^2+$C$42^2)^1.5)</f>
        <v>6359.5190216635838</v>
      </c>
      <c r="H957" s="3">
        <f t="shared" si="194"/>
        <v>26180.098516786551</v>
      </c>
      <c r="I957" s="3">
        <f t="shared" si="195"/>
        <v>18624.264034749514</v>
      </c>
      <c r="J957" s="3">
        <f t="shared" si="196"/>
        <v>32128.815247137787</v>
      </c>
      <c r="K957" s="3">
        <f t="shared" si="197"/>
        <v>-13819.901483213449</v>
      </c>
      <c r="L957" s="3">
        <f t="shared" si="198"/>
        <v>23624.264034749514</v>
      </c>
      <c r="M957" s="3">
        <f t="shared" si="199"/>
        <v>27369.609573197875</v>
      </c>
      <c r="N957" s="3">
        <f t="shared" si="200"/>
        <v>1180.0985167865501</v>
      </c>
      <c r="O957" s="3">
        <f t="shared" si="201"/>
        <v>-26375.735965250486</v>
      </c>
      <c r="P957" s="3">
        <f t="shared" si="202"/>
        <v>26402.122646066353</v>
      </c>
    </row>
    <row r="958" spans="1:16" x14ac:dyDescent="0.25">
      <c r="A958">
        <f t="shared" si="189"/>
        <v>441</v>
      </c>
      <c r="B958">
        <f t="shared" si="190"/>
        <v>6381.2297215518211</v>
      </c>
      <c r="C958">
        <f t="shared" si="191"/>
        <v>-4961.3625352393938</v>
      </c>
      <c r="D958">
        <f t="shared" si="192"/>
        <v>25122.656476676741</v>
      </c>
      <c r="E958">
        <f t="shared" si="193"/>
        <v>-2674.1970009797578</v>
      </c>
      <c r="F958">
        <f>$C$23*(H958/(J958^2+$C$24^2)^1.5)+$C$32*(K958/(M958^2+$C$33^2)^1.5)+C$41*(N958/(P958^2+$C$42^2)^1.5)</f>
        <v>-7574.5495436635056</v>
      </c>
      <c r="G958">
        <f>$C$23*(I958/(J958^2+$C$24^2)^1.5)+$C$32*(L958/(M958^2+$C$33^2)^1.5)+C$41*(O958/(P958^2+$C$42^2)^1.5)</f>
        <v>2327.4131064774629</v>
      </c>
      <c r="H958" s="3">
        <f t="shared" si="194"/>
        <v>13618.770278448179</v>
      </c>
      <c r="I958" s="3">
        <f t="shared" si="195"/>
        <v>19961.362535239394</v>
      </c>
      <c r="J958" s="3">
        <f t="shared" si="196"/>
        <v>24164.579412032032</v>
      </c>
      <c r="K958" s="3">
        <f t="shared" si="197"/>
        <v>-26381.229721551819</v>
      </c>
      <c r="L958" s="3">
        <f t="shared" si="198"/>
        <v>24961.362535239394</v>
      </c>
      <c r="M958" s="3">
        <f t="shared" si="199"/>
        <v>36318.575154278034</v>
      </c>
      <c r="N958" s="3">
        <f t="shared" si="200"/>
        <v>-11381.229721551821</v>
      </c>
      <c r="O958" s="3">
        <f t="shared" si="201"/>
        <v>-25038.637464760606</v>
      </c>
      <c r="P958" s="3">
        <f t="shared" si="202"/>
        <v>27503.922557817965</v>
      </c>
    </row>
    <row r="959" spans="1:16" x14ac:dyDescent="0.25">
      <c r="A959">
        <f t="shared" si="189"/>
        <v>441.5</v>
      </c>
      <c r="B959">
        <f t="shared" si="190"/>
        <v>17048.920573974312</v>
      </c>
      <c r="C959">
        <f t="shared" si="191"/>
        <v>-5716.6077591099074</v>
      </c>
      <c r="D959">
        <f t="shared" si="192"/>
        <v>21335.381704844989</v>
      </c>
      <c r="E959">
        <f t="shared" si="193"/>
        <v>-1510.4904477410264</v>
      </c>
      <c r="F959">
        <f>$C$23*(H959/(J959^2+$C$24^2)^1.5)+$C$32*(K959/(M959^2+$C$33^2)^1.5)+C$41*(N959/(P959^2+$C$42^2)^1.5)</f>
        <v>-7013.8266729660727</v>
      </c>
      <c r="G959">
        <f>$C$23*(I959/(J959^2+$C$24^2)^1.5)+$C$32*(L959/(M959^2+$C$33^2)^1.5)+C$41*(O959/(P959^2+$C$42^2)^1.5)</f>
        <v>1952.6200455662884</v>
      </c>
      <c r="H959" s="3">
        <f t="shared" si="194"/>
        <v>2951.079426025688</v>
      </c>
      <c r="I959" s="3">
        <f t="shared" si="195"/>
        <v>20716.607759109909</v>
      </c>
      <c r="J959" s="3">
        <f t="shared" si="196"/>
        <v>20925.742682722757</v>
      </c>
      <c r="K959" s="3">
        <f t="shared" si="197"/>
        <v>-37048.920573974312</v>
      </c>
      <c r="L959" s="3">
        <f t="shared" si="198"/>
        <v>25716.607759109909</v>
      </c>
      <c r="M959" s="3">
        <f t="shared" si="199"/>
        <v>45099.516963406262</v>
      </c>
      <c r="N959" s="3">
        <f t="shared" si="200"/>
        <v>-22048.920573974312</v>
      </c>
      <c r="O959" s="3">
        <f t="shared" si="201"/>
        <v>-24283.392240890091</v>
      </c>
      <c r="P959" s="3">
        <f t="shared" si="202"/>
        <v>32799.970079290448</v>
      </c>
    </row>
    <row r="960" spans="1:16" x14ac:dyDescent="0.25">
      <c r="A960">
        <f t="shared" si="189"/>
        <v>442</v>
      </c>
      <c r="B960">
        <f t="shared" si="190"/>
        <v>25963.154758155288</v>
      </c>
      <c r="C960">
        <f t="shared" si="191"/>
        <v>-5983.6979715888492</v>
      </c>
      <c r="D960">
        <f t="shared" si="192"/>
        <v>17828.468368361951</v>
      </c>
      <c r="E960">
        <f t="shared" si="193"/>
        <v>-534.18042495788222</v>
      </c>
      <c r="F960">
        <f>$C$23*(H960/(J960^2+$C$24^2)^1.5)+$C$32*(K960/(M960^2+$C$33^2)^1.5)+C$41*(N960/(P960^2+$C$42^2)^1.5)</f>
        <v>-6168.8321029476156</v>
      </c>
      <c r="G960">
        <f>$C$23*(I960/(J960^2+$C$24^2)^1.5)+$C$32*(L960/(M960^2+$C$33^2)^1.5)+C$41*(O960/(P960^2+$C$42^2)^1.5)</f>
        <v>1680.5159612545485</v>
      </c>
      <c r="H960" s="3">
        <f t="shared" si="194"/>
        <v>-5963.1547581552877</v>
      </c>
      <c r="I960" s="3">
        <f t="shared" si="195"/>
        <v>20983.697971588848</v>
      </c>
      <c r="J960" s="3">
        <f t="shared" si="196"/>
        <v>21814.554665006846</v>
      </c>
      <c r="K960" s="3">
        <f t="shared" si="197"/>
        <v>-45963.154758155288</v>
      </c>
      <c r="L960" s="3">
        <f t="shared" si="198"/>
        <v>25983.697971588848</v>
      </c>
      <c r="M960" s="3">
        <f t="shared" si="199"/>
        <v>52799.281771638554</v>
      </c>
      <c r="N960" s="3">
        <f t="shared" si="200"/>
        <v>-30963.154758155288</v>
      </c>
      <c r="O960" s="3">
        <f t="shared" si="201"/>
        <v>-24016.302028411152</v>
      </c>
      <c r="P960" s="3">
        <f t="shared" si="202"/>
        <v>39185.452858137804</v>
      </c>
    </row>
    <row r="961" spans="1:16" x14ac:dyDescent="0.25">
      <c r="A961">
        <f t="shared" si="189"/>
        <v>442.5</v>
      </c>
      <c r="B961">
        <f t="shared" si="190"/>
        <v>33335.180916599362</v>
      </c>
      <c r="C961">
        <f t="shared" si="191"/>
        <v>-5830.6591937541525</v>
      </c>
      <c r="D961">
        <f t="shared" si="192"/>
        <v>14744.052316888145</v>
      </c>
      <c r="E961">
        <f t="shared" si="193"/>
        <v>306.07755566939204</v>
      </c>
      <c r="F961">
        <f>$C$23*(H961/(J961^2+$C$24^2)^1.5)+$C$32*(K961/(M961^2+$C$33^2)^1.5)+C$41*(N961/(P961^2+$C$42^2)^1.5)</f>
        <v>-5341.8839172749595</v>
      </c>
      <c r="G961">
        <f>$C$23*(I961/(J961^2+$C$24^2)^1.5)+$C$32*(L961/(M961^2+$C$33^2)^1.5)+C$41*(O961/(P961^2+$C$42^2)^1.5)</f>
        <v>1264.5189799471982</v>
      </c>
      <c r="H961" s="3">
        <f t="shared" si="194"/>
        <v>-13335.180916599362</v>
      </c>
      <c r="I961" s="3">
        <f t="shared" si="195"/>
        <v>20830.659193754153</v>
      </c>
      <c r="J961" s="3">
        <f t="shared" si="196"/>
        <v>24733.447243050658</v>
      </c>
      <c r="K961" s="3">
        <f t="shared" si="197"/>
        <v>-53335.180916599362</v>
      </c>
      <c r="L961" s="3">
        <f t="shared" si="198"/>
        <v>25830.659193754153</v>
      </c>
      <c r="M961" s="3">
        <f t="shared" si="199"/>
        <v>59260.986135823463</v>
      </c>
      <c r="N961" s="3">
        <f t="shared" si="200"/>
        <v>-38335.180916599362</v>
      </c>
      <c r="O961" s="3">
        <f t="shared" si="201"/>
        <v>-24169.340806245847</v>
      </c>
      <c r="P961" s="3">
        <f t="shared" si="202"/>
        <v>45318.242804822701</v>
      </c>
    </row>
    <row r="962" spans="1:16" x14ac:dyDescent="0.25">
      <c r="A962">
        <f t="shared" si="189"/>
        <v>443</v>
      </c>
      <c r="B962">
        <f t="shared" si="190"/>
        <v>39371.736095724693</v>
      </c>
      <c r="C962">
        <f t="shared" si="191"/>
        <v>-5361.4906709326569</v>
      </c>
      <c r="D962">
        <f t="shared" si="192"/>
        <v>12073.110358250666</v>
      </c>
      <c r="E962">
        <f t="shared" si="193"/>
        <v>938.33704564299114</v>
      </c>
      <c r="F962">
        <f>$C$23*(H962/(J962^2+$C$24^2)^1.5)+$C$32*(K962/(M962^2+$C$33^2)^1.5)+C$41*(N962/(P962^2+$C$42^2)^1.5)</f>
        <v>-4661.2910729682008</v>
      </c>
      <c r="G962">
        <f>$C$23*(I962/(J962^2+$C$24^2)^1.5)+$C$32*(L962/(M962^2+$C$33^2)^1.5)+C$41*(O962/(P962^2+$C$42^2)^1.5)</f>
        <v>944.05822779109405</v>
      </c>
      <c r="H962" s="3">
        <f t="shared" si="194"/>
        <v>-19371.736095724693</v>
      </c>
      <c r="I962" s="3">
        <f t="shared" si="195"/>
        <v>20361.490670932657</v>
      </c>
      <c r="J962" s="3">
        <f t="shared" si="196"/>
        <v>28104.349515775677</v>
      </c>
      <c r="K962" s="3">
        <f t="shared" si="197"/>
        <v>-59371.736095724693</v>
      </c>
      <c r="L962" s="3">
        <f t="shared" si="198"/>
        <v>25361.490670932657</v>
      </c>
      <c r="M962" s="3">
        <f t="shared" si="199"/>
        <v>64561.662432686651</v>
      </c>
      <c r="N962" s="3">
        <f t="shared" si="200"/>
        <v>-44371.736095724693</v>
      </c>
      <c r="O962" s="3">
        <f t="shared" si="201"/>
        <v>-24638.509329067343</v>
      </c>
      <c r="P962" s="3">
        <f t="shared" si="202"/>
        <v>50753.395020502576</v>
      </c>
    </row>
    <row r="963" spans="1:16" x14ac:dyDescent="0.25">
      <c r="A963">
        <f t="shared" si="189"/>
        <v>443.5</v>
      </c>
      <c r="B963">
        <f t="shared" si="190"/>
        <v>44242.968506607976</v>
      </c>
      <c r="C963">
        <f t="shared" si="191"/>
        <v>-4656.3075911633878</v>
      </c>
      <c r="D963">
        <f t="shared" si="192"/>
        <v>9742.4648217665654</v>
      </c>
      <c r="E963">
        <f t="shared" si="193"/>
        <v>1410.3661595385381</v>
      </c>
      <c r="F963">
        <f>$C$23*(H963/(J963^2+$C$24^2)^1.5)+$C$32*(K963/(M963^2+$C$33^2)^1.5)+C$41*(N963/(P963^2+$C$42^2)^1.5)</f>
        <v>-4159.0787484747934</v>
      </c>
      <c r="G963">
        <f>$C$23*(I963/(J963^2+$C$24^2)^1.5)+$C$32*(L963/(M963^2+$C$33^2)^1.5)+C$41*(O963/(P963^2+$C$42^2)^1.5)</f>
        <v>728.13940543403555</v>
      </c>
      <c r="H963" s="3">
        <f t="shared" si="194"/>
        <v>-24242.968506607976</v>
      </c>
      <c r="I963" s="3">
        <f t="shared" si="195"/>
        <v>19656.307591163386</v>
      </c>
      <c r="J963" s="3">
        <f t="shared" si="196"/>
        <v>31210.446170005544</v>
      </c>
      <c r="K963" s="3">
        <f t="shared" si="197"/>
        <v>-64242.968506607976</v>
      </c>
      <c r="L963" s="3">
        <f t="shared" si="198"/>
        <v>24656.307591163386</v>
      </c>
      <c r="M963" s="3">
        <f t="shared" si="199"/>
        <v>68812.008447443863</v>
      </c>
      <c r="N963" s="3">
        <f t="shared" si="200"/>
        <v>-49242.968506607976</v>
      </c>
      <c r="O963" s="3">
        <f t="shared" si="201"/>
        <v>-25343.692408836614</v>
      </c>
      <c r="P963" s="3">
        <f t="shared" si="202"/>
        <v>55382.061105167508</v>
      </c>
    </row>
    <row r="964" spans="1:16" x14ac:dyDescent="0.25">
      <c r="A964">
        <f t="shared" si="189"/>
        <v>444</v>
      </c>
      <c r="B964">
        <f t="shared" si="190"/>
        <v>48074.43123037256</v>
      </c>
      <c r="C964">
        <f t="shared" si="191"/>
        <v>-3769.0896600356095</v>
      </c>
      <c r="D964">
        <f t="shared" si="192"/>
        <v>7662.9254475291691</v>
      </c>
      <c r="E964">
        <f t="shared" si="193"/>
        <v>1774.435862255556</v>
      </c>
      <c r="F964">
        <f>$C$23*(H964/(J964^2+$C$24^2)^1.5)+$C$32*(K964/(M964^2+$C$33^2)^1.5)+C$41*(N964/(P964^2+$C$42^2)^1.5)</f>
        <v>-3805.6887293987811</v>
      </c>
      <c r="G964">
        <f>$C$23*(I964/(J964^2+$C$24^2)^1.5)+$C$32*(L964/(M964^2+$C$33^2)^1.5)+C$41*(O964/(P964^2+$C$42^2)^1.5)</f>
        <v>580.53596969458943</v>
      </c>
      <c r="H964" s="3">
        <f t="shared" si="194"/>
        <v>-28074.43123037256</v>
      </c>
      <c r="I964" s="3">
        <f t="shared" si="195"/>
        <v>18769.08966003561</v>
      </c>
      <c r="J964" s="3">
        <f t="shared" si="196"/>
        <v>33770.585064155668</v>
      </c>
      <c r="K964" s="3">
        <f t="shared" si="197"/>
        <v>-68074.43123037256</v>
      </c>
      <c r="L964" s="3">
        <f t="shared" si="198"/>
        <v>23769.08966003561</v>
      </c>
      <c r="M964" s="3">
        <f t="shared" si="199"/>
        <v>72104.769679997829</v>
      </c>
      <c r="N964" s="3">
        <f t="shared" si="200"/>
        <v>-53074.43123037256</v>
      </c>
      <c r="O964" s="3">
        <f t="shared" si="201"/>
        <v>-26230.91033996439</v>
      </c>
      <c r="P964" s="3">
        <f t="shared" si="202"/>
        <v>59202.668079156676</v>
      </c>
    </row>
    <row r="965" spans="1:16" x14ac:dyDescent="0.25">
      <c r="A965">
        <f t="shared" si="189"/>
        <v>444.5</v>
      </c>
      <c r="B965">
        <f t="shared" si="190"/>
        <v>50954.471771787452</v>
      </c>
      <c r="C965">
        <f t="shared" si="191"/>
        <v>-2736.7377364841841</v>
      </c>
      <c r="D965">
        <f t="shared" si="192"/>
        <v>5760.0810828297781</v>
      </c>
      <c r="E965">
        <f t="shared" si="193"/>
        <v>2064.7038471028509</v>
      </c>
      <c r="F965">
        <f>$C$23*(H965/(J965^2+$C$24^2)^1.5)+$C$32*(K965/(M965^2+$C$33^2)^1.5)+C$41*(N965/(P965^2+$C$42^2)^1.5)</f>
        <v>-3566.9771577257725</v>
      </c>
      <c r="G965">
        <f>$C$23*(I965/(J965^2+$C$24^2)^1.5)+$C$32*(L965/(M965^2+$C$33^2)^1.5)+C$41*(O965/(P965^2+$C$42^2)^1.5)</f>
        <v>474.9628907032386</v>
      </c>
      <c r="H965" s="3">
        <f t="shared" si="194"/>
        <v>-30954.471771787452</v>
      </c>
      <c r="I965" s="3">
        <f t="shared" si="195"/>
        <v>17736.737736484185</v>
      </c>
      <c r="J965" s="3">
        <f t="shared" si="196"/>
        <v>35675.918883796228</v>
      </c>
      <c r="K965" s="3">
        <f t="shared" si="197"/>
        <v>-70954.471771787445</v>
      </c>
      <c r="L965" s="3">
        <f t="shared" si="198"/>
        <v>22736.737736484185</v>
      </c>
      <c r="M965" s="3">
        <f t="shared" si="199"/>
        <v>74508.364009089913</v>
      </c>
      <c r="N965" s="3">
        <f t="shared" si="200"/>
        <v>-55954.471771787452</v>
      </c>
      <c r="O965" s="3">
        <f t="shared" si="201"/>
        <v>-27263.262263515815</v>
      </c>
      <c r="P965" s="3">
        <f t="shared" si="202"/>
        <v>62242.978563923214</v>
      </c>
    </row>
    <row r="966" spans="1:16" x14ac:dyDescent="0.25">
      <c r="A966">
        <f t="shared" si="189"/>
        <v>445</v>
      </c>
      <c r="B966">
        <f t="shared" si="190"/>
        <v>52942.768023770899</v>
      </c>
      <c r="C966">
        <f t="shared" si="191"/>
        <v>-1585.6450902569491</v>
      </c>
      <c r="D966">
        <f t="shared" si="192"/>
        <v>3976.5925039668919</v>
      </c>
      <c r="E966">
        <f t="shared" si="193"/>
        <v>2302.1852924544701</v>
      </c>
      <c r="F966">
        <f>$C$23*(H966/(J966^2+$C$24^2)^1.5)+$C$32*(K966/(M966^2+$C$33^2)^1.5)+C$41*(N966/(P966^2+$C$42^2)^1.5)</f>
        <v>-3418.3815711315528</v>
      </c>
      <c r="G966">
        <f>$C$23*(I966/(J966^2+$C$24^2)^1.5)+$C$32*(L966/(M966^2+$C$33^2)^1.5)+C$41*(O966/(P966^2+$C$42^2)^1.5)</f>
        <v>395.77479857900761</v>
      </c>
      <c r="H966" s="3">
        <f t="shared" si="194"/>
        <v>-32942.768023770899</v>
      </c>
      <c r="I966" s="3">
        <f t="shared" si="195"/>
        <v>16585.645090256949</v>
      </c>
      <c r="J966" s="3">
        <f t="shared" si="196"/>
        <v>36882.375033719654</v>
      </c>
      <c r="K966" s="3">
        <f t="shared" si="197"/>
        <v>-72942.768023770899</v>
      </c>
      <c r="L966" s="3">
        <f t="shared" si="198"/>
        <v>21585.645090256949</v>
      </c>
      <c r="M966" s="3">
        <f t="shared" si="199"/>
        <v>76069.622589652616</v>
      </c>
      <c r="N966" s="3">
        <f t="shared" si="200"/>
        <v>-57942.768023770899</v>
      </c>
      <c r="O966" s="3">
        <f t="shared" si="201"/>
        <v>-28414.354909743051</v>
      </c>
      <c r="P966" s="3">
        <f t="shared" si="202"/>
        <v>64534.796282264397</v>
      </c>
    </row>
    <row r="967" spans="1:16" x14ac:dyDescent="0.25">
      <c r="A967">
        <f t="shared" si="189"/>
        <v>445.5</v>
      </c>
      <c r="B967">
        <f t="shared" si="190"/>
        <v>54076.468882971458</v>
      </c>
      <c r="C967">
        <f t="shared" si="191"/>
        <v>-335.60874438496211</v>
      </c>
      <c r="D967">
        <f t="shared" si="192"/>
        <v>2267.4017184011154</v>
      </c>
      <c r="E967">
        <f t="shared" si="193"/>
        <v>2500.0726917439738</v>
      </c>
      <c r="F967">
        <f>$C$23*(H967/(J967^2+$C$24^2)^1.5)+$C$32*(K967/(M967^2+$C$33^2)^1.5)+C$41*(N967/(P967^2+$C$42^2)^1.5)</f>
        <v>-3345.1731179036924</v>
      </c>
      <c r="G967">
        <f>$C$23*(I967/(J967^2+$C$24^2)^1.5)+$C$32*(L967/(M967^2+$C$33^2)^1.5)+C$41*(O967/(P967^2+$C$42^2)^1.5)</f>
        <v>333.67285240230711</v>
      </c>
      <c r="H967" s="3">
        <f t="shared" si="194"/>
        <v>-34076.468882971458</v>
      </c>
      <c r="I967" s="3">
        <f t="shared" si="195"/>
        <v>15335.608744384963</v>
      </c>
      <c r="J967" s="3">
        <f t="shared" si="196"/>
        <v>37368.256944805158</v>
      </c>
      <c r="K967" s="3">
        <f t="shared" si="197"/>
        <v>-74076.468882971458</v>
      </c>
      <c r="L967" s="3">
        <f t="shared" si="198"/>
        <v>20335.608744384961</v>
      </c>
      <c r="M967" s="3">
        <f t="shared" si="199"/>
        <v>76817.056863528327</v>
      </c>
      <c r="N967" s="3">
        <f t="shared" si="200"/>
        <v>-59076.468882971458</v>
      </c>
      <c r="O967" s="3">
        <f t="shared" si="201"/>
        <v>-29664.391255615039</v>
      </c>
      <c r="P967" s="3">
        <f t="shared" si="202"/>
        <v>66106.015492138875</v>
      </c>
    </row>
    <row r="968" spans="1:16" x14ac:dyDescent="0.25">
      <c r="A968">
        <f t="shared" si="189"/>
        <v>446</v>
      </c>
      <c r="B968">
        <f t="shared" si="190"/>
        <v>54373.876462696091</v>
      </c>
      <c r="C968">
        <f t="shared" si="191"/>
        <v>997.84581458760147</v>
      </c>
      <c r="D968">
        <f t="shared" si="192"/>
        <v>594.81515944926923</v>
      </c>
      <c r="E968">
        <f t="shared" si="193"/>
        <v>2666.9091179451275</v>
      </c>
      <c r="F968">
        <f>$C$23*(H968/(J968^2+$C$24^2)^1.5)+$C$32*(K968/(M968^2+$C$33^2)^1.5)+C$41*(N968/(P968^2+$C$42^2)^1.5)</f>
        <v>-3340.8405915685071</v>
      </c>
      <c r="G968">
        <f>$C$23*(I968/(J968^2+$C$24^2)^1.5)+$C$32*(L968/(M968^2+$C$33^2)^1.5)+C$41*(O968/(P968^2+$C$42^2)^1.5)</f>
        <v>282.92783398660833</v>
      </c>
      <c r="H968" s="3">
        <f t="shared" si="194"/>
        <v>-34373.876462696091</v>
      </c>
      <c r="I968" s="3">
        <f t="shared" si="195"/>
        <v>14002.154185412399</v>
      </c>
      <c r="J968" s="3">
        <f t="shared" si="196"/>
        <v>37116.353604641103</v>
      </c>
      <c r="K968" s="3">
        <f t="shared" si="197"/>
        <v>-74373.876462696091</v>
      </c>
      <c r="L968" s="3">
        <f t="shared" si="198"/>
        <v>19002.154185412397</v>
      </c>
      <c r="M968" s="3">
        <f t="shared" si="199"/>
        <v>76762.981728008497</v>
      </c>
      <c r="N968" s="3">
        <f t="shared" si="200"/>
        <v>-59373.876462696091</v>
      </c>
      <c r="O968" s="3">
        <f t="shared" si="201"/>
        <v>-30997.845814587603</v>
      </c>
      <c r="P968" s="3">
        <f t="shared" si="202"/>
        <v>66978.53127198627</v>
      </c>
    </row>
    <row r="969" spans="1:16" x14ac:dyDescent="0.25">
      <c r="A969">
        <f t="shared" si="189"/>
        <v>446.5</v>
      </c>
      <c r="B969">
        <f t="shared" si="190"/>
        <v>53836.073894528599</v>
      </c>
      <c r="C969">
        <f t="shared" si="191"/>
        <v>2402.0323320568173</v>
      </c>
      <c r="D969">
        <f t="shared" si="192"/>
        <v>-1075.6051363349843</v>
      </c>
      <c r="E969">
        <f t="shared" si="193"/>
        <v>2808.3730349384318</v>
      </c>
      <c r="F969">
        <f>$C$23*(H969/(J969^2+$C$24^2)^1.5)+$C$32*(K969/(M969^2+$C$33^2)^1.5)+C$41*(N969/(P969^2+$C$42^2)^1.5)</f>
        <v>-3406.4097709810617</v>
      </c>
      <c r="G969">
        <f>$C$23*(I969/(J969^2+$C$24^2)^1.5)+$C$32*(L969/(M969^2+$C$33^2)^1.5)+C$41*(O969/(P969^2+$C$42^2)^1.5)</f>
        <v>239.93219884584573</v>
      </c>
      <c r="H969" s="3">
        <f t="shared" si="194"/>
        <v>-33836.073894528599</v>
      </c>
      <c r="I969" s="3">
        <f t="shared" si="195"/>
        <v>12597.967667943183</v>
      </c>
      <c r="J969" s="3">
        <f t="shared" si="196"/>
        <v>36105.244576910729</v>
      </c>
      <c r="K969" s="3">
        <f t="shared" si="197"/>
        <v>-73836.073894528599</v>
      </c>
      <c r="L969" s="3">
        <f t="shared" si="198"/>
        <v>17597.967667943183</v>
      </c>
      <c r="M969" s="3">
        <f t="shared" si="199"/>
        <v>75904.244111908934</v>
      </c>
      <c r="N969" s="3">
        <f t="shared" si="200"/>
        <v>-58836.073894528599</v>
      </c>
      <c r="O969" s="3">
        <f t="shared" si="201"/>
        <v>-32402.032332056817</v>
      </c>
      <c r="P969" s="3">
        <f t="shared" si="202"/>
        <v>67168.261035775547</v>
      </c>
    </row>
    <row r="970" spans="1:16" x14ac:dyDescent="0.25">
      <c r="A970">
        <f t="shared" si="189"/>
        <v>447</v>
      </c>
      <c r="B970">
        <f t="shared" si="190"/>
        <v>52446.668883615843</v>
      </c>
      <c r="C970">
        <f t="shared" si="191"/>
        <v>3866.2018992374947</v>
      </c>
      <c r="D970">
        <f t="shared" si="192"/>
        <v>-2778.8100218255149</v>
      </c>
      <c r="E970">
        <f t="shared" si="193"/>
        <v>2928.3391343613548</v>
      </c>
      <c r="F970">
        <f>$C$23*(H970/(J970^2+$C$24^2)^1.5)+$C$32*(K970/(M970^2+$C$33^2)^1.5)+C$41*(N970/(P970^2+$C$42^2)^1.5)</f>
        <v>-3551.5326063434582</v>
      </c>
      <c r="G970">
        <f>$C$23*(I970/(J970^2+$C$24^2)^1.5)+$C$32*(L970/(M970^2+$C$33^2)^1.5)+C$41*(O970/(P970^2+$C$42^2)^1.5)</f>
        <v>202.60447930869657</v>
      </c>
      <c r="H970" s="3">
        <f t="shared" si="194"/>
        <v>-32446.668883615843</v>
      </c>
      <c r="I970" s="3">
        <f t="shared" si="195"/>
        <v>11133.798100762506</v>
      </c>
      <c r="J970" s="3">
        <f t="shared" si="196"/>
        <v>34303.7575462448</v>
      </c>
      <c r="K970" s="3">
        <f t="shared" si="197"/>
        <v>-72446.668883615843</v>
      </c>
      <c r="L970" s="3">
        <f t="shared" si="198"/>
        <v>16133.798100762506</v>
      </c>
      <c r="M970" s="3">
        <f t="shared" si="199"/>
        <v>74221.420583874831</v>
      </c>
      <c r="N970" s="3">
        <f t="shared" si="200"/>
        <v>-57446.668883615843</v>
      </c>
      <c r="O970" s="3">
        <f t="shared" si="201"/>
        <v>-33866.201899237494</v>
      </c>
      <c r="P970" s="3">
        <f t="shared" si="202"/>
        <v>66686.125970127512</v>
      </c>
    </row>
    <row r="971" spans="1:16" x14ac:dyDescent="0.25">
      <c r="A971">
        <f t="shared" si="189"/>
        <v>447.5</v>
      </c>
      <c r="B971">
        <f t="shared" si="190"/>
        <v>50169.380721117224</v>
      </c>
      <c r="C971">
        <f t="shared" si="191"/>
        <v>5381.0225862453453</v>
      </c>
      <c r="D971">
        <f t="shared" si="192"/>
        <v>-4554.5763249972442</v>
      </c>
      <c r="E971">
        <f t="shared" si="193"/>
        <v>3029.6413740157031</v>
      </c>
      <c r="F971">
        <f>$C$23*(H971/(J971^2+$C$24^2)^1.5)+$C$32*(K971/(M971^2+$C$33^2)^1.5)+C$41*(N971/(P971^2+$C$42^2)^1.5)</f>
        <v>-3798.6516185533828</v>
      </c>
      <c r="G971">
        <f>$C$23*(I971/(J971^2+$C$24^2)^1.5)+$C$32*(L971/(M971^2+$C$33^2)^1.5)+C$41*(O971/(P971^2+$C$42^2)^1.5)</f>
        <v>170.59975285404738</v>
      </c>
      <c r="H971" s="3">
        <f t="shared" si="194"/>
        <v>-30169.380721117224</v>
      </c>
      <c r="I971" s="3">
        <f t="shared" si="195"/>
        <v>9618.9774137546556</v>
      </c>
      <c r="J971" s="3">
        <f t="shared" si="196"/>
        <v>31665.695311836149</v>
      </c>
      <c r="K971" s="3">
        <f t="shared" si="197"/>
        <v>-70169.380721117224</v>
      </c>
      <c r="L971" s="3">
        <f t="shared" si="198"/>
        <v>14618.977413754656</v>
      </c>
      <c r="M971" s="3">
        <f t="shared" si="199"/>
        <v>71676.052426239024</v>
      </c>
      <c r="N971" s="3">
        <f t="shared" si="200"/>
        <v>-55169.380721117224</v>
      </c>
      <c r="O971" s="3">
        <f t="shared" si="201"/>
        <v>-35381.022586245344</v>
      </c>
      <c r="P971" s="3">
        <f t="shared" si="202"/>
        <v>65539.891122887784</v>
      </c>
    </row>
    <row r="972" spans="1:16" x14ac:dyDescent="0.25">
      <c r="A972">
        <f t="shared" si="189"/>
        <v>448</v>
      </c>
      <c r="B972">
        <f t="shared" si="190"/>
        <v>46942.42965398026</v>
      </c>
      <c r="C972">
        <f t="shared" si="191"/>
        <v>6938.4932114667081</v>
      </c>
      <c r="D972">
        <f t="shared" si="192"/>
        <v>-6453.9021342739361</v>
      </c>
      <c r="E972">
        <f t="shared" si="193"/>
        <v>3114.9412504427269</v>
      </c>
      <c r="F972">
        <f>$C$23*(H972/(J972^2+$C$24^2)^1.5)+$C$32*(K972/(M972^2+$C$33^2)^1.5)+C$41*(N972/(P972^2+$C$42^2)^1.5)</f>
        <v>-4194.2660926675853</v>
      </c>
      <c r="G972">
        <f>$C$23*(I972/(J972^2+$C$24^2)^1.5)+$C$32*(L972/(M972^2+$C$33^2)^1.5)+C$41*(O972/(P972^2+$C$42^2)^1.5)</f>
        <v>147.14210439291696</v>
      </c>
      <c r="H972" s="3">
        <f t="shared" si="194"/>
        <v>-26942.42965398026</v>
      </c>
      <c r="I972" s="3">
        <f t="shared" si="195"/>
        <v>8061.5067885332919</v>
      </c>
      <c r="J972" s="3">
        <f t="shared" si="196"/>
        <v>28122.631586699765</v>
      </c>
      <c r="K972" s="3">
        <f t="shared" si="197"/>
        <v>-66942.42965398026</v>
      </c>
      <c r="L972" s="3">
        <f t="shared" si="198"/>
        <v>13061.506788533292</v>
      </c>
      <c r="M972" s="3">
        <f t="shared" si="199"/>
        <v>68204.778773668033</v>
      </c>
      <c r="N972" s="3">
        <f t="shared" si="200"/>
        <v>-51942.42965398026</v>
      </c>
      <c r="O972" s="3">
        <f t="shared" si="201"/>
        <v>-36938.49321146671</v>
      </c>
      <c r="P972" s="3">
        <f t="shared" si="202"/>
        <v>63737.495080150904</v>
      </c>
    </row>
    <row r="973" spans="1:16" x14ac:dyDescent="0.25">
      <c r="A973">
        <f t="shared" si="189"/>
        <v>448.5</v>
      </c>
      <c r="B973">
        <f t="shared" si="190"/>
        <v>42666.912063676398</v>
      </c>
      <c r="C973">
        <f t="shared" si="191"/>
        <v>8532.7493627863005</v>
      </c>
      <c r="D973">
        <f t="shared" si="192"/>
        <v>-8551.0351806077288</v>
      </c>
      <c r="E973">
        <f t="shared" si="193"/>
        <v>3188.5123026391852</v>
      </c>
      <c r="F973">
        <f>$C$23*(H973/(J973^2+$C$24^2)^1.5)+$C$32*(K973/(M973^2+$C$33^2)^1.5)+C$41*(N973/(P973^2+$C$42^2)^1.5)</f>
        <v>-4841.8564236528237</v>
      </c>
      <c r="G973">
        <f>$C$23*(I973/(J973^2+$C$24^2)^1.5)+$C$32*(L973/(M973^2+$C$33^2)^1.5)+C$41*(O973/(P973^2+$C$42^2)^1.5)</f>
        <v>146.42733962811008</v>
      </c>
      <c r="H973" s="3">
        <f t="shared" si="194"/>
        <v>-22666.912063676398</v>
      </c>
      <c r="I973" s="3">
        <f t="shared" si="195"/>
        <v>6467.2506372136995</v>
      </c>
      <c r="J973" s="3">
        <f t="shared" si="196"/>
        <v>23571.470749763997</v>
      </c>
      <c r="K973" s="3">
        <f t="shared" si="197"/>
        <v>-62666.912063676398</v>
      </c>
      <c r="L973" s="3">
        <f t="shared" si="198"/>
        <v>11467.2506372137</v>
      </c>
      <c r="M973" s="3">
        <f t="shared" si="199"/>
        <v>63707.454075431619</v>
      </c>
      <c r="N973" s="3">
        <f t="shared" si="200"/>
        <v>-47666.912063676398</v>
      </c>
      <c r="O973" s="3">
        <f t="shared" si="201"/>
        <v>-38532.7493627863</v>
      </c>
      <c r="P973" s="3">
        <f t="shared" si="202"/>
        <v>61293.61532118632</v>
      </c>
    </row>
    <row r="974" spans="1:16" x14ac:dyDescent="0.25">
      <c r="A974">
        <f t="shared" ref="A974:A1037" si="203">A973+$C$5</f>
        <v>449</v>
      </c>
      <c r="B974">
        <f t="shared" ref="B974:B1037" si="204">B973+D973*(A974-A973)+F973*(A974-A973)^2</f>
        <v>37180.930367459332</v>
      </c>
      <c r="C974">
        <f t="shared" ref="C974:C1037" si="205">C973+E973*(A974-A973)+G973*(A974-A973)^2</f>
        <v>10163.612349012921</v>
      </c>
      <c r="D974">
        <f t="shared" ref="D974:D1037" si="206">D973+F973*(A974-A973)</f>
        <v>-10971.96339243414</v>
      </c>
      <c r="E974">
        <f t="shared" ref="E974:E1037" si="207">E973+G973*(A974-A973)</f>
        <v>3261.7259724532405</v>
      </c>
      <c r="F974">
        <f>$C$23*(H974/(J974^2+$C$24^2)^1.5)+$C$32*(K974/(M974^2+$C$33^2)^1.5)+C$41*(N974/(P974^2+$C$42^2)^1.5)</f>
        <v>-6024.6009823087043</v>
      </c>
      <c r="G974">
        <f>$C$23*(I974/(J974^2+$C$24^2)^1.5)+$C$32*(L974/(M974^2+$C$33^2)^1.5)+C$41*(O974/(P974^2+$C$42^2)^1.5)</f>
        <v>228.57313374543685</v>
      </c>
      <c r="H974" s="3">
        <f t="shared" ref="H974:H1037" si="208">$C$19-B974</f>
        <v>-17180.930367459332</v>
      </c>
      <c r="I974" s="3">
        <f t="shared" ref="I974:I1037" si="209">$D$19-C974</f>
        <v>4836.3876509870788</v>
      </c>
      <c r="J974" s="3">
        <f t="shared" ref="J974:J1037" si="210">SQRT(H974^2+I974^2)</f>
        <v>17848.66980483718</v>
      </c>
      <c r="K974" s="3">
        <f t="shared" ref="K974:K1037" si="211">$C$28-B974</f>
        <v>-57180.930367459332</v>
      </c>
      <c r="L974" s="3">
        <f t="shared" ref="L974:L1037" si="212">$D$28-C974</f>
        <v>9836.3876509870788</v>
      </c>
      <c r="M974" s="3">
        <f t="shared" ref="M974:M1037" si="213">SQRT(K974^2+L974^2)</f>
        <v>58020.80075032336</v>
      </c>
      <c r="N974" s="3">
        <f t="shared" ref="N974:N1037" si="214">$C$37-B974</f>
        <v>-42180.930367459332</v>
      </c>
      <c r="O974" s="3">
        <f t="shared" ref="O974:O1037" si="215">$D$37-C974</f>
        <v>-40163.612349012925</v>
      </c>
      <c r="P974" s="3">
        <f t="shared" ref="P974:P1037" si="216">SQRT(N974^2+O974^2)</f>
        <v>58243.854985622609</v>
      </c>
    </row>
    <row r="975" spans="1:16" x14ac:dyDescent="0.25">
      <c r="A975">
        <f t="shared" si="203"/>
        <v>449.5</v>
      </c>
      <c r="B975">
        <f t="shared" si="204"/>
        <v>30188.798425665085</v>
      </c>
      <c r="C975">
        <f t="shared" si="205"/>
        <v>11851.618618675901</v>
      </c>
      <c r="D975">
        <f t="shared" si="206"/>
        <v>-13984.263883588492</v>
      </c>
      <c r="E975">
        <f t="shared" si="207"/>
        <v>3376.0125393259591</v>
      </c>
      <c r="F975">
        <f>$C$23*(H975/(J975^2+$C$24^2)^1.5)+$C$32*(K975/(M975^2+$C$33^2)^1.5)+C$41*(N975/(P975^2+$C$42^2)^1.5)</f>
        <v>-8885.8265791102658</v>
      </c>
      <c r="G975">
        <f>$C$23*(I975/(J975^2+$C$24^2)^1.5)+$C$32*(L975/(M975^2+$C$33^2)^1.5)+C$41*(O975/(P975^2+$C$42^2)^1.5)</f>
        <v>761.43102532852595</v>
      </c>
      <c r="H975" s="3">
        <f t="shared" si="208"/>
        <v>-10188.798425665085</v>
      </c>
      <c r="I975" s="3">
        <f t="shared" si="209"/>
        <v>3148.3813813240995</v>
      </c>
      <c r="J975" s="3">
        <f t="shared" si="210"/>
        <v>10664.141722665898</v>
      </c>
      <c r="K975" s="3">
        <f t="shared" si="211"/>
        <v>-50188.798425665082</v>
      </c>
      <c r="L975" s="3">
        <f t="shared" si="212"/>
        <v>8148.3813813240995</v>
      </c>
      <c r="M975" s="3">
        <f t="shared" si="213"/>
        <v>50845.95958920975</v>
      </c>
      <c r="N975" s="3">
        <f t="shared" si="214"/>
        <v>-35188.798425665082</v>
      </c>
      <c r="O975" s="3">
        <f t="shared" si="215"/>
        <v>-41851.618618675901</v>
      </c>
      <c r="P975" s="3">
        <f t="shared" si="216"/>
        <v>54679.150648535026</v>
      </c>
    </row>
    <row r="976" spans="1:16" x14ac:dyDescent="0.25">
      <c r="A976">
        <f t="shared" si="203"/>
        <v>450</v>
      </c>
      <c r="B976">
        <f t="shared" si="204"/>
        <v>20975.209839093273</v>
      </c>
      <c r="C976">
        <f t="shared" si="205"/>
        <v>13729.982644671012</v>
      </c>
      <c r="D976">
        <f t="shared" si="206"/>
        <v>-18427.177173143624</v>
      </c>
      <c r="E976">
        <f t="shared" si="207"/>
        <v>3756.728051990222</v>
      </c>
      <c r="F976">
        <f>$C$23*(H976/(J976^2+$C$24^2)^1.5)+$C$32*(K976/(M976^2+$C$33^2)^1.5)+C$41*(N976/(P976^2+$C$42^2)^1.5)</f>
        <v>-11071.688308098912</v>
      </c>
      <c r="G976">
        <f>$C$23*(I976/(J976^2+$C$24^2)^1.5)+$C$32*(L976/(M976^2+$C$33^2)^1.5)+C$41*(O976/(P976^2+$C$42^2)^1.5)</f>
        <v>4314.7302513058657</v>
      </c>
      <c r="H976" s="3">
        <f t="shared" si="208"/>
        <v>-975.20983909327333</v>
      </c>
      <c r="I976" s="3">
        <f t="shared" si="209"/>
        <v>1270.0173553289878</v>
      </c>
      <c r="J976" s="3">
        <f t="shared" si="210"/>
        <v>1601.2427402180983</v>
      </c>
      <c r="K976" s="3">
        <f t="shared" si="211"/>
        <v>-40975.209839093273</v>
      </c>
      <c r="L976" s="3">
        <f t="shared" si="212"/>
        <v>6270.0173553289878</v>
      </c>
      <c r="M976" s="3">
        <f t="shared" si="213"/>
        <v>41452.15240483723</v>
      </c>
      <c r="N976" s="3">
        <f t="shared" si="214"/>
        <v>-25975.209839093273</v>
      </c>
      <c r="O976" s="3">
        <f t="shared" si="215"/>
        <v>-43729.982644671014</v>
      </c>
      <c r="P976" s="3">
        <f t="shared" si="216"/>
        <v>50862.785101566704</v>
      </c>
    </row>
    <row r="977" spans="1:16" x14ac:dyDescent="0.25">
      <c r="A977">
        <f t="shared" si="203"/>
        <v>450.5</v>
      </c>
      <c r="B977">
        <f t="shared" si="204"/>
        <v>8993.699175496733</v>
      </c>
      <c r="C977">
        <f t="shared" si="205"/>
        <v>16687.029233492591</v>
      </c>
      <c r="D977">
        <f t="shared" si="206"/>
        <v>-23963.021327193081</v>
      </c>
      <c r="E977">
        <f t="shared" si="207"/>
        <v>5914.0931776431553</v>
      </c>
      <c r="F977">
        <f>$C$23*(H977/(J977^2+$C$24^2)^1.5)+$C$32*(K977/(M977^2+$C$33^2)^1.5)+C$41*(N977/(P977^2+$C$42^2)^1.5)</f>
        <v>-8910.0845994213614</v>
      </c>
      <c r="G977">
        <f>$C$23*(I977/(J977^2+$C$24^2)^1.5)+$C$32*(L977/(M977^2+$C$33^2)^1.5)+C$41*(O977/(P977^2+$C$42^2)^1.5)</f>
        <v>-747.68037574555501</v>
      </c>
      <c r="H977" s="3">
        <f t="shared" si="208"/>
        <v>11006.300824503267</v>
      </c>
      <c r="I977" s="3">
        <f t="shared" si="209"/>
        <v>-1687.0292334925907</v>
      </c>
      <c r="J977" s="3">
        <f t="shared" si="210"/>
        <v>11134.842858079313</v>
      </c>
      <c r="K977" s="3">
        <f t="shared" si="211"/>
        <v>-28993.699175496731</v>
      </c>
      <c r="L977" s="3">
        <f t="shared" si="212"/>
        <v>3312.9707665074093</v>
      </c>
      <c r="M977" s="3">
        <f t="shared" si="213"/>
        <v>29182.363975163709</v>
      </c>
      <c r="N977" s="3">
        <f t="shared" si="214"/>
        <v>-13993.699175496733</v>
      </c>
      <c r="O977" s="3">
        <f t="shared" si="215"/>
        <v>-46687.029233492591</v>
      </c>
      <c r="P977" s="3">
        <f t="shared" si="216"/>
        <v>48739.12509743368</v>
      </c>
    </row>
    <row r="978" spans="1:16" x14ac:dyDescent="0.25">
      <c r="A978">
        <f t="shared" si="203"/>
        <v>451</v>
      </c>
      <c r="B978">
        <f t="shared" si="204"/>
        <v>-5215.3326379551472</v>
      </c>
      <c r="C978">
        <f t="shared" si="205"/>
        <v>19457.15572837778</v>
      </c>
      <c r="D978">
        <f t="shared" si="206"/>
        <v>-28418.06362690376</v>
      </c>
      <c r="E978">
        <f t="shared" si="207"/>
        <v>5540.252989770378</v>
      </c>
      <c r="F978">
        <f>$C$23*(H978/(J978^2+$C$24^2)^1.5)+$C$32*(K978/(M978^2+$C$33^2)^1.5)+C$41*(N978/(P978^2+$C$42^2)^1.5)</f>
        <v>-21599.351760988073</v>
      </c>
      <c r="G978">
        <f>$C$23*(I978/(J978^2+$C$24^2)^1.5)+$C$32*(L978/(M978^2+$C$33^2)^1.5)+C$41*(O978/(P978^2+$C$42^2)^1.5)</f>
        <v>-923.36177397164954</v>
      </c>
      <c r="H978" s="3">
        <f t="shared" si="208"/>
        <v>25215.332637955147</v>
      </c>
      <c r="I978" s="3">
        <f t="shared" si="209"/>
        <v>-4457.1557283777802</v>
      </c>
      <c r="J978" s="3">
        <f t="shared" si="210"/>
        <v>25606.234343021562</v>
      </c>
      <c r="K978" s="3">
        <f t="shared" si="211"/>
        <v>-14784.667362044853</v>
      </c>
      <c r="L978" s="3">
        <f t="shared" si="212"/>
        <v>542.84427162221982</v>
      </c>
      <c r="M978" s="3">
        <f t="shared" si="213"/>
        <v>14794.629732086822</v>
      </c>
      <c r="N978" s="3">
        <f t="shared" si="214"/>
        <v>215.33263795514722</v>
      </c>
      <c r="O978" s="3">
        <f t="shared" si="215"/>
        <v>-49457.15572837778</v>
      </c>
      <c r="P978" s="3">
        <f t="shared" si="216"/>
        <v>49457.624496997225</v>
      </c>
    </row>
    <row r="979" spans="1:16" x14ac:dyDescent="0.25">
      <c r="A979">
        <f t="shared" si="203"/>
        <v>451.5</v>
      </c>
      <c r="B979">
        <f t="shared" si="204"/>
        <v>-24824.202391654042</v>
      </c>
      <c r="C979">
        <f t="shared" si="205"/>
        <v>21996.441779770059</v>
      </c>
      <c r="D979">
        <f t="shared" si="206"/>
        <v>-39217.739507397797</v>
      </c>
      <c r="E979">
        <f t="shared" si="207"/>
        <v>5078.572102784553</v>
      </c>
      <c r="F979">
        <f>$C$23*(H979/(J979^2+$C$24^2)^1.5)+$C$32*(K979/(M979^2+$C$33^2)^1.5)+C$41*(N979/(P979^2+$C$42^2)^1.5)</f>
        <v>17728.621186177043</v>
      </c>
      <c r="G979">
        <f>$C$23*(I979/(J979^2+$C$24^2)^1.5)+$C$32*(L979/(M979^2+$C$33^2)^1.5)+C$41*(O979/(P979^2+$C$42^2)^1.5)</f>
        <v>-8288.1253083812971</v>
      </c>
      <c r="H979" s="3">
        <f t="shared" si="208"/>
        <v>44824.202391654042</v>
      </c>
      <c r="I979" s="3">
        <f t="shared" si="209"/>
        <v>-6996.4417797700589</v>
      </c>
      <c r="J979" s="3">
        <f t="shared" si="210"/>
        <v>45366.940800826276</v>
      </c>
      <c r="K979" s="3">
        <f t="shared" si="211"/>
        <v>4824.202391654042</v>
      </c>
      <c r="L979" s="3">
        <f t="shared" si="212"/>
        <v>-1996.4417797700589</v>
      </c>
      <c r="M979" s="3">
        <f t="shared" si="213"/>
        <v>5220.9873104281742</v>
      </c>
      <c r="N979" s="3">
        <f t="shared" si="214"/>
        <v>19824.202391654042</v>
      </c>
      <c r="O979" s="3">
        <f t="shared" si="215"/>
        <v>-51996.441779770059</v>
      </c>
      <c r="P979" s="3">
        <f t="shared" si="216"/>
        <v>55647.362545068376</v>
      </c>
    </row>
    <row r="980" spans="1:16" x14ac:dyDescent="0.25">
      <c r="A980">
        <f t="shared" si="203"/>
        <v>452</v>
      </c>
      <c r="B980">
        <f t="shared" si="204"/>
        <v>-40000.91684880868</v>
      </c>
      <c r="C980">
        <f t="shared" si="205"/>
        <v>22463.696504067011</v>
      </c>
      <c r="D980">
        <f t="shared" si="206"/>
        <v>-30353.428914309276</v>
      </c>
      <c r="E980">
        <f t="shared" si="207"/>
        <v>934.50944859390438</v>
      </c>
      <c r="F980">
        <f>$C$23*(H980/(J980^2+$C$24^2)^1.5)+$C$32*(K980/(M980^2+$C$33^2)^1.5)+C$41*(N980/(P980^2+$C$42^2)^1.5)</f>
        <v>18538.16399765023</v>
      </c>
      <c r="G980">
        <f>$C$23*(I980/(J980^2+$C$24^2)^1.5)+$C$32*(L980/(M980^2+$C$33^2)^1.5)+C$41*(O980/(P980^2+$C$42^2)^1.5)</f>
        <v>-3058.3520912867643</v>
      </c>
      <c r="H980" s="3">
        <f t="shared" si="208"/>
        <v>60000.91684880868</v>
      </c>
      <c r="I980" s="3">
        <f t="shared" si="209"/>
        <v>-7463.6965040670111</v>
      </c>
      <c r="J980" s="3">
        <f t="shared" si="210"/>
        <v>60463.350785434275</v>
      </c>
      <c r="K980" s="3">
        <f t="shared" si="211"/>
        <v>20000.91684880868</v>
      </c>
      <c r="L980" s="3">
        <f t="shared" si="212"/>
        <v>-2463.6965040670111</v>
      </c>
      <c r="M980" s="3">
        <f t="shared" si="213"/>
        <v>20152.083645546703</v>
      </c>
      <c r="N980" s="3">
        <f t="shared" si="214"/>
        <v>35000.91684880868</v>
      </c>
      <c r="O980" s="3">
        <f t="shared" si="215"/>
        <v>-52463.696504067011</v>
      </c>
      <c r="P980" s="3">
        <f t="shared" si="216"/>
        <v>63067.453025535069</v>
      </c>
    </row>
    <row r="981" spans="1:16" x14ac:dyDescent="0.25">
      <c r="A981">
        <f t="shared" si="203"/>
        <v>452.5</v>
      </c>
      <c r="B981">
        <f t="shared" si="204"/>
        <v>-50543.090306550759</v>
      </c>
      <c r="C981">
        <f t="shared" si="205"/>
        <v>22166.363205542271</v>
      </c>
      <c r="D981">
        <f t="shared" si="206"/>
        <v>-21084.346915484159</v>
      </c>
      <c r="E981">
        <f t="shared" si="207"/>
        <v>-594.66659704947779</v>
      </c>
      <c r="F981">
        <f>$C$23*(H981/(J981^2+$C$24^2)^1.5)+$C$32*(K981/(M981^2+$C$33^2)^1.5)+C$41*(N981/(P981^2+$C$42^2)^1.5)</f>
        <v>11552.721129305208</v>
      </c>
      <c r="G981">
        <f>$C$23*(I981/(J981^2+$C$24^2)^1.5)+$C$32*(L981/(M981^2+$C$33^2)^1.5)+C$41*(O981/(P981^2+$C$42^2)^1.5)</f>
        <v>-1421.0073780156995</v>
      </c>
      <c r="H981" s="3">
        <f t="shared" si="208"/>
        <v>70543.090306550759</v>
      </c>
      <c r="I981" s="3">
        <f t="shared" si="209"/>
        <v>-7166.3632055422713</v>
      </c>
      <c r="J981" s="3">
        <f t="shared" si="210"/>
        <v>70906.165822105526</v>
      </c>
      <c r="K981" s="3">
        <f t="shared" si="211"/>
        <v>30543.090306550759</v>
      </c>
      <c r="L981" s="3">
        <f t="shared" si="212"/>
        <v>-2166.3632055422713</v>
      </c>
      <c r="M981" s="3">
        <f t="shared" si="213"/>
        <v>30619.821929796428</v>
      </c>
      <c r="N981" s="3">
        <f t="shared" si="214"/>
        <v>45543.090306550759</v>
      </c>
      <c r="O981" s="3">
        <f t="shared" si="215"/>
        <v>-52166.363205542271</v>
      </c>
      <c r="P981" s="3">
        <f t="shared" si="216"/>
        <v>69249.566964445286</v>
      </c>
    </row>
    <row r="982" spans="1:16" x14ac:dyDescent="0.25">
      <c r="A982">
        <f t="shared" si="203"/>
        <v>453</v>
      </c>
      <c r="B982">
        <f t="shared" si="204"/>
        <v>-58197.08348196654</v>
      </c>
      <c r="C982">
        <f t="shared" si="205"/>
        <v>21513.778062513607</v>
      </c>
      <c r="D982">
        <f t="shared" si="206"/>
        <v>-15307.986350831554</v>
      </c>
      <c r="E982">
        <f t="shared" si="207"/>
        <v>-1305.1702860573275</v>
      </c>
      <c r="F982">
        <f>$C$23*(H982/(J982^2+$C$24^2)^1.5)+$C$32*(K982/(M982^2+$C$33^2)^1.5)+C$41*(N982/(P982^2+$C$42^2)^1.5)</f>
        <v>8416.3768022117492</v>
      </c>
      <c r="G982">
        <f>$C$23*(I982/(J982^2+$C$24^2)^1.5)+$C$32*(L982/(M982^2+$C$33^2)^1.5)+C$41*(O982/(P982^2+$C$42^2)^1.5)</f>
        <v>-833.23821880393371</v>
      </c>
      <c r="H982" s="3">
        <f t="shared" si="208"/>
        <v>78197.083481966547</v>
      </c>
      <c r="I982" s="3">
        <f t="shared" si="209"/>
        <v>-6513.7780625136074</v>
      </c>
      <c r="J982" s="3">
        <f t="shared" si="210"/>
        <v>78467.911720226941</v>
      </c>
      <c r="K982" s="3">
        <f t="shared" si="211"/>
        <v>38197.08348196654</v>
      </c>
      <c r="L982" s="3">
        <f t="shared" si="212"/>
        <v>-1513.7780625136074</v>
      </c>
      <c r="M982" s="3">
        <f t="shared" si="213"/>
        <v>38227.067773383671</v>
      </c>
      <c r="N982" s="3">
        <f t="shared" si="214"/>
        <v>53197.08348196654</v>
      </c>
      <c r="O982" s="3">
        <f t="shared" si="215"/>
        <v>-51513.778062513607</v>
      </c>
      <c r="P982" s="3">
        <f t="shared" si="216"/>
        <v>74051.326937882928</v>
      </c>
    </row>
    <row r="983" spans="1:16" x14ac:dyDescent="0.25">
      <c r="A983">
        <f t="shared" si="203"/>
        <v>453.5</v>
      </c>
      <c r="B983">
        <f t="shared" si="204"/>
        <v>-63746.982456829384</v>
      </c>
      <c r="C983">
        <f t="shared" si="205"/>
        <v>20652.88336478396</v>
      </c>
      <c r="D983">
        <f t="shared" si="206"/>
        <v>-11099.797949725678</v>
      </c>
      <c r="E983">
        <f t="shared" si="207"/>
        <v>-1721.7893954592944</v>
      </c>
      <c r="F983">
        <f>$C$23*(H983/(J983^2+$C$24^2)^1.5)+$C$32*(K983/(M983^2+$C$33^2)^1.5)+C$41*(N983/(P983^2+$C$42^2)^1.5)</f>
        <v>6838.7838445537263</v>
      </c>
      <c r="G983">
        <f>$C$23*(I983/(J983^2+$C$24^2)^1.5)+$C$32*(L983/(M983^2+$C$33^2)^1.5)+C$41*(O983/(P983^2+$C$42^2)^1.5)</f>
        <v>-541.76344291673286</v>
      </c>
      <c r="H983" s="3">
        <f t="shared" si="208"/>
        <v>83746.982456829384</v>
      </c>
      <c r="I983" s="3">
        <f t="shared" si="209"/>
        <v>-5652.8833647839601</v>
      </c>
      <c r="J983" s="3">
        <f t="shared" si="210"/>
        <v>83937.549171752325</v>
      </c>
      <c r="K983" s="3">
        <f t="shared" si="211"/>
        <v>43746.982456829384</v>
      </c>
      <c r="L983" s="3">
        <f t="shared" si="212"/>
        <v>-652.88336478396013</v>
      </c>
      <c r="M983" s="3">
        <f t="shared" si="213"/>
        <v>43751.854026614114</v>
      </c>
      <c r="N983" s="3">
        <f t="shared" si="214"/>
        <v>58746.982456829384</v>
      </c>
      <c r="O983" s="3">
        <f t="shared" si="215"/>
        <v>-50652.883364783964</v>
      </c>
      <c r="P983" s="3">
        <f t="shared" si="216"/>
        <v>77568.824542785413</v>
      </c>
    </row>
    <row r="984" spans="1:16" x14ac:dyDescent="0.25">
      <c r="A984">
        <f t="shared" si="203"/>
        <v>454</v>
      </c>
      <c r="B984">
        <f t="shared" si="204"/>
        <v>-67587.185470553784</v>
      </c>
      <c r="C984">
        <f t="shared" si="205"/>
        <v>19656.547806325128</v>
      </c>
      <c r="D984">
        <f t="shared" si="206"/>
        <v>-7680.4060274488147</v>
      </c>
      <c r="E984">
        <f t="shared" si="207"/>
        <v>-1992.6711169176608</v>
      </c>
      <c r="F984">
        <f>$C$23*(H984/(J984^2+$C$24^2)^1.5)+$C$32*(K984/(M984^2+$C$33^2)^1.5)+C$41*(N984/(P984^2+$C$42^2)^1.5)</f>
        <v>5985.4339441717557</v>
      </c>
      <c r="G984">
        <f>$C$23*(I984/(J984^2+$C$24^2)^1.5)+$C$32*(L984/(M984^2+$C$33^2)^1.5)+C$41*(O984/(P984^2+$C$42^2)^1.5)</f>
        <v>-362.99154525916151</v>
      </c>
      <c r="H984" s="3">
        <f t="shared" si="208"/>
        <v>87587.185470553784</v>
      </c>
      <c r="I984" s="3">
        <f t="shared" si="209"/>
        <v>-4656.5478063251285</v>
      </c>
      <c r="J984" s="3">
        <f t="shared" si="210"/>
        <v>87710.880146796946</v>
      </c>
      <c r="K984" s="3">
        <f t="shared" si="211"/>
        <v>47587.185470553784</v>
      </c>
      <c r="L984" s="3">
        <f t="shared" si="212"/>
        <v>343.45219367487152</v>
      </c>
      <c r="M984" s="3">
        <f t="shared" si="213"/>
        <v>47588.424857503167</v>
      </c>
      <c r="N984" s="3">
        <f t="shared" si="214"/>
        <v>62587.185470553784</v>
      </c>
      <c r="O984" s="3">
        <f t="shared" si="215"/>
        <v>-49656.547806325128</v>
      </c>
      <c r="P984" s="3">
        <f t="shared" si="216"/>
        <v>79893.23203605767</v>
      </c>
    </row>
    <row r="985" spans="1:16" x14ac:dyDescent="0.25">
      <c r="A985">
        <f t="shared" si="203"/>
        <v>454.5</v>
      </c>
      <c r="B985">
        <f t="shared" si="204"/>
        <v>-69931.029998235259</v>
      </c>
      <c r="C985">
        <f t="shared" si="205"/>
        <v>18569.464361551505</v>
      </c>
      <c r="D985">
        <f t="shared" si="206"/>
        <v>-4687.6890553629364</v>
      </c>
      <c r="E985">
        <f t="shared" si="207"/>
        <v>-2174.1668895472417</v>
      </c>
      <c r="F985">
        <f>$C$23*(H985/(J985^2+$C$24^2)^1.5)+$C$32*(K985/(M985^2+$C$33^2)^1.5)+C$41*(N985/(P985^2+$C$42^2)^1.5)</f>
        <v>5538.5827802208023</v>
      </c>
      <c r="G985">
        <f>$C$23*(I985/(J985^2+$C$24^2)^1.5)+$C$32*(L985/(M985^2+$C$33^2)^1.5)+C$41*(O985/(P985^2+$C$42^2)^1.5)</f>
        <v>-233.05479847610823</v>
      </c>
      <c r="H985" s="3">
        <f t="shared" si="208"/>
        <v>89931.029998235259</v>
      </c>
      <c r="I985" s="3">
        <f t="shared" si="209"/>
        <v>-3569.4643615515051</v>
      </c>
      <c r="J985" s="3">
        <f t="shared" si="210"/>
        <v>90001.840161031578</v>
      </c>
      <c r="K985" s="3">
        <f t="shared" si="211"/>
        <v>49931.029998235259</v>
      </c>
      <c r="L985" s="3">
        <f t="shared" si="212"/>
        <v>1430.5356384484949</v>
      </c>
      <c r="M985" s="3">
        <f t="shared" si="213"/>
        <v>49951.5183843048</v>
      </c>
      <c r="N985" s="3">
        <f t="shared" si="214"/>
        <v>64931.029998235259</v>
      </c>
      <c r="O985" s="3">
        <f t="shared" si="215"/>
        <v>-48569.464361551509</v>
      </c>
      <c r="P985" s="3">
        <f t="shared" si="216"/>
        <v>81086.568092377347</v>
      </c>
    </row>
    <row r="986" spans="1:16" x14ac:dyDescent="0.25">
      <c r="A986">
        <f t="shared" si="203"/>
        <v>455</v>
      </c>
      <c r="B986">
        <f t="shared" si="204"/>
        <v>-70890.228830861539</v>
      </c>
      <c r="C986">
        <f t="shared" si="205"/>
        <v>17424.117217158859</v>
      </c>
      <c r="D986">
        <f t="shared" si="206"/>
        <v>-1918.3976652525353</v>
      </c>
      <c r="E986">
        <f t="shared" si="207"/>
        <v>-2290.6942887852956</v>
      </c>
      <c r="F986">
        <f>$C$23*(H986/(J986^2+$C$24^2)^1.5)+$C$32*(K986/(M986^2+$C$33^2)^1.5)+C$41*(N986/(P986^2+$C$42^2)^1.5)</f>
        <v>5367.8765483327752</v>
      </c>
      <c r="G986">
        <f>$C$23*(I986/(J986^2+$C$24^2)^1.5)+$C$32*(L986/(M986^2+$C$33^2)^1.5)+C$41*(O986/(P986^2+$C$42^2)^1.5)</f>
        <v>-121.68465086640353</v>
      </c>
      <c r="H986" s="3">
        <f t="shared" si="208"/>
        <v>90890.228830861539</v>
      </c>
      <c r="I986" s="3">
        <f t="shared" si="209"/>
        <v>-2424.1172171588587</v>
      </c>
      <c r="J986" s="3">
        <f t="shared" si="210"/>
        <v>90922.549684931844</v>
      </c>
      <c r="K986" s="3">
        <f t="shared" si="211"/>
        <v>50890.228830861539</v>
      </c>
      <c r="L986" s="3">
        <f t="shared" si="212"/>
        <v>2575.8827828411413</v>
      </c>
      <c r="M986" s="3">
        <f t="shared" si="213"/>
        <v>50955.378151559118</v>
      </c>
      <c r="N986" s="3">
        <f t="shared" si="214"/>
        <v>65890.228830861539</v>
      </c>
      <c r="O986" s="3">
        <f t="shared" si="215"/>
        <v>-47424.117217158855</v>
      </c>
      <c r="P986" s="3">
        <f t="shared" si="216"/>
        <v>81182.320422676508</v>
      </c>
    </row>
    <row r="987" spans="1:16" x14ac:dyDescent="0.25">
      <c r="A987">
        <f t="shared" si="203"/>
        <v>455.5</v>
      </c>
      <c r="B987">
        <f t="shared" si="204"/>
        <v>-70507.458526404604</v>
      </c>
      <c r="C987">
        <f t="shared" si="205"/>
        <v>16248.34891004961</v>
      </c>
      <c r="D987">
        <f t="shared" si="206"/>
        <v>765.54060891385234</v>
      </c>
      <c r="E987">
        <f t="shared" si="207"/>
        <v>-2351.5366142184976</v>
      </c>
      <c r="F987">
        <f>$C$23*(H987/(J987^2+$C$24^2)^1.5)+$C$32*(K987/(M987^2+$C$33^2)^1.5)+C$41*(N987/(P987^2+$C$42^2)^1.5)</f>
        <v>5428.5954377632743</v>
      </c>
      <c r="G987">
        <f>$C$23*(I987/(J987^2+$C$24^2)^1.5)+$C$32*(L987/(M987^2+$C$33^2)^1.5)+C$41*(O987/(P987^2+$C$42^2)^1.5)</f>
        <v>-8.1096392244479603</v>
      </c>
      <c r="H987" s="3">
        <f t="shared" si="208"/>
        <v>90507.458526404604</v>
      </c>
      <c r="I987" s="3">
        <f t="shared" si="209"/>
        <v>-1248.3489100496099</v>
      </c>
      <c r="J987" s="3">
        <f t="shared" si="210"/>
        <v>90516.067214114373</v>
      </c>
      <c r="K987" s="3">
        <f t="shared" si="211"/>
        <v>50507.458526404604</v>
      </c>
      <c r="L987" s="3">
        <f t="shared" si="212"/>
        <v>3751.6510899503901</v>
      </c>
      <c r="M987" s="3">
        <f t="shared" si="213"/>
        <v>50646.601590799823</v>
      </c>
      <c r="N987" s="3">
        <f t="shared" si="214"/>
        <v>65507.458526404604</v>
      </c>
      <c r="O987" s="3">
        <f t="shared" si="215"/>
        <v>-46248.348910049608</v>
      </c>
      <c r="P987" s="3">
        <f t="shared" si="216"/>
        <v>80188.134405872712</v>
      </c>
    </row>
    <row r="988" spans="1:16" x14ac:dyDescent="0.25">
      <c r="A988">
        <f t="shared" si="203"/>
        <v>456</v>
      </c>
      <c r="B988">
        <f t="shared" si="204"/>
        <v>-68767.539362506868</v>
      </c>
      <c r="C988">
        <f t="shared" si="205"/>
        <v>15070.553193134248</v>
      </c>
      <c r="D988">
        <f t="shared" si="206"/>
        <v>3479.8383277954895</v>
      </c>
      <c r="E988">
        <f t="shared" si="207"/>
        <v>-2355.5914338307216</v>
      </c>
      <c r="F988">
        <f>$C$23*(H988/(J988^2+$C$24^2)^1.5)+$C$32*(K988/(M988^2+$C$33^2)^1.5)+C$41*(N988/(P988^2+$C$42^2)^1.5)</f>
        <v>5732.3058350824795</v>
      </c>
      <c r="G988">
        <f>$C$23*(I988/(J988^2+$C$24^2)^1.5)+$C$32*(L988/(M988^2+$C$33^2)^1.5)+C$41*(O988/(P988^2+$C$42^2)^1.5)</f>
        <v>130.41273135849787</v>
      </c>
      <c r="H988" s="3">
        <f t="shared" si="208"/>
        <v>88767.539362506868</v>
      </c>
      <c r="I988" s="3">
        <f t="shared" si="209"/>
        <v>-70.553193134248431</v>
      </c>
      <c r="J988" s="3">
        <f t="shared" si="210"/>
        <v>88767.567400640575</v>
      </c>
      <c r="K988" s="3">
        <f t="shared" si="211"/>
        <v>48767.539362506868</v>
      </c>
      <c r="L988" s="3">
        <f t="shared" si="212"/>
        <v>4929.4468068657516</v>
      </c>
      <c r="M988" s="3">
        <f t="shared" si="213"/>
        <v>49016.04167306226</v>
      </c>
      <c r="N988" s="3">
        <f t="shared" si="214"/>
        <v>63767.539362506868</v>
      </c>
      <c r="O988" s="3">
        <f t="shared" si="215"/>
        <v>-45070.553193134248</v>
      </c>
      <c r="P988" s="3">
        <f t="shared" si="216"/>
        <v>78087.475573769232</v>
      </c>
    </row>
    <row r="989" spans="1:16" x14ac:dyDescent="0.25">
      <c r="A989">
        <f t="shared" si="203"/>
        <v>456.5</v>
      </c>
      <c r="B989">
        <f t="shared" si="204"/>
        <v>-65594.543739838497</v>
      </c>
      <c r="C989">
        <f t="shared" si="205"/>
        <v>13925.360659058511</v>
      </c>
      <c r="D989">
        <f t="shared" si="206"/>
        <v>6345.9912453367288</v>
      </c>
      <c r="E989">
        <f t="shared" si="207"/>
        <v>-2290.3850681514728</v>
      </c>
      <c r="F989">
        <f>$C$23*(H989/(J989^2+$C$24^2)^1.5)+$C$32*(K989/(M989^2+$C$33^2)^1.5)+C$41*(N989/(P989^2+$C$42^2)^1.5)</f>
        <v>6352.3762564117606</v>
      </c>
      <c r="G989">
        <f>$C$23*(I989/(J989^2+$C$24^2)^1.5)+$C$32*(L989/(M989^2+$C$33^2)^1.5)+C$41*(O989/(P989^2+$C$42^2)^1.5)</f>
        <v>331.77516422885026</v>
      </c>
      <c r="H989" s="3">
        <f t="shared" si="208"/>
        <v>85594.543739838497</v>
      </c>
      <c r="I989" s="3">
        <f t="shared" si="209"/>
        <v>1074.6393409414886</v>
      </c>
      <c r="J989" s="3">
        <f t="shared" si="210"/>
        <v>85601.289521503277</v>
      </c>
      <c r="K989" s="3">
        <f t="shared" si="211"/>
        <v>45594.543739838497</v>
      </c>
      <c r="L989" s="3">
        <f t="shared" si="212"/>
        <v>6074.6393409414886</v>
      </c>
      <c r="M989" s="3">
        <f t="shared" si="213"/>
        <v>45997.431036597685</v>
      </c>
      <c r="N989" s="3">
        <f t="shared" si="214"/>
        <v>60594.543739838497</v>
      </c>
      <c r="O989" s="3">
        <f t="shared" si="215"/>
        <v>-43925.360659058511</v>
      </c>
      <c r="P989" s="3">
        <f t="shared" si="216"/>
        <v>74840.737837541164</v>
      </c>
    </row>
    <row r="990" spans="1:16" x14ac:dyDescent="0.25">
      <c r="A990">
        <f t="shared" si="203"/>
        <v>457</v>
      </c>
      <c r="B990">
        <f t="shared" si="204"/>
        <v>-60833.454053067195</v>
      </c>
      <c r="C990">
        <f t="shared" si="205"/>
        <v>12863.111916039987</v>
      </c>
      <c r="D990">
        <f t="shared" si="206"/>
        <v>9522.179373542609</v>
      </c>
      <c r="E990">
        <f t="shared" si="207"/>
        <v>-2124.4974860370476</v>
      </c>
      <c r="F990">
        <f>$C$23*(H990/(J990^2+$C$24^2)^1.5)+$C$32*(K990/(M990^2+$C$33^2)^1.5)+C$41*(N990/(P990^2+$C$42^2)^1.5)</f>
        <v>7468.9503984945613</v>
      </c>
      <c r="G990">
        <f>$C$23*(I990/(J990^2+$C$24^2)^1.5)+$C$32*(L990/(M990^2+$C$33^2)^1.5)+C$41*(O990/(P990^2+$C$42^2)^1.5)</f>
        <v>680.25170871089267</v>
      </c>
      <c r="H990" s="3">
        <f t="shared" si="208"/>
        <v>80833.454053067195</v>
      </c>
      <c r="I990" s="3">
        <f t="shared" si="209"/>
        <v>2136.8880839600133</v>
      </c>
      <c r="J990" s="3">
        <f t="shared" si="210"/>
        <v>80861.694174885401</v>
      </c>
      <c r="K990" s="3">
        <f t="shared" si="211"/>
        <v>40833.454053067195</v>
      </c>
      <c r="L990" s="3">
        <f t="shared" si="212"/>
        <v>7136.8880839600133</v>
      </c>
      <c r="M990" s="3">
        <f t="shared" si="213"/>
        <v>41452.456397985879</v>
      </c>
      <c r="N990" s="3">
        <f t="shared" si="214"/>
        <v>55833.454053067195</v>
      </c>
      <c r="O990" s="3">
        <f t="shared" si="215"/>
        <v>-42863.111916039983</v>
      </c>
      <c r="P990" s="3">
        <f t="shared" si="216"/>
        <v>70389.068431276566</v>
      </c>
    </row>
    <row r="991" spans="1:16" x14ac:dyDescent="0.25">
      <c r="A991">
        <f t="shared" si="203"/>
        <v>457.5</v>
      </c>
      <c r="B991">
        <f t="shared" si="204"/>
        <v>-54205.126766672256</v>
      </c>
      <c r="C991">
        <f t="shared" si="205"/>
        <v>11970.926100199185</v>
      </c>
      <c r="D991">
        <f t="shared" si="206"/>
        <v>13256.65457278989</v>
      </c>
      <c r="E991">
        <f t="shared" si="207"/>
        <v>-1784.3716316816012</v>
      </c>
      <c r="F991">
        <f>$C$23*(H991/(J991^2+$C$24^2)^1.5)+$C$32*(K991/(M991^2+$C$33^2)^1.5)+C$41*(N991/(P991^2+$C$42^2)^1.5)</f>
        <v>9502.5562445973301</v>
      </c>
      <c r="G991">
        <f>$C$23*(I991/(J991^2+$C$24^2)^1.5)+$C$32*(L991/(M991^2+$C$33^2)^1.5)+C$41*(O991/(P991^2+$C$42^2)^1.5)</f>
        <v>1412.3951433141797</v>
      </c>
      <c r="H991" s="3">
        <f t="shared" si="208"/>
        <v>74205.126766672256</v>
      </c>
      <c r="I991" s="3">
        <f t="shared" si="209"/>
        <v>3029.0738998008146</v>
      </c>
      <c r="J991" s="3">
        <f t="shared" si="210"/>
        <v>74266.924853183154</v>
      </c>
      <c r="K991" s="3">
        <f t="shared" si="211"/>
        <v>34205.126766672256</v>
      </c>
      <c r="L991" s="3">
        <f t="shared" si="212"/>
        <v>8029.0738998008146</v>
      </c>
      <c r="M991" s="3">
        <f t="shared" si="213"/>
        <v>35134.836342476134</v>
      </c>
      <c r="N991" s="3">
        <f t="shared" si="214"/>
        <v>49205.126766672256</v>
      </c>
      <c r="O991" s="3">
        <f t="shared" si="215"/>
        <v>-41970.926100199184</v>
      </c>
      <c r="P991" s="3">
        <f t="shared" si="216"/>
        <v>64673.821116682659</v>
      </c>
    </row>
    <row r="992" spans="1:16" x14ac:dyDescent="0.25">
      <c r="A992">
        <f t="shared" si="203"/>
        <v>458</v>
      </c>
      <c r="B992">
        <f t="shared" si="204"/>
        <v>-45201.160419127977</v>
      </c>
      <c r="C992">
        <f t="shared" si="205"/>
        <v>11431.839070186928</v>
      </c>
      <c r="D992">
        <f t="shared" si="206"/>
        <v>18007.932695088555</v>
      </c>
      <c r="E992">
        <f t="shared" si="207"/>
        <v>-1078.1740600245114</v>
      </c>
      <c r="F992">
        <f>$C$23*(H992/(J992^2+$C$24^2)^1.5)+$C$32*(K992/(M992^2+$C$33^2)^1.5)+C$41*(N992/(P992^2+$C$42^2)^1.5)</f>
        <v>13449.988649478886</v>
      </c>
      <c r="G992">
        <f>$C$23*(I992/(J992^2+$C$24^2)^1.5)+$C$32*(L992/(M992^2+$C$33^2)^1.5)+C$41*(O992/(P992^2+$C$42^2)^1.5)</f>
        <v>3390.6284162532575</v>
      </c>
      <c r="H992" s="3">
        <f t="shared" si="208"/>
        <v>65201.160419127977</v>
      </c>
      <c r="I992" s="3">
        <f t="shared" si="209"/>
        <v>3568.1609298130716</v>
      </c>
      <c r="J992" s="3">
        <f t="shared" si="210"/>
        <v>65298.721981535789</v>
      </c>
      <c r="K992" s="3">
        <f t="shared" si="211"/>
        <v>25201.160419127977</v>
      </c>
      <c r="L992" s="3">
        <f t="shared" si="212"/>
        <v>8568.1609298130716</v>
      </c>
      <c r="M992" s="3">
        <f t="shared" si="213"/>
        <v>26617.886245714511</v>
      </c>
      <c r="N992" s="3">
        <f t="shared" si="214"/>
        <v>40201.160419127977</v>
      </c>
      <c r="O992" s="3">
        <f t="shared" si="215"/>
        <v>-41431.839070186928</v>
      </c>
      <c r="P992" s="3">
        <f t="shared" si="216"/>
        <v>57729.80675337767</v>
      </c>
    </row>
    <row r="993" spans="1:16" x14ac:dyDescent="0.25">
      <c r="A993">
        <f t="shared" si="203"/>
        <v>458.5</v>
      </c>
      <c r="B993">
        <f t="shared" si="204"/>
        <v>-32834.696909213977</v>
      </c>
      <c r="C993">
        <f t="shared" si="205"/>
        <v>11740.409144237987</v>
      </c>
      <c r="D993">
        <f t="shared" si="206"/>
        <v>24732.927019827999</v>
      </c>
      <c r="E993">
        <f t="shared" si="207"/>
        <v>617.14014810211734</v>
      </c>
      <c r="F993">
        <f>$C$23*(H993/(J993^2+$C$24^2)^1.5)+$C$32*(K993/(M993^2+$C$33^2)^1.5)+C$41*(N993/(P993^2+$C$42^2)^1.5)</f>
        <v>19569.783866597936</v>
      </c>
      <c r="G993">
        <f>$C$23*(I993/(J993^2+$C$24^2)^1.5)+$C$32*(L993/(M993^2+$C$33^2)^1.5)+C$41*(O993/(P993^2+$C$42^2)^1.5)</f>
        <v>10620.371050413783</v>
      </c>
      <c r="H993" s="3">
        <f t="shared" si="208"/>
        <v>52834.696909213977</v>
      </c>
      <c r="I993" s="3">
        <f t="shared" si="209"/>
        <v>3259.5908557620132</v>
      </c>
      <c r="J993" s="3">
        <f t="shared" si="210"/>
        <v>52935.150231537766</v>
      </c>
      <c r="K993" s="3">
        <f t="shared" si="211"/>
        <v>12834.696909213977</v>
      </c>
      <c r="L993" s="3">
        <f t="shared" si="212"/>
        <v>8259.5908557620132</v>
      </c>
      <c r="M993" s="3">
        <f t="shared" si="213"/>
        <v>15262.708994669796</v>
      </c>
      <c r="N993" s="3">
        <f t="shared" si="214"/>
        <v>27834.696909213977</v>
      </c>
      <c r="O993" s="3">
        <f t="shared" si="215"/>
        <v>-41740.409144237987</v>
      </c>
      <c r="P993" s="3">
        <f t="shared" si="216"/>
        <v>50170.031966864364</v>
      </c>
    </row>
    <row r="994" spans="1:16" x14ac:dyDescent="0.25">
      <c r="A994">
        <f t="shared" si="203"/>
        <v>459</v>
      </c>
      <c r="B994">
        <f t="shared" si="204"/>
        <v>-15575.787432650493</v>
      </c>
      <c r="C994">
        <f t="shared" si="205"/>
        <v>14704.071980892491</v>
      </c>
      <c r="D994">
        <f t="shared" si="206"/>
        <v>34517.818953126967</v>
      </c>
      <c r="E994">
        <f t="shared" si="207"/>
        <v>5927.3256733090093</v>
      </c>
      <c r="F994">
        <f>$C$23*(H994/(J994^2+$C$24^2)^1.5)+$C$32*(K994/(M994^2+$C$33^2)^1.5)+C$41*(N994/(P994^2+$C$42^2)^1.5)</f>
        <v>-13067.055329358644</v>
      </c>
      <c r="G994">
        <f>$C$23*(I994/(J994^2+$C$24^2)^1.5)+$C$32*(L994/(M994^2+$C$33^2)^1.5)+C$41*(O994/(P994^2+$C$42^2)^1.5)</f>
        <v>14834.176156975596</v>
      </c>
      <c r="H994" s="3">
        <f t="shared" si="208"/>
        <v>35575.787432650497</v>
      </c>
      <c r="I994" s="3">
        <f t="shared" si="209"/>
        <v>295.92801910750859</v>
      </c>
      <c r="J994" s="3">
        <f t="shared" si="210"/>
        <v>35577.018211840434</v>
      </c>
      <c r="K994" s="3">
        <f t="shared" si="211"/>
        <v>-4424.2125673495066</v>
      </c>
      <c r="L994" s="3">
        <f t="shared" si="212"/>
        <v>5295.9280191075086</v>
      </c>
      <c r="M994" s="3">
        <f t="shared" si="213"/>
        <v>6900.7615829458482</v>
      </c>
      <c r="N994" s="3">
        <f t="shared" si="214"/>
        <v>10575.787432650493</v>
      </c>
      <c r="O994" s="3">
        <f t="shared" si="215"/>
        <v>-44704.071980892491</v>
      </c>
      <c r="P994" s="3">
        <f t="shared" si="216"/>
        <v>45938.016190225557</v>
      </c>
    </row>
    <row r="995" spans="1:16" x14ac:dyDescent="0.25">
      <c r="A995">
        <f t="shared" si="203"/>
        <v>459.5</v>
      </c>
      <c r="B995">
        <f t="shared" si="204"/>
        <v>-1583.6417884266707</v>
      </c>
      <c r="C995">
        <f t="shared" si="205"/>
        <v>21376.278856790894</v>
      </c>
      <c r="D995">
        <f t="shared" si="206"/>
        <v>27984.291288447646</v>
      </c>
      <c r="E995">
        <f t="shared" si="207"/>
        <v>13344.413751796808</v>
      </c>
      <c r="F995">
        <f>$C$23*(H995/(J995^2+$C$24^2)^1.5)+$C$32*(K995/(M995^2+$C$33^2)^1.5)+C$41*(N995/(P995^2+$C$42^2)^1.5)</f>
        <v>-18508.894375337633</v>
      </c>
      <c r="G995">
        <f>$C$23*(I995/(J995^2+$C$24^2)^1.5)+$C$32*(L995/(M995^2+$C$33^2)^1.5)+C$41*(O995/(P995^2+$C$42^2)^1.5)</f>
        <v>-3208.4779585644178</v>
      </c>
      <c r="H995" s="3">
        <f t="shared" si="208"/>
        <v>21583.64178842667</v>
      </c>
      <c r="I995" s="3">
        <f t="shared" si="209"/>
        <v>-6376.2788567908938</v>
      </c>
      <c r="J995" s="3">
        <f t="shared" si="210"/>
        <v>22505.78869781454</v>
      </c>
      <c r="K995" s="3">
        <f t="shared" si="211"/>
        <v>-18416.35821157333</v>
      </c>
      <c r="L995" s="3">
        <f t="shared" si="212"/>
        <v>-1376.2788567908938</v>
      </c>
      <c r="M995" s="3">
        <f t="shared" si="213"/>
        <v>18467.71218285129</v>
      </c>
      <c r="N995" s="3">
        <f t="shared" si="214"/>
        <v>-3416.3582115733293</v>
      </c>
      <c r="O995" s="3">
        <f t="shared" si="215"/>
        <v>-51376.278856790894</v>
      </c>
      <c r="P995" s="3">
        <f t="shared" si="216"/>
        <v>51489.742013342067</v>
      </c>
    </row>
    <row r="996" spans="1:16" x14ac:dyDescent="0.25">
      <c r="A996">
        <f t="shared" si="203"/>
        <v>460</v>
      </c>
      <c r="B996">
        <f t="shared" si="204"/>
        <v>7781.2802619627446</v>
      </c>
      <c r="C996">
        <f t="shared" si="205"/>
        <v>27246.366243048193</v>
      </c>
      <c r="D996">
        <f t="shared" si="206"/>
        <v>18729.844100778828</v>
      </c>
      <c r="E996">
        <f t="shared" si="207"/>
        <v>11740.1747725146</v>
      </c>
      <c r="F996">
        <f>$C$23*(H996/(J996^2+$C$24^2)^1.5)+$C$32*(K996/(M996^2+$C$33^2)^1.5)+C$41*(N996/(P996^2+$C$42^2)^1.5)</f>
        <v>-10713.224794971635</v>
      </c>
      <c r="G996">
        <f>$C$23*(I996/(J996^2+$C$24^2)^1.5)+$C$32*(L996/(M996^2+$C$33^2)^1.5)+C$41*(O996/(P996^2+$C$42^2)^1.5)</f>
        <v>-5250.2478007852542</v>
      </c>
      <c r="H996" s="3">
        <f t="shared" si="208"/>
        <v>12218.719738037256</v>
      </c>
      <c r="I996" s="3">
        <f t="shared" si="209"/>
        <v>-12246.366243048193</v>
      </c>
      <c r="J996" s="3">
        <f t="shared" si="210"/>
        <v>17299.439245119233</v>
      </c>
      <c r="K996" s="3">
        <f t="shared" si="211"/>
        <v>-27781.280261962744</v>
      </c>
      <c r="L996" s="3">
        <f t="shared" si="212"/>
        <v>-7246.3662430481927</v>
      </c>
      <c r="M996" s="3">
        <f t="shared" si="213"/>
        <v>28710.788159193911</v>
      </c>
      <c r="N996" s="3">
        <f t="shared" si="214"/>
        <v>-12781.280261962744</v>
      </c>
      <c r="O996" s="3">
        <f t="shared" si="215"/>
        <v>-57246.366243048193</v>
      </c>
      <c r="P996" s="3">
        <f t="shared" si="216"/>
        <v>58655.840060202412</v>
      </c>
    </row>
    <row r="997" spans="1:16" x14ac:dyDescent="0.25">
      <c r="A997">
        <f t="shared" si="203"/>
        <v>460.5</v>
      </c>
      <c r="B997">
        <f t="shared" si="204"/>
        <v>14467.896113609249</v>
      </c>
      <c r="C997">
        <f t="shared" si="205"/>
        <v>31803.89167910918</v>
      </c>
      <c r="D997">
        <f t="shared" si="206"/>
        <v>13373.231703293011</v>
      </c>
      <c r="E997">
        <f t="shared" si="207"/>
        <v>9115.0508721219721</v>
      </c>
      <c r="F997">
        <f>$C$23*(H997/(J997^2+$C$24^2)^1.5)+$C$32*(K997/(M997^2+$C$33^2)^1.5)+C$41*(N997/(P997^2+$C$42^2)^1.5)</f>
        <v>-7789.969048558728</v>
      </c>
      <c r="G997">
        <f>$C$23*(I997/(J997^2+$C$24^2)^1.5)+$C$32*(L997/(M997^2+$C$33^2)^1.5)+C$41*(O997/(P997^2+$C$42^2)^1.5)</f>
        <v>-5062.9176556046486</v>
      </c>
      <c r="H997" s="3">
        <f t="shared" si="208"/>
        <v>5532.1038863907506</v>
      </c>
      <c r="I997" s="3">
        <f t="shared" si="209"/>
        <v>-16803.89167910918</v>
      </c>
      <c r="J997" s="3">
        <f t="shared" si="210"/>
        <v>17691.098014907227</v>
      </c>
      <c r="K997" s="3">
        <f t="shared" si="211"/>
        <v>-34467.896113609248</v>
      </c>
      <c r="L997" s="3">
        <f t="shared" si="212"/>
        <v>-11803.89167910918</v>
      </c>
      <c r="M997" s="3">
        <f t="shared" si="213"/>
        <v>36433.058082882671</v>
      </c>
      <c r="N997" s="3">
        <f t="shared" si="214"/>
        <v>-19467.896113609248</v>
      </c>
      <c r="O997" s="3">
        <f t="shared" si="215"/>
        <v>-61803.891679109176</v>
      </c>
      <c r="P997" s="3">
        <f t="shared" si="216"/>
        <v>64797.530861702922</v>
      </c>
    </row>
    <row r="998" spans="1:16" x14ac:dyDescent="0.25">
      <c r="A998">
        <f t="shared" si="203"/>
        <v>461</v>
      </c>
      <c r="B998">
        <f t="shared" si="204"/>
        <v>19207.019703116071</v>
      </c>
      <c r="C998">
        <f t="shared" si="205"/>
        <v>35095.687701269002</v>
      </c>
      <c r="D998">
        <f t="shared" si="206"/>
        <v>9478.2471790136478</v>
      </c>
      <c r="E998">
        <f t="shared" si="207"/>
        <v>6583.5920443196483</v>
      </c>
      <c r="F998">
        <f>$C$23*(H998/(J998^2+$C$24^2)^1.5)+$C$32*(K998/(M998^2+$C$33^2)^1.5)+C$41*(N998/(P998^2+$C$42^2)^1.5)</f>
        <v>-6490.2974499874026</v>
      </c>
      <c r="G998">
        <f>$C$23*(I998/(J998^2+$C$24^2)^1.5)+$C$32*(L998/(M998^2+$C$33^2)^1.5)+C$41*(O998/(P998^2+$C$42^2)^1.5)</f>
        <v>-4375.4240084759358</v>
      </c>
      <c r="H998" s="3">
        <f t="shared" si="208"/>
        <v>792.98029688392853</v>
      </c>
      <c r="I998" s="3">
        <f t="shared" si="209"/>
        <v>-20095.687701269002</v>
      </c>
      <c r="J998" s="3">
        <f t="shared" si="210"/>
        <v>20111.327204791342</v>
      </c>
      <c r="K998" s="3">
        <f t="shared" si="211"/>
        <v>-39207.019703116071</v>
      </c>
      <c r="L998" s="3">
        <f t="shared" si="212"/>
        <v>-15095.687701269002</v>
      </c>
      <c r="M998" s="3">
        <f t="shared" si="213"/>
        <v>42012.738320356795</v>
      </c>
      <c r="N998" s="3">
        <f t="shared" si="214"/>
        <v>-24207.019703116071</v>
      </c>
      <c r="O998" s="3">
        <f t="shared" si="215"/>
        <v>-65095.687701269002</v>
      </c>
      <c r="P998" s="3">
        <f t="shared" si="216"/>
        <v>69450.906115098274</v>
      </c>
    </row>
    <row r="999" spans="1:16" x14ac:dyDescent="0.25">
      <c r="A999">
        <f t="shared" si="203"/>
        <v>461.5</v>
      </c>
      <c r="B999">
        <f t="shared" si="204"/>
        <v>22323.568930126046</v>
      </c>
      <c r="C999">
        <f t="shared" si="205"/>
        <v>37293.627721309844</v>
      </c>
      <c r="D999">
        <f t="shared" si="206"/>
        <v>6233.0984540199461</v>
      </c>
      <c r="E999">
        <f t="shared" si="207"/>
        <v>4395.8800400816799</v>
      </c>
      <c r="F999">
        <f>$C$23*(H999/(J999^2+$C$24^2)^1.5)+$C$32*(K999/(M999^2+$C$33^2)^1.5)+C$41*(N999/(P999^2+$C$42^2)^1.5)</f>
        <v>-5761.4351407822105</v>
      </c>
      <c r="G999">
        <f>$C$23*(I999/(J999^2+$C$24^2)^1.5)+$C$32*(L999/(M999^2+$C$33^2)^1.5)+C$41*(O999/(P999^2+$C$42^2)^1.5)</f>
        <v>-3873.4896669670002</v>
      </c>
      <c r="H999" s="3">
        <f t="shared" si="208"/>
        <v>-2323.5689301260463</v>
      </c>
      <c r="I999" s="3">
        <f t="shared" si="209"/>
        <v>-22293.627721309844</v>
      </c>
      <c r="J999" s="3">
        <f t="shared" si="210"/>
        <v>22414.388449150287</v>
      </c>
      <c r="K999" s="3">
        <f t="shared" si="211"/>
        <v>-42323.568930126043</v>
      </c>
      <c r="L999" s="3">
        <f t="shared" si="212"/>
        <v>-17293.627721309844</v>
      </c>
      <c r="M999" s="3">
        <f t="shared" si="213"/>
        <v>45720.389835896924</v>
      </c>
      <c r="N999" s="3">
        <f t="shared" si="214"/>
        <v>-27323.568930126046</v>
      </c>
      <c r="O999" s="3">
        <f t="shared" si="215"/>
        <v>-67293.627721309836</v>
      </c>
      <c r="P999" s="3">
        <f t="shared" si="216"/>
        <v>72629.262360109293</v>
      </c>
    </row>
    <row r="1000" spans="1:16" x14ac:dyDescent="0.25">
      <c r="A1000">
        <f t="shared" si="203"/>
        <v>462</v>
      </c>
      <c r="B1000">
        <f t="shared" si="204"/>
        <v>23999.759371940469</v>
      </c>
      <c r="C1000">
        <f t="shared" si="205"/>
        <v>38523.195324608932</v>
      </c>
      <c r="D1000">
        <f t="shared" si="206"/>
        <v>3352.3808836288408</v>
      </c>
      <c r="E1000">
        <f t="shared" si="207"/>
        <v>2459.13520659818</v>
      </c>
      <c r="F1000">
        <f>$C$23*(H1000/(J1000^2+$C$24^2)^1.5)+$C$32*(K1000/(M1000^2+$C$33^2)^1.5)+C$41*(N1000/(P1000^2+$C$42^2)^1.5)</f>
        <v>-5395.6776236203059</v>
      </c>
      <c r="G1000">
        <f>$C$23*(I1000/(J1000^2+$C$24^2)^1.5)+$C$32*(L1000/(M1000^2+$C$33^2)^1.5)+C$41*(O1000/(P1000^2+$C$42^2)^1.5)</f>
        <v>-3618.1453772067412</v>
      </c>
      <c r="H1000" s="3">
        <f t="shared" si="208"/>
        <v>-3999.7593719404686</v>
      </c>
      <c r="I1000" s="3">
        <f t="shared" si="209"/>
        <v>-23523.195324608932</v>
      </c>
      <c r="J1000" s="3">
        <f t="shared" si="210"/>
        <v>23860.821304245357</v>
      </c>
      <c r="K1000" s="3">
        <f t="shared" si="211"/>
        <v>-43999.759371940469</v>
      </c>
      <c r="L1000" s="3">
        <f t="shared" si="212"/>
        <v>-18523.195324608932</v>
      </c>
      <c r="M1000" s="3">
        <f t="shared" si="213"/>
        <v>47739.790424993254</v>
      </c>
      <c r="N1000" s="3">
        <f t="shared" si="214"/>
        <v>-28999.759371940469</v>
      </c>
      <c r="O1000" s="3">
        <f t="shared" si="215"/>
        <v>-68523.19532460894</v>
      </c>
      <c r="P1000" s="3">
        <f t="shared" si="216"/>
        <v>74407.085288465358</v>
      </c>
    </row>
    <row r="1001" spans="1:16" x14ac:dyDescent="0.25">
      <c r="A1001">
        <f t="shared" si="203"/>
        <v>462.5</v>
      </c>
      <c r="B1001">
        <f t="shared" si="204"/>
        <v>24327.030407849812</v>
      </c>
      <c r="C1001">
        <f t="shared" si="205"/>
        <v>38848.226583606338</v>
      </c>
      <c r="D1001">
        <f t="shared" si="206"/>
        <v>654.54207181868787</v>
      </c>
      <c r="E1001">
        <f t="shared" si="207"/>
        <v>650.06251799480947</v>
      </c>
      <c r="F1001">
        <f>$C$23*(H1001/(J1001^2+$C$24^2)^1.5)+$C$32*(K1001/(M1001^2+$C$33^2)^1.5)+C$41*(N1001/(P1001^2+$C$42^2)^1.5)</f>
        <v>-5315.4109900808062</v>
      </c>
      <c r="G1001">
        <f>$C$23*(I1001/(J1001^2+$C$24^2)^1.5)+$C$32*(L1001/(M1001^2+$C$33^2)^1.5)+C$41*(O1001/(P1001^2+$C$42^2)^1.5)</f>
        <v>-3569.1715136889625</v>
      </c>
      <c r="H1001" s="3">
        <f t="shared" si="208"/>
        <v>-4327.030407849812</v>
      </c>
      <c r="I1001" s="3">
        <f t="shared" si="209"/>
        <v>-23848.226583606338</v>
      </c>
      <c r="J1001" s="3">
        <f t="shared" si="210"/>
        <v>24237.596896835399</v>
      </c>
      <c r="K1001" s="3">
        <f t="shared" si="211"/>
        <v>-44327.030407849816</v>
      </c>
      <c r="L1001" s="3">
        <f t="shared" si="212"/>
        <v>-18848.226583606338</v>
      </c>
      <c r="M1001" s="3">
        <f t="shared" si="213"/>
        <v>48167.844773514691</v>
      </c>
      <c r="N1001" s="3">
        <f t="shared" si="214"/>
        <v>-29327.030407849812</v>
      </c>
      <c r="O1001" s="3">
        <f t="shared" si="215"/>
        <v>-68848.226583606331</v>
      </c>
      <c r="P1001" s="3">
        <f t="shared" si="216"/>
        <v>74834.17011132378</v>
      </c>
    </row>
    <row r="1002" spans="1:16" x14ac:dyDescent="0.25">
      <c r="A1002">
        <f t="shared" si="203"/>
        <v>463</v>
      </c>
      <c r="B1002">
        <f t="shared" si="204"/>
        <v>23325.448696238953</v>
      </c>
      <c r="C1002">
        <f t="shared" si="205"/>
        <v>38280.964964181505</v>
      </c>
      <c r="D1002">
        <f t="shared" si="206"/>
        <v>-2003.1634232217152</v>
      </c>
      <c r="E1002">
        <f t="shared" si="207"/>
        <v>-1134.5232388496718</v>
      </c>
      <c r="F1002">
        <f>$C$23*(H1002/(J1002^2+$C$24^2)^1.5)+$C$32*(K1002/(M1002^2+$C$33^2)^1.5)+C$41*(N1002/(P1002^2+$C$42^2)^1.5)</f>
        <v>-5504.5692852788989</v>
      </c>
      <c r="G1002">
        <f>$C$23*(I1002/(J1002^2+$C$24^2)^1.5)+$C$32*(L1002/(M1002^2+$C$33^2)^1.5)+C$41*(O1002/(P1002^2+$C$42^2)^1.5)</f>
        <v>-3715.2612648462887</v>
      </c>
      <c r="H1002" s="3">
        <f t="shared" si="208"/>
        <v>-3325.4486962389528</v>
      </c>
      <c r="I1002" s="3">
        <f t="shared" si="209"/>
        <v>-23280.964964181505</v>
      </c>
      <c r="J1002" s="3">
        <f t="shared" si="210"/>
        <v>23517.268946345877</v>
      </c>
      <c r="K1002" s="3">
        <f t="shared" si="211"/>
        <v>-43325.448696238949</v>
      </c>
      <c r="L1002" s="3">
        <f t="shared" si="212"/>
        <v>-18280.964964181505</v>
      </c>
      <c r="M1002" s="3">
        <f t="shared" si="213"/>
        <v>47024.336090497491</v>
      </c>
      <c r="N1002" s="3">
        <f t="shared" si="214"/>
        <v>-28325.448696238953</v>
      </c>
      <c r="O1002" s="3">
        <f t="shared" si="215"/>
        <v>-68280.964964181505</v>
      </c>
      <c r="P1002" s="3">
        <f t="shared" si="216"/>
        <v>73923.076371881645</v>
      </c>
    </row>
    <row r="1003" spans="1:16" x14ac:dyDescent="0.25">
      <c r="A1003">
        <f t="shared" si="203"/>
        <v>463.5</v>
      </c>
      <c r="B1003">
        <f t="shared" si="204"/>
        <v>20947.724663308371</v>
      </c>
      <c r="C1003">
        <f t="shared" si="205"/>
        <v>36784.888028545101</v>
      </c>
      <c r="D1003">
        <f t="shared" si="206"/>
        <v>-4755.4480658611647</v>
      </c>
      <c r="E1003">
        <f t="shared" si="207"/>
        <v>-2992.1538712728161</v>
      </c>
      <c r="F1003">
        <f>$C$23*(H1003/(J1003^2+$C$24^2)^1.5)+$C$32*(K1003/(M1003^2+$C$33^2)^1.5)+C$41*(N1003/(P1003^2+$C$42^2)^1.5)</f>
        <v>-6005.2454303446648</v>
      </c>
      <c r="G1003">
        <f>$C$23*(I1003/(J1003^2+$C$24^2)^1.5)+$C$32*(L1003/(M1003^2+$C$33^2)^1.5)+C$41*(O1003/(P1003^2+$C$42^2)^1.5)</f>
        <v>-4083.4205177674198</v>
      </c>
      <c r="H1003" s="3">
        <f t="shared" si="208"/>
        <v>-947.72466330837051</v>
      </c>
      <c r="I1003" s="3">
        <f t="shared" si="209"/>
        <v>-21784.888028545101</v>
      </c>
      <c r="J1003" s="3">
        <f t="shared" si="210"/>
        <v>21805.49307981112</v>
      </c>
      <c r="K1003" s="3">
        <f t="shared" si="211"/>
        <v>-40947.724663308371</v>
      </c>
      <c r="L1003" s="3">
        <f t="shared" si="212"/>
        <v>-16784.888028545101</v>
      </c>
      <c r="M1003" s="3">
        <f t="shared" si="213"/>
        <v>44254.362736716808</v>
      </c>
      <c r="N1003" s="3">
        <f t="shared" si="214"/>
        <v>-25947.724663308371</v>
      </c>
      <c r="O1003" s="3">
        <f t="shared" si="215"/>
        <v>-66784.888028545101</v>
      </c>
      <c r="P1003" s="3">
        <f t="shared" si="216"/>
        <v>71648.486963704738</v>
      </c>
    </row>
    <row r="1004" spans="1:16" x14ac:dyDescent="0.25">
      <c r="A1004">
        <f t="shared" si="203"/>
        <v>464</v>
      </c>
      <c r="B1004">
        <f t="shared" si="204"/>
        <v>17068.68927279162</v>
      </c>
      <c r="C1004">
        <f t="shared" si="205"/>
        <v>34267.955963466833</v>
      </c>
      <c r="D1004">
        <f t="shared" si="206"/>
        <v>-7758.070781033497</v>
      </c>
      <c r="E1004">
        <f t="shared" si="207"/>
        <v>-5033.8641301565258</v>
      </c>
      <c r="F1004">
        <f>$C$23*(H1004/(J1004^2+$C$24^2)^1.5)+$C$32*(K1004/(M1004^2+$C$33^2)^1.5)+C$41*(N1004/(P1004^2+$C$42^2)^1.5)</f>
        <v>-6943.8516039462693</v>
      </c>
      <c r="G1004">
        <f>$C$23*(I1004/(J1004^2+$C$24^2)^1.5)+$C$32*(L1004/(M1004^2+$C$33^2)^1.5)+C$41*(O1004/(P1004^2+$C$42^2)^1.5)</f>
        <v>-4704.8063525051102</v>
      </c>
      <c r="H1004" s="3">
        <f t="shared" si="208"/>
        <v>2931.3107272083798</v>
      </c>
      <c r="I1004" s="3">
        <f t="shared" si="209"/>
        <v>-19267.955963466833</v>
      </c>
      <c r="J1004" s="3">
        <f t="shared" si="210"/>
        <v>19489.65647695064</v>
      </c>
      <c r="K1004" s="3">
        <f t="shared" si="211"/>
        <v>-37068.68927279162</v>
      </c>
      <c r="L1004" s="3">
        <f t="shared" si="212"/>
        <v>-14267.955963466833</v>
      </c>
      <c r="M1004" s="3">
        <f t="shared" si="213"/>
        <v>39719.797227304742</v>
      </c>
      <c r="N1004" s="3">
        <f t="shared" si="214"/>
        <v>-22068.68927279162</v>
      </c>
      <c r="O1004" s="3">
        <f t="shared" si="215"/>
        <v>-64267.955963466833</v>
      </c>
      <c r="P1004" s="3">
        <f t="shared" si="216"/>
        <v>67951.432729127497</v>
      </c>
    </row>
    <row r="1005" spans="1:16" x14ac:dyDescent="0.25">
      <c r="A1005">
        <f t="shared" si="203"/>
        <v>464.5</v>
      </c>
      <c r="B1005">
        <f t="shared" si="204"/>
        <v>11453.690981288304</v>
      </c>
      <c r="C1005">
        <f t="shared" si="205"/>
        <v>30574.822310262294</v>
      </c>
      <c r="D1005">
        <f t="shared" si="206"/>
        <v>-11229.996583006632</v>
      </c>
      <c r="E1005">
        <f t="shared" si="207"/>
        <v>-7386.2673064090814</v>
      </c>
      <c r="F1005">
        <f>$C$23*(H1005/(J1005^2+$C$24^2)^1.5)+$C$32*(K1005/(M1005^2+$C$33^2)^1.5)+C$41*(N1005/(P1005^2+$C$42^2)^1.5)</f>
        <v>-8764.0045953396311</v>
      </c>
      <c r="G1005">
        <f>$C$23*(I1005/(J1005^2+$C$24^2)^1.5)+$C$32*(L1005/(M1005^2+$C$33^2)^1.5)+C$41*(O1005/(P1005^2+$C$42^2)^1.5)</f>
        <v>-5380.937074247473</v>
      </c>
      <c r="H1005" s="3">
        <f t="shared" si="208"/>
        <v>8546.3090187116959</v>
      </c>
      <c r="I1005" s="3">
        <f t="shared" si="209"/>
        <v>-15574.822310262294</v>
      </c>
      <c r="J1005" s="3">
        <f t="shared" si="210"/>
        <v>17765.542148765318</v>
      </c>
      <c r="K1005" s="3">
        <f t="shared" si="211"/>
        <v>-31453.690981288302</v>
      </c>
      <c r="L1005" s="3">
        <f t="shared" si="212"/>
        <v>-10574.822310262294</v>
      </c>
      <c r="M1005" s="3">
        <f t="shared" si="213"/>
        <v>33183.754206539052</v>
      </c>
      <c r="N1005" s="3">
        <f t="shared" si="214"/>
        <v>-16453.690981288302</v>
      </c>
      <c r="O1005" s="3">
        <f t="shared" si="215"/>
        <v>-60574.822310262294</v>
      </c>
      <c r="P1005" s="3">
        <f t="shared" si="216"/>
        <v>62769.682529287806</v>
      </c>
    </row>
    <row r="1006" spans="1:16" x14ac:dyDescent="0.25">
      <c r="A1006">
        <f t="shared" si="203"/>
        <v>465</v>
      </c>
      <c r="B1006">
        <f t="shared" si="204"/>
        <v>3647.6915409500803</v>
      </c>
      <c r="C1006">
        <f t="shared" si="205"/>
        <v>25536.454388495888</v>
      </c>
      <c r="D1006">
        <f t="shared" si="206"/>
        <v>-15611.998880676449</v>
      </c>
      <c r="E1006">
        <f t="shared" si="207"/>
        <v>-10076.735843532817</v>
      </c>
      <c r="F1006">
        <f>$C$23*(H1006/(J1006^2+$C$24^2)^1.5)+$C$32*(K1006/(M1006^2+$C$33^2)^1.5)+C$41*(N1006/(P1006^2+$C$42^2)^1.5)</f>
        <v>-13510.158465804101</v>
      </c>
      <c r="G1006">
        <f>$C$23*(I1006/(J1006^2+$C$24^2)^1.5)+$C$32*(L1006/(M1006^2+$C$33^2)^1.5)+C$41*(O1006/(P1006^2+$C$42^2)^1.5)</f>
        <v>-5296.0455702472536</v>
      </c>
      <c r="H1006" s="3">
        <f t="shared" si="208"/>
        <v>16352.30845904992</v>
      </c>
      <c r="I1006" s="3">
        <f t="shared" si="209"/>
        <v>-10536.454388495888</v>
      </c>
      <c r="J1006" s="3">
        <f t="shared" si="210"/>
        <v>19452.888295077672</v>
      </c>
      <c r="K1006" s="3">
        <f t="shared" si="211"/>
        <v>-23647.69154095008</v>
      </c>
      <c r="L1006" s="3">
        <f t="shared" si="212"/>
        <v>-5536.4543884958875</v>
      </c>
      <c r="M1006" s="3">
        <f t="shared" si="213"/>
        <v>24287.149738324941</v>
      </c>
      <c r="N1006" s="3">
        <f t="shared" si="214"/>
        <v>-8647.6915409500798</v>
      </c>
      <c r="O1006" s="3">
        <f t="shared" si="215"/>
        <v>-55536.454388495884</v>
      </c>
      <c r="P1006" s="3">
        <f t="shared" si="216"/>
        <v>56205.696642181239</v>
      </c>
    </row>
    <row r="1007" spans="1:16" x14ac:dyDescent="0.25">
      <c r="A1007">
        <f t="shared" si="203"/>
        <v>465.5</v>
      </c>
      <c r="B1007">
        <f t="shared" si="204"/>
        <v>-7535.8475158391702</v>
      </c>
      <c r="C1007">
        <f t="shared" si="205"/>
        <v>19174.075074167667</v>
      </c>
      <c r="D1007">
        <f t="shared" si="206"/>
        <v>-22367.0781135785</v>
      </c>
      <c r="E1007">
        <f t="shared" si="207"/>
        <v>-12724.758628656444</v>
      </c>
      <c r="F1007">
        <f>$C$23*(H1007/(J1007^2+$C$24^2)^1.5)+$C$32*(K1007/(M1007^2+$C$33^2)^1.5)+C$41*(N1007/(P1007^2+$C$42^2)^1.5)</f>
        <v>-22970.335898542744</v>
      </c>
      <c r="G1007">
        <f>$C$23*(I1007/(J1007^2+$C$24^2)^1.5)+$C$32*(L1007/(M1007^2+$C$33^2)^1.5)+C$41*(O1007/(P1007^2+$C$42^2)^1.5)</f>
        <v>-150.53401049375088</v>
      </c>
      <c r="H1007" s="3">
        <f t="shared" si="208"/>
        <v>27535.84751583917</v>
      </c>
      <c r="I1007" s="3">
        <f t="shared" si="209"/>
        <v>-4174.0750741676675</v>
      </c>
      <c r="J1007" s="3">
        <f t="shared" si="210"/>
        <v>27850.418329718748</v>
      </c>
      <c r="K1007" s="3">
        <f t="shared" si="211"/>
        <v>-12464.15248416083</v>
      </c>
      <c r="L1007" s="3">
        <f t="shared" si="212"/>
        <v>825.92492583233252</v>
      </c>
      <c r="M1007" s="3">
        <f t="shared" si="213"/>
        <v>12491.487066459451</v>
      </c>
      <c r="N1007" s="3">
        <f t="shared" si="214"/>
        <v>2535.8475158391702</v>
      </c>
      <c r="O1007" s="3">
        <f t="shared" si="215"/>
        <v>-49174.075074167667</v>
      </c>
      <c r="P1007" s="3">
        <f t="shared" si="216"/>
        <v>49239.416954544307</v>
      </c>
    </row>
    <row r="1008" spans="1:16" x14ac:dyDescent="0.25">
      <c r="A1008">
        <f t="shared" si="203"/>
        <v>466</v>
      </c>
      <c r="B1008">
        <f t="shared" si="204"/>
        <v>-24461.970547264107</v>
      </c>
      <c r="C1008">
        <f t="shared" si="205"/>
        <v>12774.062257216008</v>
      </c>
      <c r="D1008">
        <f t="shared" si="206"/>
        <v>-33852.246062849874</v>
      </c>
      <c r="E1008">
        <f t="shared" si="207"/>
        <v>-12800.025633903319</v>
      </c>
      <c r="F1008">
        <f>$C$23*(H1008/(J1008^2+$C$24^2)^1.5)+$C$32*(K1008/(M1008^2+$C$33^2)^1.5)+C$41*(N1008/(P1008^2+$C$42^2)^1.5)</f>
        <v>13310.399794618148</v>
      </c>
      <c r="G1008">
        <f>$C$23*(I1008/(J1008^2+$C$24^2)^1.5)+$C$32*(L1008/(M1008^2+$C$33^2)^1.5)+C$41*(O1008/(P1008^2+$C$42^2)^1.5)</f>
        <v>18343.266745881112</v>
      </c>
      <c r="H1008" s="3">
        <f t="shared" si="208"/>
        <v>44461.970547264107</v>
      </c>
      <c r="I1008" s="3">
        <f t="shared" si="209"/>
        <v>2225.9377427839918</v>
      </c>
      <c r="J1008" s="3">
        <f t="shared" si="210"/>
        <v>44517.655191850921</v>
      </c>
      <c r="K1008" s="3">
        <f t="shared" si="211"/>
        <v>4461.9705472641072</v>
      </c>
      <c r="L1008" s="3">
        <f t="shared" si="212"/>
        <v>7225.9377427839918</v>
      </c>
      <c r="M1008" s="3">
        <f t="shared" si="213"/>
        <v>8492.5471695624128</v>
      </c>
      <c r="N1008" s="3">
        <f t="shared" si="214"/>
        <v>19461.970547264107</v>
      </c>
      <c r="O1008" s="3">
        <f t="shared" si="215"/>
        <v>-42774.062257216006</v>
      </c>
      <c r="P1008" s="3">
        <f t="shared" si="216"/>
        <v>46993.496353929302</v>
      </c>
    </row>
    <row r="1009" spans="1:16" x14ac:dyDescent="0.25">
      <c r="A1009">
        <f t="shared" si="203"/>
        <v>466.5</v>
      </c>
      <c r="B1009">
        <f t="shared" si="204"/>
        <v>-38060.493630034514</v>
      </c>
      <c r="C1009">
        <f t="shared" si="205"/>
        <v>10959.866126734627</v>
      </c>
      <c r="D1009">
        <f t="shared" si="206"/>
        <v>-27197.0461655408</v>
      </c>
      <c r="E1009">
        <f t="shared" si="207"/>
        <v>-3628.3922609627625</v>
      </c>
      <c r="F1009">
        <f>$C$23*(H1009/(J1009^2+$C$24^2)^1.5)+$C$32*(K1009/(M1009^2+$C$33^2)^1.5)+C$41*(N1009/(P1009^2+$C$42^2)^1.5)</f>
        <v>17088.413397205451</v>
      </c>
      <c r="G1009">
        <f>$C$23*(I1009/(J1009^2+$C$24^2)^1.5)+$C$32*(L1009/(M1009^2+$C$33^2)^1.5)+C$41*(O1009/(P1009^2+$C$42^2)^1.5)</f>
        <v>6921.6785701782046</v>
      </c>
      <c r="H1009" s="3">
        <f t="shared" si="208"/>
        <v>58060.493630034514</v>
      </c>
      <c r="I1009" s="3">
        <f t="shared" si="209"/>
        <v>4040.133873265373</v>
      </c>
      <c r="J1009" s="3">
        <f t="shared" si="210"/>
        <v>58200.890047121997</v>
      </c>
      <c r="K1009" s="3">
        <f t="shared" si="211"/>
        <v>18060.493630034514</v>
      </c>
      <c r="L1009" s="3">
        <f t="shared" si="212"/>
        <v>9040.133873265373</v>
      </c>
      <c r="M1009" s="3">
        <f t="shared" si="213"/>
        <v>20196.669294888135</v>
      </c>
      <c r="N1009" s="3">
        <f t="shared" si="214"/>
        <v>33060.493630034514</v>
      </c>
      <c r="O1009" s="3">
        <f t="shared" si="215"/>
        <v>-40959.866126734625</v>
      </c>
      <c r="P1009" s="3">
        <f t="shared" si="216"/>
        <v>52637.504425851868</v>
      </c>
    </row>
    <row r="1010" spans="1:16" x14ac:dyDescent="0.25">
      <c r="A1010">
        <f t="shared" si="203"/>
        <v>467</v>
      </c>
      <c r="B1010">
        <f t="shared" si="204"/>
        <v>-47386.913363503554</v>
      </c>
      <c r="C1010">
        <f t="shared" si="205"/>
        <v>10876.089638797797</v>
      </c>
      <c r="D1010">
        <f t="shared" si="206"/>
        <v>-18652.839466938072</v>
      </c>
      <c r="E1010">
        <f t="shared" si="207"/>
        <v>-167.55297587366022</v>
      </c>
      <c r="F1010">
        <f>$C$23*(H1010/(J1010^2+$C$24^2)^1.5)+$C$32*(K1010/(M1010^2+$C$33^2)^1.5)+C$41*(N1010/(P1010^2+$C$42^2)^1.5)</f>
        <v>12192.998612099051</v>
      </c>
      <c r="G1010">
        <f>$C$23*(I1010/(J1010^2+$C$24^2)^1.5)+$C$32*(L1010/(M1010^2+$C$33^2)^1.5)+C$41*(O1010/(P1010^2+$C$42^2)^1.5)</f>
        <v>2950.0112071630083</v>
      </c>
      <c r="H1010" s="3">
        <f t="shared" si="208"/>
        <v>67386.913363503554</v>
      </c>
      <c r="I1010" s="3">
        <f t="shared" si="209"/>
        <v>4123.9103612022027</v>
      </c>
      <c r="J1010" s="3">
        <f t="shared" si="210"/>
        <v>67512.981931829709</v>
      </c>
      <c r="K1010" s="3">
        <f t="shared" si="211"/>
        <v>27386.913363503554</v>
      </c>
      <c r="L1010" s="3">
        <f t="shared" si="212"/>
        <v>9123.9103612022027</v>
      </c>
      <c r="M1010" s="3">
        <f t="shared" si="213"/>
        <v>28866.741483224294</v>
      </c>
      <c r="N1010" s="3">
        <f t="shared" si="214"/>
        <v>42386.913363503554</v>
      </c>
      <c r="O1010" s="3">
        <f t="shared" si="215"/>
        <v>-40876.089638797799</v>
      </c>
      <c r="P1010" s="3">
        <f t="shared" si="216"/>
        <v>58885.525629344505</v>
      </c>
    </row>
    <row r="1011" spans="1:16" x14ac:dyDescent="0.25">
      <c r="A1011">
        <f t="shared" si="203"/>
        <v>467.5</v>
      </c>
      <c r="B1011">
        <f t="shared" si="204"/>
        <v>-53665.083443947835</v>
      </c>
      <c r="C1011">
        <f t="shared" si="205"/>
        <v>11529.815952651719</v>
      </c>
      <c r="D1011">
        <f t="shared" si="206"/>
        <v>-12556.340160888547</v>
      </c>
      <c r="E1011">
        <f t="shared" si="207"/>
        <v>1307.4526277078439</v>
      </c>
      <c r="F1011">
        <f>$C$23*(H1011/(J1011^2+$C$24^2)^1.5)+$C$32*(K1011/(M1011^2+$C$33^2)^1.5)+C$41*(N1011/(P1011^2+$C$42^2)^1.5)</f>
        <v>9646.6610825876742</v>
      </c>
      <c r="G1011">
        <f>$C$23*(I1011/(J1011^2+$C$24^2)^1.5)+$C$32*(L1011/(M1011^2+$C$33^2)^1.5)+C$41*(O1011/(P1011^2+$C$42^2)^1.5)</f>
        <v>1577.9780228909235</v>
      </c>
      <c r="H1011" s="3">
        <f t="shared" si="208"/>
        <v>73665.083443947835</v>
      </c>
      <c r="I1011" s="3">
        <f t="shared" si="209"/>
        <v>3470.1840473482807</v>
      </c>
      <c r="J1011" s="3">
        <f t="shared" si="210"/>
        <v>73746.774140475245</v>
      </c>
      <c r="K1011" s="3">
        <f t="shared" si="211"/>
        <v>33665.083443947835</v>
      </c>
      <c r="L1011" s="3">
        <f t="shared" si="212"/>
        <v>8470.1840473482807</v>
      </c>
      <c r="M1011" s="3">
        <f t="shared" si="213"/>
        <v>34714.289004442013</v>
      </c>
      <c r="N1011" s="3">
        <f t="shared" si="214"/>
        <v>48665.083443947835</v>
      </c>
      <c r="O1011" s="3">
        <f t="shared" si="215"/>
        <v>-41529.815952651719</v>
      </c>
      <c r="P1011" s="3">
        <f t="shared" si="216"/>
        <v>63976.682937360318</v>
      </c>
    </row>
    <row r="1012" spans="1:16" x14ac:dyDescent="0.25">
      <c r="A1012">
        <f t="shared" si="203"/>
        <v>468</v>
      </c>
      <c r="B1012">
        <f t="shared" si="204"/>
        <v>-57531.588253745191</v>
      </c>
      <c r="C1012">
        <f t="shared" si="205"/>
        <v>12578.036772228372</v>
      </c>
      <c r="D1012">
        <f t="shared" si="206"/>
        <v>-7733.0096195947099</v>
      </c>
      <c r="E1012">
        <f t="shared" si="207"/>
        <v>2096.4416391533059</v>
      </c>
      <c r="F1012">
        <f>$C$23*(H1012/(J1012^2+$C$24^2)^1.5)+$C$32*(K1012/(M1012^2+$C$33^2)^1.5)+C$41*(N1012/(P1012^2+$C$42^2)^1.5)</f>
        <v>8421.289640989713</v>
      </c>
      <c r="G1012">
        <f>$C$23*(I1012/(J1012^2+$C$24^2)^1.5)+$C$32*(L1012/(M1012^2+$C$33^2)^1.5)+C$41*(O1012/(P1012^2+$C$42^2)^1.5)</f>
        <v>956.28084382640998</v>
      </c>
      <c r="H1012" s="3">
        <f t="shared" si="208"/>
        <v>77531.588253745198</v>
      </c>
      <c r="I1012" s="3">
        <f t="shared" si="209"/>
        <v>2421.9632277716282</v>
      </c>
      <c r="J1012" s="3">
        <f t="shared" si="210"/>
        <v>77569.408164720182</v>
      </c>
      <c r="K1012" s="3">
        <f t="shared" si="211"/>
        <v>37531.588253745191</v>
      </c>
      <c r="L1012" s="3">
        <f t="shared" si="212"/>
        <v>7421.9632277716282</v>
      </c>
      <c r="M1012" s="3">
        <f t="shared" si="213"/>
        <v>38258.406331198094</v>
      </c>
      <c r="N1012" s="3">
        <f t="shared" si="214"/>
        <v>52531.588253745191</v>
      </c>
      <c r="O1012" s="3">
        <f t="shared" si="215"/>
        <v>-42578.03677222837</v>
      </c>
      <c r="P1012" s="3">
        <f t="shared" si="216"/>
        <v>67619.945133357294</v>
      </c>
    </row>
    <row r="1013" spans="1:16" x14ac:dyDescent="0.25">
      <c r="A1013">
        <f t="shared" si="203"/>
        <v>468.5</v>
      </c>
      <c r="B1013">
        <f t="shared" si="204"/>
        <v>-59292.77065329512</v>
      </c>
      <c r="C1013">
        <f t="shared" si="205"/>
        <v>13865.327802761627</v>
      </c>
      <c r="D1013">
        <f t="shared" si="206"/>
        <v>-3522.3647990998534</v>
      </c>
      <c r="E1013">
        <f t="shared" si="207"/>
        <v>2574.582061066511</v>
      </c>
      <c r="F1013">
        <f>$C$23*(H1013/(J1013^2+$C$24^2)^1.5)+$C$32*(K1013/(M1013^2+$C$33^2)^1.5)+C$41*(N1013/(P1013^2+$C$42^2)^1.5)</f>
        <v>7965.7916950204262</v>
      </c>
      <c r="G1013">
        <f>$C$23*(I1013/(J1013^2+$C$24^2)^1.5)+$C$32*(L1013/(M1013^2+$C$33^2)^1.5)+C$41*(O1013/(P1013^2+$C$42^2)^1.5)</f>
        <v>606.53997304100824</v>
      </c>
      <c r="H1013" s="3">
        <f t="shared" si="208"/>
        <v>79292.770653295127</v>
      </c>
      <c r="I1013" s="3">
        <f t="shared" si="209"/>
        <v>1134.672197238373</v>
      </c>
      <c r="J1013" s="3">
        <f t="shared" si="210"/>
        <v>79300.888764699514</v>
      </c>
      <c r="K1013" s="3">
        <f t="shared" si="211"/>
        <v>39292.77065329512</v>
      </c>
      <c r="L1013" s="3">
        <f t="shared" si="212"/>
        <v>6134.672197238373</v>
      </c>
      <c r="M1013" s="3">
        <f t="shared" si="213"/>
        <v>39768.78208570159</v>
      </c>
      <c r="N1013" s="3">
        <f t="shared" si="214"/>
        <v>54292.77065329512</v>
      </c>
      <c r="O1013" s="3">
        <f t="shared" si="215"/>
        <v>-43865.327802761625</v>
      </c>
      <c r="P1013" s="3">
        <f t="shared" si="216"/>
        <v>69798.796038721441</v>
      </c>
    </row>
    <row r="1014" spans="1:16" x14ac:dyDescent="0.25">
      <c r="A1014">
        <f t="shared" si="203"/>
        <v>469</v>
      </c>
      <c r="B1014">
        <f t="shared" si="204"/>
        <v>-59062.505129089943</v>
      </c>
      <c r="C1014">
        <f t="shared" si="205"/>
        <v>15304.253826555134</v>
      </c>
      <c r="D1014">
        <f t="shared" si="206"/>
        <v>460.53104841035974</v>
      </c>
      <c r="E1014">
        <f t="shared" si="207"/>
        <v>2877.852047587015</v>
      </c>
      <c r="F1014">
        <f>$C$23*(H1014/(J1014^2+$C$24^2)^1.5)+$C$32*(K1014/(M1014^2+$C$33^2)^1.5)+C$41*(N1014/(P1014^2+$C$42^2)^1.5)</f>
        <v>8107.0954513854058</v>
      </c>
      <c r="G1014">
        <f>$C$23*(I1014/(J1014^2+$C$24^2)^1.5)+$C$32*(L1014/(M1014^2+$C$33^2)^1.5)+C$41*(O1014/(P1014^2+$C$42^2)^1.5)</f>
        <v>364.08118995031805</v>
      </c>
      <c r="H1014" s="3">
        <f t="shared" si="208"/>
        <v>79062.505129089943</v>
      </c>
      <c r="I1014" s="3">
        <f t="shared" si="209"/>
        <v>-304.25382655513386</v>
      </c>
      <c r="J1014" s="3">
        <f t="shared" si="210"/>
        <v>79063.090552282025</v>
      </c>
      <c r="K1014" s="3">
        <f t="shared" si="211"/>
        <v>39062.505129089943</v>
      </c>
      <c r="L1014" s="3">
        <f t="shared" si="212"/>
        <v>4695.7461734448661</v>
      </c>
      <c r="M1014" s="3">
        <f t="shared" si="213"/>
        <v>39343.733161529046</v>
      </c>
      <c r="N1014" s="3">
        <f t="shared" si="214"/>
        <v>54062.505129089943</v>
      </c>
      <c r="O1014" s="3">
        <f t="shared" si="215"/>
        <v>-45304.253826555134</v>
      </c>
      <c r="P1014" s="3">
        <f t="shared" si="216"/>
        <v>70535.30942452731</v>
      </c>
    </row>
    <row r="1015" spans="1:16" x14ac:dyDescent="0.25">
      <c r="A1015">
        <f t="shared" si="203"/>
        <v>469.5</v>
      </c>
      <c r="B1015">
        <f t="shared" si="204"/>
        <v>-56805.465742038417</v>
      </c>
      <c r="C1015">
        <f t="shared" si="205"/>
        <v>16834.200147836222</v>
      </c>
      <c r="D1015">
        <f t="shared" si="206"/>
        <v>4514.0787741030626</v>
      </c>
      <c r="E1015">
        <f t="shared" si="207"/>
        <v>3059.8926425621739</v>
      </c>
      <c r="F1015">
        <f>$C$23*(H1015/(J1015^2+$C$24^2)^1.5)+$C$32*(K1015/(M1015^2+$C$33^2)^1.5)+C$41*(N1015/(P1015^2+$C$42^2)^1.5)</f>
        <v>8915.6064289527967</v>
      </c>
      <c r="G1015">
        <f>$C$23*(I1015/(J1015^2+$C$24^2)^1.5)+$C$32*(L1015/(M1015^2+$C$33^2)^1.5)+C$41*(O1015/(P1015^2+$C$42^2)^1.5)</f>
        <v>145.34436727731952</v>
      </c>
      <c r="H1015" s="3">
        <f t="shared" si="208"/>
        <v>76805.465742038417</v>
      </c>
      <c r="I1015" s="3">
        <f t="shared" si="209"/>
        <v>-1834.2001478362217</v>
      </c>
      <c r="J1015" s="3">
        <f t="shared" si="210"/>
        <v>76827.363992484854</v>
      </c>
      <c r="K1015" s="3">
        <f t="shared" si="211"/>
        <v>36805.465742038417</v>
      </c>
      <c r="L1015" s="3">
        <f t="shared" si="212"/>
        <v>3165.7998521637783</v>
      </c>
      <c r="M1015" s="3">
        <f t="shared" si="213"/>
        <v>36941.367018456745</v>
      </c>
      <c r="N1015" s="3">
        <f t="shared" si="214"/>
        <v>51805.465742038417</v>
      </c>
      <c r="O1015" s="3">
        <f t="shared" si="215"/>
        <v>-46834.200147836222</v>
      </c>
      <c r="P1015" s="3">
        <f t="shared" si="216"/>
        <v>69837.300808644504</v>
      </c>
    </row>
    <row r="1016" spans="1:16" x14ac:dyDescent="0.25">
      <c r="A1016">
        <f t="shared" si="203"/>
        <v>470</v>
      </c>
      <c r="B1016">
        <f t="shared" si="204"/>
        <v>-52319.524747748685</v>
      </c>
      <c r="C1016">
        <f t="shared" si="205"/>
        <v>18400.482560936638</v>
      </c>
      <c r="D1016">
        <f t="shared" si="206"/>
        <v>8971.8819885794619</v>
      </c>
      <c r="E1016">
        <f t="shared" si="207"/>
        <v>3132.5648262008335</v>
      </c>
      <c r="F1016">
        <f>$C$23*(H1016/(J1016^2+$C$24^2)^1.5)+$C$32*(K1016/(M1016^2+$C$33^2)^1.5)+C$41*(N1016/(P1016^2+$C$42^2)^1.5)</f>
        <v>10788.075524851653</v>
      </c>
      <c r="G1016">
        <f>$C$23*(I1016/(J1016^2+$C$24^2)^1.5)+$C$32*(L1016/(M1016^2+$C$33^2)^1.5)+C$41*(O1016/(P1016^2+$C$42^2)^1.5)</f>
        <v>-139.16203047732222</v>
      </c>
      <c r="H1016" s="3">
        <f t="shared" si="208"/>
        <v>72319.524747748685</v>
      </c>
      <c r="I1016" s="3">
        <f t="shared" si="209"/>
        <v>-3400.482560936638</v>
      </c>
      <c r="J1016" s="3">
        <f t="shared" si="210"/>
        <v>72399.426388525128</v>
      </c>
      <c r="K1016" s="3">
        <f t="shared" si="211"/>
        <v>32319.524747748685</v>
      </c>
      <c r="L1016" s="3">
        <f t="shared" si="212"/>
        <v>1599.517439063362</v>
      </c>
      <c r="M1016" s="3">
        <f t="shared" si="213"/>
        <v>32359.081197682473</v>
      </c>
      <c r="N1016" s="3">
        <f t="shared" si="214"/>
        <v>47319.524747748685</v>
      </c>
      <c r="O1016" s="3">
        <f t="shared" si="215"/>
        <v>-48400.482560936638</v>
      </c>
      <c r="P1016" s="3">
        <f t="shared" si="216"/>
        <v>67688.582009703314</v>
      </c>
    </row>
    <row r="1017" spans="1:16" x14ac:dyDescent="0.25">
      <c r="A1017">
        <f t="shared" si="203"/>
        <v>470.5</v>
      </c>
      <c r="B1017">
        <f t="shared" si="204"/>
        <v>-45136.564872246039</v>
      </c>
      <c r="C1017">
        <f t="shared" si="205"/>
        <v>19931.974466417723</v>
      </c>
      <c r="D1017">
        <f t="shared" si="206"/>
        <v>14365.919751005287</v>
      </c>
      <c r="E1017">
        <f t="shared" si="207"/>
        <v>3062.9838109621724</v>
      </c>
      <c r="F1017">
        <f>$C$23*(H1017/(J1017^2+$C$24^2)^1.5)+$C$32*(K1017/(M1017^2+$C$33^2)^1.5)+C$41*(N1017/(P1017^2+$C$42^2)^1.5)</f>
        <v>14906.088551720026</v>
      </c>
      <c r="G1017">
        <f>$C$23*(I1017/(J1017^2+$C$24^2)^1.5)+$C$32*(L1017/(M1017^2+$C$33^2)^1.5)+C$41*(O1017/(P1017^2+$C$42^2)^1.5)</f>
        <v>-738.11588656384606</v>
      </c>
      <c r="H1017" s="3">
        <f t="shared" si="208"/>
        <v>65136.564872246039</v>
      </c>
      <c r="I1017" s="3">
        <f t="shared" si="209"/>
        <v>-4931.9744664177233</v>
      </c>
      <c r="J1017" s="3">
        <f t="shared" si="210"/>
        <v>65323.016276758935</v>
      </c>
      <c r="K1017" s="3">
        <f t="shared" si="211"/>
        <v>25136.564872246039</v>
      </c>
      <c r="L1017" s="3">
        <f t="shared" si="212"/>
        <v>68.025533582276694</v>
      </c>
      <c r="M1017" s="3">
        <f t="shared" si="213"/>
        <v>25136.656918728328</v>
      </c>
      <c r="N1017" s="3">
        <f t="shared" si="214"/>
        <v>40136.564872246039</v>
      </c>
      <c r="O1017" s="3">
        <f t="shared" si="215"/>
        <v>-49931.974466417727</v>
      </c>
      <c r="P1017" s="3">
        <f t="shared" si="216"/>
        <v>64063.608342482599</v>
      </c>
    </row>
    <row r="1018" spans="1:16" x14ac:dyDescent="0.25">
      <c r="A1018">
        <f t="shared" si="203"/>
        <v>471</v>
      </c>
      <c r="B1018">
        <f t="shared" si="204"/>
        <v>-34227.082858813388</v>
      </c>
      <c r="C1018">
        <f t="shared" si="205"/>
        <v>21278.937400257848</v>
      </c>
      <c r="D1018">
        <f t="shared" si="206"/>
        <v>21818.964026865302</v>
      </c>
      <c r="E1018">
        <f t="shared" si="207"/>
        <v>2693.9258676802492</v>
      </c>
      <c r="F1018">
        <f>$C$23*(H1018/(J1018^2+$C$24^2)^1.5)+$C$32*(K1018/(M1018^2+$C$33^2)^1.5)+C$41*(N1018/(P1018^2+$C$42^2)^1.5)</f>
        <v>23375.020600847191</v>
      </c>
      <c r="G1018">
        <f>$C$23*(I1018/(J1018^2+$C$24^2)^1.5)+$C$32*(L1018/(M1018^2+$C$33^2)^1.5)+C$41*(O1018/(P1018^2+$C$42^2)^1.5)</f>
        <v>-3055.6524183673459</v>
      </c>
      <c r="H1018" s="3">
        <f t="shared" si="208"/>
        <v>54227.082858813388</v>
      </c>
      <c r="I1018" s="3">
        <f t="shared" si="209"/>
        <v>-6278.9374002578479</v>
      </c>
      <c r="J1018" s="3">
        <f t="shared" si="210"/>
        <v>54589.390638227218</v>
      </c>
      <c r="K1018" s="3">
        <f t="shared" si="211"/>
        <v>14227.082858813388</v>
      </c>
      <c r="L1018" s="3">
        <f t="shared" si="212"/>
        <v>-1278.9374002578479</v>
      </c>
      <c r="M1018" s="3">
        <f t="shared" si="213"/>
        <v>14284.451951171246</v>
      </c>
      <c r="N1018" s="3">
        <f t="shared" si="214"/>
        <v>29227.082858813388</v>
      </c>
      <c r="O1018" s="3">
        <f t="shared" si="215"/>
        <v>-51278.937400257848</v>
      </c>
      <c r="P1018" s="3">
        <f t="shared" si="216"/>
        <v>59023.315675548984</v>
      </c>
    </row>
    <row r="1019" spans="1:16" x14ac:dyDescent="0.25">
      <c r="A1019">
        <f t="shared" si="203"/>
        <v>471.5</v>
      </c>
      <c r="B1019">
        <f t="shared" si="204"/>
        <v>-17473.84569516894</v>
      </c>
      <c r="C1019">
        <f t="shared" si="205"/>
        <v>21861.987229506136</v>
      </c>
      <c r="D1019">
        <f t="shared" si="206"/>
        <v>33506.474327288895</v>
      </c>
      <c r="E1019">
        <f t="shared" si="207"/>
        <v>1166.0996584965762</v>
      </c>
      <c r="F1019">
        <f>$C$23*(H1019/(J1019^2+$C$24^2)^1.5)+$C$32*(K1019/(M1019^2+$C$33^2)^1.5)+C$41*(N1019/(P1019^2+$C$42^2)^1.5)</f>
        <v>-9250.172086554825</v>
      </c>
      <c r="G1019">
        <f>$C$23*(I1019/(J1019^2+$C$24^2)^1.5)+$C$32*(L1019/(M1019^2+$C$33^2)^1.5)+C$41*(O1019/(P1019^2+$C$42^2)^1.5)</f>
        <v>-8736.4807614713882</v>
      </c>
      <c r="H1019" s="3">
        <f t="shared" si="208"/>
        <v>37473.845695168944</v>
      </c>
      <c r="I1019" s="3">
        <f t="shared" si="209"/>
        <v>-6861.9872295061359</v>
      </c>
      <c r="J1019" s="3">
        <f t="shared" si="210"/>
        <v>38096.928746596321</v>
      </c>
      <c r="K1019" s="3">
        <f t="shared" si="211"/>
        <v>-2526.1543048310596</v>
      </c>
      <c r="L1019" s="3">
        <f t="shared" si="212"/>
        <v>-1861.9872295061359</v>
      </c>
      <c r="M1019" s="3">
        <f t="shared" si="213"/>
        <v>3138.2243410343417</v>
      </c>
      <c r="N1019" s="3">
        <f t="shared" si="214"/>
        <v>12473.84569516894</v>
      </c>
      <c r="O1019" s="3">
        <f t="shared" si="215"/>
        <v>-51861.987229506136</v>
      </c>
      <c r="P1019" s="3">
        <f t="shared" si="216"/>
        <v>53341.002482333817</v>
      </c>
    </row>
    <row r="1020" spans="1:16" x14ac:dyDescent="0.25">
      <c r="A1020">
        <f t="shared" si="203"/>
        <v>472</v>
      </c>
      <c r="B1020">
        <f t="shared" si="204"/>
        <v>-3033.151553163199</v>
      </c>
      <c r="C1020">
        <f t="shared" si="205"/>
        <v>20260.916868386576</v>
      </c>
      <c r="D1020">
        <f t="shared" si="206"/>
        <v>28881.388284011482</v>
      </c>
      <c r="E1020">
        <f t="shared" si="207"/>
        <v>-3202.1407222391181</v>
      </c>
      <c r="F1020">
        <f>$C$23*(H1020/(J1020^2+$C$24^2)^1.5)+$C$32*(K1020/(M1020^2+$C$33^2)^1.5)+C$41*(N1020/(P1020^2+$C$42^2)^1.5)</f>
        <v>-19851.989645548761</v>
      </c>
      <c r="G1020">
        <f>$C$23*(I1020/(J1020^2+$C$24^2)^1.5)+$C$32*(L1020/(M1020^2+$C$33^2)^1.5)+C$41*(O1020/(P1020^2+$C$42^2)^1.5)</f>
        <v>-2074.007896805721</v>
      </c>
      <c r="H1020" s="3">
        <f t="shared" si="208"/>
        <v>23033.151553163199</v>
      </c>
      <c r="I1020" s="3">
        <f t="shared" si="209"/>
        <v>-5260.9168683865755</v>
      </c>
      <c r="J1020" s="3">
        <f t="shared" si="210"/>
        <v>23626.326772629272</v>
      </c>
      <c r="K1020" s="3">
        <f t="shared" si="211"/>
        <v>-16966.848446836801</v>
      </c>
      <c r="L1020" s="3">
        <f t="shared" si="212"/>
        <v>-260.91686838657552</v>
      </c>
      <c r="M1020" s="3">
        <f t="shared" si="213"/>
        <v>16968.854523218029</v>
      </c>
      <c r="N1020" s="3">
        <f t="shared" si="214"/>
        <v>-1966.848446836801</v>
      </c>
      <c r="O1020" s="3">
        <f t="shared" si="215"/>
        <v>-50260.916868386572</v>
      </c>
      <c r="P1020" s="3">
        <f t="shared" si="216"/>
        <v>50299.386251361851</v>
      </c>
    </row>
    <row r="1021" spans="1:16" x14ac:dyDescent="0.25">
      <c r="A1021">
        <f t="shared" si="203"/>
        <v>472.5</v>
      </c>
      <c r="B1021">
        <f t="shared" si="204"/>
        <v>6444.5451774553512</v>
      </c>
      <c r="C1021">
        <f t="shared" si="205"/>
        <v>18141.344533065585</v>
      </c>
      <c r="D1021">
        <f t="shared" si="206"/>
        <v>18955.393461237101</v>
      </c>
      <c r="E1021">
        <f t="shared" si="207"/>
        <v>-4239.1446706419783</v>
      </c>
      <c r="F1021">
        <f>$C$23*(H1021/(J1021^2+$C$24^2)^1.5)+$C$32*(K1021/(M1021^2+$C$33^2)^1.5)+C$41*(N1021/(P1021^2+$C$42^2)^1.5)</f>
        <v>-11406.216676374319</v>
      </c>
      <c r="G1021">
        <f>$C$23*(I1021/(J1021^2+$C$24^2)^1.5)+$C$32*(L1021/(M1021^2+$C$33^2)^1.5)+C$41*(O1021/(P1021^2+$C$42^2)^1.5)</f>
        <v>-1146.3557272365338</v>
      </c>
      <c r="H1021" s="3">
        <f t="shared" si="208"/>
        <v>13555.454822544649</v>
      </c>
      <c r="I1021" s="3">
        <f t="shared" si="209"/>
        <v>-3141.344533065585</v>
      </c>
      <c r="J1021" s="3">
        <f t="shared" si="210"/>
        <v>13914.682925653391</v>
      </c>
      <c r="K1021" s="3">
        <f t="shared" si="211"/>
        <v>-26444.545177455351</v>
      </c>
      <c r="L1021" s="3">
        <f t="shared" si="212"/>
        <v>1858.655466934415</v>
      </c>
      <c r="M1021" s="3">
        <f t="shared" si="213"/>
        <v>26509.782529987722</v>
      </c>
      <c r="N1021" s="3">
        <f t="shared" si="214"/>
        <v>-11444.545177455351</v>
      </c>
      <c r="O1021" s="3">
        <f t="shared" si="215"/>
        <v>-48141.344533065581</v>
      </c>
      <c r="P1021" s="3">
        <f t="shared" si="216"/>
        <v>49482.993722794708</v>
      </c>
    </row>
    <row r="1022" spans="1:16" x14ac:dyDescent="0.25">
      <c r="A1022">
        <f t="shared" si="203"/>
        <v>473</v>
      </c>
      <c r="B1022">
        <f t="shared" si="204"/>
        <v>13070.687738980323</v>
      </c>
      <c r="C1022">
        <f t="shared" si="205"/>
        <v>15735.183265935462</v>
      </c>
      <c r="D1022">
        <f t="shared" si="206"/>
        <v>13252.285123049942</v>
      </c>
      <c r="E1022">
        <f t="shared" si="207"/>
        <v>-4812.3225342602454</v>
      </c>
      <c r="F1022">
        <f>$C$23*(H1022/(J1022^2+$C$24^2)^1.5)+$C$32*(K1022/(M1022^2+$C$33^2)^1.5)+C$41*(N1022/(P1022^2+$C$42^2)^1.5)</f>
        <v>-4412.5522115441254</v>
      </c>
      <c r="G1022">
        <f>$C$23*(I1022/(J1022^2+$C$24^2)^1.5)+$C$32*(L1022/(M1022^2+$C$33^2)^1.5)+C$41*(O1022/(P1022^2+$C$42^2)^1.5)</f>
        <v>-892.67268485329794</v>
      </c>
      <c r="H1022" s="3">
        <f t="shared" si="208"/>
        <v>6929.312261019677</v>
      </c>
      <c r="I1022" s="3">
        <f t="shared" si="209"/>
        <v>-735.18326593546226</v>
      </c>
      <c r="J1022" s="3">
        <f t="shared" si="210"/>
        <v>6968.2037029086032</v>
      </c>
      <c r="K1022" s="3">
        <f t="shared" si="211"/>
        <v>-33070.687738980327</v>
      </c>
      <c r="L1022" s="3">
        <f t="shared" si="212"/>
        <v>4264.8167340645377</v>
      </c>
      <c r="M1022" s="3">
        <f t="shared" si="213"/>
        <v>33344.550518852411</v>
      </c>
      <c r="N1022" s="3">
        <f t="shared" si="214"/>
        <v>-18070.687738980323</v>
      </c>
      <c r="O1022" s="3">
        <f t="shared" si="215"/>
        <v>-45735.183265935462</v>
      </c>
      <c r="P1022" s="3">
        <f t="shared" si="216"/>
        <v>49175.773951494011</v>
      </c>
    </row>
    <row r="1023" spans="1:16" x14ac:dyDescent="0.25">
      <c r="A1023">
        <f t="shared" si="203"/>
        <v>473.5</v>
      </c>
      <c r="B1023">
        <f t="shared" si="204"/>
        <v>18593.692247619263</v>
      </c>
      <c r="C1023">
        <f t="shared" si="205"/>
        <v>13105.853827592015</v>
      </c>
      <c r="D1023">
        <f t="shared" si="206"/>
        <v>11046.00901727788</v>
      </c>
      <c r="E1023">
        <f t="shared" si="207"/>
        <v>-5258.6588766868945</v>
      </c>
      <c r="F1023">
        <f>$C$23*(H1023/(J1023^2+$C$24^2)^1.5)+$C$32*(K1023/(M1023^2+$C$33^2)^1.5)+C$41*(N1023/(P1023^2+$C$42^2)^1.5)</f>
        <v>-3803.0454661141248</v>
      </c>
      <c r="G1023">
        <f>$C$23*(I1023/(J1023^2+$C$24^2)^1.5)+$C$32*(L1023/(M1023^2+$C$33^2)^1.5)+C$41*(O1023/(P1023^2+$C$42^2)^1.5)</f>
        <v>5754.9851150089062</v>
      </c>
      <c r="H1023" s="3">
        <f t="shared" si="208"/>
        <v>1406.3077523807369</v>
      </c>
      <c r="I1023" s="3">
        <f t="shared" si="209"/>
        <v>1894.1461724079854</v>
      </c>
      <c r="J1023" s="3">
        <f t="shared" si="210"/>
        <v>2359.129334490583</v>
      </c>
      <c r="K1023" s="3">
        <f t="shared" si="211"/>
        <v>-38593.692247619263</v>
      </c>
      <c r="L1023" s="3">
        <f t="shared" si="212"/>
        <v>6894.1461724079854</v>
      </c>
      <c r="M1023" s="3">
        <f t="shared" si="213"/>
        <v>39204.621318799582</v>
      </c>
      <c r="N1023" s="3">
        <f t="shared" si="214"/>
        <v>-23593.692247619263</v>
      </c>
      <c r="O1023" s="3">
        <f t="shared" si="215"/>
        <v>-43105.853827592015</v>
      </c>
      <c r="P1023" s="3">
        <f t="shared" si="216"/>
        <v>49140.380015635805</v>
      </c>
    </row>
    <row r="1024" spans="1:16" x14ac:dyDescent="0.25">
      <c r="A1024">
        <f t="shared" si="203"/>
        <v>474</v>
      </c>
      <c r="B1024">
        <f t="shared" si="204"/>
        <v>23165.935389729671</v>
      </c>
      <c r="C1024">
        <f t="shared" si="205"/>
        <v>11915.270668000794</v>
      </c>
      <c r="D1024">
        <f t="shared" si="206"/>
        <v>9144.4862842208167</v>
      </c>
      <c r="E1024">
        <f t="shared" si="207"/>
        <v>-2381.1663191824414</v>
      </c>
      <c r="F1024">
        <f>$C$23*(H1024/(J1024^2+$C$24^2)^1.5)+$C$32*(K1024/(M1024^2+$C$33^2)^1.5)+C$41*(N1024/(P1024^2+$C$42^2)^1.5)</f>
        <v>-12547.402411891559</v>
      </c>
      <c r="G1024">
        <f>$C$23*(I1024/(J1024^2+$C$24^2)^1.5)+$C$32*(L1024/(M1024^2+$C$33^2)^1.5)+C$41*(O1024/(P1024^2+$C$42^2)^1.5)</f>
        <v>5290.5518881234048</v>
      </c>
      <c r="H1024" s="3">
        <f t="shared" si="208"/>
        <v>-3165.9353897296714</v>
      </c>
      <c r="I1024" s="3">
        <f t="shared" si="209"/>
        <v>3084.7293319992059</v>
      </c>
      <c r="J1024" s="3">
        <f t="shared" si="210"/>
        <v>4420.2603931939384</v>
      </c>
      <c r="K1024" s="3">
        <f t="shared" si="211"/>
        <v>-43165.935389729668</v>
      </c>
      <c r="L1024" s="3">
        <f t="shared" si="212"/>
        <v>8084.7293319992059</v>
      </c>
      <c r="M1024" s="3">
        <f t="shared" si="213"/>
        <v>43916.521110420443</v>
      </c>
      <c r="N1024" s="3">
        <f t="shared" si="214"/>
        <v>-28165.935389729671</v>
      </c>
      <c r="O1024" s="3">
        <f t="shared" si="215"/>
        <v>-41915.270668000798</v>
      </c>
      <c r="P1024" s="3">
        <f t="shared" si="216"/>
        <v>50499.602291010116</v>
      </c>
    </row>
    <row r="1025" spans="1:16" x14ac:dyDescent="0.25">
      <c r="A1025">
        <f t="shared" si="203"/>
        <v>474.5</v>
      </c>
      <c r="B1025">
        <f t="shared" si="204"/>
        <v>24601.327928867191</v>
      </c>
      <c r="C1025">
        <f t="shared" si="205"/>
        <v>12047.325480440424</v>
      </c>
      <c r="D1025">
        <f t="shared" si="206"/>
        <v>2870.7850782750374</v>
      </c>
      <c r="E1025">
        <f t="shared" si="207"/>
        <v>264.10962487926099</v>
      </c>
      <c r="F1025">
        <f>$C$23*(H1025/(J1025^2+$C$24^2)^1.5)+$C$32*(K1025/(M1025^2+$C$33^2)^1.5)+C$41*(N1025/(P1025^2+$C$42^2)^1.5)</f>
        <v>-12587.985347956466</v>
      </c>
      <c r="G1025">
        <f>$C$23*(I1025/(J1025^2+$C$24^2)^1.5)+$C$32*(L1025/(M1025^2+$C$33^2)^1.5)+C$41*(O1025/(P1025^2+$C$42^2)^1.5)</f>
        <v>3610.820868701966</v>
      </c>
      <c r="H1025" s="3">
        <f t="shared" si="208"/>
        <v>-4601.3279288671911</v>
      </c>
      <c r="I1025" s="3">
        <f t="shared" si="209"/>
        <v>2952.6745195595759</v>
      </c>
      <c r="J1025" s="3">
        <f t="shared" si="210"/>
        <v>5467.2210059068948</v>
      </c>
      <c r="K1025" s="3">
        <f t="shared" si="211"/>
        <v>-44601.327928867191</v>
      </c>
      <c r="L1025" s="3">
        <f t="shared" si="212"/>
        <v>7952.6745195595759</v>
      </c>
      <c r="M1025" s="3">
        <f t="shared" si="213"/>
        <v>45304.784350357528</v>
      </c>
      <c r="N1025" s="3">
        <f t="shared" si="214"/>
        <v>-29601.327928867191</v>
      </c>
      <c r="O1025" s="3">
        <f t="shared" si="215"/>
        <v>-42047.325480440428</v>
      </c>
      <c r="P1025" s="3">
        <f t="shared" si="216"/>
        <v>51421.942740530794</v>
      </c>
    </row>
    <row r="1026" spans="1:16" x14ac:dyDescent="0.25">
      <c r="A1026">
        <f t="shared" si="203"/>
        <v>475</v>
      </c>
      <c r="B1026">
        <f t="shared" si="204"/>
        <v>22889.724131015595</v>
      </c>
      <c r="C1026">
        <f t="shared" si="205"/>
        <v>13082.085510055545</v>
      </c>
      <c r="D1026">
        <f t="shared" si="206"/>
        <v>-3423.2075957031957</v>
      </c>
      <c r="E1026">
        <f t="shared" si="207"/>
        <v>2069.520059230244</v>
      </c>
      <c r="F1026">
        <f>$C$23*(H1026/(J1026^2+$C$24^2)^1.5)+$C$32*(K1026/(M1026^2+$C$33^2)^1.5)+C$41*(N1026/(P1026^2+$C$42^2)^1.5)</f>
        <v>-13777.556162112223</v>
      </c>
      <c r="G1026">
        <f>$C$23*(I1026/(J1026^2+$C$24^2)^1.5)+$C$32*(L1026/(M1026^2+$C$33^2)^1.5)+C$41*(O1026/(P1026^2+$C$42^2)^1.5)</f>
        <v>4201.6367691286032</v>
      </c>
      <c r="H1026" s="3">
        <f t="shared" si="208"/>
        <v>-2889.724131015595</v>
      </c>
      <c r="I1026" s="3">
        <f t="shared" si="209"/>
        <v>1917.9144899444545</v>
      </c>
      <c r="J1026" s="3">
        <f t="shared" si="210"/>
        <v>3468.2706849542083</v>
      </c>
      <c r="K1026" s="3">
        <f t="shared" si="211"/>
        <v>-42889.724131015595</v>
      </c>
      <c r="L1026" s="3">
        <f t="shared" si="212"/>
        <v>6917.9144899444545</v>
      </c>
      <c r="M1026" s="3">
        <f t="shared" si="213"/>
        <v>43444.055714502589</v>
      </c>
      <c r="N1026" s="3">
        <f t="shared" si="214"/>
        <v>-27889.724131015595</v>
      </c>
      <c r="O1026" s="3">
        <f t="shared" si="215"/>
        <v>-43082.085510055549</v>
      </c>
      <c r="P1026" s="3">
        <f t="shared" si="216"/>
        <v>51321.56275874588</v>
      </c>
    </row>
    <row r="1027" spans="1:16" x14ac:dyDescent="0.25">
      <c r="A1027">
        <f t="shared" si="203"/>
        <v>475.5</v>
      </c>
      <c r="B1027">
        <f t="shared" si="204"/>
        <v>17733.731292635945</v>
      </c>
      <c r="C1027">
        <f t="shared" si="205"/>
        <v>15167.254731952817</v>
      </c>
      <c r="D1027">
        <f t="shared" si="206"/>
        <v>-10311.985676759308</v>
      </c>
      <c r="E1027">
        <f t="shared" si="207"/>
        <v>4170.338443794546</v>
      </c>
      <c r="F1027">
        <f>$C$23*(H1027/(J1027^2+$C$24^2)^1.5)+$C$32*(K1027/(M1027^2+$C$33^2)^1.5)+C$41*(N1027/(P1027^2+$C$42^2)^1.5)</f>
        <v>-1333.8631269093867</v>
      </c>
      <c r="G1027">
        <f>$C$23*(I1027/(J1027^2+$C$24^2)^1.5)+$C$32*(L1027/(M1027^2+$C$33^2)^1.5)+C$41*(O1027/(P1027^2+$C$42^2)^1.5)</f>
        <v>-910.97073104375932</v>
      </c>
      <c r="H1027" s="3">
        <f t="shared" si="208"/>
        <v>2266.2687073640554</v>
      </c>
      <c r="I1027" s="3">
        <f t="shared" si="209"/>
        <v>-167.25473195281666</v>
      </c>
      <c r="J1027" s="3">
        <f t="shared" si="210"/>
        <v>2272.4321770601109</v>
      </c>
      <c r="K1027" s="3">
        <f t="shared" si="211"/>
        <v>-37733.731292635945</v>
      </c>
      <c r="L1027" s="3">
        <f t="shared" si="212"/>
        <v>4832.7452680471833</v>
      </c>
      <c r="M1027" s="3">
        <f t="shared" si="213"/>
        <v>38041.949267758158</v>
      </c>
      <c r="N1027" s="3">
        <f t="shared" si="214"/>
        <v>-22733.731292635945</v>
      </c>
      <c r="O1027" s="3">
        <f t="shared" si="215"/>
        <v>-45167.254731952817</v>
      </c>
      <c r="P1027" s="3">
        <f t="shared" si="216"/>
        <v>50565.832718416583</v>
      </c>
    </row>
    <row r="1028" spans="1:16" x14ac:dyDescent="0.25">
      <c r="A1028">
        <f t="shared" si="203"/>
        <v>476</v>
      </c>
      <c r="B1028">
        <f t="shared" si="204"/>
        <v>12244.272672528943</v>
      </c>
      <c r="C1028">
        <f t="shared" si="205"/>
        <v>17024.68127108915</v>
      </c>
      <c r="D1028">
        <f t="shared" si="206"/>
        <v>-10978.917240214001</v>
      </c>
      <c r="E1028">
        <f t="shared" si="207"/>
        <v>3714.8530782726666</v>
      </c>
      <c r="F1028">
        <f>$C$23*(H1028/(J1028^2+$C$24^2)^1.5)+$C$32*(K1028/(M1028^2+$C$33^2)^1.5)+C$41*(N1028/(P1028^2+$C$42^2)^1.5)</f>
        <v>-5755.7523571163174</v>
      </c>
      <c r="G1028">
        <f>$C$23*(I1028/(J1028^2+$C$24^2)^1.5)+$C$32*(L1028/(M1028^2+$C$33^2)^1.5)+C$41*(O1028/(P1028^2+$C$42^2)^1.5)</f>
        <v>-1810.1687149078516</v>
      </c>
      <c r="H1028" s="3">
        <f t="shared" si="208"/>
        <v>7755.7273274710569</v>
      </c>
      <c r="I1028" s="3">
        <f t="shared" si="209"/>
        <v>-2024.68127108915</v>
      </c>
      <c r="J1028" s="3">
        <f t="shared" si="210"/>
        <v>8015.6497320916242</v>
      </c>
      <c r="K1028" s="3">
        <f t="shared" si="211"/>
        <v>-32244.272672528943</v>
      </c>
      <c r="L1028" s="3">
        <f t="shared" si="212"/>
        <v>2975.31872891085</v>
      </c>
      <c r="M1028" s="3">
        <f t="shared" si="213"/>
        <v>32381.2544803163</v>
      </c>
      <c r="N1028" s="3">
        <f t="shared" si="214"/>
        <v>-17244.272672528943</v>
      </c>
      <c r="O1028" s="3">
        <f t="shared" si="215"/>
        <v>-47024.681271089154</v>
      </c>
      <c r="P1028" s="3">
        <f t="shared" si="216"/>
        <v>50086.780577833626</v>
      </c>
    </row>
    <row r="1029" spans="1:16" x14ac:dyDescent="0.25">
      <c r="A1029">
        <f t="shared" si="203"/>
        <v>476.5</v>
      </c>
      <c r="B1029">
        <f t="shared" si="204"/>
        <v>5315.8759631428629</v>
      </c>
      <c r="C1029">
        <f t="shared" si="205"/>
        <v>18429.565631498521</v>
      </c>
      <c r="D1029">
        <f t="shared" si="206"/>
        <v>-13856.79341877216</v>
      </c>
      <c r="E1029">
        <f t="shared" si="207"/>
        <v>2809.7687208187408</v>
      </c>
      <c r="F1029">
        <f>$C$23*(H1029/(J1029^2+$C$24^2)^1.5)+$C$32*(K1029/(M1029^2+$C$33^2)^1.5)+C$41*(N1029/(P1029^2+$C$42^2)^1.5)</f>
        <v>-12404.036080003516</v>
      </c>
      <c r="G1029">
        <f>$C$23*(I1029/(J1029^2+$C$24^2)^1.5)+$C$32*(L1029/(M1029^2+$C$33^2)^1.5)+C$41*(O1029/(P1029^2+$C$42^2)^1.5)</f>
        <v>-1153.9222891881536</v>
      </c>
      <c r="H1029" s="3">
        <f t="shared" si="208"/>
        <v>14684.124036857138</v>
      </c>
      <c r="I1029" s="3">
        <f t="shared" si="209"/>
        <v>-3429.5656314985208</v>
      </c>
      <c r="J1029" s="3">
        <f t="shared" si="210"/>
        <v>15079.304332447216</v>
      </c>
      <c r="K1029" s="3">
        <f t="shared" si="211"/>
        <v>-25315.875963142862</v>
      </c>
      <c r="L1029" s="3">
        <f t="shared" si="212"/>
        <v>1570.4343685014792</v>
      </c>
      <c r="M1029" s="3">
        <f t="shared" si="213"/>
        <v>25364.539023743466</v>
      </c>
      <c r="N1029" s="3">
        <f t="shared" si="214"/>
        <v>-10315.875963142862</v>
      </c>
      <c r="O1029" s="3">
        <f t="shared" si="215"/>
        <v>-48429.565631498524</v>
      </c>
      <c r="P1029" s="3">
        <f t="shared" si="216"/>
        <v>49516.059254978798</v>
      </c>
    </row>
    <row r="1030" spans="1:16" x14ac:dyDescent="0.25">
      <c r="A1030">
        <f t="shared" si="203"/>
        <v>477</v>
      </c>
      <c r="B1030">
        <f t="shared" si="204"/>
        <v>-4713.5297662440962</v>
      </c>
      <c r="C1030">
        <f t="shared" si="205"/>
        <v>19545.969419610854</v>
      </c>
      <c r="D1030">
        <f t="shared" si="206"/>
        <v>-20058.811458773918</v>
      </c>
      <c r="E1030">
        <f t="shared" si="207"/>
        <v>2232.807576224664</v>
      </c>
      <c r="F1030">
        <f>$C$23*(H1030/(J1030^2+$C$24^2)^1.5)+$C$32*(K1030/(M1030^2+$C$33^2)^1.5)+C$41*(N1030/(P1030^2+$C$42^2)^1.5)</f>
        <v>-21224.436635674469</v>
      </c>
      <c r="G1030">
        <f>$C$23*(I1030/(J1030^2+$C$24^2)^1.5)+$C$32*(L1030/(M1030^2+$C$33^2)^1.5)+C$41*(O1030/(P1030^2+$C$42^2)^1.5)</f>
        <v>-1095.645197605219</v>
      </c>
      <c r="H1030" s="3">
        <f t="shared" si="208"/>
        <v>24713.529766244097</v>
      </c>
      <c r="I1030" s="3">
        <f t="shared" si="209"/>
        <v>-4545.9694196108539</v>
      </c>
      <c r="J1030" s="3">
        <f t="shared" si="210"/>
        <v>25128.159333128046</v>
      </c>
      <c r="K1030" s="3">
        <f t="shared" si="211"/>
        <v>-15286.470233755903</v>
      </c>
      <c r="L1030" s="3">
        <f t="shared" si="212"/>
        <v>454.03058038914605</v>
      </c>
      <c r="M1030" s="3">
        <f t="shared" si="213"/>
        <v>15293.211434340197</v>
      </c>
      <c r="N1030" s="3">
        <f t="shared" si="214"/>
        <v>-286.47023375590379</v>
      </c>
      <c r="O1030" s="3">
        <f t="shared" si="215"/>
        <v>-49545.969419610854</v>
      </c>
      <c r="P1030" s="3">
        <f t="shared" si="216"/>
        <v>49546.797584948334</v>
      </c>
    </row>
    <row r="1031" spans="1:16" x14ac:dyDescent="0.25">
      <c r="A1031">
        <f t="shared" si="203"/>
        <v>477.5</v>
      </c>
      <c r="B1031">
        <f t="shared" si="204"/>
        <v>-20049.044654549674</v>
      </c>
      <c r="C1031">
        <f t="shared" si="205"/>
        <v>20388.461908321882</v>
      </c>
      <c r="D1031">
        <f t="shared" si="206"/>
        <v>-30671.029776611154</v>
      </c>
      <c r="E1031">
        <f t="shared" si="207"/>
        <v>1684.9849774220545</v>
      </c>
      <c r="F1031">
        <f>$C$23*(H1031/(J1031^2+$C$24^2)^1.5)+$C$32*(K1031/(M1031^2+$C$33^2)^1.5)+C$41*(N1031/(P1031^2+$C$42^2)^1.5)</f>
        <v>926.81155143305955</v>
      </c>
      <c r="G1031">
        <f>$C$23*(I1031/(J1031^2+$C$24^2)^1.5)+$C$32*(L1031/(M1031^2+$C$33^2)^1.5)+C$41*(O1031/(P1031^2+$C$42^2)^1.5)</f>
        <v>-3043.3397010411754</v>
      </c>
      <c r="H1031" s="3">
        <f t="shared" si="208"/>
        <v>40049.044654549674</v>
      </c>
      <c r="I1031" s="3">
        <f t="shared" si="209"/>
        <v>-5388.4619083218822</v>
      </c>
      <c r="J1031" s="3">
        <f t="shared" si="210"/>
        <v>40409.918330523135</v>
      </c>
      <c r="K1031" s="3">
        <f t="shared" si="211"/>
        <v>49.044654549674306</v>
      </c>
      <c r="L1031" s="3">
        <f t="shared" si="212"/>
        <v>-388.46190832188222</v>
      </c>
      <c r="M1031" s="3">
        <f t="shared" si="213"/>
        <v>391.54569638418366</v>
      </c>
      <c r="N1031" s="3">
        <f t="shared" si="214"/>
        <v>15049.044654549674</v>
      </c>
      <c r="O1031" s="3">
        <f t="shared" si="215"/>
        <v>-50388.461908321886</v>
      </c>
      <c r="P1031" s="3">
        <f t="shared" si="216"/>
        <v>52587.744185323601</v>
      </c>
    </row>
    <row r="1032" spans="1:16" x14ac:dyDescent="0.25">
      <c r="A1032">
        <f t="shared" si="203"/>
        <v>478</v>
      </c>
      <c r="B1032">
        <f t="shared" si="204"/>
        <v>-35152.856654996984</v>
      </c>
      <c r="C1032">
        <f t="shared" si="205"/>
        <v>20470.119471772618</v>
      </c>
      <c r="D1032">
        <f t="shared" si="206"/>
        <v>-30207.624000894626</v>
      </c>
      <c r="E1032">
        <f t="shared" si="207"/>
        <v>163.31512690146678</v>
      </c>
      <c r="F1032">
        <f>$C$23*(H1032/(J1032^2+$C$24^2)^1.5)+$C$32*(K1032/(M1032^2+$C$33^2)^1.5)+C$41*(N1032/(P1032^2+$C$42^2)^1.5)</f>
        <v>22847.367675339927</v>
      </c>
      <c r="G1032">
        <f>$C$23*(I1032/(J1032^2+$C$24^2)^1.5)+$C$32*(L1032/(M1032^2+$C$33^2)^1.5)+C$41*(O1032/(P1032^2+$C$42^2)^1.5)</f>
        <v>-1698.5738620110137</v>
      </c>
      <c r="H1032" s="3">
        <f t="shared" si="208"/>
        <v>55152.856654996984</v>
      </c>
      <c r="I1032" s="3">
        <f t="shared" si="209"/>
        <v>-5470.1194717726175</v>
      </c>
      <c r="J1032" s="3">
        <f t="shared" si="210"/>
        <v>55423.458970386455</v>
      </c>
      <c r="K1032" s="3">
        <f t="shared" si="211"/>
        <v>15152.856654996984</v>
      </c>
      <c r="L1032" s="3">
        <f t="shared" si="212"/>
        <v>-470.11947177261754</v>
      </c>
      <c r="M1032" s="3">
        <f t="shared" si="213"/>
        <v>15160.147661702578</v>
      </c>
      <c r="N1032" s="3">
        <f t="shared" si="214"/>
        <v>30152.856654996984</v>
      </c>
      <c r="O1032" s="3">
        <f t="shared" si="215"/>
        <v>-50470.119471772618</v>
      </c>
      <c r="P1032" s="3">
        <f t="shared" si="216"/>
        <v>58791.391580330856</v>
      </c>
    </row>
    <row r="1033" spans="1:16" x14ac:dyDescent="0.25">
      <c r="A1033">
        <f t="shared" si="203"/>
        <v>478.5</v>
      </c>
      <c r="B1033">
        <f t="shared" si="204"/>
        <v>-44544.826736609321</v>
      </c>
      <c r="C1033">
        <f t="shared" si="205"/>
        <v>20127.133569720594</v>
      </c>
      <c r="D1033">
        <f t="shared" si="206"/>
        <v>-18783.940163224663</v>
      </c>
      <c r="E1033">
        <f t="shared" si="207"/>
        <v>-685.97180410404007</v>
      </c>
      <c r="F1033">
        <f>$C$23*(H1033/(J1033^2+$C$24^2)^1.5)+$C$32*(K1033/(M1033^2+$C$33^2)^1.5)+C$41*(N1033/(P1033^2+$C$42^2)^1.5)</f>
        <v>15315.104005975007</v>
      </c>
      <c r="G1033">
        <f>$C$23*(I1033/(J1033^2+$C$24^2)^1.5)+$C$32*(L1033/(M1033^2+$C$33^2)^1.5)+C$41*(O1033/(P1033^2+$C$42^2)^1.5)</f>
        <v>-863.23864184997944</v>
      </c>
      <c r="H1033" s="3">
        <f t="shared" si="208"/>
        <v>64544.826736609321</v>
      </c>
      <c r="I1033" s="3">
        <f t="shared" si="209"/>
        <v>-5127.1335697205941</v>
      </c>
      <c r="J1033" s="3">
        <f t="shared" si="210"/>
        <v>64748.144043676446</v>
      </c>
      <c r="K1033" s="3">
        <f t="shared" si="211"/>
        <v>24544.826736609321</v>
      </c>
      <c r="L1033" s="3">
        <f t="shared" si="212"/>
        <v>-127.1335697205941</v>
      </c>
      <c r="M1033" s="3">
        <f t="shared" si="213"/>
        <v>24545.15598798919</v>
      </c>
      <c r="N1033" s="3">
        <f t="shared" si="214"/>
        <v>39544.826736609321</v>
      </c>
      <c r="O1033" s="3">
        <f t="shared" si="215"/>
        <v>-50127.133569720594</v>
      </c>
      <c r="P1033" s="3">
        <f t="shared" si="216"/>
        <v>63847.653375398695</v>
      </c>
    </row>
    <row r="1034" spans="1:16" x14ac:dyDescent="0.25">
      <c r="A1034">
        <f t="shared" si="203"/>
        <v>479</v>
      </c>
      <c r="B1034">
        <f t="shared" si="204"/>
        <v>-50108.020816727898</v>
      </c>
      <c r="C1034">
        <f t="shared" si="205"/>
        <v>19568.338007206079</v>
      </c>
      <c r="D1034">
        <f t="shared" si="206"/>
        <v>-11126.388160237158</v>
      </c>
      <c r="E1034">
        <f t="shared" si="207"/>
        <v>-1117.5911250290299</v>
      </c>
      <c r="F1034">
        <f>$C$23*(H1034/(J1034^2+$C$24^2)^1.5)+$C$32*(K1034/(M1034^2+$C$33^2)^1.5)+C$41*(N1034/(P1034^2+$C$42^2)^1.5)</f>
        <v>11892.770844505905</v>
      </c>
      <c r="G1034">
        <f>$C$23*(I1034/(J1034^2+$C$24^2)^1.5)+$C$32*(L1034/(M1034^2+$C$33^2)^1.5)+C$41*(O1034/(P1034^2+$C$42^2)^1.5)</f>
        <v>-513.85611465788713</v>
      </c>
      <c r="H1034" s="3">
        <f t="shared" si="208"/>
        <v>70108.020816727891</v>
      </c>
      <c r="I1034" s="3">
        <f t="shared" si="209"/>
        <v>-4568.3380072060791</v>
      </c>
      <c r="J1034" s="3">
        <f t="shared" si="210"/>
        <v>70256.702847392677</v>
      </c>
      <c r="K1034" s="3">
        <f t="shared" si="211"/>
        <v>30108.020816727898</v>
      </c>
      <c r="L1034" s="3">
        <f t="shared" si="212"/>
        <v>431.66199279392094</v>
      </c>
      <c r="M1034" s="3">
        <f t="shared" si="213"/>
        <v>30111.11505036875</v>
      </c>
      <c r="N1034" s="3">
        <f t="shared" si="214"/>
        <v>45108.020816727898</v>
      </c>
      <c r="O1034" s="3">
        <f t="shared" si="215"/>
        <v>-49568.338007206083</v>
      </c>
      <c r="P1034" s="3">
        <f t="shared" si="216"/>
        <v>67020.546661445464</v>
      </c>
    </row>
    <row r="1035" spans="1:16" x14ac:dyDescent="0.25">
      <c r="A1035">
        <f t="shared" si="203"/>
        <v>479.5</v>
      </c>
      <c r="B1035">
        <f t="shared" si="204"/>
        <v>-52698.022185720001</v>
      </c>
      <c r="C1035">
        <f t="shared" si="205"/>
        <v>18881.078416027092</v>
      </c>
      <c r="D1035">
        <f t="shared" si="206"/>
        <v>-5180.0027379842059</v>
      </c>
      <c r="E1035">
        <f t="shared" si="207"/>
        <v>-1374.5191823579735</v>
      </c>
      <c r="F1035">
        <f>$C$23*(H1035/(J1035^2+$C$24^2)^1.5)+$C$32*(K1035/(M1035^2+$C$33^2)^1.5)+C$41*(N1035/(P1035^2+$C$42^2)^1.5)</f>
        <v>10620.00700350984</v>
      </c>
      <c r="G1035">
        <f>$C$23*(I1035/(J1035^2+$C$24^2)^1.5)+$C$32*(L1035/(M1035^2+$C$33^2)^1.5)+C$41*(O1035/(P1035^2+$C$42^2)^1.5)</f>
        <v>-288.55552554734822</v>
      </c>
      <c r="H1035" s="3">
        <f t="shared" si="208"/>
        <v>72698.022185720009</v>
      </c>
      <c r="I1035" s="3">
        <f t="shared" si="209"/>
        <v>-3881.0784160270923</v>
      </c>
      <c r="J1035" s="3">
        <f t="shared" si="210"/>
        <v>72801.546682654967</v>
      </c>
      <c r="K1035" s="3">
        <f t="shared" si="211"/>
        <v>32698.022185720001</v>
      </c>
      <c r="L1035" s="3">
        <f t="shared" si="212"/>
        <v>1118.9215839729077</v>
      </c>
      <c r="M1035" s="3">
        <f t="shared" si="213"/>
        <v>32717.161251687437</v>
      </c>
      <c r="N1035" s="3">
        <f t="shared" si="214"/>
        <v>47698.022185720001</v>
      </c>
      <c r="O1035" s="3">
        <f t="shared" si="215"/>
        <v>-48881.078416027092</v>
      </c>
      <c r="P1035" s="3">
        <f t="shared" si="216"/>
        <v>68296.860451584653</v>
      </c>
    </row>
    <row r="1036" spans="1:16" x14ac:dyDescent="0.25">
      <c r="A1036">
        <f t="shared" si="203"/>
        <v>480</v>
      </c>
      <c r="B1036">
        <f t="shared" si="204"/>
        <v>-52633.021803834643</v>
      </c>
      <c r="C1036">
        <f t="shared" si="205"/>
        <v>18121.679943461269</v>
      </c>
      <c r="D1036">
        <f t="shared" si="206"/>
        <v>130.000763770714</v>
      </c>
      <c r="E1036">
        <f t="shared" si="207"/>
        <v>-1518.7969451316476</v>
      </c>
      <c r="F1036">
        <f>$C$23*(H1036/(J1036^2+$C$24^2)^1.5)+$C$32*(K1036/(M1036^2+$C$33^2)^1.5)+C$41*(N1036/(P1036^2+$C$42^2)^1.5)</f>
        <v>10637.990267288322</v>
      </c>
      <c r="G1036">
        <f>$C$23*(I1036/(J1036^2+$C$24^2)^1.5)+$C$32*(L1036/(M1036^2+$C$33^2)^1.5)+C$41*(O1036/(P1036^2+$C$42^2)^1.5)</f>
        <v>-62.054494243848467</v>
      </c>
      <c r="H1036" s="3">
        <f t="shared" si="208"/>
        <v>72633.02180383465</v>
      </c>
      <c r="I1036" s="3">
        <f t="shared" si="209"/>
        <v>-3121.6799434612694</v>
      </c>
      <c r="J1036" s="3">
        <f t="shared" si="210"/>
        <v>72700.073879094023</v>
      </c>
      <c r="K1036" s="3">
        <f t="shared" si="211"/>
        <v>32633.021803834643</v>
      </c>
      <c r="L1036" s="3">
        <f t="shared" si="212"/>
        <v>1878.3200565387306</v>
      </c>
      <c r="M1036" s="3">
        <f t="shared" si="213"/>
        <v>32687.034100455534</v>
      </c>
      <c r="N1036" s="3">
        <f t="shared" si="214"/>
        <v>47633.021803834643</v>
      </c>
      <c r="O1036" s="3">
        <f t="shared" si="215"/>
        <v>-48121.679943461269</v>
      </c>
      <c r="P1036" s="3">
        <f t="shared" si="216"/>
        <v>67709.680598460283</v>
      </c>
    </row>
    <row r="1037" spans="1:16" x14ac:dyDescent="0.25">
      <c r="A1037">
        <f t="shared" si="203"/>
        <v>480.5</v>
      </c>
      <c r="B1037">
        <f t="shared" si="204"/>
        <v>-49908.523855127205</v>
      </c>
      <c r="C1037">
        <f t="shared" si="205"/>
        <v>17346.767847334486</v>
      </c>
      <c r="D1037">
        <f t="shared" si="206"/>
        <v>5448.9958974148749</v>
      </c>
      <c r="E1037">
        <f t="shared" si="207"/>
        <v>-1549.8241922535717</v>
      </c>
      <c r="F1037">
        <f>$C$23*(H1037/(J1037^2+$C$24^2)^1.5)+$C$32*(K1037/(M1037^2+$C$33^2)^1.5)+C$41*(N1037/(P1037^2+$C$42^2)^1.5)</f>
        <v>11942.066093525125</v>
      </c>
      <c r="G1037">
        <f>$C$23*(I1037/(J1037^2+$C$24^2)^1.5)+$C$32*(L1037/(M1037^2+$C$33^2)^1.5)+C$41*(O1037/(P1037^2+$C$42^2)^1.5)</f>
        <v>299.17853982605834</v>
      </c>
      <c r="H1037" s="3">
        <f t="shared" si="208"/>
        <v>69908.523855127205</v>
      </c>
      <c r="I1037" s="3">
        <f t="shared" si="209"/>
        <v>-2346.7678473344859</v>
      </c>
      <c r="J1037" s="3">
        <f t="shared" si="210"/>
        <v>69947.902233963905</v>
      </c>
      <c r="K1037" s="3">
        <f t="shared" si="211"/>
        <v>29908.523855127205</v>
      </c>
      <c r="L1037" s="3">
        <f t="shared" si="212"/>
        <v>2653.2321526655141</v>
      </c>
      <c r="M1037" s="3">
        <f t="shared" si="213"/>
        <v>30025.979418640971</v>
      </c>
      <c r="N1037" s="3">
        <f t="shared" si="214"/>
        <v>44908.523855127205</v>
      </c>
      <c r="O1037" s="3">
        <f t="shared" si="215"/>
        <v>-47346.767847334486</v>
      </c>
      <c r="P1037" s="3">
        <f t="shared" si="216"/>
        <v>65257.121760279282</v>
      </c>
    </row>
    <row r="1038" spans="1:16" x14ac:dyDescent="0.25">
      <c r="A1038">
        <f t="shared" ref="A1038:A1076" si="217">A1037+$C$5</f>
        <v>481</v>
      </c>
      <c r="B1038">
        <f t="shared" ref="B1038:B1076" si="218">B1037+D1037*(A1038-A1037)+F1037*(A1038-A1037)^2</f>
        <v>-44198.509383038487</v>
      </c>
      <c r="C1038">
        <f t="shared" ref="C1038:C1076" si="219">C1037+E1037*(A1038-A1037)+G1037*(A1038-A1037)^2</f>
        <v>16646.650386164212</v>
      </c>
      <c r="D1038">
        <f t="shared" ref="D1038:D1076" si="220">D1037+F1037*(A1038-A1037)</f>
        <v>11420.028944177437</v>
      </c>
      <c r="E1038">
        <f t="shared" ref="E1038:E1076" si="221">E1037+G1037*(A1038-A1037)</f>
        <v>-1400.2349223405427</v>
      </c>
      <c r="F1038">
        <f>$C$23*(H1038/(J1038^2+$C$24^2)^1.5)+$C$32*(K1038/(M1038^2+$C$33^2)^1.5)+C$41*(N1038/(P1038^2+$C$42^2)^1.5)</f>
        <v>15344.125512307472</v>
      </c>
      <c r="G1038">
        <f>$C$23*(I1038/(J1038^2+$C$24^2)^1.5)+$C$32*(L1038/(M1038^2+$C$33^2)^1.5)+C$41*(O1038/(P1038^2+$C$42^2)^1.5)</f>
        <v>1178.9708848417233</v>
      </c>
      <c r="H1038" s="3">
        <f t="shared" ref="H1038:H1076" si="222">$C$19-B1038</f>
        <v>64198.509383038487</v>
      </c>
      <c r="I1038" s="3">
        <f t="shared" ref="I1038:I1076" si="223">$D$19-C1038</f>
        <v>-1646.6503861642123</v>
      </c>
      <c r="J1038" s="3">
        <f t="shared" ref="J1038:J1076" si="224">SQRT(H1038^2+I1038^2)</f>
        <v>64219.623671416317</v>
      </c>
      <c r="K1038" s="3">
        <f t="shared" ref="K1038:K1076" si="225">$C$28-B1038</f>
        <v>24198.509383038487</v>
      </c>
      <c r="L1038" s="3">
        <f t="shared" ref="L1038:L1076" si="226">$D$28-C1038</f>
        <v>3353.3496138357877</v>
      </c>
      <c r="M1038" s="3">
        <f t="shared" ref="M1038:M1076" si="227">SQRT(K1038^2+L1038^2)</f>
        <v>24429.752556946096</v>
      </c>
      <c r="N1038" s="3">
        <f t="shared" ref="N1038:N1076" si="228">$C$37-B1038</f>
        <v>39198.509383038487</v>
      </c>
      <c r="O1038" s="3">
        <f t="shared" ref="O1038:O1076" si="229">$D$37-C1038</f>
        <v>-46646.650386164212</v>
      </c>
      <c r="P1038" s="3">
        <f t="shared" ref="P1038:P1076" si="230">SQRT(N1038^2+O1038^2)</f>
        <v>60929.739291262282</v>
      </c>
    </row>
    <row r="1039" spans="1:16" x14ac:dyDescent="0.25">
      <c r="A1039">
        <f t="shared" si="217"/>
        <v>481.5</v>
      </c>
      <c r="B1039">
        <f t="shared" si="218"/>
        <v>-34652.463532872898</v>
      </c>
      <c r="C1039">
        <f t="shared" si="219"/>
        <v>16241.275646204371</v>
      </c>
      <c r="D1039">
        <f t="shared" si="220"/>
        <v>19092.091700331173</v>
      </c>
      <c r="E1039">
        <f t="shared" si="221"/>
        <v>-810.74947991968099</v>
      </c>
      <c r="F1039">
        <f>$C$23*(H1039/(J1039^2+$C$24^2)^1.5)+$C$32*(K1039/(M1039^2+$C$33^2)^1.5)+C$41*(N1039/(P1039^2+$C$42^2)^1.5)</f>
        <v>22312.684017771437</v>
      </c>
      <c r="G1039">
        <f>$C$23*(I1039/(J1039^2+$C$24^2)^1.5)+$C$32*(L1039/(M1039^2+$C$33^2)^1.5)+C$41*(O1039/(P1039^2+$C$42^2)^1.5)</f>
        <v>4379.6449659119207</v>
      </c>
      <c r="H1039" s="3">
        <f t="shared" si="222"/>
        <v>54652.463532872898</v>
      </c>
      <c r="I1039" s="3">
        <f t="shared" si="223"/>
        <v>-1241.2756462043708</v>
      </c>
      <c r="J1039" s="3">
        <f t="shared" si="224"/>
        <v>54666.557742754041</v>
      </c>
      <c r="K1039" s="3">
        <f t="shared" si="225"/>
        <v>14652.463532872898</v>
      </c>
      <c r="L1039" s="3">
        <f t="shared" si="226"/>
        <v>3758.7243537956292</v>
      </c>
      <c r="M1039" s="3">
        <f t="shared" si="227"/>
        <v>15126.886538544093</v>
      </c>
      <c r="N1039" s="3">
        <f t="shared" si="228"/>
        <v>29652.463532872898</v>
      </c>
      <c r="O1039" s="3">
        <f t="shared" si="229"/>
        <v>-46241.275646204369</v>
      </c>
      <c r="P1039" s="3">
        <f t="shared" si="230"/>
        <v>54931.995839916563</v>
      </c>
    </row>
    <row r="1040" spans="1:16" x14ac:dyDescent="0.25">
      <c r="A1040">
        <f t="shared" si="217"/>
        <v>482</v>
      </c>
      <c r="B1040">
        <f t="shared" si="218"/>
        <v>-19528.246678264451</v>
      </c>
      <c r="C1040">
        <f t="shared" si="219"/>
        <v>16930.81214772251</v>
      </c>
      <c r="D1040">
        <f t="shared" si="220"/>
        <v>30248.433709216893</v>
      </c>
      <c r="E1040">
        <f t="shared" si="221"/>
        <v>1379.0730030362793</v>
      </c>
      <c r="F1040">
        <f>$C$23*(H1040/(J1040^2+$C$24^2)^1.5)+$C$32*(K1040/(M1040^2+$C$33^2)^1.5)+C$41*(N1040/(P1040^2+$C$42^2)^1.5)</f>
        <v>-1046.5459685995768</v>
      </c>
      <c r="G1040">
        <f>$C$23*(I1040/(J1040^2+$C$24^2)^1.5)+$C$32*(L1040/(M1040^2+$C$33^2)^1.5)+C$41*(O1040/(P1040^2+$C$42^2)^1.5)</f>
        <v>10496.033802884496</v>
      </c>
      <c r="H1040" s="3">
        <f t="shared" si="222"/>
        <v>39528.246678264448</v>
      </c>
      <c r="I1040" s="3">
        <f t="shared" si="223"/>
        <v>-1930.8121477225104</v>
      </c>
      <c r="J1040" s="3">
        <f t="shared" si="224"/>
        <v>39575.375184671553</v>
      </c>
      <c r="K1040" s="3">
        <f t="shared" si="225"/>
        <v>-471.75332173554852</v>
      </c>
      <c r="L1040" s="3">
        <f t="shared" si="226"/>
        <v>3069.1878522774896</v>
      </c>
      <c r="M1040" s="3">
        <f t="shared" si="227"/>
        <v>3105.2319187358989</v>
      </c>
      <c r="N1040" s="3">
        <f t="shared" si="228"/>
        <v>14528.246678264451</v>
      </c>
      <c r="O1040" s="3">
        <f t="shared" si="229"/>
        <v>-46930.812147722507</v>
      </c>
      <c r="P1040" s="3">
        <f t="shared" si="230"/>
        <v>49128.1088623338</v>
      </c>
    </row>
    <row r="1041" spans="1:16" x14ac:dyDescent="0.25">
      <c r="A1041">
        <f t="shared" si="217"/>
        <v>482.5</v>
      </c>
      <c r="B1041">
        <f t="shared" si="218"/>
        <v>-4665.6663158058991</v>
      </c>
      <c r="C1041">
        <f t="shared" si="219"/>
        <v>20244.357099961777</v>
      </c>
      <c r="D1041">
        <f t="shared" si="220"/>
        <v>29725.160724917107</v>
      </c>
      <c r="E1041">
        <f t="shared" si="221"/>
        <v>6627.0899044785274</v>
      </c>
      <c r="F1041">
        <f>$C$23*(H1041/(J1041^2+$C$24^2)^1.5)+$C$32*(K1041/(M1041^2+$C$33^2)^1.5)+C$41*(N1041/(P1041^2+$C$42^2)^1.5)</f>
        <v>-21208.913077142737</v>
      </c>
      <c r="G1041">
        <f>$C$23*(I1041/(J1041^2+$C$24^2)^1.5)+$C$32*(L1041/(M1041^2+$C$33^2)^1.5)+C$41*(O1041/(P1041^2+$C$42^2)^1.5)</f>
        <v>-2076.7694472977514</v>
      </c>
      <c r="H1041" s="3">
        <f t="shared" si="222"/>
        <v>24665.666315805898</v>
      </c>
      <c r="I1041" s="3">
        <f t="shared" si="223"/>
        <v>-5244.3570999617768</v>
      </c>
      <c r="J1041" s="3">
        <f t="shared" si="224"/>
        <v>25217.02552234504</v>
      </c>
      <c r="K1041" s="3">
        <f t="shared" si="225"/>
        <v>-15334.333684194102</v>
      </c>
      <c r="L1041" s="3">
        <f t="shared" si="226"/>
        <v>-244.35709996177684</v>
      </c>
      <c r="M1041" s="3">
        <f t="shared" si="227"/>
        <v>15336.280511600966</v>
      </c>
      <c r="N1041" s="3">
        <f t="shared" si="228"/>
        <v>-334.3336841941009</v>
      </c>
      <c r="O1041" s="3">
        <f t="shared" si="229"/>
        <v>-50244.35709996178</v>
      </c>
      <c r="P1041" s="3">
        <f t="shared" si="230"/>
        <v>50245.469441541361</v>
      </c>
    </row>
    <row r="1042" spans="1:16" x14ac:dyDescent="0.25">
      <c r="A1042">
        <f t="shared" si="217"/>
        <v>483</v>
      </c>
      <c r="B1042">
        <f t="shared" si="218"/>
        <v>4894.6857773669708</v>
      </c>
      <c r="C1042">
        <f t="shared" si="219"/>
        <v>23038.709690376603</v>
      </c>
      <c r="D1042">
        <f t="shared" si="220"/>
        <v>19120.704186345738</v>
      </c>
      <c r="E1042">
        <f t="shared" si="221"/>
        <v>5588.7051808296519</v>
      </c>
      <c r="F1042">
        <f>$C$23*(H1042/(J1042^2+$C$24^2)^1.5)+$C$32*(K1042/(M1042^2+$C$33^2)^1.5)+C$41*(N1042/(P1042^2+$C$42^2)^1.5)</f>
        <v>-12957.325073618476</v>
      </c>
      <c r="G1042">
        <f>$C$23*(I1042/(J1042^2+$C$24^2)^1.5)+$C$32*(L1042/(M1042^2+$C$33^2)^1.5)+C$41*(O1042/(P1042^2+$C$42^2)^1.5)</f>
        <v>-3809.0293085484573</v>
      </c>
      <c r="H1042" s="3">
        <f t="shared" si="222"/>
        <v>15105.314222633029</v>
      </c>
      <c r="I1042" s="3">
        <f t="shared" si="223"/>
        <v>-8038.7096903766032</v>
      </c>
      <c r="J1042" s="3">
        <f t="shared" si="224"/>
        <v>17111.147572580699</v>
      </c>
      <c r="K1042" s="3">
        <f t="shared" si="225"/>
        <v>-24894.685777366969</v>
      </c>
      <c r="L1042" s="3">
        <f t="shared" si="226"/>
        <v>-3038.7096903766032</v>
      </c>
      <c r="M1042" s="3">
        <f t="shared" si="227"/>
        <v>25079.456464130675</v>
      </c>
      <c r="N1042" s="3">
        <f t="shared" si="228"/>
        <v>-9894.6857773669708</v>
      </c>
      <c r="O1042" s="3">
        <f t="shared" si="229"/>
        <v>-53038.709690376607</v>
      </c>
      <c r="P1042" s="3">
        <f t="shared" si="230"/>
        <v>53953.772178160791</v>
      </c>
    </row>
    <row r="1043" spans="1:16" x14ac:dyDescent="0.25">
      <c r="A1043">
        <f t="shared" si="217"/>
        <v>483.5</v>
      </c>
      <c r="B1043">
        <f t="shared" si="218"/>
        <v>11215.70660213522</v>
      </c>
      <c r="C1043">
        <f t="shared" si="219"/>
        <v>24880.804953654315</v>
      </c>
      <c r="D1043">
        <f t="shared" si="220"/>
        <v>12642.041649536499</v>
      </c>
      <c r="E1043">
        <f t="shared" si="221"/>
        <v>3684.1905265554233</v>
      </c>
      <c r="F1043">
        <f>$C$23*(H1043/(J1043^2+$C$24^2)^1.5)+$C$32*(K1043/(M1043^2+$C$33^2)^1.5)+C$41*(N1043/(P1043^2+$C$42^2)^1.5)</f>
        <v>-9032.7267723650948</v>
      </c>
      <c r="G1043">
        <f>$C$23*(I1043/(J1043^2+$C$24^2)^1.5)+$C$32*(L1043/(M1043^2+$C$33^2)^1.5)+C$41*(O1043/(P1043^2+$C$42^2)^1.5)</f>
        <v>-4617.3185366127436</v>
      </c>
      <c r="H1043" s="3">
        <f t="shared" si="222"/>
        <v>8784.2933978647798</v>
      </c>
      <c r="I1043" s="3">
        <f t="shared" si="223"/>
        <v>-9880.8049536543149</v>
      </c>
      <c r="J1043" s="3">
        <f t="shared" si="224"/>
        <v>13220.972620496965</v>
      </c>
      <c r="K1043" s="3">
        <f t="shared" si="225"/>
        <v>-31215.706602135222</v>
      </c>
      <c r="L1043" s="3">
        <f t="shared" si="226"/>
        <v>-4880.8049536543149</v>
      </c>
      <c r="M1043" s="3">
        <f t="shared" si="227"/>
        <v>31594.977380371791</v>
      </c>
      <c r="N1043" s="3">
        <f t="shared" si="228"/>
        <v>-16215.70660213522</v>
      </c>
      <c r="O1043" s="3">
        <f t="shared" si="229"/>
        <v>-54880.804953654311</v>
      </c>
      <c r="P1043" s="3">
        <f t="shared" si="230"/>
        <v>57226.32167951719</v>
      </c>
    </row>
    <row r="1044" spans="1:16" x14ac:dyDescent="0.25">
      <c r="A1044">
        <f t="shared" si="217"/>
        <v>484</v>
      </c>
      <c r="B1044">
        <f t="shared" si="218"/>
        <v>15278.545733812194</v>
      </c>
      <c r="C1044">
        <f t="shared" si="219"/>
        <v>25568.570582778841</v>
      </c>
      <c r="D1044">
        <f t="shared" si="220"/>
        <v>8125.6782633539515</v>
      </c>
      <c r="E1044">
        <f t="shared" si="221"/>
        <v>1375.5312582490515</v>
      </c>
      <c r="F1044">
        <f>$C$23*(H1044/(J1044^2+$C$24^2)^1.5)+$C$32*(K1044/(M1044^2+$C$33^2)^1.5)+C$41*(N1044/(P1044^2+$C$42^2)^1.5)</f>
        <v>-7740.1054137687834</v>
      </c>
      <c r="G1044">
        <f>$C$23*(I1044/(J1044^2+$C$24^2)^1.5)+$C$32*(L1044/(M1044^2+$C$33^2)^1.5)+C$41*(O1044/(P1044^2+$C$42^2)^1.5)</f>
        <v>-5192.7358476140835</v>
      </c>
      <c r="H1044" s="3">
        <f t="shared" si="222"/>
        <v>4721.4542661878058</v>
      </c>
      <c r="I1044" s="3">
        <f t="shared" si="223"/>
        <v>-10568.570582778841</v>
      </c>
      <c r="J1044" s="3">
        <f t="shared" si="224"/>
        <v>11575.267364120853</v>
      </c>
      <c r="K1044" s="3">
        <f t="shared" si="225"/>
        <v>-35278.545733812192</v>
      </c>
      <c r="L1044" s="3">
        <f t="shared" si="226"/>
        <v>-5568.5705827788406</v>
      </c>
      <c r="M1044" s="3">
        <f t="shared" si="227"/>
        <v>35715.329585880463</v>
      </c>
      <c r="N1044" s="3">
        <f t="shared" si="228"/>
        <v>-20278.545733812192</v>
      </c>
      <c r="O1044" s="3">
        <f t="shared" si="229"/>
        <v>-55568.570582778841</v>
      </c>
      <c r="P1044" s="3">
        <f t="shared" si="230"/>
        <v>59153.06799897692</v>
      </c>
    </row>
    <row r="1045" spans="1:16" x14ac:dyDescent="0.25">
      <c r="A1045">
        <f t="shared" si="217"/>
        <v>484.5</v>
      </c>
      <c r="B1045">
        <f t="shared" si="218"/>
        <v>17406.358512046972</v>
      </c>
      <c r="C1045">
        <f t="shared" si="219"/>
        <v>24958.152249999846</v>
      </c>
      <c r="D1045">
        <f t="shared" si="220"/>
        <v>4255.6255564695603</v>
      </c>
      <c r="E1045">
        <f t="shared" si="221"/>
        <v>-1220.8366655579903</v>
      </c>
      <c r="F1045">
        <f>$C$23*(H1045/(J1045^2+$C$24^2)^1.5)+$C$32*(K1045/(M1045^2+$C$33^2)^1.5)+C$41*(N1045/(P1045^2+$C$42^2)^1.5)</f>
        <v>-7422.1930498969923</v>
      </c>
      <c r="G1045">
        <f>$C$23*(I1045/(J1045^2+$C$24^2)^1.5)+$C$32*(L1045/(M1045^2+$C$33^2)^1.5)+C$41*(O1045/(P1045^2+$C$42^2)^1.5)</f>
        <v>-5584.6719626025688</v>
      </c>
      <c r="H1045" s="3">
        <f t="shared" si="222"/>
        <v>2593.6414879530275</v>
      </c>
      <c r="I1045" s="3">
        <f t="shared" si="223"/>
        <v>-9958.1522499998464</v>
      </c>
      <c r="J1045" s="3">
        <f t="shared" si="224"/>
        <v>10290.372801906071</v>
      </c>
      <c r="K1045" s="3">
        <f t="shared" si="225"/>
        <v>-37406.358512046972</v>
      </c>
      <c r="L1045" s="3">
        <f t="shared" si="226"/>
        <v>-4958.1522499998464</v>
      </c>
      <c r="M1045" s="3">
        <f t="shared" si="227"/>
        <v>37733.525290727441</v>
      </c>
      <c r="N1045" s="3">
        <f t="shared" si="228"/>
        <v>-22406.358512046972</v>
      </c>
      <c r="O1045" s="3">
        <f t="shared" si="229"/>
        <v>-54958.152249999846</v>
      </c>
      <c r="P1045" s="3">
        <f t="shared" si="230"/>
        <v>59350.176078125864</v>
      </c>
    </row>
    <row r="1046" spans="1:16" x14ac:dyDescent="0.25">
      <c r="A1046">
        <f t="shared" si="217"/>
        <v>485</v>
      </c>
      <c r="B1046">
        <f t="shared" si="218"/>
        <v>17678.623027807505</v>
      </c>
      <c r="C1046">
        <f t="shared" si="219"/>
        <v>22951.565926570209</v>
      </c>
      <c r="D1046">
        <f t="shared" si="220"/>
        <v>544.5290315210641</v>
      </c>
      <c r="E1046">
        <f t="shared" si="221"/>
        <v>-4013.1726468592747</v>
      </c>
      <c r="F1046">
        <f>$C$23*(H1046/(J1046^2+$C$24^2)^1.5)+$C$32*(K1046/(M1046^2+$C$33^2)^1.5)+C$41*(N1046/(P1046^2+$C$42^2)^1.5)</f>
        <v>-7056.5395264671542</v>
      </c>
      <c r="G1046">
        <f>$C$23*(I1046/(J1046^2+$C$24^2)^1.5)+$C$32*(L1046/(M1046^2+$C$33^2)^1.5)+C$41*(O1046/(P1046^2+$C$42^2)^1.5)</f>
        <v>-6327.0048107089187</v>
      </c>
      <c r="H1046" s="3">
        <f t="shared" si="222"/>
        <v>2321.3769721924946</v>
      </c>
      <c r="I1046" s="3">
        <f t="shared" si="223"/>
        <v>-7951.5659265702088</v>
      </c>
      <c r="J1046" s="3">
        <f t="shared" si="224"/>
        <v>8283.4891037302605</v>
      </c>
      <c r="K1046" s="3">
        <f t="shared" si="225"/>
        <v>-37678.623027807509</v>
      </c>
      <c r="L1046" s="3">
        <f t="shared" si="226"/>
        <v>-2951.5659265702088</v>
      </c>
      <c r="M1046" s="3">
        <f t="shared" si="227"/>
        <v>37794.052107315991</v>
      </c>
      <c r="N1046" s="3">
        <f t="shared" si="228"/>
        <v>-22678.623027807505</v>
      </c>
      <c r="O1046" s="3">
        <f t="shared" si="229"/>
        <v>-52951.565926570212</v>
      </c>
      <c r="P1046" s="3">
        <f t="shared" si="230"/>
        <v>57603.717558099605</v>
      </c>
    </row>
    <row r="1047" spans="1:16" x14ac:dyDescent="0.25">
      <c r="A1047">
        <f t="shared" si="217"/>
        <v>485.5</v>
      </c>
      <c r="B1047">
        <f t="shared" si="218"/>
        <v>16186.75266195125</v>
      </c>
      <c r="C1047">
        <f t="shared" si="219"/>
        <v>19363.22840046334</v>
      </c>
      <c r="D1047">
        <f t="shared" si="220"/>
        <v>-2983.740731712513</v>
      </c>
      <c r="E1047">
        <f t="shared" si="221"/>
        <v>-7176.6750522137336</v>
      </c>
      <c r="F1047">
        <f>$C$23*(H1047/(J1047^2+$C$24^2)^1.5)+$C$32*(K1047/(M1047^2+$C$33^2)^1.5)+C$41*(N1047/(P1047^2+$C$42^2)^1.5)</f>
        <v>-4598.0902695544783</v>
      </c>
      <c r="G1047">
        <f>$C$23*(I1047/(J1047^2+$C$24^2)^1.5)+$C$32*(L1047/(M1047^2+$C$33^2)^1.5)+C$41*(O1047/(P1047^2+$C$42^2)^1.5)</f>
        <v>-6213.4129302079482</v>
      </c>
      <c r="H1047" s="3">
        <f t="shared" si="222"/>
        <v>3813.24733804875</v>
      </c>
      <c r="I1047" s="3">
        <f t="shared" si="223"/>
        <v>-4363.2284004633402</v>
      </c>
      <c r="J1047" s="3">
        <f t="shared" si="224"/>
        <v>5794.7059749176024</v>
      </c>
      <c r="K1047" s="3">
        <f t="shared" si="225"/>
        <v>-36186.75266195125</v>
      </c>
      <c r="L1047" s="3">
        <f t="shared" si="226"/>
        <v>636.77159953665978</v>
      </c>
      <c r="M1047" s="3">
        <f t="shared" si="227"/>
        <v>36192.354804394978</v>
      </c>
      <c r="N1047" s="3">
        <f t="shared" si="228"/>
        <v>-21186.75266195125</v>
      </c>
      <c r="O1047" s="3">
        <f t="shared" si="229"/>
        <v>-49363.22840046334</v>
      </c>
      <c r="P1047" s="3">
        <f t="shared" si="230"/>
        <v>53717.844395275293</v>
      </c>
    </row>
    <row r="1048" spans="1:16" x14ac:dyDescent="0.25">
      <c r="A1048">
        <f t="shared" si="217"/>
        <v>486</v>
      </c>
      <c r="B1048">
        <f t="shared" si="218"/>
        <v>13545.359728706373</v>
      </c>
      <c r="C1048">
        <f t="shared" si="219"/>
        <v>14221.537641804487</v>
      </c>
      <c r="D1048">
        <f t="shared" si="220"/>
        <v>-5282.7858664897522</v>
      </c>
      <c r="E1048">
        <f t="shared" si="221"/>
        <v>-10283.381517317708</v>
      </c>
      <c r="F1048">
        <f>$C$23*(H1048/(J1048^2+$C$24^2)^1.5)+$C$32*(K1048/(M1048^2+$C$33^2)^1.5)+C$41*(N1048/(P1048^2+$C$42^2)^1.5)</f>
        <v>-3749.0795642500561</v>
      </c>
      <c r="G1048">
        <f>$C$23*(I1048/(J1048^2+$C$24^2)^1.5)+$C$32*(L1048/(M1048^2+$C$33^2)^1.5)+C$41*(O1048/(P1048^2+$C$42^2)^1.5)</f>
        <v>749.97567454166688</v>
      </c>
      <c r="H1048" s="3">
        <f t="shared" si="222"/>
        <v>6454.6402712936269</v>
      </c>
      <c r="I1048" s="3">
        <f t="shared" si="223"/>
        <v>778.46235819551293</v>
      </c>
      <c r="J1048" s="3">
        <f t="shared" si="224"/>
        <v>6501.4140519530665</v>
      </c>
      <c r="K1048" s="3">
        <f t="shared" si="225"/>
        <v>-33545.359728706375</v>
      </c>
      <c r="L1048" s="3">
        <f t="shared" si="226"/>
        <v>5778.4623581955129</v>
      </c>
      <c r="M1048" s="3">
        <f t="shared" si="227"/>
        <v>34039.415191119217</v>
      </c>
      <c r="N1048" s="3">
        <f t="shared" si="228"/>
        <v>-18545.359728706375</v>
      </c>
      <c r="O1048" s="3">
        <f t="shared" si="229"/>
        <v>-44221.537641804491</v>
      </c>
      <c r="P1048" s="3">
        <f t="shared" si="230"/>
        <v>47952.838903162505</v>
      </c>
    </row>
    <row r="1049" spans="1:16" x14ac:dyDescent="0.25">
      <c r="A1049">
        <f t="shared" si="217"/>
        <v>486.5</v>
      </c>
      <c r="B1049">
        <f t="shared" si="218"/>
        <v>9966.6969043989811</v>
      </c>
      <c r="C1049">
        <f t="shared" si="219"/>
        <v>9267.3408017810507</v>
      </c>
      <c r="D1049">
        <f t="shared" si="220"/>
        <v>-7157.3256486147802</v>
      </c>
      <c r="E1049">
        <f t="shared" si="221"/>
        <v>-9908.3936800468746</v>
      </c>
      <c r="F1049">
        <f>$C$23*(H1049/(J1049^2+$C$24^2)^1.5)+$C$32*(K1049/(M1049^2+$C$33^2)^1.5)+C$41*(N1049/(P1049^2+$C$42^2)^1.5)</f>
        <v>-7869.3009336917394</v>
      </c>
      <c r="G1049">
        <f>$C$23*(I1049/(J1049^2+$C$24^2)^1.5)+$C$32*(L1049/(M1049^2+$C$33^2)^1.5)+C$41*(O1049/(P1049^2+$C$42^2)^1.5)</f>
        <v>2945.5557801434952</v>
      </c>
      <c r="H1049" s="3">
        <f t="shared" si="222"/>
        <v>10033.303095601019</v>
      </c>
      <c r="I1049" s="3">
        <f t="shared" si="223"/>
        <v>5732.6591982189493</v>
      </c>
      <c r="J1049" s="3">
        <f t="shared" si="224"/>
        <v>11555.542068251118</v>
      </c>
      <c r="K1049" s="3">
        <f t="shared" si="225"/>
        <v>-29966.696904398981</v>
      </c>
      <c r="L1049" s="3">
        <f t="shared" si="226"/>
        <v>10732.659198218949</v>
      </c>
      <c r="M1049" s="3">
        <f t="shared" si="227"/>
        <v>31830.691114476755</v>
      </c>
      <c r="N1049" s="3">
        <f t="shared" si="228"/>
        <v>-14966.696904398981</v>
      </c>
      <c r="O1049" s="3">
        <f t="shared" si="229"/>
        <v>-39267.340801781051</v>
      </c>
      <c r="P1049" s="3">
        <f t="shared" si="230"/>
        <v>42022.923147627</v>
      </c>
    </row>
    <row r="1050" spans="1:16" x14ac:dyDescent="0.25">
      <c r="A1050">
        <f t="shared" si="217"/>
        <v>487</v>
      </c>
      <c r="B1050">
        <f t="shared" si="218"/>
        <v>4420.7088466686564</v>
      </c>
      <c r="C1050">
        <f t="shared" si="219"/>
        <v>5049.5329067934872</v>
      </c>
      <c r="D1050">
        <f t="shared" si="220"/>
        <v>-11091.976115460649</v>
      </c>
      <c r="E1050">
        <f t="shared" si="221"/>
        <v>-8435.615789975127</v>
      </c>
      <c r="F1050">
        <f>$C$23*(H1050/(J1050^2+$C$24^2)^1.5)+$C$32*(K1050/(M1050^2+$C$33^2)^1.5)+C$41*(N1050/(P1050^2+$C$42^2)^1.5)</f>
        <v>-9799.635631512956</v>
      </c>
      <c r="G1050">
        <f>$C$23*(I1050/(J1050^2+$C$24^2)^1.5)+$C$32*(L1050/(M1050^2+$C$33^2)^1.5)+C$41*(O1050/(P1050^2+$C$42^2)^1.5)</f>
        <v>4247.7563026380139</v>
      </c>
      <c r="H1050" s="3">
        <f t="shared" si="222"/>
        <v>15579.291153331344</v>
      </c>
      <c r="I1050" s="3">
        <f t="shared" si="223"/>
        <v>9950.4670932065128</v>
      </c>
      <c r="J1050" s="3">
        <f t="shared" si="224"/>
        <v>18485.83533988264</v>
      </c>
      <c r="K1050" s="3">
        <f t="shared" si="225"/>
        <v>-24420.708846668655</v>
      </c>
      <c r="L1050" s="3">
        <f t="shared" si="226"/>
        <v>14950.467093206513</v>
      </c>
      <c r="M1050" s="3">
        <f t="shared" si="227"/>
        <v>28633.677494845324</v>
      </c>
      <c r="N1050" s="3">
        <f t="shared" si="228"/>
        <v>-9420.7088466686564</v>
      </c>
      <c r="O1050" s="3">
        <f t="shared" si="229"/>
        <v>-35049.532906793487</v>
      </c>
      <c r="P1050" s="3">
        <f t="shared" si="230"/>
        <v>36293.518872632078</v>
      </c>
    </row>
    <row r="1051" spans="1:16" x14ac:dyDescent="0.25">
      <c r="A1051">
        <f t="shared" si="217"/>
        <v>487.5</v>
      </c>
      <c r="B1051">
        <f t="shared" si="218"/>
        <v>-3575.1881189399073</v>
      </c>
      <c r="C1051">
        <f t="shared" si="219"/>
        <v>1893.6640874654272</v>
      </c>
      <c r="D1051">
        <f t="shared" si="220"/>
        <v>-15991.793931217127</v>
      </c>
      <c r="E1051">
        <f t="shared" si="221"/>
        <v>-6311.73763865612</v>
      </c>
      <c r="F1051">
        <f>$C$23*(H1051/(J1051^2+$C$24^2)^1.5)+$C$32*(K1051/(M1051^2+$C$33^2)^1.5)+C$41*(N1051/(P1051^2+$C$42^2)^1.5)</f>
        <v>-9403.1482302937875</v>
      </c>
      <c r="G1051">
        <f>$C$23*(I1051/(J1051^2+$C$24^2)^1.5)+$C$32*(L1051/(M1051^2+$C$33^2)^1.5)+C$41*(O1051/(P1051^2+$C$42^2)^1.5)</f>
        <v>7613.7495876652765</v>
      </c>
      <c r="H1051" s="3">
        <f t="shared" si="222"/>
        <v>23575.188118939906</v>
      </c>
      <c r="I1051" s="3">
        <f t="shared" si="223"/>
        <v>13106.335912534572</v>
      </c>
      <c r="J1051" s="3">
        <f t="shared" si="224"/>
        <v>26973.422769377987</v>
      </c>
      <c r="K1051" s="3">
        <f t="shared" si="225"/>
        <v>-16424.811881060094</v>
      </c>
      <c r="L1051" s="3">
        <f t="shared" si="226"/>
        <v>18106.335912534574</v>
      </c>
      <c r="M1051" s="3">
        <f t="shared" si="227"/>
        <v>24446.141730460291</v>
      </c>
      <c r="N1051" s="3">
        <f t="shared" si="228"/>
        <v>-1424.8118810600927</v>
      </c>
      <c r="O1051" s="3">
        <f t="shared" si="229"/>
        <v>-31893.664087465426</v>
      </c>
      <c r="P1051" s="3">
        <f t="shared" si="230"/>
        <v>31925.474120527822</v>
      </c>
    </row>
    <row r="1052" spans="1:16" x14ac:dyDescent="0.25">
      <c r="A1052">
        <f t="shared" si="217"/>
        <v>488</v>
      </c>
      <c r="B1052">
        <f t="shared" si="218"/>
        <v>-13921.872142121918</v>
      </c>
      <c r="C1052">
        <f t="shared" si="219"/>
        <v>641.23266505368633</v>
      </c>
      <c r="D1052">
        <f t="shared" si="220"/>
        <v>-20693.368046364019</v>
      </c>
      <c r="E1052">
        <f t="shared" si="221"/>
        <v>-2504.8628448234817</v>
      </c>
      <c r="F1052">
        <f>$C$23*(H1052/(J1052^2+$C$24^2)^1.5)+$C$32*(K1052/(M1052^2+$C$33^2)^1.5)+C$41*(N1052/(P1052^2+$C$42^2)^1.5)</f>
        <v>-4003.5640279430809</v>
      </c>
      <c r="G1052">
        <f>$C$23*(I1052/(J1052^2+$C$24^2)^1.5)+$C$32*(L1052/(M1052^2+$C$33^2)^1.5)+C$41*(O1052/(P1052^2+$C$42^2)^1.5)</f>
        <v>13749.738622020292</v>
      </c>
      <c r="H1052" s="3">
        <f t="shared" si="222"/>
        <v>33921.872142121916</v>
      </c>
      <c r="I1052" s="3">
        <f t="shared" si="223"/>
        <v>14358.767334946313</v>
      </c>
      <c r="J1052" s="3">
        <f t="shared" si="224"/>
        <v>36835.683908481842</v>
      </c>
      <c r="K1052" s="3">
        <f t="shared" si="225"/>
        <v>-6078.1278578780821</v>
      </c>
      <c r="L1052" s="3">
        <f t="shared" si="226"/>
        <v>19358.767334946315</v>
      </c>
      <c r="M1052" s="3">
        <f t="shared" si="227"/>
        <v>20290.527617223215</v>
      </c>
      <c r="N1052" s="3">
        <f t="shared" si="228"/>
        <v>8921.8721421219179</v>
      </c>
      <c r="O1052" s="3">
        <f t="shared" si="229"/>
        <v>-30641.232665053685</v>
      </c>
      <c r="P1052" s="3">
        <f t="shared" si="230"/>
        <v>31913.71087407925</v>
      </c>
    </row>
    <row r="1053" spans="1:16" x14ac:dyDescent="0.25">
      <c r="A1053">
        <f t="shared" si="217"/>
        <v>488.5</v>
      </c>
      <c r="B1053">
        <f t="shared" si="218"/>
        <v>-25269.447172289696</v>
      </c>
      <c r="C1053">
        <f t="shared" si="219"/>
        <v>2826.2358981470184</v>
      </c>
      <c r="D1053">
        <f t="shared" si="220"/>
        <v>-22695.15006033556</v>
      </c>
      <c r="E1053">
        <f t="shared" si="221"/>
        <v>4370.0064661866636</v>
      </c>
      <c r="F1053">
        <f>$C$23*(H1053/(J1053^2+$C$24^2)^1.5)+$C$32*(K1053/(M1053^2+$C$33^2)^1.5)+C$41*(N1053/(P1053^2+$C$42^2)^1.5)</f>
        <v>7379.1496149235618</v>
      </c>
      <c r="G1053">
        <f>$C$23*(I1053/(J1053^2+$C$24^2)^1.5)+$C$32*(L1053/(M1053^2+$C$33^2)^1.5)+C$41*(O1053/(P1053^2+$C$42^2)^1.5)</f>
        <v>16830.011544222449</v>
      </c>
      <c r="H1053" s="3">
        <f t="shared" si="222"/>
        <v>45269.4471722897</v>
      </c>
      <c r="I1053" s="3">
        <f t="shared" si="223"/>
        <v>12173.764101852981</v>
      </c>
      <c r="J1053" s="3">
        <f t="shared" si="224"/>
        <v>46877.749302758682</v>
      </c>
      <c r="K1053" s="3">
        <f t="shared" si="225"/>
        <v>5269.447172289696</v>
      </c>
      <c r="L1053" s="3">
        <f t="shared" si="226"/>
        <v>17173.764101852983</v>
      </c>
      <c r="M1053" s="3">
        <f t="shared" si="227"/>
        <v>17963.998634147298</v>
      </c>
      <c r="N1053" s="3">
        <f t="shared" si="228"/>
        <v>20269.447172289696</v>
      </c>
      <c r="O1053" s="3">
        <f t="shared" si="229"/>
        <v>-32826.235898147017</v>
      </c>
      <c r="P1053" s="3">
        <f t="shared" si="230"/>
        <v>38579.946240385543</v>
      </c>
    </row>
    <row r="1054" spans="1:16" x14ac:dyDescent="0.25">
      <c r="A1054">
        <f t="shared" si="217"/>
        <v>489</v>
      </c>
      <c r="B1054">
        <f t="shared" si="218"/>
        <v>-34772.234798726582</v>
      </c>
      <c r="C1054">
        <f t="shared" si="219"/>
        <v>9218.7420172959628</v>
      </c>
      <c r="D1054">
        <f t="shared" si="220"/>
        <v>-19005.575252873779</v>
      </c>
      <c r="E1054">
        <f t="shared" si="221"/>
        <v>12785.012238297888</v>
      </c>
      <c r="F1054">
        <f>$C$23*(H1054/(J1054^2+$C$24^2)^1.5)+$C$32*(K1054/(M1054^2+$C$33^2)^1.5)+C$41*(N1054/(P1054^2+$C$42^2)^1.5)</f>
        <v>16934.727744817053</v>
      </c>
      <c r="G1054">
        <f>$C$23*(I1054/(J1054^2+$C$24^2)^1.5)+$C$32*(L1054/(M1054^2+$C$33^2)^1.5)+C$41*(O1054/(P1054^2+$C$42^2)^1.5)</f>
        <v>10240.94914745498</v>
      </c>
      <c r="H1054" s="3">
        <f t="shared" si="222"/>
        <v>54772.234798726582</v>
      </c>
      <c r="I1054" s="3">
        <f t="shared" si="223"/>
        <v>5781.2579827040372</v>
      </c>
      <c r="J1054" s="3">
        <f t="shared" si="224"/>
        <v>55076.498152201129</v>
      </c>
      <c r="K1054" s="3">
        <f t="shared" si="225"/>
        <v>14772.234798726582</v>
      </c>
      <c r="L1054" s="3">
        <f t="shared" si="226"/>
        <v>10781.257982704037</v>
      </c>
      <c r="M1054" s="3">
        <f t="shared" si="227"/>
        <v>18288.095708365268</v>
      </c>
      <c r="N1054" s="3">
        <f t="shared" si="228"/>
        <v>29772.234798726582</v>
      </c>
      <c r="O1054" s="3">
        <f t="shared" si="229"/>
        <v>-39218.742017295961</v>
      </c>
      <c r="P1054" s="3">
        <f t="shared" si="230"/>
        <v>49239.168253837532</v>
      </c>
    </row>
    <row r="1055" spans="1:16" x14ac:dyDescent="0.25">
      <c r="A1055">
        <f t="shared" si="217"/>
        <v>489.5</v>
      </c>
      <c r="B1055">
        <f t="shared" si="218"/>
        <v>-40041.340488959206</v>
      </c>
      <c r="C1055">
        <f t="shared" si="219"/>
        <v>18171.485423308652</v>
      </c>
      <c r="D1055">
        <f t="shared" si="220"/>
        <v>-10538.211380465253</v>
      </c>
      <c r="E1055">
        <f t="shared" si="221"/>
        <v>17905.486812025378</v>
      </c>
      <c r="F1055">
        <f>$C$23*(H1055/(J1055^2+$C$24^2)^1.5)+$C$32*(K1055/(M1055^2+$C$33^2)^1.5)+C$41*(N1055/(P1055^2+$C$42^2)^1.5)</f>
        <v>18726.80675533399</v>
      </c>
      <c r="G1055">
        <f>$C$23*(I1055/(J1055^2+$C$24^2)^1.5)+$C$32*(L1055/(M1055^2+$C$33^2)^1.5)+C$41*(O1055/(P1055^2+$C$42^2)^1.5)</f>
        <v>711.54297674369377</v>
      </c>
      <c r="H1055" s="3">
        <f t="shared" si="222"/>
        <v>60041.340488959206</v>
      </c>
      <c r="I1055" s="3">
        <f t="shared" si="223"/>
        <v>-3171.4854233086517</v>
      </c>
      <c r="J1055" s="3">
        <f t="shared" si="224"/>
        <v>60125.043762989408</v>
      </c>
      <c r="K1055" s="3">
        <f t="shared" si="225"/>
        <v>20041.340488959206</v>
      </c>
      <c r="L1055" s="3">
        <f t="shared" si="226"/>
        <v>1828.5145766913483</v>
      </c>
      <c r="M1055" s="3">
        <f t="shared" si="227"/>
        <v>20124.581837930655</v>
      </c>
      <c r="N1055" s="3">
        <f t="shared" si="228"/>
        <v>35041.340488959206</v>
      </c>
      <c r="O1055" s="3">
        <f t="shared" si="229"/>
        <v>-48171.485423308652</v>
      </c>
      <c r="P1055" s="3">
        <f t="shared" si="230"/>
        <v>59568.34353204065</v>
      </c>
    </row>
    <row r="1056" spans="1:16" x14ac:dyDescent="0.25">
      <c r="A1056">
        <f t="shared" si="217"/>
        <v>490</v>
      </c>
      <c r="B1056">
        <f t="shared" si="218"/>
        <v>-40628.744490358331</v>
      </c>
      <c r="C1056">
        <f t="shared" si="219"/>
        <v>27302.114573507264</v>
      </c>
      <c r="D1056">
        <f t="shared" si="220"/>
        <v>-1174.8080027982578</v>
      </c>
      <c r="E1056">
        <f t="shared" si="221"/>
        <v>18261.258300397225</v>
      </c>
      <c r="F1056">
        <f>$C$23*(H1056/(J1056^2+$C$24^2)^1.5)+$C$32*(K1056/(M1056^2+$C$33^2)^1.5)+C$41*(N1056/(P1056^2+$C$42^2)^1.5)</f>
        <v>16220.085584108214</v>
      </c>
      <c r="G1056">
        <f>$C$23*(I1056/(J1056^2+$C$24^2)^1.5)+$C$32*(L1056/(M1056^2+$C$33^2)^1.5)+C$41*(O1056/(P1056^2+$C$42^2)^1.5)</f>
        <v>-6311.2982602227603</v>
      </c>
      <c r="H1056" s="3">
        <f t="shared" si="222"/>
        <v>60628.744490358331</v>
      </c>
      <c r="I1056" s="3">
        <f t="shared" si="223"/>
        <v>-12302.114573507264</v>
      </c>
      <c r="J1056" s="3">
        <f t="shared" si="224"/>
        <v>61864.260130198396</v>
      </c>
      <c r="K1056" s="3">
        <f t="shared" si="225"/>
        <v>20628.744490358331</v>
      </c>
      <c r="L1056" s="3">
        <f t="shared" si="226"/>
        <v>-7302.1145735072641</v>
      </c>
      <c r="M1056" s="3">
        <f t="shared" si="227"/>
        <v>21883.006568867917</v>
      </c>
      <c r="N1056" s="3">
        <f t="shared" si="228"/>
        <v>35628.744490358331</v>
      </c>
      <c r="O1056" s="3">
        <f t="shared" si="229"/>
        <v>-57302.114573507264</v>
      </c>
      <c r="P1056" s="3">
        <f t="shared" si="230"/>
        <v>67475.475311809336</v>
      </c>
    </row>
    <row r="1057" spans="1:16" x14ac:dyDescent="0.25">
      <c r="A1057">
        <f t="shared" si="217"/>
        <v>490.5</v>
      </c>
      <c r="B1057">
        <f t="shared" si="218"/>
        <v>-37161.1270957304</v>
      </c>
      <c r="C1057">
        <f t="shared" si="219"/>
        <v>34854.919158650184</v>
      </c>
      <c r="D1057">
        <f t="shared" si="220"/>
        <v>6935.2347892558491</v>
      </c>
      <c r="E1057">
        <f t="shared" si="221"/>
        <v>15105.609170285845</v>
      </c>
      <c r="F1057">
        <f>$C$23*(H1057/(J1057^2+$C$24^2)^1.5)+$C$32*(K1057/(M1057^2+$C$33^2)^1.5)+C$41*(N1057/(P1057^2+$C$42^2)^1.5)</f>
        <v>12526.708024817728</v>
      </c>
      <c r="G1057">
        <f>$C$23*(I1057/(J1057^2+$C$24^2)^1.5)+$C$32*(L1057/(M1057^2+$C$33^2)^1.5)+C$41*(O1057/(P1057^2+$C$42^2)^1.5)</f>
        <v>-11171.288553251299</v>
      </c>
      <c r="H1057" s="3">
        <f t="shared" si="222"/>
        <v>57161.1270957304</v>
      </c>
      <c r="I1057" s="3">
        <f t="shared" si="223"/>
        <v>-19854.919158650184</v>
      </c>
      <c r="J1057" s="3">
        <f t="shared" si="224"/>
        <v>60511.257346470484</v>
      </c>
      <c r="K1057" s="3">
        <f t="shared" si="225"/>
        <v>17161.1270957304</v>
      </c>
      <c r="L1057" s="3">
        <f t="shared" si="226"/>
        <v>-14854.919158650184</v>
      </c>
      <c r="M1057" s="3">
        <f t="shared" si="227"/>
        <v>22697.420699406452</v>
      </c>
      <c r="N1057" s="3">
        <f t="shared" si="228"/>
        <v>32161.1270957304</v>
      </c>
      <c r="O1057" s="3">
        <f t="shared" si="229"/>
        <v>-64854.919158650184</v>
      </c>
      <c r="P1057" s="3">
        <f t="shared" si="230"/>
        <v>72391.288392615141</v>
      </c>
    </row>
    <row r="1058" spans="1:16" x14ac:dyDescent="0.25">
      <c r="A1058">
        <f t="shared" si="217"/>
        <v>491</v>
      </c>
      <c r="B1058">
        <f t="shared" si="218"/>
        <v>-30561.832694898047</v>
      </c>
      <c r="C1058">
        <f t="shared" si="219"/>
        <v>39614.901605480278</v>
      </c>
      <c r="D1058">
        <f t="shared" si="220"/>
        <v>13198.588801664713</v>
      </c>
      <c r="E1058">
        <f t="shared" si="221"/>
        <v>9519.9648936601952</v>
      </c>
      <c r="F1058">
        <f>$C$23*(H1058/(J1058^2+$C$24^2)^1.5)+$C$32*(K1058/(M1058^2+$C$33^2)^1.5)+C$41*(N1058/(P1058^2+$C$42^2)^1.5)</f>
        <v>8110.4538056912043</v>
      </c>
      <c r="G1058">
        <f>$C$23*(I1058/(J1058^2+$C$24^2)^1.5)+$C$32*(L1058/(M1058^2+$C$33^2)^1.5)+C$41*(O1058/(P1058^2+$C$42^2)^1.5)</f>
        <v>-15082.074836433272</v>
      </c>
      <c r="H1058" s="3">
        <f t="shared" si="222"/>
        <v>50561.832694898047</v>
      </c>
      <c r="I1058" s="3">
        <f t="shared" si="223"/>
        <v>-24614.901605480278</v>
      </c>
      <c r="J1058" s="3">
        <f t="shared" si="224"/>
        <v>56235.151875978219</v>
      </c>
      <c r="K1058" s="3">
        <f t="shared" si="225"/>
        <v>10561.832694898047</v>
      </c>
      <c r="L1058" s="3">
        <f t="shared" si="226"/>
        <v>-19614.901605480278</v>
      </c>
      <c r="M1058" s="3">
        <f t="shared" si="227"/>
        <v>22277.717003043424</v>
      </c>
      <c r="N1058" s="3">
        <f t="shared" si="228"/>
        <v>25561.832694898047</v>
      </c>
      <c r="O1058" s="3">
        <f t="shared" si="229"/>
        <v>-69614.901605480278</v>
      </c>
      <c r="P1058" s="3">
        <f t="shared" si="230"/>
        <v>74159.569957374086</v>
      </c>
    </row>
    <row r="1059" spans="1:16" x14ac:dyDescent="0.25">
      <c r="A1059">
        <f t="shared" si="217"/>
        <v>491.5</v>
      </c>
      <c r="B1059">
        <f t="shared" si="218"/>
        <v>-21934.924842642889</v>
      </c>
      <c r="C1059">
        <f t="shared" si="219"/>
        <v>40604.365343202051</v>
      </c>
      <c r="D1059">
        <f t="shared" si="220"/>
        <v>17253.815704510314</v>
      </c>
      <c r="E1059">
        <f t="shared" si="221"/>
        <v>1978.9274754435592</v>
      </c>
      <c r="F1059">
        <f>$C$23*(H1059/(J1059^2+$C$24^2)^1.5)+$C$32*(K1059/(M1059^2+$C$33^2)^1.5)+C$41*(N1059/(P1059^2+$C$42^2)^1.5)</f>
        <v>2000.6748295634657</v>
      </c>
      <c r="G1059">
        <f>$C$23*(I1059/(J1059^2+$C$24^2)^1.5)+$C$32*(L1059/(M1059^2+$C$33^2)^1.5)+C$41*(O1059/(P1059^2+$C$42^2)^1.5)</f>
        <v>-18307.384362687575</v>
      </c>
      <c r="H1059" s="3">
        <f t="shared" si="222"/>
        <v>41934.924842642889</v>
      </c>
      <c r="I1059" s="3">
        <f t="shared" si="223"/>
        <v>-25604.365343202051</v>
      </c>
      <c r="J1059" s="3">
        <f t="shared" si="224"/>
        <v>49133.709876074638</v>
      </c>
      <c r="K1059" s="3">
        <f t="shared" si="225"/>
        <v>1934.9248426428894</v>
      </c>
      <c r="L1059" s="3">
        <f t="shared" si="226"/>
        <v>-20604.365343202051</v>
      </c>
      <c r="M1059" s="3">
        <f t="shared" si="227"/>
        <v>20695.018853405822</v>
      </c>
      <c r="N1059" s="3">
        <f t="shared" si="228"/>
        <v>16934.924842642889</v>
      </c>
      <c r="O1059" s="3">
        <f t="shared" si="229"/>
        <v>-70604.365343202051</v>
      </c>
      <c r="P1059" s="3">
        <f t="shared" si="230"/>
        <v>72606.942401827619</v>
      </c>
    </row>
    <row r="1060" spans="1:16" x14ac:dyDescent="0.25">
      <c r="A1060">
        <f t="shared" si="217"/>
        <v>492</v>
      </c>
      <c r="B1060">
        <f t="shared" si="218"/>
        <v>-12807.848282996865</v>
      </c>
      <c r="C1060">
        <f t="shared" si="219"/>
        <v>37016.982990251941</v>
      </c>
      <c r="D1060">
        <f t="shared" si="220"/>
        <v>18254.153119292048</v>
      </c>
      <c r="E1060">
        <f t="shared" si="221"/>
        <v>-7174.7647059002284</v>
      </c>
      <c r="F1060">
        <f>$C$23*(H1060/(J1060^2+$C$24^2)^1.5)+$C$32*(K1060/(M1060^2+$C$33^2)^1.5)+C$41*(N1060/(P1060^2+$C$42^2)^1.5)</f>
        <v>-7169.7556226212619</v>
      </c>
      <c r="G1060">
        <f>$C$23*(I1060/(J1060^2+$C$24^2)^1.5)+$C$32*(L1060/(M1060^2+$C$33^2)^1.5)+C$41*(O1060/(P1060^2+$C$42^2)^1.5)</f>
        <v>-18918.458351053243</v>
      </c>
      <c r="H1060" s="3">
        <f t="shared" si="222"/>
        <v>32807.848282996863</v>
      </c>
      <c r="I1060" s="3">
        <f t="shared" si="223"/>
        <v>-22016.982990251941</v>
      </c>
      <c r="J1060" s="3">
        <f t="shared" si="224"/>
        <v>39510.789019623284</v>
      </c>
      <c r="K1060" s="3">
        <f t="shared" si="225"/>
        <v>-7192.1517170031348</v>
      </c>
      <c r="L1060" s="3">
        <f t="shared" si="226"/>
        <v>-17016.982990251941</v>
      </c>
      <c r="M1060" s="3">
        <f t="shared" si="227"/>
        <v>18474.435212230848</v>
      </c>
      <c r="N1060" s="3">
        <f t="shared" si="228"/>
        <v>7807.8482829968652</v>
      </c>
      <c r="O1060" s="3">
        <f t="shared" si="229"/>
        <v>-67016.982990251941</v>
      </c>
      <c r="P1060" s="3">
        <f t="shared" si="230"/>
        <v>67470.278670878601</v>
      </c>
    </row>
    <row r="1061" spans="1:16" x14ac:dyDescent="0.25">
      <c r="A1061">
        <f t="shared" si="217"/>
        <v>492.5</v>
      </c>
      <c r="B1061">
        <f t="shared" si="218"/>
        <v>-5473.2106290061565</v>
      </c>
      <c r="C1061">
        <f t="shared" si="219"/>
        <v>28699.986049538515</v>
      </c>
      <c r="D1061">
        <f t="shared" si="220"/>
        <v>14669.275307981417</v>
      </c>
      <c r="E1061">
        <f t="shared" si="221"/>
        <v>-16633.99388142685</v>
      </c>
      <c r="F1061">
        <f>$C$23*(H1061/(J1061^2+$C$24^2)^1.5)+$C$32*(K1061/(M1061^2+$C$33^2)^1.5)+C$41*(N1061/(P1061^2+$C$42^2)^1.5)</f>
        <v>-17204.563753512142</v>
      </c>
      <c r="G1061">
        <f>$C$23*(I1061/(J1061^2+$C$24^2)^1.5)+$C$32*(L1061/(M1061^2+$C$33^2)^1.5)+C$41*(O1061/(P1061^2+$C$42^2)^1.5)</f>
        <v>-12073.300617042931</v>
      </c>
      <c r="H1061" s="3">
        <f t="shared" si="222"/>
        <v>25473.210629006157</v>
      </c>
      <c r="I1061" s="3">
        <f t="shared" si="223"/>
        <v>-13699.986049538515</v>
      </c>
      <c r="J1061" s="3">
        <f t="shared" si="224"/>
        <v>28923.590328782873</v>
      </c>
      <c r="K1061" s="3">
        <f t="shared" si="225"/>
        <v>-14526.789370993843</v>
      </c>
      <c r="L1061" s="3">
        <f t="shared" si="226"/>
        <v>-8699.9860495385146</v>
      </c>
      <c r="M1061" s="3">
        <f t="shared" si="227"/>
        <v>16932.730633048657</v>
      </c>
      <c r="N1061" s="3">
        <f t="shared" si="228"/>
        <v>473.21062900615652</v>
      </c>
      <c r="O1061" s="3">
        <f t="shared" si="229"/>
        <v>-58699.986049538515</v>
      </c>
      <c r="P1061" s="3">
        <f t="shared" si="230"/>
        <v>58701.893415080071</v>
      </c>
    </row>
    <row r="1062" spans="1:16" x14ac:dyDescent="0.25">
      <c r="A1062">
        <f t="shared" si="217"/>
        <v>493</v>
      </c>
      <c r="B1062">
        <f t="shared" si="218"/>
        <v>-2439.7139133934834</v>
      </c>
      <c r="C1062">
        <f t="shared" si="219"/>
        <v>17364.663954564356</v>
      </c>
      <c r="D1062">
        <f t="shared" si="220"/>
        <v>6066.9934312253463</v>
      </c>
      <c r="E1062">
        <f t="shared" si="221"/>
        <v>-22670.644189948314</v>
      </c>
      <c r="F1062">
        <f>$C$23*(H1062/(J1062^2+$C$24^2)^1.5)+$C$32*(K1062/(M1062^2+$C$33^2)^1.5)+C$41*(N1062/(P1062^2+$C$42^2)^1.5)</f>
        <v>-18908.909401953744</v>
      </c>
      <c r="G1062">
        <f>$C$23*(I1062/(J1062^2+$C$24^2)^1.5)+$C$32*(L1062/(M1062^2+$C$33^2)^1.5)+C$41*(O1062/(P1062^2+$C$42^2)^1.5)</f>
        <v>1124.5324281008545</v>
      </c>
      <c r="H1062" s="3">
        <f t="shared" si="222"/>
        <v>22439.713913393483</v>
      </c>
      <c r="I1062" s="3">
        <f t="shared" si="223"/>
        <v>-2364.6639545643557</v>
      </c>
      <c r="J1062" s="3">
        <f t="shared" si="224"/>
        <v>22563.962332289091</v>
      </c>
      <c r="K1062" s="3">
        <f t="shared" si="225"/>
        <v>-17560.286086606517</v>
      </c>
      <c r="L1062" s="3">
        <f t="shared" si="226"/>
        <v>2635.3360454356443</v>
      </c>
      <c r="M1062" s="3">
        <f t="shared" si="227"/>
        <v>17756.932266465366</v>
      </c>
      <c r="N1062" s="3">
        <f t="shared" si="228"/>
        <v>-2560.2860866065166</v>
      </c>
      <c r="O1062" s="3">
        <f t="shared" si="229"/>
        <v>-47364.663954564356</v>
      </c>
      <c r="P1062" s="3">
        <f t="shared" si="230"/>
        <v>47433.811320344888</v>
      </c>
    </row>
    <row r="1063" spans="1:16" x14ac:dyDescent="0.25">
      <c r="A1063">
        <f t="shared" si="217"/>
        <v>493.5</v>
      </c>
      <c r="B1063">
        <f t="shared" si="218"/>
        <v>-4133.4445482692463</v>
      </c>
      <c r="C1063">
        <f t="shared" si="219"/>
        <v>6310.4749666154121</v>
      </c>
      <c r="D1063">
        <f t="shared" si="220"/>
        <v>-3387.4612697515258</v>
      </c>
      <c r="E1063">
        <f t="shared" si="221"/>
        <v>-22108.377975897885</v>
      </c>
      <c r="F1063">
        <f>$C$23*(H1063/(J1063^2+$C$24^2)^1.5)+$C$32*(K1063/(M1063^2+$C$33^2)^1.5)+C$41*(N1063/(P1063^2+$C$42^2)^1.5)</f>
        <v>-12465.104310843801</v>
      </c>
      <c r="G1063">
        <f>$C$23*(I1063/(J1063^2+$C$24^2)^1.5)+$C$32*(L1063/(M1063^2+$C$33^2)^1.5)+C$41*(O1063/(P1063^2+$C$42^2)^1.5)</f>
        <v>8717.2069557016985</v>
      </c>
      <c r="H1063" s="3">
        <f t="shared" si="222"/>
        <v>24133.444548269246</v>
      </c>
      <c r="I1063" s="3">
        <f t="shared" si="223"/>
        <v>8689.525033384587</v>
      </c>
      <c r="J1063" s="3">
        <f t="shared" si="224"/>
        <v>25650.165517403664</v>
      </c>
      <c r="K1063" s="3">
        <f t="shared" si="225"/>
        <v>-15866.555451730754</v>
      </c>
      <c r="L1063" s="3">
        <f t="shared" si="226"/>
        <v>13689.525033384587</v>
      </c>
      <c r="M1063" s="3">
        <f t="shared" si="227"/>
        <v>20955.92225463986</v>
      </c>
      <c r="N1063" s="3">
        <f t="shared" si="228"/>
        <v>-866.5554517307537</v>
      </c>
      <c r="O1063" s="3">
        <f t="shared" si="229"/>
        <v>-36310.474966615409</v>
      </c>
      <c r="P1063" s="3">
        <f t="shared" si="230"/>
        <v>36320.813738848534</v>
      </c>
    </row>
    <row r="1064" spans="1:16" x14ac:dyDescent="0.25">
      <c r="A1064">
        <f t="shared" si="217"/>
        <v>494</v>
      </c>
      <c r="B1064">
        <f t="shared" si="218"/>
        <v>-8943.4512608559598</v>
      </c>
      <c r="C1064">
        <f t="shared" si="219"/>
        <v>-2564.412282408106</v>
      </c>
      <c r="D1064">
        <f t="shared" si="220"/>
        <v>-9620.0134251734271</v>
      </c>
      <c r="E1064">
        <f t="shared" si="221"/>
        <v>-17749.774498047038</v>
      </c>
      <c r="F1064">
        <f>$C$23*(H1064/(J1064^2+$C$24^2)^1.5)+$C$32*(K1064/(M1064^2+$C$33^2)^1.5)+C$41*(N1064/(P1064^2+$C$42^2)^1.5)</f>
        <v>-5213.1563329147048</v>
      </c>
      <c r="G1064">
        <f>$C$23*(I1064/(J1064^2+$C$24^2)^1.5)+$C$32*(L1064/(M1064^2+$C$33^2)^1.5)+C$41*(O1064/(P1064^2+$C$42^2)^1.5)</f>
        <v>8465.9072001882014</v>
      </c>
      <c r="H1064" s="3">
        <f t="shared" si="222"/>
        <v>28943.45126085596</v>
      </c>
      <c r="I1064" s="3">
        <f t="shared" si="223"/>
        <v>17564.412282408106</v>
      </c>
      <c r="J1064" s="3">
        <f t="shared" si="224"/>
        <v>33856.04746150905</v>
      </c>
      <c r="K1064" s="3">
        <f t="shared" si="225"/>
        <v>-11056.54873914404</v>
      </c>
      <c r="L1064" s="3">
        <f t="shared" si="226"/>
        <v>22564.412282408106</v>
      </c>
      <c r="M1064" s="3">
        <f t="shared" si="227"/>
        <v>25127.673423370445</v>
      </c>
      <c r="N1064" s="3">
        <f t="shared" si="228"/>
        <v>3943.4512608559598</v>
      </c>
      <c r="O1064" s="3">
        <f t="shared" si="229"/>
        <v>-27435.587717591894</v>
      </c>
      <c r="P1064" s="3">
        <f t="shared" si="230"/>
        <v>27717.544646963692</v>
      </c>
    </row>
    <row r="1065" spans="1:16" x14ac:dyDescent="0.25">
      <c r="A1065">
        <f t="shared" si="217"/>
        <v>494.5</v>
      </c>
      <c r="B1065">
        <f t="shared" si="218"/>
        <v>-15056.747056671349</v>
      </c>
      <c r="C1065">
        <f t="shared" si="219"/>
        <v>-9322.8227313845746</v>
      </c>
      <c r="D1065">
        <f t="shared" si="220"/>
        <v>-12226.591591630779</v>
      </c>
      <c r="E1065">
        <f t="shared" si="221"/>
        <v>-13516.820897952937</v>
      </c>
      <c r="F1065">
        <f>$C$23*(H1065/(J1065^2+$C$24^2)^1.5)+$C$32*(K1065/(M1065^2+$C$33^2)^1.5)+C$41*(N1065/(P1065^2+$C$42^2)^1.5)</f>
        <v>1012.3157684214962</v>
      </c>
      <c r="G1065">
        <f>$C$23*(I1065/(J1065^2+$C$24^2)^1.5)+$C$32*(L1065/(M1065^2+$C$33^2)^1.5)+C$41*(O1065/(P1065^2+$C$42^2)^1.5)</f>
        <v>5886.681615772377</v>
      </c>
      <c r="H1065" s="3">
        <f t="shared" si="222"/>
        <v>35056.747056671345</v>
      </c>
      <c r="I1065" s="3">
        <f t="shared" si="223"/>
        <v>24322.822731384575</v>
      </c>
      <c r="J1065" s="3">
        <f t="shared" si="224"/>
        <v>42668.199163051089</v>
      </c>
      <c r="K1065" s="3">
        <f t="shared" si="225"/>
        <v>-4943.2529433286509</v>
      </c>
      <c r="L1065" s="3">
        <f t="shared" si="226"/>
        <v>29322.822731384575</v>
      </c>
      <c r="M1065" s="3">
        <f t="shared" si="227"/>
        <v>29736.571466763471</v>
      </c>
      <c r="N1065" s="3">
        <f t="shared" si="228"/>
        <v>10056.747056671349</v>
      </c>
      <c r="O1065" s="3">
        <f t="shared" si="229"/>
        <v>-20677.177268615425</v>
      </c>
      <c r="P1065" s="3">
        <f t="shared" si="230"/>
        <v>22993.125519589856</v>
      </c>
    </row>
    <row r="1066" spans="1:16" x14ac:dyDescent="0.25">
      <c r="A1066">
        <f t="shared" si="217"/>
        <v>495</v>
      </c>
      <c r="B1066">
        <f t="shared" si="218"/>
        <v>-20916.963910381364</v>
      </c>
      <c r="C1066">
        <f t="shared" si="219"/>
        <v>-14609.562776417948</v>
      </c>
      <c r="D1066">
        <f t="shared" si="220"/>
        <v>-11720.43370742003</v>
      </c>
      <c r="E1066">
        <f t="shared" si="221"/>
        <v>-10573.480090066749</v>
      </c>
      <c r="F1066">
        <f>$C$23*(H1066/(J1066^2+$C$24^2)^1.5)+$C$32*(K1066/(M1066^2+$C$33^2)^1.5)+C$41*(N1066/(P1066^2+$C$42^2)^1.5)</f>
        <v>5054.9850013049872</v>
      </c>
      <c r="G1066">
        <f>$C$23*(I1066/(J1066^2+$C$24^2)^1.5)+$C$32*(L1066/(M1066^2+$C$33^2)^1.5)+C$41*(O1066/(P1066^2+$C$42^2)^1.5)</f>
        <v>4731.1313664109484</v>
      </c>
      <c r="H1066" s="3">
        <f t="shared" si="222"/>
        <v>40916.963910381368</v>
      </c>
      <c r="I1066" s="3">
        <f t="shared" si="223"/>
        <v>29609.562776417948</v>
      </c>
      <c r="J1066" s="3">
        <f t="shared" si="224"/>
        <v>50506.674246618997</v>
      </c>
      <c r="K1066" s="3">
        <f t="shared" si="225"/>
        <v>916.96391038136426</v>
      </c>
      <c r="L1066" s="3">
        <f t="shared" si="226"/>
        <v>34609.562776417952</v>
      </c>
      <c r="M1066" s="3">
        <f t="shared" si="227"/>
        <v>34621.707906857468</v>
      </c>
      <c r="N1066" s="3">
        <f t="shared" si="228"/>
        <v>15916.963910381364</v>
      </c>
      <c r="O1066" s="3">
        <f t="shared" si="229"/>
        <v>-15390.437223582052</v>
      </c>
      <c r="P1066" s="3">
        <f t="shared" si="230"/>
        <v>22140.806174514128</v>
      </c>
    </row>
    <row r="1067" spans="1:16" x14ac:dyDescent="0.25">
      <c r="A1067">
        <f t="shared" si="217"/>
        <v>495.5</v>
      </c>
      <c r="B1067">
        <f t="shared" si="218"/>
        <v>-25513.434513765133</v>
      </c>
      <c r="C1067">
        <f t="shared" si="219"/>
        <v>-18713.519979848585</v>
      </c>
      <c r="D1067">
        <f t="shared" si="220"/>
        <v>-9192.9412067675366</v>
      </c>
      <c r="E1067">
        <f t="shared" si="221"/>
        <v>-8207.914406861275</v>
      </c>
      <c r="F1067">
        <f>$C$23*(H1067/(J1067^2+$C$24^2)^1.5)+$C$32*(K1067/(M1067^2+$C$33^2)^1.5)+C$41*(N1067/(P1067^2+$C$42^2)^1.5)</f>
        <v>6397.4552162925283</v>
      </c>
      <c r="G1067">
        <f>$C$23*(I1067/(J1067^2+$C$24^2)^1.5)+$C$32*(L1067/(M1067^2+$C$33^2)^1.5)+C$41*(O1067/(P1067^2+$C$42^2)^1.5)</f>
        <v>4680.7602772452501</v>
      </c>
      <c r="H1067" s="3">
        <f t="shared" si="222"/>
        <v>45513.434513765133</v>
      </c>
      <c r="I1067" s="3">
        <f t="shared" si="223"/>
        <v>33713.519979848585</v>
      </c>
      <c r="J1067" s="3">
        <f t="shared" si="224"/>
        <v>56639.863618042342</v>
      </c>
      <c r="K1067" s="3">
        <f t="shared" si="225"/>
        <v>5513.4345137651326</v>
      </c>
      <c r="L1067" s="3">
        <f t="shared" si="226"/>
        <v>38713.519979848585</v>
      </c>
      <c r="M1067" s="3">
        <f t="shared" si="227"/>
        <v>39104.150538884132</v>
      </c>
      <c r="N1067" s="3">
        <f t="shared" si="228"/>
        <v>20513.434513765133</v>
      </c>
      <c r="O1067" s="3">
        <f t="shared" si="229"/>
        <v>-11286.480020151415</v>
      </c>
      <c r="P1067" s="3">
        <f t="shared" si="230"/>
        <v>23413.364277604524</v>
      </c>
    </row>
    <row r="1068" spans="1:16" x14ac:dyDescent="0.25">
      <c r="A1068">
        <f t="shared" si="217"/>
        <v>496</v>
      </c>
      <c r="B1068">
        <f t="shared" si="218"/>
        <v>-28510.54131307577</v>
      </c>
      <c r="C1068">
        <f t="shared" si="219"/>
        <v>-21647.287113967908</v>
      </c>
      <c r="D1068">
        <f t="shared" si="220"/>
        <v>-5994.2135986212725</v>
      </c>
      <c r="E1068">
        <f t="shared" si="221"/>
        <v>-5867.5342682386499</v>
      </c>
      <c r="F1068">
        <f>$C$23*(H1068/(J1068^2+$C$24^2)^1.5)+$C$32*(K1068/(M1068^2+$C$33^2)^1.5)+C$41*(N1068/(P1068^2+$C$42^2)^1.5)</f>
        <v>6496.3435828307311</v>
      </c>
      <c r="G1068">
        <f>$C$23*(I1068/(J1068^2+$C$24^2)^1.5)+$C$32*(L1068/(M1068^2+$C$33^2)^1.5)+C$41*(O1068/(P1068^2+$C$42^2)^1.5)</f>
        <v>4711.1430620202318</v>
      </c>
      <c r="H1068" s="3">
        <f t="shared" si="222"/>
        <v>48510.541313075766</v>
      </c>
      <c r="I1068" s="3">
        <f t="shared" si="223"/>
        <v>36647.287113967905</v>
      </c>
      <c r="J1068" s="3">
        <f t="shared" si="224"/>
        <v>60797.173218014243</v>
      </c>
      <c r="K1068" s="3">
        <f t="shared" si="225"/>
        <v>8510.5413130757697</v>
      </c>
      <c r="L1068" s="3">
        <f t="shared" si="226"/>
        <v>41647.287113967905</v>
      </c>
      <c r="M1068" s="3">
        <f t="shared" si="227"/>
        <v>42507.950284562612</v>
      </c>
      <c r="N1068" s="3">
        <f t="shared" si="228"/>
        <v>23510.54131307577</v>
      </c>
      <c r="O1068" s="3">
        <f t="shared" si="229"/>
        <v>-8352.7128860320918</v>
      </c>
      <c r="P1068" s="3">
        <f t="shared" si="230"/>
        <v>24950.217742343033</v>
      </c>
    </row>
    <row r="1069" spans="1:16" x14ac:dyDescent="0.25">
      <c r="A1069">
        <f t="shared" si="217"/>
        <v>496.5</v>
      </c>
      <c r="B1069">
        <f t="shared" si="218"/>
        <v>-29883.562216678725</v>
      </c>
      <c r="C1069">
        <f t="shared" si="219"/>
        <v>-23403.268482582174</v>
      </c>
      <c r="D1069">
        <f t="shared" si="220"/>
        <v>-2746.0418072059069</v>
      </c>
      <c r="E1069">
        <f t="shared" si="221"/>
        <v>-3511.962737228534</v>
      </c>
      <c r="F1069">
        <f>$C$23*(H1069/(J1069^2+$C$24^2)^1.5)+$C$32*(K1069/(M1069^2+$C$33^2)^1.5)+C$41*(N1069/(P1069^2+$C$42^2)^1.5)</f>
        <v>6400.1532623604362</v>
      </c>
      <c r="G1069">
        <f>$C$23*(I1069/(J1069^2+$C$24^2)^1.5)+$C$32*(L1069/(M1069^2+$C$33^2)^1.5)+C$41*(O1069/(P1069^2+$C$42^2)^1.5)</f>
        <v>4687.9847893515644</v>
      </c>
      <c r="H1069" s="3">
        <f t="shared" si="222"/>
        <v>49883.562216678722</v>
      </c>
      <c r="I1069" s="3">
        <f t="shared" si="223"/>
        <v>38403.268482582178</v>
      </c>
      <c r="J1069" s="3">
        <f t="shared" si="224"/>
        <v>62953.799008245296</v>
      </c>
      <c r="K1069" s="3">
        <f t="shared" si="225"/>
        <v>9883.5622166787252</v>
      </c>
      <c r="L1069" s="3">
        <f t="shared" si="226"/>
        <v>43403.268482582178</v>
      </c>
      <c r="M1069" s="3">
        <f t="shared" si="227"/>
        <v>44514.363042304343</v>
      </c>
      <c r="N1069" s="3">
        <f t="shared" si="228"/>
        <v>24883.562216678725</v>
      </c>
      <c r="O1069" s="3">
        <f t="shared" si="229"/>
        <v>-6596.7315174178257</v>
      </c>
      <c r="P1069" s="3">
        <f t="shared" si="230"/>
        <v>25743.125981593897</v>
      </c>
    </row>
    <row r="1070" spans="1:16" x14ac:dyDescent="0.25">
      <c r="A1070">
        <f t="shared" si="217"/>
        <v>497</v>
      </c>
      <c r="B1070">
        <f t="shared" si="218"/>
        <v>-29656.54480469157</v>
      </c>
      <c r="C1070">
        <f t="shared" si="219"/>
        <v>-23987.253653858548</v>
      </c>
      <c r="D1070">
        <f t="shared" si="220"/>
        <v>454.03482397431117</v>
      </c>
      <c r="E1070">
        <f t="shared" si="221"/>
        <v>-1167.9703425527518</v>
      </c>
      <c r="F1070">
        <f>$C$23*(H1070/(J1070^2+$C$24^2)^1.5)+$C$32*(K1070/(M1070^2+$C$33^2)^1.5)+C$41*(N1070/(P1070^2+$C$42^2)^1.5)</f>
        <v>6467.146358670705</v>
      </c>
      <c r="G1070">
        <f>$C$23*(I1070/(J1070^2+$C$24^2)^1.5)+$C$32*(L1070/(M1070^2+$C$33^2)^1.5)+C$41*(O1070/(P1070^2+$C$42^2)^1.5)</f>
        <v>4654.0030683426266</v>
      </c>
      <c r="H1070" s="3">
        <f t="shared" si="222"/>
        <v>49656.54480469157</v>
      </c>
      <c r="I1070" s="3">
        <f t="shared" si="223"/>
        <v>38987.253653858548</v>
      </c>
      <c r="J1070" s="3">
        <f t="shared" si="224"/>
        <v>63133.021386677261</v>
      </c>
      <c r="K1070" s="3">
        <f t="shared" si="225"/>
        <v>9656.5448046915699</v>
      </c>
      <c r="L1070" s="3">
        <f t="shared" si="226"/>
        <v>43987.253653858548</v>
      </c>
      <c r="M1070" s="3">
        <f t="shared" si="227"/>
        <v>45034.734834057897</v>
      </c>
      <c r="N1070" s="3">
        <f t="shared" si="228"/>
        <v>24656.54480469157</v>
      </c>
      <c r="O1070" s="3">
        <f t="shared" si="229"/>
        <v>-6012.7463461414518</v>
      </c>
      <c r="P1070" s="3">
        <f t="shared" si="230"/>
        <v>25379.092188823466</v>
      </c>
    </row>
    <row r="1071" spans="1:16" x14ac:dyDescent="0.25">
      <c r="A1071">
        <f t="shared" si="217"/>
        <v>497.5</v>
      </c>
      <c r="B1071">
        <f t="shared" si="218"/>
        <v>-27812.740803036737</v>
      </c>
      <c r="C1071">
        <f t="shared" si="219"/>
        <v>-23407.738058049268</v>
      </c>
      <c r="D1071">
        <f t="shared" si="220"/>
        <v>3687.6080033096637</v>
      </c>
      <c r="E1071">
        <f t="shared" si="221"/>
        <v>1159.0311916185615</v>
      </c>
      <c r="F1071">
        <f>$C$23*(H1071/(J1071^2+$C$24^2)^1.5)+$C$32*(K1071/(M1071^2+$C$33^2)^1.5)+C$41*(N1071/(P1071^2+$C$42^2)^1.5)</f>
        <v>6786.2979839457184</v>
      </c>
      <c r="G1071">
        <f>$C$23*(I1071/(J1071^2+$C$24^2)^1.5)+$C$32*(L1071/(M1071^2+$C$33^2)^1.5)+C$41*(O1071/(P1071^2+$C$42^2)^1.5)</f>
        <v>4541.5805789756942</v>
      </c>
      <c r="H1071" s="3">
        <f t="shared" si="222"/>
        <v>47812.740803036737</v>
      </c>
      <c r="I1071" s="3">
        <f t="shared" si="223"/>
        <v>38407.738058049268</v>
      </c>
      <c r="J1071" s="3">
        <f t="shared" si="224"/>
        <v>61328.725128067839</v>
      </c>
      <c r="K1071" s="3">
        <f t="shared" si="225"/>
        <v>7812.7408030367369</v>
      </c>
      <c r="L1071" s="3">
        <f t="shared" si="226"/>
        <v>43407.738058049268</v>
      </c>
      <c r="M1071" s="3">
        <f t="shared" si="227"/>
        <v>44105.222391137017</v>
      </c>
      <c r="N1071" s="3">
        <f t="shared" si="228"/>
        <v>22812.740803036737</v>
      </c>
      <c r="O1071" s="3">
        <f t="shared" si="229"/>
        <v>-6592.2619419507319</v>
      </c>
      <c r="P1071" s="3">
        <f t="shared" si="230"/>
        <v>23746.137800868361</v>
      </c>
    </row>
    <row r="1072" spans="1:16" x14ac:dyDescent="0.25">
      <c r="A1072">
        <f t="shared" si="217"/>
        <v>498</v>
      </c>
      <c r="B1072">
        <f t="shared" si="218"/>
        <v>-24272.362305395473</v>
      </c>
      <c r="C1072">
        <f t="shared" si="219"/>
        <v>-21692.827317496063</v>
      </c>
      <c r="D1072">
        <f t="shared" si="220"/>
        <v>7080.7569952825233</v>
      </c>
      <c r="E1072">
        <f t="shared" si="221"/>
        <v>3429.8214811064086</v>
      </c>
      <c r="F1072">
        <f>$C$23*(H1072/(J1072^2+$C$24^2)^1.5)+$C$32*(K1072/(M1072^2+$C$33^2)^1.5)+C$41*(N1072/(P1072^2+$C$42^2)^1.5)</f>
        <v>7230.8502278878605</v>
      </c>
      <c r="G1072">
        <f>$C$23*(I1072/(J1072^2+$C$24^2)^1.5)+$C$32*(L1072/(M1072^2+$C$33^2)^1.5)+C$41*(O1072/(P1072^2+$C$42^2)^1.5)</f>
        <v>4012.4157785869761</v>
      </c>
      <c r="H1072" s="3">
        <f t="shared" si="222"/>
        <v>44272.362305395473</v>
      </c>
      <c r="I1072" s="3">
        <f t="shared" si="223"/>
        <v>36692.827317496063</v>
      </c>
      <c r="J1072" s="3">
        <f t="shared" si="224"/>
        <v>57501.353381044755</v>
      </c>
      <c r="K1072" s="3">
        <f t="shared" si="225"/>
        <v>4272.3623053954725</v>
      </c>
      <c r="L1072" s="3">
        <f t="shared" si="226"/>
        <v>41692.827317496063</v>
      </c>
      <c r="M1072" s="3">
        <f t="shared" si="227"/>
        <v>41911.155190415717</v>
      </c>
      <c r="N1072" s="3">
        <f t="shared" si="228"/>
        <v>19272.362305395473</v>
      </c>
      <c r="O1072" s="3">
        <f t="shared" si="229"/>
        <v>-8307.1726825039368</v>
      </c>
      <c r="P1072" s="3">
        <f t="shared" si="230"/>
        <v>20986.497249597607</v>
      </c>
    </row>
    <row r="1073" spans="1:16" x14ac:dyDescent="0.25">
      <c r="A1073">
        <f t="shared" si="217"/>
        <v>498.5</v>
      </c>
      <c r="B1073">
        <f t="shared" si="218"/>
        <v>-18924.271250782247</v>
      </c>
      <c r="C1073">
        <f t="shared" si="219"/>
        <v>-18974.812632296114</v>
      </c>
      <c r="D1073">
        <f t="shared" si="220"/>
        <v>10696.182109226454</v>
      </c>
      <c r="E1073">
        <f t="shared" si="221"/>
        <v>5436.0293703998968</v>
      </c>
      <c r="F1073">
        <f>$C$23*(H1073/(J1073^2+$C$24^2)^1.5)+$C$32*(K1073/(M1073^2+$C$33^2)^1.5)+C$41*(N1073/(P1073^2+$C$42^2)^1.5)</f>
        <v>6825.2150816376325</v>
      </c>
      <c r="G1073">
        <f>$C$23*(I1073/(J1073^2+$C$24^2)^1.5)+$C$32*(L1073/(M1073^2+$C$33^2)^1.5)+C$41*(O1073/(P1073^2+$C$42^2)^1.5)</f>
        <v>2230.7853529161002</v>
      </c>
      <c r="H1073" s="3">
        <f t="shared" si="222"/>
        <v>38924.271250782243</v>
      </c>
      <c r="I1073" s="3">
        <f t="shared" si="223"/>
        <v>33974.812632296118</v>
      </c>
      <c r="J1073" s="3">
        <f t="shared" si="224"/>
        <v>51666.108676811542</v>
      </c>
      <c r="K1073" s="3">
        <f t="shared" si="225"/>
        <v>-1075.7287492177529</v>
      </c>
      <c r="L1073" s="3">
        <f t="shared" si="226"/>
        <v>38974.812632296118</v>
      </c>
      <c r="M1073" s="3">
        <f t="shared" si="227"/>
        <v>38989.65519294166</v>
      </c>
      <c r="N1073" s="3">
        <f t="shared" si="228"/>
        <v>13924.271250782247</v>
      </c>
      <c r="O1073" s="3">
        <f t="shared" si="229"/>
        <v>-11025.187367703886</v>
      </c>
      <c r="P1073" s="3">
        <f t="shared" si="230"/>
        <v>17760.633050607696</v>
      </c>
    </row>
    <row r="1074" spans="1:16" x14ac:dyDescent="0.25">
      <c r="A1074">
        <f t="shared" si="217"/>
        <v>499</v>
      </c>
      <c r="B1074">
        <f t="shared" si="218"/>
        <v>-11869.876425759612</v>
      </c>
      <c r="C1074">
        <f t="shared" si="219"/>
        <v>-15699.10160886714</v>
      </c>
      <c r="D1074">
        <f t="shared" si="220"/>
        <v>14108.78965004527</v>
      </c>
      <c r="E1074">
        <f t="shared" si="221"/>
        <v>6551.422046857947</v>
      </c>
      <c r="F1074">
        <f>$C$23*(H1074/(J1074^2+$C$24^2)^1.5)+$C$32*(K1074/(M1074^2+$C$33^2)^1.5)+C$41*(N1074/(P1074^2+$C$42^2)^1.5)</f>
        <v>2696.1508314865559</v>
      </c>
      <c r="G1074">
        <f>$C$23*(I1074/(J1074^2+$C$24^2)^1.5)+$C$32*(L1074/(M1074^2+$C$33^2)^1.5)+C$41*(O1074/(P1074^2+$C$42^2)^1.5)</f>
        <v>-752.21342740933869</v>
      </c>
      <c r="H1074" s="3">
        <f t="shared" si="222"/>
        <v>31869.876425759612</v>
      </c>
      <c r="I1074" s="3">
        <f t="shared" si="223"/>
        <v>30699.101608867139</v>
      </c>
      <c r="J1074" s="3">
        <f t="shared" si="224"/>
        <v>44250.693361626967</v>
      </c>
      <c r="K1074" s="3">
        <f t="shared" si="225"/>
        <v>-8130.1235742403878</v>
      </c>
      <c r="L1074" s="3">
        <f t="shared" si="226"/>
        <v>35699.101608867139</v>
      </c>
      <c r="M1074" s="3">
        <f t="shared" si="227"/>
        <v>36613.177477687452</v>
      </c>
      <c r="N1074" s="3">
        <f t="shared" si="228"/>
        <v>6869.8764257596122</v>
      </c>
      <c r="O1074" s="3">
        <f t="shared" si="229"/>
        <v>-14300.89839113286</v>
      </c>
      <c r="P1074" s="3">
        <f t="shared" si="230"/>
        <v>15865.399361463111</v>
      </c>
    </row>
    <row r="1075" spans="1:16" x14ac:dyDescent="0.25">
      <c r="A1075">
        <f t="shared" si="217"/>
        <v>499.5</v>
      </c>
      <c r="B1075">
        <f t="shared" si="218"/>
        <v>-4141.4438928653381</v>
      </c>
      <c r="C1075">
        <f t="shared" si="219"/>
        <v>-12611.443942290502</v>
      </c>
      <c r="D1075">
        <f t="shared" si="220"/>
        <v>15456.865065788548</v>
      </c>
      <c r="E1075">
        <f t="shared" si="221"/>
        <v>6175.3153331532776</v>
      </c>
      <c r="F1075">
        <f>$C$23*(H1075/(J1075^2+$C$24^2)^1.5)+$C$32*(K1075/(M1075^2+$C$33^2)^1.5)+C$41*(N1075/(P1075^2+$C$42^2)^1.5)</f>
        <v>-3904.8957600348776</v>
      </c>
      <c r="G1075">
        <f>$C$23*(I1075/(J1075^2+$C$24^2)^1.5)+$C$32*(L1075/(M1075^2+$C$33^2)^1.5)+C$41*(O1075/(P1075^2+$C$42^2)^1.5)</f>
        <v>-1086.0780040512591</v>
      </c>
      <c r="H1075" s="3">
        <f t="shared" si="222"/>
        <v>24141.44389286534</v>
      </c>
      <c r="I1075" s="3">
        <f t="shared" si="223"/>
        <v>27611.443942290502</v>
      </c>
      <c r="J1075" s="3">
        <f t="shared" si="224"/>
        <v>36676.983924671556</v>
      </c>
      <c r="K1075" s="3">
        <f t="shared" si="225"/>
        <v>-15858.556107134662</v>
      </c>
      <c r="L1075" s="3">
        <f t="shared" si="226"/>
        <v>32611.443942290502</v>
      </c>
      <c r="M1075" s="3">
        <f t="shared" si="227"/>
        <v>36262.929801717539</v>
      </c>
      <c r="N1075" s="3">
        <f t="shared" si="228"/>
        <v>-858.55610713466194</v>
      </c>
      <c r="O1075" s="3">
        <f t="shared" si="229"/>
        <v>-17388.556057709498</v>
      </c>
      <c r="P1075" s="3">
        <f t="shared" si="230"/>
        <v>17409.738664356908</v>
      </c>
    </row>
    <row r="1076" spans="1:16" x14ac:dyDescent="0.25">
      <c r="A1076">
        <f t="shared" si="217"/>
        <v>500</v>
      </c>
      <c r="B1076">
        <f t="shared" si="218"/>
        <v>2610.7647000202169</v>
      </c>
      <c r="C1076">
        <f t="shared" si="219"/>
        <v>-9795.3057767266782</v>
      </c>
      <c r="D1076">
        <f t="shared" si="220"/>
        <v>13504.41718577111</v>
      </c>
      <c r="E1076">
        <f t="shared" si="221"/>
        <v>5632.2763311276485</v>
      </c>
      <c r="F1076">
        <f>$C$23*(H1076/(J1076^2+$C$24^2)^1.5)+$C$32*(K1076/(M1076^2+$C$33^2)^1.5)+C$41*(N1076/(P1076^2+$C$42^2)^1.5)</f>
        <v>-6935.951740802383</v>
      </c>
      <c r="G1076">
        <f>$C$23*(I1076/(J1076^2+$C$24^2)^1.5)+$C$32*(L1076/(M1076^2+$C$33^2)^1.5)+C$41*(O1076/(P1076^2+$C$42^2)^1.5)</f>
        <v>602.48844827313133</v>
      </c>
      <c r="H1076" s="3">
        <f t="shared" si="222"/>
        <v>17389.235299979784</v>
      </c>
      <c r="I1076" s="3">
        <f t="shared" si="223"/>
        <v>24795.30577672668</v>
      </c>
      <c r="J1076" s="3">
        <f t="shared" si="224"/>
        <v>30285.189332071848</v>
      </c>
      <c r="K1076" s="3">
        <f t="shared" si="225"/>
        <v>-22610.764700020216</v>
      </c>
      <c r="L1076" s="3">
        <f t="shared" si="226"/>
        <v>29795.30577672668</v>
      </c>
      <c r="M1076" s="3">
        <f t="shared" si="227"/>
        <v>37403.301012722426</v>
      </c>
      <c r="N1076" s="3">
        <f t="shared" si="228"/>
        <v>-7610.7647000202169</v>
      </c>
      <c r="O1076" s="3">
        <f t="shared" si="229"/>
        <v>-20204.69422327332</v>
      </c>
      <c r="P1076" s="3">
        <f t="shared" si="230"/>
        <v>21590.586096144962</v>
      </c>
    </row>
  </sheetData>
  <mergeCells count="40">
    <mergeCell ref="A35:E35"/>
    <mergeCell ref="A46:K46"/>
    <mergeCell ref="A73:P73"/>
    <mergeCell ref="A17:E17"/>
    <mergeCell ref="A27:E27"/>
    <mergeCell ref="C34:D34"/>
    <mergeCell ref="C33:D33"/>
    <mergeCell ref="C32:D32"/>
    <mergeCell ref="C31:D31"/>
    <mergeCell ref="C30:D30"/>
    <mergeCell ref="C29:D29"/>
    <mergeCell ref="A26:E26"/>
    <mergeCell ref="A18:E18"/>
    <mergeCell ref="C14:D14"/>
    <mergeCell ref="C10:D10"/>
    <mergeCell ref="C25:D25"/>
    <mergeCell ref="A4:E4"/>
    <mergeCell ref="A9:E9"/>
    <mergeCell ref="A16:E16"/>
    <mergeCell ref="C24:D24"/>
    <mergeCell ref="C23:D23"/>
    <mergeCell ref="C22:D22"/>
    <mergeCell ref="C21:D21"/>
    <mergeCell ref="C20:D20"/>
    <mergeCell ref="C5:E5"/>
    <mergeCell ref="C6:E6"/>
    <mergeCell ref="C7:E7"/>
    <mergeCell ref="A8:E8"/>
    <mergeCell ref="N74:P74"/>
    <mergeCell ref="D74:E74"/>
    <mergeCell ref="C38:D38"/>
    <mergeCell ref="C39:D39"/>
    <mergeCell ref="C40:D40"/>
    <mergeCell ref="C41:D41"/>
    <mergeCell ref="C42:D42"/>
    <mergeCell ref="C43:D43"/>
    <mergeCell ref="B74:C74"/>
    <mergeCell ref="F74:G74"/>
    <mergeCell ref="H74:J74"/>
    <mergeCell ref="K74:M74"/>
  </mergeCells>
  <phoneticPr fontId="5" type="noConversion"/>
  <dataValidations count="1">
    <dataValidation type="list" allowBlank="1" showInputMessage="1" showErrorMessage="1" sqref="C34:D34 C25:D25 C43:D43">
      <formula1>$N$47:$N$48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2:P1056"/>
  <sheetViews>
    <sheetView tabSelected="1" zoomScale="70" zoomScaleNormal="70" workbookViewId="0">
      <selection activeCell="N62" sqref="N62"/>
    </sheetView>
  </sheetViews>
  <sheetFormatPr baseColWidth="10" defaultRowHeight="15" x14ac:dyDescent="0.25"/>
  <cols>
    <col min="14" max="14" width="18.140625" bestFit="1" customWidth="1"/>
    <col min="18" max="18" width="20" bestFit="1" customWidth="1"/>
  </cols>
  <sheetData>
    <row r="2" spans="14:15" x14ac:dyDescent="0.25">
      <c r="N2" s="106">
        <v>0</v>
      </c>
      <c r="O2" s="106"/>
    </row>
    <row r="9" spans="14:15" x14ac:dyDescent="0.25">
      <c r="N9" t="s">
        <v>82</v>
      </c>
      <c r="O9">
        <v>71</v>
      </c>
    </row>
    <row r="17" spans="14:16" x14ac:dyDescent="0.25">
      <c r="N17" t="s">
        <v>81</v>
      </c>
      <c r="O17">
        <f>INDEX(B56:D1056,MATCH(O9,B56:B1056),2)</f>
        <v>-13074.175975925778</v>
      </c>
      <c r="P17">
        <f>INDEX(B56:D1056,MATCH(O9,B56:B1056),3)</f>
        <v>-28719.753535821488</v>
      </c>
    </row>
    <row r="21" spans="14:16" x14ac:dyDescent="0.25">
      <c r="O21">
        <f>INDEX(B56:D1056,MATCH(O9-0.5,B56:B1056),2)</f>
        <v>-19627.907176849829</v>
      </c>
      <c r="P21">
        <f>INDEX(B56:D1056,MATCH(O9-0.5,B56:B1056),3)</f>
        <v>-31394.243882934505</v>
      </c>
    </row>
    <row r="22" spans="14:16" x14ac:dyDescent="0.25">
      <c r="O22">
        <f>INDEX(B56:D1056,MATCH(O9-1,B56:B1056),2)</f>
        <v>-23439.588356209104</v>
      </c>
      <c r="P22">
        <f>INDEX(B56:D1056,MATCH(O9-1,B56:B1056),3)</f>
        <v>-32598.695471488711</v>
      </c>
    </row>
    <row r="23" spans="14:16" x14ac:dyDescent="0.25">
      <c r="O23">
        <f>INDEX(B56:D1056,MATCH(O9-1.5,B56:B1056),2)</f>
        <v>-25111.553499507485</v>
      </c>
      <c r="P23">
        <f>INDEX(B56:D1056,MATCH(O9-1.5,B56:B1056),3)</f>
        <v>-32362.502361979808</v>
      </c>
    </row>
    <row r="24" spans="14:16" x14ac:dyDescent="0.25">
      <c r="O24">
        <f>INDEX(B56:D1056,MATCH(O9-2,B56:B1056),2)</f>
        <v>-24823.96758375525</v>
      </c>
      <c r="P24">
        <f>INDEX(B56:D1056,MATCH(O9-2,B56:B1056),3)</f>
        <v>-30759.334614739997</v>
      </c>
    </row>
    <row r="25" spans="14:16" x14ac:dyDescent="0.25">
      <c r="O25">
        <f>INDEX(B56:D1056,MATCH(O9-2.5,B56:B1056),2)</f>
        <v>-22507.479100163808</v>
      </c>
      <c r="P25">
        <f>INDEX(B56:D1056,MATCH(O9-2.5,B56:B1056),3)</f>
        <v>-27866.139148008362</v>
      </c>
    </row>
    <row r="26" spans="14:16" x14ac:dyDescent="0.25">
      <c r="O26">
        <f>INDEX(B56:D1056,MATCH(O9-3,B56:B1056),2)</f>
        <v>-17896.189744224292</v>
      </c>
      <c r="P26">
        <f>INDEX(B56:D1056,MATCH(O9-3,B56:B1056),3)</f>
        <v>-23880.467245779397</v>
      </c>
    </row>
    <row r="27" spans="14:16" x14ac:dyDescent="0.25">
      <c r="O27">
        <f>INDEX(B56:D1056,MATCH(O9-3.5,B56:B1056),2)</f>
        <v>-10777.726332476788</v>
      </c>
      <c r="P27">
        <f>INDEX(B56:D1056,MATCH(O9-3.5,B56:B1056),3)</f>
        <v>-19523.51703263291</v>
      </c>
    </row>
    <row r="28" spans="14:16" x14ac:dyDescent="0.25">
      <c r="O28">
        <f>INDEX(B56:D1056,MATCH(O9-4,B56:B1056),2)</f>
        <v>-2425.7221265991457</v>
      </c>
      <c r="P28">
        <f>INDEX(B56:D1056,MATCH(O9-4,B56:B1056),3)</f>
        <v>-16291.016811646758</v>
      </c>
    </row>
    <row r="29" spans="14:16" x14ac:dyDescent="0.25">
      <c r="O29">
        <f>INDEX(B56:D1056,MATCH(O9-4.5,B56:B1056),2)</f>
        <v>4663.2021124606645</v>
      </c>
      <c r="P29">
        <f>INDEX(B56:D1056,MATCH(O9-4.5,B56:B1056),3)</f>
        <v>-14217.409422258825</v>
      </c>
    </row>
    <row r="30" spans="14:16" x14ac:dyDescent="0.25">
      <c r="O30">
        <f>INDEX(B56:D1056,MATCH(O9-5,B56:B1056),2)</f>
        <v>9747.3208480583962</v>
      </c>
      <c r="P30">
        <f>INDEX(B56:D1056,MATCH(O9-5,B56:B1056),3)</f>
        <v>-12468.749773096231</v>
      </c>
    </row>
    <row r="31" spans="14:16" x14ac:dyDescent="0.25">
      <c r="O31">
        <f>INDEX(B56:D1056,MATCH(O9-5.5,B56:B1056),2)</f>
        <v>12849.357640567949</v>
      </c>
      <c r="P31">
        <f>INDEX(B56:D1056,MATCH(O9-5.5,B56:B1056),3)</f>
        <v>-10619.033771626328</v>
      </c>
    </row>
    <row r="32" spans="14:16" x14ac:dyDescent="0.25">
      <c r="O32">
        <f>INDEX(B56:D1056,MATCH(O9-6,B56:B1056),2)</f>
        <v>14069.578763116646</v>
      </c>
      <c r="P32">
        <f>INDEX(B56:D1056,MATCH(O9-6,B56:B1056),3)</f>
        <v>-8487.2484147627802</v>
      </c>
    </row>
    <row r="53" spans="2:4" ht="0.75" customHeight="1" x14ac:dyDescent="0.25">
      <c r="B53" t="s">
        <v>74</v>
      </c>
    </row>
    <row r="54" spans="2:4" x14ac:dyDescent="0.25">
      <c r="C54" t="s">
        <v>38</v>
      </c>
    </row>
    <row r="55" spans="2:4" x14ac:dyDescent="0.25">
      <c r="B55" t="s">
        <v>34</v>
      </c>
      <c r="C55" t="s">
        <v>2</v>
      </c>
      <c r="D55" t="s">
        <v>3</v>
      </c>
    </row>
    <row r="56" spans="2:4" x14ac:dyDescent="0.25">
      <c r="B56">
        <f>Feuille1!A76</f>
        <v>0</v>
      </c>
      <c r="C56">
        <f>Feuille1!B76</f>
        <v>0</v>
      </c>
      <c r="D56">
        <f>Feuille1!C76</f>
        <v>0</v>
      </c>
    </row>
    <row r="57" spans="2:4" x14ac:dyDescent="0.25">
      <c r="B57">
        <f>Feuille1!A77</f>
        <v>0.5</v>
      </c>
      <c r="C57">
        <f>Feuille1!B77</f>
        <v>0</v>
      </c>
      <c r="D57">
        <f>Feuille1!C77</f>
        <v>0</v>
      </c>
    </row>
    <row r="58" spans="2:4" x14ac:dyDescent="0.25">
      <c r="B58">
        <f>Feuille1!A78</f>
        <v>1</v>
      </c>
      <c r="C58">
        <f>Feuille1!B78</f>
        <v>-2155.5815963805753</v>
      </c>
      <c r="D58">
        <f>Feuille1!C78</f>
        <v>1315.1531696174502</v>
      </c>
    </row>
    <row r="59" spans="2:4" x14ac:dyDescent="0.25">
      <c r="B59">
        <f>Feuille1!A79</f>
        <v>1.5</v>
      </c>
      <c r="C59">
        <f>Feuille1!B79</f>
        <v>-6603.6834132787899</v>
      </c>
      <c r="D59">
        <f>Feuille1!C79</f>
        <v>4290.0643818581184</v>
      </c>
    </row>
    <row r="60" spans="2:4" x14ac:dyDescent="0.25">
      <c r="B60">
        <f>Feuille1!A80</f>
        <v>2</v>
      </c>
      <c r="C60">
        <f>Feuille1!B80</f>
        <v>-13722.626653922182</v>
      </c>
      <c r="D60">
        <f>Feuille1!C80</f>
        <v>9876.9254111074151</v>
      </c>
    </row>
    <row r="61" spans="2:4" x14ac:dyDescent="0.25">
      <c r="B61">
        <f>Feuille1!A81</f>
        <v>2.5</v>
      </c>
      <c r="C61">
        <f>Feuille1!B81</f>
        <v>-23767.891163966113</v>
      </c>
      <c r="D61">
        <f>Feuille1!C81</f>
        <v>20008.850050760957</v>
      </c>
    </row>
    <row r="62" spans="2:4" x14ac:dyDescent="0.25">
      <c r="B62">
        <f>Feuille1!A82</f>
        <v>3</v>
      </c>
      <c r="C62">
        <f>Feuille1!B82</f>
        <v>-30025.245065416548</v>
      </c>
      <c r="D62">
        <f>Feuille1!C82</f>
        <v>29798.468781419637</v>
      </c>
    </row>
    <row r="63" spans="2:4" x14ac:dyDescent="0.25">
      <c r="B63">
        <f>Feuille1!A83</f>
        <v>3.5</v>
      </c>
      <c r="C63">
        <f>Feuille1!B83</f>
        <v>-32049.958207491174</v>
      </c>
      <c r="D63">
        <f>Feuille1!C83</f>
        <v>35351.049763813644</v>
      </c>
    </row>
    <row r="64" spans="2:4" x14ac:dyDescent="0.25">
      <c r="B64">
        <f>Feuille1!A84</f>
        <v>4</v>
      </c>
      <c r="C64">
        <f>Feuille1!B84</f>
        <v>-31102.546125558074</v>
      </c>
      <c r="D64">
        <f>Feuille1!C84</f>
        <v>37062.590888207284</v>
      </c>
    </row>
    <row r="65" spans="2:4" x14ac:dyDescent="0.25">
      <c r="B65">
        <f>Feuille1!A85</f>
        <v>4.5</v>
      </c>
      <c r="C65">
        <f>Feuille1!B85</f>
        <v>-27618.550565493912</v>
      </c>
      <c r="D65">
        <f>Feuille1!C85</f>
        <v>34844.637682455214</v>
      </c>
    </row>
    <row r="66" spans="2:4" x14ac:dyDescent="0.25">
      <c r="B66">
        <f>Feuille1!A86</f>
        <v>5</v>
      </c>
      <c r="C66">
        <f>Feuille1!B86</f>
        <v>-21634.972400506449</v>
      </c>
      <c r="D66">
        <f>Feuille1!C86</f>
        <v>27759.779350741424</v>
      </c>
    </row>
    <row r="67" spans="2:4" x14ac:dyDescent="0.25">
      <c r="B67">
        <f>Feuille1!A87</f>
        <v>5.5</v>
      </c>
      <c r="C67">
        <f>Feuille1!B87</f>
        <v>-14326.696242414633</v>
      </c>
      <c r="D67">
        <f>Feuille1!C87</f>
        <v>14773.147597685245</v>
      </c>
    </row>
    <row r="68" spans="2:4" x14ac:dyDescent="0.25">
      <c r="B68">
        <f>Feuille1!A88</f>
        <v>6</v>
      </c>
      <c r="C68">
        <f>Feuille1!B88</f>
        <v>-10993.895450815102</v>
      </c>
      <c r="D68">
        <f>Feuille1!C88</f>
        <v>5179.7495606692592</v>
      </c>
    </row>
    <row r="69" spans="2:4" x14ac:dyDescent="0.25">
      <c r="B69">
        <f>Feuille1!A89</f>
        <v>6.5</v>
      </c>
      <c r="C69">
        <f>Feuille1!B89</f>
        <v>-10064.215079571481</v>
      </c>
      <c r="D69">
        <f>Feuille1!C89</f>
        <v>-756.23829981875588</v>
      </c>
    </row>
    <row r="70" spans="2:4" x14ac:dyDescent="0.25">
      <c r="B70">
        <f>Feuille1!A90</f>
        <v>7</v>
      </c>
      <c r="C70">
        <f>Feuille1!B90</f>
        <v>-10558.710051758733</v>
      </c>
      <c r="D70">
        <f>Feuille1!C90</f>
        <v>-4098.7056719765515</v>
      </c>
    </row>
    <row r="71" spans="2:4" x14ac:dyDescent="0.25">
      <c r="B71">
        <f>Feuille1!A91</f>
        <v>7.5</v>
      </c>
      <c r="C71">
        <f>Feuille1!B91</f>
        <v>-11960.204685694011</v>
      </c>
      <c r="D71">
        <f>Feuille1!C91</f>
        <v>-5402.3926761052608</v>
      </c>
    </row>
    <row r="72" spans="2:4" x14ac:dyDescent="0.25">
      <c r="B72">
        <f>Feuille1!A92</f>
        <v>8</v>
      </c>
      <c r="C72">
        <f>Feuille1!B92</f>
        <v>-13928.512741700068</v>
      </c>
      <c r="D72">
        <f>Feuille1!C92</f>
        <v>-4763.117162036413</v>
      </c>
    </row>
    <row r="73" spans="2:4" x14ac:dyDescent="0.25">
      <c r="B73">
        <f>Feuille1!A93</f>
        <v>8.5</v>
      </c>
      <c r="C73">
        <f>Feuille1!B93</f>
        <v>-16253.493901701464</v>
      </c>
      <c r="D73">
        <f>Feuille1!C93</f>
        <v>-1833.659634638283</v>
      </c>
    </row>
    <row r="74" spans="2:4" x14ac:dyDescent="0.25">
      <c r="B74">
        <f>Feuille1!A94</f>
        <v>9</v>
      </c>
      <c r="C74">
        <f>Feuille1!B94</f>
        <v>-18835.609256513726</v>
      </c>
      <c r="D74">
        <f>Feuille1!C94</f>
        <v>4253.9225142981613</v>
      </c>
    </row>
    <row r="75" spans="2:4" x14ac:dyDescent="0.25">
      <c r="B75">
        <f>Feuille1!A95</f>
        <v>9.5</v>
      </c>
      <c r="C75">
        <f>Feuille1!B95</f>
        <v>-21481.742824395347</v>
      </c>
      <c r="D75">
        <f>Feuille1!C95</f>
        <v>15110.334180511712</v>
      </c>
    </row>
    <row r="76" spans="2:4" x14ac:dyDescent="0.25">
      <c r="B76">
        <f>Feuille1!A96</f>
        <v>10</v>
      </c>
      <c r="C76">
        <f>Feuille1!B96</f>
        <v>-22591.125006231799</v>
      </c>
      <c r="D76">
        <f>Feuille1!C96</f>
        <v>29909.52027998109</v>
      </c>
    </row>
    <row r="77" spans="2:4" x14ac:dyDescent="0.25">
      <c r="B77">
        <f>Feuille1!A97</f>
        <v>10.5</v>
      </c>
      <c r="C77">
        <f>Feuille1!B97</f>
        <v>-22039.83585133322</v>
      </c>
      <c r="D77">
        <f>Feuille1!C97</f>
        <v>38595.104325361695</v>
      </c>
    </row>
    <row r="78" spans="2:4" x14ac:dyDescent="0.25">
      <c r="B78">
        <f>Feuille1!A98</f>
        <v>11</v>
      </c>
      <c r="C78">
        <f>Feuille1!B98</f>
        <v>-20868.200211640778</v>
      </c>
      <c r="D78">
        <f>Feuille1!C98</f>
        <v>42288.823776570913</v>
      </c>
    </row>
    <row r="79" spans="2:4" x14ac:dyDescent="0.25">
      <c r="B79">
        <f>Feuille1!A99</f>
        <v>11.5</v>
      </c>
      <c r="C79">
        <f>Feuille1!B99</f>
        <v>-19454.294776478026</v>
      </c>
      <c r="D79">
        <f>Feuille1!C99</f>
        <v>41715.224253266766</v>
      </c>
    </row>
    <row r="80" spans="2:4" x14ac:dyDescent="0.25">
      <c r="B80">
        <f>Feuille1!A100</f>
        <v>12</v>
      </c>
      <c r="C80">
        <f>Feuille1!B100</f>
        <v>-18060.671639539956</v>
      </c>
      <c r="D80">
        <f>Feuille1!C100</f>
        <v>36751.129706855558</v>
      </c>
    </row>
    <row r="81" spans="2:4" x14ac:dyDescent="0.25">
      <c r="B81">
        <f>Feuille1!A101</f>
        <v>12.5</v>
      </c>
      <c r="C81">
        <f>Feuille1!B101</f>
        <v>-17163.182537643501</v>
      </c>
      <c r="D81">
        <f>Feuille1!C101</f>
        <v>26388.750671235499</v>
      </c>
    </row>
    <row r="82" spans="2:4" x14ac:dyDescent="0.25">
      <c r="B82">
        <f>Feuille1!A102</f>
        <v>13</v>
      </c>
      <c r="C82">
        <f>Feuille1!B102</f>
        <v>-18333.635457549368</v>
      </c>
      <c r="D82">
        <f>Feuille1!C102</f>
        <v>10725.194885139919</v>
      </c>
    </row>
    <row r="83" spans="2:4" x14ac:dyDescent="0.25">
      <c r="B83">
        <f>Feuille1!A103</f>
        <v>13.5</v>
      </c>
      <c r="C83">
        <f>Feuille1!B103</f>
        <v>-20314.416743382022</v>
      </c>
      <c r="D83">
        <f>Feuille1!C103</f>
        <v>467.61607473685581</v>
      </c>
    </row>
    <row r="84" spans="2:4" x14ac:dyDescent="0.25">
      <c r="B84">
        <f>Feuille1!A104</f>
        <v>14</v>
      </c>
      <c r="C84">
        <f>Feuille1!B104</f>
        <v>-21797.737186198516</v>
      </c>
      <c r="D84">
        <f>Feuille1!C104</f>
        <v>-5856.7500622231883</v>
      </c>
    </row>
    <row r="85" spans="2:4" x14ac:dyDescent="0.25">
      <c r="B85">
        <f>Feuille1!A105</f>
        <v>14.5</v>
      </c>
      <c r="C85">
        <f>Feuille1!B105</f>
        <v>-22404.964366037526</v>
      </c>
      <c r="D85">
        <f>Feuille1!C105</f>
        <v>-9595.3521899398365</v>
      </c>
    </row>
    <row r="86" spans="2:4" x14ac:dyDescent="0.25">
      <c r="B86">
        <f>Feuille1!A106</f>
        <v>15</v>
      </c>
      <c r="C86">
        <f>Feuille1!B106</f>
        <v>-21957.686392736607</v>
      </c>
      <c r="D86">
        <f>Feuille1!C106</f>
        <v>-11377.047726255729</v>
      </c>
    </row>
    <row r="87" spans="2:4" x14ac:dyDescent="0.25">
      <c r="B87">
        <f>Feuille1!A107</f>
        <v>15.5</v>
      </c>
      <c r="C87">
        <f>Feuille1!B107</f>
        <v>-20409.952785214831</v>
      </c>
      <c r="D87">
        <f>Feuille1!C107</f>
        <v>-11486.921181512964</v>
      </c>
    </row>
    <row r="88" spans="2:4" x14ac:dyDescent="0.25">
      <c r="B88">
        <f>Feuille1!A108</f>
        <v>16</v>
      </c>
      <c r="C88">
        <f>Feuille1!B108</f>
        <v>-17872.272947658668</v>
      </c>
      <c r="D88">
        <f>Feuille1!C108</f>
        <v>-10036.88092171992</v>
      </c>
    </row>
    <row r="89" spans="2:4" x14ac:dyDescent="0.25">
      <c r="B89">
        <f>Feuille1!A109</f>
        <v>16.5</v>
      </c>
      <c r="C89">
        <f>Feuille1!B109</f>
        <v>-14692.644061382864</v>
      </c>
      <c r="D89">
        <f>Feuille1!C109</f>
        <v>-6985.367470106683</v>
      </c>
    </row>
    <row r="90" spans="2:4" x14ac:dyDescent="0.25">
      <c r="B90">
        <f>Feuille1!A110</f>
        <v>17</v>
      </c>
      <c r="C90">
        <f>Feuille1!B110</f>
        <v>-11537.597441267137</v>
      </c>
      <c r="D90">
        <f>Feuille1!C110</f>
        <v>-2029.1087457933634</v>
      </c>
    </row>
    <row r="91" spans="2:4" x14ac:dyDescent="0.25">
      <c r="B91">
        <f>Feuille1!A111</f>
        <v>17.5</v>
      </c>
      <c r="C91">
        <f>Feuille1!B111</f>
        <v>-9420.0988076053836</v>
      </c>
      <c r="D91">
        <f>Feuille1!C111</f>
        <v>5494.246292783645</v>
      </c>
    </row>
    <row r="92" spans="2:4" x14ac:dyDescent="0.25">
      <c r="B92">
        <f>Feuille1!A112</f>
        <v>18</v>
      </c>
      <c r="C92">
        <f>Feuille1!B112</f>
        <v>-10006.906581289682</v>
      </c>
      <c r="D92">
        <f>Feuille1!C112</f>
        <v>16336.09905585076</v>
      </c>
    </row>
    <row r="93" spans="2:4" x14ac:dyDescent="0.25">
      <c r="B93">
        <f>Feuille1!A113</f>
        <v>18.5</v>
      </c>
      <c r="C93">
        <f>Feuille1!B113</f>
        <v>-16082.619821953129</v>
      </c>
      <c r="D93">
        <f>Feuille1!C113</f>
        <v>28804.957503984228</v>
      </c>
    </row>
    <row r="94" spans="2:4" x14ac:dyDescent="0.25">
      <c r="B94">
        <f>Feuille1!A114</f>
        <v>19</v>
      </c>
      <c r="C94">
        <f>Feuille1!B114</f>
        <v>-24469.432246022487</v>
      </c>
      <c r="D94">
        <f>Feuille1!C114</f>
        <v>35476.526725325435</v>
      </c>
    </row>
    <row r="95" spans="2:4" x14ac:dyDescent="0.25">
      <c r="B95">
        <f>Feuille1!A115</f>
        <v>19.5</v>
      </c>
      <c r="C95">
        <f>Feuille1!B115</f>
        <v>-31264.235014873706</v>
      </c>
      <c r="D95">
        <f>Feuille1!C115</f>
        <v>36788.178231816346</v>
      </c>
    </row>
    <row r="96" spans="2:4" x14ac:dyDescent="0.25">
      <c r="B96">
        <f>Feuille1!A116</f>
        <v>20</v>
      </c>
      <c r="C96">
        <f>Feuille1!B116</f>
        <v>-35452.915064257119</v>
      </c>
      <c r="D96">
        <f>Feuille1!C116</f>
        <v>34180.452727220218</v>
      </c>
    </row>
    <row r="97" spans="2:4" x14ac:dyDescent="0.25">
      <c r="B97">
        <f>Feuille1!A117</f>
        <v>20.5</v>
      </c>
      <c r="C97">
        <f>Feuille1!B117</f>
        <v>-36334.012045194482</v>
      </c>
      <c r="D97">
        <f>Feuille1!C117</f>
        <v>28455.052531943355</v>
      </c>
    </row>
    <row r="98" spans="2:4" x14ac:dyDescent="0.25">
      <c r="B98">
        <f>Feuille1!A118</f>
        <v>21</v>
      </c>
      <c r="C98">
        <f>Feuille1!B118</f>
        <v>-32750.664025319435</v>
      </c>
      <c r="D98">
        <f>Feuille1!C118</f>
        <v>20282.589660067104</v>
      </c>
    </row>
    <row r="99" spans="2:4" x14ac:dyDescent="0.25">
      <c r="B99">
        <f>Feuille1!A119</f>
        <v>21.5</v>
      </c>
      <c r="C99">
        <f>Feuille1!B119</f>
        <v>-23070.716396222168</v>
      </c>
      <c r="D99">
        <f>Feuille1!C119</f>
        <v>11708.911237155278</v>
      </c>
    </row>
    <row r="100" spans="2:4" x14ac:dyDescent="0.25">
      <c r="B100">
        <f>Feuille1!A120</f>
        <v>22</v>
      </c>
      <c r="C100">
        <f>Feuille1!B120</f>
        <v>-11078.567477043372</v>
      </c>
      <c r="D100">
        <f>Feuille1!C120</f>
        <v>8258.3774976877939</v>
      </c>
    </row>
    <row r="101" spans="2:4" x14ac:dyDescent="0.25">
      <c r="B101">
        <f>Feuille1!A121</f>
        <v>22.5</v>
      </c>
      <c r="C101">
        <f>Feuille1!B121</f>
        <v>-2252.9676035703915</v>
      </c>
      <c r="D101">
        <f>Feuille1!C121</f>
        <v>8667.5279360391833</v>
      </c>
    </row>
    <row r="102" spans="2:4" x14ac:dyDescent="0.25">
      <c r="B102">
        <f>Feuille1!A122</f>
        <v>23</v>
      </c>
      <c r="C102">
        <f>Feuille1!B122</f>
        <v>3117.5647869087711</v>
      </c>
      <c r="D102">
        <f>Feuille1!C122</f>
        <v>10825.969861403903</v>
      </c>
    </row>
    <row r="103" spans="2:4" x14ac:dyDescent="0.25">
      <c r="B103">
        <f>Feuille1!A123</f>
        <v>23.5</v>
      </c>
      <c r="C103">
        <f>Feuille1!B123</f>
        <v>5418.0599562085408</v>
      </c>
      <c r="D103">
        <f>Feuille1!C123</f>
        <v>13855.026063545563</v>
      </c>
    </row>
    <row r="104" spans="2:4" x14ac:dyDescent="0.25">
      <c r="B104">
        <f>Feuille1!A124</f>
        <v>24</v>
      </c>
      <c r="C104">
        <f>Feuille1!B124</f>
        <v>4845.7016924651434</v>
      </c>
      <c r="D104">
        <f>Feuille1!C124</f>
        <v>17250.747569955613</v>
      </c>
    </row>
    <row r="105" spans="2:4" x14ac:dyDescent="0.25">
      <c r="B105">
        <f>Feuille1!A125</f>
        <v>24.5</v>
      </c>
      <c r="C105">
        <f>Feuille1!B125</f>
        <v>1116.9123643946805</v>
      </c>
      <c r="D105">
        <f>Feuille1!C125</f>
        <v>20555.08009000017</v>
      </c>
    </row>
    <row r="106" spans="2:4" x14ac:dyDescent="0.25">
      <c r="B106">
        <f>Feuille1!A126</f>
        <v>25</v>
      </c>
      <c r="C106">
        <f>Feuille1!B126</f>
        <v>-6654.239752500217</v>
      </c>
      <c r="D106">
        <f>Feuille1!C126</f>
        <v>23281.009343830294</v>
      </c>
    </row>
    <row r="107" spans="2:4" x14ac:dyDescent="0.25">
      <c r="B107">
        <f>Feuille1!A127</f>
        <v>25.5</v>
      </c>
      <c r="C107">
        <f>Feuille1!B127</f>
        <v>-19863.493160380203</v>
      </c>
      <c r="D107">
        <f>Feuille1!C127</f>
        <v>24232.436337819297</v>
      </c>
    </row>
    <row r="108" spans="2:4" x14ac:dyDescent="0.25">
      <c r="B108">
        <f>Feuille1!A128</f>
        <v>26</v>
      </c>
      <c r="C108">
        <f>Feuille1!B128</f>
        <v>-33042.132125917175</v>
      </c>
      <c r="D108">
        <f>Feuille1!C128</f>
        <v>20911.169189024815</v>
      </c>
    </row>
    <row r="109" spans="2:4" x14ac:dyDescent="0.25">
      <c r="B109">
        <f>Feuille1!A129</f>
        <v>26.5</v>
      </c>
      <c r="C109">
        <f>Feuille1!B129</f>
        <v>-40181.578301842805</v>
      </c>
      <c r="D109">
        <f>Feuille1!C129</f>
        <v>16916.219367144036</v>
      </c>
    </row>
    <row r="110" spans="2:4" x14ac:dyDescent="0.25">
      <c r="B110">
        <f>Feuille1!A130</f>
        <v>27</v>
      </c>
      <c r="C110">
        <f>Feuille1!B130</f>
        <v>-42723.461579654395</v>
      </c>
      <c r="D110">
        <f>Feuille1!C130</f>
        <v>13357.074864377755</v>
      </c>
    </row>
    <row r="111" spans="2:4" x14ac:dyDescent="0.25">
      <c r="B111">
        <f>Feuille1!A131</f>
        <v>27.5</v>
      </c>
      <c r="C111">
        <f>Feuille1!B131</f>
        <v>-41385.281077187967</v>
      </c>
      <c r="D111">
        <f>Feuille1!C131</f>
        <v>10636.55375963607</v>
      </c>
    </row>
    <row r="112" spans="2:4" x14ac:dyDescent="0.25">
      <c r="B112">
        <f>Feuille1!A132</f>
        <v>28</v>
      </c>
      <c r="C112">
        <f>Feuille1!B132</f>
        <v>-36252.186663530323</v>
      </c>
      <c r="D112">
        <f>Feuille1!C132</f>
        <v>9217.7348926816867</v>
      </c>
    </row>
    <row r="113" spans="2:4" x14ac:dyDescent="0.25">
      <c r="B113">
        <f>Feuille1!A133</f>
        <v>28.5</v>
      </c>
      <c r="C113">
        <f>Feuille1!B133</f>
        <v>-26977.860660716906</v>
      </c>
      <c r="D113">
        <f>Feuille1!C133</f>
        <v>10054.231114650896</v>
      </c>
    </row>
    <row r="114" spans="2:4" x14ac:dyDescent="0.25">
      <c r="B114">
        <f>Feuille1!A134</f>
        <v>29</v>
      </c>
      <c r="C114">
        <f>Feuille1!B134</f>
        <v>-13992.365518713848</v>
      </c>
      <c r="D114">
        <f>Feuille1!C134</f>
        <v>15373.967656134191</v>
      </c>
    </row>
    <row r="115" spans="2:4" x14ac:dyDescent="0.25">
      <c r="B115">
        <f>Feuille1!A135</f>
        <v>29.5</v>
      </c>
      <c r="C115">
        <f>Feuille1!B135</f>
        <v>-5280.290090845343</v>
      </c>
      <c r="D115">
        <f>Feuille1!C135</f>
        <v>23687.720672918163</v>
      </c>
    </row>
    <row r="116" spans="2:4" x14ac:dyDescent="0.25">
      <c r="B116">
        <f>Feuille1!A136</f>
        <v>30</v>
      </c>
      <c r="C116">
        <f>Feuille1!B136</f>
        <v>-1757.3712455157329</v>
      </c>
      <c r="D116">
        <f>Feuille1!C136</f>
        <v>30258.044237488029</v>
      </c>
    </row>
    <row r="117" spans="2:4" x14ac:dyDescent="0.25">
      <c r="B117">
        <f>Feuille1!A137</f>
        <v>30.5</v>
      </c>
      <c r="C117">
        <f>Feuille1!B137</f>
        <v>-1881.8262869514101</v>
      </c>
      <c r="D117">
        <f>Feuille1!C137</f>
        <v>34328.016079259614</v>
      </c>
    </row>
    <row r="118" spans="2:4" x14ac:dyDescent="0.25">
      <c r="B118">
        <f>Feuille1!A138</f>
        <v>31</v>
      </c>
      <c r="C118">
        <f>Feuille1!B138</f>
        <v>-4972.8705901021422</v>
      </c>
      <c r="D118">
        <f>Feuille1!C138</f>
        <v>35633.479327340268</v>
      </c>
    </row>
    <row r="119" spans="2:4" x14ac:dyDescent="0.25">
      <c r="B119">
        <f>Feuille1!A139</f>
        <v>31.5</v>
      </c>
      <c r="C119">
        <f>Feuille1!B139</f>
        <v>-10868.495093414916</v>
      </c>
      <c r="D119">
        <f>Feuille1!C139</f>
        <v>33613.160542065096</v>
      </c>
    </row>
    <row r="120" spans="2:4" x14ac:dyDescent="0.25">
      <c r="B120">
        <f>Feuille1!A140</f>
        <v>32</v>
      </c>
      <c r="C120">
        <f>Feuille1!B140</f>
        <v>-19599.572682682414</v>
      </c>
      <c r="D120">
        <f>Feuille1!C140</f>
        <v>26909.937342417328</v>
      </c>
    </row>
    <row r="121" spans="2:4" x14ac:dyDescent="0.25">
      <c r="B121">
        <f>Feuille1!A141</f>
        <v>32.5</v>
      </c>
      <c r="C121">
        <f>Feuille1!B141</f>
        <v>-28500.606562246168</v>
      </c>
      <c r="D121">
        <f>Feuille1!C141</f>
        <v>14486.68056754847</v>
      </c>
    </row>
    <row r="122" spans="2:4" x14ac:dyDescent="0.25">
      <c r="B122">
        <f>Feuille1!A142</f>
        <v>33</v>
      </c>
      <c r="C122">
        <f>Feuille1!B142</f>
        <v>-32099.045268915979</v>
      </c>
      <c r="D122">
        <f>Feuille1!C142</f>
        <v>5004.2514665255894</v>
      </c>
    </row>
    <row r="123" spans="2:4" x14ac:dyDescent="0.25">
      <c r="B123">
        <f>Feuille1!A143</f>
        <v>33.5</v>
      </c>
      <c r="C123">
        <f>Feuille1!B143</f>
        <v>-32411.835518894219</v>
      </c>
      <c r="D123">
        <f>Feuille1!C143</f>
        <v>-1221.5466508411037</v>
      </c>
    </row>
    <row r="124" spans="2:4" x14ac:dyDescent="0.25">
      <c r="B124">
        <f>Feuille1!A144</f>
        <v>34</v>
      </c>
      <c r="C124">
        <f>Feuille1!B144</f>
        <v>-30430.097457822976</v>
      </c>
      <c r="D124">
        <f>Feuille1!C144</f>
        <v>-4732.4711489819147</v>
      </c>
    </row>
    <row r="125" spans="2:4" x14ac:dyDescent="0.25">
      <c r="B125">
        <f>Feuille1!A145</f>
        <v>34.5</v>
      </c>
      <c r="C125">
        <f>Feuille1!B145</f>
        <v>-26622.762699958479</v>
      </c>
      <c r="D125">
        <f>Feuille1!C145</f>
        <v>-5733.9146491306519</v>
      </c>
    </row>
    <row r="126" spans="2:4" x14ac:dyDescent="0.25">
      <c r="B126">
        <f>Feuille1!A146</f>
        <v>35</v>
      </c>
      <c r="C126">
        <f>Feuille1!B146</f>
        <v>-21370.470774058285</v>
      </c>
      <c r="D126">
        <f>Feuille1!C146</f>
        <v>-4160.1980878566501</v>
      </c>
    </row>
    <row r="127" spans="2:4" x14ac:dyDescent="0.25">
      <c r="B127">
        <f>Feuille1!A147</f>
        <v>35.5</v>
      </c>
      <c r="C127">
        <f>Feuille1!B147</f>
        <v>-15337.837471144849</v>
      </c>
      <c r="D127">
        <f>Feuille1!C147</f>
        <v>327.63645228096721</v>
      </c>
    </row>
    <row r="128" spans="2:4" x14ac:dyDescent="0.25">
      <c r="B128">
        <f>Feuille1!A148</f>
        <v>36</v>
      </c>
      <c r="C128">
        <f>Feuille1!B148</f>
        <v>-9971.247622495368</v>
      </c>
      <c r="D128">
        <f>Feuille1!C148</f>
        <v>8367.141081111633</v>
      </c>
    </row>
    <row r="129" spans="2:4" x14ac:dyDescent="0.25">
      <c r="B129">
        <f>Feuille1!A149</f>
        <v>36.5</v>
      </c>
      <c r="C129">
        <f>Feuille1!B149</f>
        <v>-7974.7753703251028</v>
      </c>
      <c r="D129">
        <f>Feuille1!C149</f>
        <v>19960.893106703414</v>
      </c>
    </row>
    <row r="130" spans="2:4" x14ac:dyDescent="0.25">
      <c r="B130">
        <f>Feuille1!A150</f>
        <v>37</v>
      </c>
      <c r="C130">
        <f>Feuille1!B150</f>
        <v>-11783.483994918448</v>
      </c>
      <c r="D130">
        <f>Feuille1!C150</f>
        <v>31153.531000220355</v>
      </c>
    </row>
    <row r="131" spans="2:4" x14ac:dyDescent="0.25">
      <c r="B131">
        <f>Feuille1!A151</f>
        <v>37.5</v>
      </c>
      <c r="C131">
        <f>Feuille1!B151</f>
        <v>-18885.029391884273</v>
      </c>
      <c r="D131">
        <f>Feuille1!C151</f>
        <v>37405.761135062683</v>
      </c>
    </row>
    <row r="132" spans="2:4" x14ac:dyDescent="0.25">
      <c r="B132">
        <f>Feuille1!A152</f>
        <v>38</v>
      </c>
      <c r="C132">
        <f>Feuille1!B152</f>
        <v>-26211.753978563171</v>
      </c>
      <c r="D132">
        <f>Feuille1!C152</f>
        <v>38363.129837780638</v>
      </c>
    </row>
    <row r="133" spans="2:4" x14ac:dyDescent="0.25">
      <c r="B133">
        <f>Feuille1!A153</f>
        <v>38.5</v>
      </c>
      <c r="C133">
        <f>Feuille1!B153</f>
        <v>-31945.830631456221</v>
      </c>
      <c r="D133">
        <f>Feuille1!C153</f>
        <v>34701.92546896603</v>
      </c>
    </row>
    <row r="134" spans="2:4" x14ac:dyDescent="0.25">
      <c r="B134">
        <f>Feuille1!A154</f>
        <v>39</v>
      </c>
      <c r="C134">
        <f>Feuille1!B154</f>
        <v>-34568.486524862863</v>
      </c>
      <c r="D134">
        <f>Feuille1!C154</f>
        <v>27151.732197950492</v>
      </c>
    </row>
    <row r="135" spans="2:4" x14ac:dyDescent="0.25">
      <c r="B135">
        <f>Feuille1!A155</f>
        <v>39.5</v>
      </c>
      <c r="C135">
        <f>Feuille1!B155</f>
        <v>-32268.059801153788</v>
      </c>
      <c r="D135">
        <f>Feuille1!C155</f>
        <v>17033.927809694851</v>
      </c>
    </row>
    <row r="136" spans="2:4" x14ac:dyDescent="0.25">
      <c r="B136">
        <f>Feuille1!A156</f>
        <v>40</v>
      </c>
      <c r="C136">
        <f>Feuille1!B156</f>
        <v>-23996.12944308592</v>
      </c>
      <c r="D136">
        <f>Feuille1!C156</f>
        <v>8014.1723239273988</v>
      </c>
    </row>
    <row r="137" spans="2:4" x14ac:dyDescent="0.25">
      <c r="B137">
        <f>Feuille1!A157</f>
        <v>40.5</v>
      </c>
      <c r="C137">
        <f>Feuille1!B157</f>
        <v>-13548.876229185549</v>
      </c>
      <c r="D137">
        <f>Feuille1!C157</f>
        <v>4141.8862816036954</v>
      </c>
    </row>
    <row r="138" spans="2:4" x14ac:dyDescent="0.25">
      <c r="B138">
        <f>Feuille1!A158</f>
        <v>41</v>
      </c>
      <c r="C138">
        <f>Feuille1!B158</f>
        <v>-4755.0472837201269</v>
      </c>
      <c r="D138">
        <f>Feuille1!C158</f>
        <v>4323.8276421520268</v>
      </c>
    </row>
    <row r="139" spans="2:4" x14ac:dyDescent="0.25">
      <c r="B139">
        <f>Feuille1!A159</f>
        <v>41.5</v>
      </c>
      <c r="C139">
        <f>Feuille1!B159</f>
        <v>1300.6502135919741</v>
      </c>
      <c r="D139">
        <f>Feuille1!C159</f>
        <v>6758.4598803907147</v>
      </c>
    </row>
    <row r="140" spans="2:4" x14ac:dyDescent="0.25">
      <c r="B140">
        <f>Feuille1!A160</f>
        <v>42</v>
      </c>
      <c r="C140">
        <f>Feuille1!B160</f>
        <v>4488.3766643892159</v>
      </c>
      <c r="D140">
        <f>Feuille1!C160</f>
        <v>10515.315184158666</v>
      </c>
    </row>
    <row r="141" spans="2:4" x14ac:dyDescent="0.25">
      <c r="B141">
        <f>Feuille1!A161</f>
        <v>42.5</v>
      </c>
      <c r="C141">
        <f>Feuille1!B161</f>
        <v>4840.8843889387354</v>
      </c>
      <c r="D141">
        <f>Feuille1!C161</f>
        <v>15064.283085068288</v>
      </c>
    </row>
    <row r="142" spans="2:4" x14ac:dyDescent="0.25">
      <c r="B142">
        <f>Feuille1!A162</f>
        <v>43</v>
      </c>
      <c r="C142">
        <f>Feuille1!B162</f>
        <v>2140.7904529884568</v>
      </c>
      <c r="D142">
        <f>Feuille1!C162</f>
        <v>19846.331020906386</v>
      </c>
    </row>
    <row r="143" spans="2:4" x14ac:dyDescent="0.25">
      <c r="B143">
        <f>Feuille1!A163</f>
        <v>43.5</v>
      </c>
      <c r="C143">
        <f>Feuille1!B163</f>
        <v>-4373.5602187752365</v>
      </c>
      <c r="D143">
        <f>Feuille1!C163</f>
        <v>24180.931003887668</v>
      </c>
    </row>
    <row r="144" spans="2:4" x14ac:dyDescent="0.25">
      <c r="B144">
        <f>Feuille1!A164</f>
        <v>44</v>
      </c>
      <c r="C144">
        <f>Feuille1!B164</f>
        <v>-15864.975456162465</v>
      </c>
      <c r="D144">
        <f>Feuille1!C164</f>
        <v>26735.574842267077</v>
      </c>
    </row>
    <row r="145" spans="2:4" x14ac:dyDescent="0.25">
      <c r="B145">
        <f>Feuille1!A165</f>
        <v>44.5</v>
      </c>
      <c r="C145">
        <f>Feuille1!B165</f>
        <v>-30213.281624468884</v>
      </c>
      <c r="D145">
        <f>Feuille1!C165</f>
        <v>24083.271885506045</v>
      </c>
    </row>
    <row r="146" spans="2:4" x14ac:dyDescent="0.25">
      <c r="B146">
        <f>Feuille1!A166</f>
        <v>45</v>
      </c>
      <c r="C146">
        <f>Feuille1!B166</f>
        <v>-38784.642659300393</v>
      </c>
      <c r="D146">
        <f>Feuille1!C166</f>
        <v>18923.97229458089</v>
      </c>
    </row>
    <row r="147" spans="2:4" x14ac:dyDescent="0.25">
      <c r="B147">
        <f>Feuille1!A167</f>
        <v>45.5</v>
      </c>
      <c r="C147">
        <f>Feuille1!B167</f>
        <v>-42392.327817831887</v>
      </c>
      <c r="D147">
        <f>Feuille1!C167</f>
        <v>13801.362118881423</v>
      </c>
    </row>
    <row r="148" spans="2:4" x14ac:dyDescent="0.25">
      <c r="B148">
        <f>Feuille1!A168</f>
        <v>46</v>
      </c>
      <c r="C148">
        <f>Feuille1!B168</f>
        <v>-42029.161133373695</v>
      </c>
      <c r="D148">
        <f>Feuille1!C168</f>
        <v>9485.4471914122641</v>
      </c>
    </row>
    <row r="149" spans="2:4" x14ac:dyDescent="0.25">
      <c r="B149">
        <f>Feuille1!A169</f>
        <v>46.5</v>
      </c>
      <c r="C149">
        <f>Feuille1!B169</f>
        <v>-38089.58668656792</v>
      </c>
      <c r="D149">
        <f>Feuille1!C169</f>
        <v>6504.7866609840239</v>
      </c>
    </row>
    <row r="150" spans="2:4" x14ac:dyDescent="0.25">
      <c r="B150">
        <f>Feuille1!A170</f>
        <v>47</v>
      </c>
      <c r="C150">
        <f>Feuille1!B170</f>
        <v>-30627.421743517098</v>
      </c>
      <c r="D150">
        <f>Feuille1!C170</f>
        <v>5625.4791253199755</v>
      </c>
    </row>
    <row r="151" spans="2:4" x14ac:dyDescent="0.25">
      <c r="B151">
        <f>Feuille1!A171</f>
        <v>47.5</v>
      </c>
      <c r="C151">
        <f>Feuille1!B171</f>
        <v>-19867.444949009892</v>
      </c>
      <c r="D151">
        <f>Feuille1!C171</f>
        <v>8343.6748140470227</v>
      </c>
    </row>
    <row r="152" spans="2:4" x14ac:dyDescent="0.25">
      <c r="B152">
        <f>Feuille1!A172</f>
        <v>48</v>
      </c>
      <c r="C152">
        <f>Feuille1!B172</f>
        <v>-8893.1908516542753</v>
      </c>
      <c r="D152">
        <f>Feuille1!C172</f>
        <v>16554.188784414422</v>
      </c>
    </row>
    <row r="153" spans="2:4" x14ac:dyDescent="0.25">
      <c r="B153">
        <f>Feuille1!A173</f>
        <v>48.5</v>
      </c>
      <c r="C153">
        <f>Feuille1!B173</f>
        <v>-3473.5054690432598</v>
      </c>
      <c r="D153">
        <f>Feuille1!C173</f>
        <v>26090.797831520395</v>
      </c>
    </row>
    <row r="154" spans="2:4" x14ac:dyDescent="0.25">
      <c r="B154">
        <f>Feuille1!A174</f>
        <v>49</v>
      </c>
      <c r="C154">
        <f>Feuille1!B174</f>
        <v>-2613.3590788222309</v>
      </c>
      <c r="D154">
        <f>Feuille1!C174</f>
        <v>33493.10723283769</v>
      </c>
    </row>
    <row r="155" spans="2:4" x14ac:dyDescent="0.25">
      <c r="B155">
        <f>Feuille1!A175</f>
        <v>49.5</v>
      </c>
      <c r="C155">
        <f>Feuille1!B175</f>
        <v>-4901.4066883492687</v>
      </c>
      <c r="D155">
        <f>Feuille1!C175</f>
        <v>38028.405507010997</v>
      </c>
    </row>
    <row r="156" spans="2:4" x14ac:dyDescent="0.25">
      <c r="B156">
        <f>Feuille1!A176</f>
        <v>50</v>
      </c>
      <c r="C156">
        <f>Feuille1!B176</f>
        <v>-9567.9877008933181</v>
      </c>
      <c r="D156">
        <f>Feuille1!C176</f>
        <v>39333.47647719823</v>
      </c>
    </row>
    <row r="157" spans="2:4" x14ac:dyDescent="0.25">
      <c r="B157">
        <f>Feuille1!A177</f>
        <v>50.5</v>
      </c>
      <c r="C157">
        <f>Feuille1!B177</f>
        <v>-16112.291613574742</v>
      </c>
      <c r="D157">
        <f>Feuille1!C177</f>
        <v>36743.243622117778</v>
      </c>
    </row>
    <row r="158" spans="2:4" x14ac:dyDescent="0.25">
      <c r="B158">
        <f>Feuille1!A178</f>
        <v>51</v>
      </c>
      <c r="C158">
        <f>Feuille1!B178</f>
        <v>-23715.673641512942</v>
      </c>
      <c r="D158">
        <f>Feuille1!C178</f>
        <v>28913.421691311196</v>
      </c>
    </row>
    <row r="159" spans="2:4" x14ac:dyDescent="0.25">
      <c r="B159">
        <f>Feuille1!A179</f>
        <v>51.5</v>
      </c>
      <c r="C159">
        <f>Feuille1!B179</f>
        <v>-28868.0025772349</v>
      </c>
      <c r="D159">
        <f>Feuille1!C179</f>
        <v>15265.201572932554</v>
      </c>
    </row>
    <row r="160" spans="2:4" x14ac:dyDescent="0.25">
      <c r="B160">
        <f>Feuille1!A180</f>
        <v>52</v>
      </c>
      <c r="C160">
        <f>Feuille1!B180</f>
        <v>-28466.724252973552</v>
      </c>
      <c r="D160">
        <f>Feuille1!C180</f>
        <v>4124.5077239073107</v>
      </c>
    </row>
    <row r="161" spans="2:4" x14ac:dyDescent="0.25">
      <c r="B161">
        <f>Feuille1!A181</f>
        <v>52.5</v>
      </c>
      <c r="C161">
        <f>Feuille1!B181</f>
        <v>-25368.624225439089</v>
      </c>
      <c r="D161">
        <f>Feuille1!C181</f>
        <v>-3101.5945411548723</v>
      </c>
    </row>
    <row r="162" spans="2:4" x14ac:dyDescent="0.25">
      <c r="B162">
        <f>Feuille1!A182</f>
        <v>53</v>
      </c>
      <c r="C162">
        <f>Feuille1!B182</f>
        <v>-20872.334581045925</v>
      </c>
      <c r="D162">
        <f>Feuille1!C182</f>
        <v>-7259.453004367193</v>
      </c>
    </row>
    <row r="163" spans="2:4" x14ac:dyDescent="0.25">
      <c r="B163">
        <f>Feuille1!A183</f>
        <v>53.5</v>
      </c>
      <c r="C163">
        <f>Feuille1!B183</f>
        <v>-15572.868856709225</v>
      </c>
      <c r="D163">
        <f>Feuille1!C183</f>
        <v>-9123.6172708588165</v>
      </c>
    </row>
    <row r="164" spans="2:4" x14ac:dyDescent="0.25">
      <c r="B164">
        <f>Feuille1!A184</f>
        <v>54</v>
      </c>
      <c r="C164">
        <f>Feuille1!B184</f>
        <v>-9977.2454218350249</v>
      </c>
      <c r="D164">
        <f>Feuille1!C184</f>
        <v>-9425.9781756439552</v>
      </c>
    </row>
    <row r="165" spans="2:4" x14ac:dyDescent="0.25">
      <c r="B165">
        <f>Feuille1!A185</f>
        <v>54.5</v>
      </c>
      <c r="C165">
        <f>Feuille1!B185</f>
        <v>-4770.6507706345146</v>
      </c>
      <c r="D165">
        <f>Feuille1!C185</f>
        <v>-8824.428253228527</v>
      </c>
    </row>
    <row r="166" spans="2:4" x14ac:dyDescent="0.25">
      <c r="B166">
        <f>Feuille1!A186</f>
        <v>55</v>
      </c>
      <c r="C166">
        <f>Feuille1!B186</f>
        <v>-670.07080362870693</v>
      </c>
      <c r="D166">
        <f>Feuille1!C186</f>
        <v>-7670.414636204845</v>
      </c>
    </row>
    <row r="167" spans="2:4" x14ac:dyDescent="0.25">
      <c r="B167">
        <f>Feuille1!A187</f>
        <v>55.5</v>
      </c>
      <c r="C167">
        <f>Feuille1!B187</f>
        <v>1869.284646644197</v>
      </c>
      <c r="D167">
        <f>Feuille1!C187</f>
        <v>-6001.3246050469097</v>
      </c>
    </row>
    <row r="168" spans="2:4" x14ac:dyDescent="0.25">
      <c r="B168">
        <f>Feuille1!A188</f>
        <v>56</v>
      </c>
      <c r="C168">
        <f>Feuille1!B188</f>
        <v>2635.8269414218898</v>
      </c>
      <c r="D168">
        <f>Feuille1!C188</f>
        <v>-3708.0629368346199</v>
      </c>
    </row>
    <row r="169" spans="2:4" x14ac:dyDescent="0.25">
      <c r="B169">
        <f>Feuille1!A189</f>
        <v>56.5</v>
      </c>
      <c r="C169">
        <f>Feuille1!B189</f>
        <v>1500.7516282274364</v>
      </c>
      <c r="D169">
        <f>Feuille1!C189</f>
        <v>-598.70620547704516</v>
      </c>
    </row>
    <row r="170" spans="2:4" x14ac:dyDescent="0.25">
      <c r="B170">
        <f>Feuille1!A190</f>
        <v>57</v>
      </c>
      <c r="C170">
        <f>Feuille1!B190</f>
        <v>-1737.342381142169</v>
      </c>
      <c r="D170">
        <f>Feuille1!C190</f>
        <v>3646.4465551055046</v>
      </c>
    </row>
    <row r="171" spans="2:4" x14ac:dyDescent="0.25">
      <c r="B171">
        <f>Feuille1!A191</f>
        <v>57.5</v>
      </c>
      <c r="C171">
        <f>Feuille1!B191</f>
        <v>-7591.036342427682</v>
      </c>
      <c r="D171">
        <f>Feuille1!C191</f>
        <v>9616.9757357940143</v>
      </c>
    </row>
    <row r="172" spans="2:4" x14ac:dyDescent="0.25">
      <c r="B172">
        <f>Feuille1!A192</f>
        <v>58</v>
      </c>
      <c r="C172">
        <f>Feuille1!B192</f>
        <v>-17333.472590368339</v>
      </c>
      <c r="D172">
        <f>Feuille1!C192</f>
        <v>18430.010864026804</v>
      </c>
    </row>
    <row r="173" spans="2:4" x14ac:dyDescent="0.25">
      <c r="B173">
        <f>Feuille1!A193</f>
        <v>58.5</v>
      </c>
      <c r="C173">
        <f>Feuille1!B193</f>
        <v>-29511.194571082044</v>
      </c>
      <c r="D173">
        <f>Feuille1!C193</f>
        <v>28396.124679590223</v>
      </c>
    </row>
    <row r="174" spans="2:4" x14ac:dyDescent="0.25">
      <c r="B174">
        <f>Feuille1!A194</f>
        <v>59</v>
      </c>
      <c r="C174">
        <f>Feuille1!B194</f>
        <v>-37110.872594276269</v>
      </c>
      <c r="D174">
        <f>Feuille1!C194</f>
        <v>34203.859642985335</v>
      </c>
    </row>
    <row r="175" spans="2:4" x14ac:dyDescent="0.25">
      <c r="B175">
        <f>Feuille1!A195</f>
        <v>59.5</v>
      </c>
      <c r="C175">
        <f>Feuille1!B195</f>
        <v>-41455.124874475769</v>
      </c>
      <c r="D175">
        <f>Feuille1!C195</f>
        <v>37222.675907681143</v>
      </c>
    </row>
    <row r="176" spans="2:4" x14ac:dyDescent="0.25">
      <c r="B176">
        <f>Feuille1!A196</f>
        <v>60</v>
      </c>
      <c r="C176">
        <f>Feuille1!B196</f>
        <v>-43223.220707554552</v>
      </c>
      <c r="D176">
        <f>Feuille1!C196</f>
        <v>38099.481361983191</v>
      </c>
    </row>
    <row r="177" spans="2:4" x14ac:dyDescent="0.25">
      <c r="B177">
        <f>Feuille1!A197</f>
        <v>60.5</v>
      </c>
      <c r="C177">
        <f>Feuille1!B197</f>
        <v>-42607.57310858235</v>
      </c>
      <c r="D177">
        <f>Feuille1!C197</f>
        <v>37047.406022443</v>
      </c>
    </row>
    <row r="178" spans="2:4" x14ac:dyDescent="0.25">
      <c r="B178">
        <f>Feuille1!A198</f>
        <v>61</v>
      </c>
      <c r="C178">
        <f>Feuille1!B198</f>
        <v>-39450.867885950487</v>
      </c>
      <c r="D178">
        <f>Feuille1!C198</f>
        <v>34003.431197548998</v>
      </c>
    </row>
    <row r="179" spans="2:4" x14ac:dyDescent="0.25">
      <c r="B179">
        <f>Feuille1!A199</f>
        <v>61.5</v>
      </c>
      <c r="C179">
        <f>Feuille1!B199</f>
        <v>-33129.755536329103</v>
      </c>
      <c r="D179">
        <f>Feuille1!C199</f>
        <v>28590.034565848502</v>
      </c>
    </row>
    <row r="180" spans="2:4" x14ac:dyDescent="0.25">
      <c r="B180">
        <f>Feuille1!A200</f>
        <v>62</v>
      </c>
      <c r="C180">
        <f>Feuille1!B200</f>
        <v>-22126.281150696152</v>
      </c>
      <c r="D180">
        <f>Feuille1!C200</f>
        <v>19981.833438356258</v>
      </c>
    </row>
    <row r="181" spans="2:4" x14ac:dyDescent="0.25">
      <c r="B181">
        <f>Feuille1!A201</f>
        <v>62.5</v>
      </c>
      <c r="C181">
        <f>Feuille1!B201</f>
        <v>-8775.5308932556709</v>
      </c>
      <c r="D181">
        <f>Feuille1!C201</f>
        <v>11047.095055384596</v>
      </c>
    </row>
    <row r="182" spans="2:4" x14ac:dyDescent="0.25">
      <c r="B182">
        <f>Feuille1!A202</f>
        <v>63</v>
      </c>
      <c r="C182">
        <f>Feuille1!B202</f>
        <v>342.80772281224745</v>
      </c>
      <c r="D182">
        <f>Feuille1!C202</f>
        <v>5103.8405659043947</v>
      </c>
    </row>
    <row r="183" spans="2:4" x14ac:dyDescent="0.25">
      <c r="B183">
        <f>Feuille1!A203</f>
        <v>63.5</v>
      </c>
      <c r="C183">
        <f>Feuille1!B203</f>
        <v>6726.3492224108259</v>
      </c>
      <c r="D183">
        <f>Feuille1!C203</f>
        <v>625.86804305892633</v>
      </c>
    </row>
    <row r="184" spans="2:4" x14ac:dyDescent="0.25">
      <c r="B184">
        <f>Feuille1!A204</f>
        <v>64</v>
      </c>
      <c r="C184">
        <f>Feuille1!B204</f>
        <v>11034.527471842506</v>
      </c>
      <c r="D184">
        <f>Feuille1!C204</f>
        <v>-2982.9350935555331</v>
      </c>
    </row>
    <row r="185" spans="2:4" x14ac:dyDescent="0.25">
      <c r="B185">
        <f>Feuille1!A205</f>
        <v>64.5</v>
      </c>
      <c r="C185">
        <f>Feuille1!B205</f>
        <v>13463.83680980725</v>
      </c>
      <c r="D185">
        <f>Feuille1!C205</f>
        <v>-5973.6750270716329</v>
      </c>
    </row>
    <row r="186" spans="2:4" x14ac:dyDescent="0.25">
      <c r="B186">
        <f>Feuille1!A206</f>
        <v>65</v>
      </c>
      <c r="C186">
        <f>Feuille1!B206</f>
        <v>14069.578763116646</v>
      </c>
      <c r="D186">
        <f>Feuille1!C206</f>
        <v>-8487.2484147627802</v>
      </c>
    </row>
    <row r="187" spans="2:4" x14ac:dyDescent="0.25">
      <c r="B187">
        <f>Feuille1!A207</f>
        <v>65.5</v>
      </c>
      <c r="C187">
        <f>Feuille1!B207</f>
        <v>12849.357640567949</v>
      </c>
      <c r="D187">
        <f>Feuille1!C207</f>
        <v>-10619.033771626328</v>
      </c>
    </row>
    <row r="188" spans="2:4" x14ac:dyDescent="0.25">
      <c r="B188">
        <f>Feuille1!A208</f>
        <v>66</v>
      </c>
      <c r="C188">
        <f>Feuille1!B208</f>
        <v>9747.3208480583962</v>
      </c>
      <c r="D188">
        <f>Feuille1!C208</f>
        <v>-12468.749773096231</v>
      </c>
    </row>
    <row r="189" spans="2:4" x14ac:dyDescent="0.25">
      <c r="B189">
        <f>Feuille1!A209</f>
        <v>66.5</v>
      </c>
      <c r="C189">
        <f>Feuille1!B209</f>
        <v>4663.2021124606645</v>
      </c>
      <c r="D189">
        <f>Feuille1!C209</f>
        <v>-14217.409422258825</v>
      </c>
    </row>
    <row r="190" spans="2:4" x14ac:dyDescent="0.25">
      <c r="B190">
        <f>Feuille1!A210</f>
        <v>67</v>
      </c>
      <c r="C190">
        <f>Feuille1!B210</f>
        <v>-2425.7221265991457</v>
      </c>
      <c r="D190">
        <f>Feuille1!C210</f>
        <v>-16291.016811646758</v>
      </c>
    </row>
    <row r="191" spans="2:4" x14ac:dyDescent="0.25">
      <c r="B191">
        <f>Feuille1!A211</f>
        <v>67.5</v>
      </c>
      <c r="C191">
        <f>Feuille1!B211</f>
        <v>-10777.726332476788</v>
      </c>
      <c r="D191">
        <f>Feuille1!C211</f>
        <v>-19523.51703263291</v>
      </c>
    </row>
    <row r="192" spans="2:4" x14ac:dyDescent="0.25">
      <c r="B192">
        <f>Feuille1!A212</f>
        <v>68</v>
      </c>
      <c r="C192">
        <f>Feuille1!B212</f>
        <v>-17896.189744224292</v>
      </c>
      <c r="D192">
        <f>Feuille1!C212</f>
        <v>-23880.467245779397</v>
      </c>
    </row>
    <row r="193" spans="2:4" x14ac:dyDescent="0.25">
      <c r="B193">
        <f>Feuille1!A213</f>
        <v>68.5</v>
      </c>
      <c r="C193">
        <f>Feuille1!B213</f>
        <v>-22507.479100163808</v>
      </c>
      <c r="D193">
        <f>Feuille1!C213</f>
        <v>-27866.139148008362</v>
      </c>
    </row>
    <row r="194" spans="2:4" x14ac:dyDescent="0.25">
      <c r="B194">
        <f>Feuille1!A214</f>
        <v>69</v>
      </c>
      <c r="C194">
        <f>Feuille1!B214</f>
        <v>-24823.96758375525</v>
      </c>
      <c r="D194">
        <f>Feuille1!C214</f>
        <v>-30759.334614739997</v>
      </c>
    </row>
    <row r="195" spans="2:4" x14ac:dyDescent="0.25">
      <c r="B195">
        <f>Feuille1!A215</f>
        <v>69.5</v>
      </c>
      <c r="C195">
        <f>Feuille1!B215</f>
        <v>-25111.553499507485</v>
      </c>
      <c r="D195">
        <f>Feuille1!C215</f>
        <v>-32362.502361979808</v>
      </c>
    </row>
    <row r="196" spans="2:4" x14ac:dyDescent="0.25">
      <c r="B196">
        <f>Feuille1!A216</f>
        <v>70</v>
      </c>
      <c r="C196">
        <f>Feuille1!B216</f>
        <v>-23439.588356209104</v>
      </c>
      <c r="D196">
        <f>Feuille1!C216</f>
        <v>-32598.695471488711</v>
      </c>
    </row>
    <row r="197" spans="2:4" x14ac:dyDescent="0.25">
      <c r="B197">
        <f>Feuille1!A217</f>
        <v>70.5</v>
      </c>
      <c r="C197">
        <f>Feuille1!B217</f>
        <v>-19627.907176849829</v>
      </c>
      <c r="D197">
        <f>Feuille1!C217</f>
        <v>-31394.243882934505</v>
      </c>
    </row>
    <row r="198" spans="2:4" x14ac:dyDescent="0.25">
      <c r="B198">
        <f>Feuille1!A218</f>
        <v>71</v>
      </c>
      <c r="C198">
        <f>Feuille1!B218</f>
        <v>-13074.175975925778</v>
      </c>
      <c r="D198">
        <f>Feuille1!C218</f>
        <v>-28719.753535821488</v>
      </c>
    </row>
    <row r="199" spans="2:4" x14ac:dyDescent="0.25">
      <c r="B199">
        <f>Feuille1!A219</f>
        <v>71.5</v>
      </c>
      <c r="C199">
        <f>Feuille1!B219</f>
        <v>-2750.4418130729327</v>
      </c>
      <c r="D199">
        <f>Feuille1!C219</f>
        <v>-25368.444374963045</v>
      </c>
    </row>
    <row r="200" spans="2:4" x14ac:dyDescent="0.25">
      <c r="B200">
        <f>Feuille1!A220</f>
        <v>72</v>
      </c>
      <c r="C200">
        <f>Feuille1!B220</f>
        <v>5482.2241211281307</v>
      </c>
      <c r="D200">
        <f>Feuille1!C220</f>
        <v>-24150.440183807539</v>
      </c>
    </row>
    <row r="201" spans="2:4" x14ac:dyDescent="0.25">
      <c r="B201">
        <f>Feuille1!A221</f>
        <v>72.5</v>
      </c>
      <c r="C201">
        <f>Feuille1!B221</f>
        <v>10261.827719297115</v>
      </c>
      <c r="D201">
        <f>Feuille1!C221</f>
        <v>-23429.791500855426</v>
      </c>
    </row>
    <row r="202" spans="2:4" x14ac:dyDescent="0.25">
      <c r="B202">
        <f>Feuille1!A222</f>
        <v>73</v>
      </c>
      <c r="C202">
        <f>Feuille1!B222</f>
        <v>12227.905327387933</v>
      </c>
      <c r="D202">
        <f>Feuille1!C222</f>
        <v>-22651.941111127744</v>
      </c>
    </row>
    <row r="203" spans="2:4" x14ac:dyDescent="0.25">
      <c r="B203">
        <f>Feuille1!A223</f>
        <v>73.5</v>
      </c>
      <c r="C203">
        <f>Feuille1!B223</f>
        <v>11661.078323975024</v>
      </c>
      <c r="D203">
        <f>Feuille1!C223</f>
        <v>-21712.791459623098</v>
      </c>
    </row>
    <row r="204" spans="2:4" x14ac:dyDescent="0.25">
      <c r="B204">
        <f>Feuille1!A224</f>
        <v>74</v>
      </c>
      <c r="C204">
        <f>Feuille1!B224</f>
        <v>8571.2192945534698</v>
      </c>
      <c r="D204">
        <f>Feuille1!C224</f>
        <v>-20694.414579175918</v>
      </c>
    </row>
    <row r="205" spans="2:4" x14ac:dyDescent="0.25">
      <c r="B205">
        <f>Feuille1!A225</f>
        <v>74.5</v>
      </c>
      <c r="C205">
        <f>Feuille1!B225</f>
        <v>2797.6017602634374</v>
      </c>
      <c r="D205">
        <f>Feuille1!C225</f>
        <v>-19927.871473482668</v>
      </c>
    </row>
    <row r="206" spans="2:4" x14ac:dyDescent="0.25">
      <c r="B206">
        <f>Feuille1!A226</f>
        <v>75</v>
      </c>
      <c r="C206">
        <f>Feuille1!B226</f>
        <v>-5573.793286920818</v>
      </c>
      <c r="D206">
        <f>Feuille1!C226</f>
        <v>-20321.799068427521</v>
      </c>
    </row>
    <row r="207" spans="2:4" x14ac:dyDescent="0.25">
      <c r="B207">
        <f>Feuille1!A227</f>
        <v>75.5</v>
      </c>
      <c r="C207">
        <f>Feuille1!B227</f>
        <v>-14228.960132921997</v>
      </c>
      <c r="D207">
        <f>Feuille1!C227</f>
        <v>-22886.567436309531</v>
      </c>
    </row>
    <row r="208" spans="2:4" x14ac:dyDescent="0.25">
      <c r="B208">
        <f>Feuille1!A228</f>
        <v>76</v>
      </c>
      <c r="C208">
        <f>Feuille1!B228</f>
        <v>-20393.725808041447</v>
      </c>
      <c r="D208">
        <f>Feuille1!C228</f>
        <v>-25894.41673807563</v>
      </c>
    </row>
    <row r="209" spans="2:4" x14ac:dyDescent="0.25">
      <c r="B209">
        <f>Feuille1!A229</f>
        <v>76.5</v>
      </c>
      <c r="C209">
        <f>Feuille1!B229</f>
        <v>-24096.491287078687</v>
      </c>
      <c r="D209">
        <f>Feuille1!C229</f>
        <v>-28079.52341899338</v>
      </c>
    </row>
    <row r="210" spans="2:4" x14ac:dyDescent="0.25">
      <c r="B210">
        <f>Feuille1!A230</f>
        <v>77</v>
      </c>
      <c r="C210">
        <f>Feuille1!B230</f>
        <v>-25689.742863749318</v>
      </c>
      <c r="D210">
        <f>Feuille1!C230</f>
        <v>-29122.226513372232</v>
      </c>
    </row>
    <row r="211" spans="2:4" x14ac:dyDescent="0.25">
      <c r="B211">
        <f>Feuille1!A231</f>
        <v>77.5</v>
      </c>
      <c r="C211">
        <f>Feuille1!B231</f>
        <v>-25332.575707972606</v>
      </c>
      <c r="D211">
        <f>Feuille1!C231</f>
        <v>-28960.056067827063</v>
      </c>
    </row>
    <row r="212" spans="2:4" x14ac:dyDescent="0.25">
      <c r="B212">
        <f>Feuille1!A232</f>
        <v>78</v>
      </c>
      <c r="C212">
        <f>Feuille1!B232</f>
        <v>-22989.424602758023</v>
      </c>
      <c r="D212">
        <f>Feuille1!C232</f>
        <v>-27600.483742629425</v>
      </c>
    </row>
    <row r="213" spans="2:4" x14ac:dyDescent="0.25">
      <c r="B213">
        <f>Feuille1!A233</f>
        <v>78.5</v>
      </c>
      <c r="C213">
        <f>Feuille1!B233</f>
        <v>-18419.284490325474</v>
      </c>
      <c r="D213">
        <f>Feuille1!C233</f>
        <v>-25152.351505306196</v>
      </c>
    </row>
    <row r="214" spans="2:4" x14ac:dyDescent="0.25">
      <c r="B214">
        <f>Feuille1!A234</f>
        <v>79</v>
      </c>
      <c r="C214">
        <f>Feuille1!B234</f>
        <v>-11215.201781453294</v>
      </c>
      <c r="D214">
        <f>Feuille1!C234</f>
        <v>-22154.512715179662</v>
      </c>
    </row>
    <row r="215" spans="2:4" x14ac:dyDescent="0.25">
      <c r="B215">
        <f>Feuille1!A235</f>
        <v>79.5</v>
      </c>
      <c r="C215">
        <f>Feuille1!B235</f>
        <v>-2005.4057209730547</v>
      </c>
      <c r="D215">
        <f>Feuille1!C235</f>
        <v>-20444.088668825258</v>
      </c>
    </row>
    <row r="216" spans="2:4" x14ac:dyDescent="0.25">
      <c r="B216">
        <f>Feuille1!A236</f>
        <v>80</v>
      </c>
      <c r="C216">
        <f>Feuille1!B236</f>
        <v>5513.9651469176797</v>
      </c>
      <c r="D216">
        <f>Feuille1!C236</f>
        <v>-20801.632590111938</v>
      </c>
    </row>
    <row r="217" spans="2:4" x14ac:dyDescent="0.25">
      <c r="B217">
        <f>Feuille1!A237</f>
        <v>80.5</v>
      </c>
      <c r="C217">
        <f>Feuille1!B237</f>
        <v>10190.01272349228</v>
      </c>
      <c r="D217">
        <f>Feuille1!C237</f>
        <v>-21853.446756570593</v>
      </c>
    </row>
    <row r="218" spans="2:4" x14ac:dyDescent="0.25">
      <c r="B218">
        <f>Feuille1!A238</f>
        <v>81</v>
      </c>
      <c r="C218">
        <f>Feuille1!B238</f>
        <v>12191.016722934923</v>
      </c>
      <c r="D218">
        <f>Feuille1!C238</f>
        <v>-22945.530305445878</v>
      </c>
    </row>
    <row r="219" spans="2:4" x14ac:dyDescent="0.25">
      <c r="B219">
        <f>Feuille1!A239</f>
        <v>81.5</v>
      </c>
      <c r="C219">
        <f>Feuille1!B239</f>
        <v>11635.954827517384</v>
      </c>
      <c r="D219">
        <f>Feuille1!C239</f>
        <v>-23863.438534947865</v>
      </c>
    </row>
    <row r="220" spans="2:4" x14ac:dyDescent="0.25">
      <c r="B220">
        <f>Feuille1!A240</f>
        <v>82</v>
      </c>
      <c r="C220">
        <f>Feuille1!B240</f>
        <v>8400.3935617883271</v>
      </c>
      <c r="D220">
        <f>Feuille1!C240</f>
        <v>-24587.043352132179</v>
      </c>
    </row>
    <row r="221" spans="2:4" x14ac:dyDescent="0.25">
      <c r="B221">
        <f>Feuille1!A241</f>
        <v>82.5</v>
      </c>
      <c r="C221">
        <f>Feuille1!B241</f>
        <v>1995.9410558266964</v>
      </c>
      <c r="D221">
        <f>Feuille1!C241</f>
        <v>-25332.953316732288</v>
      </c>
    </row>
    <row r="222" spans="2:4" x14ac:dyDescent="0.25">
      <c r="B222">
        <f>Feuille1!A242</f>
        <v>83</v>
      </c>
      <c r="C222">
        <f>Feuille1!B242</f>
        <v>-8200.8988312912843</v>
      </c>
      <c r="D222">
        <f>Feuille1!C242</f>
        <v>-27107.035352857831</v>
      </c>
    </row>
    <row r="223" spans="2:4" x14ac:dyDescent="0.25">
      <c r="B223">
        <f>Feuille1!A243</f>
        <v>83.5</v>
      </c>
      <c r="C223">
        <f>Feuille1!B243</f>
        <v>-16092.669870710588</v>
      </c>
      <c r="D223">
        <f>Feuille1!C243</f>
        <v>-29916.460520949877</v>
      </c>
    </row>
    <row r="224" spans="2:4" x14ac:dyDescent="0.25">
      <c r="B224">
        <f>Feuille1!A244</f>
        <v>84</v>
      </c>
      <c r="C224">
        <f>Feuille1!B244</f>
        <v>-20569.75909414787</v>
      </c>
      <c r="D224">
        <f>Feuille1!C244</f>
        <v>-31486.25325356418</v>
      </c>
    </row>
    <row r="225" spans="2:4" x14ac:dyDescent="0.25">
      <c r="B225">
        <f>Feuille1!A245</f>
        <v>84.5</v>
      </c>
      <c r="C225">
        <f>Feuille1!B245</f>
        <v>-22462.886427989364</v>
      </c>
      <c r="D225">
        <f>Feuille1!C245</f>
        <v>-31607.409259176813</v>
      </c>
    </row>
    <row r="226" spans="2:4" x14ac:dyDescent="0.25">
      <c r="B226">
        <f>Feuille1!A246</f>
        <v>85</v>
      </c>
      <c r="C226">
        <f>Feuille1!B246</f>
        <v>-22055.370757293771</v>
      </c>
      <c r="D226">
        <f>Feuille1!C246</f>
        <v>-30328.523742820686</v>
      </c>
    </row>
    <row r="227" spans="2:4" x14ac:dyDescent="0.25">
      <c r="B227">
        <f>Feuille1!A247</f>
        <v>85.5</v>
      </c>
      <c r="C227">
        <f>Feuille1!B247</f>
        <v>-19264.631831559047</v>
      </c>
      <c r="D227">
        <f>Feuille1!C247</f>
        <v>-27754.999845436501</v>
      </c>
    </row>
    <row r="228" spans="2:4" x14ac:dyDescent="0.25">
      <c r="B228">
        <f>Feuille1!A248</f>
        <v>86</v>
      </c>
      <c r="C228">
        <f>Feuille1!B248</f>
        <v>-13712.080649714404</v>
      </c>
      <c r="D228">
        <f>Feuille1!C248</f>
        <v>-24241.681592825786</v>
      </c>
    </row>
    <row r="229" spans="2:4" x14ac:dyDescent="0.25">
      <c r="B229">
        <f>Feuille1!A249</f>
        <v>86.5</v>
      </c>
      <c r="C229">
        <f>Feuille1!B249</f>
        <v>-5322.0905011557952</v>
      </c>
      <c r="D229">
        <f>Feuille1!C249</f>
        <v>-21193.691186669534</v>
      </c>
    </row>
    <row r="230" spans="2:4" x14ac:dyDescent="0.25">
      <c r="B230">
        <f>Feuille1!A250</f>
        <v>87</v>
      </c>
      <c r="C230">
        <f>Feuille1!B250</f>
        <v>2723.084901926416</v>
      </c>
      <c r="D230">
        <f>Feuille1!C250</f>
        <v>-20512.934056572052</v>
      </c>
    </row>
    <row r="231" spans="2:4" x14ac:dyDescent="0.25">
      <c r="B231">
        <f>Feuille1!A251</f>
        <v>87.5</v>
      </c>
      <c r="C231">
        <f>Feuille1!B251</f>
        <v>8063.2641699943915</v>
      </c>
      <c r="D231">
        <f>Feuille1!C251</f>
        <v>-21045.955317357464</v>
      </c>
    </row>
    <row r="232" spans="2:4" x14ac:dyDescent="0.25">
      <c r="B232">
        <f>Feuille1!A252</f>
        <v>88</v>
      </c>
      <c r="C232">
        <f>Feuille1!B252</f>
        <v>10641.405422762073</v>
      </c>
      <c r="D232">
        <f>Feuille1!C252</f>
        <v>-21886.393718061699</v>
      </c>
    </row>
    <row r="233" spans="2:4" x14ac:dyDescent="0.25">
      <c r="B233">
        <f>Feuille1!A253</f>
        <v>88.5</v>
      </c>
      <c r="C233">
        <f>Feuille1!B253</f>
        <v>10584.782009909821</v>
      </c>
      <c r="D233">
        <f>Feuille1!C253</f>
        <v>-22724.079807599192</v>
      </c>
    </row>
    <row r="234" spans="2:4" x14ac:dyDescent="0.25">
      <c r="B234">
        <f>Feuille1!A254</f>
        <v>89</v>
      </c>
      <c r="C234">
        <f>Feuille1!B254</f>
        <v>7813.6527093204586</v>
      </c>
      <c r="D234">
        <f>Feuille1!C254</f>
        <v>-23521.79508106639</v>
      </c>
    </row>
    <row r="235" spans="2:4" x14ac:dyDescent="0.25">
      <c r="B235">
        <f>Feuille1!A255</f>
        <v>89.5</v>
      </c>
      <c r="C235">
        <f>Feuille1!B255</f>
        <v>1929.4690605281135</v>
      </c>
      <c r="D235">
        <f>Feuille1!C255</f>
        <v>-24522.518164050027</v>
      </c>
    </row>
    <row r="236" spans="2:4" x14ac:dyDescent="0.25">
      <c r="B236">
        <f>Feuille1!A256</f>
        <v>90</v>
      </c>
      <c r="C236">
        <f>Feuille1!B256</f>
        <v>-7537.6419488487754</v>
      </c>
      <c r="D236">
        <f>Feuille1!C256</f>
        <v>-26747.35376564748</v>
      </c>
    </row>
    <row r="237" spans="2:4" x14ac:dyDescent="0.25">
      <c r="B237">
        <f>Feuille1!A257</f>
        <v>90.5</v>
      </c>
      <c r="C237">
        <f>Feuille1!B257</f>
        <v>-15216.004127657176</v>
      </c>
      <c r="D237">
        <f>Feuille1!C257</f>
        <v>-30348.571225761003</v>
      </c>
    </row>
    <row r="238" spans="2:4" x14ac:dyDescent="0.25">
      <c r="B238">
        <f>Feuille1!A258</f>
        <v>91</v>
      </c>
      <c r="C238">
        <f>Feuille1!B258</f>
        <v>-19326.9264295758</v>
      </c>
      <c r="D238">
        <f>Feuille1!C258</f>
        <v>-32581.815563051983</v>
      </c>
    </row>
    <row r="239" spans="2:4" x14ac:dyDescent="0.25">
      <c r="B239">
        <f>Feuille1!A259</f>
        <v>91.5</v>
      </c>
      <c r="C239">
        <f>Feuille1!B259</f>
        <v>-20707.378285463106</v>
      </c>
      <c r="D239">
        <f>Feuille1!C259</f>
        <v>-33161.583238254345</v>
      </c>
    </row>
    <row r="240" spans="2:4" x14ac:dyDescent="0.25">
      <c r="B240">
        <f>Feuille1!A260</f>
        <v>92</v>
      </c>
      <c r="C240">
        <f>Feuille1!B260</f>
        <v>-19610.509966871967</v>
      </c>
      <c r="D240">
        <f>Feuille1!C260</f>
        <v>-32110.488547460383</v>
      </c>
    </row>
    <row r="241" spans="2:4" x14ac:dyDescent="0.25">
      <c r="B241">
        <f>Feuille1!A261</f>
        <v>92.5</v>
      </c>
      <c r="C241">
        <f>Feuille1!B261</f>
        <v>-15801.181590370876</v>
      </c>
      <c r="D241">
        <f>Feuille1!C261</f>
        <v>-29488.379801088799</v>
      </c>
    </row>
    <row r="242" spans="2:4" x14ac:dyDescent="0.25">
      <c r="B242">
        <f>Feuille1!A262</f>
        <v>93</v>
      </c>
      <c r="C242">
        <f>Feuille1!B262</f>
        <v>-8533.0296887824952</v>
      </c>
      <c r="D242">
        <f>Feuille1!C262</f>
        <v>-25750.599017110439</v>
      </c>
    </row>
    <row r="243" spans="2:4" x14ac:dyDescent="0.25">
      <c r="B243">
        <f>Feuille1!A263</f>
        <v>93.5</v>
      </c>
      <c r="C243">
        <f>Feuille1!B263</f>
        <v>911.35965409508344</v>
      </c>
      <c r="D243">
        <f>Feuille1!C263</f>
        <v>-23620.062448741257</v>
      </c>
    </row>
    <row r="244" spans="2:4" x14ac:dyDescent="0.25">
      <c r="B244">
        <f>Feuille1!A264</f>
        <v>94</v>
      </c>
      <c r="C244">
        <f>Feuille1!B264</f>
        <v>7158.2495235637261</v>
      </c>
      <c r="D244">
        <f>Feuille1!C264</f>
        <v>-23110.797386716898</v>
      </c>
    </row>
    <row r="245" spans="2:4" x14ac:dyDescent="0.25">
      <c r="B245">
        <f>Feuille1!A265</f>
        <v>94.5</v>
      </c>
      <c r="C245">
        <f>Feuille1!B265</f>
        <v>10280.590599533036</v>
      </c>
      <c r="D245">
        <f>Feuille1!C265</f>
        <v>-22931.522515134264</v>
      </c>
    </row>
    <row r="246" spans="2:4" x14ac:dyDescent="0.25">
      <c r="B246">
        <f>Feuille1!A266</f>
        <v>95</v>
      </c>
      <c r="C246">
        <f>Feuille1!B266</f>
        <v>10636.376408653141</v>
      </c>
      <c r="D246">
        <f>Feuille1!C266</f>
        <v>-22726.926599728624</v>
      </c>
    </row>
    <row r="247" spans="2:4" x14ac:dyDescent="0.25">
      <c r="B247">
        <f>Feuille1!A267</f>
        <v>95.5</v>
      </c>
      <c r="C247">
        <f>Feuille1!B267</f>
        <v>8283.0185847282828</v>
      </c>
      <c r="D247">
        <f>Feuille1!C267</f>
        <v>-22477.709085175946</v>
      </c>
    </row>
    <row r="248" spans="2:4" x14ac:dyDescent="0.25">
      <c r="B248">
        <f>Feuille1!A268</f>
        <v>96</v>
      </c>
      <c r="C248">
        <f>Feuille1!B268</f>
        <v>3001.3397895971248</v>
      </c>
      <c r="D248">
        <f>Feuille1!C268</f>
        <v>-22447.99586154992</v>
      </c>
    </row>
    <row r="249" spans="2:4" x14ac:dyDescent="0.25">
      <c r="B249">
        <f>Feuille1!A269</f>
        <v>96.5</v>
      </c>
      <c r="C249">
        <f>Feuille1!B269</f>
        <v>-5427.6066963843887</v>
      </c>
      <c r="D249">
        <f>Feuille1!C269</f>
        <v>-23594.567660468994</v>
      </c>
    </row>
    <row r="250" spans="2:4" x14ac:dyDescent="0.25">
      <c r="B250">
        <f>Feuille1!A270</f>
        <v>97</v>
      </c>
      <c r="C250">
        <f>Feuille1!B270</f>
        <v>-14012.203008662469</v>
      </c>
      <c r="D250">
        <f>Feuille1!C270</f>
        <v>-27325.110685479332</v>
      </c>
    </row>
    <row r="251" spans="2:4" x14ac:dyDescent="0.25">
      <c r="B251">
        <f>Feuille1!A271</f>
        <v>97.5</v>
      </c>
      <c r="C251">
        <f>Feuille1!B271</f>
        <v>-19088.313584925898</v>
      </c>
      <c r="D251">
        <f>Feuille1!C271</f>
        <v>-30767.239477570143</v>
      </c>
    </row>
    <row r="252" spans="2:4" x14ac:dyDescent="0.25">
      <c r="B252">
        <f>Feuille1!A272</f>
        <v>98</v>
      </c>
      <c r="C252">
        <f>Feuille1!B272</f>
        <v>-21310.379881822799</v>
      </c>
      <c r="D252">
        <f>Feuille1!C272</f>
        <v>-32817.849730960261</v>
      </c>
    </row>
    <row r="253" spans="2:4" x14ac:dyDescent="0.25">
      <c r="B253">
        <f>Feuille1!A273</f>
        <v>98.5</v>
      </c>
      <c r="C253">
        <f>Feuille1!B273</f>
        <v>-21121.4791048521</v>
      </c>
      <c r="D253">
        <f>Feuille1!C273</f>
        <v>-33309.069702143883</v>
      </c>
    </row>
    <row r="254" spans="2:4" x14ac:dyDescent="0.25">
      <c r="B254">
        <f>Feuille1!A274</f>
        <v>99</v>
      </c>
      <c r="C254">
        <f>Feuille1!B274</f>
        <v>-18524.450142845726</v>
      </c>
      <c r="D254">
        <f>Feuille1!C274</f>
        <v>-32181.883908959022</v>
      </c>
    </row>
    <row r="255" spans="2:4" x14ac:dyDescent="0.25">
      <c r="B255">
        <f>Feuille1!A275</f>
        <v>99.5</v>
      </c>
      <c r="C255">
        <f>Feuille1!B275</f>
        <v>-13035.169640597864</v>
      </c>
      <c r="D255">
        <f>Feuille1!C275</f>
        <v>-29408.3909455383</v>
      </c>
    </row>
    <row r="256" spans="2:4" x14ac:dyDescent="0.25">
      <c r="B256">
        <f>Feuille1!A276</f>
        <v>100</v>
      </c>
      <c r="C256">
        <f>Feuille1!B276</f>
        <v>-3721.5532279204767</v>
      </c>
      <c r="D256">
        <f>Feuille1!C276</f>
        <v>-25658.979487976161</v>
      </c>
    </row>
    <row r="257" spans="2:4" x14ac:dyDescent="0.25">
      <c r="B257">
        <f>Feuille1!A277</f>
        <v>100.5</v>
      </c>
      <c r="C257">
        <f>Feuille1!B277</f>
        <v>4168.5825148244257</v>
      </c>
      <c r="D257">
        <f>Feuille1!C277</f>
        <v>-24061.802476137105</v>
      </c>
    </row>
    <row r="258" spans="2:4" x14ac:dyDescent="0.25">
      <c r="B258">
        <f>Feuille1!A278</f>
        <v>101</v>
      </c>
      <c r="C258">
        <f>Feuille1!B278</f>
        <v>8537.7274303435315</v>
      </c>
      <c r="D258">
        <f>Feuille1!C278</f>
        <v>-23232.707583919408</v>
      </c>
    </row>
    <row r="259" spans="2:4" x14ac:dyDescent="0.25">
      <c r="B259">
        <f>Feuille1!A279</f>
        <v>101.5</v>
      </c>
      <c r="C259">
        <f>Feuille1!B279</f>
        <v>9911.981016519574</v>
      </c>
      <c r="D259">
        <f>Feuille1!C279</f>
        <v>-22539.777329249064</v>
      </c>
    </row>
    <row r="260" spans="2:4" x14ac:dyDescent="0.25">
      <c r="B260">
        <f>Feuille1!A280</f>
        <v>102</v>
      </c>
      <c r="C260">
        <f>Feuille1!B280</f>
        <v>8516.7274628509222</v>
      </c>
      <c r="D260">
        <f>Feuille1!C280</f>
        <v>-21879.863897589072</v>
      </c>
    </row>
    <row r="261" spans="2:4" x14ac:dyDescent="0.25">
      <c r="B261">
        <f>Feuille1!A281</f>
        <v>102.5</v>
      </c>
      <c r="C261">
        <f>Feuille1!B281</f>
        <v>4289.4026409382359</v>
      </c>
      <c r="D261">
        <f>Feuille1!C281</f>
        <v>-21441.261849786377</v>
      </c>
    </row>
    <row r="262" spans="2:4" x14ac:dyDescent="0.25">
      <c r="B262">
        <f>Feuille1!A282</f>
        <v>103</v>
      </c>
      <c r="C262">
        <f>Feuille1!B282</f>
        <v>-2905.9001654403814</v>
      </c>
      <c r="D262">
        <f>Feuille1!C282</f>
        <v>-21922.249949658453</v>
      </c>
    </row>
    <row r="263" spans="2:4" x14ac:dyDescent="0.25">
      <c r="B263">
        <f>Feuille1!A283</f>
        <v>103.5</v>
      </c>
      <c r="C263">
        <f>Feuille1!B283</f>
        <v>-11614.801073094284</v>
      </c>
      <c r="D263">
        <f>Feuille1!C283</f>
        <v>-24808.380440149896</v>
      </c>
    </row>
    <row r="264" spans="2:4" x14ac:dyDescent="0.25">
      <c r="B264">
        <f>Feuille1!A284</f>
        <v>104</v>
      </c>
      <c r="C264">
        <f>Feuille1!B284</f>
        <v>-17455.059263778578</v>
      </c>
      <c r="D264">
        <f>Feuille1!C284</f>
        <v>-28660.115935165439</v>
      </c>
    </row>
    <row r="265" spans="2:4" x14ac:dyDescent="0.25">
      <c r="B265">
        <f>Feuille1!A285</f>
        <v>104.5</v>
      </c>
      <c r="C265">
        <f>Feuille1!B285</f>
        <v>-20170.578588989258</v>
      </c>
      <c r="D265">
        <f>Feuille1!C285</f>
        <v>-31525.116566788067</v>
      </c>
    </row>
    <row r="266" spans="2:4" x14ac:dyDescent="0.25">
      <c r="B266">
        <f>Feuille1!A286</f>
        <v>105</v>
      </c>
      <c r="C266">
        <f>Feuille1!B286</f>
        <v>-20239.198944536794</v>
      </c>
      <c r="D266">
        <f>Feuille1!C286</f>
        <v>-32922.383243581709</v>
      </c>
    </row>
    <row r="267" spans="2:4" x14ac:dyDescent="0.25">
      <c r="B267">
        <f>Feuille1!A287</f>
        <v>105.5</v>
      </c>
      <c r="C267">
        <f>Feuille1!B287</f>
        <v>-17744.61412947761</v>
      </c>
      <c r="D267">
        <f>Feuille1!C287</f>
        <v>-32684.049521794066</v>
      </c>
    </row>
    <row r="268" spans="2:4" x14ac:dyDescent="0.25">
      <c r="B268">
        <f>Feuille1!A288</f>
        <v>106</v>
      </c>
      <c r="C268">
        <f>Feuille1!B288</f>
        <v>-12262.230394529186</v>
      </c>
      <c r="D268">
        <f>Feuille1!C288</f>
        <v>-30653.43474913785</v>
      </c>
    </row>
    <row r="269" spans="2:4" x14ac:dyDescent="0.25">
      <c r="B269">
        <f>Feuille1!A289</f>
        <v>106.5</v>
      </c>
      <c r="C269">
        <f>Feuille1!B289</f>
        <v>-2923.7339880027016</v>
      </c>
      <c r="D269">
        <f>Feuille1!C289</f>
        <v>-27051.796399895025</v>
      </c>
    </row>
    <row r="270" spans="2:4" x14ac:dyDescent="0.25">
      <c r="B270">
        <f>Feuille1!A290</f>
        <v>107</v>
      </c>
      <c r="C270">
        <f>Feuille1!B290</f>
        <v>4208.6394112223843</v>
      </c>
      <c r="D270">
        <f>Feuille1!C290</f>
        <v>-24805.448548977329</v>
      </c>
    </row>
    <row r="271" spans="2:4" x14ac:dyDescent="0.25">
      <c r="B271">
        <f>Feuille1!A291</f>
        <v>107.5</v>
      </c>
      <c r="C271">
        <f>Feuille1!B291</f>
        <v>7666.1470034724598</v>
      </c>
      <c r="D271">
        <f>Feuille1!C291</f>
        <v>-23200.828558670146</v>
      </c>
    </row>
    <row r="272" spans="2:4" x14ac:dyDescent="0.25">
      <c r="B272">
        <f>Feuille1!A292</f>
        <v>108</v>
      </c>
      <c r="C272">
        <f>Feuille1!B292</f>
        <v>8037.7027706607369</v>
      </c>
      <c r="D272">
        <f>Feuille1!C292</f>
        <v>-21846.554169743067</v>
      </c>
    </row>
    <row r="273" spans="2:4" x14ac:dyDescent="0.25">
      <c r="B273">
        <f>Feuille1!A293</f>
        <v>108.5</v>
      </c>
      <c r="C273">
        <f>Feuille1!B293</f>
        <v>5540.7336170773906</v>
      </c>
      <c r="D273">
        <f>Feuille1!C293</f>
        <v>-20776.06646787042</v>
      </c>
    </row>
    <row r="274" spans="2:4" x14ac:dyDescent="0.25">
      <c r="B274">
        <f>Feuille1!A294</f>
        <v>109</v>
      </c>
      <c r="C274">
        <f>Feuille1!B294</f>
        <v>205.29406745064216</v>
      </c>
      <c r="D274">
        <f>Feuille1!C294</f>
        <v>-20395.236479202296</v>
      </c>
    </row>
    <row r="275" spans="2:4" x14ac:dyDescent="0.25">
      <c r="B275">
        <f>Feuille1!A295</f>
        <v>109.5</v>
      </c>
      <c r="C275">
        <f>Feuille1!B295</f>
        <v>-7432.5664784315286</v>
      </c>
      <c r="D275">
        <f>Feuille1!C295</f>
        <v>-21718.215448638195</v>
      </c>
    </row>
    <row r="276" spans="2:4" x14ac:dyDescent="0.25">
      <c r="B276">
        <f>Feuille1!A296</f>
        <v>110</v>
      </c>
      <c r="C276">
        <f>Feuille1!B296</f>
        <v>-14382.702427894128</v>
      </c>
      <c r="D276">
        <f>Feuille1!C296</f>
        <v>-25247.394945460917</v>
      </c>
    </row>
    <row r="277" spans="2:4" x14ac:dyDescent="0.25">
      <c r="B277">
        <f>Feuille1!A297</f>
        <v>110.5</v>
      </c>
      <c r="C277">
        <f>Feuille1!B297</f>
        <v>-18268.027782823268</v>
      </c>
      <c r="D277">
        <f>Feuille1!C297</f>
        <v>-28923.583997877249</v>
      </c>
    </row>
    <row r="278" spans="2:4" x14ac:dyDescent="0.25">
      <c r="B278">
        <f>Feuille1!A298</f>
        <v>111</v>
      </c>
      <c r="C278">
        <f>Feuille1!B298</f>
        <v>-19163.340770846975</v>
      </c>
      <c r="D278">
        <f>Feuille1!C298</f>
        <v>-31527.026937446026</v>
      </c>
    </row>
    <row r="279" spans="2:4" x14ac:dyDescent="0.25">
      <c r="B279">
        <f>Feuille1!A299</f>
        <v>111.5</v>
      </c>
      <c r="C279">
        <f>Feuille1!B299</f>
        <v>-17242.172112244163</v>
      </c>
      <c r="D279">
        <f>Feuille1!C299</f>
        <v>-32622.545506317063</v>
      </c>
    </row>
    <row r="280" spans="2:4" x14ac:dyDescent="0.25">
      <c r="B280">
        <f>Feuille1!A300</f>
        <v>112</v>
      </c>
      <c r="C280">
        <f>Feuille1!B300</f>
        <v>-12242.232757090505</v>
      </c>
      <c r="D280">
        <f>Feuille1!C300</f>
        <v>-31891.703286830336</v>
      </c>
    </row>
    <row r="281" spans="2:4" x14ac:dyDescent="0.25">
      <c r="B281">
        <f>Feuille1!A301</f>
        <v>112.5</v>
      </c>
      <c r="C281">
        <f>Feuille1!B301</f>
        <v>-3497.0692576408615</v>
      </c>
      <c r="D281">
        <f>Feuille1!C301</f>
        <v>-28982.940346754505</v>
      </c>
    </row>
    <row r="282" spans="2:4" x14ac:dyDescent="0.25">
      <c r="B282">
        <f>Feuille1!A302</f>
        <v>113</v>
      </c>
      <c r="C282">
        <f>Feuille1!B302</f>
        <v>3399.2062350842034</v>
      </c>
      <c r="D282">
        <f>Feuille1!C302</f>
        <v>-25932.527130341325</v>
      </c>
    </row>
    <row r="283" spans="2:4" x14ac:dyDescent="0.25">
      <c r="B283">
        <f>Feuille1!A303</f>
        <v>113.5</v>
      </c>
      <c r="C283">
        <f>Feuille1!B303</f>
        <v>6348.7274498960332</v>
      </c>
      <c r="D283">
        <f>Feuille1!C303</f>
        <v>-23436.497157844784</v>
      </c>
    </row>
    <row r="284" spans="2:4" x14ac:dyDescent="0.25">
      <c r="B284">
        <f>Feuille1!A304</f>
        <v>114</v>
      </c>
      <c r="C284">
        <f>Feuille1!B304</f>
        <v>6046.3790504804601</v>
      </c>
      <c r="D284">
        <f>Feuille1!C304</f>
        <v>-21368.391241890447</v>
      </c>
    </row>
    <row r="285" spans="2:4" x14ac:dyDescent="0.25">
      <c r="B285">
        <f>Feuille1!A305</f>
        <v>114.5</v>
      </c>
      <c r="C285">
        <f>Feuille1!B305</f>
        <v>2820.2506059358511</v>
      </c>
      <c r="D285">
        <f>Feuille1!C305</f>
        <v>-19898.385114477973</v>
      </c>
    </row>
    <row r="286" spans="2:4" x14ac:dyDescent="0.25">
      <c r="B286">
        <f>Feuille1!A306</f>
        <v>115</v>
      </c>
      <c r="C286">
        <f>Feuille1!B306</f>
        <v>-3000.0829578964644</v>
      </c>
      <c r="D286">
        <f>Feuille1!C306</f>
        <v>-19582.386432265459</v>
      </c>
    </row>
    <row r="287" spans="2:4" x14ac:dyDescent="0.25">
      <c r="B287">
        <f>Feuille1!A307</f>
        <v>115.5</v>
      </c>
      <c r="C287">
        <f>Feuille1!B307</f>
        <v>-10088.26690577226</v>
      </c>
      <c r="D287">
        <f>Feuille1!C307</f>
        <v>-21251.735550072539</v>
      </c>
    </row>
    <row r="288" spans="2:4" x14ac:dyDescent="0.25">
      <c r="B288">
        <f>Feuille1!A308</f>
        <v>116</v>
      </c>
      <c r="C288">
        <f>Feuille1!B308</f>
        <v>-15673.691000041475</v>
      </c>
      <c r="D288">
        <f>Feuille1!C308</f>
        <v>-24457.432652987809</v>
      </c>
    </row>
    <row r="289" spans="2:4" x14ac:dyDescent="0.25">
      <c r="B289">
        <f>Feuille1!A309</f>
        <v>116.5</v>
      </c>
      <c r="C289">
        <f>Feuille1!B309</f>
        <v>-18453.659819389723</v>
      </c>
      <c r="D289">
        <f>Feuille1!C309</f>
        <v>-27644.080393983975</v>
      </c>
    </row>
    <row r="290" spans="2:4" x14ac:dyDescent="0.25">
      <c r="B290">
        <f>Feuille1!A310</f>
        <v>117</v>
      </c>
      <c r="C290">
        <f>Feuille1!B310</f>
        <v>-18346.672947368068</v>
      </c>
      <c r="D290">
        <f>Feuille1!C310</f>
        <v>-29960.937742196242</v>
      </c>
    </row>
    <row r="291" spans="2:4" x14ac:dyDescent="0.25">
      <c r="B291">
        <f>Feuille1!A311</f>
        <v>117.5</v>
      </c>
      <c r="C291">
        <f>Feuille1!B311</f>
        <v>-15243.595307639178</v>
      </c>
      <c r="D291">
        <f>Feuille1!C311</f>
        <v>-31016.276698418384</v>
      </c>
    </row>
    <row r="292" spans="2:4" x14ac:dyDescent="0.25">
      <c r="B292">
        <f>Feuille1!A312</f>
        <v>118</v>
      </c>
      <c r="C292">
        <f>Feuille1!B312</f>
        <v>-8598.5021851312486</v>
      </c>
      <c r="D292">
        <f>Feuille1!C312</f>
        <v>-30496.090310558386</v>
      </c>
    </row>
    <row r="293" spans="2:4" x14ac:dyDescent="0.25">
      <c r="B293">
        <f>Feuille1!A313</f>
        <v>118.5</v>
      </c>
      <c r="C293">
        <f>Feuille1!B313</f>
        <v>942.03710597749978</v>
      </c>
      <c r="D293">
        <f>Feuille1!C313</f>
        <v>-28366.732420093926</v>
      </c>
    </row>
    <row r="294" spans="2:4" x14ac:dyDescent="0.25">
      <c r="B294">
        <f>Feuille1!A314</f>
        <v>119</v>
      </c>
      <c r="C294">
        <f>Feuille1!B314</f>
        <v>6216.4869043382932</v>
      </c>
      <c r="D294">
        <f>Feuille1!C314</f>
        <v>-26201.357661796064</v>
      </c>
    </row>
    <row r="295" spans="2:4" x14ac:dyDescent="0.25">
      <c r="B295">
        <f>Feuille1!A315</f>
        <v>119.5</v>
      </c>
      <c r="C295">
        <f>Feuille1!B315</f>
        <v>7807.1589782883257</v>
      </c>
      <c r="D295">
        <f>Feuille1!C315</f>
        <v>-24068.891923684467</v>
      </c>
    </row>
    <row r="296" spans="2:4" x14ac:dyDescent="0.25">
      <c r="B296">
        <f>Feuille1!A316</f>
        <v>120</v>
      </c>
      <c r="C296">
        <f>Feuille1!B316</f>
        <v>6212.7799556328782</v>
      </c>
      <c r="D296">
        <f>Feuille1!C316</f>
        <v>-22086.68118147623</v>
      </c>
    </row>
    <row r="297" spans="2:4" x14ac:dyDescent="0.25">
      <c r="B297">
        <f>Feuille1!A317</f>
        <v>120.5</v>
      </c>
      <c r="C297">
        <f>Feuille1!B317</f>
        <v>1582.2644056385639</v>
      </c>
      <c r="D297">
        <f>Feuille1!C317</f>
        <v>-20650.292153857958</v>
      </c>
    </row>
    <row r="298" spans="2:4" x14ac:dyDescent="0.25">
      <c r="B298">
        <f>Feuille1!A318</f>
        <v>121</v>
      </c>
      <c r="C298">
        <f>Feuille1!B318</f>
        <v>-5650.8361635113015</v>
      </c>
      <c r="D298">
        <f>Feuille1!C318</f>
        <v>-20670.122643932395</v>
      </c>
    </row>
    <row r="299" spans="2:4" x14ac:dyDescent="0.25">
      <c r="B299">
        <f>Feuille1!A319</f>
        <v>121.5</v>
      </c>
      <c r="C299">
        <f>Feuille1!B319</f>
        <v>-13112.280478861894</v>
      </c>
      <c r="D299">
        <f>Feuille1!C319</f>
        <v>-22932.434181476146</v>
      </c>
    </row>
    <row r="300" spans="2:4" x14ac:dyDescent="0.25">
      <c r="B300">
        <f>Feuille1!A320</f>
        <v>122</v>
      </c>
      <c r="C300">
        <f>Feuille1!B320</f>
        <v>-18109.922848859122</v>
      </c>
      <c r="D300">
        <f>Feuille1!C320</f>
        <v>-25932.431304433467</v>
      </c>
    </row>
    <row r="301" spans="2:4" x14ac:dyDescent="0.25">
      <c r="B301">
        <f>Feuille1!A321</f>
        <v>122.5</v>
      </c>
      <c r="C301">
        <f>Feuille1!B321</f>
        <v>-20335.601733418673</v>
      </c>
      <c r="D301">
        <f>Feuille1!C321</f>
        <v>-28336.126125996609</v>
      </c>
    </row>
    <row r="302" spans="2:4" x14ac:dyDescent="0.25">
      <c r="B302">
        <f>Feuille1!A322</f>
        <v>123</v>
      </c>
      <c r="C302">
        <f>Feuille1!B322</f>
        <v>-19942.00495185193</v>
      </c>
      <c r="D302">
        <f>Feuille1!C322</f>
        <v>-29675.480075323951</v>
      </c>
    </row>
    <row r="303" spans="2:4" x14ac:dyDescent="0.25">
      <c r="B303">
        <f>Feuille1!A323</f>
        <v>123.5</v>
      </c>
      <c r="C303">
        <f>Feuille1!B323</f>
        <v>-16834.97785422884</v>
      </c>
      <c r="D303">
        <f>Feuille1!C323</f>
        <v>-29789.85365513041</v>
      </c>
    </row>
    <row r="304" spans="2:4" x14ac:dyDescent="0.25">
      <c r="B304">
        <f>Feuille1!A324</f>
        <v>124</v>
      </c>
      <c r="C304">
        <f>Feuille1!B324</f>
        <v>-10451.585292088086</v>
      </c>
      <c r="D304">
        <f>Feuille1!C324</f>
        <v>-28689.07899842022</v>
      </c>
    </row>
    <row r="305" spans="2:4" x14ac:dyDescent="0.25">
      <c r="B305">
        <f>Feuille1!A325</f>
        <v>124.5</v>
      </c>
      <c r="C305">
        <f>Feuille1!B325</f>
        <v>-495.94978126184924</v>
      </c>
      <c r="D305">
        <f>Feuille1!C325</f>
        <v>-27226.3325568459</v>
      </c>
    </row>
    <row r="306" spans="2:4" x14ac:dyDescent="0.25">
      <c r="B306">
        <f>Feuille1!A326</f>
        <v>125</v>
      </c>
      <c r="C306">
        <f>Feuille1!B326</f>
        <v>5770.9386602243767</v>
      </c>
      <c r="D306">
        <f>Feuille1!C326</f>
        <v>-26611.898280510388</v>
      </c>
    </row>
    <row r="307" spans="2:4" x14ac:dyDescent="0.25">
      <c r="B307">
        <f>Feuille1!A327</f>
        <v>125.5</v>
      </c>
      <c r="C307">
        <f>Feuille1!B327</f>
        <v>8234.4567151884603</v>
      </c>
      <c r="D307">
        <f>Feuille1!C327</f>
        <v>-25996.307460339562</v>
      </c>
    </row>
    <row r="308" spans="2:4" x14ac:dyDescent="0.25">
      <c r="B308">
        <f>Feuille1!A328</f>
        <v>126</v>
      </c>
      <c r="C308">
        <f>Feuille1!B328</f>
        <v>7360.425483983181</v>
      </c>
      <c r="D308">
        <f>Feuille1!C328</f>
        <v>-25231.901067841725</v>
      </c>
    </row>
    <row r="309" spans="2:4" x14ac:dyDescent="0.25">
      <c r="B309">
        <f>Feuille1!A329</f>
        <v>126.5</v>
      </c>
      <c r="C309">
        <f>Feuille1!B329</f>
        <v>3094.8217649468743</v>
      </c>
      <c r="D309">
        <f>Feuille1!C329</f>
        <v>-24527.084327692635</v>
      </c>
    </row>
    <row r="310" spans="2:4" x14ac:dyDescent="0.25">
      <c r="B310">
        <f>Feuille1!A330</f>
        <v>127</v>
      </c>
      <c r="C310">
        <f>Feuille1!B330</f>
        <v>-4813.8694747076997</v>
      </c>
      <c r="D310">
        <f>Feuille1!C330</f>
        <v>-24758.822973320217</v>
      </c>
    </row>
    <row r="311" spans="2:4" x14ac:dyDescent="0.25">
      <c r="B311">
        <f>Feuille1!A331</f>
        <v>127.5</v>
      </c>
      <c r="C311">
        <f>Feuille1!B331</f>
        <v>-13267.088946899763</v>
      </c>
      <c r="D311">
        <f>Feuille1!C331</f>
        <v>-27455.663767783964</v>
      </c>
    </row>
    <row r="312" spans="2:4" x14ac:dyDescent="0.25">
      <c r="B312">
        <f>Feuille1!A332</f>
        <v>128</v>
      </c>
      <c r="C312">
        <f>Feuille1!B332</f>
        <v>-18135.331954607595</v>
      </c>
      <c r="D312">
        <f>Feuille1!C332</f>
        <v>-29946.289287796812</v>
      </c>
    </row>
    <row r="313" spans="2:4" x14ac:dyDescent="0.25">
      <c r="B313">
        <f>Feuille1!A333</f>
        <v>128.5</v>
      </c>
      <c r="C313">
        <f>Feuille1!B333</f>
        <v>-19968.63278490525</v>
      </c>
      <c r="D313">
        <f>Feuille1!C333</f>
        <v>-31178.748001663567</v>
      </c>
    </row>
    <row r="314" spans="2:4" x14ac:dyDescent="0.25">
      <c r="B314">
        <f>Feuille1!A334</f>
        <v>129</v>
      </c>
      <c r="C314">
        <f>Feuille1!B334</f>
        <v>-19110.084961032273</v>
      </c>
      <c r="D314">
        <f>Feuille1!C334</f>
        <v>-30982.250638594072</v>
      </c>
    </row>
    <row r="315" spans="2:4" x14ac:dyDescent="0.25">
      <c r="B315">
        <f>Feuille1!A335</f>
        <v>129.5</v>
      </c>
      <c r="C315">
        <f>Feuille1!B335</f>
        <v>-15406.63982851541</v>
      </c>
      <c r="D315">
        <f>Feuille1!C335</f>
        <v>-29360.725714294123</v>
      </c>
    </row>
    <row r="316" spans="2:4" x14ac:dyDescent="0.25">
      <c r="B316">
        <f>Feuille1!A336</f>
        <v>130</v>
      </c>
      <c r="C316">
        <f>Feuille1!B336</f>
        <v>-8180.599736934857</v>
      </c>
      <c r="D316">
        <f>Feuille1!C336</f>
        <v>-26674.228530669359</v>
      </c>
    </row>
    <row r="317" spans="2:4" x14ac:dyDescent="0.25">
      <c r="B317">
        <f>Feuille1!A337</f>
        <v>130.5</v>
      </c>
      <c r="C317">
        <f>Feuille1!B337</f>
        <v>1245.2144380814489</v>
      </c>
      <c r="D317">
        <f>Feuille1!C337</f>
        <v>-25270.203060070577</v>
      </c>
    </row>
    <row r="318" spans="2:4" x14ac:dyDescent="0.25">
      <c r="B318">
        <f>Feuille1!A338</f>
        <v>131</v>
      </c>
      <c r="C318">
        <f>Feuille1!B338</f>
        <v>6980.6065722979474</v>
      </c>
      <c r="D318">
        <f>Feuille1!C338</f>
        <v>-25099.003311751101</v>
      </c>
    </row>
    <row r="319" spans="2:4" x14ac:dyDescent="0.25">
      <c r="B319">
        <f>Feuille1!A339</f>
        <v>131.5</v>
      </c>
      <c r="C319">
        <f>Feuille1!B339</f>
        <v>9287.3720640116844</v>
      </c>
      <c r="D319">
        <f>Feuille1!C339</f>
        <v>-25055.492733694846</v>
      </c>
    </row>
    <row r="320" spans="2:4" x14ac:dyDescent="0.25">
      <c r="B320">
        <f>Feuille1!A340</f>
        <v>132</v>
      </c>
      <c r="C320">
        <f>Feuille1!B340</f>
        <v>8505.3289194397439</v>
      </c>
      <c r="D320">
        <f>Feuille1!C340</f>
        <v>-24892.429144306956</v>
      </c>
    </row>
    <row r="321" spans="2:4" x14ac:dyDescent="0.25">
      <c r="B321">
        <f>Feuille1!A341</f>
        <v>132.5</v>
      </c>
      <c r="C321">
        <f>Feuille1!B341</f>
        <v>4536.3033751803669</v>
      </c>
      <c r="D321">
        <f>Feuille1!C341</f>
        <v>-24704.523096483001</v>
      </c>
    </row>
    <row r="322" spans="2:4" x14ac:dyDescent="0.25">
      <c r="B322">
        <f>Feuille1!A342</f>
        <v>133</v>
      </c>
      <c r="C322">
        <f>Feuille1!B342</f>
        <v>-3066.1853472617959</v>
      </c>
      <c r="D322">
        <f>Feuille1!C342</f>
        <v>-25110.090365413187</v>
      </c>
    </row>
    <row r="323" spans="2:4" x14ac:dyDescent="0.25">
      <c r="B323">
        <f>Feuille1!A343</f>
        <v>133.5</v>
      </c>
      <c r="C323">
        <f>Feuille1!B343</f>
        <v>-12508.541241042612</v>
      </c>
      <c r="D323">
        <f>Feuille1!C343</f>
        <v>-27773.549472965613</v>
      </c>
    </row>
    <row r="324" spans="2:4" x14ac:dyDescent="0.25">
      <c r="B324">
        <f>Feuille1!A344</f>
        <v>134</v>
      </c>
      <c r="C324">
        <f>Feuille1!B344</f>
        <v>-18290.825210155064</v>
      </c>
      <c r="D324">
        <f>Feuille1!C344</f>
        <v>-30238.180198814844</v>
      </c>
    </row>
    <row r="325" spans="2:4" x14ac:dyDescent="0.25">
      <c r="B325">
        <f>Feuille1!A345</f>
        <v>134.5</v>
      </c>
      <c r="C325">
        <f>Feuille1!B345</f>
        <v>-21067.284933785675</v>
      </c>
      <c r="D325">
        <f>Feuille1!C345</f>
        <v>-31390.459529315831</v>
      </c>
    </row>
    <row r="326" spans="2:4" x14ac:dyDescent="0.25">
      <c r="B326">
        <f>Feuille1!A346</f>
        <v>135</v>
      </c>
      <c r="C326">
        <f>Feuille1!B346</f>
        <v>-21334.4232878728</v>
      </c>
      <c r="D326">
        <f>Feuille1!C346</f>
        <v>-31121.273847518329</v>
      </c>
    </row>
    <row r="327" spans="2:4" x14ac:dyDescent="0.25">
      <c r="B327">
        <f>Feuille1!A347</f>
        <v>135.5</v>
      </c>
      <c r="C327">
        <f>Feuille1!B347</f>
        <v>-19125.504339928229</v>
      </c>
      <c r="D327">
        <f>Feuille1!C347</f>
        <v>-29466.957371283352</v>
      </c>
    </row>
    <row r="328" spans="2:4" x14ac:dyDescent="0.25">
      <c r="B328">
        <f>Feuille1!A348</f>
        <v>136</v>
      </c>
      <c r="C328">
        <f>Feuille1!B348</f>
        <v>-14065.157615592125</v>
      </c>
      <c r="D328">
        <f>Feuille1!C348</f>
        <v>-26627.185414423471</v>
      </c>
    </row>
    <row r="329" spans="2:4" x14ac:dyDescent="0.25">
      <c r="B329">
        <f>Feuille1!A349</f>
        <v>136.5</v>
      </c>
      <c r="C329">
        <f>Feuille1!B349</f>
        <v>-5625.8000013899391</v>
      </c>
      <c r="D329">
        <f>Feuille1!C349</f>
        <v>-23692.440186877753</v>
      </c>
    </row>
    <row r="330" spans="2:4" x14ac:dyDescent="0.25">
      <c r="B330">
        <f>Feuille1!A350</f>
        <v>137</v>
      </c>
      <c r="C330">
        <f>Feuille1!B350</f>
        <v>2792.7828397693388</v>
      </c>
      <c r="D330">
        <f>Feuille1!C350</f>
        <v>-23324.164822977498</v>
      </c>
    </row>
    <row r="331" spans="2:4" x14ac:dyDescent="0.25">
      <c r="B331">
        <f>Feuille1!A351</f>
        <v>137.5</v>
      </c>
      <c r="C331">
        <f>Feuille1!B351</f>
        <v>7866.622206951517</v>
      </c>
      <c r="D331">
        <f>Feuille1!C351</f>
        <v>-24125.510042801281</v>
      </c>
    </row>
    <row r="332" spans="2:4" x14ac:dyDescent="0.25">
      <c r="B332">
        <f>Feuille1!A352</f>
        <v>138</v>
      </c>
      <c r="C332">
        <f>Feuille1!B352</f>
        <v>9755.6592710632685</v>
      </c>
      <c r="D332">
        <f>Feuille1!C352</f>
        <v>-25063.518107802087</v>
      </c>
    </row>
    <row r="333" spans="2:4" x14ac:dyDescent="0.25">
      <c r="B333">
        <f>Feuille1!A353</f>
        <v>138.5</v>
      </c>
      <c r="C333">
        <f>Feuille1!B353</f>
        <v>8623.7937758598273</v>
      </c>
      <c r="D333">
        <f>Feuille1!C353</f>
        <v>-25841.264988169663</v>
      </c>
    </row>
    <row r="334" spans="2:4" x14ac:dyDescent="0.25">
      <c r="B334">
        <f>Feuille1!A354</f>
        <v>139</v>
      </c>
      <c r="C334">
        <f>Feuille1!B354</f>
        <v>4231.4128274294872</v>
      </c>
      <c r="D334">
        <f>Feuille1!C354</f>
        <v>-26458.121548367271</v>
      </c>
    </row>
    <row r="335" spans="2:4" x14ac:dyDescent="0.25">
      <c r="B335">
        <f>Feuille1!A355</f>
        <v>139.5</v>
      </c>
      <c r="C335">
        <f>Feuille1!B355</f>
        <v>-4142.7034186292149</v>
      </c>
      <c r="D335">
        <f>Feuille1!C355</f>
        <v>-27333.425943295664</v>
      </c>
    </row>
    <row r="336" spans="2:4" x14ac:dyDescent="0.25">
      <c r="B336">
        <f>Feuille1!A356</f>
        <v>140</v>
      </c>
      <c r="C336">
        <f>Feuille1!B356</f>
        <v>-13687.286647778885</v>
      </c>
      <c r="D336">
        <f>Feuille1!C356</f>
        <v>-29473.629063266235</v>
      </c>
    </row>
    <row r="337" spans="2:4" x14ac:dyDescent="0.25">
      <c r="B337">
        <f>Feuille1!A357</f>
        <v>140.5</v>
      </c>
      <c r="C337">
        <f>Feuille1!B357</f>
        <v>-19460.039817917725</v>
      </c>
      <c r="D337">
        <f>Feuille1!C357</f>
        <v>-30579.573805582248</v>
      </c>
    </row>
    <row r="338" spans="2:4" x14ac:dyDescent="0.25">
      <c r="B338">
        <f>Feuille1!A358</f>
        <v>141</v>
      </c>
      <c r="C338">
        <f>Feuille1!B358</f>
        <v>-22440.454520650281</v>
      </c>
      <c r="D338">
        <f>Feuille1!C358</f>
        <v>-30329.837903301141</v>
      </c>
    </row>
    <row r="339" spans="2:4" x14ac:dyDescent="0.25">
      <c r="B339">
        <f>Feuille1!A359</f>
        <v>141.5</v>
      </c>
      <c r="C339">
        <f>Feuille1!B359</f>
        <v>-23091.729488637011</v>
      </c>
      <c r="D339">
        <f>Feuille1!C359</f>
        <v>-28788.988839460595</v>
      </c>
    </row>
    <row r="340" spans="2:4" x14ac:dyDescent="0.25">
      <c r="B340">
        <f>Feuille1!A360</f>
        <v>142</v>
      </c>
      <c r="C340">
        <f>Feuille1!B360</f>
        <v>-21503.364419082711</v>
      </c>
      <c r="D340">
        <f>Feuille1!C360</f>
        <v>-26076.955080033105</v>
      </c>
    </row>
    <row r="341" spans="2:4" x14ac:dyDescent="0.25">
      <c r="B341">
        <f>Feuille1!A361</f>
        <v>142.5</v>
      </c>
      <c r="C341">
        <f>Feuille1!B361</f>
        <v>-17577.930115549003</v>
      </c>
      <c r="D341">
        <f>Feuille1!C361</f>
        <v>-22447.075215204968</v>
      </c>
    </row>
    <row r="342" spans="2:4" x14ac:dyDescent="0.25">
      <c r="B342">
        <f>Feuille1!A362</f>
        <v>143</v>
      </c>
      <c r="C342">
        <f>Feuille1!B362</f>
        <v>-11360.22801704095</v>
      </c>
      <c r="D342">
        <f>Feuille1!C362</f>
        <v>-18560.788142466659</v>
      </c>
    </row>
    <row r="343" spans="2:4" x14ac:dyDescent="0.25">
      <c r="B343">
        <f>Feuille1!A363</f>
        <v>143.5</v>
      </c>
      <c r="C343">
        <f>Feuille1!B363</f>
        <v>-4014.855044780561</v>
      </c>
      <c r="D343">
        <f>Feuille1!C363</f>
        <v>-15505.814228699186</v>
      </c>
    </row>
    <row r="344" spans="2:4" x14ac:dyDescent="0.25">
      <c r="B344">
        <f>Feuille1!A364</f>
        <v>144</v>
      </c>
      <c r="C344">
        <f>Feuille1!B364</f>
        <v>2417.2831643052345</v>
      </c>
      <c r="D344">
        <f>Feuille1!C364</f>
        <v>-13423.873902150017</v>
      </c>
    </row>
    <row r="345" spans="2:4" x14ac:dyDescent="0.25">
      <c r="B345">
        <f>Feuille1!A365</f>
        <v>144.5</v>
      </c>
      <c r="C345">
        <f>Feuille1!B365</f>
        <v>7037.2914094088646</v>
      </c>
      <c r="D345">
        <f>Feuille1!C365</f>
        <v>-11702.756275211188</v>
      </c>
    </row>
    <row r="346" spans="2:4" x14ac:dyDescent="0.25">
      <c r="B346">
        <f>Feuille1!A366</f>
        <v>145</v>
      </c>
      <c r="C346">
        <f>Feuille1!B366</f>
        <v>9716.0166711281563</v>
      </c>
      <c r="D346">
        <f>Feuille1!C366</f>
        <v>-9936.1381895810282</v>
      </c>
    </row>
    <row r="347" spans="2:4" x14ac:dyDescent="0.25">
      <c r="B347">
        <f>Feuille1!A367</f>
        <v>145.5</v>
      </c>
      <c r="C347">
        <f>Feuille1!B367</f>
        <v>10490.302539592478</v>
      </c>
      <c r="D347">
        <f>Feuille1!C367</f>
        <v>-7921.7650710167236</v>
      </c>
    </row>
    <row r="348" spans="2:4" x14ac:dyDescent="0.25">
      <c r="B348">
        <f>Feuille1!A368</f>
        <v>146</v>
      </c>
      <c r="C348">
        <f>Feuille1!B368</f>
        <v>9393.011190191055</v>
      </c>
      <c r="D348">
        <f>Feuille1!C368</f>
        <v>-5533.8723297004772</v>
      </c>
    </row>
    <row r="349" spans="2:4" x14ac:dyDescent="0.25">
      <c r="B349">
        <f>Feuille1!A369</f>
        <v>146.5</v>
      </c>
      <c r="C349">
        <f>Feuille1!B369</f>
        <v>6417.6759331219182</v>
      </c>
      <c r="D349">
        <f>Feuille1!C369</f>
        <v>-2640.225743648527</v>
      </c>
    </row>
    <row r="350" spans="2:4" x14ac:dyDescent="0.25">
      <c r="B350">
        <f>Feuille1!A370</f>
        <v>147</v>
      </c>
      <c r="C350">
        <f>Feuille1!B370</f>
        <v>1484.8767266257869</v>
      </c>
      <c r="D350">
        <f>Feuille1!C370</f>
        <v>983.59921610457798</v>
      </c>
    </row>
    <row r="351" spans="2:4" x14ac:dyDescent="0.25">
      <c r="B351">
        <f>Feuille1!A371</f>
        <v>147.5</v>
      </c>
      <c r="C351">
        <f>Feuille1!B371</f>
        <v>-5690.1876366333454</v>
      </c>
      <c r="D351">
        <f>Feuille1!C371</f>
        <v>5837.8095515993209</v>
      </c>
    </row>
    <row r="352" spans="2:4" x14ac:dyDescent="0.25">
      <c r="B352">
        <f>Feuille1!A372</f>
        <v>148</v>
      </c>
      <c r="C352">
        <f>Feuille1!B372</f>
        <v>-15889.282956074516</v>
      </c>
      <c r="D352">
        <f>Feuille1!C372</f>
        <v>13182.82590297889</v>
      </c>
    </row>
    <row r="353" spans="2:4" x14ac:dyDescent="0.25">
      <c r="B353">
        <f>Feuille1!A373</f>
        <v>148.5</v>
      </c>
      <c r="C353">
        <f>Feuille1!B373</f>
        <v>-28836.908013382446</v>
      </c>
      <c r="D353">
        <f>Feuille1!C373</f>
        <v>24977.406952788071</v>
      </c>
    </row>
    <row r="354" spans="2:4" x14ac:dyDescent="0.25">
      <c r="B354">
        <f>Feuille1!A374</f>
        <v>149</v>
      </c>
      <c r="C354">
        <f>Feuille1!B374</f>
        <v>-36361.46532716135</v>
      </c>
      <c r="D354">
        <f>Feuille1!C374</f>
        <v>33541.621191970822</v>
      </c>
    </row>
    <row r="355" spans="2:4" x14ac:dyDescent="0.25">
      <c r="B355">
        <f>Feuille1!A375</f>
        <v>149.5</v>
      </c>
      <c r="C355">
        <f>Feuille1!B375</f>
        <v>-40471.926976201597</v>
      </c>
      <c r="D355">
        <f>Feuille1!C375</f>
        <v>39190.175777757722</v>
      </c>
    </row>
    <row r="356" spans="2:4" x14ac:dyDescent="0.25">
      <c r="B356">
        <f>Feuille1!A376</f>
        <v>150</v>
      </c>
      <c r="C356">
        <f>Feuille1!B376</f>
        <v>-42230.641930728991</v>
      </c>
      <c r="D356">
        <f>Feuille1!C376</f>
        <v>42571.368752220173</v>
      </c>
    </row>
    <row r="357" spans="2:4" x14ac:dyDescent="0.25">
      <c r="B357">
        <f>Feuille1!A377</f>
        <v>150.5</v>
      </c>
      <c r="C357">
        <f>Feuille1!B377</f>
        <v>-42069.145039448114</v>
      </c>
      <c r="D357">
        <f>Feuille1!C377</f>
        <v>43951.96671146313</v>
      </c>
    </row>
    <row r="358" spans="2:4" x14ac:dyDescent="0.25">
      <c r="B358">
        <f>Feuille1!A378</f>
        <v>151</v>
      </c>
      <c r="C358">
        <f>Feuille1!B378</f>
        <v>-40123.631759846765</v>
      </c>
      <c r="D358">
        <f>Feuille1!C378</f>
        <v>43350.834620093548</v>
      </c>
    </row>
    <row r="359" spans="2:4" x14ac:dyDescent="0.25">
      <c r="B359">
        <f>Feuille1!A379</f>
        <v>151.5</v>
      </c>
      <c r="C359">
        <f>Feuille1!B379</f>
        <v>-36319.349033796767</v>
      </c>
      <c r="D359">
        <f>Feuille1!C379</f>
        <v>40549.10210096652</v>
      </c>
    </row>
    <row r="360" spans="2:4" x14ac:dyDescent="0.25">
      <c r="B360">
        <f>Feuille1!A380</f>
        <v>152</v>
      </c>
      <c r="C360">
        <f>Feuille1!B380</f>
        <v>-30325.922923348196</v>
      </c>
      <c r="D360">
        <f>Feuille1!C380</f>
        <v>34946.596462211724</v>
      </c>
    </row>
    <row r="361" spans="2:4" x14ac:dyDescent="0.25">
      <c r="B361">
        <f>Feuille1!A381</f>
        <v>152.5</v>
      </c>
      <c r="C361">
        <f>Feuille1!B381</f>
        <v>-21424.549581585219</v>
      </c>
      <c r="D361">
        <f>Feuille1!C381</f>
        <v>25093.166648454295</v>
      </c>
    </row>
    <row r="362" spans="2:4" x14ac:dyDescent="0.25">
      <c r="B362">
        <f>Feuille1!A382</f>
        <v>153</v>
      </c>
      <c r="C362">
        <f>Feuille1!B382</f>
        <v>-11116.723912964404</v>
      </c>
      <c r="D362">
        <f>Feuille1!C382</f>
        <v>10458.756914576077</v>
      </c>
    </row>
    <row r="363" spans="2:4" x14ac:dyDescent="0.25">
      <c r="B363">
        <f>Feuille1!A383</f>
        <v>153.5</v>
      </c>
      <c r="C363">
        <f>Feuille1!B383</f>
        <v>-4597.0783723069035</v>
      </c>
      <c r="D363">
        <f>Feuille1!C383</f>
        <v>-427.78956394522947</v>
      </c>
    </row>
    <row r="364" spans="2:4" x14ac:dyDescent="0.25">
      <c r="B364">
        <f>Feuille1!A384</f>
        <v>154</v>
      </c>
      <c r="C364">
        <f>Feuille1!B384</f>
        <v>-52.383376161194519</v>
      </c>
      <c r="D364">
        <f>Feuille1!C384</f>
        <v>-9485.258014818166</v>
      </c>
    </row>
    <row r="365" spans="2:4" x14ac:dyDescent="0.25">
      <c r="B365">
        <f>Feuille1!A385</f>
        <v>154.5</v>
      </c>
      <c r="C365">
        <f>Feuille1!B385</f>
        <v>2942.295026483288</v>
      </c>
      <c r="D365">
        <f>Feuille1!C385</f>
        <v>-18324.527297754033</v>
      </c>
    </row>
    <row r="366" spans="2:4" x14ac:dyDescent="0.25">
      <c r="B366">
        <f>Feuille1!A386</f>
        <v>155</v>
      </c>
      <c r="C366">
        <f>Feuille1!B386</f>
        <v>3597.8089582925145</v>
      </c>
      <c r="D366">
        <f>Feuille1!C386</f>
        <v>-28148.105982515961</v>
      </c>
    </row>
    <row r="367" spans="2:4" x14ac:dyDescent="0.25">
      <c r="B367">
        <f>Feuille1!A387</f>
        <v>155.5</v>
      </c>
      <c r="C367">
        <f>Feuille1!B387</f>
        <v>-20.497286555815663</v>
      </c>
      <c r="D367">
        <f>Feuille1!C387</f>
        <v>-37750.480173768003</v>
      </c>
    </row>
    <row r="368" spans="2:4" x14ac:dyDescent="0.25">
      <c r="B368">
        <f>Feuille1!A388</f>
        <v>156</v>
      </c>
      <c r="C368">
        <f>Feuille1!B388</f>
        <v>-5982.4070205320868</v>
      </c>
      <c r="D368">
        <f>Feuille1!C388</f>
        <v>-43266.539839594559</v>
      </c>
    </row>
    <row r="369" spans="2:4" x14ac:dyDescent="0.25">
      <c r="B369">
        <f>Feuille1!A389</f>
        <v>156.5</v>
      </c>
      <c r="C369">
        <f>Feuille1!B389</f>
        <v>-11876.502648493624</v>
      </c>
      <c r="D369">
        <f>Feuille1!C389</f>
        <v>-44979.617509379226</v>
      </c>
    </row>
    <row r="370" spans="2:4" x14ac:dyDescent="0.25">
      <c r="B370">
        <f>Feuille1!A390</f>
        <v>157</v>
      </c>
      <c r="C370">
        <f>Feuille1!B390</f>
        <v>-16847.114795536305</v>
      </c>
      <c r="D370">
        <f>Feuille1!C390</f>
        <v>-43721.239337055304</v>
      </c>
    </row>
    <row r="371" spans="2:4" x14ac:dyDescent="0.25">
      <c r="B371">
        <f>Feuille1!A391</f>
        <v>157.5</v>
      </c>
      <c r="C371">
        <f>Feuille1!B391</f>
        <v>-20444.895882048517</v>
      </c>
      <c r="D371">
        <f>Feuille1!C391</f>
        <v>-40020.756579442525</v>
      </c>
    </row>
    <row r="372" spans="2:4" x14ac:dyDescent="0.25">
      <c r="B372">
        <f>Feuille1!A392</f>
        <v>158</v>
      </c>
      <c r="C372">
        <f>Feuille1!B392</f>
        <v>-22260.909062271319</v>
      </c>
      <c r="D372">
        <f>Feuille1!C392</f>
        <v>-34261.047021056605</v>
      </c>
    </row>
    <row r="373" spans="2:4" x14ac:dyDescent="0.25">
      <c r="B373">
        <f>Feuille1!A393</f>
        <v>158.5</v>
      </c>
      <c r="C373">
        <f>Feuille1!B393</f>
        <v>-21882.567055917432</v>
      </c>
      <c r="D373">
        <f>Feuille1!C393</f>
        <v>-26879.972337557097</v>
      </c>
    </row>
    <row r="374" spans="2:4" x14ac:dyDescent="0.25">
      <c r="B374">
        <f>Feuille1!A394</f>
        <v>159</v>
      </c>
      <c r="C374">
        <f>Feuille1!B394</f>
        <v>-19168.338968537922</v>
      </c>
      <c r="D374">
        <f>Feuille1!C394</f>
        <v>-18502.998459548377</v>
      </c>
    </row>
    <row r="375" spans="2:4" x14ac:dyDescent="0.25">
      <c r="B375">
        <f>Feuille1!A395</f>
        <v>159.5</v>
      </c>
      <c r="C375">
        <f>Feuille1!B395</f>
        <v>-14811.678857614883</v>
      </c>
      <c r="D375">
        <f>Feuille1!C395</f>
        <v>-9503.5089195811724</v>
      </c>
    </row>
    <row r="376" spans="2:4" x14ac:dyDescent="0.25">
      <c r="B376">
        <f>Feuille1!A396</f>
        <v>160</v>
      </c>
      <c r="C376">
        <f>Feuille1!B396</f>
        <v>-10213.385477522801</v>
      </c>
      <c r="D376">
        <f>Feuille1!C396</f>
        <v>907.20862615633246</v>
      </c>
    </row>
    <row r="377" spans="2:4" x14ac:dyDescent="0.25">
      <c r="B377">
        <f>Feuille1!A397</f>
        <v>160.5</v>
      </c>
      <c r="C377">
        <f>Feuille1!B397</f>
        <v>-7286.5371895796434</v>
      </c>
      <c r="D377">
        <f>Feuille1!C397</f>
        <v>14218.548453640491</v>
      </c>
    </row>
    <row r="378" spans="2:4" x14ac:dyDescent="0.25">
      <c r="B378">
        <f>Feuille1!A398</f>
        <v>161</v>
      </c>
      <c r="C378">
        <f>Feuille1!B398</f>
        <v>-9386.1691344248284</v>
      </c>
      <c r="D378">
        <f>Feuille1!C398</f>
        <v>29413.028685435522</v>
      </c>
    </row>
    <row r="379" spans="2:4" x14ac:dyDescent="0.25">
      <c r="B379">
        <f>Feuille1!A399</f>
        <v>161.5</v>
      </c>
      <c r="C379">
        <f>Feuille1!B399</f>
        <v>-15621.496342911316</v>
      </c>
      <c r="D379">
        <f>Feuille1!C399</f>
        <v>40493.024508189184</v>
      </c>
    </row>
    <row r="380" spans="2:4" x14ac:dyDescent="0.25">
      <c r="B380">
        <f>Feuille1!A400</f>
        <v>162</v>
      </c>
      <c r="C380">
        <f>Feuille1!B400</f>
        <v>-22676.752706891406</v>
      </c>
      <c r="D380">
        <f>Feuille1!C400</f>
        <v>47104.408960748304</v>
      </c>
    </row>
    <row r="381" spans="2:4" x14ac:dyDescent="0.25">
      <c r="B381">
        <f>Feuille1!A401</f>
        <v>162.5</v>
      </c>
      <c r="C381">
        <f>Feuille1!B401</f>
        <v>-29344.591373508083</v>
      </c>
      <c r="D381">
        <f>Feuille1!C401</f>
        <v>50342.673524014193</v>
      </c>
    </row>
    <row r="382" spans="2:4" x14ac:dyDescent="0.25">
      <c r="B382">
        <f>Feuille1!A402</f>
        <v>163</v>
      </c>
      <c r="C382">
        <f>Feuille1!B402</f>
        <v>-35178.832901611786</v>
      </c>
      <c r="D382">
        <f>Feuille1!C402</f>
        <v>50944.306221783292</v>
      </c>
    </row>
    <row r="383" spans="2:4" x14ac:dyDescent="0.25">
      <c r="B383">
        <f>Feuille1!A403</f>
        <v>163.5</v>
      </c>
      <c r="C383">
        <f>Feuille1!B403</f>
        <v>-39929.877021300308</v>
      </c>
      <c r="D383">
        <f>Feuille1!C403</f>
        <v>49341.542090834955</v>
      </c>
    </row>
    <row r="384" spans="2:4" x14ac:dyDescent="0.25">
      <c r="B384">
        <f>Feuille1!A404</f>
        <v>164</v>
      </c>
      <c r="C384">
        <f>Feuille1!B404</f>
        <v>-43369.03995112409</v>
      </c>
      <c r="D384">
        <f>Feuille1!C404</f>
        <v>45784.622851521584</v>
      </c>
    </row>
    <row r="385" spans="2:4" x14ac:dyDescent="0.25">
      <c r="B385">
        <f>Feuille1!A405</f>
        <v>164.5</v>
      </c>
      <c r="C385">
        <f>Feuille1!B405</f>
        <v>-45202.587543099566</v>
      </c>
      <c r="D385">
        <f>Feuille1!C405</f>
        <v>40414.67848975573</v>
      </c>
    </row>
    <row r="386" spans="2:4" x14ac:dyDescent="0.25">
      <c r="B386">
        <f>Feuille1!A406</f>
        <v>165</v>
      </c>
      <c r="C386">
        <f>Feuille1!B406</f>
        <v>-44982.135616371401</v>
      </c>
      <c r="D386">
        <f>Feuille1!C406</f>
        <v>33318.644814355597</v>
      </c>
    </row>
    <row r="387" spans="2:4" x14ac:dyDescent="0.25">
      <c r="B387">
        <f>Feuille1!A407</f>
        <v>165.5</v>
      </c>
      <c r="C387">
        <f>Feuille1!B407</f>
        <v>-41952.464398675227</v>
      </c>
      <c r="D387">
        <f>Feuille1!C407</f>
        <v>24629.827258682752</v>
      </c>
    </row>
    <row r="388" spans="2:4" x14ac:dyDescent="0.25">
      <c r="B388">
        <f>Feuille1!A408</f>
        <v>166</v>
      </c>
      <c r="C388">
        <f>Feuille1!B408</f>
        <v>-34812.729937396442</v>
      </c>
      <c r="D388">
        <f>Feuille1!C408</f>
        <v>14910.766054013535</v>
      </c>
    </row>
    <row r="389" spans="2:4" x14ac:dyDescent="0.25">
      <c r="B389">
        <f>Feuille1!A409</f>
        <v>166.5</v>
      </c>
      <c r="C389">
        <f>Feuille1!B409</f>
        <v>-22307.752846563424</v>
      </c>
      <c r="D389">
        <f>Feuille1!C409</f>
        <v>6669.8527136309258</v>
      </c>
    </row>
    <row r="390" spans="2:4" x14ac:dyDescent="0.25">
      <c r="B390">
        <f>Feuille1!A410</f>
        <v>167</v>
      </c>
      <c r="C390">
        <f>Feuille1!B410</f>
        <v>-8496.6368594128035</v>
      </c>
      <c r="D390">
        <f>Feuille1!C410</f>
        <v>3631.4579685570234</v>
      </c>
    </row>
    <row r="391" spans="2:4" x14ac:dyDescent="0.25">
      <c r="B391">
        <f>Feuille1!A411</f>
        <v>167.5</v>
      </c>
      <c r="C391">
        <f>Feuille1!B411</f>
        <v>2921.7886814706194</v>
      </c>
      <c r="D391">
        <f>Feuille1!C411</f>
        <v>3539.4449085891706</v>
      </c>
    </row>
    <row r="392" spans="2:4" x14ac:dyDescent="0.25">
      <c r="B392">
        <f>Feuille1!A412</f>
        <v>168</v>
      </c>
      <c r="C392">
        <f>Feuille1!B412</f>
        <v>11914.528740933854</v>
      </c>
      <c r="D392">
        <f>Feuille1!C412</f>
        <v>4627.7992428658199</v>
      </c>
    </row>
    <row r="393" spans="2:4" x14ac:dyDescent="0.25">
      <c r="B393">
        <f>Feuille1!A413</f>
        <v>168.5</v>
      </c>
      <c r="C393">
        <f>Feuille1!B413</f>
        <v>19025.238397017918</v>
      </c>
      <c r="D393">
        <f>Feuille1!C413</f>
        <v>6583.4382441514936</v>
      </c>
    </row>
    <row r="394" spans="2:4" x14ac:dyDescent="0.25">
      <c r="B394">
        <f>Feuille1!A414</f>
        <v>169</v>
      </c>
      <c r="C394">
        <f>Feuille1!B414</f>
        <v>24362.626982066588</v>
      </c>
      <c r="D394">
        <f>Feuille1!C414</f>
        <v>9832.8504745522732</v>
      </c>
    </row>
    <row r="395" spans="2:4" x14ac:dyDescent="0.25">
      <c r="B395">
        <f>Feuille1!A415</f>
        <v>169.5</v>
      </c>
      <c r="C395">
        <f>Feuille1!B415</f>
        <v>27076.309775279577</v>
      </c>
      <c r="D395">
        <f>Feuille1!C415</f>
        <v>14221.648916493072</v>
      </c>
    </row>
    <row r="396" spans="2:4" x14ac:dyDescent="0.25">
      <c r="B396">
        <f>Feuille1!A416</f>
        <v>170</v>
      </c>
      <c r="C396">
        <f>Feuille1!B416</f>
        <v>26835.34839124326</v>
      </c>
      <c r="D396">
        <f>Feuille1!C416</f>
        <v>18660.773227567151</v>
      </c>
    </row>
    <row r="397" spans="2:4" x14ac:dyDescent="0.25">
      <c r="B397">
        <f>Feuille1!A417</f>
        <v>170.5</v>
      </c>
      <c r="C397">
        <f>Feuille1!B417</f>
        <v>23902.670685140267</v>
      </c>
      <c r="D397">
        <f>Feuille1!C417</f>
        <v>22281.418628982348</v>
      </c>
    </row>
    <row r="398" spans="2:4" x14ac:dyDescent="0.25">
      <c r="B398">
        <f>Feuille1!A418</f>
        <v>171</v>
      </c>
      <c r="C398">
        <f>Feuille1!B418</f>
        <v>18718.28500989034</v>
      </c>
      <c r="D398">
        <f>Feuille1!C418</f>
        <v>24516.753384307758</v>
      </c>
    </row>
    <row r="399" spans="2:4" x14ac:dyDescent="0.25">
      <c r="B399">
        <f>Feuille1!A419</f>
        <v>171.5</v>
      </c>
      <c r="C399">
        <f>Feuille1!B419</f>
        <v>11674.702422927698</v>
      </c>
      <c r="D399">
        <f>Feuille1!C419</f>
        <v>25290.777252719174</v>
      </c>
    </row>
    <row r="400" spans="2:4" x14ac:dyDescent="0.25">
      <c r="B400">
        <f>Feuille1!A420</f>
        <v>172</v>
      </c>
      <c r="C400">
        <f>Feuille1!B420</f>
        <v>2414.9573456379298</v>
      </c>
      <c r="D400">
        <f>Feuille1!C420</f>
        <v>24881.762918050415</v>
      </c>
    </row>
    <row r="401" spans="2:4" x14ac:dyDescent="0.25">
      <c r="B401">
        <f>Feuille1!A421</f>
        <v>172.5</v>
      </c>
      <c r="C401">
        <f>Feuille1!B421</f>
        <v>-10479.162984798018</v>
      </c>
      <c r="D401">
        <f>Feuille1!C421</f>
        <v>23168.260940012304</v>
      </c>
    </row>
    <row r="402" spans="2:4" x14ac:dyDescent="0.25">
      <c r="B402">
        <f>Feuille1!A422</f>
        <v>173</v>
      </c>
      <c r="C402">
        <f>Feuille1!B422</f>
        <v>-28940.342395227653</v>
      </c>
      <c r="D402">
        <f>Feuille1!C422</f>
        <v>19170.542876602725</v>
      </c>
    </row>
    <row r="403" spans="2:4" x14ac:dyDescent="0.25">
      <c r="B403">
        <f>Feuille1!A423</f>
        <v>173.5</v>
      </c>
      <c r="C403">
        <f>Feuille1!B423</f>
        <v>-41288.295099706433</v>
      </c>
      <c r="D403">
        <f>Feuille1!C423</f>
        <v>15417.333414712501</v>
      </c>
    </row>
    <row r="404" spans="2:4" x14ac:dyDescent="0.25">
      <c r="B404">
        <f>Feuille1!A424</f>
        <v>174</v>
      </c>
      <c r="C404">
        <f>Feuille1!B424</f>
        <v>-49347.036578990701</v>
      </c>
      <c r="D404">
        <f>Feuille1!C424</f>
        <v>12308.21383082228</v>
      </c>
    </row>
    <row r="405" spans="2:4" x14ac:dyDescent="0.25">
      <c r="B405">
        <f>Feuille1!A425</f>
        <v>174.5</v>
      </c>
      <c r="C405">
        <f>Feuille1!B425</f>
        <v>-54509.312235025063</v>
      </c>
      <c r="D405">
        <f>Feuille1!C425</f>
        <v>9716.426961199968</v>
      </c>
    </row>
    <row r="406" spans="2:4" x14ac:dyDescent="0.25">
      <c r="B406">
        <f>Feuille1!A426</f>
        <v>175</v>
      </c>
      <c r="C406">
        <f>Feuille1!B426</f>
        <v>-57398.104182679388</v>
      </c>
      <c r="D406">
        <f>Feuille1!C426</f>
        <v>7581.8225834550267</v>
      </c>
    </row>
    <row r="407" spans="2:4" x14ac:dyDescent="0.25">
      <c r="B407">
        <f>Feuille1!A427</f>
        <v>175.5</v>
      </c>
      <c r="C407">
        <f>Feuille1!B427</f>
        <v>-58304.72446014973</v>
      </c>
      <c r="D407">
        <f>Feuille1!C427</f>
        <v>5893.1227155722672</v>
      </c>
    </row>
    <row r="408" spans="2:4" x14ac:dyDescent="0.25">
      <c r="B408">
        <f>Feuille1!A428</f>
        <v>176</v>
      </c>
      <c r="C408">
        <f>Feuille1!B428</f>
        <v>-57341.628363981974</v>
      </c>
      <c r="D408">
        <f>Feuille1!C428</f>
        <v>4676.3914373933421</v>
      </c>
    </row>
    <row r="409" spans="2:4" x14ac:dyDescent="0.25">
      <c r="B409">
        <f>Feuille1!A429</f>
        <v>176.5</v>
      </c>
      <c r="C409">
        <f>Feuille1!B429</f>
        <v>-54491.12367576392</v>
      </c>
      <c r="D409">
        <f>Feuille1!C429</f>
        <v>3999.4890531598276</v>
      </c>
    </row>
    <row r="410" spans="2:4" x14ac:dyDescent="0.25">
      <c r="B410">
        <f>Feuille1!A430</f>
        <v>177</v>
      </c>
      <c r="C410">
        <f>Feuille1!B430</f>
        <v>-49602.977472171544</v>
      </c>
      <c r="D410">
        <f>Feuille1!C430</f>
        <v>3996.2270066316742</v>
      </c>
    </row>
    <row r="411" spans="2:4" x14ac:dyDescent="0.25">
      <c r="B411">
        <f>Feuille1!A431</f>
        <v>177.5</v>
      </c>
      <c r="C411">
        <f>Feuille1!B431</f>
        <v>-42344.39179455585</v>
      </c>
      <c r="D411">
        <f>Feuille1!C431</f>
        <v>4935.4037062297448</v>
      </c>
    </row>
    <row r="412" spans="2:4" x14ac:dyDescent="0.25">
      <c r="B412">
        <f>Feuille1!A432</f>
        <v>178</v>
      </c>
      <c r="C412">
        <f>Feuille1!B432</f>
        <v>-32085.412408116797</v>
      </c>
      <c r="D412">
        <f>Feuille1!C432</f>
        <v>7436.0260712748968</v>
      </c>
    </row>
    <row r="413" spans="2:4" x14ac:dyDescent="0.25">
      <c r="B413">
        <f>Feuille1!A433</f>
        <v>178.5</v>
      </c>
      <c r="C413">
        <f>Feuille1!B433</f>
        <v>-18000.386604027182</v>
      </c>
      <c r="D413">
        <f>Feuille1!C433</f>
        <v>13222.873904407925</v>
      </c>
    </row>
    <row r="414" spans="2:4" x14ac:dyDescent="0.25">
      <c r="B414">
        <f>Feuille1!A434</f>
        <v>179</v>
      </c>
      <c r="C414">
        <f>Feuille1!B434</f>
        <v>-5239.8289214190954</v>
      </c>
      <c r="D414">
        <f>Feuille1!C434</f>
        <v>23810.092823695712</v>
      </c>
    </row>
    <row r="415" spans="2:4" x14ac:dyDescent="0.25">
      <c r="B415">
        <f>Feuille1!A435</f>
        <v>179.5</v>
      </c>
      <c r="C415">
        <f>Feuille1!B435</f>
        <v>2353.4088971356059</v>
      </c>
      <c r="D415">
        <f>Feuille1!C435</f>
        <v>32619.643177585094</v>
      </c>
    </row>
    <row r="416" spans="2:4" x14ac:dyDescent="0.25">
      <c r="B416">
        <f>Feuille1!A436</f>
        <v>180</v>
      </c>
      <c r="C416">
        <f>Feuille1!B436</f>
        <v>7051.2462111152345</v>
      </c>
      <c r="D416">
        <f>Feuille1!C436</f>
        <v>39339.783514047718</v>
      </c>
    </row>
    <row r="417" spans="2:4" x14ac:dyDescent="0.25">
      <c r="B417">
        <f>Feuille1!A437</f>
        <v>180.5</v>
      </c>
      <c r="C417">
        <f>Feuille1!B437</f>
        <v>9821.6577819030827</v>
      </c>
      <c r="D417">
        <f>Feuille1!C437</f>
        <v>44305.000787135941</v>
      </c>
    </row>
    <row r="418" spans="2:4" x14ac:dyDescent="0.25">
      <c r="B418">
        <f>Feuille1!A438</f>
        <v>181</v>
      </c>
      <c r="C418">
        <f>Feuille1!B438</f>
        <v>11103.237762790732</v>
      </c>
      <c r="D418">
        <f>Feuille1!C438</f>
        <v>47752.192625918804</v>
      </c>
    </row>
    <row r="419" spans="2:4" x14ac:dyDescent="0.25">
      <c r="B419">
        <f>Feuille1!A439</f>
        <v>181.5</v>
      </c>
      <c r="C419">
        <f>Feuille1!B439</f>
        <v>11116.430110482384</v>
      </c>
      <c r="D419">
        <f>Feuille1!C439</f>
        <v>49806.225535970239</v>
      </c>
    </row>
    <row r="420" spans="2:4" x14ac:dyDescent="0.25">
      <c r="B420">
        <f>Feuille1!A440</f>
        <v>182</v>
      </c>
      <c r="C420">
        <f>Feuille1!B440</f>
        <v>9965.4894712624791</v>
      </c>
      <c r="D420">
        <f>Feuille1!C440</f>
        <v>50504.169260802468</v>
      </c>
    </row>
    <row r="421" spans="2:4" x14ac:dyDescent="0.25">
      <c r="B421">
        <f>Feuille1!A441</f>
        <v>182.5</v>
      </c>
      <c r="C421">
        <f>Feuille1!B441</f>
        <v>7673.9225398840445</v>
      </c>
      <c r="D421">
        <f>Feuille1!C441</f>
        <v>49803.268592641914</v>
      </c>
    </row>
    <row r="422" spans="2:4" x14ac:dyDescent="0.25">
      <c r="B422">
        <f>Feuille1!A442</f>
        <v>183</v>
      </c>
      <c r="C422">
        <f>Feuille1!B442</f>
        <v>4188.2047366707593</v>
      </c>
      <c r="D422">
        <f>Feuille1!C442</f>
        <v>47566.308358189963</v>
      </c>
    </row>
    <row r="423" spans="2:4" x14ac:dyDescent="0.25">
      <c r="B423">
        <f>Feuille1!A443</f>
        <v>183.5</v>
      </c>
      <c r="C423">
        <f>Feuille1!B443</f>
        <v>-649.07242076173998</v>
      </c>
      <c r="D423">
        <f>Feuille1!C443</f>
        <v>43509.476091468008</v>
      </c>
    </row>
    <row r="424" spans="2:4" x14ac:dyDescent="0.25">
      <c r="B424">
        <f>Feuille1!A444</f>
        <v>184</v>
      </c>
      <c r="C424">
        <f>Feuille1!B444</f>
        <v>-7186.1095345470085</v>
      </c>
      <c r="D424">
        <f>Feuille1!C444</f>
        <v>37057.43682848716</v>
      </c>
    </row>
    <row r="425" spans="2:4" x14ac:dyDescent="0.25">
      <c r="B425">
        <f>Feuille1!A445</f>
        <v>184.5</v>
      </c>
      <c r="C425">
        <f>Feuille1!B445</f>
        <v>-16188.487864844497</v>
      </c>
      <c r="D425">
        <f>Feuille1!C445</f>
        <v>26916.484501642259</v>
      </c>
    </row>
    <row r="426" spans="2:4" x14ac:dyDescent="0.25">
      <c r="B426">
        <f>Feuille1!A446</f>
        <v>185</v>
      </c>
      <c r="C426">
        <f>Feuille1!B446</f>
        <v>-27815.265219166085</v>
      </c>
      <c r="D426">
        <f>Feuille1!C446</f>
        <v>11437.714871966553</v>
      </c>
    </row>
    <row r="427" spans="2:4" x14ac:dyDescent="0.25">
      <c r="B427">
        <f>Feuille1!A447</f>
        <v>185.5</v>
      </c>
      <c r="C427">
        <f>Feuille1!B447</f>
        <v>-35120.675110568525</v>
      </c>
      <c r="D427">
        <f>Feuille1!C447</f>
        <v>20.784375463950255</v>
      </c>
    </row>
    <row r="428" spans="2:4" x14ac:dyDescent="0.25">
      <c r="B428">
        <f>Feuille1!A448</f>
        <v>186</v>
      </c>
      <c r="C428">
        <f>Feuille1!B448</f>
        <v>-39863.6415496439</v>
      </c>
      <c r="D428">
        <f>Feuille1!C448</f>
        <v>-8927.4528871819421</v>
      </c>
    </row>
    <row r="429" spans="2:4" x14ac:dyDescent="0.25">
      <c r="B429">
        <f>Feuille1!A449</f>
        <v>186.5</v>
      </c>
      <c r="C429">
        <f>Feuille1!B449</f>
        <v>-42819.805949882713</v>
      </c>
      <c r="D429">
        <f>Feuille1!C449</f>
        <v>-16323.55469025296</v>
      </c>
    </row>
    <row r="430" spans="2:4" x14ac:dyDescent="0.25">
      <c r="B430">
        <f>Feuille1!A450</f>
        <v>187</v>
      </c>
      <c r="C430">
        <f>Feuille1!B450</f>
        <v>-44336.51246715452</v>
      </c>
      <c r="D430">
        <f>Feuille1!C450</f>
        <v>-22541.191792545553</v>
      </c>
    </row>
    <row r="431" spans="2:4" x14ac:dyDescent="0.25">
      <c r="B431">
        <f>Feuille1!A451</f>
        <v>187.5</v>
      </c>
      <c r="C431">
        <f>Feuille1!B451</f>
        <v>-44608.033788456225</v>
      </c>
      <c r="D431">
        <f>Feuille1!C451</f>
        <v>-27741.510291003087</v>
      </c>
    </row>
    <row r="432" spans="2:4" x14ac:dyDescent="0.25">
      <c r="B432">
        <f>Feuille1!A452</f>
        <v>188</v>
      </c>
      <c r="C432">
        <f>Feuille1!B452</f>
        <v>-43754.3206454725</v>
      </c>
      <c r="D432">
        <f>Feuille1!C452</f>
        <v>-31991.435478799784</v>
      </c>
    </row>
    <row r="433" spans="2:4" x14ac:dyDescent="0.25">
      <c r="B433">
        <f>Feuille1!A453</f>
        <v>188.5</v>
      </c>
      <c r="C433">
        <f>Feuille1!B453</f>
        <v>-41846.47961597125</v>
      </c>
      <c r="D433">
        <f>Feuille1!C453</f>
        <v>-35306.313511114109</v>
      </c>
    </row>
    <row r="434" spans="2:4" x14ac:dyDescent="0.25">
      <c r="B434">
        <f>Feuille1!A454</f>
        <v>189</v>
      </c>
      <c r="C434">
        <f>Feuille1!B454</f>
        <v>-38914.292591973863</v>
      </c>
      <c r="D434">
        <f>Feuille1!C454</f>
        <v>-37663.802857755494</v>
      </c>
    </row>
    <row r="435" spans="2:4" x14ac:dyDescent="0.25">
      <c r="B435">
        <f>Feuille1!A455</f>
        <v>189.5</v>
      </c>
      <c r="C435">
        <f>Feuille1!B455</f>
        <v>-34942.95565616629</v>
      </c>
      <c r="D435">
        <f>Feuille1!C455</f>
        <v>-39003.679203905354</v>
      </c>
    </row>
    <row r="436" spans="2:4" x14ac:dyDescent="0.25">
      <c r="B436">
        <f>Feuille1!A456</f>
        <v>190</v>
      </c>
      <c r="C436">
        <f>Feuille1!B456</f>
        <v>-29855.246037140641</v>
      </c>
      <c r="D436">
        <f>Feuille1!C456</f>
        <v>-39215.148260485046</v>
      </c>
    </row>
    <row r="437" spans="2:4" x14ac:dyDescent="0.25">
      <c r="B437">
        <f>Feuille1!A457</f>
        <v>190.5</v>
      </c>
      <c r="C437">
        <f>Feuille1!B457</f>
        <v>-23459.783970640932</v>
      </c>
      <c r="D437">
        <f>Feuille1!C457</f>
        <v>-38101.202015013791</v>
      </c>
    </row>
    <row r="438" spans="2:4" x14ac:dyDescent="0.25">
      <c r="B438">
        <f>Feuille1!A458</f>
        <v>191</v>
      </c>
      <c r="C438">
        <f>Feuille1!B458</f>
        <v>-15294.159953081838</v>
      </c>
      <c r="D438">
        <f>Feuille1!C458</f>
        <v>-35275.781025273354</v>
      </c>
    </row>
    <row r="439" spans="2:4" x14ac:dyDescent="0.25">
      <c r="B439">
        <f>Feuille1!A459</f>
        <v>191.5</v>
      </c>
      <c r="C439">
        <f>Feuille1!B459</f>
        <v>-4181.0476404424571</v>
      </c>
      <c r="D439">
        <f>Feuille1!C459</f>
        <v>-29847.508136564782</v>
      </c>
    </row>
    <row r="440" spans="2:4" x14ac:dyDescent="0.25">
      <c r="B440">
        <f>Feuille1!A460</f>
        <v>192</v>
      </c>
      <c r="C440">
        <f>Feuille1!B460</f>
        <v>5759.7307689074196</v>
      </c>
      <c r="D440">
        <f>Feuille1!C460</f>
        <v>-23439.557319723983</v>
      </c>
    </row>
    <row r="441" spans="2:4" x14ac:dyDescent="0.25">
      <c r="B441">
        <f>Feuille1!A461</f>
        <v>192.5</v>
      </c>
      <c r="C441">
        <f>Feuille1!B461</f>
        <v>12398.192558822602</v>
      </c>
      <c r="D441">
        <f>Feuille1!C461</f>
        <v>-17560.237399286416</v>
      </c>
    </row>
    <row r="442" spans="2:4" x14ac:dyDescent="0.25">
      <c r="B442">
        <f>Feuille1!A462</f>
        <v>193</v>
      </c>
      <c r="C442">
        <f>Feuille1!B462</f>
        <v>16855.284569942731</v>
      </c>
      <c r="D442">
        <f>Feuille1!C462</f>
        <v>-11606.470188755478</v>
      </c>
    </row>
    <row r="443" spans="2:4" x14ac:dyDescent="0.25">
      <c r="B443">
        <f>Feuille1!A463</f>
        <v>193.5</v>
      </c>
      <c r="C443">
        <f>Feuille1!B463</f>
        <v>19514.478184220348</v>
      </c>
      <c r="D443">
        <f>Feuille1!C463</f>
        <v>-5324.1968842049218</v>
      </c>
    </row>
    <row r="444" spans="2:4" x14ac:dyDescent="0.25">
      <c r="B444">
        <f>Feuille1!A464</f>
        <v>194</v>
      </c>
      <c r="C444">
        <f>Feuille1!B464</f>
        <v>20471.556870532262</v>
      </c>
      <c r="D444">
        <f>Feuille1!C464</f>
        <v>1451.1566011398145</v>
      </c>
    </row>
    <row r="445" spans="2:4" x14ac:dyDescent="0.25">
      <c r="B445">
        <f>Feuille1!A465</f>
        <v>194.5</v>
      </c>
      <c r="C445">
        <f>Feuille1!B465</f>
        <v>19660.451185727623</v>
      </c>
      <c r="D445">
        <f>Feuille1!C465</f>
        <v>8992.075850975034</v>
      </c>
    </row>
    <row r="446" spans="2:4" x14ac:dyDescent="0.25">
      <c r="B446">
        <f>Feuille1!A466</f>
        <v>195</v>
      </c>
      <c r="C446">
        <f>Feuille1!B466</f>
        <v>17029.417540119699</v>
      </c>
      <c r="D446">
        <f>Feuille1!C466</f>
        <v>18249.814174357456</v>
      </c>
    </row>
    <row r="447" spans="2:4" x14ac:dyDescent="0.25">
      <c r="B447">
        <f>Feuille1!A467</f>
        <v>195.5</v>
      </c>
      <c r="C447">
        <f>Feuille1!B467</f>
        <v>13520.307334567638</v>
      </c>
      <c r="D447">
        <f>Feuille1!C467</f>
        <v>25844.375073324729</v>
      </c>
    </row>
    <row r="448" spans="2:4" x14ac:dyDescent="0.25">
      <c r="B448">
        <f>Feuille1!A468</f>
        <v>196</v>
      </c>
      <c r="C448">
        <f>Feuille1!B468</f>
        <v>7954.144570131577</v>
      </c>
      <c r="D448">
        <f>Feuille1!C468</f>
        <v>32196.05713236317</v>
      </c>
    </row>
    <row r="449" spans="2:4" x14ac:dyDescent="0.25">
      <c r="B449">
        <f>Feuille1!A469</f>
        <v>196.5</v>
      </c>
      <c r="C449">
        <f>Feuille1!B469</f>
        <v>-22.545319054357151</v>
      </c>
      <c r="D449">
        <f>Feuille1!C469</f>
        <v>36981.125660573169</v>
      </c>
    </row>
    <row r="450" spans="2:4" x14ac:dyDescent="0.25">
      <c r="B450">
        <f>Feuille1!A470</f>
        <v>197</v>
      </c>
      <c r="C450">
        <f>Feuille1!B470</f>
        <v>-10481.931692593651</v>
      </c>
      <c r="D450">
        <f>Feuille1!C470</f>
        <v>39259.755870266716</v>
      </c>
    </row>
    <row r="451" spans="2:4" x14ac:dyDescent="0.25">
      <c r="B451">
        <f>Feuille1!A471</f>
        <v>197.5</v>
      </c>
      <c r="C451">
        <f>Feuille1!B471</f>
        <v>-22728.947225772677</v>
      </c>
      <c r="D451">
        <f>Feuille1!C471</f>
        <v>37492.160226997898</v>
      </c>
    </row>
    <row r="452" spans="2:4" x14ac:dyDescent="0.25">
      <c r="B452">
        <f>Feuille1!A472</f>
        <v>198</v>
      </c>
      <c r="C452">
        <f>Feuille1!B472</f>
        <v>-34102.086283834818</v>
      </c>
      <c r="D452">
        <f>Feuille1!C472</f>
        <v>30548.727559518986</v>
      </c>
    </row>
    <row r="453" spans="2:4" x14ac:dyDescent="0.25">
      <c r="B453">
        <f>Feuille1!A473</f>
        <v>198.5</v>
      </c>
      <c r="C453">
        <f>Feuille1!B473</f>
        <v>-41312.671475617339</v>
      </c>
      <c r="D453">
        <f>Feuille1!C473</f>
        <v>20380.057703537132</v>
      </c>
    </row>
    <row r="454" spans="2:4" x14ac:dyDescent="0.25">
      <c r="B454">
        <f>Feuille1!A474</f>
        <v>199</v>
      </c>
      <c r="C454">
        <f>Feuille1!B474</f>
        <v>-44082.593899000982</v>
      </c>
      <c r="D454">
        <f>Feuille1!C474</f>
        <v>9920.5697263146758</v>
      </c>
    </row>
    <row r="455" spans="2:4" x14ac:dyDescent="0.25">
      <c r="B455">
        <f>Feuille1!A475</f>
        <v>199.5</v>
      </c>
      <c r="C455">
        <f>Feuille1!B475</f>
        <v>-43479.131191386477</v>
      </c>
      <c r="D455">
        <f>Feuille1!C475</f>
        <v>539.97288876612674</v>
      </c>
    </row>
    <row r="456" spans="2:4" x14ac:dyDescent="0.25">
      <c r="B456">
        <f>Feuille1!A476</f>
        <v>200</v>
      </c>
      <c r="C456">
        <f>Feuille1!B476</f>
        <v>-40411.886920442157</v>
      </c>
      <c r="D456">
        <f>Feuille1!C476</f>
        <v>-7335.4007585289119</v>
      </c>
    </row>
    <row r="457" spans="2:4" x14ac:dyDescent="0.25">
      <c r="B457">
        <f>Feuille1!A477</f>
        <v>200.5</v>
      </c>
      <c r="C457">
        <f>Feuille1!B477</f>
        <v>-35462.101980989537</v>
      </c>
      <c r="D457">
        <f>Feuille1!C477</f>
        <v>-13627.446793750583</v>
      </c>
    </row>
    <row r="458" spans="2:4" x14ac:dyDescent="0.25">
      <c r="B458">
        <f>Feuille1!A478</f>
        <v>201</v>
      </c>
      <c r="C458">
        <f>Feuille1!B478</f>
        <v>-28941.03688687973</v>
      </c>
      <c r="D458">
        <f>Feuille1!C478</f>
        <v>-18405.745777217297</v>
      </c>
    </row>
    <row r="459" spans="2:4" x14ac:dyDescent="0.25">
      <c r="B459">
        <f>Feuille1!A479</f>
        <v>201.5</v>
      </c>
      <c r="C459">
        <f>Feuille1!B479</f>
        <v>-20876.312416599714</v>
      </c>
      <c r="D459">
        <f>Feuille1!C479</f>
        <v>-21884.729940996229</v>
      </c>
    </row>
    <row r="460" spans="2:4" x14ac:dyDescent="0.25">
      <c r="B460">
        <f>Feuille1!A480</f>
        <v>202</v>
      </c>
      <c r="C460">
        <f>Feuille1!B480</f>
        <v>-10798.75439831012</v>
      </c>
      <c r="D460">
        <f>Feuille1!C480</f>
        <v>-24649.785091505724</v>
      </c>
    </row>
    <row r="461" spans="2:4" x14ac:dyDescent="0.25">
      <c r="B461">
        <f>Feuille1!A481</f>
        <v>202.5</v>
      </c>
      <c r="C461">
        <f>Feuille1!B481</f>
        <v>1954.2224057372955</v>
      </c>
      <c r="D461">
        <f>Feuille1!C481</f>
        <v>-28657.783764120242</v>
      </c>
    </row>
    <row r="462" spans="2:4" x14ac:dyDescent="0.25">
      <c r="B462">
        <f>Feuille1!A482</f>
        <v>203</v>
      </c>
      <c r="C462">
        <f>Feuille1!B482</f>
        <v>10316.477250983393</v>
      </c>
      <c r="D462">
        <f>Feuille1!C482</f>
        <v>-32367.584013464944</v>
      </c>
    </row>
    <row r="463" spans="2:4" x14ac:dyDescent="0.25">
      <c r="B463">
        <f>Feuille1!A483</f>
        <v>203.5</v>
      </c>
      <c r="C463">
        <f>Feuille1!B483</f>
        <v>15691.389001762926</v>
      </c>
      <c r="D463">
        <f>Feuille1!C483</f>
        <v>-34864.366331042955</v>
      </c>
    </row>
    <row r="464" spans="2:4" x14ac:dyDescent="0.25">
      <c r="B464">
        <f>Feuille1!A484</f>
        <v>204</v>
      </c>
      <c r="C464">
        <f>Feuille1!B484</f>
        <v>18982.432654413871</v>
      </c>
      <c r="D464">
        <f>Feuille1!C484</f>
        <v>-36276.425333103594</v>
      </c>
    </row>
    <row r="465" spans="2:4" x14ac:dyDescent="0.25">
      <c r="B465">
        <f>Feuille1!A485</f>
        <v>204.5</v>
      </c>
      <c r="C465">
        <f>Feuille1!B485</f>
        <v>20559.364404281125</v>
      </c>
      <c r="D465">
        <f>Feuille1!C485</f>
        <v>-36717.513026581662</v>
      </c>
    </row>
    <row r="466" spans="2:4" x14ac:dyDescent="0.25">
      <c r="B466">
        <f>Feuille1!A486</f>
        <v>205</v>
      </c>
      <c r="C466">
        <f>Feuille1!B486</f>
        <v>20554.240472973586</v>
      </c>
      <c r="D466">
        <f>Feuille1!C486</f>
        <v>-36246.025971512667</v>
      </c>
    </row>
    <row r="467" spans="2:4" x14ac:dyDescent="0.25">
      <c r="B467">
        <f>Feuille1!A487</f>
        <v>205.5</v>
      </c>
      <c r="C467">
        <f>Feuille1!B487</f>
        <v>18946.654869033162</v>
      </c>
      <c r="D467">
        <f>Feuille1!C487</f>
        <v>-34875.268550250912</v>
      </c>
    </row>
    <row r="468" spans="2:4" x14ac:dyDescent="0.25">
      <c r="B468">
        <f>Feuille1!A488</f>
        <v>206</v>
      </c>
      <c r="C468">
        <f>Feuille1!B488</f>
        <v>15557.954044541519</v>
      </c>
      <c r="D468">
        <f>Feuille1!C488</f>
        <v>-32583.540966309618</v>
      </c>
    </row>
    <row r="469" spans="2:4" x14ac:dyDescent="0.25">
      <c r="B469">
        <f>Feuille1!A489</f>
        <v>206.5</v>
      </c>
      <c r="C469">
        <f>Feuille1!B489</f>
        <v>9953.7442476420547</v>
      </c>
      <c r="D469">
        <f>Feuille1!C489</f>
        <v>-29343.779005607274</v>
      </c>
    </row>
    <row r="470" spans="2:4" x14ac:dyDescent="0.25">
      <c r="B470">
        <f>Feuille1!A490</f>
        <v>207</v>
      </c>
      <c r="C470">
        <f>Feuille1!B490</f>
        <v>1179.7081520522934</v>
      </c>
      <c r="D470">
        <f>Feuille1!C490</f>
        <v>-25339.115028776807</v>
      </c>
    </row>
    <row r="471" spans="2:4" x14ac:dyDescent="0.25">
      <c r="B471">
        <f>Feuille1!A491</f>
        <v>207.5</v>
      </c>
      <c r="C471">
        <f>Feuille1!B491</f>
        <v>-11292.08983635018</v>
      </c>
      <c r="D471">
        <f>Feuille1!C491</f>
        <v>-22565.46387676059</v>
      </c>
    </row>
    <row r="472" spans="2:4" x14ac:dyDescent="0.25">
      <c r="B472">
        <f>Feuille1!A492</f>
        <v>208</v>
      </c>
      <c r="C472">
        <f>Feuille1!B492</f>
        <v>-21624.006952464486</v>
      </c>
      <c r="D472">
        <f>Feuille1!C492</f>
        <v>-21063.275404869961</v>
      </c>
    </row>
    <row r="473" spans="2:4" x14ac:dyDescent="0.25">
      <c r="B473">
        <f>Feuille1!A493</f>
        <v>208.5</v>
      </c>
      <c r="C473">
        <f>Feuille1!B493</f>
        <v>-30068.667777755087</v>
      </c>
      <c r="D473">
        <f>Feuille1!C493</f>
        <v>-18760.141229557554</v>
      </c>
    </row>
    <row r="474" spans="2:4" x14ac:dyDescent="0.25">
      <c r="B474">
        <f>Feuille1!A494</f>
        <v>209</v>
      </c>
      <c r="C474">
        <f>Feuille1!B494</f>
        <v>-36978.356921115977</v>
      </c>
      <c r="D474">
        <f>Feuille1!C494</f>
        <v>-15156.416129030251</v>
      </c>
    </row>
    <row r="475" spans="2:4" x14ac:dyDescent="0.25">
      <c r="B475">
        <f>Feuille1!A495</f>
        <v>209.5</v>
      </c>
      <c r="C475">
        <f>Feuille1!B495</f>
        <v>-42359.797658338859</v>
      </c>
      <c r="D475">
        <f>Feuille1!C495</f>
        <v>-10155.562893011736</v>
      </c>
    </row>
    <row r="476" spans="2:4" x14ac:dyDescent="0.25">
      <c r="B476">
        <f>Feuille1!A496</f>
        <v>210</v>
      </c>
      <c r="C476">
        <f>Feuille1!B496</f>
        <v>-46042.203677509875</v>
      </c>
      <c r="D476">
        <f>Feuille1!C496</f>
        <v>-3783.8597434681783</v>
      </c>
    </row>
    <row r="477" spans="2:4" x14ac:dyDescent="0.25">
      <c r="B477">
        <f>Feuille1!A497</f>
        <v>210.5</v>
      </c>
      <c r="C477">
        <f>Feuille1!B497</f>
        <v>-47713.412932088104</v>
      </c>
      <c r="D477">
        <f>Feuille1!C497</f>
        <v>3865.1493395205525</v>
      </c>
    </row>
    <row r="478" spans="2:4" x14ac:dyDescent="0.25">
      <c r="B478">
        <f>Feuille1!A498</f>
        <v>211</v>
      </c>
      <c r="C478">
        <f>Feuille1!B498</f>
        <v>-46887.247513373892</v>
      </c>
      <c r="D478">
        <f>Feuille1!C498</f>
        <v>12595.418356996648</v>
      </c>
    </row>
    <row r="479" spans="2:4" x14ac:dyDescent="0.25">
      <c r="B479">
        <f>Feuille1!A499</f>
        <v>211.5</v>
      </c>
      <c r="C479">
        <f>Feuille1!B499</f>
        <v>-42842.074615428224</v>
      </c>
      <c r="D479">
        <f>Feuille1!C499</f>
        <v>21950.172899035344</v>
      </c>
    </row>
    <row r="480" spans="2:4" x14ac:dyDescent="0.25">
      <c r="B480">
        <f>Feuille1!A500</f>
        <v>212</v>
      </c>
      <c r="C480">
        <f>Feuille1!B500</f>
        <v>-34694.598697363253</v>
      </c>
      <c r="D480">
        <f>Feuille1!C500</f>
        <v>30768.483070955204</v>
      </c>
    </row>
    <row r="481" spans="2:4" x14ac:dyDescent="0.25">
      <c r="B481">
        <f>Feuille1!A501</f>
        <v>212.5</v>
      </c>
      <c r="C481">
        <f>Feuille1!B501</f>
        <v>-22459.569075996769</v>
      </c>
      <c r="D481">
        <f>Feuille1!C501</f>
        <v>36480.603139067185</v>
      </c>
    </row>
    <row r="482" spans="2:4" x14ac:dyDescent="0.25">
      <c r="B482">
        <f>Feuille1!A502</f>
        <v>213</v>
      </c>
      <c r="C482">
        <f>Feuille1!B502</f>
        <v>-9347.8871998280974</v>
      </c>
      <c r="D482">
        <f>Feuille1!C502</f>
        <v>36790.802678119908</v>
      </c>
    </row>
    <row r="483" spans="2:4" x14ac:dyDescent="0.25">
      <c r="B483">
        <f>Feuille1!A503</f>
        <v>213.5</v>
      </c>
      <c r="C483">
        <f>Feuille1!B503</f>
        <v>1418.6780105587318</v>
      </c>
      <c r="D483">
        <f>Feuille1!C503</f>
        <v>32978.216154655369</v>
      </c>
    </row>
    <row r="484" spans="2:4" x14ac:dyDescent="0.25">
      <c r="B484">
        <f>Feuille1!A504</f>
        <v>214</v>
      </c>
      <c r="C484">
        <f>Feuille1!B504</f>
        <v>9249.9982834202365</v>
      </c>
      <c r="D484">
        <f>Feuille1!C504</f>
        <v>26942.452375802652</v>
      </c>
    </row>
    <row r="485" spans="2:4" x14ac:dyDescent="0.25">
      <c r="B485">
        <f>Feuille1!A505</f>
        <v>214.5</v>
      </c>
      <c r="C485">
        <f>Feuille1!B505</f>
        <v>14579.91980154577</v>
      </c>
      <c r="D485">
        <f>Feuille1!C505</f>
        <v>19649.1814208383</v>
      </c>
    </row>
    <row r="486" spans="2:4" x14ac:dyDescent="0.25">
      <c r="B486">
        <f>Feuille1!A506</f>
        <v>215</v>
      </c>
      <c r="C486">
        <f>Feuille1!B506</f>
        <v>18570.939622964379</v>
      </c>
      <c r="D486">
        <f>Feuille1!C506</f>
        <v>11135.628329736764</v>
      </c>
    </row>
    <row r="487" spans="2:4" x14ac:dyDescent="0.25">
      <c r="B487">
        <f>Feuille1!A507</f>
        <v>215.5</v>
      </c>
      <c r="C487">
        <f>Feuille1!B507</f>
        <v>21234.730189547994</v>
      </c>
      <c r="D487">
        <f>Feuille1!C507</f>
        <v>4516.6714149104737</v>
      </c>
    </row>
    <row r="488" spans="2:4" x14ac:dyDescent="0.25">
      <c r="B488">
        <f>Feuille1!A508</f>
        <v>216</v>
      </c>
      <c r="C488">
        <f>Feuille1!B508</f>
        <v>22038.523045815396</v>
      </c>
      <c r="D488">
        <f>Feuille1!C508</f>
        <v>-1108.2514233724614</v>
      </c>
    </row>
    <row r="489" spans="2:4" x14ac:dyDescent="0.25">
      <c r="B489">
        <f>Feuille1!A509</f>
        <v>216.5</v>
      </c>
      <c r="C489">
        <f>Feuille1!B509</f>
        <v>21137.045847840232</v>
      </c>
      <c r="D489">
        <f>Feuille1!C509</f>
        <v>-6128.3631757430267</v>
      </c>
    </row>
    <row r="490" spans="2:4" x14ac:dyDescent="0.25">
      <c r="B490">
        <f>Feuille1!A510</f>
        <v>217</v>
      </c>
      <c r="C490">
        <f>Feuille1!B510</f>
        <v>18574.415488429346</v>
      </c>
      <c r="D490">
        <f>Feuille1!C510</f>
        <v>-10685.094151050438</v>
      </c>
    </row>
    <row r="491" spans="2:4" x14ac:dyDescent="0.25">
      <c r="B491">
        <f>Feuille1!A511</f>
        <v>217.5</v>
      </c>
      <c r="C491">
        <f>Feuille1!B511</f>
        <v>14277.240113160764</v>
      </c>
      <c r="D491">
        <f>Feuille1!C511</f>
        <v>-14875.000289666219</v>
      </c>
    </row>
    <row r="492" spans="2:4" x14ac:dyDescent="0.25">
      <c r="B492">
        <f>Feuille1!A512</f>
        <v>218</v>
      </c>
      <c r="C492">
        <f>Feuille1!B512</f>
        <v>8011.1969392004194</v>
      </c>
      <c r="D492">
        <f>Feuille1!C512</f>
        <v>-18864.823799931604</v>
      </c>
    </row>
    <row r="493" spans="2:4" x14ac:dyDescent="0.25">
      <c r="B493">
        <f>Feuille1!A513</f>
        <v>218.5</v>
      </c>
      <c r="C493">
        <f>Feuille1!B513</f>
        <v>-751.47614127653014</v>
      </c>
      <c r="D493">
        <f>Feuille1!C513</f>
        <v>-23171.080288653506</v>
      </c>
    </row>
    <row r="494" spans="2:4" x14ac:dyDescent="0.25">
      <c r="B494">
        <f>Feuille1!A514</f>
        <v>219</v>
      </c>
      <c r="C494">
        <f>Feuille1!B514</f>
        <v>-12144.678116432442</v>
      </c>
      <c r="D494">
        <f>Feuille1!C514</f>
        <v>-29550.291532383126</v>
      </c>
    </row>
    <row r="495" spans="2:4" x14ac:dyDescent="0.25">
      <c r="B495">
        <f>Feuille1!A515</f>
        <v>219.5</v>
      </c>
      <c r="C495">
        <f>Feuille1!B515</f>
        <v>-19683.884154132804</v>
      </c>
      <c r="D495">
        <f>Feuille1!C515</f>
        <v>-34928.212293373763</v>
      </c>
    </row>
    <row r="496" spans="2:4" x14ac:dyDescent="0.25">
      <c r="B496">
        <f>Feuille1!A516</f>
        <v>220</v>
      </c>
      <c r="C496">
        <f>Feuille1!B516</f>
        <v>-24755.52146490859</v>
      </c>
      <c r="D496">
        <f>Feuille1!C516</f>
        <v>-38406.066284789616</v>
      </c>
    </row>
    <row r="497" spans="2:4" x14ac:dyDescent="0.25">
      <c r="B497">
        <f>Feuille1!A517</f>
        <v>220.5</v>
      </c>
      <c r="C497">
        <f>Feuille1!B517</f>
        <v>-28176.851232289981</v>
      </c>
      <c r="D497">
        <f>Feuille1!C517</f>
        <v>-40268.136366556981</v>
      </c>
    </row>
    <row r="498" spans="2:4" x14ac:dyDescent="0.25">
      <c r="B498">
        <f>Feuille1!A518</f>
        <v>221</v>
      </c>
      <c r="C498">
        <f>Feuille1!B518</f>
        <v>-30265.366170921799</v>
      </c>
      <c r="D498">
        <f>Feuille1!C518</f>
        <v>-40714.100348353903</v>
      </c>
    </row>
    <row r="499" spans="2:4" x14ac:dyDescent="0.25">
      <c r="B499">
        <f>Feuille1!A519</f>
        <v>221.5</v>
      </c>
      <c r="C499">
        <f>Feuille1!B519</f>
        <v>-31134.114975966069</v>
      </c>
      <c r="D499">
        <f>Feuille1!C519</f>
        <v>-39849.69941170235</v>
      </c>
    </row>
    <row r="500" spans="2:4" x14ac:dyDescent="0.25">
      <c r="B500">
        <f>Feuille1!A520</f>
        <v>222</v>
      </c>
      <c r="C500">
        <f>Feuille1!B520</f>
        <v>-30779.080511619526</v>
      </c>
      <c r="D500">
        <f>Feuille1!C520</f>
        <v>-37715.014610280683</v>
      </c>
    </row>
    <row r="501" spans="2:4" x14ac:dyDescent="0.25">
      <c r="B501">
        <f>Feuille1!A521</f>
        <v>222.5</v>
      </c>
      <c r="C501">
        <f>Feuille1!B521</f>
        <v>-29094.874531000729</v>
      </c>
      <c r="D501">
        <f>Feuille1!C521</f>
        <v>-34304.698554461705</v>
      </c>
    </row>
    <row r="502" spans="2:4" x14ac:dyDescent="0.25">
      <c r="B502">
        <f>Feuille1!A522</f>
        <v>223</v>
      </c>
      <c r="C502">
        <f>Feuille1!B522</f>
        <v>-25853.72777831072</v>
      </c>
      <c r="D502">
        <f>Feuille1!C522</f>
        <v>-29598.805006880739</v>
      </c>
    </row>
    <row r="503" spans="2:4" x14ac:dyDescent="0.25">
      <c r="B503">
        <f>Feuille1!A523</f>
        <v>223.5</v>
      </c>
      <c r="C503">
        <f>Feuille1!B523</f>
        <v>-20679.407579159721</v>
      </c>
      <c r="D503">
        <f>Feuille1!C523</f>
        <v>-23668.563326637286</v>
      </c>
    </row>
    <row r="504" spans="2:4" x14ac:dyDescent="0.25">
      <c r="B504">
        <f>Feuille1!A524</f>
        <v>224</v>
      </c>
      <c r="C504">
        <f>Feuille1!B524</f>
        <v>-13285.260481888818</v>
      </c>
      <c r="D504">
        <f>Feuille1!C524</f>
        <v>-17017.19024052563</v>
      </c>
    </row>
    <row r="505" spans="2:4" x14ac:dyDescent="0.25">
      <c r="B505">
        <f>Feuille1!A525</f>
        <v>224.5</v>
      </c>
      <c r="C505">
        <f>Feuille1!B525</f>
        <v>-4803.6430089765863</v>
      </c>
      <c r="D505">
        <f>Feuille1!C525</f>
        <v>-10550.453326278155</v>
      </c>
    </row>
    <row r="506" spans="2:4" x14ac:dyDescent="0.25">
      <c r="B506">
        <f>Feuille1!A526</f>
        <v>225</v>
      </c>
      <c r="C506">
        <f>Feuille1!B526</f>
        <v>2690.9367843248961</v>
      </c>
      <c r="D506">
        <f>Feuille1!C526</f>
        <v>-3873.552145697025</v>
      </c>
    </row>
    <row r="507" spans="2:4" x14ac:dyDescent="0.25">
      <c r="B507">
        <f>Feuille1!A527</f>
        <v>225.5</v>
      </c>
      <c r="C507">
        <f>Feuille1!B527</f>
        <v>8291.5267946302683</v>
      </c>
      <c r="D507">
        <f>Feuille1!C527</f>
        <v>3602.0235565726134</v>
      </c>
    </row>
    <row r="508" spans="2:4" x14ac:dyDescent="0.25">
      <c r="B508">
        <f>Feuille1!A528</f>
        <v>226</v>
      </c>
      <c r="C508">
        <f>Feuille1!B528</f>
        <v>11787.835605587272</v>
      </c>
      <c r="D508">
        <f>Feuille1!C528</f>
        <v>11953.617859466854</v>
      </c>
    </row>
    <row r="509" spans="2:4" x14ac:dyDescent="0.25">
      <c r="B509">
        <f>Feuille1!A529</f>
        <v>226.5</v>
      </c>
      <c r="C509">
        <f>Feuille1!B529</f>
        <v>13758.312098161507</v>
      </c>
      <c r="D509">
        <f>Feuille1!C529</f>
        <v>20857.294936018705</v>
      </c>
    </row>
    <row r="510" spans="2:4" x14ac:dyDescent="0.25">
      <c r="B510">
        <f>Feuille1!A530</f>
        <v>227</v>
      </c>
      <c r="C510">
        <f>Feuille1!B530</f>
        <v>14085.344242038325</v>
      </c>
      <c r="D510">
        <f>Feuille1!C530</f>
        <v>28595.820064645763</v>
      </c>
    </row>
    <row r="511" spans="2:4" x14ac:dyDescent="0.25">
      <c r="B511">
        <f>Feuille1!A531</f>
        <v>227.5</v>
      </c>
      <c r="C511">
        <f>Feuille1!B531</f>
        <v>12374.458437166708</v>
      </c>
      <c r="D511">
        <f>Feuille1!C531</f>
        <v>35073.428635283963</v>
      </c>
    </row>
    <row r="512" spans="2:4" x14ac:dyDescent="0.25">
      <c r="B512">
        <f>Feuille1!A532</f>
        <v>228</v>
      </c>
      <c r="C512">
        <f>Feuille1!B532</f>
        <v>8730.142921990162</v>
      </c>
      <c r="D512">
        <f>Feuille1!C532</f>
        <v>40173.275724446197</v>
      </c>
    </row>
    <row r="513" spans="2:4" x14ac:dyDescent="0.25">
      <c r="B513">
        <f>Feuille1!A533</f>
        <v>228.5</v>
      </c>
      <c r="C513">
        <f>Feuille1!B533</f>
        <v>3289.5361689003062</v>
      </c>
      <c r="D513">
        <f>Feuille1!C533</f>
        <v>43646.751556485986</v>
      </c>
    </row>
    <row r="514" spans="2:4" x14ac:dyDescent="0.25">
      <c r="B514">
        <f>Feuille1!A534</f>
        <v>229</v>
      </c>
      <c r="C514">
        <f>Feuille1!B534</f>
        <v>-3817.4463641407547</v>
      </c>
      <c r="D514">
        <f>Feuille1!C534</f>
        <v>45106.703285108211</v>
      </c>
    </row>
    <row r="515" spans="2:4" x14ac:dyDescent="0.25">
      <c r="B515">
        <f>Feuille1!A535</f>
        <v>229.5</v>
      </c>
      <c r="C515">
        <f>Feuille1!B535</f>
        <v>-12405.121078421962</v>
      </c>
      <c r="D515">
        <f>Feuille1!C535</f>
        <v>43941.783674868602</v>
      </c>
    </row>
    <row r="516" spans="2:4" x14ac:dyDescent="0.25">
      <c r="B516">
        <f>Feuille1!A536</f>
        <v>230</v>
      </c>
      <c r="C516">
        <f>Feuille1!B536</f>
        <v>-21995.694494944397</v>
      </c>
      <c r="D516">
        <f>Feuille1!C536</f>
        <v>39168.564372235138</v>
      </c>
    </row>
    <row r="517" spans="2:4" x14ac:dyDescent="0.25">
      <c r="B517">
        <f>Feuille1!A537</f>
        <v>230.5</v>
      </c>
      <c r="C517">
        <f>Feuille1!B537</f>
        <v>-31006.619246491708</v>
      </c>
      <c r="D517">
        <f>Feuille1!C537</f>
        <v>29522.075099687278</v>
      </c>
    </row>
    <row r="518" spans="2:4" x14ac:dyDescent="0.25">
      <c r="B518">
        <f>Feuille1!A538</f>
        <v>231</v>
      </c>
      <c r="C518">
        <f>Feuille1!B538</f>
        <v>-35616.454406334364</v>
      </c>
      <c r="D518">
        <f>Feuille1!C538</f>
        <v>15957.159567210587</v>
      </c>
    </row>
    <row r="519" spans="2:4" x14ac:dyDescent="0.25">
      <c r="B519">
        <f>Feuille1!A539</f>
        <v>231.5</v>
      </c>
      <c r="C519">
        <f>Feuille1!B539</f>
        <v>-34839.181385155956</v>
      </c>
      <c r="D519">
        <f>Feuille1!C539</f>
        <v>3456.0852451976943</v>
      </c>
    </row>
    <row r="520" spans="2:4" x14ac:dyDescent="0.25">
      <c r="B520">
        <f>Feuille1!A540</f>
        <v>232</v>
      </c>
      <c r="C520">
        <f>Feuille1!B540</f>
        <v>-30978.267371485559</v>
      </c>
      <c r="D520">
        <f>Feuille1!C540</f>
        <v>-6364.6195709037838</v>
      </c>
    </row>
    <row r="521" spans="2:4" x14ac:dyDescent="0.25">
      <c r="B521">
        <f>Feuille1!A541</f>
        <v>232.5</v>
      </c>
      <c r="C521">
        <f>Feuille1!B541</f>
        <v>-25363.809589475168</v>
      </c>
      <c r="D521">
        <f>Feuille1!C541</f>
        <v>-13901.441015245029</v>
      </c>
    </row>
    <row r="522" spans="2:4" x14ac:dyDescent="0.25">
      <c r="B522">
        <f>Feuille1!A542</f>
        <v>233</v>
      </c>
      <c r="C522">
        <f>Feuille1!B542</f>
        <v>-18360.364651324919</v>
      </c>
      <c r="D522">
        <f>Feuille1!C542</f>
        <v>-19917.584540339867</v>
      </c>
    </row>
    <row r="523" spans="2:4" x14ac:dyDescent="0.25">
      <c r="B523">
        <f>Feuille1!A543</f>
        <v>233.5</v>
      </c>
      <c r="C523">
        <f>Feuille1!B543</f>
        <v>-9508.420526406815</v>
      </c>
      <c r="D523">
        <f>Feuille1!C543</f>
        <v>-25510.531089464937</v>
      </c>
    </row>
    <row r="524" spans="2:4" x14ac:dyDescent="0.25">
      <c r="B524">
        <f>Feuille1!A544</f>
        <v>234</v>
      </c>
      <c r="C524">
        <f>Feuille1!B544</f>
        <v>1895.0884111286464</v>
      </c>
      <c r="D524">
        <f>Feuille1!C544</f>
        <v>-32522.849366744613</v>
      </c>
    </row>
    <row r="525" spans="2:4" x14ac:dyDescent="0.25">
      <c r="B525">
        <f>Feuille1!A545</f>
        <v>234.5</v>
      </c>
      <c r="C525">
        <f>Feuille1!B545</f>
        <v>9154.9941317777266</v>
      </c>
      <c r="D525">
        <f>Feuille1!C545</f>
        <v>-37193.992609688241</v>
      </c>
    </row>
    <row r="526" spans="2:4" x14ac:dyDescent="0.25">
      <c r="B526">
        <f>Feuille1!A546</f>
        <v>235</v>
      </c>
      <c r="C526">
        <f>Feuille1!B546</f>
        <v>13821.116320025545</v>
      </c>
      <c r="D526">
        <f>Feuille1!C546</f>
        <v>-39974.967813331255</v>
      </c>
    </row>
    <row r="527" spans="2:4" x14ac:dyDescent="0.25">
      <c r="B527">
        <f>Feuille1!A547</f>
        <v>235.5</v>
      </c>
      <c r="C527">
        <f>Feuille1!B547</f>
        <v>16637.781618203255</v>
      </c>
      <c r="D527">
        <f>Feuille1!C547</f>
        <v>-41306.567384632559</v>
      </c>
    </row>
    <row r="528" spans="2:4" x14ac:dyDescent="0.25">
      <c r="B528">
        <f>Feuille1!A548</f>
        <v>236</v>
      </c>
      <c r="C528">
        <f>Feuille1!B548</f>
        <v>17889.761774917133</v>
      </c>
      <c r="D528">
        <f>Feuille1!C548</f>
        <v>-41395.312405007353</v>
      </c>
    </row>
    <row r="529" spans="2:4" x14ac:dyDescent="0.25">
      <c r="B529">
        <f>Feuille1!A549</f>
        <v>236.5</v>
      </c>
      <c r="C529">
        <f>Feuille1!B549</f>
        <v>17650.367864690779</v>
      </c>
      <c r="D529">
        <f>Feuille1!C549</f>
        <v>-40324.568488998993</v>
      </c>
    </row>
    <row r="530" spans="2:4" x14ac:dyDescent="0.25">
      <c r="B530">
        <f>Feuille1!A550</f>
        <v>237</v>
      </c>
      <c r="C530">
        <f>Feuille1!B550</f>
        <v>15837.419778478472</v>
      </c>
      <c r="D530">
        <f>Feuille1!C550</f>
        <v>-38096.1804105224</v>
      </c>
    </row>
    <row r="531" spans="2:4" x14ac:dyDescent="0.25">
      <c r="B531">
        <f>Feuille1!A551</f>
        <v>237.5</v>
      </c>
      <c r="C531">
        <f>Feuille1!B551</f>
        <v>12171.333470134854</v>
      </c>
      <c r="D531">
        <f>Feuille1!C551</f>
        <v>-34643.665286113974</v>
      </c>
    </row>
    <row r="532" spans="2:4" x14ac:dyDescent="0.25">
      <c r="B532">
        <f>Feuille1!A552</f>
        <v>238</v>
      </c>
      <c r="C532">
        <f>Feuille1!B552</f>
        <v>5986.1206650013492</v>
      </c>
      <c r="D532">
        <f>Feuille1!C552</f>
        <v>-29870.400743847862</v>
      </c>
    </row>
    <row r="533" spans="2:4" x14ac:dyDescent="0.25">
      <c r="B533">
        <f>Feuille1!A553</f>
        <v>238.5</v>
      </c>
      <c r="C533">
        <f>Feuille1!B553</f>
        <v>-4156.1992661894001</v>
      </c>
      <c r="D533">
        <f>Feuille1!C553</f>
        <v>-24188.88611009466</v>
      </c>
    </row>
    <row r="534" spans="2:4" x14ac:dyDescent="0.25">
      <c r="B534">
        <f>Feuille1!A554</f>
        <v>239</v>
      </c>
      <c r="C534">
        <f>Feuille1!B554</f>
        <v>-15301.123204268835</v>
      </c>
      <c r="D534">
        <f>Feuille1!C554</f>
        <v>-21052.945660138146</v>
      </c>
    </row>
    <row r="535" spans="2:4" x14ac:dyDescent="0.25">
      <c r="B535">
        <f>Feuille1!A555</f>
        <v>239.5</v>
      </c>
      <c r="C535">
        <f>Feuille1!B555</f>
        <v>-24377.698464568624</v>
      </c>
      <c r="D535">
        <f>Feuille1!C555</f>
        <v>-18108.262443373096</v>
      </c>
    </row>
    <row r="536" spans="2:4" x14ac:dyDescent="0.25">
      <c r="B536">
        <f>Feuille1!A556</f>
        <v>240</v>
      </c>
      <c r="C536">
        <f>Feuille1!B556</f>
        <v>-31874.68386637422</v>
      </c>
      <c r="D536">
        <f>Feuille1!C556</f>
        <v>-14023.430259898303</v>
      </c>
    </row>
    <row r="537" spans="2:4" x14ac:dyDescent="0.25">
      <c r="B537">
        <f>Feuille1!A557</f>
        <v>240.5</v>
      </c>
      <c r="C537">
        <f>Feuille1!B557</f>
        <v>-37838.288813231913</v>
      </c>
      <c r="D537">
        <f>Feuille1!C557</f>
        <v>-8371.7642416639228</v>
      </c>
    </row>
    <row r="538" spans="2:4" x14ac:dyDescent="0.25">
      <c r="B538">
        <f>Feuille1!A558</f>
        <v>241</v>
      </c>
      <c r="C538">
        <f>Feuille1!B558</f>
        <v>-41982.489967853711</v>
      </c>
      <c r="D538">
        <f>Feuille1!C558</f>
        <v>-1021.0319338164995</v>
      </c>
    </row>
    <row r="539" spans="2:4" x14ac:dyDescent="0.25">
      <c r="B539">
        <f>Feuille1!A559</f>
        <v>241.5</v>
      </c>
      <c r="C539">
        <f>Feuille1!B559</f>
        <v>-43754.752180314717</v>
      </c>
      <c r="D539">
        <f>Feuille1!C559</f>
        <v>7968.6216034270656</v>
      </c>
    </row>
    <row r="540" spans="2:4" x14ac:dyDescent="0.25">
      <c r="B540">
        <f>Feuille1!A560</f>
        <v>242</v>
      </c>
      <c r="C540">
        <f>Feuille1!B560</f>
        <v>-42312.916646012869</v>
      </c>
      <c r="D540">
        <f>Feuille1!C560</f>
        <v>18214.524690191694</v>
      </c>
    </row>
    <row r="541" spans="2:4" x14ac:dyDescent="0.25">
      <c r="B541">
        <f>Feuille1!A561</f>
        <v>242.5</v>
      </c>
      <c r="C541">
        <f>Feuille1!B561</f>
        <v>-36641.194706036142</v>
      </c>
      <c r="D541">
        <f>Feuille1!C561</f>
        <v>28567.154204090795</v>
      </c>
    </row>
    <row r="542" spans="2:4" x14ac:dyDescent="0.25">
      <c r="B542">
        <f>Feuille1!A562</f>
        <v>243</v>
      </c>
      <c r="C542">
        <f>Feuille1!B562</f>
        <v>-26561.698015967857</v>
      </c>
      <c r="D542">
        <f>Feuille1!C562</f>
        <v>36515.660240782679</v>
      </c>
    </row>
    <row r="543" spans="2:4" x14ac:dyDescent="0.25">
      <c r="B543">
        <f>Feuille1!A563</f>
        <v>243.5</v>
      </c>
      <c r="C543">
        <f>Feuille1!B563</f>
        <v>-14529.706980157631</v>
      </c>
      <c r="D543">
        <f>Feuille1!C563</f>
        <v>39604.893625703611</v>
      </c>
    </row>
    <row r="544" spans="2:4" x14ac:dyDescent="0.25">
      <c r="B544">
        <f>Feuille1!A564</f>
        <v>244</v>
      </c>
      <c r="C544">
        <f>Feuille1!B564</f>
        <v>-3607.8403614654089</v>
      </c>
      <c r="D544">
        <f>Feuille1!C564</f>
        <v>38161.948506882909</v>
      </c>
    </row>
    <row r="545" spans="2:4" x14ac:dyDescent="0.25">
      <c r="B545">
        <f>Feuille1!A565</f>
        <v>244.5</v>
      </c>
      <c r="C545">
        <f>Feuille1!B565</f>
        <v>4940.8489148361887</v>
      </c>
      <c r="D545">
        <f>Feuille1!C565</f>
        <v>33703.855025922239</v>
      </c>
    </row>
    <row r="546" spans="2:4" x14ac:dyDescent="0.25">
      <c r="B546">
        <f>Feuille1!A566</f>
        <v>245</v>
      </c>
      <c r="C546">
        <f>Feuille1!B566</f>
        <v>10937.737910086089</v>
      </c>
      <c r="D546">
        <f>Feuille1!C566</f>
        <v>27384.75807028063</v>
      </c>
    </row>
    <row r="547" spans="2:4" x14ac:dyDescent="0.25">
      <c r="B547">
        <f>Feuille1!A567</f>
        <v>245.5</v>
      </c>
      <c r="C547">
        <f>Feuille1!B567</f>
        <v>14626.741453060204</v>
      </c>
      <c r="D547">
        <f>Feuille1!C567</f>
        <v>19807.108826792795</v>
      </c>
    </row>
    <row r="548" spans="2:4" x14ac:dyDescent="0.25">
      <c r="B548">
        <f>Feuille1!A568</f>
        <v>246</v>
      </c>
      <c r="C548">
        <f>Feuille1!B568</f>
        <v>16952.545040184075</v>
      </c>
      <c r="D548">
        <f>Feuille1!C568</f>
        <v>10987.589616704179</v>
      </c>
    </row>
    <row r="549" spans="2:4" x14ac:dyDescent="0.25">
      <c r="B549">
        <f>Feuille1!A569</f>
        <v>246.5</v>
      </c>
      <c r="C549">
        <f>Feuille1!B569</f>
        <v>18269.235238080786</v>
      </c>
      <c r="D549">
        <f>Feuille1!C569</f>
        <v>3703.5861332446266</v>
      </c>
    </row>
    <row r="550" spans="2:4" x14ac:dyDescent="0.25">
      <c r="B550">
        <f>Feuille1!A570</f>
        <v>247</v>
      </c>
      <c r="C550">
        <f>Feuille1!B570</f>
        <v>17812.880654413198</v>
      </c>
      <c r="D550">
        <f>Feuille1!C570</f>
        <v>-2623.3676154188502</v>
      </c>
    </row>
    <row r="551" spans="2:4" x14ac:dyDescent="0.25">
      <c r="B551">
        <f>Feuille1!A571</f>
        <v>247.5</v>
      </c>
      <c r="C551">
        <f>Feuille1!B571</f>
        <v>15605.805220426089</v>
      </c>
      <c r="D551">
        <f>Feuille1!C571</f>
        <v>-8355.535123843616</v>
      </c>
    </row>
    <row r="552" spans="2:4" x14ac:dyDescent="0.25">
      <c r="B552">
        <f>Feuille1!A572</f>
        <v>248</v>
      </c>
      <c r="C552">
        <f>Feuille1!B572</f>
        <v>11606.14244824968</v>
      </c>
      <c r="D552">
        <f>Feuille1!C572</f>
        <v>-13688.08194503732</v>
      </c>
    </row>
    <row r="553" spans="2:4" x14ac:dyDescent="0.25">
      <c r="B553">
        <f>Feuille1!A573</f>
        <v>248.5</v>
      </c>
      <c r="C553">
        <f>Feuille1!B573</f>
        <v>5601.4666247994064</v>
      </c>
      <c r="D553">
        <f>Feuille1!C573</f>
        <v>-18896.925577131908</v>
      </c>
    </row>
    <row r="554" spans="2:4" x14ac:dyDescent="0.25">
      <c r="B554">
        <f>Feuille1!A574</f>
        <v>249</v>
      </c>
      <c r="C554">
        <f>Feuille1!B574</f>
        <v>-2944.4601745346758</v>
      </c>
      <c r="D554">
        <f>Feuille1!C574</f>
        <v>-24735.893204315242</v>
      </c>
    </row>
    <row r="555" spans="2:4" x14ac:dyDescent="0.25">
      <c r="B555">
        <f>Feuille1!A575</f>
        <v>249.5</v>
      </c>
      <c r="C555">
        <f>Feuille1!B575</f>
        <v>-13357.540353652901</v>
      </c>
      <c r="D555">
        <f>Feuille1!C575</f>
        <v>-32907.563934933714</v>
      </c>
    </row>
    <row r="556" spans="2:4" x14ac:dyDescent="0.25">
      <c r="B556">
        <f>Feuille1!A576</f>
        <v>250</v>
      </c>
      <c r="C556">
        <f>Feuille1!B576</f>
        <v>-20211.073513568052</v>
      </c>
      <c r="D556">
        <f>Feuille1!C576</f>
        <v>-38669.011654645263</v>
      </c>
    </row>
    <row r="557" spans="2:4" x14ac:dyDescent="0.25">
      <c r="B557">
        <f>Feuille1!A577</f>
        <v>250.5</v>
      </c>
      <c r="C557">
        <f>Feuille1!B577</f>
        <v>-25100.585213190341</v>
      </c>
      <c r="D557">
        <f>Feuille1!C577</f>
        <v>-42366.069704284353</v>
      </c>
    </row>
    <row r="558" spans="2:4" x14ac:dyDescent="0.25">
      <c r="B558">
        <f>Feuille1!A578</f>
        <v>251</v>
      </c>
      <c r="C558">
        <f>Feuille1!B578</f>
        <v>-28657.275514799006</v>
      </c>
      <c r="D558">
        <f>Feuille1!C578</f>
        <v>-44447.577138627181</v>
      </c>
    </row>
    <row r="559" spans="2:4" x14ac:dyDescent="0.25">
      <c r="B559">
        <f>Feuille1!A579</f>
        <v>251.5</v>
      </c>
      <c r="C559">
        <f>Feuille1!B579</f>
        <v>-31128.965839895005</v>
      </c>
      <c r="D559">
        <f>Feuille1!C579</f>
        <v>-45154.396913847821</v>
      </c>
    </row>
    <row r="560" spans="2:4" x14ac:dyDescent="0.25">
      <c r="B560">
        <f>Feuille1!A580</f>
        <v>252</v>
      </c>
      <c r="C560">
        <f>Feuille1!B580</f>
        <v>-32611.367113693355</v>
      </c>
      <c r="D560">
        <f>Feuille1!C580</f>
        <v>-44613.094873826311</v>
      </c>
    </row>
    <row r="561" spans="2:4" x14ac:dyDescent="0.25">
      <c r="B561">
        <f>Feuille1!A581</f>
        <v>252.5</v>
      </c>
      <c r="C561">
        <f>Feuille1!B581</f>
        <v>-33116.050459670398</v>
      </c>
      <c r="D561">
        <f>Feuille1!C581</f>
        <v>-42880.875101612837</v>
      </c>
    </row>
    <row r="562" spans="2:4" x14ac:dyDescent="0.25">
      <c r="B562">
        <f>Feuille1!A582</f>
        <v>253</v>
      </c>
      <c r="C562">
        <f>Feuille1!B582</f>
        <v>-32587.486526763285</v>
      </c>
      <c r="D562">
        <f>Feuille1!C582</f>
        <v>-39965.943852044875</v>
      </c>
    </row>
    <row r="563" spans="2:4" x14ac:dyDescent="0.25">
      <c r="B563">
        <f>Feuille1!A583</f>
        <v>253.5</v>
      </c>
      <c r="C563">
        <f>Feuille1!B583</f>
        <v>-30895.496269127922</v>
      </c>
      <c r="D563">
        <f>Feuille1!C583</f>
        <v>-35839.839540442365</v>
      </c>
    </row>
    <row r="564" spans="2:4" x14ac:dyDescent="0.25">
      <c r="B564">
        <f>Feuille1!A584</f>
        <v>254</v>
      </c>
      <c r="C564">
        <f>Feuille1!B584</f>
        <v>-27808.677234707891</v>
      </c>
      <c r="D564">
        <f>Feuille1!C584</f>
        <v>-30459.141698170486</v>
      </c>
    </row>
    <row r="565" spans="2:4" x14ac:dyDescent="0.25">
      <c r="B565">
        <f>Feuille1!A585</f>
        <v>254.5</v>
      </c>
      <c r="C565">
        <f>Feuille1!B585</f>
        <v>-22971.625254264298</v>
      </c>
      <c r="D565">
        <f>Feuille1!C585</f>
        <v>-23843.527194927399</v>
      </c>
    </row>
    <row r="566" spans="2:4" x14ac:dyDescent="0.25">
      <c r="B566">
        <f>Feuille1!A586</f>
        <v>255</v>
      </c>
      <c r="C566">
        <f>Feuille1!B586</f>
        <v>-16098.953259450996</v>
      </c>
      <c r="D566">
        <f>Feuille1!C586</f>
        <v>-16305.856456224679</v>
      </c>
    </row>
    <row r="567" spans="2:4" x14ac:dyDescent="0.25">
      <c r="B567">
        <f>Feuille1!A587</f>
        <v>255.5</v>
      </c>
      <c r="C567">
        <f>Feuille1!B587</f>
        <v>-8011.4353590607352</v>
      </c>
      <c r="D567">
        <f>Feuille1!C587</f>
        <v>-8368.2181420519391</v>
      </c>
    </row>
    <row r="568" spans="2:4" x14ac:dyDescent="0.25">
      <c r="B568">
        <f>Feuille1!A588</f>
        <v>256</v>
      </c>
      <c r="C568">
        <f>Feuille1!B588</f>
        <v>-676.969577503952</v>
      </c>
      <c r="D568">
        <f>Feuille1!C588</f>
        <v>490.45096348344487</v>
      </c>
    </row>
    <row r="569" spans="2:4" x14ac:dyDescent="0.25">
      <c r="B569">
        <f>Feuille1!A589</f>
        <v>256.5</v>
      </c>
      <c r="C569">
        <f>Feuille1!B589</f>
        <v>4453.1773775847596</v>
      </c>
      <c r="D569">
        <f>Feuille1!C589</f>
        <v>10770.700790627261</v>
      </c>
    </row>
    <row r="570" spans="2:4" x14ac:dyDescent="0.25">
      <c r="B570">
        <f>Feuille1!A590</f>
        <v>257</v>
      </c>
      <c r="C570">
        <f>Feuille1!B590</f>
        <v>6724.9801327357081</v>
      </c>
      <c r="D570">
        <f>Feuille1!C590</f>
        <v>21822.312692384014</v>
      </c>
    </row>
    <row r="571" spans="2:4" x14ac:dyDescent="0.25">
      <c r="B571">
        <f>Feuille1!A591</f>
        <v>257.5</v>
      </c>
      <c r="C571">
        <f>Feuille1!B591</f>
        <v>6100.5203291759963</v>
      </c>
      <c r="D571">
        <f>Feuille1!C591</f>
        <v>32078.97554538133</v>
      </c>
    </row>
    <row r="572" spans="2:4" x14ac:dyDescent="0.25">
      <c r="B572">
        <f>Feuille1!A592</f>
        <v>258</v>
      </c>
      <c r="C572">
        <f>Feuille1!B592</f>
        <v>2886.4571992380497</v>
      </c>
      <c r="D572">
        <f>Feuille1!C592</f>
        <v>40640.840932070918</v>
      </c>
    </row>
    <row r="573" spans="2:4" x14ac:dyDescent="0.25">
      <c r="B573">
        <f>Feuille1!A593</f>
        <v>258.5</v>
      </c>
      <c r="C573">
        <f>Feuille1!B593</f>
        <v>-2285.0962899681144</v>
      </c>
      <c r="D573">
        <f>Feuille1!C593</f>
        <v>47080.881688446643</v>
      </c>
    </row>
    <row r="574" spans="2:4" x14ac:dyDescent="0.25">
      <c r="B574">
        <f>Feuille1!A594</f>
        <v>259</v>
      </c>
      <c r="C574">
        <f>Feuille1!B594</f>
        <v>-8794.714965468831</v>
      </c>
      <c r="D574">
        <f>Feuille1!C594</f>
        <v>51171.290437611417</v>
      </c>
    </row>
    <row r="575" spans="2:4" x14ac:dyDescent="0.25">
      <c r="B575">
        <f>Feuille1!A595</f>
        <v>259.5</v>
      </c>
      <c r="C575">
        <f>Feuille1!B595</f>
        <v>-16083.323939077731</v>
      </c>
      <c r="D575">
        <f>Feuille1!C595</f>
        <v>52768.295017384902</v>
      </c>
    </row>
    <row r="576" spans="2:4" x14ac:dyDescent="0.25">
      <c r="B576">
        <f>Feuille1!A596</f>
        <v>260</v>
      </c>
      <c r="C576">
        <f>Feuille1!B596</f>
        <v>-23610.319332993378</v>
      </c>
      <c r="D576">
        <f>Feuille1!C596</f>
        <v>51754.229771133432</v>
      </c>
    </row>
    <row r="577" spans="2:4" x14ac:dyDescent="0.25">
      <c r="B577">
        <f>Feuille1!A597</f>
        <v>260.5</v>
      </c>
      <c r="C577">
        <f>Feuille1!B597</f>
        <v>-30784.536510764836</v>
      </c>
      <c r="D577">
        <f>Feuille1!C597</f>
        <v>48021.766004647608</v>
      </c>
    </row>
    <row r="578" spans="2:4" x14ac:dyDescent="0.25">
      <c r="B578">
        <f>Feuille1!A598</f>
        <v>261</v>
      </c>
      <c r="C578">
        <f>Feuille1!B598</f>
        <v>-36873.473463123839</v>
      </c>
      <c r="D578">
        <f>Feuille1!C598</f>
        <v>41506.702852628405</v>
      </c>
    </row>
    <row r="579" spans="2:4" x14ac:dyDescent="0.25">
      <c r="B579">
        <f>Feuille1!A599</f>
        <v>261.5</v>
      </c>
      <c r="C579">
        <f>Feuille1!B599</f>
        <v>-40897.514592612999</v>
      </c>
      <c r="D579">
        <f>Feuille1!C599</f>
        <v>32318.107366054061</v>
      </c>
    </row>
    <row r="580" spans="2:4" x14ac:dyDescent="0.25">
      <c r="B580">
        <f>Feuille1!A600</f>
        <v>262</v>
      </c>
      <c r="C580">
        <f>Feuille1!B600</f>
        <v>-41608.7199534299</v>
      </c>
      <c r="D580">
        <f>Feuille1!C600</f>
        <v>21073.653705088793</v>
      </c>
    </row>
    <row r="581" spans="2:4" x14ac:dyDescent="0.25">
      <c r="B581">
        <f>Feuille1!A601</f>
        <v>262.5</v>
      </c>
      <c r="C581">
        <f>Feuille1!B601</f>
        <v>-37951.952333099624</v>
      </c>
      <c r="D581">
        <f>Feuille1!C601</f>
        <v>9410.3097268001966</v>
      </c>
    </row>
    <row r="582" spans="2:4" x14ac:dyDescent="0.25">
      <c r="B582">
        <f>Feuille1!A602</f>
        <v>263</v>
      </c>
      <c r="C582">
        <f>Feuille1!B602</f>
        <v>-30269.502747688424</v>
      </c>
      <c r="D582">
        <f>Feuille1!C602</f>
        <v>-326.98754091666774</v>
      </c>
    </row>
    <row r="583" spans="2:4" x14ac:dyDescent="0.25">
      <c r="B583">
        <f>Feuille1!A603</f>
        <v>263.5</v>
      </c>
      <c r="C583">
        <f>Feuille1!B603</f>
        <v>-20346.346918195661</v>
      </c>
      <c r="D583">
        <f>Feuille1!C603</f>
        <v>-6985.0245445078435</v>
      </c>
    </row>
    <row r="584" spans="2:4" x14ac:dyDescent="0.25">
      <c r="B584">
        <f>Feuille1!A604</f>
        <v>264</v>
      </c>
      <c r="C584">
        <f>Feuille1!B604</f>
        <v>-9696.6321229093046</v>
      </c>
      <c r="D584">
        <f>Feuille1!C604</f>
        <v>-11320.737057498969</v>
      </c>
    </row>
    <row r="585" spans="2:4" x14ac:dyDescent="0.25">
      <c r="B585">
        <f>Feuille1!A605</f>
        <v>264.5</v>
      </c>
      <c r="C585">
        <f>Feuille1!B605</f>
        <v>728.89618750912211</v>
      </c>
      <c r="D585">
        <f>Feuille1!C605</f>
        <v>-15187.437942952802</v>
      </c>
    </row>
    <row r="586" spans="2:4" x14ac:dyDescent="0.25">
      <c r="B586">
        <f>Feuille1!A606</f>
        <v>265</v>
      </c>
      <c r="C586">
        <f>Feuille1!B606</f>
        <v>9410.6270153226487</v>
      </c>
      <c r="D586">
        <f>Feuille1!C606</f>
        <v>-19806.901195338854</v>
      </c>
    </row>
    <row r="587" spans="2:4" x14ac:dyDescent="0.25">
      <c r="B587">
        <f>Feuille1!A607</f>
        <v>265.5</v>
      </c>
      <c r="C587">
        <f>Feuille1!B607</f>
        <v>15561.457064371345</v>
      </c>
      <c r="D587">
        <f>Feuille1!C607</f>
        <v>-24595.665259377532</v>
      </c>
    </row>
    <row r="588" spans="2:4" x14ac:dyDescent="0.25">
      <c r="B588">
        <f>Feuille1!A608</f>
        <v>266</v>
      </c>
      <c r="C588">
        <f>Feuille1!B608</f>
        <v>19448.266820038803</v>
      </c>
      <c r="D588">
        <f>Feuille1!C608</f>
        <v>-28972.491712389216</v>
      </c>
    </row>
    <row r="589" spans="2:4" x14ac:dyDescent="0.25">
      <c r="B589">
        <f>Feuille1!A609</f>
        <v>266.5</v>
      </c>
      <c r="C589">
        <f>Feuille1!B609</f>
        <v>21433.883055011687</v>
      </c>
      <c r="D589">
        <f>Feuille1!C609</f>
        <v>-32700.600415512319</v>
      </c>
    </row>
    <row r="590" spans="2:4" x14ac:dyDescent="0.25">
      <c r="B590">
        <f>Feuille1!A610</f>
        <v>267</v>
      </c>
      <c r="C590">
        <f>Feuille1!B610</f>
        <v>21756.454991598046</v>
      </c>
      <c r="D590">
        <f>Feuille1!C610</f>
        <v>-35674.061613178055</v>
      </c>
    </row>
    <row r="591" spans="2:4" x14ac:dyDescent="0.25">
      <c r="B591">
        <f>Feuille1!A611</f>
        <v>267.5</v>
      </c>
      <c r="C591">
        <f>Feuille1!B611</f>
        <v>20533.820623051608</v>
      </c>
      <c r="D591">
        <f>Feuille1!C611</f>
        <v>-37811.448224210173</v>
      </c>
    </row>
    <row r="592" spans="2:4" x14ac:dyDescent="0.25">
      <c r="B592">
        <f>Feuille1!A612</f>
        <v>268</v>
      </c>
      <c r="C592">
        <f>Feuille1!B612</f>
        <v>17776.301848101823</v>
      </c>
      <c r="D592">
        <f>Feuille1!C612</f>
        <v>-39006.350358262884</v>
      </c>
    </row>
    <row r="593" spans="2:4" x14ac:dyDescent="0.25">
      <c r="B593">
        <f>Feuille1!A613</f>
        <v>268.5</v>
      </c>
      <c r="C593">
        <f>Feuille1!B613</f>
        <v>13369.443303858434</v>
      </c>
      <c r="D593">
        <f>Feuille1!C613</f>
        <v>-39080.721178932319</v>
      </c>
    </row>
    <row r="594" spans="2:4" x14ac:dyDescent="0.25">
      <c r="B594">
        <f>Feuille1!A614</f>
        <v>269</v>
      </c>
      <c r="C594">
        <f>Feuille1!B614</f>
        <v>6993.6937239951139</v>
      </c>
      <c r="D594">
        <f>Feuille1!C614</f>
        <v>-37687.452317389783</v>
      </c>
    </row>
    <row r="595" spans="2:4" x14ac:dyDescent="0.25">
      <c r="B595">
        <f>Feuille1!A615</f>
        <v>269.5</v>
      </c>
      <c r="C595">
        <f>Feuille1!B615</f>
        <v>-2094.0404334510526</v>
      </c>
      <c r="D595">
        <f>Feuille1!C615</f>
        <v>-33997.077607578467</v>
      </c>
    </row>
    <row r="596" spans="2:4" x14ac:dyDescent="0.25">
      <c r="B596">
        <f>Feuille1!A616</f>
        <v>270</v>
      </c>
      <c r="C596">
        <f>Feuille1!B616</f>
        <v>-13666.844032398132</v>
      </c>
      <c r="D596">
        <f>Feuille1!C616</f>
        <v>-26312.782887559883</v>
      </c>
    </row>
    <row r="597" spans="2:4" x14ac:dyDescent="0.25">
      <c r="B597">
        <f>Feuille1!A617</f>
        <v>270.5</v>
      </c>
      <c r="C597">
        <f>Feuille1!B617</f>
        <v>-21899.056317417886</v>
      </c>
      <c r="D597">
        <f>Feuille1!C617</f>
        <v>-18699.201145600175</v>
      </c>
    </row>
    <row r="598" spans="2:4" x14ac:dyDescent="0.25">
      <c r="B598">
        <f>Feuille1!A618</f>
        <v>271</v>
      </c>
      <c r="C598">
        <f>Feuille1!B618</f>
        <v>-28481.079793063262</v>
      </c>
      <c r="D598">
        <f>Feuille1!C618</f>
        <v>-10168.2401955685</v>
      </c>
    </row>
    <row r="599" spans="2:4" x14ac:dyDescent="0.25">
      <c r="B599">
        <f>Feuille1!A619</f>
        <v>271.5</v>
      </c>
      <c r="C599">
        <f>Feuille1!B619</f>
        <v>-33581.628039540286</v>
      </c>
      <c r="D599">
        <f>Feuille1!C619</f>
        <v>310.12392483085659</v>
      </c>
    </row>
    <row r="600" spans="2:4" x14ac:dyDescent="0.25">
      <c r="B600">
        <f>Feuille1!A620</f>
        <v>272</v>
      </c>
      <c r="C600">
        <f>Feuille1!B620</f>
        <v>-36128.429371984595</v>
      </c>
      <c r="D600">
        <f>Feuille1!C620</f>
        <v>13487.931162023917</v>
      </c>
    </row>
    <row r="601" spans="2:4" x14ac:dyDescent="0.25">
      <c r="B601">
        <f>Feuille1!A621</f>
        <v>272.5</v>
      </c>
      <c r="C601">
        <f>Feuille1!B621</f>
        <v>-33727.248063325445</v>
      </c>
      <c r="D601">
        <f>Feuille1!C621</f>
        <v>28283.613702960207</v>
      </c>
    </row>
    <row r="602" spans="2:4" x14ac:dyDescent="0.25">
      <c r="B602">
        <f>Feuille1!A622</f>
        <v>273</v>
      </c>
      <c r="C602">
        <f>Feuille1!B622</f>
        <v>-26595.263706967977</v>
      </c>
      <c r="D602">
        <f>Feuille1!C622</f>
        <v>40088.219106147029</v>
      </c>
    </row>
    <row r="603" spans="2:4" x14ac:dyDescent="0.25">
      <c r="B603">
        <f>Feuille1!A623</f>
        <v>273.5</v>
      </c>
      <c r="C603">
        <f>Feuille1!B623</f>
        <v>-18028.929873245659</v>
      </c>
      <c r="D603">
        <f>Feuille1!C623</f>
        <v>47614.693718338123</v>
      </c>
    </row>
    <row r="604" spans="2:4" x14ac:dyDescent="0.25">
      <c r="B604">
        <f>Feuille1!A624</f>
        <v>274</v>
      </c>
      <c r="C604">
        <f>Feuille1!B624</f>
        <v>-9619.4152341903973</v>
      </c>
      <c r="D604">
        <f>Feuille1!C624</f>
        <v>51818.625531019527</v>
      </c>
    </row>
    <row r="605" spans="2:4" x14ac:dyDescent="0.25">
      <c r="B605">
        <f>Feuille1!A625</f>
        <v>274.5</v>
      </c>
      <c r="C605">
        <f>Feuille1!B625</f>
        <v>-1908.7895503813527</v>
      </c>
      <c r="D605">
        <f>Feuille1!C625</f>
        <v>53546.006509358202</v>
      </c>
    </row>
    <row r="606" spans="2:4" x14ac:dyDescent="0.25">
      <c r="B606">
        <f>Feuille1!A626</f>
        <v>275</v>
      </c>
      <c r="C606">
        <f>Feuille1!B626</f>
        <v>4898.1765189701855</v>
      </c>
      <c r="D606">
        <f>Feuille1!C626</f>
        <v>53344.576011452038</v>
      </c>
    </row>
    <row r="607" spans="2:4" x14ac:dyDescent="0.25">
      <c r="B607">
        <f>Feuille1!A627</f>
        <v>275.5</v>
      </c>
      <c r="C607">
        <f>Feuille1!B627</f>
        <v>10698.99270174059</v>
      </c>
      <c r="D607">
        <f>Feuille1!C627</f>
        <v>51566.964469384511</v>
      </c>
    </row>
    <row r="608" spans="2:4" x14ac:dyDescent="0.25">
      <c r="B608">
        <f>Feuille1!A628</f>
        <v>276</v>
      </c>
      <c r="C608">
        <f>Feuille1!B628</f>
        <v>15415.937375107629</v>
      </c>
      <c r="D608">
        <f>Feuille1!C628</f>
        <v>48448.327153347491</v>
      </c>
    </row>
    <row r="609" spans="2:4" x14ac:dyDescent="0.25">
      <c r="B609">
        <f>Feuille1!A629</f>
        <v>276.5</v>
      </c>
      <c r="C609">
        <f>Feuille1!B629</f>
        <v>18965.470947107442</v>
      </c>
      <c r="D609">
        <f>Feuille1!C629</f>
        <v>44150.433147742944</v>
      </c>
    </row>
    <row r="610" spans="2:4" x14ac:dyDescent="0.25">
      <c r="B610">
        <f>Feuille1!A630</f>
        <v>277</v>
      </c>
      <c r="C610">
        <f>Feuille1!B630</f>
        <v>21241.284959465094</v>
      </c>
      <c r="D610">
        <f>Feuille1!C630</f>
        <v>38784.600129541002</v>
      </c>
    </row>
    <row r="611" spans="2:4" x14ac:dyDescent="0.25">
      <c r="B611">
        <f>Feuille1!A631</f>
        <v>277.5</v>
      </c>
      <c r="C611">
        <f>Feuille1!B631</f>
        <v>22098.826693711067</v>
      </c>
      <c r="D611">
        <f>Feuille1!C631</f>
        <v>32416.775337166255</v>
      </c>
    </row>
    <row r="612" spans="2:4" x14ac:dyDescent="0.25">
      <c r="B612">
        <f>Feuille1!A632</f>
        <v>278</v>
      </c>
      <c r="C612">
        <f>Feuille1!B632</f>
        <v>21332.923368756477</v>
      </c>
      <c r="D612">
        <f>Feuille1!C632</f>
        <v>25032.684583797458</v>
      </c>
    </row>
    <row r="613" spans="2:4" x14ac:dyDescent="0.25">
      <c r="B613">
        <f>Feuille1!A633</f>
        <v>278.5</v>
      </c>
      <c r="C613">
        <f>Feuille1!B633</f>
        <v>18643.892576916685</v>
      </c>
      <c r="D613">
        <f>Feuille1!C633</f>
        <v>16286.576547955417</v>
      </c>
    </row>
    <row r="614" spans="2:4" x14ac:dyDescent="0.25">
      <c r="B614">
        <f>Feuille1!A634</f>
        <v>279</v>
      </c>
      <c r="C614">
        <f>Feuille1!B634</f>
        <v>15060.385720670183</v>
      </c>
      <c r="D614">
        <f>Feuille1!C634</f>
        <v>6288.4048410316564</v>
      </c>
    </row>
    <row r="615" spans="2:4" x14ac:dyDescent="0.25">
      <c r="B615">
        <f>Feuille1!A635</f>
        <v>279.5</v>
      </c>
      <c r="C615">
        <f>Feuille1!B635</f>
        <v>9805.2714803105482</v>
      </c>
      <c r="D615">
        <f>Feuille1!C635</f>
        <v>-2658.1988810636626</v>
      </c>
    </row>
    <row r="616" spans="2:4" x14ac:dyDescent="0.25">
      <c r="B616">
        <f>Feuille1!A636</f>
        <v>280</v>
      </c>
      <c r="C616">
        <f>Feuille1!B636</f>
        <v>2643.8846157706025</v>
      </c>
      <c r="D616">
        <f>Feuille1!C636</f>
        <v>-10956.237273785113</v>
      </c>
    </row>
    <row r="617" spans="2:4" x14ac:dyDescent="0.25">
      <c r="B617">
        <f>Feuille1!A637</f>
        <v>280.5</v>
      </c>
      <c r="C617">
        <f>Feuille1!B637</f>
        <v>-6264.3627843426784</v>
      </c>
      <c r="D617">
        <f>Feuille1!C637</f>
        <v>-19256.955196468167</v>
      </c>
    </row>
    <row r="618" spans="2:4" x14ac:dyDescent="0.25">
      <c r="B618">
        <f>Feuille1!A638</f>
        <v>281</v>
      </c>
      <c r="C618">
        <f>Feuille1!B638</f>
        <v>-15278.247721579652</v>
      </c>
      <c r="D618">
        <f>Feuille1!C638</f>
        <v>-29416.762240589273</v>
      </c>
    </row>
    <row r="619" spans="2:4" x14ac:dyDescent="0.25">
      <c r="B619">
        <f>Feuille1!A639</f>
        <v>281.5</v>
      </c>
      <c r="C619">
        <f>Feuille1!B639</f>
        <v>-20745.935418815112</v>
      </c>
      <c r="D619">
        <f>Feuille1!C639</f>
        <v>-38499.358334546836</v>
      </c>
    </row>
    <row r="620" spans="2:4" x14ac:dyDescent="0.25">
      <c r="B620">
        <f>Feuille1!A640</f>
        <v>282</v>
      </c>
      <c r="C620">
        <f>Feuille1!B640</f>
        <v>-24269.769605149697</v>
      </c>
      <c r="D620">
        <f>Feuille1!C640</f>
        <v>-45587.242250807329</v>
      </c>
    </row>
    <row r="621" spans="2:4" x14ac:dyDescent="0.25">
      <c r="B621">
        <f>Feuille1!A641</f>
        <v>282.5</v>
      </c>
      <c r="C621">
        <f>Feuille1!B641</f>
        <v>-26673.674740453986</v>
      </c>
      <c r="D621">
        <f>Feuille1!C641</f>
        <v>-51044.891873871973</v>
      </c>
    </row>
    <row r="622" spans="2:4" x14ac:dyDescent="0.25">
      <c r="B622">
        <f>Feuille1!A642</f>
        <v>283</v>
      </c>
      <c r="C622">
        <f>Feuille1!B642</f>
        <v>-28300.918301225367</v>
      </c>
      <c r="D622">
        <f>Feuille1!C642</f>
        <v>-55154.727579002749</v>
      </c>
    </row>
    <row r="623" spans="2:4" x14ac:dyDescent="0.25">
      <c r="B623">
        <f>Feuille1!A643</f>
        <v>283.5</v>
      </c>
      <c r="C623">
        <f>Feuille1!B643</f>
        <v>-29318.404855941899</v>
      </c>
      <c r="D623">
        <f>Feuille1!C643</f>
        <v>-58091.7549038609</v>
      </c>
    </row>
    <row r="624" spans="2:4" x14ac:dyDescent="0.25">
      <c r="B624">
        <f>Feuille1!A644</f>
        <v>284</v>
      </c>
      <c r="C624">
        <f>Feuille1!B644</f>
        <v>-29815.317540534917</v>
      </c>
      <c r="D624">
        <f>Feuille1!C644</f>
        <v>-59960.718670593917</v>
      </c>
    </row>
    <row r="625" spans="2:4" x14ac:dyDescent="0.25">
      <c r="B625">
        <f>Feuille1!A645</f>
        <v>284.5</v>
      </c>
      <c r="C625">
        <f>Feuille1!B645</f>
        <v>-29839.310347877825</v>
      </c>
      <c r="D625">
        <f>Feuille1!C645</f>
        <v>-60818.594077731919</v>
      </c>
    </row>
    <row r="626" spans="2:4" x14ac:dyDescent="0.25">
      <c r="B626">
        <f>Feuille1!A646</f>
        <v>285</v>
      </c>
      <c r="C626">
        <f>Feuille1!B646</f>
        <v>-29411.062988557886</v>
      </c>
      <c r="D626">
        <f>Feuille1!C646</f>
        <v>-60685.531789552471</v>
      </c>
    </row>
    <row r="627" spans="2:4" x14ac:dyDescent="0.25">
      <c r="B627">
        <f>Feuille1!A647</f>
        <v>285.5</v>
      </c>
      <c r="C627">
        <f>Feuille1!B647</f>
        <v>-28529.306468284823</v>
      </c>
      <c r="D627">
        <f>Feuille1!C647</f>
        <v>-59548.271144053528</v>
      </c>
    </row>
    <row r="628" spans="2:4" x14ac:dyDescent="0.25">
      <c r="B628">
        <f>Feuille1!A648</f>
        <v>286</v>
      </c>
      <c r="C628">
        <f>Feuille1!B648</f>
        <v>-27169.629649573726</v>
      </c>
      <c r="D628">
        <f>Feuille1!C648</f>
        <v>-57357.209399975203</v>
      </c>
    </row>
    <row r="629" spans="2:4" x14ac:dyDescent="0.25">
      <c r="B629">
        <f>Feuille1!A649</f>
        <v>286.5</v>
      </c>
      <c r="C629">
        <f>Feuille1!B649</f>
        <v>-25275.924055256659</v>
      </c>
      <c r="D629">
        <f>Feuille1!C649</f>
        <v>-54015.491199252021</v>
      </c>
    </row>
    <row r="630" spans="2:4" x14ac:dyDescent="0.25">
      <c r="B630">
        <f>Feuille1!A650</f>
        <v>287</v>
      </c>
      <c r="C630">
        <f>Feuille1!B650</f>
        <v>-22736.991698811074</v>
      </c>
      <c r="D630">
        <f>Feuille1!C650</f>
        <v>-49353.958897248245</v>
      </c>
    </row>
    <row r="631" spans="2:4" x14ac:dyDescent="0.25">
      <c r="B631">
        <f>Feuille1!A651</f>
        <v>287.5</v>
      </c>
      <c r="C631">
        <f>Feuille1!B651</f>
        <v>-19321.172175615477</v>
      </c>
      <c r="D631">
        <f>Feuille1!C651</f>
        <v>-43075.520531237875</v>
      </c>
    </row>
    <row r="632" spans="2:4" x14ac:dyDescent="0.25">
      <c r="B632">
        <f>Feuille1!A652</f>
        <v>288</v>
      </c>
      <c r="C632">
        <f>Feuille1!B652</f>
        <v>-14455.54615844492</v>
      </c>
      <c r="D632">
        <f>Feuille1!C652</f>
        <v>-34639.14647649668</v>
      </c>
    </row>
    <row r="633" spans="2:4" x14ac:dyDescent="0.25">
      <c r="B633">
        <f>Feuille1!A653</f>
        <v>288.5</v>
      </c>
      <c r="C633">
        <f>Feuille1!B653</f>
        <v>-6443.5884970761454</v>
      </c>
      <c r="D633">
        <f>Feuille1!C653</f>
        <v>-23541.239800086718</v>
      </c>
    </row>
    <row r="634" spans="2:4" x14ac:dyDescent="0.25">
      <c r="B634">
        <f>Feuille1!A654</f>
        <v>289</v>
      </c>
      <c r="C634">
        <f>Feuille1!B654</f>
        <v>2045.3016368956019</v>
      </c>
      <c r="D634">
        <f>Feuille1!C654</f>
        <v>-14926.139848637857</v>
      </c>
    </row>
    <row r="635" spans="2:4" x14ac:dyDescent="0.25">
      <c r="B635">
        <f>Feuille1!A655</f>
        <v>289.5</v>
      </c>
      <c r="C635">
        <f>Feuille1!B655</f>
        <v>8661.0197185844136</v>
      </c>
      <c r="D635">
        <f>Feuille1!C655</f>
        <v>-6924.414521637319</v>
      </c>
    </row>
    <row r="636" spans="2:4" x14ac:dyDescent="0.25">
      <c r="B636">
        <f>Feuille1!A656</f>
        <v>290</v>
      </c>
      <c r="C636">
        <f>Feuille1!B656</f>
        <v>13400.707781232775</v>
      </c>
      <c r="D636">
        <f>Feuille1!C656</f>
        <v>1502.5729092175688</v>
      </c>
    </row>
    <row r="637" spans="2:4" x14ac:dyDescent="0.25">
      <c r="B637">
        <f>Feuille1!A657</f>
        <v>290.5</v>
      </c>
      <c r="C637">
        <f>Feuille1!B657</f>
        <v>16291.905577855958</v>
      </c>
      <c r="D637">
        <f>Feuille1!C657</f>
        <v>10712.223428432641</v>
      </c>
    </row>
    <row r="638" spans="2:4" x14ac:dyDescent="0.25">
      <c r="B638">
        <f>Feuille1!A658</f>
        <v>291</v>
      </c>
      <c r="C638">
        <f>Feuille1!B658</f>
        <v>18140.513043452833</v>
      </c>
      <c r="D638">
        <f>Feuille1!C658</f>
        <v>21310.927098817632</v>
      </c>
    </row>
    <row r="639" spans="2:4" x14ac:dyDescent="0.25">
      <c r="B639">
        <f>Feuille1!A659</f>
        <v>291.5</v>
      </c>
      <c r="C639">
        <f>Feuille1!B659</f>
        <v>18335.655618089069</v>
      </c>
      <c r="D639">
        <f>Feuille1!C659</f>
        <v>30090.858914693166</v>
      </c>
    </row>
    <row r="640" spans="2:4" x14ac:dyDescent="0.25">
      <c r="B640">
        <f>Feuille1!A660</f>
        <v>292</v>
      </c>
      <c r="C640">
        <f>Feuille1!B660</f>
        <v>16716.672668444331</v>
      </c>
      <c r="D640">
        <f>Feuille1!C660</f>
        <v>37692.040420915728</v>
      </c>
    </row>
    <row r="641" spans="2:4" x14ac:dyDescent="0.25">
      <c r="B641">
        <f>Feuille1!A661</f>
        <v>292.5</v>
      </c>
      <c r="C641">
        <f>Feuille1!B661</f>
        <v>13485.277448180572</v>
      </c>
      <c r="D641">
        <f>Feuille1!C661</f>
        <v>44108.437503502319</v>
      </c>
    </row>
    <row r="642" spans="2:4" x14ac:dyDescent="0.25">
      <c r="B642">
        <f>Feuille1!A662</f>
        <v>293</v>
      </c>
      <c r="C642">
        <f>Feuille1!B662</f>
        <v>8843.827095399527</v>
      </c>
      <c r="D642">
        <f>Feuille1!C662</f>
        <v>49210.424995312729</v>
      </c>
    </row>
    <row r="643" spans="2:4" x14ac:dyDescent="0.25">
      <c r="B643">
        <f>Feuille1!A663</f>
        <v>293.5</v>
      </c>
      <c r="C643">
        <f>Feuille1!B663</f>
        <v>2984.5399417630324</v>
      </c>
      <c r="D643">
        <f>Feuille1!C663</f>
        <v>52826.54503151276</v>
      </c>
    </row>
    <row r="644" spans="2:4" x14ac:dyDescent="0.25">
      <c r="B644">
        <f>Feuille1!A664</f>
        <v>294</v>
      </c>
      <c r="C644">
        <f>Feuille1!B664</f>
        <v>-3895.3402968908417</v>
      </c>
      <c r="D644">
        <f>Feuille1!C664</f>
        <v>54746.467588743057</v>
      </c>
    </row>
    <row r="645" spans="2:4" x14ac:dyDescent="0.25">
      <c r="B645">
        <f>Feuille1!A665</f>
        <v>294.5</v>
      </c>
      <c r="C645">
        <f>Feuille1!B665</f>
        <v>-11564.30770592268</v>
      </c>
      <c r="D645">
        <f>Feuille1!C665</f>
        <v>54707.3770979291</v>
      </c>
    </row>
    <row r="646" spans="2:4" x14ac:dyDescent="0.25">
      <c r="B646">
        <f>Feuille1!A666</f>
        <v>295</v>
      </c>
      <c r="C646">
        <f>Feuille1!B666</f>
        <v>-19703.901750130783</v>
      </c>
      <c r="D646">
        <f>Feuille1!C666</f>
        <v>52377.478730052542</v>
      </c>
    </row>
    <row r="647" spans="2:4" x14ac:dyDescent="0.25">
      <c r="B647">
        <f>Feuille1!A667</f>
        <v>295.5</v>
      </c>
      <c r="C647">
        <f>Feuille1!B667</f>
        <v>-27809.146809260259</v>
      </c>
      <c r="D647">
        <f>Feuille1!C667</f>
        <v>47355.376240533085</v>
      </c>
    </row>
    <row r="648" spans="2:4" x14ac:dyDescent="0.25">
      <c r="B648">
        <f>Feuille1!A668</f>
        <v>296</v>
      </c>
      <c r="C648">
        <f>Feuille1!B668</f>
        <v>-35007.989629040916</v>
      </c>
      <c r="D648">
        <f>Feuille1!C668</f>
        <v>39254.030929318171</v>
      </c>
    </row>
    <row r="649" spans="2:4" x14ac:dyDescent="0.25">
      <c r="B649">
        <f>Feuille1!A669</f>
        <v>296.5</v>
      </c>
      <c r="C649">
        <f>Feuille1!B669</f>
        <v>-39847.842353570319</v>
      </c>
      <c r="D649">
        <f>Feuille1!C669</f>
        <v>28080.930606759001</v>
      </c>
    </row>
    <row r="650" spans="2:4" x14ac:dyDescent="0.25">
      <c r="B650">
        <f>Feuille1!A670</f>
        <v>297</v>
      </c>
      <c r="C650">
        <f>Feuille1!B670</f>
        <v>-40620.99354210707</v>
      </c>
      <c r="D650">
        <f>Feuille1!C670</f>
        <v>15115.2490876103</v>
      </c>
    </row>
    <row r="651" spans="2:4" x14ac:dyDescent="0.25">
      <c r="B651">
        <f>Feuille1!A671</f>
        <v>297.5</v>
      </c>
      <c r="C651">
        <f>Feuille1!B671</f>
        <v>-37006.811908419935</v>
      </c>
      <c r="D651">
        <f>Feuille1!C671</f>
        <v>2898.0827800132492</v>
      </c>
    </row>
    <row r="652" spans="2:4" x14ac:dyDescent="0.25">
      <c r="B652">
        <f>Feuille1!A672</f>
        <v>298</v>
      </c>
      <c r="C652">
        <f>Feuille1!B672</f>
        <v>-30408.686519584084</v>
      </c>
      <c r="D652">
        <f>Feuille1!C672</f>
        <v>-7005.5132683312368</v>
      </c>
    </row>
    <row r="653" spans="2:4" x14ac:dyDescent="0.25">
      <c r="B653">
        <f>Feuille1!A673</f>
        <v>298.5</v>
      </c>
      <c r="C653">
        <f>Feuille1!B673</f>
        <v>-22124.50754123769</v>
      </c>
      <c r="D653">
        <f>Feuille1!C673</f>
        <v>-14665.984917439171</v>
      </c>
    </row>
    <row r="654" spans="2:4" x14ac:dyDescent="0.25">
      <c r="B654">
        <f>Feuille1!A674</f>
        <v>299</v>
      </c>
      <c r="C654">
        <f>Feuille1!B674</f>
        <v>-12523.456194351053</v>
      </c>
      <c r="D654">
        <f>Feuille1!C674</f>
        <v>-21055.129039106545</v>
      </c>
    </row>
    <row r="655" spans="2:4" x14ac:dyDescent="0.25">
      <c r="B655">
        <f>Feuille1!A675</f>
        <v>299.5</v>
      </c>
      <c r="C655">
        <f>Feuille1!B675</f>
        <v>-1024.1828082676448</v>
      </c>
      <c r="D655">
        <f>Feuille1!C675</f>
        <v>-28313.310783715329</v>
      </c>
    </row>
    <row r="656" spans="2:4" x14ac:dyDescent="0.25">
      <c r="B656">
        <f>Feuille1!A676</f>
        <v>300</v>
      </c>
      <c r="C656">
        <f>Feuille1!B676</f>
        <v>6852.7729927297323</v>
      </c>
      <c r="D656">
        <f>Feuille1!C676</f>
        <v>-35805.550613680847</v>
      </c>
    </row>
    <row r="657" spans="2:4" x14ac:dyDescent="0.25">
      <c r="B657">
        <f>Feuille1!A677</f>
        <v>300.5</v>
      </c>
      <c r="C657">
        <f>Feuille1!B677</f>
        <v>11640.870548269006</v>
      </c>
      <c r="D657">
        <f>Feuille1!C677</f>
        <v>-41151.051322035855</v>
      </c>
    </row>
    <row r="658" spans="2:4" x14ac:dyDescent="0.25">
      <c r="B658">
        <f>Feuille1!A678</f>
        <v>301</v>
      </c>
      <c r="C658">
        <f>Feuille1!B678</f>
        <v>14562.529803356827</v>
      </c>
      <c r="D658">
        <f>Feuille1!C678</f>
        <v>-44798.676878339327</v>
      </c>
    </row>
    <row r="659" spans="2:4" x14ac:dyDescent="0.25">
      <c r="B659">
        <f>Feuille1!A679</f>
        <v>301.5</v>
      </c>
      <c r="C659">
        <f>Feuille1!B679</f>
        <v>16095.255751839748</v>
      </c>
      <c r="D659">
        <f>Feuille1!C679</f>
        <v>-47032.971204537796</v>
      </c>
    </row>
    <row r="660" spans="2:4" x14ac:dyDescent="0.25">
      <c r="B660">
        <f>Feuille1!A680</f>
        <v>302</v>
      </c>
      <c r="C660">
        <f>Feuille1!B680</f>
        <v>16441.718114891821</v>
      </c>
      <c r="D660">
        <f>Feuille1!C680</f>
        <v>-47987.646956641518</v>
      </c>
    </row>
    <row r="661" spans="2:4" x14ac:dyDescent="0.25">
      <c r="B661">
        <f>Feuille1!A681</f>
        <v>302.5</v>
      </c>
      <c r="C661">
        <f>Feuille1!B681</f>
        <v>15669.300654938022</v>
      </c>
      <c r="D661">
        <f>Feuille1!C681</f>
        <v>-47697.108461029231</v>
      </c>
    </row>
    <row r="662" spans="2:4" x14ac:dyDescent="0.25">
      <c r="B662">
        <f>Feuille1!A682</f>
        <v>303</v>
      </c>
      <c r="C662">
        <f>Feuille1!B682</f>
        <v>13744.82193267368</v>
      </c>
      <c r="D662">
        <f>Feuille1!C682</f>
        <v>-46108.492337872813</v>
      </c>
    </row>
    <row r="663" spans="2:4" x14ac:dyDescent="0.25">
      <c r="B663">
        <f>Feuille1!A683</f>
        <v>303.5</v>
      </c>
      <c r="C663">
        <f>Feuille1!B683</f>
        <v>10513.449354921011</v>
      </c>
      <c r="D663">
        <f>Feuille1!C683</f>
        <v>-43057.549337533128</v>
      </c>
    </row>
    <row r="664" spans="2:4" x14ac:dyDescent="0.25">
      <c r="B664">
        <f>Feuille1!A684</f>
        <v>304</v>
      </c>
      <c r="C664">
        <f>Feuille1!B684</f>
        <v>5589.102274071256</v>
      </c>
      <c r="D664">
        <f>Feuille1!C684</f>
        <v>-38180.375815035273</v>
      </c>
    </row>
    <row r="665" spans="2:4" x14ac:dyDescent="0.25">
      <c r="B665">
        <f>Feuille1!A685</f>
        <v>304.5</v>
      </c>
      <c r="C665">
        <f>Feuille1!B685</f>
        <v>-2027.6976522951554</v>
      </c>
      <c r="D665">
        <f>Feuille1!C685</f>
        <v>-30686.045041016579</v>
      </c>
    </row>
    <row r="666" spans="2:4" x14ac:dyDescent="0.25">
      <c r="B666">
        <f>Feuille1!A686</f>
        <v>305</v>
      </c>
      <c r="C666">
        <f>Feuille1!B686</f>
        <v>-12711.414257934599</v>
      </c>
      <c r="D666">
        <f>Feuille1!C686</f>
        <v>-21488.508441993599</v>
      </c>
    </row>
    <row r="667" spans="2:4" x14ac:dyDescent="0.25">
      <c r="B667">
        <f>Feuille1!A687</f>
        <v>305.5</v>
      </c>
      <c r="C667">
        <f>Feuille1!B687</f>
        <v>-21360.893322157463</v>
      </c>
      <c r="D667">
        <f>Feuille1!C687</f>
        <v>-13134.673924568224</v>
      </c>
    </row>
    <row r="668" spans="2:4" x14ac:dyDescent="0.25">
      <c r="B668">
        <f>Feuille1!A688</f>
        <v>306</v>
      </c>
      <c r="C668">
        <f>Feuille1!B688</f>
        <v>-28839.170570039267</v>
      </c>
      <c r="D668">
        <f>Feuille1!C688</f>
        <v>-3383.6756787606218</v>
      </c>
    </row>
    <row r="669" spans="2:4" x14ac:dyDescent="0.25">
      <c r="B669">
        <f>Feuille1!A689</f>
        <v>306.5</v>
      </c>
      <c r="C669">
        <f>Feuille1!B689</f>
        <v>-34523.585788473407</v>
      </c>
      <c r="D669">
        <f>Feuille1!C689</f>
        <v>9173.7505141844067</v>
      </c>
    </row>
    <row r="670" spans="2:4" x14ac:dyDescent="0.25">
      <c r="B670">
        <f>Feuille1!A690</f>
        <v>307</v>
      </c>
      <c r="C670">
        <f>Feuille1!B690</f>
        <v>-35973.158948145065</v>
      </c>
      <c r="D670">
        <f>Feuille1!C690</f>
        <v>24349.990422761894</v>
      </c>
    </row>
    <row r="671" spans="2:4" x14ac:dyDescent="0.25">
      <c r="B671">
        <f>Feuille1!A691</f>
        <v>307.5</v>
      </c>
      <c r="C671">
        <f>Feuille1!B691</f>
        <v>-32191.937070760621</v>
      </c>
      <c r="D671">
        <f>Feuille1!C691</f>
        <v>37916.773590520985</v>
      </c>
    </row>
    <row r="672" spans="2:4" x14ac:dyDescent="0.25">
      <c r="B672">
        <f>Feuille1!A692</f>
        <v>308</v>
      </c>
      <c r="C672">
        <f>Feuille1!B692</f>
        <v>-25949.972447010317</v>
      </c>
      <c r="D672">
        <f>Feuille1!C692</f>
        <v>47832.204358367533</v>
      </c>
    </row>
    <row r="673" spans="2:4" x14ac:dyDescent="0.25">
      <c r="B673">
        <f>Feuille1!A693</f>
        <v>308.5</v>
      </c>
      <c r="C673">
        <f>Feuille1!B693</f>
        <v>-19002.538291301727</v>
      </c>
      <c r="D673">
        <f>Feuille1!C693</f>
        <v>54617.87741408329</v>
      </c>
    </row>
    <row r="674" spans="2:4" x14ac:dyDescent="0.25">
      <c r="B674">
        <f>Feuille1!A694</f>
        <v>309</v>
      </c>
      <c r="C674">
        <f>Feuille1!B694</f>
        <v>-12068.551723837918</v>
      </c>
      <c r="D674">
        <f>Feuille1!C694</f>
        <v>58960.176206151256</v>
      </c>
    </row>
    <row r="675" spans="2:4" x14ac:dyDescent="0.25">
      <c r="B675">
        <f>Feuille1!A695</f>
        <v>309.5</v>
      </c>
      <c r="C675">
        <f>Feuille1!B695</f>
        <v>-5463.914555197448</v>
      </c>
      <c r="D675">
        <f>Feuille1!C695</f>
        <v>61344.163403593273</v>
      </c>
    </row>
    <row r="676" spans="2:4" x14ac:dyDescent="0.25">
      <c r="B676">
        <f>Feuille1!A696</f>
        <v>310</v>
      </c>
      <c r="C676">
        <f>Feuille1!B696</f>
        <v>646.68237983104314</v>
      </c>
      <c r="D676">
        <f>Feuille1!C696</f>
        <v>62094.168410724327</v>
      </c>
    </row>
    <row r="677" spans="2:4" x14ac:dyDescent="0.25">
      <c r="B677">
        <f>Feuille1!A697</f>
        <v>310.5</v>
      </c>
      <c r="C677">
        <f>Feuille1!B697</f>
        <v>6157.0595057383471</v>
      </c>
      <c r="D677">
        <f>Feuille1!C697</f>
        <v>61430.28258227287</v>
      </c>
    </row>
    <row r="678" spans="2:4" x14ac:dyDescent="0.25">
      <c r="B678">
        <f>Feuille1!A698</f>
        <v>311</v>
      </c>
      <c r="C678">
        <f>Feuille1!B698</f>
        <v>10981.305713402313</v>
      </c>
      <c r="D678">
        <f>Feuille1!C698</f>
        <v>59505.076435966752</v>
      </c>
    </row>
    <row r="679" spans="2:4" x14ac:dyDescent="0.25">
      <c r="B679">
        <f>Feuille1!A699</f>
        <v>311.5</v>
      </c>
      <c r="C679">
        <f>Feuille1!B699</f>
        <v>15034.91260025962</v>
      </c>
      <c r="D679">
        <f>Feuille1!C699</f>
        <v>56425.725644990787</v>
      </c>
    </row>
    <row r="680" spans="2:4" x14ac:dyDescent="0.25">
      <c r="B680">
        <f>Feuille1!A700</f>
        <v>312</v>
      </c>
      <c r="C680">
        <f>Feuille1!B700</f>
        <v>18222.701913683217</v>
      </c>
      <c r="D680">
        <f>Feuille1!C700</f>
        <v>52267.468688476212</v>
      </c>
    </row>
    <row r="681" spans="2:4" x14ac:dyDescent="0.25">
      <c r="B681">
        <f>Feuille1!A701</f>
        <v>312.5</v>
      </c>
      <c r="C681">
        <f>Feuille1!B701</f>
        <v>20428.163477137045</v>
      </c>
      <c r="D681">
        <f>Feuille1!C701</f>
        <v>47081.864862241331</v>
      </c>
    </row>
    <row r="682" spans="2:4" x14ac:dyDescent="0.25">
      <c r="B682">
        <f>Feuille1!A702</f>
        <v>313</v>
      </c>
      <c r="C682">
        <f>Feuille1!B702</f>
        <v>21501.081705147983</v>
      </c>
      <c r="D682">
        <f>Feuille1!C702</f>
        <v>40901.077955854547</v>
      </c>
    </row>
    <row r="683" spans="2:4" x14ac:dyDescent="0.25">
      <c r="B683">
        <f>Feuille1!A703</f>
        <v>313.5</v>
      </c>
      <c r="C683">
        <f>Feuille1!B703</f>
        <v>21241.05449156625</v>
      </c>
      <c r="D683">
        <f>Feuille1!C703</f>
        <v>33735.12013966724</v>
      </c>
    </row>
    <row r="684" spans="2:4" x14ac:dyDescent="0.25">
      <c r="B684">
        <f>Feuille1!A704</f>
        <v>314</v>
      </c>
      <c r="C684">
        <f>Feuille1!B704</f>
        <v>19378.455041699486</v>
      </c>
      <c r="D684">
        <f>Feuille1!C704</f>
        <v>25538.03686605117</v>
      </c>
    </row>
    <row r="685" spans="2:4" x14ac:dyDescent="0.25">
      <c r="B685">
        <f>Feuille1!A705</f>
        <v>314.5</v>
      </c>
      <c r="C685">
        <f>Feuille1!B705</f>
        <v>15644.144566842138</v>
      </c>
      <c r="D685">
        <f>Feuille1!C705</f>
        <v>15970.05429117747</v>
      </c>
    </row>
    <row r="686" spans="2:4" x14ac:dyDescent="0.25">
      <c r="B686">
        <f>Feuille1!A706</f>
        <v>315</v>
      </c>
      <c r="C686">
        <f>Feuille1!B706</f>
        <v>11501.387765762673</v>
      </c>
      <c r="D686">
        <f>Feuille1!C706</f>
        <v>5867.5325152899086</v>
      </c>
    </row>
    <row r="687" spans="2:4" x14ac:dyDescent="0.25">
      <c r="B687">
        <f>Feuille1!A707</f>
        <v>315.5</v>
      </c>
      <c r="C687">
        <f>Feuille1!B707</f>
        <v>5473.9837941210826</v>
      </c>
      <c r="D687">
        <f>Feuille1!C707</f>
        <v>-3362.1764397161264</v>
      </c>
    </row>
    <row r="688" spans="2:4" x14ac:dyDescent="0.25">
      <c r="B688">
        <f>Feuille1!A708</f>
        <v>316</v>
      </c>
      <c r="C688">
        <f>Feuille1!B708</f>
        <v>-2491.4295656873792</v>
      </c>
      <c r="D688">
        <f>Feuille1!C708</f>
        <v>-11874.023243090507</v>
      </c>
    </row>
    <row r="689" spans="2:4" x14ac:dyDescent="0.25">
      <c r="B689">
        <f>Feuille1!A709</f>
        <v>316.5</v>
      </c>
      <c r="C689">
        <f>Feuille1!B709</f>
        <v>-11696.670492083409</v>
      </c>
      <c r="D689">
        <f>Feuille1!C709</f>
        <v>-20549.34482001478</v>
      </c>
    </row>
    <row r="690" spans="2:4" x14ac:dyDescent="0.25">
      <c r="B690">
        <f>Feuille1!A710</f>
        <v>317</v>
      </c>
      <c r="C690">
        <f>Feuille1!B710</f>
        <v>-19250.934608915562</v>
      </c>
      <c r="D690">
        <f>Feuille1!C710</f>
        <v>-30264.739962570427</v>
      </c>
    </row>
    <row r="691" spans="2:4" x14ac:dyDescent="0.25">
      <c r="B691">
        <f>Feuille1!A711</f>
        <v>317.5</v>
      </c>
      <c r="C691">
        <f>Feuille1!B711</f>
        <v>-23972.631912693822</v>
      </c>
      <c r="D691">
        <f>Feuille1!C711</f>
        <v>-38669.884837341415</v>
      </c>
    </row>
    <row r="692" spans="2:4" x14ac:dyDescent="0.25">
      <c r="B692">
        <f>Feuille1!A712</f>
        <v>318</v>
      </c>
      <c r="C692">
        <f>Feuille1!B712</f>
        <v>-27009.429331148876</v>
      </c>
      <c r="D692">
        <f>Feuille1!C712</f>
        <v>-45392.994416660753</v>
      </c>
    </row>
    <row r="693" spans="2:4" x14ac:dyDescent="0.25">
      <c r="B693">
        <f>Feuille1!A713</f>
        <v>318.5</v>
      </c>
      <c r="C693">
        <f>Feuille1!B713</f>
        <v>-28972.755282708731</v>
      </c>
      <c r="D693">
        <f>Feuille1!C713</f>
        <v>-50660.855174640747</v>
      </c>
    </row>
    <row r="694" spans="2:4" x14ac:dyDescent="0.25">
      <c r="B694">
        <f>Feuille1!A714</f>
        <v>319</v>
      </c>
      <c r="C694">
        <f>Feuille1!B714</f>
        <v>-30155.61289433658</v>
      </c>
      <c r="D694">
        <f>Feuille1!C714</f>
        <v>-54673.857570914668</v>
      </c>
    </row>
    <row r="695" spans="2:4" x14ac:dyDescent="0.25">
      <c r="B695">
        <f>Feuille1!A715</f>
        <v>319.5</v>
      </c>
      <c r="C695">
        <f>Feuille1!B715</f>
        <v>-30712.955742426679</v>
      </c>
      <c r="D695">
        <f>Feuille1!C715</f>
        <v>-57564.985355013006</v>
      </c>
    </row>
    <row r="696" spans="2:4" x14ac:dyDescent="0.25">
      <c r="B696">
        <f>Feuille1!A716</f>
        <v>320</v>
      </c>
      <c r="C696">
        <f>Feuille1!B716</f>
        <v>-30732.123892063108</v>
      </c>
      <c r="D696">
        <f>Feuille1!C716</f>
        <v>-59414.876364303527</v>
      </c>
    </row>
    <row r="697" spans="2:4" x14ac:dyDescent="0.25">
      <c r="B697">
        <f>Feuille1!A717</f>
        <v>320.5</v>
      </c>
      <c r="C697">
        <f>Feuille1!B717</f>
        <v>-30261.788703875642</v>
      </c>
      <c r="D697">
        <f>Feuille1!C717</f>
        <v>-60264.35380898993</v>
      </c>
    </row>
    <row r="698" spans="2:4" x14ac:dyDescent="0.25">
      <c r="B698">
        <f>Feuille1!A718</f>
        <v>321</v>
      </c>
      <c r="C698">
        <f>Feuille1!B718</f>
        <v>-29324.311182052268</v>
      </c>
      <c r="D698">
        <f>Feuille1!C718</f>
        <v>-60120.53079695296</v>
      </c>
    </row>
    <row r="699" spans="2:4" x14ac:dyDescent="0.25">
      <c r="B699">
        <f>Feuille1!A719</f>
        <v>321.5</v>
      </c>
      <c r="C699">
        <f>Feuille1!B719</f>
        <v>-27919.896282539419</v>
      </c>
      <c r="D699">
        <f>Feuille1!C719</f>
        <v>-58957.128086565514</v>
      </c>
    </row>
    <row r="700" spans="2:4" x14ac:dyDescent="0.25">
      <c r="B700">
        <f>Feuille1!A720</f>
        <v>322</v>
      </c>
      <c r="C700">
        <f>Feuille1!B720</f>
        <v>-26024.665010353223</v>
      </c>
      <c r="D700">
        <f>Feuille1!C720</f>
        <v>-56708.39560023501</v>
      </c>
    </row>
    <row r="701" spans="2:4" x14ac:dyDescent="0.25">
      <c r="B701">
        <f>Feuille1!A721</f>
        <v>322.5</v>
      </c>
      <c r="C701">
        <f>Feuille1!B721</f>
        <v>-23580.556125228166</v>
      </c>
      <c r="D701">
        <f>Feuille1!C721</f>
        <v>-53253.017129928194</v>
      </c>
    </row>
    <row r="702" spans="2:4" x14ac:dyDescent="0.25">
      <c r="B702">
        <f>Feuille1!A722</f>
        <v>323</v>
      </c>
      <c r="C702">
        <f>Feuille1!B722</f>
        <v>-20467.090167019287</v>
      </c>
      <c r="D702">
        <f>Feuille1!C722</f>
        <v>-48377.184935767786</v>
      </c>
    </row>
    <row r="703" spans="2:4" x14ac:dyDescent="0.25">
      <c r="B703">
        <f>Feuille1!A723</f>
        <v>323.5</v>
      </c>
      <c r="C703">
        <f>Feuille1!B723</f>
        <v>-16416.832095868747</v>
      </c>
      <c r="D703">
        <f>Feuille1!C723</f>
        <v>-41684.923876331959</v>
      </c>
    </row>
    <row r="704" spans="2:4" x14ac:dyDescent="0.25">
      <c r="B704">
        <f>Feuille1!A724</f>
        <v>324</v>
      </c>
      <c r="C704">
        <f>Feuille1!B724</f>
        <v>-10699.061985984474</v>
      </c>
      <c r="D704">
        <f>Feuille1!C724</f>
        <v>-32379.23219517426</v>
      </c>
    </row>
    <row r="705" spans="2:4" x14ac:dyDescent="0.25">
      <c r="B705">
        <f>Feuille1!A725</f>
        <v>324.5</v>
      </c>
      <c r="C705">
        <f>Feuille1!B725</f>
        <v>-1478.080530593008</v>
      </c>
      <c r="D705">
        <f>Feuille1!C725</f>
        <v>-20408.617810616292</v>
      </c>
    </row>
    <row r="706" spans="2:4" x14ac:dyDescent="0.25">
      <c r="B706">
        <f>Feuille1!A726</f>
        <v>325</v>
      </c>
      <c r="C706">
        <f>Feuille1!B726</f>
        <v>5885.5504991613634</v>
      </c>
      <c r="D706">
        <f>Feuille1!C726</f>
        <v>-10428.10209546206</v>
      </c>
    </row>
    <row r="707" spans="2:4" x14ac:dyDescent="0.25">
      <c r="B707">
        <f>Feuille1!A727</f>
        <v>325.5</v>
      </c>
      <c r="C707">
        <f>Feuille1!B727</f>
        <v>11371.071085170377</v>
      </c>
      <c r="D707">
        <f>Feuille1!C727</f>
        <v>-323.20370832059302</v>
      </c>
    </row>
    <row r="708" spans="2:4" x14ac:dyDescent="0.25">
      <c r="B708">
        <f>Feuille1!A728</f>
        <v>326</v>
      </c>
      <c r="C708">
        <f>Feuille1!B728</f>
        <v>14955.897294583418</v>
      </c>
      <c r="D708">
        <f>Feuille1!C728</f>
        <v>10505.011495159346</v>
      </c>
    </row>
    <row r="709" spans="2:4" x14ac:dyDescent="0.25">
      <c r="B709">
        <f>Feuille1!A729</f>
        <v>326.5</v>
      </c>
      <c r="C709">
        <f>Feuille1!B729</f>
        <v>17391.249066932021</v>
      </c>
      <c r="D709">
        <f>Feuille1!C729</f>
        <v>22452.175314600183</v>
      </c>
    </row>
    <row r="710" spans="2:4" x14ac:dyDescent="0.25">
      <c r="B710">
        <f>Feuille1!A730</f>
        <v>327</v>
      </c>
      <c r="C710">
        <f>Feuille1!B730</f>
        <v>18114.411741423446</v>
      </c>
      <c r="D710">
        <f>Feuille1!C730</f>
        <v>32789.496371246321</v>
      </c>
    </row>
    <row r="711" spans="2:4" x14ac:dyDescent="0.25">
      <c r="B711">
        <f>Feuille1!A731</f>
        <v>327.5</v>
      </c>
      <c r="C711">
        <f>Feuille1!B731</f>
        <v>17092.961583249507</v>
      </c>
      <c r="D711">
        <f>Feuille1!C731</f>
        <v>41978.995178362944</v>
      </c>
    </row>
    <row r="712" spans="2:4" x14ac:dyDescent="0.25">
      <c r="B712">
        <f>Feuille1!A732</f>
        <v>328</v>
      </c>
      <c r="C712">
        <f>Feuille1!B732</f>
        <v>14658.798129551717</v>
      </c>
      <c r="D712">
        <f>Feuille1!C732</f>
        <v>50011.821588832805</v>
      </c>
    </row>
    <row r="713" spans="2:4" x14ac:dyDescent="0.25">
      <c r="B713">
        <f>Feuille1!A733</f>
        <v>328.5</v>
      </c>
      <c r="C713">
        <f>Feuille1!B733</f>
        <v>11112.62084218499</v>
      </c>
      <c r="D713">
        <f>Feuille1!C733</f>
        <v>56852.969987343291</v>
      </c>
    </row>
    <row r="714" spans="2:4" x14ac:dyDescent="0.25">
      <c r="B714">
        <f>Feuille1!A734</f>
        <v>329</v>
      </c>
      <c r="C714">
        <f>Feuille1!B734</f>
        <v>6703.6088362788141</v>
      </c>
      <c r="D714">
        <f>Feuille1!C734</f>
        <v>62485.30568020144</v>
      </c>
    </row>
    <row r="715" spans="2:4" x14ac:dyDescent="0.25">
      <c r="B715">
        <f>Feuille1!A735</f>
        <v>329.5</v>
      </c>
      <c r="C715">
        <f>Feuille1!B735</f>
        <v>1637.0985434873189</v>
      </c>
      <c r="D715">
        <f>Feuille1!C735</f>
        <v>66903.921956608508</v>
      </c>
    </row>
    <row r="716" spans="2:4" x14ac:dyDescent="0.25">
      <c r="B716">
        <f>Feuille1!A736</f>
        <v>330</v>
      </c>
      <c r="C716">
        <f>Feuille1!B736</f>
        <v>-3914.0638418232056</v>
      </c>
      <c r="D716">
        <f>Feuille1!C736</f>
        <v>70108.061778855365</v>
      </c>
    </row>
    <row r="717" spans="2:4" x14ac:dyDescent="0.25">
      <c r="B717">
        <f>Feuille1!A737</f>
        <v>330.5</v>
      </c>
      <c r="C717">
        <f>Feuille1!B737</f>
        <v>-9798.9853042758095</v>
      </c>
      <c r="D717">
        <f>Feuille1!C737</f>
        <v>72095.633710594251</v>
      </c>
    </row>
    <row r="718" spans="2:4" x14ac:dyDescent="0.25">
      <c r="B718">
        <f>Feuille1!A738</f>
        <v>331</v>
      </c>
      <c r="C718">
        <f>Feuille1!B738</f>
        <v>-15879.574129868974</v>
      </c>
      <c r="D718">
        <f>Feuille1!C738</f>
        <v>72859.91719991008</v>
      </c>
    </row>
    <row r="719" spans="2:4" x14ac:dyDescent="0.25">
      <c r="B719">
        <f>Feuille1!A739</f>
        <v>331.5</v>
      </c>
      <c r="C719">
        <f>Feuille1!B739</f>
        <v>-22022.294638106494</v>
      </c>
      <c r="D719">
        <f>Feuille1!C739</f>
        <v>72387.682294788363</v>
      </c>
    </row>
    <row r="720" spans="2:4" x14ac:dyDescent="0.25">
      <c r="B720">
        <f>Feuille1!A740</f>
        <v>332</v>
      </c>
      <c r="C720">
        <f>Feuille1!B740</f>
        <v>-28090.04020547403</v>
      </c>
      <c r="D720">
        <f>Feuille1!C740</f>
        <v>70658.285857491792</v>
      </c>
    </row>
    <row r="721" spans="2:4" x14ac:dyDescent="0.25">
      <c r="B721">
        <f>Feuille1!A741</f>
        <v>332.5</v>
      </c>
      <c r="C721">
        <f>Feuille1!B741</f>
        <v>-33933.165531533275</v>
      </c>
      <c r="D721">
        <f>Feuille1!C741</f>
        <v>67643.727151805491</v>
      </c>
    </row>
    <row r="722" spans="2:4" x14ac:dyDescent="0.25">
      <c r="B722">
        <f>Feuille1!A742</f>
        <v>333</v>
      </c>
      <c r="C722">
        <f>Feuille1!B742</f>
        <v>-39378.487851311256</v>
      </c>
      <c r="D722">
        <f>Feuille1!C742</f>
        <v>63310.193900466707</v>
      </c>
    </row>
    <row r="723" spans="2:4" x14ac:dyDescent="0.25">
      <c r="B723">
        <f>Feuille1!A743</f>
        <v>333.5</v>
      </c>
      <c r="C723">
        <f>Feuille1!B743</f>
        <v>-44214.730842454475</v>
      </c>
      <c r="D723">
        <f>Feuille1!C743</f>
        <v>57622.581765329807</v>
      </c>
    </row>
    <row r="724" spans="2:4" x14ac:dyDescent="0.25">
      <c r="B724">
        <f>Feuille1!A744</f>
        <v>334</v>
      </c>
      <c r="C724">
        <f>Feuille1!B744</f>
        <v>-48172.619768840217</v>
      </c>
      <c r="D724">
        <f>Feuille1!C744</f>
        <v>50555.410896362482</v>
      </c>
    </row>
    <row r="725" spans="2:4" x14ac:dyDescent="0.25">
      <c r="B725">
        <f>Feuille1!A745</f>
        <v>334.5</v>
      </c>
      <c r="C725">
        <f>Feuille1!B745</f>
        <v>-50898.577388424659</v>
      </c>
      <c r="D725">
        <f>Feuille1!C745</f>
        <v>42117.647313910209</v>
      </c>
    </row>
    <row r="726" spans="2:4" x14ac:dyDescent="0.25">
      <c r="B726">
        <f>Feuille1!A746</f>
        <v>335</v>
      </c>
      <c r="C726">
        <f>Feuille1!B746</f>
        <v>-51926.329920991338</v>
      </c>
      <c r="D726">
        <f>Feuille1!C746</f>
        <v>32406.821371544695</v>
      </c>
    </row>
    <row r="727" spans="2:4" x14ac:dyDescent="0.25">
      <c r="B727">
        <f>Feuille1!A747</f>
        <v>335.5</v>
      </c>
      <c r="C727">
        <f>Feuille1!B747</f>
        <v>-50672.085090633373</v>
      </c>
      <c r="D727">
        <f>Feuille1!C747</f>
        <v>21717.750556287945</v>
      </c>
    </row>
    <row r="728" spans="2:4" x14ac:dyDescent="0.25">
      <c r="B728">
        <f>Feuille1!A748</f>
        <v>336</v>
      </c>
      <c r="C728">
        <f>Feuille1!B748</f>
        <v>-46537.876222619176</v>
      </c>
      <c r="D728">
        <f>Feuille1!C748</f>
        <v>10714.475241552371</v>
      </c>
    </row>
    <row r="729" spans="2:4" x14ac:dyDescent="0.25">
      <c r="B729">
        <f>Feuille1!A749</f>
        <v>336.5</v>
      </c>
      <c r="C729">
        <f>Feuille1!B749</f>
        <v>-39264.500712818073</v>
      </c>
      <c r="D729">
        <f>Feuille1!C749</f>
        <v>519.81316743131799</v>
      </c>
    </row>
    <row r="730" spans="2:4" x14ac:dyDescent="0.25">
      <c r="B730">
        <f>Feuille1!A750</f>
        <v>337</v>
      </c>
      <c r="C730">
        <f>Feuille1!B750</f>
        <v>-29376.516870448959</v>
      </c>
      <c r="D730">
        <f>Feuille1!C750</f>
        <v>-7715.7719052732245</v>
      </c>
    </row>
    <row r="731" spans="2:4" x14ac:dyDescent="0.25">
      <c r="B731">
        <f>Feuille1!A751</f>
        <v>337.5</v>
      </c>
      <c r="C731">
        <f>Feuille1!B751</f>
        <v>-17895.269201036306</v>
      </c>
      <c r="D731">
        <f>Feuille1!C751</f>
        <v>-13745.207523926974</v>
      </c>
    </row>
    <row r="732" spans="2:4" x14ac:dyDescent="0.25">
      <c r="B732">
        <f>Feuille1!A752</f>
        <v>338</v>
      </c>
      <c r="C732">
        <f>Feuille1!B752</f>
        <v>-5410.5119954615457</v>
      </c>
      <c r="D732">
        <f>Feuille1!C752</f>
        <v>-18776.618113518787</v>
      </c>
    </row>
    <row r="733" spans="2:4" x14ac:dyDescent="0.25">
      <c r="B733">
        <f>Feuille1!A753</f>
        <v>338.5</v>
      </c>
      <c r="C733">
        <f>Feuille1!B753</f>
        <v>6641.0443022417394</v>
      </c>
      <c r="D733">
        <f>Feuille1!C753</f>
        <v>-25604.911055990506</v>
      </c>
    </row>
    <row r="734" spans="2:4" x14ac:dyDescent="0.25">
      <c r="B734">
        <f>Feuille1!A754</f>
        <v>339</v>
      </c>
      <c r="C734">
        <f>Feuille1!B754</f>
        <v>15148.961841137283</v>
      </c>
      <c r="D734">
        <f>Feuille1!C754</f>
        <v>-32524.111018294578</v>
      </c>
    </row>
    <row r="735" spans="2:4" x14ac:dyDescent="0.25">
      <c r="B735">
        <f>Feuille1!A755</f>
        <v>339.5</v>
      </c>
      <c r="C735">
        <f>Feuille1!B755</f>
        <v>21389.9285924135</v>
      </c>
      <c r="D735">
        <f>Feuille1!C755</f>
        <v>-38481.904633093734</v>
      </c>
    </row>
    <row r="736" spans="2:4" x14ac:dyDescent="0.25">
      <c r="B736">
        <f>Feuille1!A756</f>
        <v>340</v>
      </c>
      <c r="C736">
        <f>Feuille1!B756</f>
        <v>26176.800360180554</v>
      </c>
      <c r="D736">
        <f>Feuille1!C756</f>
        <v>-43520.492540021412</v>
      </c>
    </row>
    <row r="737" spans="2:4" x14ac:dyDescent="0.25">
      <c r="B737">
        <f>Feuille1!A757</f>
        <v>340.5</v>
      </c>
      <c r="C737">
        <f>Feuille1!B757</f>
        <v>29905.890842280267</v>
      </c>
      <c r="D737">
        <f>Feuille1!C757</f>
        <v>-47764.068692344801</v>
      </c>
    </row>
    <row r="738" spans="2:4" x14ac:dyDescent="0.25">
      <c r="B738">
        <f>Feuille1!A758</f>
        <v>341</v>
      </c>
      <c r="C738">
        <f>Feuille1!B758</f>
        <v>32794.197466922757</v>
      </c>
      <c r="D738">
        <f>Feuille1!C758</f>
        <v>-51310.879987411368</v>
      </c>
    </row>
    <row r="739" spans="2:4" x14ac:dyDescent="0.25">
      <c r="B739">
        <f>Feuille1!A759</f>
        <v>341.5</v>
      </c>
      <c r="C739">
        <f>Feuille1!B759</f>
        <v>34972.688967156828</v>
      </c>
      <c r="D739">
        <f>Feuille1!C759</f>
        <v>-54231.044494523805</v>
      </c>
    </row>
    <row r="740" spans="2:4" x14ac:dyDescent="0.25">
      <c r="B740">
        <f>Feuille1!A760</f>
        <v>342</v>
      </c>
      <c r="C740">
        <f>Feuille1!B760</f>
        <v>36525.381497499002</v>
      </c>
      <c r="D740">
        <f>Feuille1!C760</f>
        <v>-56573.4416448544</v>
      </c>
    </row>
    <row r="741" spans="2:4" x14ac:dyDescent="0.25">
      <c r="B741">
        <f>Feuille1!A761</f>
        <v>342.5</v>
      </c>
      <c r="C741">
        <f>Feuille1!B761</f>
        <v>37507.701425186853</v>
      </c>
      <c r="D741">
        <f>Feuille1!C761</f>
        <v>-58371.201280821515</v>
      </c>
    </row>
    <row r="742" spans="2:4" x14ac:dyDescent="0.25">
      <c r="B742">
        <f>Feuille1!A762</f>
        <v>343</v>
      </c>
      <c r="C742">
        <f>Feuille1!B762</f>
        <v>37955.901880176425</v>
      </c>
      <c r="D742">
        <f>Feuille1!C762</f>
        <v>-59645.249124825808</v>
      </c>
    </row>
    <row r="743" spans="2:4" x14ac:dyDescent="0.25">
      <c r="B743">
        <f>Feuille1!A763</f>
        <v>343.5</v>
      </c>
      <c r="C743">
        <f>Feuille1!B763</f>
        <v>37892.113860275284</v>
      </c>
      <c r="D743">
        <f>Feuille1!C763</f>
        <v>-60406.393095669744</v>
      </c>
    </row>
    <row r="744" spans="2:4" x14ac:dyDescent="0.25">
      <c r="B744">
        <f>Feuille1!A764</f>
        <v>344</v>
      </c>
      <c r="C744">
        <f>Feuille1!B764</f>
        <v>37326.980774338575</v>
      </c>
      <c r="D744">
        <f>Feuille1!C764</f>
        <v>-60656.335714554749</v>
      </c>
    </row>
    <row r="745" spans="2:4" x14ac:dyDescent="0.25">
      <c r="B745">
        <f>Feuille1!A765</f>
        <v>344.5</v>
      </c>
      <c r="C745">
        <f>Feuille1!B765</f>
        <v>36260.723475395527</v>
      </c>
      <c r="D745">
        <f>Feuille1!C765</f>
        <v>-60387.799655466522</v>
      </c>
    </row>
    <row r="746" spans="2:4" x14ac:dyDescent="0.25">
      <c r="B746">
        <f>Feuille1!A766</f>
        <v>345</v>
      </c>
      <c r="C746">
        <f>Feuille1!B766</f>
        <v>34682.925290318948</v>
      </c>
      <c r="D746">
        <f>Feuille1!C766</f>
        <v>-59583.765931376511</v>
      </c>
    </row>
    <row r="747" spans="2:4" x14ac:dyDescent="0.25">
      <c r="B747">
        <f>Feuille1!A767</f>
        <v>345.5</v>
      </c>
      <c r="C747">
        <f>Feuille1!B767</f>
        <v>32570.925627752637</v>
      </c>
      <c r="D747">
        <f>Feuille1!C767</f>
        <v>-58215.61051629782</v>
      </c>
    </row>
    <row r="748" spans="2:4" x14ac:dyDescent="0.25">
      <c r="B748">
        <f>Feuille1!A768</f>
        <v>346</v>
      </c>
      <c r="C748">
        <f>Feuille1!B768</f>
        <v>29886.223038898046</v>
      </c>
      <c r="D748">
        <f>Feuille1!C768</f>
        <v>-56239.592882405137</v>
      </c>
    </row>
    <row r="749" spans="2:4" x14ac:dyDescent="0.25">
      <c r="B749">
        <f>Feuille1!A769</f>
        <v>346.5</v>
      </c>
      <c r="C749">
        <f>Feuille1!B769</f>
        <v>26567.364323764385</v>
      </c>
      <c r="D749">
        <f>Feuille1!C769</f>
        <v>-53590.494425985824</v>
      </c>
    </row>
    <row r="750" spans="2:4" x14ac:dyDescent="0.25">
      <c r="B750">
        <f>Feuille1!A770</f>
        <v>347</v>
      </c>
      <c r="C750">
        <f>Feuille1!B770</f>
        <v>22515.526840330134</v>
      </c>
      <c r="D750">
        <f>Feuille1!C770</f>
        <v>-50169.68726239496</v>
      </c>
    </row>
    <row r="751" spans="2:4" x14ac:dyDescent="0.25">
      <c r="B751">
        <f>Feuille1!A771</f>
        <v>347.5</v>
      </c>
      <c r="C751">
        <f>Feuille1!B771</f>
        <v>17562.276918522999</v>
      </c>
      <c r="D751">
        <f>Feuille1!C771</f>
        <v>-45820.89843043693</v>
      </c>
    </row>
    <row r="752" spans="2:4" x14ac:dyDescent="0.25">
      <c r="B752">
        <f>Feuille1!A772</f>
        <v>348</v>
      </c>
      <c r="C752">
        <f>Feuille1!B772</f>
        <v>11384.616450801135</v>
      </c>
      <c r="D752">
        <f>Feuille1!C772</f>
        <v>-40274.974415833989</v>
      </c>
    </row>
    <row r="753" spans="2:4" x14ac:dyDescent="0.25">
      <c r="B753">
        <f>Feuille1!A773</f>
        <v>348.5</v>
      </c>
      <c r="C753">
        <f>Feuille1!B773</f>
        <v>3221.7380587779198</v>
      </c>
      <c r="D753">
        <f>Feuille1!C773</f>
        <v>-33013.595553744701</v>
      </c>
    </row>
    <row r="754" spans="2:4" x14ac:dyDescent="0.25">
      <c r="B754">
        <f>Feuille1!A774</f>
        <v>349</v>
      </c>
      <c r="C754">
        <f>Feuille1!B774</f>
        <v>-8974.89089914344</v>
      </c>
      <c r="D754">
        <f>Feuille1!C774</f>
        <v>-23484.661532486822</v>
      </c>
    </row>
    <row r="755" spans="2:4" x14ac:dyDescent="0.25">
      <c r="B755">
        <f>Feuille1!A775</f>
        <v>349.5</v>
      </c>
      <c r="C755">
        <f>Feuille1!B775</f>
        <v>-19415.368118549373</v>
      </c>
      <c r="D755">
        <f>Feuille1!C775</f>
        <v>-15886.564321064889</v>
      </c>
    </row>
    <row r="756" spans="2:4" x14ac:dyDescent="0.25">
      <c r="B756">
        <f>Feuille1!A776</f>
        <v>350</v>
      </c>
      <c r="C756">
        <f>Feuille1!B776</f>
        <v>-28528.096527598431</v>
      </c>
      <c r="D756">
        <f>Feuille1!C776</f>
        <v>-7396.6747127660001</v>
      </c>
    </row>
    <row r="757" spans="2:4" x14ac:dyDescent="0.25">
      <c r="B757">
        <f>Feuille1!A777</f>
        <v>350.5</v>
      </c>
      <c r="C757">
        <f>Feuille1!B777</f>
        <v>-36091.704417431734</v>
      </c>
      <c r="D757">
        <f>Feuille1!C777</f>
        <v>3369.281080198909</v>
      </c>
    </row>
    <row r="758" spans="2:4" x14ac:dyDescent="0.25">
      <c r="B758">
        <f>Feuille1!A778</f>
        <v>351</v>
      </c>
      <c r="C758">
        <f>Feuille1!B778</f>
        <v>-40585.199256735985</v>
      </c>
      <c r="D758">
        <f>Feuille1!C778</f>
        <v>16602.469729532972</v>
      </c>
    </row>
    <row r="759" spans="2:4" x14ac:dyDescent="0.25">
      <c r="B759">
        <f>Feuille1!A779</f>
        <v>351.5</v>
      </c>
      <c r="C759">
        <f>Feuille1!B779</f>
        <v>-40578.390142090306</v>
      </c>
      <c r="D759">
        <f>Feuille1!C779</f>
        <v>30310.55281814441</v>
      </c>
    </row>
    <row r="760" spans="2:4" x14ac:dyDescent="0.25">
      <c r="B760">
        <f>Feuille1!A780</f>
        <v>352</v>
      </c>
      <c r="C760">
        <f>Feuille1!B780</f>
        <v>-36926.705143736937</v>
      </c>
      <c r="D760">
        <f>Feuille1!C780</f>
        <v>42074.69392324322</v>
      </c>
    </row>
    <row r="761" spans="2:4" x14ac:dyDescent="0.25">
      <c r="B761">
        <f>Feuille1!A781</f>
        <v>352.5</v>
      </c>
      <c r="C761">
        <f>Feuille1!B781</f>
        <v>-31283.719791308045</v>
      </c>
      <c r="D761">
        <f>Feuille1!C781</f>
        <v>51202.798736583201</v>
      </c>
    </row>
    <row r="762" spans="2:4" x14ac:dyDescent="0.25">
      <c r="B762">
        <f>Feuille1!A782</f>
        <v>353</v>
      </c>
      <c r="C762">
        <f>Feuille1!B782</f>
        <v>-24744.49949480173</v>
      </c>
      <c r="D762">
        <f>Feuille1!C782</f>
        <v>57893.847971796495</v>
      </c>
    </row>
    <row r="763" spans="2:4" x14ac:dyDescent="0.25">
      <c r="B763">
        <f>Feuille1!A783</f>
        <v>353.5</v>
      </c>
      <c r="C763">
        <f>Feuille1!B783</f>
        <v>-17910.386097024926</v>
      </c>
      <c r="D763">
        <f>Feuille1!C783</f>
        <v>62498.973494134734</v>
      </c>
    </row>
    <row r="764" spans="2:4" x14ac:dyDescent="0.25">
      <c r="B764">
        <f>Feuille1!A784</f>
        <v>354</v>
      </c>
      <c r="C764">
        <f>Feuille1!B784</f>
        <v>-11118.490201730498</v>
      </c>
      <c r="D764">
        <f>Feuille1!C784</f>
        <v>65324.237929303112</v>
      </c>
    </row>
    <row r="765" spans="2:4" x14ac:dyDescent="0.25">
      <c r="B765">
        <f>Feuille1!A785</f>
        <v>354.5</v>
      </c>
      <c r="C765">
        <f>Feuille1!B785</f>
        <v>-4574.0172929270129</v>
      </c>
      <c r="D765">
        <f>Feuille1!C785</f>
        <v>66606.510448512563</v>
      </c>
    </row>
    <row r="766" spans="2:4" x14ac:dyDescent="0.25">
      <c r="B766">
        <f>Feuille1!A786</f>
        <v>355</v>
      </c>
      <c r="C766">
        <f>Feuille1!B786</f>
        <v>1583.9539881292073</v>
      </c>
      <c r="D766">
        <f>Feuille1!C786</f>
        <v>66524.879754340087</v>
      </c>
    </row>
    <row r="767" spans="2:4" x14ac:dyDescent="0.25">
      <c r="B767">
        <f>Feuille1!A787</f>
        <v>355.5</v>
      </c>
      <c r="C767">
        <f>Feuille1!B787</f>
        <v>7249.0160212872706</v>
      </c>
      <c r="D767">
        <f>Feuille1!C787</f>
        <v>65215.082335721876</v>
      </c>
    </row>
    <row r="768" spans="2:4" x14ac:dyDescent="0.25">
      <c r="B768">
        <f>Feuille1!A788</f>
        <v>356</v>
      </c>
      <c r="C768">
        <f>Feuille1!B788</f>
        <v>12329.023534379805</v>
      </c>
      <c r="D768">
        <f>Feuille1!C788</f>
        <v>62781.011842320178</v>
      </c>
    </row>
    <row r="769" spans="2:4" x14ac:dyDescent="0.25">
      <c r="B769">
        <f>Feuille1!A789</f>
        <v>356.5</v>
      </c>
      <c r="C769">
        <f>Feuille1!B789</f>
        <v>16734.658224427694</v>
      </c>
      <c r="D769">
        <f>Feuille1!C789</f>
        <v>59303.140304321598</v>
      </c>
    </row>
    <row r="770" spans="2:4" x14ac:dyDescent="0.25">
      <c r="B770">
        <f>Feuille1!A790</f>
        <v>357</v>
      </c>
      <c r="C770">
        <f>Feuille1!B790</f>
        <v>20370.995177419645</v>
      </c>
      <c r="D770">
        <f>Feuille1!C790</f>
        <v>54844.622294067245</v>
      </c>
    </row>
    <row r="771" spans="2:4" x14ac:dyDescent="0.25">
      <c r="B771">
        <f>Feuille1!A791</f>
        <v>357.5</v>
      </c>
      <c r="C771">
        <f>Feuille1!B791</f>
        <v>23129.810679044356</v>
      </c>
      <c r="D771">
        <f>Feuille1!C791</f>
        <v>49455.693879876409</v>
      </c>
    </row>
    <row r="772" spans="2:4" x14ac:dyDescent="0.25">
      <c r="B772">
        <f>Feuille1!A792</f>
        <v>358</v>
      </c>
      <c r="C772">
        <f>Feuille1!B792</f>
        <v>24880.861205600871</v>
      </c>
      <c r="D772">
        <f>Feuille1!C792</f>
        <v>43176.307392688723</v>
      </c>
    </row>
    <row r="773" spans="2:4" x14ac:dyDescent="0.25">
      <c r="B773">
        <f>Feuille1!A793</f>
        <v>358.5</v>
      </c>
      <c r="C773">
        <f>Feuille1!B793</f>
        <v>25459.664113657658</v>
      </c>
      <c r="D773">
        <f>Feuille1!C793</f>
        <v>36034.728009976643</v>
      </c>
    </row>
    <row r="774" spans="2:4" x14ac:dyDescent="0.25">
      <c r="B774">
        <f>Feuille1!A794</f>
        <v>359</v>
      </c>
      <c r="C774">
        <f>Feuille1!B794</f>
        <v>24644.69159263049</v>
      </c>
      <c r="D774">
        <f>Feuille1!C794</f>
        <v>28029.570879741696</v>
      </c>
    </row>
    <row r="775" spans="2:4" x14ac:dyDescent="0.25">
      <c r="B775">
        <f>Feuille1!A795</f>
        <v>359.5</v>
      </c>
      <c r="C775">
        <f>Feuille1!B795</f>
        <v>22083.467869004213</v>
      </c>
      <c r="D775">
        <f>Feuille1!C795</f>
        <v>19016.120429913928</v>
      </c>
    </row>
    <row r="776" spans="2:4" x14ac:dyDescent="0.25">
      <c r="B776">
        <f>Feuille1!A796</f>
        <v>360</v>
      </c>
      <c r="C776">
        <f>Feuille1!B796</f>
        <v>16812.021817108693</v>
      </c>
      <c r="D776">
        <f>Feuille1!C796</f>
        <v>8048.2307883462126</v>
      </c>
    </row>
    <row r="777" spans="2:4" x14ac:dyDescent="0.25">
      <c r="B777">
        <f>Feuille1!A797</f>
        <v>360.5</v>
      </c>
      <c r="C777">
        <f>Feuille1!B797</f>
        <v>10017.459466606</v>
      </c>
      <c r="D777">
        <f>Feuille1!C797</f>
        <v>-1573.9454638044053</v>
      </c>
    </row>
    <row r="778" spans="2:4" x14ac:dyDescent="0.25">
      <c r="B778">
        <f>Feuille1!A798</f>
        <v>361</v>
      </c>
      <c r="C778">
        <f>Feuille1!B798</f>
        <v>1303.5935830050059</v>
      </c>
      <c r="D778">
        <f>Feuille1!C798</f>
        <v>-10503.270482542961</v>
      </c>
    </row>
    <row r="779" spans="2:4" x14ac:dyDescent="0.25">
      <c r="B779">
        <f>Feuille1!A799</f>
        <v>361.5</v>
      </c>
      <c r="C779">
        <f>Feuille1!B799</f>
        <v>-9058.8874410728586</v>
      </c>
      <c r="D779">
        <f>Feuille1!C799</f>
        <v>-19383.456442188763</v>
      </c>
    </row>
    <row r="780" spans="2:4" x14ac:dyDescent="0.25">
      <c r="B780">
        <f>Feuille1!A800</f>
        <v>362</v>
      </c>
      <c r="C780">
        <f>Feuille1!B800</f>
        <v>-18623.859539494926</v>
      </c>
      <c r="D780">
        <f>Feuille1!C800</f>
        <v>-29733.174515675495</v>
      </c>
    </row>
    <row r="781" spans="2:4" x14ac:dyDescent="0.25">
      <c r="B781">
        <f>Feuille1!A801</f>
        <v>362.5</v>
      </c>
      <c r="C781">
        <f>Feuille1!B801</f>
        <v>-25244.603466289358</v>
      </c>
      <c r="D781">
        <f>Feuille1!C801</f>
        <v>-38860.031413329692</v>
      </c>
    </row>
    <row r="782" spans="2:4" x14ac:dyDescent="0.25">
      <c r="B782">
        <f>Feuille1!A802</f>
        <v>363</v>
      </c>
      <c r="C782">
        <f>Feuille1!B802</f>
        <v>-30281.102776730648</v>
      </c>
      <c r="D782">
        <f>Feuille1!C802</f>
        <v>-46398.651293764327</v>
      </c>
    </row>
    <row r="783" spans="2:4" x14ac:dyDescent="0.25">
      <c r="B783">
        <f>Feuille1!A803</f>
        <v>363.5</v>
      </c>
      <c r="C783">
        <f>Feuille1!B803</f>
        <v>-34365.964271642602</v>
      </c>
      <c r="D783">
        <f>Feuille1!C803</f>
        <v>-52665.505863433886</v>
      </c>
    </row>
    <row r="784" spans="2:4" x14ac:dyDescent="0.25">
      <c r="B784">
        <f>Feuille1!A804</f>
        <v>364</v>
      </c>
      <c r="C784">
        <f>Feuille1!B804</f>
        <v>-37780.116534932058</v>
      </c>
      <c r="D784">
        <f>Feuille1!C804</f>
        <v>-57905.393596881186</v>
      </c>
    </row>
    <row r="785" spans="2:4" x14ac:dyDescent="0.25">
      <c r="B785">
        <f>Feuille1!A805</f>
        <v>364.5</v>
      </c>
      <c r="C785">
        <f>Feuille1!B805</f>
        <v>-40670.339657760647</v>
      </c>
      <c r="D785">
        <f>Feuille1!C805</f>
        <v>-62282.653693921879</v>
      </c>
    </row>
    <row r="786" spans="2:4" x14ac:dyDescent="0.25">
      <c r="B786">
        <f>Feuille1!A806</f>
        <v>365</v>
      </c>
      <c r="C786">
        <f>Feuille1!B806</f>
        <v>-43123.149584531348</v>
      </c>
      <c r="D786">
        <f>Feuille1!C806</f>
        <v>-65909.609440239263</v>
      </c>
    </row>
    <row r="787" spans="2:4" x14ac:dyDescent="0.25">
      <c r="B787">
        <f>Feuille1!A807</f>
        <v>365.5</v>
      </c>
      <c r="C787">
        <f>Feuille1!B807</f>
        <v>-45193.685935260808</v>
      </c>
      <c r="D787">
        <f>Feuille1!C807</f>
        <v>-68865.288837560161</v>
      </c>
    </row>
    <row r="788" spans="2:4" x14ac:dyDescent="0.25">
      <c r="B788">
        <f>Feuille1!A808</f>
        <v>366</v>
      </c>
      <c r="C788">
        <f>Feuille1!B808</f>
        <v>-46918.753028576546</v>
      </c>
      <c r="D788">
        <f>Feuille1!C808</f>
        <v>-71206.438033189683</v>
      </c>
    </row>
    <row r="789" spans="2:4" x14ac:dyDescent="0.25">
      <c r="B789">
        <f>Feuille1!A809</f>
        <v>366.5</v>
      </c>
      <c r="C789">
        <f>Feuille1!B809</f>
        <v>-48323.390472867155</v>
      </c>
      <c r="D789">
        <f>Feuille1!C809</f>
        <v>-72974.095347117967</v>
      </c>
    </row>
    <row r="790" spans="2:4" x14ac:dyDescent="0.25">
      <c r="B790">
        <f>Feuille1!A810</f>
        <v>367</v>
      </c>
      <c r="C790">
        <f>Feuille1!B810</f>
        <v>-49424.449406667372</v>
      </c>
      <c r="D790">
        <f>Feuille1!C810</f>
        <v>-74197.62752163253</v>
      </c>
    </row>
    <row r="791" spans="2:4" x14ac:dyDescent="0.25">
      <c r="B791">
        <f>Feuille1!A811</f>
        <v>367.5</v>
      </c>
      <c r="C791">
        <f>Feuille1!B811</f>
        <v>-50232.627539697089</v>
      </c>
      <c r="D791">
        <f>Feuille1!C811</f>
        <v>-74897.25187808105</v>
      </c>
    </row>
    <row r="792" spans="2:4" x14ac:dyDescent="0.25">
      <c r="B792">
        <f>Feuille1!A812</f>
        <v>368</v>
      </c>
      <c r="C792">
        <f>Feuille1!B812</f>
        <v>-50753.627743455567</v>
      </c>
      <c r="D792">
        <f>Feuille1!C812</f>
        <v>-75085.599645053313</v>
      </c>
    </row>
    <row r="793" spans="2:4" x14ac:dyDescent="0.25">
      <c r="B793">
        <f>Feuille1!A813</f>
        <v>368.5</v>
      </c>
      <c r="C793">
        <f>Feuille1!B813</f>
        <v>-50988.760416938858</v>
      </c>
      <c r="D793">
        <f>Feuille1!C813</f>
        <v>-74768.624607400998</v>
      </c>
    </row>
    <row r="794" spans="2:4" x14ac:dyDescent="0.25">
      <c r="B794">
        <f>Feuille1!A814</f>
        <v>369</v>
      </c>
      <c r="C794">
        <f>Feuille1!B814</f>
        <v>-50935.140300095176</v>
      </c>
      <c r="D794">
        <f>Feuille1!C814</f>
        <v>-73946.0185261078</v>
      </c>
    </row>
    <row r="795" spans="2:4" x14ac:dyDescent="0.25">
      <c r="B795">
        <f>Feuille1!A815</f>
        <v>369.5</v>
      </c>
      <c r="C795">
        <f>Feuille1!B815</f>
        <v>-50585.530123905672</v>
      </c>
      <c r="D795">
        <f>Feuille1!C815</f>
        <v>-72611.20469606627</v>
      </c>
    </row>
    <row r="796" spans="2:4" x14ac:dyDescent="0.25">
      <c r="B796">
        <f>Feuille1!A816</f>
        <v>370</v>
      </c>
      <c r="C796">
        <f>Feuille1!B816</f>
        <v>-49927.809271163409</v>
      </c>
      <c r="D796">
        <f>Feuille1!C816</f>
        <v>-70750.91339882194</v>
      </c>
    </row>
    <row r="797" spans="2:4" x14ac:dyDescent="0.25">
      <c r="B797">
        <f>Feuille1!A817</f>
        <v>370.5</v>
      </c>
      <c r="C797">
        <f>Feuille1!B817</f>
        <v>-48943.965873932277</v>
      </c>
      <c r="D797">
        <f>Feuille1!C817</f>
        <v>-68344.278660620592</v>
      </c>
    </row>
    <row r="798" spans="2:4" x14ac:dyDescent="0.25">
      <c r="B798">
        <f>Feuille1!A818</f>
        <v>371</v>
      </c>
      <c r="C798">
        <f>Feuille1!B818</f>
        <v>-47608.393917699439</v>
      </c>
      <c r="D798">
        <f>Feuille1!C818</f>
        <v>-65361.31850146503</v>
      </c>
    </row>
    <row r="799" spans="2:4" x14ac:dyDescent="0.25">
      <c r="B799">
        <f>Feuille1!A819</f>
        <v>371.5</v>
      </c>
      <c r="C799">
        <f>Feuille1!B819</f>
        <v>-45885.069347461409</v>
      </c>
      <c r="D799">
        <f>Feuille1!C819</f>
        <v>-61760.553599552033</v>
      </c>
    </row>
    <row r="800" spans="2:4" x14ac:dyDescent="0.25">
      <c r="B800">
        <f>Feuille1!A820</f>
        <v>372</v>
      </c>
      <c r="C800">
        <f>Feuille1!B820</f>
        <v>-43722.766268460407</v>
      </c>
      <c r="D800">
        <f>Feuille1!C820</f>
        <v>-57485.366659087231</v>
      </c>
    </row>
    <row r="801" spans="2:4" x14ac:dyDescent="0.25">
      <c r="B801">
        <f>Feuille1!A821</f>
        <v>372.5</v>
      </c>
      <c r="C801">
        <f>Feuille1!B821</f>
        <v>-41046.584203706851</v>
      </c>
      <c r="D801">
        <f>Feuille1!C821</f>
        <v>-52458.529322690978</v>
      </c>
    </row>
    <row r="802" spans="2:4" x14ac:dyDescent="0.25">
      <c r="B802">
        <f>Feuille1!A822</f>
        <v>373</v>
      </c>
      <c r="C802">
        <f>Feuille1!B822</f>
        <v>-37742.014161372099</v>
      </c>
      <c r="D802">
        <f>Feuille1!C822</f>
        <v>-46574.400499544339</v>
      </c>
    </row>
    <row r="803" spans="2:4" x14ac:dyDescent="0.25">
      <c r="B803">
        <f>Feuille1!A823</f>
        <v>373.5</v>
      </c>
      <c r="C803">
        <f>Feuille1!B823</f>
        <v>-33623.002101001701</v>
      </c>
      <c r="D803">
        <f>Feuille1!C823</f>
        <v>-39690.377239247675</v>
      </c>
    </row>
    <row r="804" spans="2:4" x14ac:dyDescent="0.25">
      <c r="B804">
        <f>Feuille1!A824</f>
        <v>374</v>
      </c>
      <c r="C804">
        <f>Feuille1!B824</f>
        <v>-28366.817840510979</v>
      </c>
      <c r="D804">
        <f>Feuille1!C824</f>
        <v>-31633.611441339792</v>
      </c>
    </row>
    <row r="805" spans="2:4" x14ac:dyDescent="0.25">
      <c r="B805">
        <f>Feuille1!A825</f>
        <v>374.5</v>
      </c>
      <c r="C805">
        <f>Feuille1!B825</f>
        <v>-21425.300130057178</v>
      </c>
      <c r="D805">
        <f>Feuille1!C825</f>
        <v>-22320.755189165578</v>
      </c>
    </row>
    <row r="806" spans="2:4" x14ac:dyDescent="0.25">
      <c r="B806">
        <f>Feuille1!A826</f>
        <v>375</v>
      </c>
      <c r="C806">
        <f>Feuille1!B826</f>
        <v>-12459.912025764512</v>
      </c>
      <c r="D806">
        <f>Feuille1!C826</f>
        <v>-12235.968120899479</v>
      </c>
    </row>
    <row r="807" spans="2:4" x14ac:dyDescent="0.25">
      <c r="B807">
        <f>Feuille1!A827</f>
        <v>375.5</v>
      </c>
      <c r="C807">
        <f>Feuille1!B827</f>
        <v>-3231.1249606610149</v>
      </c>
      <c r="D807">
        <f>Feuille1!C827</f>
        <v>-1550.9981474899298</v>
      </c>
    </row>
    <row r="808" spans="2:4" x14ac:dyDescent="0.25">
      <c r="B808">
        <f>Feuille1!A828</f>
        <v>376</v>
      </c>
      <c r="C808">
        <f>Feuille1!B828</f>
        <v>4095.8435644036449</v>
      </c>
      <c r="D808">
        <f>Feuille1!C828</f>
        <v>10661.066913399645</v>
      </c>
    </row>
    <row r="809" spans="2:4" x14ac:dyDescent="0.25">
      <c r="B809">
        <f>Feuille1!A829</f>
        <v>376.5</v>
      </c>
      <c r="C809">
        <f>Feuille1!B829</f>
        <v>8516.7199302725239</v>
      </c>
      <c r="D809">
        <f>Feuille1!C829</f>
        <v>23680.229989156884</v>
      </c>
    </row>
    <row r="810" spans="2:4" x14ac:dyDescent="0.25">
      <c r="B810">
        <f>Feuille1!A830</f>
        <v>377</v>
      </c>
      <c r="C810">
        <f>Feuille1!B830</f>
        <v>10328.021172946392</v>
      </c>
      <c r="D810">
        <f>Feuille1!C830</f>
        <v>35681.138189594152</v>
      </c>
    </row>
    <row r="811" spans="2:4" x14ac:dyDescent="0.25">
      <c r="B811">
        <f>Feuille1!A831</f>
        <v>377.5</v>
      </c>
      <c r="C811">
        <f>Feuille1!B831</f>
        <v>10121.030241936945</v>
      </c>
      <c r="D811">
        <f>Feuille1!C831</f>
        <v>46184.367377637893</v>
      </c>
    </row>
    <row r="812" spans="2:4" x14ac:dyDescent="0.25">
      <c r="B812">
        <f>Feuille1!A832</f>
        <v>378</v>
      </c>
      <c r="C812">
        <f>Feuille1!B832</f>
        <v>8543.2873905995275</v>
      </c>
      <c r="D812">
        <f>Feuille1!C832</f>
        <v>55214.870048785233</v>
      </c>
    </row>
    <row r="813" spans="2:4" x14ac:dyDescent="0.25">
      <c r="B813">
        <f>Feuille1!A833</f>
        <v>378.5</v>
      </c>
      <c r="C813">
        <f>Feuille1!B833</f>
        <v>6037.2404789869497</v>
      </c>
      <c r="D813">
        <f>Feuille1!C833</f>
        <v>62895.372095073733</v>
      </c>
    </row>
    <row r="814" spans="2:4" x14ac:dyDescent="0.25">
      <c r="B814">
        <f>Feuille1!A834</f>
        <v>379</v>
      </c>
      <c r="C814">
        <f>Feuille1!B834</f>
        <v>2891.2390443602667</v>
      </c>
      <c r="D814">
        <f>Feuille1!C834</f>
        <v>69353.993200946948</v>
      </c>
    </row>
    <row r="815" spans="2:4" x14ac:dyDescent="0.25">
      <c r="B815">
        <f>Feuille1!A835</f>
        <v>379.5</v>
      </c>
      <c r="C815">
        <f>Feuille1!B835</f>
        <v>-701.1549003636386</v>
      </c>
      <c r="D815">
        <f>Feuille1!C835</f>
        <v>74700.576518345348</v>
      </c>
    </row>
    <row r="816" spans="2:4" x14ac:dyDescent="0.25">
      <c r="B816">
        <f>Feuille1!A836</f>
        <v>380</v>
      </c>
      <c r="C816">
        <f>Feuille1!B836</f>
        <v>-4603.9178410757104</v>
      </c>
      <c r="D816">
        <f>Feuille1!C836</f>
        <v>79023.543938417861</v>
      </c>
    </row>
    <row r="817" spans="2:4" x14ac:dyDescent="0.25">
      <c r="B817">
        <f>Feuille1!A837</f>
        <v>380.5</v>
      </c>
      <c r="C817">
        <f>Feuille1!B837</f>
        <v>-8716.6311486957129</v>
      </c>
      <c r="D817">
        <f>Feuille1!C837</f>
        <v>82392.111560843143</v>
      </c>
    </row>
    <row r="818" spans="2:4" x14ac:dyDescent="0.25">
      <c r="B818">
        <f>Feuille1!A838</f>
        <v>381</v>
      </c>
      <c r="C818">
        <f>Feuille1!B838</f>
        <v>-12961.325935217686</v>
      </c>
      <c r="D818">
        <f>Feuille1!C838</f>
        <v>84859.338934633255</v>
      </c>
    </row>
    <row r="819" spans="2:4" x14ac:dyDescent="0.25">
      <c r="B819">
        <f>Feuille1!A839</f>
        <v>381.5</v>
      </c>
      <c r="C819">
        <f>Feuille1!B839</f>
        <v>-17274.242696270099</v>
      </c>
      <c r="D819">
        <f>Feuille1!C839</f>
        <v>86464.785810802947</v>
      </c>
    </row>
    <row r="820" spans="2:4" x14ac:dyDescent="0.25">
      <c r="B820">
        <f>Feuille1!A840</f>
        <v>382</v>
      </c>
      <c r="C820">
        <f>Feuille1!B840</f>
        <v>-21600.360543255934</v>
      </c>
      <c r="D820">
        <f>Feuille1!C840</f>
        <v>87236.534242475434</v>
      </c>
    </row>
    <row r="821" spans="2:4" x14ac:dyDescent="0.25">
      <c r="B821">
        <f>Feuille1!A841</f>
        <v>382.5</v>
      </c>
      <c r="C821">
        <f>Feuille1!B841</f>
        <v>-25889.480263411231</v>
      </c>
      <c r="D821">
        <f>Feuille1!C841</f>
        <v>87192.603542692072</v>
      </c>
    </row>
    <row r="822" spans="2:4" x14ac:dyDescent="0.25">
      <c r="B822">
        <f>Feuille1!A842</f>
        <v>383</v>
      </c>
      <c r="C822">
        <f>Feuille1!B842</f>
        <v>-30093.127383330739</v>
      </c>
      <c r="D822">
        <f>Feuille1!C842</f>
        <v>86341.837320268663</v>
      </c>
    </row>
    <row r="823" spans="2:4" x14ac:dyDescent="0.25">
      <c r="B823">
        <f>Feuille1!A843</f>
        <v>383.5</v>
      </c>
      <c r="C823">
        <f>Feuille1!B843</f>
        <v>-34161.77846391785</v>
      </c>
      <c r="D823">
        <f>Feuille1!C843</f>
        <v>84684.330383450972</v>
      </c>
    </row>
    <row r="824" spans="2:4" x14ac:dyDescent="0.25">
      <c r="B824">
        <f>Feuille1!A844</f>
        <v>384</v>
      </c>
      <c r="C824">
        <f>Feuille1!B844</f>
        <v>-38042.00498243505</v>
      </c>
      <c r="D824">
        <f>Feuille1!C844</f>
        <v>82211.43762487077</v>
      </c>
    </row>
    <row r="825" spans="2:4" x14ac:dyDescent="0.25">
      <c r="B825">
        <f>Feuille1!A845</f>
        <v>384.5</v>
      </c>
      <c r="C825">
        <f>Feuille1!B845</f>
        <v>-41673.111311784836</v>
      </c>
      <c r="D825">
        <f>Feuille1!C845</f>
        <v>78905.384479926244</v>
      </c>
    </row>
    <row r="826" spans="2:4" x14ac:dyDescent="0.25">
      <c r="B826">
        <f>Feuille1!A846</f>
        <v>385</v>
      </c>
      <c r="C826">
        <f>Feuille1!B846</f>
        <v>-44982.708914312891</v>
      </c>
      <c r="D826">
        <f>Feuille1!C846</f>
        <v>74738.492672613953</v>
      </c>
    </row>
    <row r="827" spans="2:4" x14ac:dyDescent="0.25">
      <c r="B827">
        <f>Feuille1!A847</f>
        <v>385.5</v>
      </c>
      <c r="C827">
        <f>Feuille1!B847</f>
        <v>-47880.360653556789</v>
      </c>
      <c r="D827">
        <f>Feuille1!C847</f>
        <v>69672.075654977307</v>
      </c>
    </row>
    <row r="828" spans="2:4" x14ac:dyDescent="0.25">
      <c r="B828">
        <f>Feuille1!A848</f>
        <v>386</v>
      </c>
      <c r="C828">
        <f>Feuille1!B848</f>
        <v>-50247.807274923231</v>
      </c>
      <c r="D828">
        <f>Feuille1!C848</f>
        <v>63655.232964866947</v>
      </c>
    </row>
    <row r="829" spans="2:4" x14ac:dyDescent="0.25">
      <c r="B829">
        <f>Feuille1!A849</f>
        <v>386.5</v>
      </c>
      <c r="C829">
        <f>Feuille1!B849</f>
        <v>-51923.05204048039</v>
      </c>
      <c r="D829">
        <f>Feuille1!C849</f>
        <v>56624.350955212831</v>
      </c>
    </row>
    <row r="830" spans="2:4" x14ac:dyDescent="0.25">
      <c r="B830">
        <f>Feuille1!A850</f>
        <v>387</v>
      </c>
      <c r="C830">
        <f>Feuille1!B850</f>
        <v>-52673.131952434065</v>
      </c>
      <c r="D830">
        <f>Feuille1!C850</f>
        <v>48505.967424969909</v>
      </c>
    </row>
    <row r="831" spans="2:4" x14ac:dyDescent="0.25">
      <c r="B831">
        <f>Feuille1!A851</f>
        <v>387.5</v>
      </c>
      <c r="C831">
        <f>Feuille1!B851</f>
        <v>-52145.879577823827</v>
      </c>
      <c r="D831">
        <f>Feuille1!C851</f>
        <v>39231.74047456112</v>
      </c>
    </row>
    <row r="832" spans="2:4" x14ac:dyDescent="0.25">
      <c r="B832">
        <f>Feuille1!A852</f>
        <v>388</v>
      </c>
      <c r="C832">
        <f>Feuille1!B852</f>
        <v>-49785.83594345962</v>
      </c>
      <c r="D832">
        <f>Feuille1!C852</f>
        <v>28795.030539946911</v>
      </c>
    </row>
    <row r="833" spans="2:4" x14ac:dyDescent="0.25">
      <c r="B833">
        <f>Feuille1!A853</f>
        <v>388.5</v>
      </c>
      <c r="C833">
        <f>Feuille1!B853</f>
        <v>-44721.66295199866</v>
      </c>
      <c r="D833">
        <f>Feuille1!C853</f>
        <v>17447.289674931206</v>
      </c>
    </row>
    <row r="834" spans="2:4" x14ac:dyDescent="0.25">
      <c r="B834">
        <f>Feuille1!A854</f>
        <v>389</v>
      </c>
      <c r="C834">
        <f>Feuille1!B854</f>
        <v>-35885.876159148007</v>
      </c>
      <c r="D834">
        <f>Feuille1!C854</f>
        <v>6265.4510172102518</v>
      </c>
    </row>
    <row r="835" spans="2:4" x14ac:dyDescent="0.25">
      <c r="B835">
        <f>Feuille1!A855</f>
        <v>389.5</v>
      </c>
      <c r="C835">
        <f>Feuille1!B855</f>
        <v>-23462.997903760799</v>
      </c>
      <c r="D835">
        <f>Feuille1!C855</f>
        <v>-2415.208689292404</v>
      </c>
    </row>
    <row r="836" spans="2:4" x14ac:dyDescent="0.25">
      <c r="B836">
        <f>Feuille1!A856</f>
        <v>390</v>
      </c>
      <c r="C836">
        <f>Feuille1!B856</f>
        <v>-9912.8594427600619</v>
      </c>
      <c r="D836">
        <f>Feuille1!C856</f>
        <v>-7827.3792328794116</v>
      </c>
    </row>
    <row r="837" spans="2:4" x14ac:dyDescent="0.25">
      <c r="B837">
        <f>Feuille1!A857</f>
        <v>390.5</v>
      </c>
      <c r="C837">
        <f>Feuille1!B857</f>
        <v>3069.857633119469</v>
      </c>
      <c r="D837">
        <f>Feuille1!C857</f>
        <v>-12012.808897142015</v>
      </c>
    </row>
    <row r="838" spans="2:4" x14ac:dyDescent="0.25">
      <c r="B838">
        <f>Feuille1!A858</f>
        <v>391</v>
      </c>
      <c r="C838">
        <f>Feuille1!B858</f>
        <v>14252.353514296428</v>
      </c>
      <c r="D838">
        <f>Feuille1!C858</f>
        <v>-16332.73230339092</v>
      </c>
    </row>
    <row r="839" spans="2:4" x14ac:dyDescent="0.25">
      <c r="B839">
        <f>Feuille1!A859</f>
        <v>391.5</v>
      </c>
      <c r="C839">
        <f>Feuille1!B859</f>
        <v>23407.138302397088</v>
      </c>
      <c r="D839">
        <f>Feuille1!C859</f>
        <v>-20473.290088692749</v>
      </c>
    </row>
    <row r="840" spans="2:4" x14ac:dyDescent="0.25">
      <c r="B840">
        <f>Feuille1!A860</f>
        <v>392</v>
      </c>
      <c r="C840">
        <f>Feuille1!B860</f>
        <v>30939.627673372644</v>
      </c>
      <c r="D840">
        <f>Feuille1!C860</f>
        <v>-24207.173502722188</v>
      </c>
    </row>
    <row r="841" spans="2:4" x14ac:dyDescent="0.25">
      <c r="B841">
        <f>Feuille1!A861</f>
        <v>392.5</v>
      </c>
      <c r="C841">
        <f>Feuille1!B861</f>
        <v>37206.084130440831</v>
      </c>
      <c r="D841">
        <f>Feuille1!C861</f>
        <v>-27505.74822203473</v>
      </c>
    </row>
    <row r="842" spans="2:4" x14ac:dyDescent="0.25">
      <c r="B842">
        <f>Feuille1!A862</f>
        <v>393</v>
      </c>
      <c r="C842">
        <f>Feuille1!B862</f>
        <v>42447.462204214899</v>
      </c>
      <c r="D842">
        <f>Feuille1!C862</f>
        <v>-30394.843309253611</v>
      </c>
    </row>
    <row r="843" spans="2:4" x14ac:dyDescent="0.25">
      <c r="B843">
        <f>Feuille1!A863</f>
        <v>393.5</v>
      </c>
      <c r="C843">
        <f>Feuille1!B863</f>
        <v>46825.103572751963</v>
      </c>
      <c r="D843">
        <f>Feuille1!C863</f>
        <v>-32907.838450725976</v>
      </c>
    </row>
    <row r="844" spans="2:4" x14ac:dyDescent="0.25">
      <c r="B844">
        <f>Feuille1!A864</f>
        <v>394</v>
      </c>
      <c r="C844">
        <f>Feuille1!B864</f>
        <v>50450.012828939762</v>
      </c>
      <c r="D844">
        <f>Feuille1!C864</f>
        <v>-35074.32058784533</v>
      </c>
    </row>
    <row r="845" spans="2:4" x14ac:dyDescent="0.25">
      <c r="B845">
        <f>Feuille1!A865</f>
        <v>394.5</v>
      </c>
      <c r="C845">
        <f>Feuille1!B865</f>
        <v>53400.609063077878</v>
      </c>
      <c r="D845">
        <f>Feuille1!C865</f>
        <v>-36918.126424760034</v>
      </c>
    </row>
    <row r="846" spans="2:4" x14ac:dyDescent="0.25">
      <c r="B846">
        <f>Feuille1!A866</f>
        <v>395</v>
      </c>
      <c r="C846">
        <f>Feuille1!B866</f>
        <v>55733.231008812851</v>
      </c>
      <c r="D846">
        <f>Feuille1!C866</f>
        <v>-38457.672051612433</v>
      </c>
    </row>
    <row r="847" spans="2:4" x14ac:dyDescent="0.25">
      <c r="B847">
        <f>Feuille1!A867</f>
        <v>395.5</v>
      </c>
      <c r="C847">
        <f>Feuille1!B867</f>
        <v>57488.485155294642</v>
      </c>
      <c r="D847">
        <f>Feuille1!C867</f>
        <v>-39706.697913235119</v>
      </c>
    </row>
    <row r="848" spans="2:4" x14ac:dyDescent="0.25">
      <c r="B848">
        <f>Feuille1!A868</f>
        <v>396</v>
      </c>
      <c r="C848">
        <f>Feuille1!B868</f>
        <v>58695.172131737039</v>
      </c>
      <c r="D848">
        <f>Feuille1!C868</f>
        <v>-40674.946460058185</v>
      </c>
    </row>
    <row r="849" spans="2:4" x14ac:dyDescent="0.25">
      <c r="B849">
        <f>Feuille1!A869</f>
        <v>396.5</v>
      </c>
      <c r="C849">
        <f>Feuille1!B869</f>
        <v>59372.737103877153</v>
      </c>
      <c r="D849">
        <f>Feuille1!C869</f>
        <v>-41368.667418570309</v>
      </c>
    </row>
    <row r="850" spans="2:4" x14ac:dyDescent="0.25">
      <c r="B850">
        <f>Feuille1!A870</f>
        <v>397</v>
      </c>
      <c r="C850">
        <f>Feuille1!B870</f>
        <v>59532.762839116906</v>
      </c>
      <c r="D850">
        <f>Feuille1!C870</f>
        <v>-41790.944568602361</v>
      </c>
    </row>
    <row r="851" spans="2:4" x14ac:dyDescent="0.25">
      <c r="B851">
        <f>Feuille1!A871</f>
        <v>397.5</v>
      </c>
      <c r="C851">
        <f>Feuille1!B871</f>
        <v>59179.787560598023</v>
      </c>
      <c r="D851">
        <f>Feuille1!C871</f>
        <v>-41941.85687041904</v>
      </c>
    </row>
    <row r="852" spans="2:4" x14ac:dyDescent="0.25">
      <c r="B852">
        <f>Feuille1!A872</f>
        <v>398</v>
      </c>
      <c r="C852">
        <f>Feuille1!B872</f>
        <v>58311.588324698758</v>
      </c>
      <c r="D852">
        <f>Feuille1!C872</f>
        <v>-41818.482223395193</v>
      </c>
    </row>
    <row r="853" spans="2:4" x14ac:dyDescent="0.25">
      <c r="B853">
        <f>Feuille1!A873</f>
        <v>398.5</v>
      </c>
      <c r="C853">
        <f>Feuille1!B873</f>
        <v>56918.972754286428</v>
      </c>
      <c r="D853">
        <f>Feuille1!C873</f>
        <v>-41414.740145598873</v>
      </c>
    </row>
    <row r="854" spans="2:4" x14ac:dyDescent="0.25">
      <c r="B854">
        <f>Feuille1!A874</f>
        <v>399</v>
      </c>
      <c r="C854">
        <f>Feuille1!B874</f>
        <v>54985.035437684841</v>
      </c>
      <c r="D854">
        <f>Feuille1!C874</f>
        <v>-40721.054180538034</v>
      </c>
    </row>
    <row r="855" spans="2:4" x14ac:dyDescent="0.25">
      <c r="B855">
        <f>Feuille1!A875</f>
        <v>399.5</v>
      </c>
      <c r="C855">
        <f>Feuille1!B875</f>
        <v>52483.732252014568</v>
      </c>
      <c r="D855">
        <f>Feuille1!C875</f>
        <v>-39723.796298403584</v>
      </c>
    </row>
    <row r="856" spans="2:4" x14ac:dyDescent="0.25">
      <c r="B856">
        <f>Feuille1!A876</f>
        <v>400</v>
      </c>
      <c r="C856">
        <f>Feuille1!B876</f>
        <v>49377.468401612743</v>
      </c>
      <c r="D856">
        <f>Feuille1!C876</f>
        <v>-38404.455021848065</v>
      </c>
    </row>
    <row r="857" spans="2:4" x14ac:dyDescent="0.25">
      <c r="B857">
        <f>Feuille1!A877</f>
        <v>400.5</v>
      </c>
      <c r="C857">
        <f>Feuille1!B877</f>
        <v>45613.113178069179</v>
      </c>
      <c r="D857">
        <f>Feuille1!C877</f>
        <v>-36738.455313700935</v>
      </c>
    </row>
    <row r="858" spans="2:4" x14ac:dyDescent="0.25">
      <c r="B858">
        <f>Feuille1!A878</f>
        <v>401</v>
      </c>
      <c r="C858">
        <f>Feuille1!B878</f>
        <v>41115.289741430191</v>
      </c>
      <c r="D858">
        <f>Feuille1!C878</f>
        <v>-34693.59358175948</v>
      </c>
    </row>
    <row r="859" spans="2:4" x14ac:dyDescent="0.25">
      <c r="B859">
        <f>Feuille1!A879</f>
        <v>401.5</v>
      </c>
      <c r="C859">
        <f>Feuille1!B879</f>
        <v>35774.561181472243</v>
      </c>
      <c r="D859">
        <f>Feuille1!C879</f>
        <v>-32228.316410733831</v>
      </c>
    </row>
    <row r="860" spans="2:4" x14ac:dyDescent="0.25">
      <c r="B860">
        <f>Feuille1!A880</f>
        <v>402</v>
      </c>
      <c r="C860">
        <f>Feuille1!B880</f>
        <v>29425.266975055787</v>
      </c>
      <c r="D860">
        <f>Feuille1!C880</f>
        <v>-29291.3664656289</v>
      </c>
    </row>
    <row r="861" spans="2:4" x14ac:dyDescent="0.25">
      <c r="B861">
        <f>Feuille1!A881</f>
        <v>402.5</v>
      </c>
      <c r="C861">
        <f>Feuille1!B881</f>
        <v>21800.881337392322</v>
      </c>
      <c r="D861">
        <f>Feuille1!C881</f>
        <v>-25830.530047335531</v>
      </c>
    </row>
    <row r="862" spans="2:4" x14ac:dyDescent="0.25">
      <c r="B862">
        <f>Feuille1!A882</f>
        <v>403</v>
      </c>
      <c r="C862">
        <f>Feuille1!B882</f>
        <v>12442.935554411057</v>
      </c>
      <c r="D862">
        <f>Feuille1!C882</f>
        <v>-21850.673113570654</v>
      </c>
    </row>
    <row r="863" spans="2:4" x14ac:dyDescent="0.25">
      <c r="B863">
        <f>Feuille1!A883</f>
        <v>403.5</v>
      </c>
      <c r="C863">
        <f>Feuille1!B883</f>
        <v>626.41879575121129</v>
      </c>
      <c r="D863">
        <f>Feuille1!C883</f>
        <v>-17731.042951249383</v>
      </c>
    </row>
    <row r="864" spans="2:4" x14ac:dyDescent="0.25">
      <c r="B864">
        <f>Feuille1!A884</f>
        <v>404</v>
      </c>
      <c r="C864">
        <f>Feuille1!B884</f>
        <v>-13159.922622956634</v>
      </c>
      <c r="D864">
        <f>Feuille1!C884</f>
        <v>-14834.184416087515</v>
      </c>
    </row>
    <row r="865" spans="2:4" x14ac:dyDescent="0.25">
      <c r="B865">
        <f>Feuille1!A885</f>
        <v>404.5</v>
      </c>
      <c r="C865">
        <f>Feuille1!B885</f>
        <v>-26238.670952050594</v>
      </c>
      <c r="D865">
        <f>Feuille1!C885</f>
        <v>-11754.090662268552</v>
      </c>
    </row>
    <row r="866" spans="2:4" x14ac:dyDescent="0.25">
      <c r="B866">
        <f>Feuille1!A886</f>
        <v>405</v>
      </c>
      <c r="C866">
        <f>Feuille1!B886</f>
        <v>-37946.125219820889</v>
      </c>
      <c r="D866">
        <f>Feuille1!C886</f>
        <v>-6905.1701296375704</v>
      </c>
    </row>
    <row r="867" spans="2:4" x14ac:dyDescent="0.25">
      <c r="B867">
        <f>Feuille1!A887</f>
        <v>405.5</v>
      </c>
      <c r="C867">
        <f>Feuille1!B887</f>
        <v>-47737.979762205832</v>
      </c>
      <c r="D867">
        <f>Feuille1!C887</f>
        <v>-285.02235581360765</v>
      </c>
    </row>
    <row r="868" spans="2:4" x14ac:dyDescent="0.25">
      <c r="B868">
        <f>Feuille1!A888</f>
        <v>406</v>
      </c>
      <c r="C868">
        <f>Feuille1!B888</f>
        <v>-55343.267487921599</v>
      </c>
      <c r="D868">
        <f>Feuille1!C888</f>
        <v>7492.1528149226833</v>
      </c>
    </row>
    <row r="869" spans="2:4" x14ac:dyDescent="0.25">
      <c r="B869">
        <f>Feuille1!A889</f>
        <v>406.5</v>
      </c>
      <c r="C869">
        <f>Feuille1!B889</f>
        <v>-60823.584032949948</v>
      </c>
      <c r="D869">
        <f>Feuille1!C889</f>
        <v>15790.064372975365</v>
      </c>
    </row>
    <row r="870" spans="2:4" x14ac:dyDescent="0.25">
      <c r="B870">
        <f>Feuille1!A890</f>
        <v>407</v>
      </c>
      <c r="C870">
        <f>Feuille1!B890</f>
        <v>-64403.58577506429</v>
      </c>
      <c r="D870">
        <f>Feuille1!C890</f>
        <v>24142.310396527748</v>
      </c>
    </row>
    <row r="871" spans="2:4" x14ac:dyDescent="0.25">
      <c r="B871">
        <f>Feuille1!A891</f>
        <v>407.5</v>
      </c>
      <c r="C871">
        <f>Feuille1!B891</f>
        <v>-66341.935387875958</v>
      </c>
      <c r="D871">
        <f>Feuille1!C891</f>
        <v>32245.355379367556</v>
      </c>
    </row>
    <row r="872" spans="2:4" x14ac:dyDescent="0.25">
      <c r="B872">
        <f>Feuille1!A892</f>
        <v>408</v>
      </c>
      <c r="C872">
        <f>Feuille1!B892</f>
        <v>-66876.644982777507</v>
      </c>
      <c r="D872">
        <f>Feuille1!C892</f>
        <v>39907.732174828045</v>
      </c>
    </row>
    <row r="873" spans="2:4" x14ac:dyDescent="0.25">
      <c r="B873">
        <f>Feuille1!A893</f>
        <v>408.5</v>
      </c>
      <c r="C873">
        <f>Feuille1!B893</f>
        <v>-66210.66292045117</v>
      </c>
      <c r="D873">
        <f>Feuille1!C893</f>
        <v>47007.113785043635</v>
      </c>
    </row>
    <row r="874" spans="2:4" x14ac:dyDescent="0.25">
      <c r="B874">
        <f>Feuille1!A894</f>
        <v>409</v>
      </c>
      <c r="C874">
        <f>Feuille1!B894</f>
        <v>-64513.000590472191</v>
      </c>
      <c r="D874">
        <f>Feuille1!C894</f>
        <v>53461.958897528042</v>
      </c>
    </row>
    <row r="875" spans="2:4" x14ac:dyDescent="0.25">
      <c r="B875">
        <f>Feuille1!A895</f>
        <v>409.5</v>
      </c>
      <c r="C875">
        <f>Feuille1!B895</f>
        <v>-61924.402421925479</v>
      </c>
      <c r="D875">
        <f>Feuille1!C895</f>
        <v>59214.020759905528</v>
      </c>
    </row>
    <row r="876" spans="2:4" x14ac:dyDescent="0.25">
      <c r="B876">
        <f>Feuille1!A896</f>
        <v>410</v>
      </c>
      <c r="C876">
        <f>Feuille1!B896</f>
        <v>-58563.555220005939</v>
      </c>
      <c r="D876">
        <f>Feuille1!C896</f>
        <v>64217.635339032153</v>
      </c>
    </row>
    <row r="877" spans="2:4" x14ac:dyDescent="0.25">
      <c r="B877">
        <f>Feuille1!A897</f>
        <v>410.5</v>
      </c>
      <c r="C877">
        <f>Feuille1!B897</f>
        <v>-54532.658852422217</v>
      </c>
      <c r="D877">
        <f>Feuille1!C897</f>
        <v>68433.00312275537</v>
      </c>
    </row>
    <row r="878" spans="2:4" x14ac:dyDescent="0.25">
      <c r="B878">
        <f>Feuille1!A898</f>
        <v>411</v>
      </c>
      <c r="C878">
        <f>Feuille1!B898</f>
        <v>-49922.205034931714</v>
      </c>
      <c r="D878">
        <f>Feuille1!C898</f>
        <v>71821.770074403947</v>
      </c>
    </row>
    <row r="879" spans="2:4" x14ac:dyDescent="0.25">
      <c r="B879">
        <f>Feuille1!A899</f>
        <v>411.5</v>
      </c>
      <c r="C879">
        <f>Feuille1!B899</f>
        <v>-44815.152456121199</v>
      </c>
      <c r="D879">
        <f>Feuille1!C899</f>
        <v>74343.905457727975</v>
      </c>
    </row>
    <row r="880" spans="2:4" x14ac:dyDescent="0.25">
      <c r="B880">
        <f>Feuille1!A900</f>
        <v>412</v>
      </c>
      <c r="C880">
        <f>Feuille1!B900</f>
        <v>-39290.796115483456</v>
      </c>
      <c r="D880">
        <f>Feuille1!C900</f>
        <v>75955.281747085202</v>
      </c>
    </row>
    <row r="881" spans="2:4" x14ac:dyDescent="0.25">
      <c r="B881">
        <f>Feuille1!A901</f>
        <v>412.5</v>
      </c>
      <c r="C881">
        <f>Feuille1!B901</f>
        <v>-33428.68217975078</v>
      </c>
      <c r="D881">
        <f>Feuille1!C901</f>
        <v>76605.602731706371</v>
      </c>
    </row>
    <row r="882" spans="2:4" x14ac:dyDescent="0.25">
      <c r="B882">
        <f>Feuille1!A902</f>
        <v>413</v>
      </c>
      <c r="C882">
        <f>Feuille1!B902</f>
        <v>-27312.990391253235</v>
      </c>
      <c r="D882">
        <f>Feuille1!C902</f>
        <v>76236.484514097479</v>
      </c>
    </row>
    <row r="883" spans="2:4" x14ac:dyDescent="0.25">
      <c r="B883">
        <f>Feuille1!A903</f>
        <v>413.5</v>
      </c>
      <c r="C883">
        <f>Feuille1!B903</f>
        <v>-21037.935426323915</v>
      </c>
      <c r="D883">
        <f>Feuille1!C903</f>
        <v>74779.637008883641</v>
      </c>
    </row>
    <row r="884" spans="2:4" x14ac:dyDescent="0.25">
      <c r="B884">
        <f>Feuille1!A904</f>
        <v>414</v>
      </c>
      <c r="C884">
        <f>Feuille1!B904</f>
        <v>-14714.962336378601</v>
      </c>
      <c r="D884">
        <f>Feuille1!C904</f>
        <v>72155.298517304022</v>
      </c>
    </row>
    <row r="885" spans="2:4" x14ac:dyDescent="0.25">
      <c r="B885">
        <f>Feuille1!A905</f>
        <v>414.5</v>
      </c>
      <c r="C885">
        <f>Feuille1!B905</f>
        <v>-8482.8593171481953</v>
      </c>
      <c r="D885">
        <f>Feuille1!C905</f>
        <v>68271.477570387957</v>
      </c>
    </row>
    <row r="886" spans="2:4" x14ac:dyDescent="0.25">
      <c r="B886">
        <f>Feuille1!A906</f>
        <v>415</v>
      </c>
      <c r="C886">
        <f>Feuille1!B906</f>
        <v>-2522.3545343367305</v>
      </c>
      <c r="D886">
        <f>Feuille1!C906</f>
        <v>63025.429694878207</v>
      </c>
    </row>
    <row r="887" spans="2:4" x14ac:dyDescent="0.25">
      <c r="B887">
        <f>Feuille1!A907</f>
        <v>415.5</v>
      </c>
      <c r="C887">
        <f>Feuille1!B907</f>
        <v>2923.0229622576417</v>
      </c>
      <c r="D887">
        <f>Feuille1!C907</f>
        <v>56310.692628987868</v>
      </c>
    </row>
    <row r="888" spans="2:4" x14ac:dyDescent="0.25">
      <c r="B888">
        <f>Feuille1!A908</f>
        <v>416</v>
      </c>
      <c r="C888">
        <f>Feuille1!B908</f>
        <v>7519.5668688343249</v>
      </c>
      <c r="D888">
        <f>Feuille1!C908</f>
        <v>48036.749690252065</v>
      </c>
    </row>
    <row r="889" spans="2:4" x14ac:dyDescent="0.25">
      <c r="B889">
        <f>Feuille1!A909</f>
        <v>416.5</v>
      </c>
      <c r="C889">
        <f>Feuille1!B909</f>
        <v>10818.27129396501</v>
      </c>
      <c r="D889">
        <f>Feuille1!C909</f>
        <v>38173.378939138813</v>
      </c>
    </row>
    <row r="890" spans="2:4" x14ac:dyDescent="0.25">
      <c r="B890">
        <f>Feuille1!A910</f>
        <v>417</v>
      </c>
      <c r="C890">
        <f>Feuille1!B910</f>
        <v>12277.764622459754</v>
      </c>
      <c r="D890">
        <f>Feuille1!C910</f>
        <v>26823.275466456609</v>
      </c>
    </row>
    <row r="891" spans="2:4" x14ac:dyDescent="0.25">
      <c r="B891">
        <f>Feuille1!A911</f>
        <v>417.5</v>
      </c>
      <c r="C891">
        <f>Feuille1!B911</f>
        <v>11558.453470096867</v>
      </c>
      <c r="D891">
        <f>Feuille1!C911</f>
        <v>14233.830011531567</v>
      </c>
    </row>
    <row r="892" spans="2:4" x14ac:dyDescent="0.25">
      <c r="B892">
        <f>Feuille1!A912</f>
        <v>418</v>
      </c>
      <c r="C892">
        <f>Feuille1!B912</f>
        <v>9333.2792330769462</v>
      </c>
      <c r="D892">
        <f>Feuille1!C912</f>
        <v>1796.7954007392839</v>
      </c>
    </row>
    <row r="893" spans="2:4" x14ac:dyDescent="0.25">
      <c r="B893">
        <f>Feuille1!A913</f>
        <v>418.5</v>
      </c>
      <c r="C893">
        <f>Feuille1!B913</f>
        <v>5101.8705995424098</v>
      </c>
      <c r="D893">
        <f>Feuille1!C913</f>
        <v>-9818.9901603971048</v>
      </c>
    </row>
    <row r="894" spans="2:4" x14ac:dyDescent="0.25">
      <c r="B894">
        <f>Feuille1!A914</f>
        <v>419</v>
      </c>
      <c r="C894">
        <f>Feuille1!B914</f>
        <v>-973.76745584919627</v>
      </c>
      <c r="D894">
        <f>Feuille1!C914</f>
        <v>-21265.019302958575</v>
      </c>
    </row>
    <row r="895" spans="2:4" x14ac:dyDescent="0.25">
      <c r="B895">
        <f>Feuille1!A915</f>
        <v>419.5</v>
      </c>
      <c r="C895">
        <f>Feuille1!B915</f>
        <v>-9205.0583303129097</v>
      </c>
      <c r="D895">
        <f>Feuille1!C915</f>
        <v>-34741.402614628743</v>
      </c>
    </row>
    <row r="896" spans="2:4" x14ac:dyDescent="0.25">
      <c r="B896">
        <f>Feuille1!A916</f>
        <v>420</v>
      </c>
      <c r="C896">
        <f>Feuille1!B916</f>
        <v>-14960.788047329692</v>
      </c>
      <c r="D896">
        <f>Feuille1!C916</f>
        <v>-44188.952321723162</v>
      </c>
    </row>
    <row r="897" spans="2:4" x14ac:dyDescent="0.25">
      <c r="B897">
        <f>Feuille1!A917</f>
        <v>420.5</v>
      </c>
      <c r="C897">
        <f>Feuille1!B917</f>
        <v>-19462.969264001738</v>
      </c>
      <c r="D897">
        <f>Feuille1!C917</f>
        <v>-50974.147259667254</v>
      </c>
    </row>
    <row r="898" spans="2:4" x14ac:dyDescent="0.25">
      <c r="B898">
        <f>Feuille1!A918</f>
        <v>421</v>
      </c>
      <c r="C898">
        <f>Feuille1!B918</f>
        <v>-23220.098539966188</v>
      </c>
      <c r="D898">
        <f>Feuille1!C918</f>
        <v>-56012.104850882206</v>
      </c>
    </row>
    <row r="899" spans="2:4" x14ac:dyDescent="0.25">
      <c r="B899">
        <f>Feuille1!A919</f>
        <v>421.5</v>
      </c>
      <c r="C899">
        <f>Feuille1!B919</f>
        <v>-26426.114905992476</v>
      </c>
      <c r="D899">
        <f>Feuille1!C919</f>
        <v>-59719.858907308444</v>
      </c>
    </row>
    <row r="900" spans="2:4" x14ac:dyDescent="0.25">
      <c r="B900">
        <f>Feuille1!A920</f>
        <v>422</v>
      </c>
      <c r="C900">
        <f>Feuille1!B920</f>
        <v>-29171.489275229203</v>
      </c>
      <c r="D900">
        <f>Feuille1!C920</f>
        <v>-62322.242233597986</v>
      </c>
    </row>
    <row r="901" spans="2:4" x14ac:dyDescent="0.25">
      <c r="B901">
        <f>Feuille1!A921</f>
        <v>422.5</v>
      </c>
      <c r="C901">
        <f>Feuille1!B921</f>
        <v>-31502.111265787433</v>
      </c>
      <c r="D901">
        <f>Feuille1!C921</f>
        <v>-63952.956922468555</v>
      </c>
    </row>
    <row r="902" spans="2:4" x14ac:dyDescent="0.25">
      <c r="B902">
        <f>Feuille1!A922</f>
        <v>423</v>
      </c>
      <c r="C902">
        <f>Feuille1!B922</f>
        <v>-33439.906803816761</v>
      </c>
      <c r="D902">
        <f>Feuille1!C922</f>
        <v>-64694.508639642001</v>
      </c>
    </row>
    <row r="903" spans="2:4" x14ac:dyDescent="0.25">
      <c r="B903">
        <f>Feuille1!A923</f>
        <v>423.5</v>
      </c>
      <c r="C903">
        <f>Feuille1!B923</f>
        <v>-34991.096167690055</v>
      </c>
      <c r="D903">
        <f>Feuille1!C923</f>
        <v>-64596.429583628727</v>
      </c>
    </row>
    <row r="904" spans="2:4" x14ac:dyDescent="0.25">
      <c r="B904">
        <f>Feuille1!A924</f>
        <v>424</v>
      </c>
      <c r="C904">
        <f>Feuille1!B924</f>
        <v>-36149.386437978064</v>
      </c>
      <c r="D904">
        <f>Feuille1!C924</f>
        <v>-63684.217337289949</v>
      </c>
    </row>
    <row r="905" spans="2:4" x14ac:dyDescent="0.25">
      <c r="B905">
        <f>Feuille1!A925</f>
        <v>424.5</v>
      </c>
      <c r="C905">
        <f>Feuille1!B925</f>
        <v>-36896.441498255263</v>
      </c>
      <c r="D905">
        <f>Feuille1!C925</f>
        <v>-61963.573835167132</v>
      </c>
    </row>
    <row r="906" spans="2:4" x14ac:dyDescent="0.25">
      <c r="B906">
        <f>Feuille1!A926</f>
        <v>425</v>
      </c>
      <c r="C906">
        <f>Feuille1!B926</f>
        <v>-37200.240531427502</v>
      </c>
      <c r="D906">
        <f>Feuille1!C926</f>
        <v>-59421.791620272132</v>
      </c>
    </row>
    <row r="907" spans="2:4" x14ac:dyDescent="0.25">
      <c r="B907">
        <f>Feuille1!A927</f>
        <v>425.5</v>
      </c>
      <c r="C907">
        <f>Feuille1!B927</f>
        <v>-37010.998788341589</v>
      </c>
      <c r="D907">
        <f>Feuille1!C927</f>
        <v>-56027.015779380141</v>
      </c>
    </row>
    <row r="908" spans="2:4" x14ac:dyDescent="0.25">
      <c r="B908">
        <f>Feuille1!A928</f>
        <v>426</v>
      </c>
      <c r="C908">
        <f>Feuille1!B928</f>
        <v>-36253.349565181183</v>
      </c>
      <c r="D908">
        <f>Feuille1!C928</f>
        <v>-51725.657733975437</v>
      </c>
    </row>
    <row r="909" spans="2:4" x14ac:dyDescent="0.25">
      <c r="B909">
        <f>Feuille1!A929</f>
        <v>426.5</v>
      </c>
      <c r="C909">
        <f>Feuille1!B929</f>
        <v>-34811.87005789017</v>
      </c>
      <c r="D909">
        <f>Feuille1!C929</f>
        <v>-46438.469030362539</v>
      </c>
    </row>
    <row r="910" spans="2:4" x14ac:dyDescent="0.25">
      <c r="B910">
        <f>Feuille1!A930</f>
        <v>427</v>
      </c>
      <c r="C910">
        <f>Feuille1!B930</f>
        <v>-32504.156118775303</v>
      </c>
      <c r="D910">
        <f>Feuille1!C930</f>
        <v>-40058.206966336315</v>
      </c>
    </row>
    <row r="911" spans="2:4" x14ac:dyDescent="0.25">
      <c r="B911">
        <f>Feuille1!A931</f>
        <v>427.5</v>
      </c>
      <c r="C911">
        <f>Feuille1!B931</f>
        <v>-29033.584411840726</v>
      </c>
      <c r="D911">
        <f>Feuille1!C931</f>
        <v>-32463.538501607356</v>
      </c>
    </row>
    <row r="912" spans="2:4" x14ac:dyDescent="0.25">
      <c r="B912">
        <f>Feuille1!A932</f>
        <v>428</v>
      </c>
      <c r="C912">
        <f>Feuille1!B932</f>
        <v>-23946.391385886956</v>
      </c>
      <c r="D912">
        <f>Feuille1!C932</f>
        <v>-23609.229151152886</v>
      </c>
    </row>
    <row r="913" spans="2:4" x14ac:dyDescent="0.25">
      <c r="B913">
        <f>Feuille1!A933</f>
        <v>428.5</v>
      </c>
      <c r="C913">
        <f>Feuille1!B933</f>
        <v>-16914.490187225732</v>
      </c>
      <c r="D913">
        <f>Feuille1!C933</f>
        <v>-13774.529364074046</v>
      </c>
    </row>
    <row r="914" spans="2:4" x14ac:dyDescent="0.25">
      <c r="B914">
        <f>Feuille1!A934</f>
        <v>429</v>
      </c>
      <c r="C914">
        <f>Feuille1!B934</f>
        <v>-8951.3761728060017</v>
      </c>
      <c r="D914">
        <f>Feuille1!C934</f>
        <v>-3059.3784432461125</v>
      </c>
    </row>
    <row r="915" spans="2:4" x14ac:dyDescent="0.25">
      <c r="B915">
        <f>Feuille1!A935</f>
        <v>429.5</v>
      </c>
      <c r="C915">
        <f>Feuille1!B935</f>
        <v>-2225.2197669722682</v>
      </c>
      <c r="D915">
        <f>Feuille1!C935</f>
        <v>9685.8067533336489</v>
      </c>
    </row>
    <row r="916" spans="2:4" x14ac:dyDescent="0.25">
      <c r="B916">
        <f>Feuille1!A936</f>
        <v>430</v>
      </c>
      <c r="C916">
        <f>Feuille1!B936</f>
        <v>871.75156456524019</v>
      </c>
      <c r="D916">
        <f>Feuille1!C936</f>
        <v>24096.605313922719</v>
      </c>
    </row>
    <row r="917" spans="2:4" x14ac:dyDescent="0.25">
      <c r="B917">
        <f>Feuille1!A937</f>
        <v>430.5</v>
      </c>
      <c r="C917">
        <f>Feuille1!B937</f>
        <v>-8.5819769363197338</v>
      </c>
      <c r="D917">
        <f>Feuille1!C937</f>
        <v>37236.171090843578</v>
      </c>
    </row>
    <row r="918" spans="2:4" x14ac:dyDescent="0.25">
      <c r="B918">
        <f>Feuille1!A938</f>
        <v>431</v>
      </c>
      <c r="C918">
        <f>Feuille1!B938</f>
        <v>-3336.3599689822322</v>
      </c>
      <c r="D918">
        <f>Feuille1!C938</f>
        <v>47872.176655108742</v>
      </c>
    </row>
    <row r="919" spans="2:4" x14ac:dyDescent="0.25">
      <c r="B919">
        <f>Feuille1!A939</f>
        <v>431.5</v>
      </c>
      <c r="C919">
        <f>Feuille1!B939</f>
        <v>-7908.9145808400772</v>
      </c>
      <c r="D919">
        <f>Feuille1!C939</f>
        <v>56123.339772425032</v>
      </c>
    </row>
    <row r="920" spans="2:4" x14ac:dyDescent="0.25">
      <c r="B920">
        <f>Feuille1!A940</f>
        <v>432</v>
      </c>
      <c r="C920">
        <f>Feuille1!B940</f>
        <v>-13070.251224537589</v>
      </c>
      <c r="D920">
        <f>Feuille1!C940</f>
        <v>62332.6041785942</v>
      </c>
    </row>
    <row r="921" spans="2:4" x14ac:dyDescent="0.25">
      <c r="B921">
        <f>Feuille1!A941</f>
        <v>432.5</v>
      </c>
      <c r="C921">
        <f>Feuille1!B941</f>
        <v>-18459.906310283804</v>
      </c>
      <c r="D921">
        <f>Feuille1!C941</f>
        <v>66796.374978313208</v>
      </c>
    </row>
    <row r="922" spans="2:4" x14ac:dyDescent="0.25">
      <c r="B922">
        <f>Feuille1!A942</f>
        <v>433</v>
      </c>
      <c r="C922">
        <f>Feuille1!B942</f>
        <v>-23861.91183318452</v>
      </c>
      <c r="D922">
        <f>Feuille1!C942</f>
        <v>69736.565311643382</v>
      </c>
    </row>
    <row r="923" spans="2:4" x14ac:dyDescent="0.25">
      <c r="B923">
        <f>Feuille1!A943</f>
        <v>433.5</v>
      </c>
      <c r="C923">
        <f>Feuille1!B943</f>
        <v>-29132.235514538486</v>
      </c>
      <c r="D923">
        <f>Feuille1!C943</f>
        <v>71314.207467770437</v>
      </c>
    </row>
    <row r="924" spans="2:4" x14ac:dyDescent="0.25">
      <c r="B924">
        <f>Feuille1!A944</f>
        <v>434</v>
      </c>
      <c r="C924">
        <f>Feuille1!B944</f>
        <v>-34162.88072756552</v>
      </c>
      <c r="D924">
        <f>Feuille1!C944</f>
        <v>71644.895135474086</v>
      </c>
    </row>
    <row r="925" spans="2:4" x14ac:dyDescent="0.25">
      <c r="B925">
        <f>Feuille1!A945</f>
        <v>434.5</v>
      </c>
      <c r="C925">
        <f>Feuille1!B945</f>
        <v>-38862.378313110181</v>
      </c>
      <c r="D925">
        <f>Feuille1!C945</f>
        <v>70810.229421108481</v>
      </c>
    </row>
    <row r="926" spans="2:4" x14ac:dyDescent="0.25">
      <c r="B926">
        <f>Feuille1!A946</f>
        <v>435</v>
      </c>
      <c r="C926">
        <f>Feuille1!B946</f>
        <v>-43143.571570612767</v>
      </c>
      <c r="D926">
        <f>Feuille1!C946</f>
        <v>68865.577476296909</v>
      </c>
    </row>
    <row r="927" spans="2:4" x14ac:dyDescent="0.25">
      <c r="B927">
        <f>Feuille1!A947</f>
        <v>435.5</v>
      </c>
      <c r="C927">
        <f>Feuille1!B947</f>
        <v>-46914.259685887519</v>
      </c>
      <c r="D927">
        <f>Feuille1!C947</f>
        <v>65845.215804295018</v>
      </c>
    </row>
    <row r="928" spans="2:4" x14ac:dyDescent="0.25">
      <c r="B928">
        <f>Feuille1!A948</f>
        <v>436</v>
      </c>
      <c r="C928">
        <f>Feuille1!B948</f>
        <v>-50068.045974592715</v>
      </c>
      <c r="D928">
        <f>Feuille1!C948</f>
        <v>61765.823063981676</v>
      </c>
    </row>
    <row r="929" spans="2:4" x14ac:dyDescent="0.25">
      <c r="B929">
        <f>Feuille1!A949</f>
        <v>436.5</v>
      </c>
      <c r="C929">
        <f>Feuille1!B949</f>
        <v>-52473.113057778763</v>
      </c>
      <c r="D929">
        <f>Feuille1!C949</f>
        <v>56629.263991573229</v>
      </c>
    </row>
    <row r="930" spans="2:4" x14ac:dyDescent="0.25">
      <c r="B930">
        <f>Feuille1!A950</f>
        <v>437</v>
      </c>
      <c r="C930">
        <f>Feuille1!B950</f>
        <v>-53956.014947086551</v>
      </c>
      <c r="D930">
        <f>Feuille1!C950</f>
        <v>50426.07038613339</v>
      </c>
    </row>
    <row r="931" spans="2:4" x14ac:dyDescent="0.25">
      <c r="B931">
        <f>Feuille1!A951</f>
        <v>437.5</v>
      </c>
      <c r="C931">
        <f>Feuille1!B951</f>
        <v>-54275.726761497666</v>
      </c>
      <c r="D931">
        <f>Feuille1!C951</f>
        <v>43142.78612544221</v>
      </c>
    </row>
    <row r="932" spans="2:4" x14ac:dyDescent="0.25">
      <c r="B932">
        <f>Feuille1!A952</f>
        <v>438</v>
      </c>
      <c r="C932">
        <f>Feuille1!B952</f>
        <v>-53079.604746561665</v>
      </c>
      <c r="D932">
        <f>Feuille1!C952</f>
        <v>34782.019874231431</v>
      </c>
    </row>
    <row r="933" spans="2:4" x14ac:dyDescent="0.25">
      <c r="B933">
        <f>Feuille1!A953</f>
        <v>438.5</v>
      </c>
      <c r="C933">
        <f>Feuille1!B953</f>
        <v>-49829.088885621386</v>
      </c>
      <c r="D933">
        <f>Feuille1!C953</f>
        <v>25422.680301208573</v>
      </c>
    </row>
    <row r="934" spans="2:4" x14ac:dyDescent="0.25">
      <c r="B934">
        <f>Feuille1!A954</f>
        <v>439</v>
      </c>
      <c r="C934">
        <f>Feuille1!B954</f>
        <v>-43702.962388221938</v>
      </c>
      <c r="D934">
        <f>Feuille1!C954</f>
        <v>15408.683230050625</v>
      </c>
    </row>
    <row r="935" spans="2:4" x14ac:dyDescent="0.25">
      <c r="B935">
        <f>Feuille1!A955</f>
        <v>439.5</v>
      </c>
      <c r="C935">
        <f>Feuille1!B955</f>
        <v>-33713.781033923296</v>
      </c>
      <c r="D935">
        <f>Feuille1!C955</f>
        <v>5886.3474451493694</v>
      </c>
    </row>
    <row r="936" spans="2:4" x14ac:dyDescent="0.25">
      <c r="B936">
        <f>Feuille1!A956</f>
        <v>440</v>
      </c>
      <c r="C936">
        <f>Feuille1!B956</f>
        <v>-20193.413812217019</v>
      </c>
      <c r="D936">
        <f>Feuille1!C956</f>
        <v>-697.28577884374045</v>
      </c>
    </row>
    <row r="937" spans="2:4" x14ac:dyDescent="0.25">
      <c r="B937">
        <f>Feuille1!A957</f>
        <v>440.5</v>
      </c>
      <c r="C937">
        <f>Feuille1!B957</f>
        <v>-6180.0985167865501</v>
      </c>
      <c r="D937">
        <f>Feuille1!C957</f>
        <v>-3624.2640347495153</v>
      </c>
    </row>
    <row r="938" spans="2:4" x14ac:dyDescent="0.25">
      <c r="B938">
        <f>Feuille1!A958</f>
        <v>441</v>
      </c>
      <c r="C938">
        <f>Feuille1!B958</f>
        <v>6381.2297215518211</v>
      </c>
      <c r="D938">
        <f>Feuille1!C958</f>
        <v>-4961.3625352393938</v>
      </c>
    </row>
    <row r="939" spans="2:4" x14ac:dyDescent="0.25">
      <c r="B939">
        <f>Feuille1!A959</f>
        <v>441.5</v>
      </c>
      <c r="C939">
        <f>Feuille1!B959</f>
        <v>17048.920573974312</v>
      </c>
      <c r="D939">
        <f>Feuille1!C959</f>
        <v>-5716.6077591099074</v>
      </c>
    </row>
    <row r="940" spans="2:4" x14ac:dyDescent="0.25">
      <c r="B940">
        <f>Feuille1!A960</f>
        <v>442</v>
      </c>
      <c r="C940">
        <f>Feuille1!B960</f>
        <v>25963.154758155288</v>
      </c>
      <c r="D940">
        <f>Feuille1!C960</f>
        <v>-5983.6979715888492</v>
      </c>
    </row>
    <row r="941" spans="2:4" x14ac:dyDescent="0.25">
      <c r="B941">
        <f>Feuille1!A961</f>
        <v>442.5</v>
      </c>
      <c r="C941">
        <f>Feuille1!B961</f>
        <v>33335.180916599362</v>
      </c>
      <c r="D941">
        <f>Feuille1!C961</f>
        <v>-5830.6591937541525</v>
      </c>
    </row>
    <row r="942" spans="2:4" x14ac:dyDescent="0.25">
      <c r="B942">
        <f>Feuille1!A962</f>
        <v>443</v>
      </c>
      <c r="C942">
        <f>Feuille1!B962</f>
        <v>39371.736095724693</v>
      </c>
      <c r="D942">
        <f>Feuille1!C962</f>
        <v>-5361.4906709326569</v>
      </c>
    </row>
    <row r="943" spans="2:4" x14ac:dyDescent="0.25">
      <c r="B943">
        <f>Feuille1!A963</f>
        <v>443.5</v>
      </c>
      <c r="C943">
        <f>Feuille1!B963</f>
        <v>44242.968506607976</v>
      </c>
      <c r="D943">
        <f>Feuille1!C963</f>
        <v>-4656.3075911633878</v>
      </c>
    </row>
    <row r="944" spans="2:4" x14ac:dyDescent="0.25">
      <c r="B944">
        <f>Feuille1!A964</f>
        <v>444</v>
      </c>
      <c r="C944">
        <f>Feuille1!B964</f>
        <v>48074.43123037256</v>
      </c>
      <c r="D944">
        <f>Feuille1!C964</f>
        <v>-3769.0896600356095</v>
      </c>
    </row>
    <row r="945" spans="2:4" x14ac:dyDescent="0.25">
      <c r="B945">
        <f>Feuille1!A965</f>
        <v>444.5</v>
      </c>
      <c r="C945">
        <f>Feuille1!B965</f>
        <v>50954.471771787452</v>
      </c>
      <c r="D945">
        <f>Feuille1!C965</f>
        <v>-2736.7377364841841</v>
      </c>
    </row>
    <row r="946" spans="2:4" x14ac:dyDescent="0.25">
      <c r="B946">
        <f>Feuille1!A966</f>
        <v>445</v>
      </c>
      <c r="C946">
        <f>Feuille1!B966</f>
        <v>52942.768023770899</v>
      </c>
      <c r="D946">
        <f>Feuille1!C966</f>
        <v>-1585.6450902569491</v>
      </c>
    </row>
    <row r="947" spans="2:4" x14ac:dyDescent="0.25">
      <c r="B947">
        <f>Feuille1!A967</f>
        <v>445.5</v>
      </c>
      <c r="C947">
        <f>Feuille1!B967</f>
        <v>54076.468882971458</v>
      </c>
      <c r="D947">
        <f>Feuille1!C967</f>
        <v>-335.60874438496211</v>
      </c>
    </row>
    <row r="948" spans="2:4" x14ac:dyDescent="0.25">
      <c r="B948">
        <f>Feuille1!A968</f>
        <v>446</v>
      </c>
      <c r="C948">
        <f>Feuille1!B968</f>
        <v>54373.876462696091</v>
      </c>
      <c r="D948">
        <f>Feuille1!C968</f>
        <v>997.84581458760147</v>
      </c>
    </row>
    <row r="949" spans="2:4" x14ac:dyDescent="0.25">
      <c r="B949">
        <f>Feuille1!A969</f>
        <v>446.5</v>
      </c>
      <c r="C949">
        <f>Feuille1!B969</f>
        <v>53836.073894528599</v>
      </c>
      <c r="D949">
        <f>Feuille1!C969</f>
        <v>2402.0323320568173</v>
      </c>
    </row>
    <row r="950" spans="2:4" x14ac:dyDescent="0.25">
      <c r="B950">
        <f>Feuille1!A970</f>
        <v>447</v>
      </c>
      <c r="C950">
        <f>Feuille1!B970</f>
        <v>52446.668883615843</v>
      </c>
      <c r="D950">
        <f>Feuille1!C970</f>
        <v>3866.2018992374947</v>
      </c>
    </row>
    <row r="951" spans="2:4" x14ac:dyDescent="0.25">
      <c r="B951">
        <f>Feuille1!A971</f>
        <v>447.5</v>
      </c>
      <c r="C951">
        <f>Feuille1!B971</f>
        <v>50169.380721117224</v>
      </c>
      <c r="D951">
        <f>Feuille1!C971</f>
        <v>5381.0225862453453</v>
      </c>
    </row>
    <row r="952" spans="2:4" x14ac:dyDescent="0.25">
      <c r="B952">
        <f>Feuille1!A972</f>
        <v>448</v>
      </c>
      <c r="C952">
        <f>Feuille1!B972</f>
        <v>46942.42965398026</v>
      </c>
      <c r="D952">
        <f>Feuille1!C972</f>
        <v>6938.4932114667081</v>
      </c>
    </row>
    <row r="953" spans="2:4" x14ac:dyDescent="0.25">
      <c r="B953">
        <f>Feuille1!A973</f>
        <v>448.5</v>
      </c>
      <c r="C953">
        <f>Feuille1!B973</f>
        <v>42666.912063676398</v>
      </c>
      <c r="D953">
        <f>Feuille1!C973</f>
        <v>8532.7493627863005</v>
      </c>
    </row>
    <row r="954" spans="2:4" x14ac:dyDescent="0.25">
      <c r="B954">
        <f>Feuille1!A974</f>
        <v>449</v>
      </c>
      <c r="C954">
        <f>Feuille1!B974</f>
        <v>37180.930367459332</v>
      </c>
      <c r="D954">
        <f>Feuille1!C974</f>
        <v>10163.612349012921</v>
      </c>
    </row>
    <row r="955" spans="2:4" x14ac:dyDescent="0.25">
      <c r="B955">
        <f>Feuille1!A975</f>
        <v>449.5</v>
      </c>
      <c r="C955">
        <f>Feuille1!B975</f>
        <v>30188.798425665085</v>
      </c>
      <c r="D955">
        <f>Feuille1!C975</f>
        <v>11851.618618675901</v>
      </c>
    </row>
    <row r="956" spans="2:4" x14ac:dyDescent="0.25">
      <c r="B956">
        <f>Feuille1!A976</f>
        <v>450</v>
      </c>
      <c r="C956">
        <f>Feuille1!B976</f>
        <v>20975.209839093273</v>
      </c>
      <c r="D956">
        <f>Feuille1!C976</f>
        <v>13729.982644671012</v>
      </c>
    </row>
    <row r="957" spans="2:4" x14ac:dyDescent="0.25">
      <c r="B957">
        <f>Feuille1!A977</f>
        <v>450.5</v>
      </c>
      <c r="C957">
        <f>Feuille1!B977</f>
        <v>8993.699175496733</v>
      </c>
      <c r="D957">
        <f>Feuille1!C977</f>
        <v>16687.029233492591</v>
      </c>
    </row>
    <row r="958" spans="2:4" x14ac:dyDescent="0.25">
      <c r="B958">
        <f>Feuille1!A978</f>
        <v>451</v>
      </c>
      <c r="C958">
        <f>Feuille1!B978</f>
        <v>-5215.3326379551472</v>
      </c>
      <c r="D958">
        <f>Feuille1!C978</f>
        <v>19457.15572837778</v>
      </c>
    </row>
    <row r="959" spans="2:4" x14ac:dyDescent="0.25">
      <c r="B959">
        <f>Feuille1!A979</f>
        <v>451.5</v>
      </c>
      <c r="C959">
        <f>Feuille1!B979</f>
        <v>-24824.202391654042</v>
      </c>
      <c r="D959">
        <f>Feuille1!C979</f>
        <v>21996.441779770059</v>
      </c>
    </row>
    <row r="960" spans="2:4" x14ac:dyDescent="0.25">
      <c r="B960">
        <f>Feuille1!A980</f>
        <v>452</v>
      </c>
      <c r="C960">
        <f>Feuille1!B980</f>
        <v>-40000.91684880868</v>
      </c>
      <c r="D960">
        <f>Feuille1!C980</f>
        <v>22463.696504067011</v>
      </c>
    </row>
    <row r="961" spans="2:4" x14ac:dyDescent="0.25">
      <c r="B961">
        <f>Feuille1!A981</f>
        <v>452.5</v>
      </c>
      <c r="C961">
        <f>Feuille1!B981</f>
        <v>-50543.090306550759</v>
      </c>
      <c r="D961">
        <f>Feuille1!C981</f>
        <v>22166.363205542271</v>
      </c>
    </row>
    <row r="962" spans="2:4" x14ac:dyDescent="0.25">
      <c r="B962">
        <f>Feuille1!A982</f>
        <v>453</v>
      </c>
      <c r="C962">
        <f>Feuille1!B982</f>
        <v>-58197.08348196654</v>
      </c>
      <c r="D962">
        <f>Feuille1!C982</f>
        <v>21513.778062513607</v>
      </c>
    </row>
    <row r="963" spans="2:4" x14ac:dyDescent="0.25">
      <c r="B963">
        <f>Feuille1!A983</f>
        <v>453.5</v>
      </c>
      <c r="C963">
        <f>Feuille1!B983</f>
        <v>-63746.982456829384</v>
      </c>
      <c r="D963">
        <f>Feuille1!C983</f>
        <v>20652.88336478396</v>
      </c>
    </row>
    <row r="964" spans="2:4" x14ac:dyDescent="0.25">
      <c r="B964">
        <f>Feuille1!A984</f>
        <v>454</v>
      </c>
      <c r="C964">
        <f>Feuille1!B984</f>
        <v>-67587.185470553784</v>
      </c>
      <c r="D964">
        <f>Feuille1!C984</f>
        <v>19656.547806325128</v>
      </c>
    </row>
    <row r="965" spans="2:4" x14ac:dyDescent="0.25">
      <c r="B965">
        <f>Feuille1!A985</f>
        <v>454.5</v>
      </c>
      <c r="C965">
        <f>Feuille1!B985</f>
        <v>-69931.029998235259</v>
      </c>
      <c r="D965">
        <f>Feuille1!C985</f>
        <v>18569.464361551505</v>
      </c>
    </row>
    <row r="966" spans="2:4" x14ac:dyDescent="0.25">
      <c r="B966">
        <f>Feuille1!A986</f>
        <v>455</v>
      </c>
      <c r="C966">
        <f>Feuille1!B986</f>
        <v>-70890.228830861539</v>
      </c>
      <c r="D966">
        <f>Feuille1!C986</f>
        <v>17424.117217158859</v>
      </c>
    </row>
    <row r="967" spans="2:4" x14ac:dyDescent="0.25">
      <c r="B967">
        <f>Feuille1!A987</f>
        <v>455.5</v>
      </c>
      <c r="C967">
        <f>Feuille1!B987</f>
        <v>-70507.458526404604</v>
      </c>
      <c r="D967">
        <f>Feuille1!C987</f>
        <v>16248.34891004961</v>
      </c>
    </row>
    <row r="968" spans="2:4" x14ac:dyDescent="0.25">
      <c r="B968">
        <f>Feuille1!A988</f>
        <v>456</v>
      </c>
      <c r="C968">
        <f>Feuille1!B988</f>
        <v>-68767.539362506868</v>
      </c>
      <c r="D968">
        <f>Feuille1!C988</f>
        <v>15070.553193134248</v>
      </c>
    </row>
    <row r="969" spans="2:4" x14ac:dyDescent="0.25">
      <c r="B969">
        <f>Feuille1!A989</f>
        <v>456.5</v>
      </c>
      <c r="C969">
        <f>Feuille1!B989</f>
        <v>-65594.543739838497</v>
      </c>
      <c r="D969">
        <f>Feuille1!C989</f>
        <v>13925.360659058511</v>
      </c>
    </row>
    <row r="970" spans="2:4" x14ac:dyDescent="0.25">
      <c r="B970">
        <f>Feuille1!A990</f>
        <v>457</v>
      </c>
      <c r="C970">
        <f>Feuille1!B990</f>
        <v>-60833.454053067195</v>
      </c>
      <c r="D970">
        <f>Feuille1!C990</f>
        <v>12863.111916039987</v>
      </c>
    </row>
    <row r="971" spans="2:4" x14ac:dyDescent="0.25">
      <c r="B971">
        <f>Feuille1!A991</f>
        <v>457.5</v>
      </c>
      <c r="C971">
        <f>Feuille1!B991</f>
        <v>-54205.126766672256</v>
      </c>
      <c r="D971">
        <f>Feuille1!C991</f>
        <v>11970.926100199185</v>
      </c>
    </row>
    <row r="972" spans="2:4" x14ac:dyDescent="0.25">
      <c r="B972">
        <f>Feuille1!A992</f>
        <v>458</v>
      </c>
      <c r="C972">
        <f>Feuille1!B992</f>
        <v>-45201.160419127977</v>
      </c>
      <c r="D972">
        <f>Feuille1!C992</f>
        <v>11431.839070186928</v>
      </c>
    </row>
    <row r="973" spans="2:4" x14ac:dyDescent="0.25">
      <c r="B973">
        <f>Feuille1!A993</f>
        <v>458.5</v>
      </c>
      <c r="C973">
        <f>Feuille1!B993</f>
        <v>-32834.696909213977</v>
      </c>
      <c r="D973">
        <f>Feuille1!C993</f>
        <v>11740.409144237987</v>
      </c>
    </row>
    <row r="974" spans="2:4" x14ac:dyDescent="0.25">
      <c r="B974">
        <f>Feuille1!A994</f>
        <v>459</v>
      </c>
      <c r="C974">
        <f>Feuille1!B994</f>
        <v>-15575.787432650493</v>
      </c>
      <c r="D974">
        <f>Feuille1!C994</f>
        <v>14704.071980892491</v>
      </c>
    </row>
    <row r="975" spans="2:4" x14ac:dyDescent="0.25">
      <c r="B975">
        <f>Feuille1!A995</f>
        <v>459.5</v>
      </c>
      <c r="C975">
        <f>Feuille1!B995</f>
        <v>-1583.6417884266707</v>
      </c>
      <c r="D975">
        <f>Feuille1!C995</f>
        <v>21376.278856790894</v>
      </c>
    </row>
    <row r="976" spans="2:4" x14ac:dyDescent="0.25">
      <c r="B976">
        <f>Feuille1!A996</f>
        <v>460</v>
      </c>
      <c r="C976">
        <f>Feuille1!B996</f>
        <v>7781.2802619627446</v>
      </c>
      <c r="D976">
        <f>Feuille1!C996</f>
        <v>27246.366243048193</v>
      </c>
    </row>
    <row r="977" spans="2:4" x14ac:dyDescent="0.25">
      <c r="B977">
        <f>Feuille1!A997</f>
        <v>460.5</v>
      </c>
      <c r="C977">
        <f>Feuille1!B997</f>
        <v>14467.896113609249</v>
      </c>
      <c r="D977">
        <f>Feuille1!C997</f>
        <v>31803.89167910918</v>
      </c>
    </row>
    <row r="978" spans="2:4" x14ac:dyDescent="0.25">
      <c r="B978">
        <f>Feuille1!A998</f>
        <v>461</v>
      </c>
      <c r="C978">
        <f>Feuille1!B998</f>
        <v>19207.019703116071</v>
      </c>
      <c r="D978">
        <f>Feuille1!C998</f>
        <v>35095.687701269002</v>
      </c>
    </row>
    <row r="979" spans="2:4" x14ac:dyDescent="0.25">
      <c r="B979">
        <f>Feuille1!A999</f>
        <v>461.5</v>
      </c>
      <c r="C979">
        <f>Feuille1!B999</f>
        <v>22323.568930126046</v>
      </c>
      <c r="D979">
        <f>Feuille1!C999</f>
        <v>37293.627721309844</v>
      </c>
    </row>
    <row r="980" spans="2:4" x14ac:dyDescent="0.25">
      <c r="B980">
        <f>Feuille1!A1000</f>
        <v>462</v>
      </c>
      <c r="C980">
        <f>Feuille1!B1000</f>
        <v>23999.759371940469</v>
      </c>
      <c r="D980">
        <f>Feuille1!C1000</f>
        <v>38523.195324608932</v>
      </c>
    </row>
    <row r="981" spans="2:4" x14ac:dyDescent="0.25">
      <c r="B981">
        <f>Feuille1!A1001</f>
        <v>462.5</v>
      </c>
      <c r="C981">
        <f>Feuille1!B1001</f>
        <v>24327.030407849812</v>
      </c>
      <c r="D981">
        <f>Feuille1!C1001</f>
        <v>38848.226583606338</v>
      </c>
    </row>
    <row r="982" spans="2:4" x14ac:dyDescent="0.25">
      <c r="B982">
        <f>Feuille1!A1002</f>
        <v>463</v>
      </c>
      <c r="C982">
        <f>Feuille1!B1002</f>
        <v>23325.448696238953</v>
      </c>
      <c r="D982">
        <f>Feuille1!C1002</f>
        <v>38280.964964181505</v>
      </c>
    </row>
    <row r="983" spans="2:4" x14ac:dyDescent="0.25">
      <c r="B983">
        <f>Feuille1!A1003</f>
        <v>463.5</v>
      </c>
      <c r="C983">
        <f>Feuille1!B1003</f>
        <v>20947.724663308371</v>
      </c>
      <c r="D983">
        <f>Feuille1!C1003</f>
        <v>36784.888028545101</v>
      </c>
    </row>
    <row r="984" spans="2:4" x14ac:dyDescent="0.25">
      <c r="B984">
        <f>Feuille1!A1004</f>
        <v>464</v>
      </c>
      <c r="C984">
        <f>Feuille1!B1004</f>
        <v>17068.68927279162</v>
      </c>
      <c r="D984">
        <f>Feuille1!C1004</f>
        <v>34267.955963466833</v>
      </c>
    </row>
    <row r="985" spans="2:4" x14ac:dyDescent="0.25">
      <c r="B985">
        <f>Feuille1!A1005</f>
        <v>464.5</v>
      </c>
      <c r="C985">
        <f>Feuille1!B1005</f>
        <v>11453.690981288304</v>
      </c>
      <c r="D985">
        <f>Feuille1!C1005</f>
        <v>30574.822310262294</v>
      </c>
    </row>
    <row r="986" spans="2:4" x14ac:dyDescent="0.25">
      <c r="B986">
        <f>Feuille1!A1006</f>
        <v>465</v>
      </c>
      <c r="C986">
        <f>Feuille1!B1006</f>
        <v>3647.6915409500803</v>
      </c>
      <c r="D986">
        <f>Feuille1!C1006</f>
        <v>25536.454388495888</v>
      </c>
    </row>
    <row r="987" spans="2:4" x14ac:dyDescent="0.25">
      <c r="B987">
        <f>Feuille1!A1007</f>
        <v>465.5</v>
      </c>
      <c r="C987">
        <f>Feuille1!B1007</f>
        <v>-7535.8475158391702</v>
      </c>
      <c r="D987">
        <f>Feuille1!C1007</f>
        <v>19174.075074167667</v>
      </c>
    </row>
    <row r="988" spans="2:4" x14ac:dyDescent="0.25">
      <c r="B988">
        <f>Feuille1!A1008</f>
        <v>466</v>
      </c>
      <c r="C988">
        <f>Feuille1!B1008</f>
        <v>-24461.970547264107</v>
      </c>
      <c r="D988">
        <f>Feuille1!C1008</f>
        <v>12774.062257216008</v>
      </c>
    </row>
    <row r="989" spans="2:4" x14ac:dyDescent="0.25">
      <c r="B989">
        <f>Feuille1!A1009</f>
        <v>466.5</v>
      </c>
      <c r="C989">
        <f>Feuille1!B1009</f>
        <v>-38060.493630034514</v>
      </c>
      <c r="D989">
        <f>Feuille1!C1009</f>
        <v>10959.866126734627</v>
      </c>
    </row>
    <row r="990" spans="2:4" x14ac:dyDescent="0.25">
      <c r="B990">
        <f>Feuille1!A1010</f>
        <v>467</v>
      </c>
      <c r="C990">
        <f>Feuille1!B1010</f>
        <v>-47386.913363503554</v>
      </c>
      <c r="D990">
        <f>Feuille1!C1010</f>
        <v>10876.089638797797</v>
      </c>
    </row>
    <row r="991" spans="2:4" x14ac:dyDescent="0.25">
      <c r="B991">
        <f>Feuille1!A1011</f>
        <v>467.5</v>
      </c>
      <c r="C991">
        <f>Feuille1!B1011</f>
        <v>-53665.083443947835</v>
      </c>
      <c r="D991">
        <f>Feuille1!C1011</f>
        <v>11529.815952651719</v>
      </c>
    </row>
    <row r="992" spans="2:4" x14ac:dyDescent="0.25">
      <c r="B992">
        <f>Feuille1!A1012</f>
        <v>468</v>
      </c>
      <c r="C992">
        <f>Feuille1!B1012</f>
        <v>-57531.588253745191</v>
      </c>
      <c r="D992">
        <f>Feuille1!C1012</f>
        <v>12578.036772228372</v>
      </c>
    </row>
    <row r="993" spans="2:4" x14ac:dyDescent="0.25">
      <c r="B993">
        <f>Feuille1!A1013</f>
        <v>468.5</v>
      </c>
      <c r="C993">
        <f>Feuille1!B1013</f>
        <v>-59292.77065329512</v>
      </c>
      <c r="D993">
        <f>Feuille1!C1013</f>
        <v>13865.327802761627</v>
      </c>
    </row>
    <row r="994" spans="2:4" x14ac:dyDescent="0.25">
      <c r="B994">
        <f>Feuille1!A1014</f>
        <v>469</v>
      </c>
      <c r="C994">
        <f>Feuille1!B1014</f>
        <v>-59062.505129089943</v>
      </c>
      <c r="D994">
        <f>Feuille1!C1014</f>
        <v>15304.253826555134</v>
      </c>
    </row>
    <row r="995" spans="2:4" x14ac:dyDescent="0.25">
      <c r="B995">
        <f>Feuille1!A1015</f>
        <v>469.5</v>
      </c>
      <c r="C995">
        <f>Feuille1!B1015</f>
        <v>-56805.465742038417</v>
      </c>
      <c r="D995">
        <f>Feuille1!C1015</f>
        <v>16834.200147836222</v>
      </c>
    </row>
    <row r="996" spans="2:4" x14ac:dyDescent="0.25">
      <c r="B996">
        <f>Feuille1!A1016</f>
        <v>470</v>
      </c>
      <c r="C996">
        <f>Feuille1!B1016</f>
        <v>-52319.524747748685</v>
      </c>
      <c r="D996">
        <f>Feuille1!C1016</f>
        <v>18400.482560936638</v>
      </c>
    </row>
    <row r="997" spans="2:4" x14ac:dyDescent="0.25">
      <c r="B997">
        <f>Feuille1!A1017</f>
        <v>470.5</v>
      </c>
      <c r="C997">
        <f>Feuille1!B1017</f>
        <v>-45136.564872246039</v>
      </c>
      <c r="D997">
        <f>Feuille1!C1017</f>
        <v>19931.974466417723</v>
      </c>
    </row>
    <row r="998" spans="2:4" x14ac:dyDescent="0.25">
      <c r="B998">
        <f>Feuille1!A1018</f>
        <v>471</v>
      </c>
      <c r="C998">
        <f>Feuille1!B1018</f>
        <v>-34227.082858813388</v>
      </c>
      <c r="D998">
        <f>Feuille1!C1018</f>
        <v>21278.937400257848</v>
      </c>
    </row>
    <row r="999" spans="2:4" x14ac:dyDescent="0.25">
      <c r="B999">
        <f>Feuille1!A1019</f>
        <v>471.5</v>
      </c>
      <c r="C999">
        <f>Feuille1!B1019</f>
        <v>-17473.84569516894</v>
      </c>
      <c r="D999">
        <f>Feuille1!C1019</f>
        <v>21861.987229506136</v>
      </c>
    </row>
    <row r="1000" spans="2:4" x14ac:dyDescent="0.25">
      <c r="B1000">
        <f>Feuille1!A1020</f>
        <v>472</v>
      </c>
      <c r="C1000">
        <f>Feuille1!B1020</f>
        <v>-3033.151553163199</v>
      </c>
      <c r="D1000">
        <f>Feuille1!C1020</f>
        <v>20260.916868386576</v>
      </c>
    </row>
    <row r="1001" spans="2:4" x14ac:dyDescent="0.25">
      <c r="B1001">
        <f>Feuille1!A1021</f>
        <v>472.5</v>
      </c>
      <c r="C1001">
        <f>Feuille1!B1021</f>
        <v>6444.5451774553512</v>
      </c>
      <c r="D1001">
        <f>Feuille1!C1021</f>
        <v>18141.344533065585</v>
      </c>
    </row>
    <row r="1002" spans="2:4" x14ac:dyDescent="0.25">
      <c r="B1002">
        <f>Feuille1!A1022</f>
        <v>473</v>
      </c>
      <c r="C1002">
        <f>Feuille1!B1022</f>
        <v>13070.687738980323</v>
      </c>
      <c r="D1002">
        <f>Feuille1!C1022</f>
        <v>15735.183265935462</v>
      </c>
    </row>
    <row r="1003" spans="2:4" x14ac:dyDescent="0.25">
      <c r="B1003">
        <f>Feuille1!A1023</f>
        <v>473.5</v>
      </c>
      <c r="C1003">
        <f>Feuille1!B1023</f>
        <v>18593.692247619263</v>
      </c>
      <c r="D1003">
        <f>Feuille1!C1023</f>
        <v>13105.853827592015</v>
      </c>
    </row>
    <row r="1004" spans="2:4" x14ac:dyDescent="0.25">
      <c r="B1004">
        <f>Feuille1!A1024</f>
        <v>474</v>
      </c>
      <c r="C1004">
        <f>Feuille1!B1024</f>
        <v>23165.935389729671</v>
      </c>
      <c r="D1004">
        <f>Feuille1!C1024</f>
        <v>11915.270668000794</v>
      </c>
    </row>
    <row r="1005" spans="2:4" x14ac:dyDescent="0.25">
      <c r="B1005">
        <f>Feuille1!A1025</f>
        <v>474.5</v>
      </c>
      <c r="C1005">
        <f>Feuille1!B1025</f>
        <v>24601.327928867191</v>
      </c>
      <c r="D1005">
        <f>Feuille1!C1025</f>
        <v>12047.325480440424</v>
      </c>
    </row>
    <row r="1006" spans="2:4" x14ac:dyDescent="0.25">
      <c r="B1006">
        <f>Feuille1!A1026</f>
        <v>475</v>
      </c>
      <c r="C1006">
        <f>Feuille1!B1026</f>
        <v>22889.724131015595</v>
      </c>
      <c r="D1006">
        <f>Feuille1!C1026</f>
        <v>13082.085510055545</v>
      </c>
    </row>
    <row r="1007" spans="2:4" x14ac:dyDescent="0.25">
      <c r="B1007">
        <f>Feuille1!A1027</f>
        <v>475.5</v>
      </c>
      <c r="C1007">
        <f>Feuille1!B1027</f>
        <v>17733.731292635945</v>
      </c>
      <c r="D1007">
        <f>Feuille1!C1027</f>
        <v>15167.254731952817</v>
      </c>
    </row>
    <row r="1008" spans="2:4" x14ac:dyDescent="0.25">
      <c r="B1008">
        <f>Feuille1!A1028</f>
        <v>476</v>
      </c>
      <c r="C1008">
        <f>Feuille1!B1028</f>
        <v>12244.272672528943</v>
      </c>
      <c r="D1008">
        <f>Feuille1!C1028</f>
        <v>17024.68127108915</v>
      </c>
    </row>
    <row r="1009" spans="2:4" x14ac:dyDescent="0.25">
      <c r="B1009">
        <f>Feuille1!A1029</f>
        <v>476.5</v>
      </c>
      <c r="C1009">
        <f>Feuille1!B1029</f>
        <v>5315.8759631428629</v>
      </c>
      <c r="D1009">
        <f>Feuille1!C1029</f>
        <v>18429.565631498521</v>
      </c>
    </row>
    <row r="1010" spans="2:4" x14ac:dyDescent="0.25">
      <c r="B1010">
        <f>Feuille1!A1030</f>
        <v>477</v>
      </c>
      <c r="C1010">
        <f>Feuille1!B1030</f>
        <v>-4713.5297662440962</v>
      </c>
      <c r="D1010">
        <f>Feuille1!C1030</f>
        <v>19545.969419610854</v>
      </c>
    </row>
    <row r="1011" spans="2:4" x14ac:dyDescent="0.25">
      <c r="B1011">
        <f>Feuille1!A1031</f>
        <v>477.5</v>
      </c>
      <c r="C1011">
        <f>Feuille1!B1031</f>
        <v>-20049.044654549674</v>
      </c>
      <c r="D1011">
        <f>Feuille1!C1031</f>
        <v>20388.461908321882</v>
      </c>
    </row>
    <row r="1012" spans="2:4" x14ac:dyDescent="0.25">
      <c r="B1012">
        <f>Feuille1!A1032</f>
        <v>478</v>
      </c>
      <c r="C1012">
        <f>Feuille1!B1032</f>
        <v>-35152.856654996984</v>
      </c>
      <c r="D1012">
        <f>Feuille1!C1032</f>
        <v>20470.119471772618</v>
      </c>
    </row>
    <row r="1013" spans="2:4" x14ac:dyDescent="0.25">
      <c r="B1013">
        <f>Feuille1!A1033</f>
        <v>478.5</v>
      </c>
      <c r="C1013">
        <f>Feuille1!B1033</f>
        <v>-44544.826736609321</v>
      </c>
      <c r="D1013">
        <f>Feuille1!C1033</f>
        <v>20127.133569720594</v>
      </c>
    </row>
    <row r="1014" spans="2:4" x14ac:dyDescent="0.25">
      <c r="B1014">
        <f>Feuille1!A1034</f>
        <v>479</v>
      </c>
      <c r="C1014">
        <f>Feuille1!B1034</f>
        <v>-50108.020816727898</v>
      </c>
      <c r="D1014">
        <f>Feuille1!C1034</f>
        <v>19568.338007206079</v>
      </c>
    </row>
    <row r="1015" spans="2:4" x14ac:dyDescent="0.25">
      <c r="B1015">
        <f>Feuille1!A1035</f>
        <v>479.5</v>
      </c>
      <c r="C1015">
        <f>Feuille1!B1035</f>
        <v>-52698.022185720001</v>
      </c>
      <c r="D1015">
        <f>Feuille1!C1035</f>
        <v>18881.078416027092</v>
      </c>
    </row>
    <row r="1016" spans="2:4" x14ac:dyDescent="0.25">
      <c r="B1016">
        <f>Feuille1!A1036</f>
        <v>480</v>
      </c>
      <c r="C1016">
        <f>Feuille1!B1036</f>
        <v>-52633.021803834643</v>
      </c>
      <c r="D1016">
        <f>Feuille1!C1036</f>
        <v>18121.679943461269</v>
      </c>
    </row>
    <row r="1017" spans="2:4" x14ac:dyDescent="0.25">
      <c r="B1017">
        <f>Feuille1!A1037</f>
        <v>480.5</v>
      </c>
      <c r="C1017">
        <f>Feuille1!B1037</f>
        <v>-49908.523855127205</v>
      </c>
      <c r="D1017">
        <f>Feuille1!C1037</f>
        <v>17346.767847334486</v>
      </c>
    </row>
    <row r="1018" spans="2:4" x14ac:dyDescent="0.25">
      <c r="B1018">
        <f>Feuille1!A1038</f>
        <v>481</v>
      </c>
      <c r="C1018">
        <f>Feuille1!B1038</f>
        <v>-44198.509383038487</v>
      </c>
      <c r="D1018">
        <f>Feuille1!C1038</f>
        <v>16646.650386164212</v>
      </c>
    </row>
    <row r="1019" spans="2:4" x14ac:dyDescent="0.25">
      <c r="B1019">
        <f>Feuille1!A1039</f>
        <v>481.5</v>
      </c>
      <c r="C1019">
        <f>Feuille1!B1039</f>
        <v>-34652.463532872898</v>
      </c>
      <c r="D1019">
        <f>Feuille1!C1039</f>
        <v>16241.275646204371</v>
      </c>
    </row>
    <row r="1020" spans="2:4" x14ac:dyDescent="0.25">
      <c r="B1020">
        <f>Feuille1!A1040</f>
        <v>482</v>
      </c>
      <c r="C1020">
        <f>Feuille1!B1040</f>
        <v>-19528.246678264451</v>
      </c>
      <c r="D1020">
        <f>Feuille1!C1040</f>
        <v>16930.81214772251</v>
      </c>
    </row>
    <row r="1021" spans="2:4" x14ac:dyDescent="0.25">
      <c r="B1021">
        <f>Feuille1!A1041</f>
        <v>482.5</v>
      </c>
      <c r="C1021">
        <f>Feuille1!B1041</f>
        <v>-4665.6663158058991</v>
      </c>
      <c r="D1021">
        <f>Feuille1!C1041</f>
        <v>20244.357099961777</v>
      </c>
    </row>
    <row r="1022" spans="2:4" x14ac:dyDescent="0.25">
      <c r="B1022">
        <f>Feuille1!A1042</f>
        <v>483</v>
      </c>
      <c r="C1022">
        <f>Feuille1!B1042</f>
        <v>4894.6857773669708</v>
      </c>
      <c r="D1022">
        <f>Feuille1!C1042</f>
        <v>23038.709690376603</v>
      </c>
    </row>
    <row r="1023" spans="2:4" x14ac:dyDescent="0.25">
      <c r="B1023">
        <f>Feuille1!A1043</f>
        <v>483.5</v>
      </c>
      <c r="C1023">
        <f>Feuille1!B1043</f>
        <v>11215.70660213522</v>
      </c>
      <c r="D1023">
        <f>Feuille1!C1043</f>
        <v>24880.804953654315</v>
      </c>
    </row>
    <row r="1024" spans="2:4" x14ac:dyDescent="0.25">
      <c r="B1024">
        <f>Feuille1!A1044</f>
        <v>484</v>
      </c>
      <c r="C1024">
        <f>Feuille1!B1044</f>
        <v>15278.545733812194</v>
      </c>
      <c r="D1024">
        <f>Feuille1!C1044</f>
        <v>25568.570582778841</v>
      </c>
    </row>
    <row r="1025" spans="2:4" x14ac:dyDescent="0.25">
      <c r="B1025">
        <f>Feuille1!A1045</f>
        <v>484.5</v>
      </c>
      <c r="C1025">
        <f>Feuille1!B1045</f>
        <v>17406.358512046972</v>
      </c>
      <c r="D1025">
        <f>Feuille1!C1045</f>
        <v>24958.152249999846</v>
      </c>
    </row>
    <row r="1026" spans="2:4" x14ac:dyDescent="0.25">
      <c r="B1026">
        <f>Feuille1!A1046</f>
        <v>485</v>
      </c>
      <c r="C1026">
        <f>Feuille1!B1046</f>
        <v>17678.623027807505</v>
      </c>
      <c r="D1026">
        <f>Feuille1!C1046</f>
        <v>22951.565926570209</v>
      </c>
    </row>
    <row r="1027" spans="2:4" x14ac:dyDescent="0.25">
      <c r="B1027">
        <f>Feuille1!A1047</f>
        <v>485.5</v>
      </c>
      <c r="C1027">
        <f>Feuille1!B1047</f>
        <v>16186.75266195125</v>
      </c>
      <c r="D1027">
        <f>Feuille1!C1047</f>
        <v>19363.22840046334</v>
      </c>
    </row>
    <row r="1028" spans="2:4" x14ac:dyDescent="0.25">
      <c r="B1028">
        <f>Feuille1!A1048</f>
        <v>486</v>
      </c>
      <c r="C1028">
        <f>Feuille1!B1048</f>
        <v>13545.359728706373</v>
      </c>
      <c r="D1028">
        <f>Feuille1!C1048</f>
        <v>14221.537641804487</v>
      </c>
    </row>
    <row r="1029" spans="2:4" x14ac:dyDescent="0.25">
      <c r="B1029">
        <f>Feuille1!A1049</f>
        <v>486.5</v>
      </c>
      <c r="C1029">
        <f>Feuille1!B1049</f>
        <v>9966.6969043989811</v>
      </c>
      <c r="D1029">
        <f>Feuille1!C1049</f>
        <v>9267.3408017810507</v>
      </c>
    </row>
    <row r="1030" spans="2:4" x14ac:dyDescent="0.25">
      <c r="B1030">
        <f>Feuille1!A1050</f>
        <v>487</v>
      </c>
      <c r="C1030">
        <f>Feuille1!B1050</f>
        <v>4420.7088466686564</v>
      </c>
      <c r="D1030">
        <f>Feuille1!C1050</f>
        <v>5049.5329067934872</v>
      </c>
    </row>
    <row r="1031" spans="2:4" x14ac:dyDescent="0.25">
      <c r="B1031">
        <f>Feuille1!A1051</f>
        <v>487.5</v>
      </c>
      <c r="C1031">
        <f>Feuille1!B1051</f>
        <v>-3575.1881189399073</v>
      </c>
      <c r="D1031">
        <f>Feuille1!C1051</f>
        <v>1893.6640874654272</v>
      </c>
    </row>
    <row r="1032" spans="2:4" x14ac:dyDescent="0.25">
      <c r="B1032">
        <f>Feuille1!A1052</f>
        <v>488</v>
      </c>
      <c r="C1032">
        <f>Feuille1!B1052</f>
        <v>-13921.872142121918</v>
      </c>
      <c r="D1032">
        <f>Feuille1!C1052</f>
        <v>641.23266505368633</v>
      </c>
    </row>
    <row r="1033" spans="2:4" x14ac:dyDescent="0.25">
      <c r="B1033">
        <f>Feuille1!A1053</f>
        <v>488.5</v>
      </c>
      <c r="C1033">
        <f>Feuille1!B1053</f>
        <v>-25269.447172289696</v>
      </c>
      <c r="D1033">
        <f>Feuille1!C1053</f>
        <v>2826.2358981470184</v>
      </c>
    </row>
    <row r="1034" spans="2:4" x14ac:dyDescent="0.25">
      <c r="B1034">
        <f>Feuille1!A1054</f>
        <v>489</v>
      </c>
      <c r="C1034">
        <f>Feuille1!B1054</f>
        <v>-34772.234798726582</v>
      </c>
      <c r="D1034">
        <f>Feuille1!C1054</f>
        <v>9218.7420172959628</v>
      </c>
    </row>
    <row r="1035" spans="2:4" x14ac:dyDescent="0.25">
      <c r="B1035">
        <f>Feuille1!A1055</f>
        <v>489.5</v>
      </c>
      <c r="C1035">
        <f>Feuille1!B1055</f>
        <v>-40041.340488959206</v>
      </c>
      <c r="D1035">
        <f>Feuille1!C1055</f>
        <v>18171.485423308652</v>
      </c>
    </row>
    <row r="1036" spans="2:4" x14ac:dyDescent="0.25">
      <c r="B1036">
        <f>Feuille1!A1056</f>
        <v>490</v>
      </c>
      <c r="C1036">
        <f>Feuille1!B1056</f>
        <v>-40628.744490358331</v>
      </c>
      <c r="D1036">
        <f>Feuille1!C1056</f>
        <v>27302.114573507264</v>
      </c>
    </row>
    <row r="1037" spans="2:4" x14ac:dyDescent="0.25">
      <c r="B1037">
        <f>Feuille1!A1057</f>
        <v>490.5</v>
      </c>
      <c r="C1037">
        <f>Feuille1!B1057</f>
        <v>-37161.1270957304</v>
      </c>
      <c r="D1037">
        <f>Feuille1!C1057</f>
        <v>34854.919158650184</v>
      </c>
    </row>
    <row r="1038" spans="2:4" x14ac:dyDescent="0.25">
      <c r="B1038">
        <f>Feuille1!A1058</f>
        <v>491</v>
      </c>
      <c r="C1038">
        <f>Feuille1!B1058</f>
        <v>-30561.832694898047</v>
      </c>
      <c r="D1038">
        <f>Feuille1!C1058</f>
        <v>39614.901605480278</v>
      </c>
    </row>
    <row r="1039" spans="2:4" x14ac:dyDescent="0.25">
      <c r="B1039">
        <f>Feuille1!A1059</f>
        <v>491.5</v>
      </c>
      <c r="C1039">
        <f>Feuille1!B1059</f>
        <v>-21934.924842642889</v>
      </c>
      <c r="D1039">
        <f>Feuille1!C1059</f>
        <v>40604.365343202051</v>
      </c>
    </row>
    <row r="1040" spans="2:4" x14ac:dyDescent="0.25">
      <c r="B1040">
        <f>Feuille1!A1060</f>
        <v>492</v>
      </c>
      <c r="C1040">
        <f>Feuille1!B1060</f>
        <v>-12807.848282996865</v>
      </c>
      <c r="D1040">
        <f>Feuille1!C1060</f>
        <v>37016.982990251941</v>
      </c>
    </row>
    <row r="1041" spans="2:4" x14ac:dyDescent="0.25">
      <c r="B1041">
        <f>Feuille1!A1061</f>
        <v>492.5</v>
      </c>
      <c r="C1041">
        <f>Feuille1!B1061</f>
        <v>-5473.2106290061565</v>
      </c>
      <c r="D1041">
        <f>Feuille1!C1061</f>
        <v>28699.986049538515</v>
      </c>
    </row>
    <row r="1042" spans="2:4" x14ac:dyDescent="0.25">
      <c r="B1042">
        <f>Feuille1!A1062</f>
        <v>493</v>
      </c>
      <c r="C1042">
        <f>Feuille1!B1062</f>
        <v>-2439.7139133934834</v>
      </c>
      <c r="D1042">
        <f>Feuille1!C1062</f>
        <v>17364.663954564356</v>
      </c>
    </row>
    <row r="1043" spans="2:4" x14ac:dyDescent="0.25">
      <c r="B1043">
        <f>Feuille1!A1063</f>
        <v>493.5</v>
      </c>
      <c r="C1043">
        <f>Feuille1!B1063</f>
        <v>-4133.4445482692463</v>
      </c>
      <c r="D1043">
        <f>Feuille1!C1063</f>
        <v>6310.4749666154121</v>
      </c>
    </row>
    <row r="1044" spans="2:4" x14ac:dyDescent="0.25">
      <c r="B1044">
        <f>Feuille1!A1064</f>
        <v>494</v>
      </c>
      <c r="C1044">
        <f>Feuille1!B1064</f>
        <v>-8943.4512608559598</v>
      </c>
      <c r="D1044">
        <f>Feuille1!C1064</f>
        <v>-2564.412282408106</v>
      </c>
    </row>
    <row r="1045" spans="2:4" x14ac:dyDescent="0.25">
      <c r="B1045">
        <f>Feuille1!A1065</f>
        <v>494.5</v>
      </c>
      <c r="C1045">
        <f>Feuille1!B1065</f>
        <v>-15056.747056671349</v>
      </c>
      <c r="D1045">
        <f>Feuille1!C1065</f>
        <v>-9322.8227313845746</v>
      </c>
    </row>
    <row r="1046" spans="2:4" x14ac:dyDescent="0.25">
      <c r="B1046">
        <f>Feuille1!A1066</f>
        <v>495</v>
      </c>
      <c r="C1046">
        <f>Feuille1!B1066</f>
        <v>-20916.963910381364</v>
      </c>
      <c r="D1046">
        <f>Feuille1!C1066</f>
        <v>-14609.562776417948</v>
      </c>
    </row>
    <row r="1047" spans="2:4" x14ac:dyDescent="0.25">
      <c r="B1047">
        <f>Feuille1!A1067</f>
        <v>495.5</v>
      </c>
      <c r="C1047">
        <f>Feuille1!B1067</f>
        <v>-25513.434513765133</v>
      </c>
      <c r="D1047">
        <f>Feuille1!C1067</f>
        <v>-18713.519979848585</v>
      </c>
    </row>
    <row r="1048" spans="2:4" x14ac:dyDescent="0.25">
      <c r="B1048">
        <f>Feuille1!A1068</f>
        <v>496</v>
      </c>
      <c r="C1048">
        <f>Feuille1!B1068</f>
        <v>-28510.54131307577</v>
      </c>
      <c r="D1048">
        <f>Feuille1!C1068</f>
        <v>-21647.287113967908</v>
      </c>
    </row>
    <row r="1049" spans="2:4" x14ac:dyDescent="0.25">
      <c r="B1049">
        <f>Feuille1!A1069</f>
        <v>496.5</v>
      </c>
      <c r="C1049">
        <f>Feuille1!B1069</f>
        <v>-29883.562216678725</v>
      </c>
      <c r="D1049">
        <f>Feuille1!C1069</f>
        <v>-23403.268482582174</v>
      </c>
    </row>
    <row r="1050" spans="2:4" x14ac:dyDescent="0.25">
      <c r="B1050">
        <f>Feuille1!A1070</f>
        <v>497</v>
      </c>
      <c r="C1050">
        <f>Feuille1!B1070</f>
        <v>-29656.54480469157</v>
      </c>
      <c r="D1050">
        <f>Feuille1!C1070</f>
        <v>-23987.253653858548</v>
      </c>
    </row>
    <row r="1051" spans="2:4" x14ac:dyDescent="0.25">
      <c r="B1051">
        <f>Feuille1!A1071</f>
        <v>497.5</v>
      </c>
      <c r="C1051">
        <f>Feuille1!B1071</f>
        <v>-27812.740803036737</v>
      </c>
      <c r="D1051">
        <f>Feuille1!C1071</f>
        <v>-23407.738058049268</v>
      </c>
    </row>
    <row r="1052" spans="2:4" x14ac:dyDescent="0.25">
      <c r="B1052">
        <f>Feuille1!A1072</f>
        <v>498</v>
      </c>
      <c r="C1052">
        <f>Feuille1!B1072</f>
        <v>-24272.362305395473</v>
      </c>
      <c r="D1052">
        <f>Feuille1!C1072</f>
        <v>-21692.827317496063</v>
      </c>
    </row>
    <row r="1053" spans="2:4" x14ac:dyDescent="0.25">
      <c r="B1053">
        <f>Feuille1!A1073</f>
        <v>498.5</v>
      </c>
      <c r="C1053">
        <f>Feuille1!B1073</f>
        <v>-18924.271250782247</v>
      </c>
      <c r="D1053">
        <f>Feuille1!C1073</f>
        <v>-18974.812632296114</v>
      </c>
    </row>
    <row r="1054" spans="2:4" x14ac:dyDescent="0.25">
      <c r="B1054">
        <f>Feuille1!A1074</f>
        <v>499</v>
      </c>
      <c r="C1054">
        <f>Feuille1!B1074</f>
        <v>-11869.876425759612</v>
      </c>
      <c r="D1054">
        <f>Feuille1!C1074</f>
        <v>-15699.10160886714</v>
      </c>
    </row>
    <row r="1055" spans="2:4" x14ac:dyDescent="0.25">
      <c r="B1055">
        <f>Feuille1!A1075</f>
        <v>499.5</v>
      </c>
      <c r="C1055">
        <f>Feuille1!B1075</f>
        <v>-4141.4438928653381</v>
      </c>
      <c r="D1055">
        <f>Feuille1!C1075</f>
        <v>-12611.443942290502</v>
      </c>
    </row>
    <row r="1056" spans="2:4" x14ac:dyDescent="0.25">
      <c r="B1056">
        <f>Feuille1!A1076</f>
        <v>500</v>
      </c>
      <c r="C1056">
        <f>Feuille1!B1076</f>
        <v>2610.7647000202169</v>
      </c>
      <c r="D1056">
        <f>Feuille1!C1076</f>
        <v>-9795.3057767266782</v>
      </c>
    </row>
  </sheetData>
  <mergeCells count="1">
    <mergeCell ref="N2:O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Manon, pèse su'l piton">
          <controlPr defaultSize="0" autoLine="0" r:id="rId5">
            <anchor moveWithCells="1">
              <from>
                <xdr:col>13</xdr:col>
                <xdr:colOff>123825</xdr:colOff>
                <xdr:row>1</xdr:row>
                <xdr:rowOff>38100</xdr:rowOff>
              </from>
              <to>
                <xdr:col>15</xdr:col>
                <xdr:colOff>342900</xdr:colOff>
                <xdr:row>3</xdr:row>
                <xdr:rowOff>95250</xdr:rowOff>
              </to>
            </anchor>
          </controlPr>
        </control>
      </mc:Choice>
      <mc:Fallback>
        <control shapeId="3073" r:id="rId4" name="Manon, pèse su'l pi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Feuille1</vt:lpstr>
      <vt:lpstr>Feuil2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cvm</cp:lastModifiedBy>
  <dcterms:created xsi:type="dcterms:W3CDTF">2022-03-03T15:55:20Z</dcterms:created>
  <dcterms:modified xsi:type="dcterms:W3CDTF">2022-03-10T18:50:24Z</dcterms:modified>
</cp:coreProperties>
</file>