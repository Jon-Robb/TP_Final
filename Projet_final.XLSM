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Y\TP_final\"/>
    </mc:Choice>
  </mc:AlternateContent>
  <xr:revisionPtr revIDLastSave="0" documentId="13_ncr:1_{1A48E55F-2747-465E-B032-C06CF4ED4AA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euille1" sheetId="1" r:id="rId1"/>
    <sheet name="Feuil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10" i="1" l="1"/>
  <c r="B300" i="3"/>
  <c r="C24" i="1" l="1"/>
  <c r="B284" i="1"/>
  <c r="D284" i="1" s="1"/>
  <c r="B285" i="1"/>
  <c r="A310" i="1"/>
  <c r="B301" i="3" s="1"/>
  <c r="E309" i="1"/>
  <c r="G309" i="1"/>
  <c r="F309" i="1"/>
  <c r="B309" i="1"/>
  <c r="C300" i="3" s="1"/>
  <c r="C309" i="1"/>
  <c r="D300" i="3" s="1"/>
  <c r="D309" i="1"/>
  <c r="C42" i="1"/>
  <c r="C31" i="1"/>
  <c r="C32" i="1" s="1"/>
  <c r="C22" i="1"/>
  <c r="C23" i="1" s="1"/>
  <c r="B286" i="1"/>
  <c r="G286" i="1" s="1"/>
  <c r="B287" i="1"/>
  <c r="H287" i="1" s="1"/>
  <c r="B288" i="1"/>
  <c r="H288" i="1" s="1"/>
  <c r="B289" i="1"/>
  <c r="B290" i="1"/>
  <c r="B291" i="1"/>
  <c r="H291" i="1" s="1"/>
  <c r="B292" i="1"/>
  <c r="G292" i="1" s="1"/>
  <c r="B293" i="1"/>
  <c r="B294" i="1"/>
  <c r="B295" i="1"/>
  <c r="H295" i="1" s="1"/>
  <c r="B296" i="1"/>
  <c r="G296" i="1" s="1"/>
  <c r="B297" i="1"/>
  <c r="B298" i="1"/>
  <c r="B299" i="1"/>
  <c r="B300" i="1"/>
  <c r="H300" i="1" s="1"/>
  <c r="B301" i="1"/>
  <c r="B302" i="1"/>
  <c r="B303" i="1"/>
  <c r="B304" i="1"/>
  <c r="H304" i="1" s="1"/>
  <c r="D287" i="1" l="1"/>
  <c r="G300" i="1"/>
  <c r="H296" i="1"/>
  <c r="H292" i="1"/>
  <c r="A311" i="1"/>
  <c r="J284" i="1"/>
  <c r="J285" i="1"/>
  <c r="K284" i="1"/>
  <c r="K293" i="1"/>
  <c r="G304" i="1"/>
  <c r="K304" i="1"/>
  <c r="J293" i="1"/>
  <c r="D303" i="1"/>
  <c r="H303" i="1"/>
  <c r="K301" i="1"/>
  <c r="K292" i="1"/>
  <c r="J297" i="1"/>
  <c r="K285" i="1"/>
  <c r="K296" i="1"/>
  <c r="D299" i="1"/>
  <c r="J301" i="1"/>
  <c r="K289" i="1"/>
  <c r="J291" i="1"/>
  <c r="D295" i="1"/>
  <c r="K300" i="1"/>
  <c r="J289" i="1"/>
  <c r="G285" i="1"/>
  <c r="D291" i="1"/>
  <c r="H299" i="1"/>
  <c r="G288" i="1"/>
  <c r="K297" i="1"/>
  <c r="K288" i="1"/>
  <c r="E302" i="1"/>
  <c r="E294" i="1"/>
  <c r="D298" i="1"/>
  <c r="D286" i="1"/>
  <c r="E301" i="1"/>
  <c r="E297" i="1"/>
  <c r="E293" i="1"/>
  <c r="E289" i="1"/>
  <c r="E285" i="1"/>
  <c r="G303" i="1"/>
  <c r="G299" i="1"/>
  <c r="G295" i="1"/>
  <c r="G291" i="1"/>
  <c r="G287" i="1"/>
  <c r="J304" i="1"/>
  <c r="J300" i="1"/>
  <c r="J296" i="1"/>
  <c r="J292" i="1"/>
  <c r="J288" i="1"/>
  <c r="E298" i="1"/>
  <c r="E284" i="1"/>
  <c r="D301" i="1"/>
  <c r="D297" i="1"/>
  <c r="D293" i="1"/>
  <c r="D289" i="1"/>
  <c r="D285" i="1"/>
  <c r="H302" i="1"/>
  <c r="H298" i="1"/>
  <c r="H294" i="1"/>
  <c r="H290" i="1"/>
  <c r="H286" i="1"/>
  <c r="K303" i="1"/>
  <c r="K299" i="1"/>
  <c r="K295" i="1"/>
  <c r="K291" i="1"/>
  <c r="K287" i="1"/>
  <c r="E290" i="1"/>
  <c r="D302" i="1"/>
  <c r="D294" i="1"/>
  <c r="E304" i="1"/>
  <c r="E296" i="1"/>
  <c r="E288" i="1"/>
  <c r="G298" i="1"/>
  <c r="G290" i="1"/>
  <c r="J303" i="1"/>
  <c r="J295" i="1"/>
  <c r="J287" i="1"/>
  <c r="D304" i="1"/>
  <c r="D300" i="1"/>
  <c r="D296" i="1"/>
  <c r="D292" i="1"/>
  <c r="D288" i="1"/>
  <c r="G284" i="1"/>
  <c r="H301" i="1"/>
  <c r="H297" i="1"/>
  <c r="H293" i="1"/>
  <c r="H289" i="1"/>
  <c r="H285" i="1"/>
  <c r="K302" i="1"/>
  <c r="K298" i="1"/>
  <c r="K294" i="1"/>
  <c r="K290" i="1"/>
  <c r="K286" i="1"/>
  <c r="E286" i="1"/>
  <c r="D290" i="1"/>
  <c r="E300" i="1"/>
  <c r="E292" i="1"/>
  <c r="G302" i="1"/>
  <c r="G294" i="1"/>
  <c r="J299" i="1"/>
  <c r="E303" i="1"/>
  <c r="E299" i="1"/>
  <c r="E295" i="1"/>
  <c r="E291" i="1"/>
  <c r="E287" i="1"/>
  <c r="H284" i="1"/>
  <c r="G301" i="1"/>
  <c r="G297" i="1"/>
  <c r="G293" i="1"/>
  <c r="G289" i="1"/>
  <c r="J302" i="1"/>
  <c r="J298" i="1"/>
  <c r="J294" i="1"/>
  <c r="J290" i="1"/>
  <c r="J286" i="1"/>
  <c r="E310" i="1"/>
  <c r="D310" i="1"/>
  <c r="B310" i="1"/>
  <c r="C301" i="3" s="1"/>
  <c r="C40" i="1"/>
  <c r="C41" i="1" s="1"/>
  <c r="C33" i="1"/>
  <c r="I310" i="1" l="1"/>
  <c r="D301" i="3"/>
  <c r="A312" i="1"/>
  <c r="B302" i="3"/>
  <c r="O310" i="1"/>
  <c r="N310" i="1"/>
  <c r="H310" i="1"/>
  <c r="K310" i="1"/>
  <c r="L310" i="1"/>
  <c r="J310" i="1" l="1"/>
  <c r="A313" i="1"/>
  <c r="B303" i="3"/>
  <c r="P310" i="1"/>
  <c r="M310" i="1"/>
  <c r="A314" i="1" l="1"/>
  <c r="B304" i="3"/>
  <c r="G310" i="1"/>
  <c r="C311" i="1" s="1"/>
  <c r="F310" i="1"/>
  <c r="B311" i="1" s="1"/>
  <c r="A315" i="1" l="1"/>
  <c r="B305" i="3"/>
  <c r="K311" i="1"/>
  <c r="C302" i="3"/>
  <c r="O311" i="1"/>
  <c r="D302" i="3"/>
  <c r="I311" i="1"/>
  <c r="L311" i="1"/>
  <c r="E311" i="1"/>
  <c r="D311" i="1"/>
  <c r="N311" i="1"/>
  <c r="H311" i="1"/>
  <c r="A316" i="1" l="1"/>
  <c r="B306" i="3"/>
  <c r="P311" i="1"/>
  <c r="M311" i="1"/>
  <c r="J311" i="1"/>
  <c r="A317" i="1" l="1"/>
  <c r="B307" i="3"/>
  <c r="G311" i="1"/>
  <c r="C312" i="1" s="1"/>
  <c r="D303" i="3" s="1"/>
  <c r="F311" i="1"/>
  <c r="B312" i="1" s="1"/>
  <c r="A318" i="1" l="1"/>
  <c r="B308" i="3"/>
  <c r="E312" i="1"/>
  <c r="K312" i="1"/>
  <c r="C303" i="3"/>
  <c r="H312" i="1"/>
  <c r="N312" i="1"/>
  <c r="D312" i="1"/>
  <c r="L312" i="1"/>
  <c r="O312" i="1"/>
  <c r="I312" i="1"/>
  <c r="A319" i="1" l="1"/>
  <c r="B309" i="3"/>
  <c r="M312" i="1"/>
  <c r="J312" i="1"/>
  <c r="P312" i="1"/>
  <c r="A320" i="1" l="1"/>
  <c r="B310" i="3"/>
  <c r="F312" i="1"/>
  <c r="B313" i="1" s="1"/>
  <c r="G312" i="1"/>
  <c r="E313" i="1" s="1"/>
  <c r="A321" i="1" l="1"/>
  <c r="B311" i="3"/>
  <c r="N313" i="1"/>
  <c r="C304" i="3"/>
  <c r="K313" i="1"/>
  <c r="H313" i="1"/>
  <c r="D313" i="1"/>
  <c r="C313" i="1"/>
  <c r="A322" i="1" l="1"/>
  <c r="B312" i="3"/>
  <c r="L313" i="1"/>
  <c r="M313" i="1" s="1"/>
  <c r="D304" i="3"/>
  <c r="I313" i="1"/>
  <c r="J313" i="1" s="1"/>
  <c r="O313" i="1"/>
  <c r="P313" i="1" s="1"/>
  <c r="A323" i="1" l="1"/>
  <c r="B313" i="3"/>
  <c r="F313" i="1"/>
  <c r="D314" i="1" s="1"/>
  <c r="G313" i="1"/>
  <c r="E314" i="1" s="1"/>
  <c r="A324" i="1" l="1"/>
  <c r="B314" i="3"/>
  <c r="B314" i="1"/>
  <c r="C314" i="1"/>
  <c r="A325" i="1" l="1"/>
  <c r="B315" i="3"/>
  <c r="L314" i="1"/>
  <c r="D305" i="3"/>
  <c r="N314" i="1"/>
  <c r="C305" i="3"/>
  <c r="K314" i="1"/>
  <c r="H314" i="1"/>
  <c r="O314" i="1"/>
  <c r="I314" i="1"/>
  <c r="A326" i="1" l="1"/>
  <c r="B316" i="3"/>
  <c r="M314" i="1"/>
  <c r="P314" i="1"/>
  <c r="J314" i="1"/>
  <c r="A327" i="1" l="1"/>
  <c r="B317" i="3"/>
  <c r="F314" i="1"/>
  <c r="D315" i="1" s="1"/>
  <c r="G314" i="1"/>
  <c r="E315" i="1" s="1"/>
  <c r="A328" i="1" l="1"/>
  <c r="B318" i="3"/>
  <c r="B315" i="1"/>
  <c r="H315" i="1" s="1"/>
  <c r="C315" i="1"/>
  <c r="A329" i="1" l="1"/>
  <c r="B319" i="3"/>
  <c r="C306" i="3"/>
  <c r="K315" i="1"/>
  <c r="N315" i="1"/>
  <c r="O315" i="1"/>
  <c r="D306" i="3"/>
  <c r="I315" i="1"/>
  <c r="J315" i="1" s="1"/>
  <c r="L315" i="1"/>
  <c r="A330" i="1" l="1"/>
  <c r="B320" i="3"/>
  <c r="P315" i="1"/>
  <c r="M315" i="1"/>
  <c r="A331" i="1" l="1"/>
  <c r="B321" i="3"/>
  <c r="F315" i="1"/>
  <c r="D316" i="1" s="1"/>
  <c r="G315" i="1"/>
  <c r="C316" i="1" s="1"/>
  <c r="D307" i="3" s="1"/>
  <c r="A332" i="1" l="1"/>
  <c r="B322" i="3"/>
  <c r="B316" i="1"/>
  <c r="N316" i="1" s="1"/>
  <c r="L316" i="1"/>
  <c r="I316" i="1"/>
  <c r="O316" i="1"/>
  <c r="E316" i="1"/>
  <c r="A333" i="1" l="1"/>
  <c r="B323" i="3"/>
  <c r="P316" i="1"/>
  <c r="H316" i="1"/>
  <c r="J316" i="1" s="1"/>
  <c r="K316" i="1"/>
  <c r="M316" i="1" s="1"/>
  <c r="C307" i="3"/>
  <c r="A334" i="1" l="1"/>
  <c r="B324" i="3"/>
  <c r="G316" i="1"/>
  <c r="E317" i="1" s="1"/>
  <c r="F316" i="1"/>
  <c r="B317" i="1" s="1"/>
  <c r="H317" i="1" s="1"/>
  <c r="A335" i="1" l="1"/>
  <c r="B325" i="3"/>
  <c r="C317" i="1"/>
  <c r="I317" i="1" s="1"/>
  <c r="J317" i="1" s="1"/>
  <c r="K317" i="1"/>
  <c r="D317" i="1"/>
  <c r="N317" i="1"/>
  <c r="C308" i="3"/>
  <c r="A336" i="1" l="1"/>
  <c r="B326" i="3"/>
  <c r="O317" i="1"/>
  <c r="P317" i="1" s="1"/>
  <c r="L317" i="1"/>
  <c r="M317" i="1" s="1"/>
  <c r="D308" i="3"/>
  <c r="A337" i="1" l="1"/>
  <c r="B327" i="3"/>
  <c r="F317" i="1"/>
  <c r="B318" i="1" s="1"/>
  <c r="C309" i="3" s="1"/>
  <c r="G317" i="1"/>
  <c r="E318" i="1" s="1"/>
  <c r="A338" i="1" l="1"/>
  <c r="B328" i="3"/>
  <c r="H318" i="1"/>
  <c r="N318" i="1"/>
  <c r="D318" i="1"/>
  <c r="K318" i="1"/>
  <c r="C318" i="1"/>
  <c r="D309" i="3" s="1"/>
  <c r="A339" i="1" l="1"/>
  <c r="B329" i="3"/>
  <c r="I318" i="1"/>
  <c r="J318" i="1" s="1"/>
  <c r="O318" i="1"/>
  <c r="P318" i="1" s="1"/>
  <c r="L318" i="1"/>
  <c r="M318" i="1" s="1"/>
  <c r="A340" i="1" l="1"/>
  <c r="B330" i="3"/>
  <c r="F318" i="1"/>
  <c r="D319" i="1" s="1"/>
  <c r="G318" i="1"/>
  <c r="A341" i="1" l="1"/>
  <c r="B331" i="3"/>
  <c r="B319" i="1"/>
  <c r="C310" i="3" s="1"/>
  <c r="E319" i="1"/>
  <c r="C319" i="1"/>
  <c r="D310" i="3" s="1"/>
  <c r="A342" i="1" l="1"/>
  <c r="B332" i="3"/>
  <c r="H319" i="1"/>
  <c r="N319" i="1"/>
  <c r="K319" i="1"/>
  <c r="L319" i="1"/>
  <c r="O319" i="1"/>
  <c r="I319" i="1"/>
  <c r="A343" i="1" l="1"/>
  <c r="B333" i="3"/>
  <c r="M319" i="1"/>
  <c r="P319" i="1"/>
  <c r="J319" i="1"/>
  <c r="A344" i="1" l="1"/>
  <c r="B334" i="3"/>
  <c r="F319" i="1"/>
  <c r="B320" i="1" s="1"/>
  <c r="C311" i="3" s="1"/>
  <c r="G319" i="1"/>
  <c r="A345" i="1" l="1"/>
  <c r="B335" i="3"/>
  <c r="D320" i="1"/>
  <c r="E320" i="1"/>
  <c r="C320" i="1"/>
  <c r="D311" i="3" s="1"/>
  <c r="K320" i="1"/>
  <c r="N320" i="1"/>
  <c r="H320" i="1"/>
  <c r="A346" i="1" l="1"/>
  <c r="B336" i="3"/>
  <c r="L320" i="1"/>
  <c r="M320" i="1" s="1"/>
  <c r="O320" i="1"/>
  <c r="P320" i="1" s="1"/>
  <c r="I320" i="1"/>
  <c r="A347" i="1" l="1"/>
  <c r="B337" i="3"/>
  <c r="J320" i="1"/>
  <c r="F320" i="1" s="1"/>
  <c r="A348" i="1" l="1"/>
  <c r="B338" i="3"/>
  <c r="D321" i="1"/>
  <c r="B321" i="1"/>
  <c r="C312" i="3" s="1"/>
  <c r="G320" i="1"/>
  <c r="A349" i="1" l="1"/>
  <c r="B339" i="3"/>
  <c r="E321" i="1"/>
  <c r="C321" i="1"/>
  <c r="D312" i="3" s="1"/>
  <c r="N321" i="1"/>
  <c r="H321" i="1"/>
  <c r="K321" i="1"/>
  <c r="A350" i="1" l="1"/>
  <c r="B340" i="3"/>
  <c r="L321" i="1"/>
  <c r="M321" i="1" s="1"/>
  <c r="O321" i="1"/>
  <c r="P321" i="1" s="1"/>
  <c r="I321" i="1"/>
  <c r="A351" i="1" l="1"/>
  <c r="B341" i="3"/>
  <c r="J321" i="1"/>
  <c r="F321" i="1" s="1"/>
  <c r="A352" i="1" l="1"/>
  <c r="B342" i="3"/>
  <c r="B322" i="1"/>
  <c r="C313" i="3" s="1"/>
  <c r="D322" i="1"/>
  <c r="G321" i="1"/>
  <c r="A353" i="1" l="1"/>
  <c r="B343" i="3"/>
  <c r="E322" i="1"/>
  <c r="C322" i="1"/>
  <c r="D313" i="3" s="1"/>
  <c r="N322" i="1"/>
  <c r="H322" i="1"/>
  <c r="K322" i="1"/>
  <c r="A354" i="1" l="1"/>
  <c r="B344" i="3"/>
  <c r="O322" i="1"/>
  <c r="P322" i="1" s="1"/>
  <c r="L322" i="1"/>
  <c r="M322" i="1" s="1"/>
  <c r="I322" i="1"/>
  <c r="A355" i="1" l="1"/>
  <c r="B345" i="3"/>
  <c r="J322" i="1"/>
  <c r="F322" i="1" s="1"/>
  <c r="A356" i="1" l="1"/>
  <c r="B346" i="3"/>
  <c r="D323" i="1"/>
  <c r="B323" i="1"/>
  <c r="C314" i="3" s="1"/>
  <c r="G322" i="1"/>
  <c r="A357" i="1" l="1"/>
  <c r="B347" i="3"/>
  <c r="E323" i="1"/>
  <c r="C323" i="1"/>
  <c r="D314" i="3" s="1"/>
  <c r="N323" i="1"/>
  <c r="H323" i="1"/>
  <c r="K323" i="1"/>
  <c r="A358" i="1" l="1"/>
  <c r="B348" i="3"/>
  <c r="O323" i="1"/>
  <c r="P323" i="1" s="1"/>
  <c r="I323" i="1"/>
  <c r="L323" i="1"/>
  <c r="M323" i="1" s="1"/>
  <c r="A359" i="1" l="1"/>
  <c r="B349" i="3"/>
  <c r="J323" i="1"/>
  <c r="F323" i="1" s="1"/>
  <c r="A360" i="1" l="1"/>
  <c r="B350" i="3"/>
  <c r="B324" i="1"/>
  <c r="C315" i="3" s="1"/>
  <c r="D324" i="1"/>
  <c r="G323" i="1"/>
  <c r="A361" i="1" l="1"/>
  <c r="B351" i="3"/>
  <c r="E324" i="1"/>
  <c r="C324" i="1"/>
  <c r="D315" i="3" s="1"/>
  <c r="H324" i="1"/>
  <c r="K324" i="1"/>
  <c r="N324" i="1"/>
  <c r="A362" i="1" l="1"/>
  <c r="B352" i="3"/>
  <c r="O324" i="1"/>
  <c r="P324" i="1" s="1"/>
  <c r="I324" i="1"/>
  <c r="L324" i="1"/>
  <c r="M324" i="1" s="1"/>
  <c r="A363" i="1" l="1"/>
  <c r="B353" i="3"/>
  <c r="J324" i="1"/>
  <c r="F324" i="1" s="1"/>
  <c r="A364" i="1" l="1"/>
  <c r="B354" i="3"/>
  <c r="D325" i="1"/>
  <c r="B325" i="1"/>
  <c r="C316" i="3" s="1"/>
  <c r="G324" i="1"/>
  <c r="A365" i="1" l="1"/>
  <c r="B355" i="3"/>
  <c r="E325" i="1"/>
  <c r="C325" i="1"/>
  <c r="D316" i="3" s="1"/>
  <c r="H325" i="1"/>
  <c r="K325" i="1"/>
  <c r="N325" i="1"/>
  <c r="A366" i="1" l="1"/>
  <c r="B356" i="3"/>
  <c r="I325" i="1"/>
  <c r="L325" i="1"/>
  <c r="M325" i="1" s="1"/>
  <c r="O325" i="1"/>
  <c r="P325" i="1" s="1"/>
  <c r="A367" i="1" l="1"/>
  <c r="B357" i="3"/>
  <c r="J325" i="1"/>
  <c r="F325" i="1" s="1"/>
  <c r="A368" i="1" l="1"/>
  <c r="B358" i="3"/>
  <c r="B326" i="1"/>
  <c r="C317" i="3" s="1"/>
  <c r="D326" i="1"/>
  <c r="G325" i="1"/>
  <c r="A369" i="1" l="1"/>
  <c r="B359" i="3"/>
  <c r="E326" i="1"/>
  <c r="C326" i="1"/>
  <c r="D317" i="3" s="1"/>
  <c r="K326" i="1"/>
  <c r="N326" i="1"/>
  <c r="H326" i="1"/>
  <c r="A370" i="1" l="1"/>
  <c r="B360" i="3"/>
  <c r="I326" i="1"/>
  <c r="L326" i="1"/>
  <c r="M326" i="1" s="1"/>
  <c r="O326" i="1"/>
  <c r="P326" i="1" s="1"/>
  <c r="A371" i="1" l="1"/>
  <c r="B361" i="3"/>
  <c r="J326" i="1"/>
  <c r="F326" i="1" s="1"/>
  <c r="A372" i="1" l="1"/>
  <c r="B362" i="3"/>
  <c r="D327" i="1"/>
  <c r="B327" i="1"/>
  <c r="C318" i="3" s="1"/>
  <c r="G326" i="1"/>
  <c r="A373" i="1" l="1"/>
  <c r="B363" i="3"/>
  <c r="E327" i="1"/>
  <c r="C327" i="1"/>
  <c r="D318" i="3" s="1"/>
  <c r="K327" i="1"/>
  <c r="H327" i="1"/>
  <c r="N327" i="1"/>
  <c r="A374" i="1" l="1"/>
  <c r="B364" i="3"/>
  <c r="L327" i="1"/>
  <c r="M327" i="1" s="1"/>
  <c r="O327" i="1"/>
  <c r="P327" i="1" s="1"/>
  <c r="I327" i="1"/>
  <c r="A375" i="1" l="1"/>
  <c r="B365" i="3"/>
  <c r="J327" i="1"/>
  <c r="F327" i="1" s="1"/>
  <c r="A376" i="1" l="1"/>
  <c r="B366" i="3"/>
  <c r="B328" i="1"/>
  <c r="C319" i="3" s="1"/>
  <c r="D328" i="1"/>
  <c r="G327" i="1"/>
  <c r="A377" i="1" l="1"/>
  <c r="B367" i="3"/>
  <c r="E328" i="1"/>
  <c r="C328" i="1"/>
  <c r="D319" i="3" s="1"/>
  <c r="K328" i="1"/>
  <c r="N328" i="1"/>
  <c r="H328" i="1"/>
  <c r="A378" i="1" l="1"/>
  <c r="B368" i="3"/>
  <c r="L328" i="1"/>
  <c r="M328" i="1" s="1"/>
  <c r="I328" i="1"/>
  <c r="O328" i="1"/>
  <c r="P328" i="1" s="1"/>
  <c r="A379" i="1" l="1"/>
  <c r="B369" i="3"/>
  <c r="J328" i="1"/>
  <c r="F328" i="1" s="1"/>
  <c r="A380" i="1" l="1"/>
  <c r="B370" i="3"/>
  <c r="D329" i="1"/>
  <c r="B329" i="1"/>
  <c r="C320" i="3" s="1"/>
  <c r="G328" i="1"/>
  <c r="A381" i="1" l="1"/>
  <c r="B371" i="3"/>
  <c r="E329" i="1"/>
  <c r="C329" i="1"/>
  <c r="D320" i="3" s="1"/>
  <c r="N329" i="1"/>
  <c r="K329" i="1"/>
  <c r="H329" i="1"/>
  <c r="A382" i="1" l="1"/>
  <c r="B372" i="3"/>
  <c r="L329" i="1"/>
  <c r="M329" i="1" s="1"/>
  <c r="O329" i="1"/>
  <c r="P329" i="1" s="1"/>
  <c r="I329" i="1"/>
  <c r="A383" i="1" l="1"/>
  <c r="B373" i="3"/>
  <c r="J329" i="1"/>
  <c r="F329" i="1" s="1"/>
  <c r="A384" i="1" l="1"/>
  <c r="B374" i="3"/>
  <c r="B330" i="1"/>
  <c r="C321" i="3" s="1"/>
  <c r="D330" i="1"/>
  <c r="G329" i="1"/>
  <c r="A385" i="1" l="1"/>
  <c r="B375" i="3"/>
  <c r="E330" i="1"/>
  <c r="C330" i="1"/>
  <c r="D321" i="3" s="1"/>
  <c r="N330" i="1"/>
  <c r="H330" i="1"/>
  <c r="K330" i="1"/>
  <c r="A386" i="1" l="1"/>
  <c r="B376" i="3"/>
  <c r="O330" i="1"/>
  <c r="P330" i="1" s="1"/>
  <c r="I330" i="1"/>
  <c r="L330" i="1"/>
  <c r="M330" i="1" s="1"/>
  <c r="A387" i="1" l="1"/>
  <c r="B377" i="3"/>
  <c r="J330" i="1"/>
  <c r="F330" i="1" s="1"/>
  <c r="A388" i="1" l="1"/>
  <c r="B378" i="3"/>
  <c r="D331" i="1"/>
  <c r="B331" i="1"/>
  <c r="C322" i="3" s="1"/>
  <c r="G330" i="1"/>
  <c r="A389" i="1" l="1"/>
  <c r="B379" i="3"/>
  <c r="E331" i="1"/>
  <c r="C331" i="1"/>
  <c r="D322" i="3" s="1"/>
  <c r="N331" i="1"/>
  <c r="H331" i="1"/>
  <c r="K331" i="1"/>
  <c r="A390" i="1" l="1"/>
  <c r="B380" i="3"/>
  <c r="O331" i="1"/>
  <c r="P331" i="1" s="1"/>
  <c r="I331" i="1"/>
  <c r="L331" i="1"/>
  <c r="M331" i="1" s="1"/>
  <c r="A391" i="1" l="1"/>
  <c r="B381" i="3"/>
  <c r="J331" i="1"/>
  <c r="F331" i="1" s="1"/>
  <c r="A392" i="1" l="1"/>
  <c r="B382" i="3"/>
  <c r="B332" i="1"/>
  <c r="C323" i="3" s="1"/>
  <c r="D332" i="1"/>
  <c r="G331" i="1"/>
  <c r="A393" i="1" l="1"/>
  <c r="B383" i="3"/>
  <c r="E332" i="1"/>
  <c r="C332" i="1"/>
  <c r="D323" i="3" s="1"/>
  <c r="H332" i="1"/>
  <c r="K332" i="1"/>
  <c r="N332" i="1"/>
  <c r="A394" i="1" l="1"/>
  <c r="B384" i="3"/>
  <c r="O332" i="1"/>
  <c r="P332" i="1" s="1"/>
  <c r="I332" i="1"/>
  <c r="L332" i="1"/>
  <c r="M332" i="1" s="1"/>
  <c r="A395" i="1" l="1"/>
  <c r="B385" i="3"/>
  <c r="J332" i="1"/>
  <c r="F332" i="1" s="1"/>
  <c r="A396" i="1" l="1"/>
  <c r="B386" i="3"/>
  <c r="D333" i="1"/>
  <c r="B333" i="1"/>
  <c r="C324" i="3" s="1"/>
  <c r="G332" i="1"/>
  <c r="A397" i="1" l="1"/>
  <c r="B387" i="3"/>
  <c r="E333" i="1"/>
  <c r="C333" i="1"/>
  <c r="D324" i="3" s="1"/>
  <c r="H333" i="1"/>
  <c r="K333" i="1"/>
  <c r="N333" i="1"/>
  <c r="A398" i="1" l="1"/>
  <c r="B388" i="3"/>
  <c r="I333" i="1"/>
  <c r="O333" i="1"/>
  <c r="P333" i="1" s="1"/>
  <c r="L333" i="1"/>
  <c r="M333" i="1" s="1"/>
  <c r="A399" i="1" l="1"/>
  <c r="B389" i="3"/>
  <c r="J333" i="1"/>
  <c r="F333" i="1" s="1"/>
  <c r="A400" i="1" l="1"/>
  <c r="B390" i="3"/>
  <c r="B334" i="1"/>
  <c r="C325" i="3" s="1"/>
  <c r="D334" i="1"/>
  <c r="G333" i="1"/>
  <c r="A401" i="1" l="1"/>
  <c r="B391" i="3"/>
  <c r="E334" i="1"/>
  <c r="C334" i="1"/>
  <c r="D325" i="3" s="1"/>
  <c r="K334" i="1"/>
  <c r="N334" i="1"/>
  <c r="H334" i="1"/>
  <c r="A402" i="1" l="1"/>
  <c r="B392" i="3"/>
  <c r="I334" i="1"/>
  <c r="L334" i="1"/>
  <c r="M334" i="1" s="1"/>
  <c r="O334" i="1"/>
  <c r="P334" i="1" s="1"/>
  <c r="A403" i="1" l="1"/>
  <c r="B393" i="3"/>
  <c r="J334" i="1"/>
  <c r="F334" i="1" s="1"/>
  <c r="A404" i="1" l="1"/>
  <c r="B394" i="3"/>
  <c r="D335" i="1"/>
  <c r="B335" i="1"/>
  <c r="C326" i="3" s="1"/>
  <c r="G334" i="1"/>
  <c r="A405" i="1" l="1"/>
  <c r="B395" i="3"/>
  <c r="E335" i="1"/>
  <c r="C335" i="1"/>
  <c r="D326" i="3" s="1"/>
  <c r="K335" i="1"/>
  <c r="H335" i="1"/>
  <c r="N335" i="1"/>
  <c r="A406" i="1" l="1"/>
  <c r="B396" i="3"/>
  <c r="L335" i="1"/>
  <c r="M335" i="1" s="1"/>
  <c r="O335" i="1"/>
  <c r="P335" i="1" s="1"/>
  <c r="I335" i="1"/>
  <c r="A407" i="1" l="1"/>
  <c r="B397" i="3"/>
  <c r="J335" i="1"/>
  <c r="F335" i="1" s="1"/>
  <c r="A408" i="1" l="1"/>
  <c r="B398" i="3"/>
  <c r="B336" i="1"/>
  <c r="C327" i="3" s="1"/>
  <c r="D336" i="1"/>
  <c r="G335" i="1"/>
  <c r="A409" i="1" l="1"/>
  <c r="B399" i="3"/>
  <c r="E336" i="1"/>
  <c r="C336" i="1"/>
  <c r="D327" i="3" s="1"/>
  <c r="K336" i="1"/>
  <c r="N336" i="1"/>
  <c r="H336" i="1"/>
  <c r="A410" i="1" l="1"/>
  <c r="B400" i="3"/>
  <c r="L336" i="1"/>
  <c r="M336" i="1" s="1"/>
  <c r="O336" i="1"/>
  <c r="P336" i="1" s="1"/>
  <c r="I336" i="1"/>
  <c r="A411" i="1" l="1"/>
  <c r="B401" i="3"/>
  <c r="J336" i="1"/>
  <c r="F336" i="1" s="1"/>
  <c r="A412" i="1" l="1"/>
  <c r="B402" i="3"/>
  <c r="D337" i="1"/>
  <c r="B337" i="1"/>
  <c r="C328" i="3" s="1"/>
  <c r="G336" i="1"/>
  <c r="A413" i="1" l="1"/>
  <c r="B403" i="3"/>
  <c r="E337" i="1"/>
  <c r="C337" i="1"/>
  <c r="D328" i="3" s="1"/>
  <c r="N337" i="1"/>
  <c r="H337" i="1"/>
  <c r="K337" i="1"/>
  <c r="A414" i="1" l="1"/>
  <c r="B404" i="3"/>
  <c r="L337" i="1"/>
  <c r="M337" i="1" s="1"/>
  <c r="O337" i="1"/>
  <c r="P337" i="1" s="1"/>
  <c r="I337" i="1"/>
  <c r="A415" i="1" l="1"/>
  <c r="B405" i="3"/>
  <c r="J337" i="1"/>
  <c r="F337" i="1" s="1"/>
  <c r="A416" i="1" l="1"/>
  <c r="B406" i="3"/>
  <c r="B338" i="1"/>
  <c r="C329" i="3" s="1"/>
  <c r="D338" i="1"/>
  <c r="G337" i="1"/>
  <c r="A417" i="1" l="1"/>
  <c r="B407" i="3"/>
  <c r="E338" i="1"/>
  <c r="C338" i="1"/>
  <c r="D329" i="3" s="1"/>
  <c r="N338" i="1"/>
  <c r="H338" i="1"/>
  <c r="K338" i="1"/>
  <c r="A418" i="1" l="1"/>
  <c r="B408" i="3"/>
  <c r="O338" i="1"/>
  <c r="P338" i="1" s="1"/>
  <c r="I338" i="1"/>
  <c r="L338" i="1"/>
  <c r="M338" i="1" s="1"/>
  <c r="A419" i="1" l="1"/>
  <c r="B409" i="3"/>
  <c r="J338" i="1"/>
  <c r="F338" i="1" s="1"/>
  <c r="B339" i="1" s="1"/>
  <c r="C330" i="3" s="1"/>
  <c r="A420" i="1" l="1"/>
  <c r="B410" i="3"/>
  <c r="D339" i="1"/>
  <c r="G338" i="1"/>
  <c r="A421" i="1" l="1"/>
  <c r="B411" i="3"/>
  <c r="E339" i="1"/>
  <c r="C339" i="1"/>
  <c r="D330" i="3" s="1"/>
  <c r="N339" i="1"/>
  <c r="H339" i="1"/>
  <c r="K339" i="1"/>
  <c r="A422" i="1" l="1"/>
  <c r="B412" i="3"/>
  <c r="O339" i="1"/>
  <c r="P339" i="1" s="1"/>
  <c r="I339" i="1"/>
  <c r="L339" i="1"/>
  <c r="M339" i="1" s="1"/>
  <c r="A423" i="1" l="1"/>
  <c r="B413" i="3"/>
  <c r="J339" i="1"/>
  <c r="F339" i="1" s="1"/>
  <c r="A424" i="1" l="1"/>
  <c r="B414" i="3"/>
  <c r="B340" i="1"/>
  <c r="C331" i="3" s="1"/>
  <c r="D340" i="1"/>
  <c r="G339" i="1"/>
  <c r="A425" i="1" l="1"/>
  <c r="B415" i="3"/>
  <c r="E340" i="1"/>
  <c r="C340" i="1"/>
  <c r="D331" i="3" s="1"/>
  <c r="H340" i="1"/>
  <c r="K340" i="1"/>
  <c r="N340" i="1"/>
  <c r="A426" i="1" l="1"/>
  <c r="B416" i="3"/>
  <c r="O340" i="1"/>
  <c r="P340" i="1" s="1"/>
  <c r="I340" i="1"/>
  <c r="L340" i="1"/>
  <c r="M340" i="1" s="1"/>
  <c r="A427" i="1" l="1"/>
  <c r="B417" i="3"/>
  <c r="J340" i="1"/>
  <c r="F340" i="1" s="1"/>
  <c r="A428" i="1" l="1"/>
  <c r="B418" i="3"/>
  <c r="D341" i="1"/>
  <c r="B341" i="1"/>
  <c r="C332" i="3" s="1"/>
  <c r="G340" i="1"/>
  <c r="A429" i="1" l="1"/>
  <c r="B419" i="3"/>
  <c r="E341" i="1"/>
  <c r="C341" i="1"/>
  <c r="D332" i="3" s="1"/>
  <c r="H341" i="1"/>
  <c r="K341" i="1"/>
  <c r="N341" i="1"/>
  <c r="A430" i="1" l="1"/>
  <c r="B420" i="3"/>
  <c r="I341" i="1"/>
  <c r="L341" i="1"/>
  <c r="M341" i="1" s="1"/>
  <c r="O341" i="1"/>
  <c r="P341" i="1" s="1"/>
  <c r="A431" i="1" l="1"/>
  <c r="B421" i="3"/>
  <c r="J341" i="1"/>
  <c r="F341" i="1" s="1"/>
  <c r="A432" i="1" l="1"/>
  <c r="B422" i="3"/>
  <c r="B342" i="1"/>
  <c r="C333" i="3" s="1"/>
  <c r="D342" i="1"/>
  <c r="G341" i="1"/>
  <c r="A433" i="1" l="1"/>
  <c r="B423" i="3"/>
  <c r="E342" i="1"/>
  <c r="C342" i="1"/>
  <c r="D333" i="3" s="1"/>
  <c r="K342" i="1"/>
  <c r="N342" i="1"/>
  <c r="H342" i="1"/>
  <c r="A434" i="1" l="1"/>
  <c r="B424" i="3"/>
  <c r="I342" i="1"/>
  <c r="L342" i="1"/>
  <c r="M342" i="1" s="1"/>
  <c r="O342" i="1"/>
  <c r="P342" i="1" s="1"/>
  <c r="A435" i="1" l="1"/>
  <c r="B425" i="3"/>
  <c r="J342" i="1"/>
  <c r="F342" i="1" s="1"/>
  <c r="A436" i="1" l="1"/>
  <c r="B426" i="3"/>
  <c r="D343" i="1"/>
  <c r="B343" i="1"/>
  <c r="C334" i="3" s="1"/>
  <c r="G342" i="1"/>
  <c r="A437" i="1" l="1"/>
  <c r="B427" i="3"/>
  <c r="E343" i="1"/>
  <c r="C343" i="1"/>
  <c r="D334" i="3" s="1"/>
  <c r="K343" i="1"/>
  <c r="H343" i="1"/>
  <c r="N343" i="1"/>
  <c r="A438" i="1" l="1"/>
  <c r="B428" i="3"/>
  <c r="L343" i="1"/>
  <c r="M343" i="1" s="1"/>
  <c r="O343" i="1"/>
  <c r="P343" i="1" s="1"/>
  <c r="I343" i="1"/>
  <c r="A439" i="1" l="1"/>
  <c r="B429" i="3"/>
  <c r="J343" i="1"/>
  <c r="F343" i="1" s="1"/>
  <c r="A440" i="1" l="1"/>
  <c r="B430" i="3"/>
  <c r="B344" i="1"/>
  <c r="C335" i="3" s="1"/>
  <c r="D344" i="1"/>
  <c r="G343" i="1"/>
  <c r="A441" i="1" l="1"/>
  <c r="B431" i="3"/>
  <c r="E344" i="1"/>
  <c r="C344" i="1"/>
  <c r="D335" i="3" s="1"/>
  <c r="K344" i="1"/>
  <c r="N344" i="1"/>
  <c r="H344" i="1"/>
  <c r="A442" i="1" l="1"/>
  <c r="B432" i="3"/>
  <c r="L344" i="1"/>
  <c r="M344" i="1" s="1"/>
  <c r="I344" i="1"/>
  <c r="O344" i="1"/>
  <c r="P344" i="1" s="1"/>
  <c r="A443" i="1" l="1"/>
  <c r="B433" i="3"/>
  <c r="J344" i="1"/>
  <c r="F344" i="1" s="1"/>
  <c r="A444" i="1" l="1"/>
  <c r="B434" i="3"/>
  <c r="D345" i="1"/>
  <c r="B345" i="1"/>
  <c r="C336" i="3" s="1"/>
  <c r="G344" i="1"/>
  <c r="A445" i="1" l="1"/>
  <c r="B435" i="3"/>
  <c r="E345" i="1"/>
  <c r="C345" i="1"/>
  <c r="D336" i="3" s="1"/>
  <c r="N345" i="1"/>
  <c r="H345" i="1"/>
  <c r="K345" i="1"/>
  <c r="A446" i="1" l="1"/>
  <c r="B436" i="3"/>
  <c r="L345" i="1"/>
  <c r="M345" i="1" s="1"/>
  <c r="O345" i="1"/>
  <c r="P345" i="1" s="1"/>
  <c r="I345" i="1"/>
  <c r="A447" i="1" l="1"/>
  <c r="B437" i="3"/>
  <c r="J345" i="1"/>
  <c r="F345" i="1" s="1"/>
  <c r="A448" i="1" l="1"/>
  <c r="B438" i="3"/>
  <c r="B346" i="1"/>
  <c r="C337" i="3" s="1"/>
  <c r="D346" i="1"/>
  <c r="G345" i="1"/>
  <c r="A449" i="1" l="1"/>
  <c r="B439" i="3"/>
  <c r="E346" i="1"/>
  <c r="C346" i="1"/>
  <c r="D337" i="3" s="1"/>
  <c r="N346" i="1"/>
  <c r="H346" i="1"/>
  <c r="K346" i="1"/>
  <c r="A450" i="1" l="1"/>
  <c r="B440" i="3"/>
  <c r="O346" i="1"/>
  <c r="P346" i="1" s="1"/>
  <c r="L346" i="1"/>
  <c r="M346" i="1" s="1"/>
  <c r="I346" i="1"/>
  <c r="A451" i="1" l="1"/>
  <c r="B441" i="3"/>
  <c r="J346" i="1"/>
  <c r="F346" i="1" s="1"/>
  <c r="A452" i="1" l="1"/>
  <c r="B442" i="3"/>
  <c r="D347" i="1"/>
  <c r="B347" i="1"/>
  <c r="C338" i="3" s="1"/>
  <c r="G346" i="1"/>
  <c r="A453" i="1" l="1"/>
  <c r="B443" i="3"/>
  <c r="E347" i="1"/>
  <c r="C347" i="1"/>
  <c r="D338" i="3" s="1"/>
  <c r="N347" i="1"/>
  <c r="H347" i="1"/>
  <c r="K347" i="1"/>
  <c r="A454" i="1" l="1"/>
  <c r="B444" i="3"/>
  <c r="O347" i="1"/>
  <c r="P347" i="1" s="1"/>
  <c r="I347" i="1"/>
  <c r="L347" i="1"/>
  <c r="M347" i="1" s="1"/>
  <c r="A455" i="1" l="1"/>
  <c r="B445" i="3"/>
  <c r="J347" i="1"/>
  <c r="F347" i="1" s="1"/>
  <c r="A456" i="1" l="1"/>
  <c r="B446" i="3"/>
  <c r="B348" i="1"/>
  <c r="C339" i="3" s="1"/>
  <c r="D348" i="1"/>
  <c r="G347" i="1"/>
  <c r="A457" i="1" l="1"/>
  <c r="B447" i="3"/>
  <c r="E348" i="1"/>
  <c r="C348" i="1"/>
  <c r="D339" i="3" s="1"/>
  <c r="H348" i="1"/>
  <c r="K348" i="1"/>
  <c r="N348" i="1"/>
  <c r="A458" i="1" l="1"/>
  <c r="B448" i="3"/>
  <c r="O348" i="1"/>
  <c r="P348" i="1" s="1"/>
  <c r="I348" i="1"/>
  <c r="L348" i="1"/>
  <c r="M348" i="1" s="1"/>
  <c r="A459" i="1" l="1"/>
  <c r="B449" i="3"/>
  <c r="J348" i="1"/>
  <c r="F348" i="1" s="1"/>
  <c r="A460" i="1" l="1"/>
  <c r="B450" i="3"/>
  <c r="D349" i="1"/>
  <c r="B349" i="1"/>
  <c r="C340" i="3" s="1"/>
  <c r="G348" i="1"/>
  <c r="A461" i="1" l="1"/>
  <c r="B451" i="3"/>
  <c r="E349" i="1"/>
  <c r="C349" i="1"/>
  <c r="D340" i="3" s="1"/>
  <c r="H349" i="1"/>
  <c r="K349" i="1"/>
  <c r="N349" i="1"/>
  <c r="A462" i="1" l="1"/>
  <c r="B452" i="3"/>
  <c r="I349" i="1"/>
  <c r="L349" i="1"/>
  <c r="M349" i="1" s="1"/>
  <c r="O349" i="1"/>
  <c r="P349" i="1" s="1"/>
  <c r="A463" i="1" l="1"/>
  <c r="B453" i="3"/>
  <c r="J349" i="1"/>
  <c r="F349" i="1" s="1"/>
  <c r="A464" i="1" l="1"/>
  <c r="B454" i="3"/>
  <c r="B350" i="1"/>
  <c r="C341" i="3" s="1"/>
  <c r="D350" i="1"/>
  <c r="G349" i="1"/>
  <c r="A465" i="1" l="1"/>
  <c r="B455" i="3"/>
  <c r="E350" i="1"/>
  <c r="C350" i="1"/>
  <c r="D341" i="3" s="1"/>
  <c r="K350" i="1"/>
  <c r="N350" i="1"/>
  <c r="H350" i="1"/>
  <c r="A466" i="1" l="1"/>
  <c r="B456" i="3"/>
  <c r="I350" i="1"/>
  <c r="L350" i="1"/>
  <c r="M350" i="1" s="1"/>
  <c r="O350" i="1"/>
  <c r="P350" i="1" s="1"/>
  <c r="A467" i="1" l="1"/>
  <c r="B457" i="3"/>
  <c r="J350" i="1"/>
  <c r="F350" i="1" s="1"/>
  <c r="A468" i="1" l="1"/>
  <c r="B458" i="3"/>
  <c r="D351" i="1"/>
  <c r="B351" i="1"/>
  <c r="C342" i="3" s="1"/>
  <c r="G350" i="1"/>
  <c r="A469" i="1" l="1"/>
  <c r="B459" i="3"/>
  <c r="E351" i="1"/>
  <c r="C351" i="1"/>
  <c r="D342" i="3" s="1"/>
  <c r="K351" i="1"/>
  <c r="H351" i="1"/>
  <c r="N351" i="1"/>
  <c r="A470" i="1" l="1"/>
  <c r="B460" i="3"/>
  <c r="L351" i="1"/>
  <c r="M351" i="1" s="1"/>
  <c r="O351" i="1"/>
  <c r="P351" i="1" s="1"/>
  <c r="I351" i="1"/>
  <c r="A471" i="1" l="1"/>
  <c r="B461" i="3"/>
  <c r="J351" i="1"/>
  <c r="F351" i="1" s="1"/>
  <c r="A472" i="1" l="1"/>
  <c r="B462" i="3"/>
  <c r="D352" i="1"/>
  <c r="B352" i="1"/>
  <c r="C343" i="3" s="1"/>
  <c r="G351" i="1"/>
  <c r="A473" i="1" l="1"/>
  <c r="B463" i="3"/>
  <c r="E352" i="1"/>
  <c r="C352" i="1"/>
  <c r="D343" i="3" s="1"/>
  <c r="K352" i="1"/>
  <c r="N352" i="1"/>
  <c r="H352" i="1"/>
  <c r="A474" i="1" l="1"/>
  <c r="B464" i="3"/>
  <c r="L352" i="1"/>
  <c r="M352" i="1" s="1"/>
  <c r="I352" i="1"/>
  <c r="O352" i="1"/>
  <c r="P352" i="1" s="1"/>
  <c r="A475" i="1" l="1"/>
  <c r="B465" i="3"/>
  <c r="J352" i="1"/>
  <c r="F352" i="1" s="1"/>
  <c r="A476" i="1" l="1"/>
  <c r="B466" i="3"/>
  <c r="G352" i="1"/>
  <c r="E353" i="1" s="1"/>
  <c r="D353" i="1"/>
  <c r="B353" i="1"/>
  <c r="C344" i="3" s="1"/>
  <c r="A477" i="1" l="1"/>
  <c r="B467" i="3"/>
  <c r="C353" i="1"/>
  <c r="N353" i="1"/>
  <c r="H353" i="1"/>
  <c r="K353" i="1"/>
  <c r="A478" i="1" l="1"/>
  <c r="B468" i="3"/>
  <c r="L353" i="1"/>
  <c r="M353" i="1" s="1"/>
  <c r="D344" i="3"/>
  <c r="O353" i="1"/>
  <c r="P353" i="1" s="1"/>
  <c r="I353" i="1"/>
  <c r="J353" i="1" s="1"/>
  <c r="A479" i="1" l="1"/>
  <c r="B469" i="3"/>
  <c r="F353" i="1"/>
  <c r="D354" i="1" s="1"/>
  <c r="G353" i="1"/>
  <c r="E354" i="1" s="1"/>
  <c r="A480" i="1" l="1"/>
  <c r="B470" i="3"/>
  <c r="B354" i="1"/>
  <c r="C354" i="1"/>
  <c r="A481" i="1" l="1"/>
  <c r="B471" i="3"/>
  <c r="O354" i="1"/>
  <c r="D345" i="3"/>
  <c r="H354" i="1"/>
  <c r="C345" i="3"/>
  <c r="K354" i="1"/>
  <c r="N354" i="1"/>
  <c r="L354" i="1"/>
  <c r="I354" i="1"/>
  <c r="A482" i="1" l="1"/>
  <c r="B472" i="3"/>
  <c r="J354" i="1"/>
  <c r="P354" i="1"/>
  <c r="M354" i="1"/>
  <c r="A483" i="1" l="1"/>
  <c r="B473" i="3"/>
  <c r="F354" i="1"/>
  <c r="D355" i="1" s="1"/>
  <c r="G354" i="1"/>
  <c r="E355" i="1" s="1"/>
  <c r="A484" i="1" l="1"/>
  <c r="B474" i="3"/>
  <c r="B355" i="1"/>
  <c r="H355" i="1" s="1"/>
  <c r="C355" i="1"/>
  <c r="A485" i="1" l="1"/>
  <c r="B475" i="3"/>
  <c r="K355" i="1"/>
  <c r="N355" i="1"/>
  <c r="C346" i="3"/>
  <c r="O355" i="1"/>
  <c r="D346" i="3"/>
  <c r="I355" i="1"/>
  <c r="J355" i="1" s="1"/>
  <c r="L355" i="1"/>
  <c r="P355" i="1" l="1"/>
  <c r="A486" i="1"/>
  <c r="B476" i="3"/>
  <c r="M355" i="1"/>
  <c r="F355" i="1" l="1"/>
  <c r="B356" i="1" s="1"/>
  <c r="C347" i="3" s="1"/>
  <c r="A487" i="1"/>
  <c r="B477" i="3"/>
  <c r="G355" i="1"/>
  <c r="E356" i="1" s="1"/>
  <c r="K356" i="1" l="1"/>
  <c r="N356" i="1"/>
  <c r="H356" i="1"/>
  <c r="D356" i="1"/>
  <c r="A488" i="1"/>
  <c r="B478" i="3"/>
  <c r="C356" i="1"/>
  <c r="D347" i="3" s="1"/>
  <c r="A489" i="1" l="1"/>
  <c r="B479" i="3"/>
  <c r="O356" i="1"/>
  <c r="P356" i="1" s="1"/>
  <c r="L356" i="1"/>
  <c r="M356" i="1" s="1"/>
  <c r="I356" i="1"/>
  <c r="J356" i="1" s="1"/>
  <c r="F356" i="1" l="1"/>
  <c r="D357" i="1" s="1"/>
  <c r="A490" i="1"/>
  <c r="B480" i="3"/>
  <c r="G356" i="1"/>
  <c r="B357" i="1" l="1"/>
  <c r="C348" i="3" s="1"/>
  <c r="A491" i="1"/>
  <c r="B481" i="3"/>
  <c r="E357" i="1"/>
  <c r="C357" i="1"/>
  <c r="D348" i="3" s="1"/>
  <c r="K357" i="1" l="1"/>
  <c r="N357" i="1"/>
  <c r="H357" i="1"/>
  <c r="A492" i="1"/>
  <c r="B482" i="3"/>
  <c r="O357" i="1"/>
  <c r="P357" i="1" s="1"/>
  <c r="I357" i="1"/>
  <c r="L357" i="1"/>
  <c r="M357" i="1" s="1"/>
  <c r="A493" i="1" l="1"/>
  <c r="B483" i="3"/>
  <c r="J357" i="1"/>
  <c r="F357" i="1" s="1"/>
  <c r="A494" i="1" l="1"/>
  <c r="B484" i="3"/>
  <c r="B358" i="1"/>
  <c r="C349" i="3" s="1"/>
  <c r="D358" i="1"/>
  <c r="G357" i="1"/>
  <c r="A495" i="1" l="1"/>
  <c r="B485" i="3"/>
  <c r="E358" i="1"/>
  <c r="C358" i="1"/>
  <c r="D349" i="3" s="1"/>
  <c r="H358" i="1"/>
  <c r="K358" i="1"/>
  <c r="N358" i="1"/>
  <c r="A496" i="1" l="1"/>
  <c r="B486" i="3"/>
  <c r="I358" i="1"/>
  <c r="J358" i="1" s="1"/>
  <c r="L358" i="1"/>
  <c r="M358" i="1" s="1"/>
  <c r="O358" i="1"/>
  <c r="P358" i="1" s="1"/>
  <c r="A497" i="1" l="1"/>
  <c r="B487" i="3"/>
  <c r="F358" i="1"/>
  <c r="D359" i="1" s="1"/>
  <c r="G358" i="1"/>
  <c r="A498" i="1" l="1"/>
  <c r="B488" i="3"/>
  <c r="B359" i="1"/>
  <c r="E359" i="1"/>
  <c r="C359" i="1"/>
  <c r="D350" i="3" s="1"/>
  <c r="A499" i="1" l="1"/>
  <c r="B489" i="3"/>
  <c r="K359" i="1"/>
  <c r="C350" i="3"/>
  <c r="N359" i="1"/>
  <c r="H359" i="1"/>
  <c r="I359" i="1"/>
  <c r="L359" i="1"/>
  <c r="O359" i="1"/>
  <c r="A500" i="1" l="1"/>
  <c r="B490" i="3"/>
  <c r="M359" i="1"/>
  <c r="J359" i="1"/>
  <c r="P359" i="1"/>
  <c r="A501" i="1" l="1"/>
  <c r="B491" i="3"/>
  <c r="F359" i="1"/>
  <c r="B360" i="1" s="1"/>
  <c r="G359" i="1"/>
  <c r="C360" i="1" s="1"/>
  <c r="D351" i="3" s="1"/>
  <c r="A502" i="1" l="1"/>
  <c r="B492" i="3"/>
  <c r="K360" i="1"/>
  <c r="C351" i="3"/>
  <c r="H360" i="1"/>
  <c r="N360" i="1"/>
  <c r="D360" i="1"/>
  <c r="E360" i="1"/>
  <c r="L360" i="1"/>
  <c r="O360" i="1"/>
  <c r="I360" i="1"/>
  <c r="A503" i="1" l="1"/>
  <c r="B493" i="3"/>
  <c r="P360" i="1"/>
  <c r="M360" i="1"/>
  <c r="J360" i="1"/>
  <c r="A504" i="1" l="1"/>
  <c r="B494" i="3"/>
  <c r="F360" i="1"/>
  <c r="D361" i="1" s="1"/>
  <c r="G360" i="1"/>
  <c r="A505" i="1" l="1"/>
  <c r="B495" i="3"/>
  <c r="B361" i="1"/>
  <c r="C352" i="3" s="1"/>
  <c r="E361" i="1"/>
  <c r="C361" i="1"/>
  <c r="D352" i="3" s="1"/>
  <c r="A506" i="1" l="1"/>
  <c r="B496" i="3"/>
  <c r="N361" i="1"/>
  <c r="K361" i="1"/>
  <c r="H361" i="1"/>
  <c r="L361" i="1"/>
  <c r="M361" i="1" s="1"/>
  <c r="I361" i="1"/>
  <c r="O361" i="1"/>
  <c r="A507" i="1" l="1"/>
  <c r="B497" i="3"/>
  <c r="P361" i="1"/>
  <c r="J361" i="1"/>
  <c r="F361" i="1" s="1"/>
  <c r="A508" i="1" l="1"/>
  <c r="B498" i="3"/>
  <c r="B362" i="1"/>
  <c r="C353" i="3" s="1"/>
  <c r="D362" i="1"/>
  <c r="G361" i="1"/>
  <c r="A509" i="1" l="1"/>
  <c r="B499" i="3"/>
  <c r="E362" i="1"/>
  <c r="C362" i="1"/>
  <c r="D353" i="3" s="1"/>
  <c r="N362" i="1"/>
  <c r="H362" i="1"/>
  <c r="K362" i="1"/>
  <c r="A510" i="1" l="1"/>
  <c r="B500" i="3"/>
  <c r="L362" i="1"/>
  <c r="M362" i="1" s="1"/>
  <c r="O362" i="1"/>
  <c r="P362" i="1" s="1"/>
  <c r="I362" i="1"/>
  <c r="A511" i="1" l="1"/>
  <c r="B501" i="3"/>
  <c r="J362" i="1"/>
  <c r="F362" i="1" s="1"/>
  <c r="A512" i="1" l="1"/>
  <c r="B502" i="3"/>
  <c r="D363" i="1"/>
  <c r="B363" i="1"/>
  <c r="C354" i="3" s="1"/>
  <c r="G362" i="1"/>
  <c r="A513" i="1" l="1"/>
  <c r="B503" i="3"/>
  <c r="E363" i="1"/>
  <c r="C363" i="1"/>
  <c r="D354" i="3" s="1"/>
  <c r="N363" i="1"/>
  <c r="H363" i="1"/>
  <c r="K363" i="1"/>
  <c r="A514" i="1" l="1"/>
  <c r="B504" i="3"/>
  <c r="O363" i="1"/>
  <c r="P363" i="1" s="1"/>
  <c r="I363" i="1"/>
  <c r="L363" i="1"/>
  <c r="M363" i="1" s="1"/>
  <c r="A515" i="1" l="1"/>
  <c r="B505" i="3"/>
  <c r="J363" i="1"/>
  <c r="F363" i="1" s="1"/>
  <c r="A516" i="1" l="1"/>
  <c r="B506" i="3"/>
  <c r="D364" i="1"/>
  <c r="B364" i="1"/>
  <c r="C355" i="3" s="1"/>
  <c r="G363" i="1"/>
  <c r="A517" i="1" l="1"/>
  <c r="B507" i="3"/>
  <c r="E364" i="1"/>
  <c r="C364" i="1"/>
  <c r="D355" i="3" s="1"/>
  <c r="N364" i="1"/>
  <c r="H364" i="1"/>
  <c r="K364" i="1"/>
  <c r="A518" i="1" l="1"/>
  <c r="B508" i="3"/>
  <c r="O364" i="1"/>
  <c r="P364" i="1" s="1"/>
  <c r="I364" i="1"/>
  <c r="L364" i="1"/>
  <c r="M364" i="1" s="1"/>
  <c r="A519" i="1" l="1"/>
  <c r="B509" i="3"/>
  <c r="J364" i="1"/>
  <c r="F364" i="1" s="1"/>
  <c r="A520" i="1" l="1"/>
  <c r="B510" i="3"/>
  <c r="B365" i="1"/>
  <c r="C356" i="3" s="1"/>
  <c r="D365" i="1"/>
  <c r="G364" i="1"/>
  <c r="A521" i="1" l="1"/>
  <c r="B511" i="3"/>
  <c r="E365" i="1"/>
  <c r="C365" i="1"/>
  <c r="D356" i="3" s="1"/>
  <c r="H365" i="1"/>
  <c r="K365" i="1"/>
  <c r="N365" i="1"/>
  <c r="A522" i="1" l="1"/>
  <c r="B512" i="3"/>
  <c r="O365" i="1"/>
  <c r="P365" i="1" s="1"/>
  <c r="I365" i="1"/>
  <c r="L365" i="1"/>
  <c r="M365" i="1" s="1"/>
  <c r="A523" i="1" l="1"/>
  <c r="B513" i="3"/>
  <c r="J365" i="1"/>
  <c r="F365" i="1" s="1"/>
  <c r="A524" i="1" l="1"/>
  <c r="B514" i="3"/>
  <c r="D366" i="1"/>
  <c r="B366" i="1"/>
  <c r="C357" i="3" s="1"/>
  <c r="G365" i="1"/>
  <c r="A525" i="1" l="1"/>
  <c r="B515" i="3"/>
  <c r="E366" i="1"/>
  <c r="C366" i="1"/>
  <c r="D357" i="3" s="1"/>
  <c r="H366" i="1"/>
  <c r="K366" i="1"/>
  <c r="N366" i="1"/>
  <c r="A526" i="1" l="1"/>
  <c r="B516" i="3"/>
  <c r="I366" i="1"/>
  <c r="L366" i="1"/>
  <c r="M366" i="1" s="1"/>
  <c r="O366" i="1"/>
  <c r="P366" i="1" s="1"/>
  <c r="A527" i="1" l="1"/>
  <c r="B517" i="3"/>
  <c r="J366" i="1"/>
  <c r="F366" i="1" s="1"/>
  <c r="A528" i="1" l="1"/>
  <c r="B518" i="3"/>
  <c r="B367" i="1"/>
  <c r="C358" i="3" s="1"/>
  <c r="D367" i="1"/>
  <c r="G366" i="1"/>
  <c r="A529" i="1" l="1"/>
  <c r="B519" i="3"/>
  <c r="E367" i="1"/>
  <c r="C367" i="1"/>
  <c r="D358" i="3" s="1"/>
  <c r="K367" i="1"/>
  <c r="N367" i="1"/>
  <c r="H367" i="1"/>
  <c r="A530" i="1" l="1"/>
  <c r="B520" i="3"/>
  <c r="I367" i="1"/>
  <c r="L367" i="1"/>
  <c r="M367" i="1" s="1"/>
  <c r="O367" i="1"/>
  <c r="P367" i="1" s="1"/>
  <c r="A531" i="1" l="1"/>
  <c r="B521" i="3"/>
  <c r="J367" i="1"/>
  <c r="F367" i="1" s="1"/>
  <c r="A532" i="1" l="1"/>
  <c r="B522" i="3"/>
  <c r="D368" i="1"/>
  <c r="B368" i="1"/>
  <c r="C359" i="3" s="1"/>
  <c r="G367" i="1"/>
  <c r="A533" i="1" l="1"/>
  <c r="B523" i="3"/>
  <c r="E368" i="1"/>
  <c r="C368" i="1"/>
  <c r="D359" i="3" s="1"/>
  <c r="K368" i="1"/>
  <c r="H368" i="1"/>
  <c r="N368" i="1"/>
  <c r="A534" i="1" l="1"/>
  <c r="B524" i="3"/>
  <c r="L368" i="1"/>
  <c r="M368" i="1" s="1"/>
  <c r="O368" i="1"/>
  <c r="P368" i="1" s="1"/>
  <c r="I368" i="1"/>
  <c r="A535" i="1" l="1"/>
  <c r="B525" i="3"/>
  <c r="J368" i="1"/>
  <c r="F368" i="1" s="1"/>
  <c r="A536" i="1" l="1"/>
  <c r="B526" i="3"/>
  <c r="B369" i="1"/>
  <c r="C360" i="3" s="1"/>
  <c r="D369" i="1"/>
  <c r="G368" i="1"/>
  <c r="A537" i="1" l="1"/>
  <c r="B527" i="3"/>
  <c r="E369" i="1"/>
  <c r="C369" i="1"/>
  <c r="D360" i="3" s="1"/>
  <c r="K369" i="1"/>
  <c r="N369" i="1"/>
  <c r="H369" i="1"/>
  <c r="A538" i="1" l="1"/>
  <c r="B528" i="3"/>
  <c r="L369" i="1"/>
  <c r="M369" i="1" s="1"/>
  <c r="I369" i="1"/>
  <c r="O369" i="1"/>
  <c r="P369" i="1" s="1"/>
  <c r="A539" i="1" l="1"/>
  <c r="B529" i="3"/>
  <c r="J369" i="1"/>
  <c r="F369" i="1" s="1"/>
  <c r="A540" i="1" l="1"/>
  <c r="B530" i="3"/>
  <c r="D370" i="1"/>
  <c r="B370" i="1"/>
  <c r="C361" i="3" s="1"/>
  <c r="G369" i="1"/>
  <c r="A541" i="1" l="1"/>
  <c r="B531" i="3"/>
  <c r="E370" i="1"/>
  <c r="C370" i="1"/>
  <c r="D361" i="3" s="1"/>
  <c r="N370" i="1"/>
  <c r="K370" i="1"/>
  <c r="H370" i="1"/>
  <c r="A542" i="1" l="1"/>
  <c r="B532" i="3"/>
  <c r="L370" i="1"/>
  <c r="M370" i="1" s="1"/>
  <c r="O370" i="1"/>
  <c r="P370" i="1" s="1"/>
  <c r="I370" i="1"/>
  <c r="A543" i="1" l="1"/>
  <c r="B533" i="3"/>
  <c r="J370" i="1"/>
  <c r="F370" i="1" s="1"/>
  <c r="A544" i="1" l="1"/>
  <c r="B534" i="3"/>
  <c r="B371" i="1"/>
  <c r="C362" i="3" s="1"/>
  <c r="D371" i="1"/>
  <c r="G370" i="1"/>
  <c r="A545" i="1" l="1"/>
  <c r="B535" i="3"/>
  <c r="E371" i="1"/>
  <c r="C371" i="1"/>
  <c r="D362" i="3" s="1"/>
  <c r="N371" i="1"/>
  <c r="H371" i="1"/>
  <c r="K371" i="1"/>
  <c r="A546" i="1" l="1"/>
  <c r="B536" i="3"/>
  <c r="O371" i="1"/>
  <c r="P371" i="1" s="1"/>
  <c r="I371" i="1"/>
  <c r="L371" i="1"/>
  <c r="M371" i="1" s="1"/>
  <c r="A547" i="1" l="1"/>
  <c r="B537" i="3"/>
  <c r="J371" i="1"/>
  <c r="F371" i="1" s="1"/>
  <c r="A548" i="1" l="1"/>
  <c r="B538" i="3"/>
  <c r="D372" i="1"/>
  <c r="B372" i="1"/>
  <c r="C363" i="3" s="1"/>
  <c r="G371" i="1"/>
  <c r="A549" i="1" l="1"/>
  <c r="B539" i="3"/>
  <c r="E372" i="1"/>
  <c r="C372" i="1"/>
  <c r="D363" i="3" s="1"/>
  <c r="N372" i="1"/>
  <c r="H372" i="1"/>
  <c r="K372" i="1"/>
  <c r="A550" i="1" l="1"/>
  <c r="B540" i="3"/>
  <c r="O372" i="1"/>
  <c r="P372" i="1" s="1"/>
  <c r="I372" i="1"/>
  <c r="L372" i="1"/>
  <c r="M372" i="1" s="1"/>
  <c r="A551" i="1" l="1"/>
  <c r="B541" i="3"/>
  <c r="J372" i="1"/>
  <c r="F372" i="1" s="1"/>
  <c r="A552" i="1" l="1"/>
  <c r="B542" i="3"/>
  <c r="B373" i="1"/>
  <c r="C364" i="3" s="1"/>
  <c r="D373" i="1"/>
  <c r="G372" i="1"/>
  <c r="A553" i="1" l="1"/>
  <c r="B543" i="3"/>
  <c r="E373" i="1"/>
  <c r="C373" i="1"/>
  <c r="D364" i="3" s="1"/>
  <c r="H373" i="1"/>
  <c r="K373" i="1"/>
  <c r="N373" i="1"/>
  <c r="A554" i="1" l="1"/>
  <c r="B544" i="3"/>
  <c r="O373" i="1"/>
  <c r="P373" i="1" s="1"/>
  <c r="I373" i="1"/>
  <c r="L373" i="1"/>
  <c r="M373" i="1" s="1"/>
  <c r="A555" i="1" l="1"/>
  <c r="B545" i="3"/>
  <c r="J373" i="1"/>
  <c r="F373" i="1" s="1"/>
  <c r="A556" i="1" l="1"/>
  <c r="B546" i="3"/>
  <c r="D374" i="1"/>
  <c r="B374" i="1"/>
  <c r="C365" i="3" s="1"/>
  <c r="G373" i="1"/>
  <c r="A557" i="1" l="1"/>
  <c r="B547" i="3"/>
  <c r="E374" i="1"/>
  <c r="C374" i="1"/>
  <c r="D365" i="3" s="1"/>
  <c r="H374" i="1"/>
  <c r="K374" i="1"/>
  <c r="N374" i="1"/>
  <c r="A558" i="1" l="1"/>
  <c r="B548" i="3"/>
  <c r="I374" i="1"/>
  <c r="O374" i="1"/>
  <c r="P374" i="1" s="1"/>
  <c r="L374" i="1"/>
  <c r="M374" i="1" s="1"/>
  <c r="A559" i="1" l="1"/>
  <c r="B549" i="3"/>
  <c r="J374" i="1"/>
  <c r="F374" i="1" s="1"/>
  <c r="A560" i="1" l="1"/>
  <c r="B550" i="3"/>
  <c r="B375" i="1"/>
  <c r="C366" i="3" s="1"/>
  <c r="D375" i="1"/>
  <c r="G374" i="1"/>
  <c r="A561" i="1" l="1"/>
  <c r="B551" i="3"/>
  <c r="E375" i="1"/>
  <c r="C375" i="1"/>
  <c r="D366" i="3" s="1"/>
  <c r="K375" i="1"/>
  <c r="N375" i="1"/>
  <c r="H375" i="1"/>
  <c r="A562" i="1" l="1"/>
  <c r="B552" i="3"/>
  <c r="I375" i="1"/>
  <c r="L375" i="1"/>
  <c r="M375" i="1" s="1"/>
  <c r="O375" i="1"/>
  <c r="P375" i="1" s="1"/>
  <c r="A563" i="1" l="1"/>
  <c r="B553" i="3"/>
  <c r="J375" i="1"/>
  <c r="F375" i="1" s="1"/>
  <c r="A564" i="1" l="1"/>
  <c r="B554" i="3"/>
  <c r="D376" i="1"/>
  <c r="B376" i="1"/>
  <c r="C367" i="3" s="1"/>
  <c r="G375" i="1"/>
  <c r="A565" i="1" l="1"/>
  <c r="B555" i="3"/>
  <c r="E376" i="1"/>
  <c r="C376" i="1"/>
  <c r="D367" i="3" s="1"/>
  <c r="K376" i="1"/>
  <c r="H376" i="1"/>
  <c r="N376" i="1"/>
  <c r="A566" i="1" l="1"/>
  <c r="B556" i="3"/>
  <c r="L376" i="1"/>
  <c r="M376" i="1" s="1"/>
  <c r="O376" i="1"/>
  <c r="P376" i="1" s="1"/>
  <c r="I376" i="1"/>
  <c r="A567" i="1" l="1"/>
  <c r="B557" i="3"/>
  <c r="J376" i="1"/>
  <c r="F376" i="1" s="1"/>
  <c r="A568" i="1" l="1"/>
  <c r="B558" i="3"/>
  <c r="D377" i="1"/>
  <c r="B377" i="1"/>
  <c r="C368" i="3" s="1"/>
  <c r="G376" i="1"/>
  <c r="A569" i="1" l="1"/>
  <c r="B559" i="3"/>
  <c r="E377" i="1"/>
  <c r="C377" i="1"/>
  <c r="D368" i="3" s="1"/>
  <c r="K377" i="1"/>
  <c r="N377" i="1"/>
  <c r="H377" i="1"/>
  <c r="A570" i="1" l="1"/>
  <c r="B560" i="3"/>
  <c r="L377" i="1"/>
  <c r="M377" i="1" s="1"/>
  <c r="O377" i="1"/>
  <c r="P377" i="1" s="1"/>
  <c r="I377" i="1"/>
  <c r="A571" i="1" l="1"/>
  <c r="B561" i="3"/>
  <c r="J377" i="1"/>
  <c r="F377" i="1" s="1"/>
  <c r="A572" i="1" l="1"/>
  <c r="B562" i="3"/>
  <c r="B378" i="1"/>
  <c r="C369" i="3" s="1"/>
  <c r="D378" i="1"/>
  <c r="G377" i="1"/>
  <c r="A573" i="1" l="1"/>
  <c r="B563" i="3"/>
  <c r="E378" i="1"/>
  <c r="C378" i="1"/>
  <c r="D369" i="3" s="1"/>
  <c r="N378" i="1"/>
  <c r="H378" i="1"/>
  <c r="K378" i="1"/>
  <c r="A574" i="1" l="1"/>
  <c r="B564" i="3"/>
  <c r="L378" i="1"/>
  <c r="M378" i="1" s="1"/>
  <c r="O378" i="1"/>
  <c r="P378" i="1" s="1"/>
  <c r="I378" i="1"/>
  <c r="A575" i="1" l="1"/>
  <c r="B565" i="3"/>
  <c r="J378" i="1"/>
  <c r="F378" i="1" s="1"/>
  <c r="A576" i="1" l="1"/>
  <c r="B566" i="3"/>
  <c r="D379" i="1"/>
  <c r="B379" i="1"/>
  <c r="C370" i="3" s="1"/>
  <c r="G378" i="1"/>
  <c r="A577" i="1" l="1"/>
  <c r="B567" i="3"/>
  <c r="E379" i="1"/>
  <c r="C379" i="1"/>
  <c r="D370" i="3" s="1"/>
  <c r="N379" i="1"/>
  <c r="H379" i="1"/>
  <c r="K379" i="1"/>
  <c r="A578" i="1" l="1"/>
  <c r="B568" i="3"/>
  <c r="O379" i="1"/>
  <c r="P379" i="1" s="1"/>
  <c r="I379" i="1"/>
  <c r="L379" i="1"/>
  <c r="M379" i="1" s="1"/>
  <c r="A579" i="1" l="1"/>
  <c r="B569" i="3"/>
  <c r="J379" i="1"/>
  <c r="F379" i="1" s="1"/>
  <c r="A580" i="1" l="1"/>
  <c r="B570" i="3"/>
  <c r="B380" i="1"/>
  <c r="C371" i="3" s="1"/>
  <c r="D380" i="1"/>
  <c r="G379" i="1"/>
  <c r="A581" i="1" l="1"/>
  <c r="B571" i="3"/>
  <c r="E380" i="1"/>
  <c r="C380" i="1"/>
  <c r="D371" i="3" s="1"/>
  <c r="N380" i="1"/>
  <c r="H380" i="1"/>
  <c r="K380" i="1"/>
  <c r="A582" i="1" l="1"/>
  <c r="B572" i="3"/>
  <c r="O380" i="1"/>
  <c r="P380" i="1" s="1"/>
  <c r="I380" i="1"/>
  <c r="L380" i="1"/>
  <c r="M380" i="1" s="1"/>
  <c r="A583" i="1" l="1"/>
  <c r="B573" i="3"/>
  <c r="J380" i="1"/>
  <c r="F380" i="1" s="1"/>
  <c r="A584" i="1" l="1"/>
  <c r="B574" i="3"/>
  <c r="D381" i="1"/>
  <c r="B381" i="1"/>
  <c r="C372" i="3" s="1"/>
  <c r="G380" i="1"/>
  <c r="A585" i="1" l="1"/>
  <c r="B575" i="3"/>
  <c r="E381" i="1"/>
  <c r="C381" i="1"/>
  <c r="D372" i="3" s="1"/>
  <c r="H381" i="1"/>
  <c r="K381" i="1"/>
  <c r="N381" i="1"/>
  <c r="A586" i="1" l="1"/>
  <c r="B576" i="3"/>
  <c r="O381" i="1"/>
  <c r="P381" i="1" s="1"/>
  <c r="I381" i="1"/>
  <c r="L381" i="1"/>
  <c r="M381" i="1" s="1"/>
  <c r="A587" i="1" l="1"/>
  <c r="B577" i="3"/>
  <c r="J381" i="1"/>
  <c r="F381" i="1" s="1"/>
  <c r="A588" i="1" l="1"/>
  <c r="B578" i="3"/>
  <c r="B382" i="1"/>
  <c r="C373" i="3" s="1"/>
  <c r="D382" i="1"/>
  <c r="G381" i="1"/>
  <c r="A589" i="1" l="1"/>
  <c r="B579" i="3"/>
  <c r="E382" i="1"/>
  <c r="C382" i="1"/>
  <c r="D373" i="3" s="1"/>
  <c r="H382" i="1"/>
  <c r="K382" i="1"/>
  <c r="N382" i="1"/>
  <c r="A590" i="1" l="1"/>
  <c r="B580" i="3"/>
  <c r="I382" i="1"/>
  <c r="L382" i="1"/>
  <c r="M382" i="1" s="1"/>
  <c r="O382" i="1"/>
  <c r="P382" i="1" s="1"/>
  <c r="A591" i="1" l="1"/>
  <c r="B581" i="3"/>
  <c r="J382" i="1"/>
  <c r="F382" i="1" s="1"/>
  <c r="A592" i="1" l="1"/>
  <c r="B582" i="3"/>
  <c r="D383" i="1"/>
  <c r="B383" i="1"/>
  <c r="C374" i="3" s="1"/>
  <c r="G382" i="1"/>
  <c r="A593" i="1" l="1"/>
  <c r="B583" i="3"/>
  <c r="E383" i="1"/>
  <c r="C383" i="1"/>
  <c r="D374" i="3" s="1"/>
  <c r="K383" i="1"/>
  <c r="N383" i="1"/>
  <c r="H383" i="1"/>
  <c r="A594" i="1" l="1"/>
  <c r="B584" i="3"/>
  <c r="I383" i="1"/>
  <c r="L383" i="1"/>
  <c r="M383" i="1" s="1"/>
  <c r="O383" i="1"/>
  <c r="P383" i="1" s="1"/>
  <c r="A595" i="1" l="1"/>
  <c r="B585" i="3"/>
  <c r="J383" i="1"/>
  <c r="F383" i="1" s="1"/>
  <c r="A596" i="1" l="1"/>
  <c r="B586" i="3"/>
  <c r="B384" i="1"/>
  <c r="C375" i="3" s="1"/>
  <c r="D384" i="1"/>
  <c r="G383" i="1"/>
  <c r="A597" i="1" l="1"/>
  <c r="B587" i="3"/>
  <c r="E384" i="1"/>
  <c r="C384" i="1"/>
  <c r="D375" i="3" s="1"/>
  <c r="K384" i="1"/>
  <c r="H384" i="1"/>
  <c r="N384" i="1"/>
  <c r="A598" i="1" l="1"/>
  <c r="B588" i="3"/>
  <c r="L384" i="1"/>
  <c r="M384" i="1" s="1"/>
  <c r="O384" i="1"/>
  <c r="P384" i="1" s="1"/>
  <c r="I384" i="1"/>
  <c r="A599" i="1" l="1"/>
  <c r="B589" i="3"/>
  <c r="J384" i="1"/>
  <c r="F384" i="1" s="1"/>
  <c r="A600" i="1" l="1"/>
  <c r="B590" i="3"/>
  <c r="D385" i="1"/>
  <c r="B385" i="1"/>
  <c r="C376" i="3" s="1"/>
  <c r="G384" i="1"/>
  <c r="A601" i="1" l="1"/>
  <c r="B591" i="3"/>
  <c r="E385" i="1"/>
  <c r="C385" i="1"/>
  <c r="D376" i="3" s="1"/>
  <c r="K385" i="1"/>
  <c r="N385" i="1"/>
  <c r="H385" i="1"/>
  <c r="A602" i="1" l="1"/>
  <c r="B592" i="3"/>
  <c r="L385" i="1"/>
  <c r="M385" i="1" s="1"/>
  <c r="O385" i="1"/>
  <c r="P385" i="1" s="1"/>
  <c r="I385" i="1"/>
  <c r="A603" i="1" l="1"/>
  <c r="B593" i="3"/>
  <c r="J385" i="1"/>
  <c r="F385" i="1" s="1"/>
  <c r="A604" i="1" l="1"/>
  <c r="B594" i="3"/>
  <c r="D386" i="1"/>
  <c r="B386" i="1"/>
  <c r="C377" i="3" s="1"/>
  <c r="G385" i="1"/>
  <c r="A605" i="1" l="1"/>
  <c r="B595" i="3"/>
  <c r="E386" i="1"/>
  <c r="C386" i="1"/>
  <c r="D377" i="3" s="1"/>
  <c r="N386" i="1"/>
  <c r="H386" i="1"/>
  <c r="K386" i="1"/>
  <c r="A606" i="1" l="1"/>
  <c r="B596" i="3"/>
  <c r="L386" i="1"/>
  <c r="M386" i="1" s="1"/>
  <c r="O386" i="1"/>
  <c r="P386" i="1" s="1"/>
  <c r="I386" i="1"/>
  <c r="A607" i="1" l="1"/>
  <c r="B597" i="3"/>
  <c r="J386" i="1"/>
  <c r="F386" i="1" s="1"/>
  <c r="A608" i="1" l="1"/>
  <c r="B598" i="3"/>
  <c r="B387" i="1"/>
  <c r="C378" i="3" s="1"/>
  <c r="D387" i="1"/>
  <c r="G386" i="1"/>
  <c r="A609" i="1" l="1"/>
  <c r="B599" i="3"/>
  <c r="E387" i="1"/>
  <c r="C387" i="1"/>
  <c r="D378" i="3" s="1"/>
  <c r="N387" i="1"/>
  <c r="H387" i="1"/>
  <c r="K387" i="1"/>
  <c r="A610" i="1" l="1"/>
  <c r="B600" i="3"/>
  <c r="O387" i="1"/>
  <c r="P387" i="1" s="1"/>
  <c r="I387" i="1"/>
  <c r="L387" i="1"/>
  <c r="M387" i="1" s="1"/>
  <c r="A611" i="1" l="1"/>
  <c r="B601" i="3"/>
  <c r="J387" i="1"/>
  <c r="F387" i="1" s="1"/>
  <c r="A612" i="1" l="1"/>
  <c r="B602" i="3"/>
  <c r="D388" i="1"/>
  <c r="B388" i="1"/>
  <c r="C379" i="3" s="1"/>
  <c r="G387" i="1"/>
  <c r="A613" i="1" l="1"/>
  <c r="B603" i="3"/>
  <c r="E388" i="1"/>
  <c r="C388" i="1"/>
  <c r="D379" i="3" s="1"/>
  <c r="N388" i="1"/>
  <c r="H388" i="1"/>
  <c r="K388" i="1"/>
  <c r="A614" i="1" l="1"/>
  <c r="B604" i="3"/>
  <c r="O388" i="1"/>
  <c r="P388" i="1" s="1"/>
  <c r="I388" i="1"/>
  <c r="L388" i="1"/>
  <c r="M388" i="1" s="1"/>
  <c r="A615" i="1" l="1"/>
  <c r="B605" i="3"/>
  <c r="J388" i="1"/>
  <c r="F388" i="1" s="1"/>
  <c r="A616" i="1" l="1"/>
  <c r="B606" i="3"/>
  <c r="B389" i="1"/>
  <c r="C380" i="3" s="1"/>
  <c r="D389" i="1"/>
  <c r="G388" i="1"/>
  <c r="A617" i="1" l="1"/>
  <c r="B607" i="3"/>
  <c r="E389" i="1"/>
  <c r="C389" i="1"/>
  <c r="D380" i="3" s="1"/>
  <c r="H389" i="1"/>
  <c r="K389" i="1"/>
  <c r="N389" i="1"/>
  <c r="A618" i="1" l="1"/>
  <c r="B608" i="3"/>
  <c r="O389" i="1"/>
  <c r="P389" i="1" s="1"/>
  <c r="I389" i="1"/>
  <c r="L389" i="1"/>
  <c r="M389" i="1" s="1"/>
  <c r="A619" i="1" l="1"/>
  <c r="B609" i="3"/>
  <c r="J389" i="1"/>
  <c r="F389" i="1" s="1"/>
  <c r="A620" i="1" l="1"/>
  <c r="B610" i="3"/>
  <c r="D390" i="1"/>
  <c r="B390" i="1"/>
  <c r="C381" i="3" s="1"/>
  <c r="G389" i="1"/>
  <c r="A621" i="1" l="1"/>
  <c r="B611" i="3"/>
  <c r="E390" i="1"/>
  <c r="C390" i="1"/>
  <c r="D381" i="3" s="1"/>
  <c r="H390" i="1"/>
  <c r="K390" i="1"/>
  <c r="N390" i="1"/>
  <c r="A622" i="1" l="1"/>
  <c r="B612" i="3"/>
  <c r="I390" i="1"/>
  <c r="L390" i="1"/>
  <c r="M390" i="1" s="1"/>
  <c r="O390" i="1"/>
  <c r="P390" i="1" s="1"/>
  <c r="A623" i="1" l="1"/>
  <c r="B613" i="3"/>
  <c r="J390" i="1"/>
  <c r="F390" i="1" s="1"/>
  <c r="A624" i="1" l="1"/>
  <c r="B614" i="3"/>
  <c r="B391" i="1"/>
  <c r="C382" i="3" s="1"/>
  <c r="D391" i="1"/>
  <c r="G390" i="1"/>
  <c r="A625" i="1" l="1"/>
  <c r="B615" i="3"/>
  <c r="E391" i="1"/>
  <c r="C391" i="1"/>
  <c r="D382" i="3" s="1"/>
  <c r="K391" i="1"/>
  <c r="N391" i="1"/>
  <c r="H391" i="1"/>
  <c r="A626" i="1" l="1"/>
  <c r="B616" i="3"/>
  <c r="I391" i="1"/>
  <c r="L391" i="1"/>
  <c r="M391" i="1" s="1"/>
  <c r="O391" i="1"/>
  <c r="P391" i="1" s="1"/>
  <c r="A627" i="1" l="1"/>
  <c r="B617" i="3"/>
  <c r="J391" i="1"/>
  <c r="F391" i="1" s="1"/>
  <c r="A628" i="1" l="1"/>
  <c r="B618" i="3"/>
  <c r="D392" i="1"/>
  <c r="B392" i="1"/>
  <c r="C383" i="3" s="1"/>
  <c r="G391" i="1"/>
  <c r="A629" i="1" l="1"/>
  <c r="B619" i="3"/>
  <c r="E392" i="1"/>
  <c r="C392" i="1"/>
  <c r="D383" i="3" s="1"/>
  <c r="K392" i="1"/>
  <c r="N392" i="1"/>
  <c r="H392" i="1"/>
  <c r="A630" i="1" l="1"/>
  <c r="B620" i="3"/>
  <c r="L392" i="1"/>
  <c r="M392" i="1" s="1"/>
  <c r="O392" i="1"/>
  <c r="P392" i="1" s="1"/>
  <c r="I392" i="1"/>
  <c r="A631" i="1" l="1"/>
  <c r="B621" i="3"/>
  <c r="J392" i="1"/>
  <c r="F392" i="1" s="1"/>
  <c r="A632" i="1" l="1"/>
  <c r="B622" i="3"/>
  <c r="B393" i="1"/>
  <c r="C384" i="3" s="1"/>
  <c r="D393" i="1"/>
  <c r="G392" i="1"/>
  <c r="A633" i="1" l="1"/>
  <c r="B623" i="3"/>
  <c r="E393" i="1"/>
  <c r="C393" i="1"/>
  <c r="D384" i="3" s="1"/>
  <c r="K393" i="1"/>
  <c r="N393" i="1"/>
  <c r="H393" i="1"/>
  <c r="A634" i="1" l="1"/>
  <c r="B624" i="3"/>
  <c r="L393" i="1"/>
  <c r="M393" i="1" s="1"/>
  <c r="O393" i="1"/>
  <c r="P393" i="1" s="1"/>
  <c r="I393" i="1"/>
  <c r="A635" i="1" l="1"/>
  <c r="B625" i="3"/>
  <c r="J393" i="1"/>
  <c r="F393" i="1" s="1"/>
  <c r="A636" i="1" l="1"/>
  <c r="B626" i="3"/>
  <c r="D394" i="1"/>
  <c r="B394" i="1"/>
  <c r="C385" i="3" s="1"/>
  <c r="G393" i="1"/>
  <c r="A637" i="1" l="1"/>
  <c r="B627" i="3"/>
  <c r="E394" i="1"/>
  <c r="C394" i="1"/>
  <c r="D385" i="3" s="1"/>
  <c r="N394" i="1"/>
  <c r="H394" i="1"/>
  <c r="K394" i="1"/>
  <c r="A638" i="1" l="1"/>
  <c r="B628" i="3"/>
  <c r="L394" i="1"/>
  <c r="M394" i="1" s="1"/>
  <c r="O394" i="1"/>
  <c r="P394" i="1" s="1"/>
  <c r="I394" i="1"/>
  <c r="A639" i="1" l="1"/>
  <c r="B629" i="3"/>
  <c r="J394" i="1"/>
  <c r="F394" i="1" s="1"/>
  <c r="A640" i="1" l="1"/>
  <c r="B630" i="3"/>
  <c r="B395" i="1"/>
  <c r="C386" i="3" s="1"/>
  <c r="D395" i="1"/>
  <c r="G394" i="1"/>
  <c r="A641" i="1" l="1"/>
  <c r="B631" i="3"/>
  <c r="E395" i="1"/>
  <c r="C395" i="1"/>
  <c r="D386" i="3" s="1"/>
  <c r="N395" i="1"/>
  <c r="H395" i="1"/>
  <c r="K395" i="1"/>
  <c r="A642" i="1" l="1"/>
  <c r="B632" i="3"/>
  <c r="O395" i="1"/>
  <c r="P395" i="1" s="1"/>
  <c r="I395" i="1"/>
  <c r="L395" i="1"/>
  <c r="M395" i="1" s="1"/>
  <c r="A643" i="1" l="1"/>
  <c r="B633" i="3"/>
  <c r="J395" i="1"/>
  <c r="F395" i="1" s="1"/>
  <c r="A644" i="1" l="1"/>
  <c r="B634" i="3"/>
  <c r="D396" i="1"/>
  <c r="B396" i="1"/>
  <c r="C387" i="3" s="1"/>
  <c r="G395" i="1"/>
  <c r="A645" i="1" l="1"/>
  <c r="B635" i="3"/>
  <c r="E396" i="1"/>
  <c r="C396" i="1"/>
  <c r="D387" i="3" s="1"/>
  <c r="N396" i="1"/>
  <c r="H396" i="1"/>
  <c r="K396" i="1"/>
  <c r="A646" i="1" l="1"/>
  <c r="B636" i="3"/>
  <c r="O396" i="1"/>
  <c r="P396" i="1" s="1"/>
  <c r="I396" i="1"/>
  <c r="L396" i="1"/>
  <c r="M396" i="1" s="1"/>
  <c r="A647" i="1" l="1"/>
  <c r="B637" i="3"/>
  <c r="J396" i="1"/>
  <c r="F396" i="1" s="1"/>
  <c r="A648" i="1" l="1"/>
  <c r="B638" i="3"/>
  <c r="B397" i="1"/>
  <c r="C388" i="3" s="1"/>
  <c r="D397" i="1"/>
  <c r="G396" i="1"/>
  <c r="A649" i="1" l="1"/>
  <c r="B639" i="3"/>
  <c r="E397" i="1"/>
  <c r="C397" i="1"/>
  <c r="D388" i="3" s="1"/>
  <c r="H397" i="1"/>
  <c r="K397" i="1"/>
  <c r="N397" i="1"/>
  <c r="A650" i="1" l="1"/>
  <c r="B640" i="3"/>
  <c r="O397" i="1"/>
  <c r="P397" i="1" s="1"/>
  <c r="I397" i="1"/>
  <c r="L397" i="1"/>
  <c r="M397" i="1" s="1"/>
  <c r="A651" i="1" l="1"/>
  <c r="B641" i="3"/>
  <c r="J397" i="1"/>
  <c r="F397" i="1" s="1"/>
  <c r="A652" i="1" l="1"/>
  <c r="B642" i="3"/>
  <c r="D398" i="1"/>
  <c r="B398" i="1"/>
  <c r="C389" i="3" s="1"/>
  <c r="G397" i="1"/>
  <c r="A653" i="1" l="1"/>
  <c r="B643" i="3"/>
  <c r="E398" i="1"/>
  <c r="C398" i="1"/>
  <c r="D389" i="3" s="1"/>
  <c r="H398" i="1"/>
  <c r="K398" i="1"/>
  <c r="N398" i="1"/>
  <c r="A654" i="1" l="1"/>
  <c r="B644" i="3"/>
  <c r="I398" i="1"/>
  <c r="L398" i="1"/>
  <c r="M398" i="1" s="1"/>
  <c r="O398" i="1"/>
  <c r="P398" i="1" s="1"/>
  <c r="A655" i="1" l="1"/>
  <c r="B645" i="3"/>
  <c r="J398" i="1"/>
  <c r="F398" i="1" s="1"/>
  <c r="A656" i="1" l="1"/>
  <c r="B646" i="3"/>
  <c r="B399" i="1"/>
  <c r="C390" i="3" s="1"/>
  <c r="D399" i="1"/>
  <c r="G398" i="1"/>
  <c r="A657" i="1" l="1"/>
  <c r="B647" i="3"/>
  <c r="E399" i="1"/>
  <c r="C399" i="1"/>
  <c r="D390" i="3" s="1"/>
  <c r="K399" i="1"/>
  <c r="N399" i="1"/>
  <c r="H399" i="1"/>
  <c r="A658" i="1" l="1"/>
  <c r="B648" i="3"/>
  <c r="I399" i="1"/>
  <c r="L399" i="1"/>
  <c r="M399" i="1" s="1"/>
  <c r="O399" i="1"/>
  <c r="P399" i="1" s="1"/>
  <c r="A659" i="1" l="1"/>
  <c r="B649" i="3"/>
  <c r="J399" i="1"/>
  <c r="F399" i="1" s="1"/>
  <c r="A660" i="1" l="1"/>
  <c r="B650" i="3"/>
  <c r="D400" i="1"/>
  <c r="B400" i="1"/>
  <c r="C391" i="3" s="1"/>
  <c r="G399" i="1"/>
  <c r="A661" i="1" l="1"/>
  <c r="B651" i="3"/>
  <c r="E400" i="1"/>
  <c r="C400" i="1"/>
  <c r="D391" i="3" s="1"/>
  <c r="K400" i="1"/>
  <c r="N400" i="1"/>
  <c r="H400" i="1"/>
  <c r="A662" i="1" l="1"/>
  <c r="B652" i="3"/>
  <c r="L400" i="1"/>
  <c r="M400" i="1" s="1"/>
  <c r="I400" i="1"/>
  <c r="O400" i="1"/>
  <c r="P400" i="1" s="1"/>
  <c r="A663" i="1" l="1"/>
  <c r="B653" i="3"/>
  <c r="J400" i="1"/>
  <c r="F400" i="1" s="1"/>
  <c r="A664" i="1" l="1"/>
  <c r="B654" i="3"/>
  <c r="B401" i="1"/>
  <c r="C392" i="3" s="1"/>
  <c r="D401" i="1"/>
  <c r="G400" i="1"/>
  <c r="A665" i="1" l="1"/>
  <c r="B655" i="3"/>
  <c r="E401" i="1"/>
  <c r="C401" i="1"/>
  <c r="D392" i="3" s="1"/>
  <c r="K401" i="1"/>
  <c r="N401" i="1"/>
  <c r="H401" i="1"/>
  <c r="A666" i="1" l="1"/>
  <c r="B656" i="3"/>
  <c r="L401" i="1"/>
  <c r="M401" i="1" s="1"/>
  <c r="O401" i="1"/>
  <c r="P401" i="1" s="1"/>
  <c r="I401" i="1"/>
  <c r="A667" i="1" l="1"/>
  <c r="B657" i="3"/>
  <c r="J401" i="1"/>
  <c r="F401" i="1" s="1"/>
  <c r="A668" i="1" l="1"/>
  <c r="B658" i="3"/>
  <c r="D402" i="1"/>
  <c r="B402" i="1"/>
  <c r="C393" i="3" s="1"/>
  <c r="G401" i="1"/>
  <c r="A669" i="1" l="1"/>
  <c r="B659" i="3"/>
  <c r="E402" i="1"/>
  <c r="C402" i="1"/>
  <c r="D393" i="3" s="1"/>
  <c r="N402" i="1"/>
  <c r="H402" i="1"/>
  <c r="K402" i="1"/>
  <c r="A670" i="1" l="1"/>
  <c r="B660" i="3"/>
  <c r="L402" i="1"/>
  <c r="M402" i="1" s="1"/>
  <c r="O402" i="1"/>
  <c r="P402" i="1" s="1"/>
  <c r="I402" i="1"/>
  <c r="A671" i="1" l="1"/>
  <c r="B661" i="3"/>
  <c r="J402" i="1"/>
  <c r="F402" i="1" s="1"/>
  <c r="A672" i="1" l="1"/>
  <c r="B662" i="3"/>
  <c r="D403" i="1"/>
  <c r="B403" i="1"/>
  <c r="C394" i="3" s="1"/>
  <c r="G402" i="1"/>
  <c r="A673" i="1" l="1"/>
  <c r="B663" i="3"/>
  <c r="E403" i="1"/>
  <c r="C403" i="1"/>
  <c r="D394" i="3" s="1"/>
  <c r="N403" i="1"/>
  <c r="H403" i="1"/>
  <c r="K403" i="1"/>
  <c r="A674" i="1" l="1"/>
  <c r="B664" i="3"/>
  <c r="O403" i="1"/>
  <c r="P403" i="1" s="1"/>
  <c r="I403" i="1"/>
  <c r="L403" i="1"/>
  <c r="M403" i="1" s="1"/>
  <c r="A675" i="1" l="1"/>
  <c r="B665" i="3"/>
  <c r="J403" i="1"/>
  <c r="F403" i="1" s="1"/>
  <c r="A676" i="1" l="1"/>
  <c r="B666" i="3"/>
  <c r="B404" i="1"/>
  <c r="C395" i="3" s="1"/>
  <c r="D404" i="1"/>
  <c r="G403" i="1"/>
  <c r="A677" i="1" l="1"/>
  <c r="B667" i="3"/>
  <c r="E404" i="1"/>
  <c r="C404" i="1"/>
  <c r="D395" i="3" s="1"/>
  <c r="N404" i="1"/>
  <c r="H404" i="1"/>
  <c r="K404" i="1"/>
  <c r="A678" i="1" l="1"/>
  <c r="B668" i="3"/>
  <c r="O404" i="1"/>
  <c r="P404" i="1" s="1"/>
  <c r="I404" i="1"/>
  <c r="L404" i="1"/>
  <c r="M404" i="1" s="1"/>
  <c r="A679" i="1" l="1"/>
  <c r="B669" i="3"/>
  <c r="J404" i="1"/>
  <c r="F404" i="1" s="1"/>
  <c r="A680" i="1" l="1"/>
  <c r="B670" i="3"/>
  <c r="D405" i="1"/>
  <c r="B405" i="1"/>
  <c r="C396" i="3" s="1"/>
  <c r="G404" i="1"/>
  <c r="A681" i="1" l="1"/>
  <c r="B671" i="3"/>
  <c r="E405" i="1"/>
  <c r="C405" i="1"/>
  <c r="D396" i="3" s="1"/>
  <c r="H405" i="1"/>
  <c r="K405" i="1"/>
  <c r="N405" i="1"/>
  <c r="A682" i="1" l="1"/>
  <c r="B672" i="3"/>
  <c r="O405" i="1"/>
  <c r="P405" i="1" s="1"/>
  <c r="I405" i="1"/>
  <c r="L405" i="1"/>
  <c r="M405" i="1" s="1"/>
  <c r="A683" i="1" l="1"/>
  <c r="B673" i="3"/>
  <c r="J405" i="1"/>
  <c r="F405" i="1" s="1"/>
  <c r="A684" i="1" l="1"/>
  <c r="B674" i="3"/>
  <c r="B406" i="1"/>
  <c r="C397" i="3" s="1"/>
  <c r="D406" i="1"/>
  <c r="G405" i="1"/>
  <c r="A685" i="1" l="1"/>
  <c r="B675" i="3"/>
  <c r="E406" i="1"/>
  <c r="C406" i="1"/>
  <c r="D397" i="3" s="1"/>
  <c r="H406" i="1"/>
  <c r="K406" i="1"/>
  <c r="N406" i="1"/>
  <c r="A686" i="1" l="1"/>
  <c r="B676" i="3"/>
  <c r="I406" i="1"/>
  <c r="L406" i="1"/>
  <c r="M406" i="1" s="1"/>
  <c r="O406" i="1"/>
  <c r="P406" i="1" s="1"/>
  <c r="A687" i="1" l="1"/>
  <c r="B677" i="3"/>
  <c r="J406" i="1"/>
  <c r="F406" i="1" s="1"/>
  <c r="A688" i="1" l="1"/>
  <c r="B678" i="3"/>
  <c r="D407" i="1"/>
  <c r="B407" i="1"/>
  <c r="C398" i="3" s="1"/>
  <c r="G406" i="1"/>
  <c r="A689" i="1" l="1"/>
  <c r="B679" i="3"/>
  <c r="E407" i="1"/>
  <c r="C407" i="1"/>
  <c r="D398" i="3" s="1"/>
  <c r="K407" i="1"/>
  <c r="N407" i="1"/>
  <c r="H407" i="1"/>
  <c r="A690" i="1" l="1"/>
  <c r="B680" i="3"/>
  <c r="I407" i="1"/>
  <c r="L407" i="1"/>
  <c r="M407" i="1" s="1"/>
  <c r="O407" i="1"/>
  <c r="P407" i="1" s="1"/>
  <c r="A691" i="1" l="1"/>
  <c r="B681" i="3"/>
  <c r="J407" i="1"/>
  <c r="F407" i="1" s="1"/>
  <c r="A692" i="1" l="1"/>
  <c r="B682" i="3"/>
  <c r="B408" i="1"/>
  <c r="C399" i="3" s="1"/>
  <c r="D408" i="1"/>
  <c r="G407" i="1"/>
  <c r="A693" i="1" l="1"/>
  <c r="B683" i="3"/>
  <c r="E408" i="1"/>
  <c r="C408" i="1"/>
  <c r="D399" i="3" s="1"/>
  <c r="K408" i="1"/>
  <c r="N408" i="1"/>
  <c r="H408" i="1"/>
  <c r="A694" i="1" l="1"/>
  <c r="B684" i="3"/>
  <c r="L408" i="1"/>
  <c r="M408" i="1" s="1"/>
  <c r="O408" i="1"/>
  <c r="P408" i="1" s="1"/>
  <c r="I408" i="1"/>
  <c r="A695" i="1" l="1"/>
  <c r="B685" i="3"/>
  <c r="J408" i="1"/>
  <c r="F408" i="1" s="1"/>
  <c r="A696" i="1" l="1"/>
  <c r="B686" i="3"/>
  <c r="D409" i="1"/>
  <c r="B409" i="1"/>
  <c r="C400" i="3" s="1"/>
  <c r="G408" i="1"/>
  <c r="A697" i="1" l="1"/>
  <c r="B687" i="3"/>
  <c r="E409" i="1"/>
  <c r="C409" i="1"/>
  <c r="D400" i="3" s="1"/>
  <c r="K409" i="1"/>
  <c r="N409" i="1"/>
  <c r="H409" i="1"/>
  <c r="A698" i="1" l="1"/>
  <c r="B688" i="3"/>
  <c r="L409" i="1"/>
  <c r="M409" i="1" s="1"/>
  <c r="O409" i="1"/>
  <c r="P409" i="1" s="1"/>
  <c r="I409" i="1"/>
  <c r="A699" i="1" l="1"/>
  <c r="B689" i="3"/>
  <c r="J409" i="1"/>
  <c r="F409" i="1" s="1"/>
  <c r="A700" i="1" l="1"/>
  <c r="B690" i="3"/>
  <c r="D410" i="1"/>
  <c r="B410" i="1"/>
  <c r="C401" i="3" s="1"/>
  <c r="G409" i="1"/>
  <c r="A701" i="1" l="1"/>
  <c r="B691" i="3"/>
  <c r="E410" i="1"/>
  <c r="C410" i="1"/>
  <c r="D401" i="3" s="1"/>
  <c r="N410" i="1"/>
  <c r="H410" i="1"/>
  <c r="K410" i="1"/>
  <c r="A702" i="1" l="1"/>
  <c r="B692" i="3"/>
  <c r="L410" i="1"/>
  <c r="M410" i="1" s="1"/>
  <c r="O410" i="1"/>
  <c r="P410" i="1" s="1"/>
  <c r="I410" i="1"/>
  <c r="A703" i="1" l="1"/>
  <c r="B693" i="3"/>
  <c r="J410" i="1"/>
  <c r="F410" i="1" s="1"/>
  <c r="A704" i="1" l="1"/>
  <c r="B694" i="3"/>
  <c r="B411" i="1"/>
  <c r="C402" i="3" s="1"/>
  <c r="D411" i="1"/>
  <c r="G410" i="1"/>
  <c r="A705" i="1" l="1"/>
  <c r="B695" i="3"/>
  <c r="E411" i="1"/>
  <c r="C411" i="1"/>
  <c r="D402" i="3" s="1"/>
  <c r="N411" i="1"/>
  <c r="H411" i="1"/>
  <c r="K411" i="1"/>
  <c r="A706" i="1" l="1"/>
  <c r="B696" i="3"/>
  <c r="O411" i="1"/>
  <c r="P411" i="1" s="1"/>
  <c r="I411" i="1"/>
  <c r="L411" i="1"/>
  <c r="M411" i="1" s="1"/>
  <c r="A707" i="1" l="1"/>
  <c r="B697" i="3"/>
  <c r="J411" i="1"/>
  <c r="F411" i="1" s="1"/>
  <c r="A708" i="1" l="1"/>
  <c r="B698" i="3"/>
  <c r="D412" i="1"/>
  <c r="B412" i="1"/>
  <c r="C403" i="3" s="1"/>
  <c r="G411" i="1"/>
  <c r="A709" i="1" l="1"/>
  <c r="B699" i="3"/>
  <c r="E412" i="1"/>
  <c r="C412" i="1"/>
  <c r="D403" i="3" s="1"/>
  <c r="N412" i="1"/>
  <c r="H412" i="1"/>
  <c r="K412" i="1"/>
  <c r="A710" i="1" l="1"/>
  <c r="B700" i="3"/>
  <c r="O412" i="1"/>
  <c r="P412" i="1" s="1"/>
  <c r="I412" i="1"/>
  <c r="L412" i="1"/>
  <c r="M412" i="1" s="1"/>
  <c r="A711" i="1" l="1"/>
  <c r="B701" i="3"/>
  <c r="J412" i="1"/>
  <c r="F412" i="1" s="1"/>
  <c r="A712" i="1" l="1"/>
  <c r="B702" i="3"/>
  <c r="B413" i="1"/>
  <c r="C404" i="3" s="1"/>
  <c r="D413" i="1"/>
  <c r="G412" i="1"/>
  <c r="A713" i="1" l="1"/>
  <c r="B703" i="3"/>
  <c r="E413" i="1"/>
  <c r="C413" i="1"/>
  <c r="D404" i="3" s="1"/>
  <c r="H413" i="1"/>
  <c r="K413" i="1"/>
  <c r="N413" i="1"/>
  <c r="A714" i="1" l="1"/>
  <c r="B704" i="3"/>
  <c r="O413" i="1"/>
  <c r="P413" i="1" s="1"/>
  <c r="I413" i="1"/>
  <c r="L413" i="1"/>
  <c r="M413" i="1" s="1"/>
  <c r="A715" i="1" l="1"/>
  <c r="B705" i="3"/>
  <c r="J413" i="1"/>
  <c r="F413" i="1" s="1"/>
  <c r="A716" i="1" l="1"/>
  <c r="B706" i="3"/>
  <c r="D414" i="1"/>
  <c r="B414" i="1"/>
  <c r="C405" i="3" s="1"/>
  <c r="G413" i="1"/>
  <c r="A717" i="1" l="1"/>
  <c r="B707" i="3"/>
  <c r="E414" i="1"/>
  <c r="C414" i="1"/>
  <c r="D405" i="3" s="1"/>
  <c r="H414" i="1"/>
  <c r="K414" i="1"/>
  <c r="N414" i="1"/>
  <c r="A718" i="1" l="1"/>
  <c r="B708" i="3"/>
  <c r="L414" i="1"/>
  <c r="M414" i="1" s="1"/>
  <c r="O414" i="1"/>
  <c r="P414" i="1" s="1"/>
  <c r="I414" i="1"/>
  <c r="A719" i="1" l="1"/>
  <c r="B709" i="3"/>
  <c r="J414" i="1"/>
  <c r="F414" i="1" s="1"/>
  <c r="A720" i="1" l="1"/>
  <c r="B710" i="3"/>
  <c r="B415" i="1"/>
  <c r="C406" i="3" s="1"/>
  <c r="D415" i="1"/>
  <c r="G414" i="1"/>
  <c r="A721" i="1" l="1"/>
  <c r="B711" i="3"/>
  <c r="E415" i="1"/>
  <c r="C415" i="1"/>
  <c r="D406" i="3" s="1"/>
  <c r="H415" i="1"/>
  <c r="K415" i="1"/>
  <c r="N415" i="1"/>
  <c r="A722" i="1" l="1"/>
  <c r="B712" i="3"/>
  <c r="I415" i="1"/>
  <c r="L415" i="1"/>
  <c r="M415" i="1" s="1"/>
  <c r="O415" i="1"/>
  <c r="P415" i="1" s="1"/>
  <c r="A723" i="1" l="1"/>
  <c r="B713" i="3"/>
  <c r="J415" i="1"/>
  <c r="F415" i="1" s="1"/>
  <c r="A724" i="1" l="1"/>
  <c r="B714" i="3"/>
  <c r="D416" i="1"/>
  <c r="B416" i="1"/>
  <c r="C407" i="3" s="1"/>
  <c r="G415" i="1"/>
  <c r="A725" i="1" l="1"/>
  <c r="B715" i="3"/>
  <c r="E416" i="1"/>
  <c r="C416" i="1"/>
  <c r="D407" i="3" s="1"/>
  <c r="H416" i="1"/>
  <c r="N416" i="1"/>
  <c r="K416" i="1"/>
  <c r="A726" i="1" l="1"/>
  <c r="B716" i="3"/>
  <c r="L416" i="1"/>
  <c r="M416" i="1" s="1"/>
  <c r="O416" i="1"/>
  <c r="P416" i="1" s="1"/>
  <c r="I416" i="1"/>
  <c r="A727" i="1" l="1"/>
  <c r="B717" i="3"/>
  <c r="J416" i="1"/>
  <c r="F416" i="1" s="1"/>
  <c r="A728" i="1" l="1"/>
  <c r="B718" i="3"/>
  <c r="B417" i="1"/>
  <c r="C408" i="3" s="1"/>
  <c r="D417" i="1"/>
  <c r="G416" i="1"/>
  <c r="A729" i="1" l="1"/>
  <c r="B719" i="3"/>
  <c r="E417" i="1"/>
  <c r="C417" i="1"/>
  <c r="D408" i="3" s="1"/>
  <c r="N417" i="1"/>
  <c r="H417" i="1"/>
  <c r="K417" i="1"/>
  <c r="A730" i="1" l="1"/>
  <c r="B720" i="3"/>
  <c r="I417" i="1"/>
  <c r="L417" i="1"/>
  <c r="M417" i="1" s="1"/>
  <c r="O417" i="1"/>
  <c r="P417" i="1" s="1"/>
  <c r="A731" i="1" l="1"/>
  <c r="B721" i="3"/>
  <c r="J417" i="1"/>
  <c r="F417" i="1" s="1"/>
  <c r="A732" i="1" l="1"/>
  <c r="B722" i="3"/>
  <c r="D418" i="1"/>
  <c r="B418" i="1"/>
  <c r="C409" i="3" s="1"/>
  <c r="G417" i="1"/>
  <c r="A733" i="1" l="1"/>
  <c r="B723" i="3"/>
  <c r="E418" i="1"/>
  <c r="C418" i="1"/>
  <c r="D409" i="3" s="1"/>
  <c r="N418" i="1"/>
  <c r="K418" i="1"/>
  <c r="H418" i="1"/>
  <c r="A734" i="1" l="1"/>
  <c r="B724" i="3"/>
  <c r="O418" i="1"/>
  <c r="P418" i="1" s="1"/>
  <c r="L418" i="1"/>
  <c r="M418" i="1" s="1"/>
  <c r="I418" i="1"/>
  <c r="A735" i="1" l="1"/>
  <c r="B725" i="3"/>
  <c r="J418" i="1"/>
  <c r="F418" i="1" s="1"/>
  <c r="A736" i="1" l="1"/>
  <c r="B726" i="3"/>
  <c r="B419" i="1"/>
  <c r="C410" i="3" s="1"/>
  <c r="D419" i="1"/>
  <c r="G418" i="1"/>
  <c r="A737" i="1" l="1"/>
  <c r="B727" i="3"/>
  <c r="E419" i="1"/>
  <c r="C419" i="1"/>
  <c r="D410" i="3" s="1"/>
  <c r="K419" i="1"/>
  <c r="H419" i="1"/>
  <c r="N419" i="1"/>
  <c r="A738" i="1" l="1"/>
  <c r="B728" i="3"/>
  <c r="O419" i="1"/>
  <c r="P419" i="1" s="1"/>
  <c r="I419" i="1"/>
  <c r="L419" i="1"/>
  <c r="M419" i="1" s="1"/>
  <c r="A739" i="1" l="1"/>
  <c r="B729" i="3"/>
  <c r="J419" i="1"/>
  <c r="F419" i="1" s="1"/>
  <c r="A740" i="1" l="1"/>
  <c r="B730" i="3"/>
  <c r="D420" i="1"/>
  <c r="B420" i="1"/>
  <c r="C411" i="3" s="1"/>
  <c r="G419" i="1"/>
  <c r="A741" i="1" l="1"/>
  <c r="B731" i="3"/>
  <c r="E420" i="1"/>
  <c r="C420" i="1"/>
  <c r="D411" i="3" s="1"/>
  <c r="H420" i="1"/>
  <c r="K420" i="1"/>
  <c r="N420" i="1"/>
  <c r="A742" i="1" l="1"/>
  <c r="B732" i="3"/>
  <c r="L420" i="1"/>
  <c r="M420" i="1" s="1"/>
  <c r="I420" i="1"/>
  <c r="O420" i="1"/>
  <c r="P420" i="1" s="1"/>
  <c r="A743" i="1" l="1"/>
  <c r="B733" i="3"/>
  <c r="J420" i="1"/>
  <c r="F420" i="1" s="1"/>
  <c r="A744" i="1" l="1"/>
  <c r="B734" i="3"/>
  <c r="B421" i="1"/>
  <c r="C412" i="3" s="1"/>
  <c r="D421" i="1"/>
  <c r="G420" i="1"/>
  <c r="A745" i="1" l="1"/>
  <c r="B735" i="3"/>
  <c r="E421" i="1"/>
  <c r="C421" i="1"/>
  <c r="D412" i="3" s="1"/>
  <c r="H421" i="1"/>
  <c r="K421" i="1"/>
  <c r="N421" i="1"/>
  <c r="A746" i="1" l="1"/>
  <c r="B736" i="3"/>
  <c r="I421" i="1"/>
  <c r="L421" i="1"/>
  <c r="M421" i="1" s="1"/>
  <c r="O421" i="1"/>
  <c r="P421" i="1" s="1"/>
  <c r="A747" i="1" l="1"/>
  <c r="B737" i="3"/>
  <c r="J421" i="1"/>
  <c r="F421" i="1" s="1"/>
  <c r="A748" i="1" l="1"/>
  <c r="B738" i="3"/>
  <c r="D422" i="1"/>
  <c r="B422" i="1"/>
  <c r="C413" i="3" s="1"/>
  <c r="G421" i="1"/>
  <c r="A749" i="1" l="1"/>
  <c r="B739" i="3"/>
  <c r="E422" i="1"/>
  <c r="C422" i="1"/>
  <c r="D413" i="3" s="1"/>
  <c r="N422" i="1"/>
  <c r="K422" i="1"/>
  <c r="H422" i="1"/>
  <c r="A750" i="1" l="1"/>
  <c r="B740" i="3"/>
  <c r="O422" i="1"/>
  <c r="P422" i="1" s="1"/>
  <c r="I422" i="1"/>
  <c r="L422" i="1"/>
  <c r="M422" i="1" s="1"/>
  <c r="A751" i="1" l="1"/>
  <c r="B741" i="3"/>
  <c r="J422" i="1"/>
  <c r="F422" i="1" s="1"/>
  <c r="A752" i="1" l="1"/>
  <c r="B742" i="3"/>
  <c r="B423" i="1"/>
  <c r="C414" i="3" s="1"/>
  <c r="D423" i="1"/>
  <c r="G422" i="1"/>
  <c r="A753" i="1" l="1"/>
  <c r="B743" i="3"/>
  <c r="E423" i="1"/>
  <c r="C423" i="1"/>
  <c r="D414" i="3" s="1"/>
  <c r="K423" i="1"/>
  <c r="N423" i="1"/>
  <c r="H423" i="1"/>
  <c r="A754" i="1" l="1"/>
  <c r="B744" i="3"/>
  <c r="O423" i="1"/>
  <c r="P423" i="1" s="1"/>
  <c r="L423" i="1"/>
  <c r="M423" i="1" s="1"/>
  <c r="I423" i="1"/>
  <c r="A755" i="1" l="1"/>
  <c r="B745" i="3"/>
  <c r="J423" i="1"/>
  <c r="F423" i="1" s="1"/>
  <c r="A756" i="1" l="1"/>
  <c r="B746" i="3"/>
  <c r="D424" i="1"/>
  <c r="B424" i="1"/>
  <c r="C415" i="3" s="1"/>
  <c r="G423" i="1"/>
  <c r="A757" i="1" l="1"/>
  <c r="B747" i="3"/>
  <c r="E424" i="1"/>
  <c r="C424" i="1"/>
  <c r="D415" i="3" s="1"/>
  <c r="H424" i="1"/>
  <c r="K424" i="1"/>
  <c r="N424" i="1"/>
  <c r="A758" i="1" l="1"/>
  <c r="B748" i="3"/>
  <c r="L424" i="1"/>
  <c r="M424" i="1" s="1"/>
  <c r="O424" i="1"/>
  <c r="P424" i="1" s="1"/>
  <c r="I424" i="1"/>
  <c r="A759" i="1" l="1"/>
  <c r="B749" i="3"/>
  <c r="J424" i="1"/>
  <c r="F424" i="1" s="1"/>
  <c r="A760" i="1" l="1"/>
  <c r="B750" i="3"/>
  <c r="B425" i="1"/>
  <c r="C416" i="3" s="1"/>
  <c r="D425" i="1"/>
  <c r="G424" i="1"/>
  <c r="A761" i="1" l="1"/>
  <c r="B751" i="3"/>
  <c r="E425" i="1"/>
  <c r="C425" i="1"/>
  <c r="D416" i="3" s="1"/>
  <c r="N425" i="1"/>
  <c r="H425" i="1"/>
  <c r="K425" i="1"/>
  <c r="A762" i="1" l="1"/>
  <c r="B752" i="3"/>
  <c r="I425" i="1"/>
  <c r="L425" i="1"/>
  <c r="M425" i="1" s="1"/>
  <c r="O425" i="1"/>
  <c r="P425" i="1" s="1"/>
  <c r="A763" i="1" l="1"/>
  <c r="B753" i="3"/>
  <c r="J425" i="1"/>
  <c r="F425" i="1" s="1"/>
  <c r="A764" i="1" l="1"/>
  <c r="B754" i="3"/>
  <c r="D426" i="1"/>
  <c r="B426" i="1"/>
  <c r="C417" i="3" s="1"/>
  <c r="G425" i="1"/>
  <c r="A765" i="1" l="1"/>
  <c r="B755" i="3"/>
  <c r="E426" i="1"/>
  <c r="C426" i="1"/>
  <c r="D417" i="3" s="1"/>
  <c r="N426" i="1"/>
  <c r="H426" i="1"/>
  <c r="K426" i="1"/>
  <c r="A766" i="1" l="1"/>
  <c r="B756" i="3"/>
  <c r="O426" i="1"/>
  <c r="P426" i="1" s="1"/>
  <c r="I426" i="1"/>
  <c r="L426" i="1"/>
  <c r="M426" i="1" s="1"/>
  <c r="A767" i="1" l="1"/>
  <c r="B757" i="3"/>
  <c r="J426" i="1"/>
  <c r="F426" i="1" s="1"/>
  <c r="A768" i="1" l="1"/>
  <c r="B758" i="3"/>
  <c r="B427" i="1"/>
  <c r="C418" i="3" s="1"/>
  <c r="D427" i="1"/>
  <c r="G426" i="1"/>
  <c r="A769" i="1" l="1"/>
  <c r="B759" i="3"/>
  <c r="E427" i="1"/>
  <c r="C427" i="1"/>
  <c r="D418" i="3" s="1"/>
  <c r="K427" i="1"/>
  <c r="H427" i="1"/>
  <c r="N427" i="1"/>
  <c r="A770" i="1" l="1"/>
  <c r="B760" i="3"/>
  <c r="O427" i="1"/>
  <c r="P427" i="1" s="1"/>
  <c r="I427" i="1"/>
  <c r="L427" i="1"/>
  <c r="M427" i="1" s="1"/>
  <c r="A771" i="1" l="1"/>
  <c r="B761" i="3"/>
  <c r="J427" i="1"/>
  <c r="F427" i="1" s="1"/>
  <c r="A772" i="1" l="1"/>
  <c r="B762" i="3"/>
  <c r="D428" i="1"/>
  <c r="B428" i="1"/>
  <c r="C419" i="3" s="1"/>
  <c r="G427" i="1"/>
  <c r="A773" i="1" l="1"/>
  <c r="B763" i="3"/>
  <c r="E428" i="1"/>
  <c r="C428" i="1"/>
  <c r="D419" i="3" s="1"/>
  <c r="H428" i="1"/>
  <c r="N428" i="1"/>
  <c r="K428" i="1"/>
  <c r="A774" i="1" l="1"/>
  <c r="B764" i="3"/>
  <c r="L428" i="1"/>
  <c r="M428" i="1" s="1"/>
  <c r="I428" i="1"/>
  <c r="O428" i="1"/>
  <c r="P428" i="1" s="1"/>
  <c r="A775" i="1" l="1"/>
  <c r="B765" i="3"/>
  <c r="J428" i="1"/>
  <c r="F428" i="1" s="1"/>
  <c r="A776" i="1" l="1"/>
  <c r="B766" i="3"/>
  <c r="B429" i="1"/>
  <c r="C420" i="3" s="1"/>
  <c r="D429" i="1"/>
  <c r="G428" i="1"/>
  <c r="A777" i="1" l="1"/>
  <c r="B767" i="3"/>
  <c r="E429" i="1"/>
  <c r="C429" i="1"/>
  <c r="D420" i="3" s="1"/>
  <c r="N429" i="1"/>
  <c r="H429" i="1"/>
  <c r="K429" i="1"/>
  <c r="A778" i="1" l="1"/>
  <c r="B768" i="3"/>
  <c r="I429" i="1"/>
  <c r="L429" i="1"/>
  <c r="M429" i="1" s="1"/>
  <c r="O429" i="1"/>
  <c r="P429" i="1" s="1"/>
  <c r="A779" i="1" l="1"/>
  <c r="B769" i="3"/>
  <c r="J429" i="1"/>
  <c r="F429" i="1" s="1"/>
  <c r="A780" i="1" l="1"/>
  <c r="B770" i="3"/>
  <c r="D430" i="1"/>
  <c r="B430" i="1"/>
  <c r="C421" i="3" s="1"/>
  <c r="G429" i="1"/>
  <c r="A781" i="1" l="1"/>
  <c r="B771" i="3"/>
  <c r="E430" i="1"/>
  <c r="C430" i="1"/>
  <c r="D421" i="3" s="1"/>
  <c r="N430" i="1"/>
  <c r="K430" i="1"/>
  <c r="H430" i="1"/>
  <c r="A782" i="1" l="1"/>
  <c r="B772" i="3"/>
  <c r="I430" i="1"/>
  <c r="L430" i="1"/>
  <c r="M430" i="1" s="1"/>
  <c r="O430" i="1"/>
  <c r="P430" i="1" s="1"/>
  <c r="A783" i="1" l="1"/>
  <c r="B773" i="3"/>
  <c r="J430" i="1"/>
  <c r="F430" i="1" s="1"/>
  <c r="A784" i="1" l="1"/>
  <c r="B774" i="3"/>
  <c r="B431" i="1"/>
  <c r="C422" i="3" s="1"/>
  <c r="D431" i="1"/>
  <c r="G430" i="1"/>
  <c r="A785" i="1" l="1"/>
  <c r="B775" i="3"/>
  <c r="E431" i="1"/>
  <c r="C431" i="1"/>
  <c r="D422" i="3" s="1"/>
  <c r="K431" i="1"/>
  <c r="H431" i="1"/>
  <c r="N431" i="1"/>
  <c r="A786" i="1" l="1"/>
  <c r="B776" i="3"/>
  <c r="O431" i="1"/>
  <c r="P431" i="1" s="1"/>
  <c r="L431" i="1"/>
  <c r="M431" i="1" s="1"/>
  <c r="I431" i="1"/>
  <c r="A787" i="1" l="1"/>
  <c r="B777" i="3"/>
  <c r="J431" i="1"/>
  <c r="F431" i="1" s="1"/>
  <c r="A788" i="1" l="1"/>
  <c r="B778" i="3"/>
  <c r="D432" i="1"/>
  <c r="B432" i="1"/>
  <c r="C423" i="3" s="1"/>
  <c r="G431" i="1"/>
  <c r="A789" i="1" l="1"/>
  <c r="B779" i="3"/>
  <c r="E432" i="1"/>
  <c r="C432" i="1"/>
  <c r="D423" i="3" s="1"/>
  <c r="H432" i="1"/>
  <c r="K432" i="1"/>
  <c r="N432" i="1"/>
  <c r="A790" i="1" l="1"/>
  <c r="B780" i="3"/>
  <c r="L432" i="1"/>
  <c r="M432" i="1" s="1"/>
  <c r="I432" i="1"/>
  <c r="O432" i="1"/>
  <c r="P432" i="1" s="1"/>
  <c r="A791" i="1" l="1"/>
  <c r="B781" i="3"/>
  <c r="J432" i="1"/>
  <c r="F432" i="1" s="1"/>
  <c r="A792" i="1" l="1"/>
  <c r="B782" i="3"/>
  <c r="B433" i="1"/>
  <c r="C424" i="3" s="1"/>
  <c r="D433" i="1"/>
  <c r="G432" i="1"/>
  <c r="A793" i="1" l="1"/>
  <c r="B783" i="3"/>
  <c r="E433" i="1"/>
  <c r="C433" i="1"/>
  <c r="D424" i="3" s="1"/>
  <c r="N433" i="1"/>
  <c r="H433" i="1"/>
  <c r="K433" i="1"/>
  <c r="A794" i="1" l="1"/>
  <c r="B784" i="3"/>
  <c r="I433" i="1"/>
  <c r="O433" i="1"/>
  <c r="P433" i="1" s="1"/>
  <c r="L433" i="1"/>
  <c r="M433" i="1" s="1"/>
  <c r="A795" i="1" l="1"/>
  <c r="B785" i="3"/>
  <c r="J433" i="1"/>
  <c r="F433" i="1" s="1"/>
  <c r="A796" i="1" l="1"/>
  <c r="B786" i="3"/>
  <c r="D434" i="1"/>
  <c r="B434" i="1"/>
  <c r="C425" i="3" s="1"/>
  <c r="G433" i="1"/>
  <c r="A797" i="1" l="1"/>
  <c r="B787" i="3"/>
  <c r="E434" i="1"/>
  <c r="C434" i="1"/>
  <c r="D425" i="3" s="1"/>
  <c r="N434" i="1"/>
  <c r="H434" i="1"/>
  <c r="K434" i="1"/>
  <c r="A798" i="1" l="1"/>
  <c r="B788" i="3"/>
  <c r="O434" i="1"/>
  <c r="P434" i="1" s="1"/>
  <c r="I434" i="1"/>
  <c r="L434" i="1"/>
  <c r="M434" i="1" s="1"/>
  <c r="A799" i="1" l="1"/>
  <c r="B789" i="3"/>
  <c r="J434" i="1"/>
  <c r="F434" i="1" s="1"/>
  <c r="A800" i="1" l="1"/>
  <c r="B790" i="3"/>
  <c r="B435" i="1"/>
  <c r="C426" i="3" s="1"/>
  <c r="D435" i="1"/>
  <c r="G434" i="1"/>
  <c r="A801" i="1" l="1"/>
  <c r="B791" i="3"/>
  <c r="E435" i="1"/>
  <c r="C435" i="1"/>
  <c r="D426" i="3" s="1"/>
  <c r="K435" i="1"/>
  <c r="H435" i="1"/>
  <c r="N435" i="1"/>
  <c r="A802" i="1" l="1"/>
  <c r="B792" i="3"/>
  <c r="O435" i="1"/>
  <c r="P435" i="1" s="1"/>
  <c r="L435" i="1"/>
  <c r="M435" i="1" s="1"/>
  <c r="I435" i="1"/>
  <c r="A803" i="1" l="1"/>
  <c r="B793" i="3"/>
  <c r="J435" i="1"/>
  <c r="F435" i="1" s="1"/>
  <c r="A804" i="1" l="1"/>
  <c r="B794" i="3"/>
  <c r="D436" i="1"/>
  <c r="B436" i="1"/>
  <c r="C427" i="3" s="1"/>
  <c r="G435" i="1"/>
  <c r="A805" i="1" l="1"/>
  <c r="B795" i="3"/>
  <c r="E436" i="1"/>
  <c r="C436" i="1"/>
  <c r="D427" i="3" s="1"/>
  <c r="H436" i="1"/>
  <c r="K436" i="1"/>
  <c r="N436" i="1"/>
  <c r="A806" i="1" l="1"/>
  <c r="B796" i="3"/>
  <c r="L436" i="1"/>
  <c r="M436" i="1" s="1"/>
  <c r="I436" i="1"/>
  <c r="O436" i="1"/>
  <c r="P436" i="1" s="1"/>
  <c r="A807" i="1" l="1"/>
  <c r="B797" i="3"/>
  <c r="J436" i="1"/>
  <c r="F436" i="1" s="1"/>
  <c r="A808" i="1" l="1"/>
  <c r="B798" i="3"/>
  <c r="B437" i="1"/>
  <c r="C428" i="3" s="1"/>
  <c r="D437" i="1"/>
  <c r="G436" i="1"/>
  <c r="A809" i="1" l="1"/>
  <c r="B799" i="3"/>
  <c r="E437" i="1"/>
  <c r="C437" i="1"/>
  <c r="D428" i="3" s="1"/>
  <c r="H437" i="1"/>
  <c r="K437" i="1"/>
  <c r="N437" i="1"/>
  <c r="A810" i="1" l="1"/>
  <c r="B800" i="3"/>
  <c r="I437" i="1"/>
  <c r="L437" i="1"/>
  <c r="M437" i="1" s="1"/>
  <c r="O437" i="1"/>
  <c r="P437" i="1" s="1"/>
  <c r="A811" i="1" l="1"/>
  <c r="B801" i="3"/>
  <c r="J437" i="1"/>
  <c r="F437" i="1" s="1"/>
  <c r="A812" i="1" l="1"/>
  <c r="B802" i="3"/>
  <c r="D438" i="1"/>
  <c r="B438" i="1"/>
  <c r="C429" i="3" s="1"/>
  <c r="G437" i="1"/>
  <c r="A813" i="1" l="1"/>
  <c r="B803" i="3"/>
  <c r="E438" i="1"/>
  <c r="C438" i="1"/>
  <c r="D429" i="3" s="1"/>
  <c r="N438" i="1"/>
  <c r="K438" i="1"/>
  <c r="H438" i="1"/>
  <c r="A814" i="1" l="1"/>
  <c r="B804" i="3"/>
  <c r="I438" i="1"/>
  <c r="L438" i="1"/>
  <c r="M438" i="1" s="1"/>
  <c r="O438" i="1"/>
  <c r="P438" i="1" s="1"/>
  <c r="A815" i="1" l="1"/>
  <c r="B805" i="3"/>
  <c r="J438" i="1"/>
  <c r="F438" i="1" s="1"/>
  <c r="A816" i="1" l="1"/>
  <c r="B806" i="3"/>
  <c r="B439" i="1"/>
  <c r="C430" i="3" s="1"/>
  <c r="D439" i="1"/>
  <c r="G438" i="1"/>
  <c r="A817" i="1" l="1"/>
  <c r="B807" i="3"/>
  <c r="E439" i="1"/>
  <c r="C439" i="1"/>
  <c r="D430" i="3" s="1"/>
  <c r="K439" i="1"/>
  <c r="N439" i="1"/>
  <c r="H439" i="1"/>
  <c r="A818" i="1" l="1"/>
  <c r="B808" i="3"/>
  <c r="O439" i="1"/>
  <c r="P439" i="1" s="1"/>
  <c r="I439" i="1"/>
  <c r="L439" i="1"/>
  <c r="M439" i="1" s="1"/>
  <c r="A819" i="1" l="1"/>
  <c r="B809" i="3"/>
  <c r="J439" i="1"/>
  <c r="F439" i="1" s="1"/>
  <c r="A820" i="1" l="1"/>
  <c r="B810" i="3"/>
  <c r="D440" i="1"/>
  <c r="B440" i="1"/>
  <c r="C431" i="3" s="1"/>
  <c r="G439" i="1"/>
  <c r="A821" i="1" l="1"/>
  <c r="B811" i="3"/>
  <c r="E440" i="1"/>
  <c r="C440" i="1"/>
  <c r="D431" i="3" s="1"/>
  <c r="H440" i="1"/>
  <c r="K440" i="1"/>
  <c r="N440" i="1"/>
  <c r="A822" i="1" l="1"/>
  <c r="B812" i="3"/>
  <c r="I440" i="1"/>
  <c r="L440" i="1"/>
  <c r="M440" i="1" s="1"/>
  <c r="O440" i="1"/>
  <c r="P440" i="1" s="1"/>
  <c r="A823" i="1" l="1"/>
  <c r="B813" i="3"/>
  <c r="J440" i="1"/>
  <c r="F440" i="1" s="1"/>
  <c r="A824" i="1" l="1"/>
  <c r="B814" i="3"/>
  <c r="B441" i="1"/>
  <c r="C432" i="3" s="1"/>
  <c r="D441" i="1"/>
  <c r="G440" i="1"/>
  <c r="A825" i="1" l="1"/>
  <c r="B815" i="3"/>
  <c r="E441" i="1"/>
  <c r="C441" i="1"/>
  <c r="D432" i="3" s="1"/>
  <c r="N441" i="1"/>
  <c r="H441" i="1"/>
  <c r="K441" i="1"/>
  <c r="A826" i="1" l="1"/>
  <c r="B816" i="3"/>
  <c r="I441" i="1"/>
  <c r="L441" i="1"/>
  <c r="M441" i="1" s="1"/>
  <c r="O441" i="1"/>
  <c r="P441" i="1" s="1"/>
  <c r="A827" i="1" l="1"/>
  <c r="B817" i="3"/>
  <c r="J441" i="1"/>
  <c r="F441" i="1" s="1"/>
  <c r="A828" i="1" l="1"/>
  <c r="B818" i="3"/>
  <c r="D442" i="1"/>
  <c r="B442" i="1"/>
  <c r="C433" i="3" s="1"/>
  <c r="G441" i="1"/>
  <c r="A829" i="1" l="1"/>
  <c r="B819" i="3"/>
  <c r="H442" i="1"/>
  <c r="K442" i="1"/>
  <c r="N442" i="1"/>
  <c r="E442" i="1"/>
  <c r="C442" i="1"/>
  <c r="D433" i="3" s="1"/>
  <c r="A830" i="1" l="1"/>
  <c r="B820" i="3"/>
  <c r="O442" i="1"/>
  <c r="P442" i="1" s="1"/>
  <c r="I442" i="1"/>
  <c r="J442" i="1" s="1"/>
  <c r="L442" i="1"/>
  <c r="M442" i="1" s="1"/>
  <c r="A831" i="1" l="1"/>
  <c r="B821" i="3"/>
  <c r="F442" i="1"/>
  <c r="B443" i="1" s="1"/>
  <c r="C434" i="3" s="1"/>
  <c r="G442" i="1"/>
  <c r="A832" i="1" l="1"/>
  <c r="B822" i="3"/>
  <c r="D443" i="1"/>
  <c r="C443" i="1"/>
  <c r="D434" i="3" s="1"/>
  <c r="E443" i="1"/>
  <c r="K443" i="1"/>
  <c r="N443" i="1"/>
  <c r="H443" i="1"/>
  <c r="A833" i="1" l="1"/>
  <c r="B823" i="3"/>
  <c r="I443" i="1"/>
  <c r="L443" i="1"/>
  <c r="M443" i="1" s="1"/>
  <c r="O443" i="1"/>
  <c r="P443" i="1" s="1"/>
  <c r="A834" i="1" l="1"/>
  <c r="B824" i="3"/>
  <c r="J443" i="1"/>
  <c r="F443" i="1" s="1"/>
  <c r="A835" i="1" l="1"/>
  <c r="B825" i="3"/>
  <c r="D444" i="1"/>
  <c r="B444" i="1"/>
  <c r="C435" i="3" s="1"/>
  <c r="G443" i="1"/>
  <c r="A836" i="1" l="1"/>
  <c r="B826" i="3"/>
  <c r="E444" i="1"/>
  <c r="C444" i="1"/>
  <c r="D435" i="3" s="1"/>
  <c r="N444" i="1"/>
  <c r="H444" i="1"/>
  <c r="K444" i="1"/>
  <c r="A837" i="1" l="1"/>
  <c r="B827" i="3"/>
  <c r="L444" i="1"/>
  <c r="M444" i="1" s="1"/>
  <c r="O444" i="1"/>
  <c r="P444" i="1" s="1"/>
  <c r="I444" i="1"/>
  <c r="A838" i="1" l="1"/>
  <c r="B828" i="3"/>
  <c r="J444" i="1"/>
  <c r="F444" i="1" s="1"/>
  <c r="A839" i="1" l="1"/>
  <c r="B829" i="3"/>
  <c r="B445" i="1"/>
  <c r="C436" i="3" s="1"/>
  <c r="D445" i="1"/>
  <c r="G444" i="1"/>
  <c r="A840" i="1" l="1"/>
  <c r="B830" i="3"/>
  <c r="E445" i="1"/>
  <c r="C445" i="1"/>
  <c r="D436" i="3" s="1"/>
  <c r="N445" i="1"/>
  <c r="H445" i="1"/>
  <c r="K445" i="1"/>
  <c r="A841" i="1" l="1"/>
  <c r="B831" i="3"/>
  <c r="O445" i="1"/>
  <c r="P445" i="1" s="1"/>
  <c r="I445" i="1"/>
  <c r="L445" i="1"/>
  <c r="M445" i="1" s="1"/>
  <c r="A842" i="1" l="1"/>
  <c r="B832" i="3"/>
  <c r="J445" i="1"/>
  <c r="F445" i="1" s="1"/>
  <c r="A843" i="1" l="1"/>
  <c r="B833" i="3"/>
  <c r="D446" i="1"/>
  <c r="B446" i="1"/>
  <c r="C437" i="3" s="1"/>
  <c r="G445" i="1"/>
  <c r="A844" i="1" l="1"/>
  <c r="B834" i="3"/>
  <c r="E446" i="1"/>
  <c r="C446" i="1"/>
  <c r="D437" i="3" s="1"/>
  <c r="H446" i="1"/>
  <c r="K446" i="1"/>
  <c r="N446" i="1"/>
  <c r="A845" i="1" l="1"/>
  <c r="B835" i="3"/>
  <c r="O446" i="1"/>
  <c r="P446" i="1" s="1"/>
  <c r="I446" i="1"/>
  <c r="L446" i="1"/>
  <c r="M446" i="1" s="1"/>
  <c r="A846" i="1" l="1"/>
  <c r="B836" i="3"/>
  <c r="J446" i="1"/>
  <c r="F446" i="1" s="1"/>
  <c r="A847" i="1" l="1"/>
  <c r="B837" i="3"/>
  <c r="B447" i="1"/>
  <c r="C438" i="3" s="1"/>
  <c r="D447" i="1"/>
  <c r="G446" i="1"/>
  <c r="A848" i="1" l="1"/>
  <c r="B838" i="3"/>
  <c r="E447" i="1"/>
  <c r="C447" i="1"/>
  <c r="D438" i="3" s="1"/>
  <c r="H447" i="1"/>
  <c r="K447" i="1"/>
  <c r="N447" i="1"/>
  <c r="A849" i="1" l="1"/>
  <c r="B839" i="3"/>
  <c r="I447" i="1"/>
  <c r="L447" i="1"/>
  <c r="M447" i="1" s="1"/>
  <c r="O447" i="1"/>
  <c r="P447" i="1" s="1"/>
  <c r="A850" i="1" l="1"/>
  <c r="B840" i="3"/>
  <c r="J447" i="1"/>
  <c r="F447" i="1" s="1"/>
  <c r="A851" i="1" l="1"/>
  <c r="B841" i="3"/>
  <c r="D448" i="1"/>
  <c r="B448" i="1"/>
  <c r="C439" i="3" s="1"/>
  <c r="G447" i="1"/>
  <c r="A852" i="1" l="1"/>
  <c r="B842" i="3"/>
  <c r="K448" i="1"/>
  <c r="H448" i="1"/>
  <c r="N448" i="1"/>
  <c r="E448" i="1"/>
  <c r="C448" i="1"/>
  <c r="D439" i="3" s="1"/>
  <c r="A853" i="1" l="1"/>
  <c r="B843" i="3"/>
  <c r="I448" i="1"/>
  <c r="J448" i="1" s="1"/>
  <c r="L448" i="1"/>
  <c r="M448" i="1" s="1"/>
  <c r="O448" i="1"/>
  <c r="P448" i="1" s="1"/>
  <c r="A854" i="1" l="1"/>
  <c r="B844" i="3"/>
  <c r="F448" i="1"/>
  <c r="B449" i="1" s="1"/>
  <c r="C440" i="3" s="1"/>
  <c r="G448" i="1"/>
  <c r="A855" i="1" l="1"/>
  <c r="B845" i="3"/>
  <c r="D449" i="1"/>
  <c r="C449" i="1"/>
  <c r="D440" i="3" s="1"/>
  <c r="E449" i="1"/>
  <c r="K449" i="1"/>
  <c r="N449" i="1"/>
  <c r="H449" i="1"/>
  <c r="A856" i="1" l="1"/>
  <c r="B846" i="3"/>
  <c r="L449" i="1"/>
  <c r="M449" i="1" s="1"/>
  <c r="I449" i="1"/>
  <c r="O449" i="1"/>
  <c r="P449" i="1" s="1"/>
  <c r="A857" i="1" l="1"/>
  <c r="B847" i="3"/>
  <c r="J449" i="1"/>
  <c r="F449" i="1" s="1"/>
  <c r="A858" i="1" l="1"/>
  <c r="B848" i="3"/>
  <c r="D450" i="1"/>
  <c r="B450" i="1"/>
  <c r="C441" i="3" s="1"/>
  <c r="G449" i="1"/>
  <c r="A859" i="1" l="1"/>
  <c r="B849" i="3"/>
  <c r="E450" i="1"/>
  <c r="C450" i="1"/>
  <c r="D441" i="3" s="1"/>
  <c r="K450" i="1"/>
  <c r="N450" i="1"/>
  <c r="H450" i="1"/>
  <c r="A860" i="1" l="1"/>
  <c r="B850" i="3"/>
  <c r="L450" i="1"/>
  <c r="M450" i="1" s="1"/>
  <c r="O450" i="1"/>
  <c r="P450" i="1" s="1"/>
  <c r="I450" i="1"/>
  <c r="A861" i="1" l="1"/>
  <c r="B851" i="3"/>
  <c r="J450" i="1"/>
  <c r="F450" i="1" s="1"/>
  <c r="A862" i="1" l="1"/>
  <c r="B852" i="3"/>
  <c r="B451" i="1"/>
  <c r="C442" i="3" s="1"/>
  <c r="D451" i="1"/>
  <c r="G450" i="1"/>
  <c r="A863" i="1" l="1"/>
  <c r="B853" i="3"/>
  <c r="E451" i="1"/>
  <c r="C451" i="1"/>
  <c r="D442" i="3" s="1"/>
  <c r="H451" i="1"/>
  <c r="K451" i="1"/>
  <c r="N451" i="1"/>
  <c r="A864" i="1" l="1"/>
  <c r="B854" i="3"/>
  <c r="L451" i="1"/>
  <c r="M451" i="1" s="1"/>
  <c r="O451" i="1"/>
  <c r="P451" i="1" s="1"/>
  <c r="I451" i="1"/>
  <c r="A865" i="1" l="1"/>
  <c r="B855" i="3"/>
  <c r="J451" i="1"/>
  <c r="F451" i="1" s="1"/>
  <c r="A866" i="1" l="1"/>
  <c r="B856" i="3"/>
  <c r="D452" i="1"/>
  <c r="B452" i="1"/>
  <c r="C443" i="3" s="1"/>
  <c r="G451" i="1"/>
  <c r="A867" i="1" l="1"/>
  <c r="B857" i="3"/>
  <c r="E452" i="1"/>
  <c r="C452" i="1"/>
  <c r="D443" i="3" s="1"/>
  <c r="N452" i="1"/>
  <c r="H452" i="1"/>
  <c r="K452" i="1"/>
  <c r="A868" i="1" l="1"/>
  <c r="B858" i="3"/>
  <c r="I452" i="1"/>
  <c r="L452" i="1"/>
  <c r="M452" i="1" s="1"/>
  <c r="O452" i="1"/>
  <c r="P452" i="1" s="1"/>
  <c r="A869" i="1" l="1"/>
  <c r="B859" i="3"/>
  <c r="J452" i="1"/>
  <c r="F452" i="1" s="1"/>
  <c r="A870" i="1" l="1"/>
  <c r="B860" i="3"/>
  <c r="B453" i="1"/>
  <c r="C444" i="3" s="1"/>
  <c r="D453" i="1"/>
  <c r="G452" i="1"/>
  <c r="A871" i="1" l="1"/>
  <c r="B861" i="3"/>
  <c r="E453" i="1"/>
  <c r="C453" i="1"/>
  <c r="D444" i="3" s="1"/>
  <c r="N453" i="1"/>
  <c r="K453" i="1"/>
  <c r="H453" i="1"/>
  <c r="A872" i="1" l="1"/>
  <c r="B862" i="3"/>
  <c r="O453" i="1"/>
  <c r="P453" i="1" s="1"/>
  <c r="L453" i="1"/>
  <c r="M453" i="1" s="1"/>
  <c r="I453" i="1"/>
  <c r="A873" i="1" l="1"/>
  <c r="B863" i="3"/>
  <c r="J453" i="1"/>
  <c r="F453" i="1" s="1"/>
  <c r="A874" i="1" l="1"/>
  <c r="B864" i="3"/>
  <c r="D454" i="1"/>
  <c r="B454" i="1"/>
  <c r="C445" i="3" s="1"/>
  <c r="G453" i="1"/>
  <c r="A875" i="1" l="1"/>
  <c r="B865" i="3"/>
  <c r="E454" i="1"/>
  <c r="C454" i="1"/>
  <c r="D445" i="3" s="1"/>
  <c r="H454" i="1"/>
  <c r="K454" i="1"/>
  <c r="N454" i="1"/>
  <c r="A876" i="1" l="1"/>
  <c r="B866" i="3"/>
  <c r="O454" i="1"/>
  <c r="P454" i="1" s="1"/>
  <c r="I454" i="1"/>
  <c r="L454" i="1"/>
  <c r="M454" i="1" s="1"/>
  <c r="A877" i="1" l="1"/>
  <c r="B867" i="3"/>
  <c r="J454" i="1"/>
  <c r="F454" i="1" s="1"/>
  <c r="A878" i="1" l="1"/>
  <c r="B868" i="3"/>
  <c r="B455" i="1"/>
  <c r="C446" i="3" s="1"/>
  <c r="D455" i="1"/>
  <c r="G454" i="1"/>
  <c r="A879" i="1" l="1"/>
  <c r="B869" i="3"/>
  <c r="E455" i="1"/>
  <c r="C455" i="1"/>
  <c r="D446" i="3" s="1"/>
  <c r="H455" i="1"/>
  <c r="K455" i="1"/>
  <c r="N455" i="1"/>
  <c r="A880" i="1" l="1"/>
  <c r="B870" i="3"/>
  <c r="I455" i="1"/>
  <c r="J455" i="1" s="1"/>
  <c r="L455" i="1"/>
  <c r="M455" i="1" s="1"/>
  <c r="O455" i="1"/>
  <c r="P455" i="1" s="1"/>
  <c r="A881" i="1" l="1"/>
  <c r="B871" i="3"/>
  <c r="F455" i="1"/>
  <c r="D456" i="1" s="1"/>
  <c r="G455" i="1"/>
  <c r="A882" i="1" l="1"/>
  <c r="B872" i="3"/>
  <c r="B456" i="1"/>
  <c r="E456" i="1"/>
  <c r="C456" i="1"/>
  <c r="D447" i="3" s="1"/>
  <c r="A883" i="1" l="1"/>
  <c r="B873" i="3"/>
  <c r="H456" i="1"/>
  <c r="C447" i="3"/>
  <c r="K456" i="1"/>
  <c r="N456" i="1"/>
  <c r="I456" i="1"/>
  <c r="L456" i="1"/>
  <c r="O456" i="1"/>
  <c r="A884" i="1" l="1"/>
  <c r="B874" i="3"/>
  <c r="P456" i="1"/>
  <c r="M456" i="1"/>
  <c r="J456" i="1"/>
  <c r="A885" i="1" l="1"/>
  <c r="B875" i="3"/>
  <c r="F456" i="1"/>
  <c r="B457" i="1" s="1"/>
  <c r="C448" i="3" s="1"/>
  <c r="G456" i="1"/>
  <c r="A886" i="1" l="1"/>
  <c r="B876" i="3"/>
  <c r="D457" i="1"/>
  <c r="E457" i="1"/>
  <c r="C457" i="1"/>
  <c r="D448" i="3" s="1"/>
  <c r="K457" i="1"/>
  <c r="N457" i="1"/>
  <c r="H457" i="1"/>
  <c r="A887" i="1" l="1"/>
  <c r="B877" i="3"/>
  <c r="L457" i="1"/>
  <c r="M457" i="1" s="1"/>
  <c r="O457" i="1"/>
  <c r="P457" i="1" s="1"/>
  <c r="I457" i="1"/>
  <c r="A888" i="1" l="1"/>
  <c r="B878" i="3"/>
  <c r="J457" i="1"/>
  <c r="F457" i="1" s="1"/>
  <c r="A889" i="1" l="1"/>
  <c r="B879" i="3"/>
  <c r="D458" i="1"/>
  <c r="B458" i="1"/>
  <c r="C449" i="3" s="1"/>
  <c r="G457" i="1"/>
  <c r="A890" i="1" l="1"/>
  <c r="B880" i="3"/>
  <c r="E458" i="1"/>
  <c r="C458" i="1"/>
  <c r="D449" i="3" s="1"/>
  <c r="K458" i="1"/>
  <c r="N458" i="1"/>
  <c r="H458" i="1"/>
  <c r="A891" i="1" l="1"/>
  <c r="B881" i="3"/>
  <c r="O458" i="1"/>
  <c r="P458" i="1" s="1"/>
  <c r="I458" i="1"/>
  <c r="L458" i="1"/>
  <c r="M458" i="1" s="1"/>
  <c r="A892" i="1" l="1"/>
  <c r="B882" i="3"/>
  <c r="J458" i="1"/>
  <c r="F458" i="1" s="1"/>
  <c r="A893" i="1" l="1"/>
  <c r="B883" i="3"/>
  <c r="B459" i="1"/>
  <c r="C450" i="3" s="1"/>
  <c r="D459" i="1"/>
  <c r="G458" i="1"/>
  <c r="A894" i="1" l="1"/>
  <c r="B884" i="3"/>
  <c r="E459" i="1"/>
  <c r="C459" i="1"/>
  <c r="D450" i="3" s="1"/>
  <c r="H459" i="1"/>
  <c r="K459" i="1"/>
  <c r="N459" i="1"/>
  <c r="A895" i="1" l="1"/>
  <c r="B885" i="3"/>
  <c r="L459" i="1"/>
  <c r="M459" i="1" s="1"/>
  <c r="I459" i="1"/>
  <c r="O459" i="1"/>
  <c r="P459" i="1" s="1"/>
  <c r="A896" i="1" l="1"/>
  <c r="B886" i="3"/>
  <c r="J459" i="1"/>
  <c r="F459" i="1" s="1"/>
  <c r="A897" i="1" l="1"/>
  <c r="B887" i="3"/>
  <c r="D460" i="1"/>
  <c r="B460" i="1"/>
  <c r="C451" i="3" s="1"/>
  <c r="G459" i="1"/>
  <c r="A898" i="1" l="1"/>
  <c r="B888" i="3"/>
  <c r="E460" i="1"/>
  <c r="C460" i="1"/>
  <c r="D451" i="3" s="1"/>
  <c r="K460" i="1"/>
  <c r="N460" i="1"/>
  <c r="H460" i="1"/>
  <c r="A899" i="1" l="1"/>
  <c r="B889" i="3"/>
  <c r="L460" i="1"/>
  <c r="M460" i="1" s="1"/>
  <c r="O460" i="1"/>
  <c r="P460" i="1" s="1"/>
  <c r="I460" i="1"/>
  <c r="A900" i="1" l="1"/>
  <c r="B890" i="3"/>
  <c r="J460" i="1"/>
  <c r="F460" i="1" s="1"/>
  <c r="A901" i="1" l="1"/>
  <c r="B891" i="3"/>
  <c r="B461" i="1"/>
  <c r="C452" i="3" s="1"/>
  <c r="D461" i="1"/>
  <c r="G460" i="1"/>
  <c r="A902" i="1" l="1"/>
  <c r="B892" i="3"/>
  <c r="E461" i="1"/>
  <c r="C461" i="1"/>
  <c r="D452" i="3" s="1"/>
  <c r="N461" i="1"/>
  <c r="H461" i="1"/>
  <c r="K461" i="1"/>
  <c r="A903" i="1" l="1"/>
  <c r="B893" i="3"/>
  <c r="O461" i="1"/>
  <c r="P461" i="1" s="1"/>
  <c r="I461" i="1"/>
  <c r="L461" i="1"/>
  <c r="M461" i="1" s="1"/>
  <c r="A904" i="1" l="1"/>
  <c r="B894" i="3"/>
  <c r="J461" i="1"/>
  <c r="F461" i="1" s="1"/>
  <c r="A905" i="1" l="1"/>
  <c r="B895" i="3"/>
  <c r="D462" i="1"/>
  <c r="B462" i="1"/>
  <c r="C453" i="3" s="1"/>
  <c r="G461" i="1"/>
  <c r="A906" i="1" l="1"/>
  <c r="B896" i="3"/>
  <c r="E462" i="1"/>
  <c r="C462" i="1"/>
  <c r="D453" i="3" s="1"/>
  <c r="K462" i="1"/>
  <c r="N462" i="1"/>
  <c r="H462" i="1"/>
  <c r="A907" i="1" l="1"/>
  <c r="B897" i="3"/>
  <c r="O462" i="1"/>
  <c r="P462" i="1" s="1"/>
  <c r="I462" i="1"/>
  <c r="L462" i="1"/>
  <c r="M462" i="1" s="1"/>
  <c r="A908" i="1" l="1"/>
  <c r="B898" i="3"/>
  <c r="J462" i="1"/>
  <c r="F462" i="1" s="1"/>
  <c r="A909" i="1" l="1"/>
  <c r="B899" i="3"/>
  <c r="B463" i="1"/>
  <c r="C454" i="3" s="1"/>
  <c r="D463" i="1"/>
  <c r="G462" i="1"/>
  <c r="A910" i="1" l="1"/>
  <c r="B900" i="3"/>
  <c r="E463" i="1"/>
  <c r="C463" i="1"/>
  <c r="D454" i="3" s="1"/>
  <c r="H463" i="1"/>
  <c r="N463" i="1"/>
  <c r="K463" i="1"/>
  <c r="A911" i="1" l="1"/>
  <c r="B901" i="3"/>
  <c r="L463" i="1"/>
  <c r="M463" i="1" s="1"/>
  <c r="O463" i="1"/>
  <c r="P463" i="1" s="1"/>
  <c r="I463" i="1"/>
  <c r="A912" i="1" l="1"/>
  <c r="B902" i="3"/>
  <c r="J463" i="1"/>
  <c r="F463" i="1" s="1"/>
  <c r="A913" i="1" l="1"/>
  <c r="B903" i="3"/>
  <c r="D464" i="1"/>
  <c r="B464" i="1"/>
  <c r="C455" i="3" s="1"/>
  <c r="G463" i="1"/>
  <c r="A914" i="1" l="1"/>
  <c r="B904" i="3"/>
  <c r="E464" i="1"/>
  <c r="C464" i="1"/>
  <c r="D455" i="3" s="1"/>
  <c r="N464" i="1"/>
  <c r="H464" i="1"/>
  <c r="K464" i="1"/>
  <c r="A915" i="1" l="1"/>
  <c r="B905" i="3"/>
  <c r="O464" i="1"/>
  <c r="P464" i="1" s="1"/>
  <c r="I464" i="1"/>
  <c r="L464" i="1"/>
  <c r="M464" i="1" s="1"/>
  <c r="A916" i="1" l="1"/>
  <c r="B906" i="3"/>
  <c r="J464" i="1"/>
  <c r="F464" i="1" s="1"/>
  <c r="A917" i="1" l="1"/>
  <c r="B907" i="3"/>
  <c r="B465" i="1"/>
  <c r="C456" i="3" s="1"/>
  <c r="D465" i="1"/>
  <c r="G464" i="1"/>
  <c r="A918" i="1" l="1"/>
  <c r="B908" i="3"/>
  <c r="E465" i="1"/>
  <c r="C465" i="1"/>
  <c r="D456" i="3" s="1"/>
  <c r="N465" i="1"/>
  <c r="H465" i="1"/>
  <c r="K465" i="1"/>
  <c r="A919" i="1" l="1"/>
  <c r="B909" i="3"/>
  <c r="O465" i="1"/>
  <c r="P465" i="1" s="1"/>
  <c r="I465" i="1"/>
  <c r="L465" i="1"/>
  <c r="M465" i="1" s="1"/>
  <c r="A920" i="1" l="1"/>
  <c r="B910" i="3"/>
  <c r="J465" i="1"/>
  <c r="F465" i="1" s="1"/>
  <c r="A921" i="1" l="1"/>
  <c r="B911" i="3"/>
  <c r="D466" i="1"/>
  <c r="B466" i="1"/>
  <c r="C457" i="3" s="1"/>
  <c r="G465" i="1"/>
  <c r="A922" i="1" l="1"/>
  <c r="B912" i="3"/>
  <c r="E466" i="1"/>
  <c r="C466" i="1"/>
  <c r="D457" i="3" s="1"/>
  <c r="H466" i="1"/>
  <c r="K466" i="1"/>
  <c r="N466" i="1"/>
  <c r="A923" i="1" l="1"/>
  <c r="B913" i="3"/>
  <c r="O466" i="1"/>
  <c r="P466" i="1" s="1"/>
  <c r="I466" i="1"/>
  <c r="L466" i="1"/>
  <c r="M466" i="1" s="1"/>
  <c r="A924" i="1" l="1"/>
  <c r="B914" i="3"/>
  <c r="J466" i="1"/>
  <c r="F466" i="1" s="1"/>
  <c r="A925" i="1" l="1"/>
  <c r="B915" i="3"/>
  <c r="B467" i="1"/>
  <c r="C458" i="3" s="1"/>
  <c r="D467" i="1"/>
  <c r="G466" i="1"/>
  <c r="A926" i="1" l="1"/>
  <c r="B916" i="3"/>
  <c r="E467" i="1"/>
  <c r="C467" i="1"/>
  <c r="D458" i="3" s="1"/>
  <c r="H467" i="1"/>
  <c r="K467" i="1"/>
  <c r="N467" i="1"/>
  <c r="A927" i="1" l="1"/>
  <c r="B917" i="3"/>
  <c r="I467" i="1"/>
  <c r="L467" i="1"/>
  <c r="M467" i="1" s="1"/>
  <c r="O467" i="1"/>
  <c r="P467" i="1" s="1"/>
  <c r="A928" i="1" l="1"/>
  <c r="B918" i="3"/>
  <c r="J467" i="1"/>
  <c r="F467" i="1" s="1"/>
  <c r="A929" i="1" l="1"/>
  <c r="B919" i="3"/>
  <c r="D468" i="1"/>
  <c r="B468" i="1"/>
  <c r="C459" i="3" s="1"/>
  <c r="G467" i="1"/>
  <c r="A930" i="1" l="1"/>
  <c r="B920" i="3"/>
  <c r="E468" i="1"/>
  <c r="C468" i="1"/>
  <c r="D459" i="3" s="1"/>
  <c r="K468" i="1"/>
  <c r="H468" i="1"/>
  <c r="N468" i="1"/>
  <c r="A931" i="1" l="1"/>
  <c r="B921" i="3"/>
  <c r="I468" i="1"/>
  <c r="L468" i="1"/>
  <c r="M468" i="1" s="1"/>
  <c r="O468" i="1"/>
  <c r="P468" i="1" s="1"/>
  <c r="A932" i="1" l="1"/>
  <c r="B922" i="3"/>
  <c r="J468" i="1"/>
  <c r="F468" i="1" s="1"/>
  <c r="A933" i="1" l="1"/>
  <c r="B923" i="3"/>
  <c r="B469" i="1"/>
  <c r="C460" i="3" s="1"/>
  <c r="D469" i="1"/>
  <c r="G468" i="1"/>
  <c r="A934" i="1" l="1"/>
  <c r="B924" i="3"/>
  <c r="E469" i="1"/>
  <c r="C469" i="1"/>
  <c r="D460" i="3" s="1"/>
  <c r="K469" i="1"/>
  <c r="N469" i="1"/>
  <c r="H469" i="1"/>
  <c r="A935" i="1" l="1"/>
  <c r="B925" i="3"/>
  <c r="L469" i="1"/>
  <c r="M469" i="1" s="1"/>
  <c r="I469" i="1"/>
  <c r="O469" i="1"/>
  <c r="P469" i="1" s="1"/>
  <c r="A936" i="1" l="1"/>
  <c r="B926" i="3"/>
  <c r="J469" i="1"/>
  <c r="F469" i="1" s="1"/>
  <c r="A937" i="1" l="1"/>
  <c r="B927" i="3"/>
  <c r="D470" i="1"/>
  <c r="B470" i="1"/>
  <c r="C461" i="3" s="1"/>
  <c r="G469" i="1"/>
  <c r="A938" i="1" l="1"/>
  <c r="B928" i="3"/>
  <c r="E470" i="1"/>
  <c r="C470" i="1"/>
  <c r="D461" i="3" s="1"/>
  <c r="K470" i="1"/>
  <c r="N470" i="1"/>
  <c r="H470" i="1"/>
  <c r="A939" i="1" l="1"/>
  <c r="B929" i="3"/>
  <c r="L470" i="1"/>
  <c r="M470" i="1" s="1"/>
  <c r="O470" i="1"/>
  <c r="P470" i="1" s="1"/>
  <c r="I470" i="1"/>
  <c r="A940" i="1" l="1"/>
  <c r="B930" i="3"/>
  <c r="J470" i="1"/>
  <c r="F470" i="1" s="1"/>
  <c r="A941" i="1" l="1"/>
  <c r="B931" i="3"/>
  <c r="B471" i="1"/>
  <c r="C462" i="3" s="1"/>
  <c r="D471" i="1"/>
  <c r="G470" i="1"/>
  <c r="A942" i="1" l="1"/>
  <c r="B932" i="3"/>
  <c r="E471" i="1"/>
  <c r="C471" i="1"/>
  <c r="D462" i="3" s="1"/>
  <c r="N471" i="1"/>
  <c r="H471" i="1"/>
  <c r="K471" i="1"/>
  <c r="A943" i="1" l="1"/>
  <c r="B933" i="3"/>
  <c r="L471" i="1"/>
  <c r="M471" i="1" s="1"/>
  <c r="O471" i="1"/>
  <c r="P471" i="1" s="1"/>
  <c r="I471" i="1"/>
  <c r="A944" i="1" l="1"/>
  <c r="B934" i="3"/>
  <c r="J471" i="1"/>
  <c r="F471" i="1" s="1"/>
  <c r="A945" i="1" l="1"/>
  <c r="B935" i="3"/>
  <c r="D472" i="1"/>
  <c r="B472" i="1"/>
  <c r="C463" i="3" s="1"/>
  <c r="G471" i="1"/>
  <c r="A946" i="1" l="1"/>
  <c r="B936" i="3"/>
  <c r="E472" i="1"/>
  <c r="C472" i="1"/>
  <c r="D463" i="3" s="1"/>
  <c r="N472" i="1"/>
  <c r="H472" i="1"/>
  <c r="K472" i="1"/>
  <c r="A947" i="1" l="1"/>
  <c r="B937" i="3"/>
  <c r="O472" i="1"/>
  <c r="P472" i="1" s="1"/>
  <c r="I472" i="1"/>
  <c r="L472" i="1"/>
  <c r="M472" i="1" s="1"/>
  <c r="A948" i="1" l="1"/>
  <c r="B938" i="3"/>
  <c r="J472" i="1"/>
  <c r="F472" i="1" s="1"/>
  <c r="A949" i="1" l="1"/>
  <c r="B939" i="3"/>
  <c r="B473" i="1"/>
  <c r="C464" i="3" s="1"/>
  <c r="D473" i="1"/>
  <c r="G472" i="1"/>
  <c r="A950" i="1" l="1"/>
  <c r="B940" i="3"/>
  <c r="E473" i="1"/>
  <c r="C473" i="1"/>
  <c r="D464" i="3" s="1"/>
  <c r="N473" i="1"/>
  <c r="H473" i="1"/>
  <c r="K473" i="1"/>
  <c r="A951" i="1" l="1"/>
  <c r="B941" i="3"/>
  <c r="O473" i="1"/>
  <c r="P473" i="1" s="1"/>
  <c r="I473" i="1"/>
  <c r="L473" i="1"/>
  <c r="M473" i="1" s="1"/>
  <c r="A952" i="1" l="1"/>
  <c r="B942" i="3"/>
  <c r="J473" i="1"/>
  <c r="F473" i="1" s="1"/>
  <c r="A953" i="1" l="1"/>
  <c r="B943" i="3"/>
  <c r="D474" i="1"/>
  <c r="B474" i="1"/>
  <c r="C465" i="3" s="1"/>
  <c r="G473" i="1"/>
  <c r="A954" i="1" l="1"/>
  <c r="B944" i="3"/>
  <c r="E474" i="1"/>
  <c r="C474" i="1"/>
  <c r="D465" i="3" s="1"/>
  <c r="H474" i="1"/>
  <c r="K474" i="1"/>
  <c r="N474" i="1"/>
  <c r="A955" i="1" l="1"/>
  <c r="B945" i="3"/>
  <c r="O474" i="1"/>
  <c r="P474" i="1" s="1"/>
  <c r="I474" i="1"/>
  <c r="L474" i="1"/>
  <c r="M474" i="1" s="1"/>
  <c r="A956" i="1" l="1"/>
  <c r="B946" i="3"/>
  <c r="J474" i="1"/>
  <c r="F474" i="1" s="1"/>
  <c r="A957" i="1" l="1"/>
  <c r="B947" i="3"/>
  <c r="B475" i="1"/>
  <c r="C466" i="3" s="1"/>
  <c r="D475" i="1"/>
  <c r="G474" i="1"/>
  <c r="A958" i="1" l="1"/>
  <c r="B948" i="3"/>
  <c r="E475" i="1"/>
  <c r="C475" i="1"/>
  <c r="D466" i="3" s="1"/>
  <c r="H475" i="1"/>
  <c r="K475" i="1"/>
  <c r="N475" i="1"/>
  <c r="A959" i="1" l="1"/>
  <c r="B949" i="3"/>
  <c r="I475" i="1"/>
  <c r="L475" i="1"/>
  <c r="M475" i="1" s="1"/>
  <c r="O475" i="1"/>
  <c r="P475" i="1" s="1"/>
  <c r="A960" i="1" l="1"/>
  <c r="B950" i="3"/>
  <c r="J475" i="1"/>
  <c r="F475" i="1" s="1"/>
  <c r="A961" i="1" l="1"/>
  <c r="B951" i="3"/>
  <c r="D476" i="1"/>
  <c r="B476" i="1"/>
  <c r="C467" i="3" s="1"/>
  <c r="G475" i="1"/>
  <c r="A962" i="1" l="1"/>
  <c r="B952" i="3"/>
  <c r="E476" i="1"/>
  <c r="C476" i="1"/>
  <c r="D467" i="3" s="1"/>
  <c r="K476" i="1"/>
  <c r="H476" i="1"/>
  <c r="N476" i="1"/>
  <c r="A963" i="1" l="1"/>
  <c r="B953" i="3"/>
  <c r="I476" i="1"/>
  <c r="L476" i="1"/>
  <c r="M476" i="1" s="1"/>
  <c r="O476" i="1"/>
  <c r="P476" i="1" s="1"/>
  <c r="A964" i="1" l="1"/>
  <c r="B954" i="3"/>
  <c r="J476" i="1"/>
  <c r="F476" i="1" s="1"/>
  <c r="A965" i="1" l="1"/>
  <c r="B955" i="3"/>
  <c r="B477" i="1"/>
  <c r="C468" i="3" s="1"/>
  <c r="D477" i="1"/>
  <c r="G476" i="1"/>
  <c r="A966" i="1" l="1"/>
  <c r="B956" i="3"/>
  <c r="E477" i="1"/>
  <c r="C477" i="1"/>
  <c r="D468" i="3" s="1"/>
  <c r="K477" i="1"/>
  <c r="N477" i="1"/>
  <c r="H477" i="1"/>
  <c r="A967" i="1" l="1"/>
  <c r="B957" i="3"/>
  <c r="L477" i="1"/>
  <c r="M477" i="1" s="1"/>
  <c r="I477" i="1"/>
  <c r="O477" i="1"/>
  <c r="P477" i="1" s="1"/>
  <c r="A968" i="1" l="1"/>
  <c r="B958" i="3"/>
  <c r="J477" i="1"/>
  <c r="F477" i="1" s="1"/>
  <c r="A969" i="1" l="1"/>
  <c r="B959" i="3"/>
  <c r="D478" i="1"/>
  <c r="B478" i="1"/>
  <c r="C469" i="3" s="1"/>
  <c r="G477" i="1"/>
  <c r="A970" i="1" l="1"/>
  <c r="B960" i="3"/>
  <c r="E478" i="1"/>
  <c r="C478" i="1"/>
  <c r="D469" i="3" s="1"/>
  <c r="K478" i="1"/>
  <c r="N478" i="1"/>
  <c r="H478" i="1"/>
  <c r="A971" i="1" l="1"/>
  <c r="B961" i="3"/>
  <c r="L478" i="1"/>
  <c r="M478" i="1" s="1"/>
  <c r="O478" i="1"/>
  <c r="P478" i="1" s="1"/>
  <c r="I478" i="1"/>
  <c r="A972" i="1" l="1"/>
  <c r="B962" i="3"/>
  <c r="J478" i="1"/>
  <c r="F478" i="1" s="1"/>
  <c r="A973" i="1" l="1"/>
  <c r="B963" i="3"/>
  <c r="B479" i="1"/>
  <c r="C470" i="3" s="1"/>
  <c r="D479" i="1"/>
  <c r="G478" i="1"/>
  <c r="A974" i="1" l="1"/>
  <c r="B964" i="3"/>
  <c r="E479" i="1"/>
  <c r="C479" i="1"/>
  <c r="D470" i="3" s="1"/>
  <c r="N479" i="1"/>
  <c r="H479" i="1"/>
  <c r="K479" i="1"/>
  <c r="A975" i="1" l="1"/>
  <c r="B965" i="3"/>
  <c r="L479" i="1"/>
  <c r="M479" i="1" s="1"/>
  <c r="O479" i="1"/>
  <c r="P479" i="1" s="1"/>
  <c r="I479" i="1"/>
  <c r="A976" i="1" l="1"/>
  <c r="B966" i="3"/>
  <c r="J479" i="1"/>
  <c r="F479" i="1" s="1"/>
  <c r="A977" i="1" l="1"/>
  <c r="B967" i="3"/>
  <c r="D480" i="1"/>
  <c r="B480" i="1"/>
  <c r="C471" i="3" s="1"/>
  <c r="G479" i="1"/>
  <c r="A978" i="1" l="1"/>
  <c r="B968" i="3"/>
  <c r="N480" i="1"/>
  <c r="H480" i="1"/>
  <c r="K480" i="1"/>
  <c r="E480" i="1"/>
  <c r="C480" i="1"/>
  <c r="D471" i="3" s="1"/>
  <c r="A979" i="1" l="1"/>
  <c r="B969" i="3"/>
  <c r="O480" i="1"/>
  <c r="P480" i="1" s="1"/>
  <c r="I480" i="1"/>
  <c r="J480" i="1" s="1"/>
  <c r="L480" i="1"/>
  <c r="M480" i="1" s="1"/>
  <c r="A980" i="1" l="1"/>
  <c r="B970" i="3"/>
  <c r="F480" i="1"/>
  <c r="B481" i="1" s="1"/>
  <c r="C472" i="3" s="1"/>
  <c r="G480" i="1"/>
  <c r="A981" i="1" l="1"/>
  <c r="B971" i="3"/>
  <c r="D481" i="1"/>
  <c r="E481" i="1"/>
  <c r="C481" i="1"/>
  <c r="D472" i="3" s="1"/>
  <c r="N481" i="1"/>
  <c r="H481" i="1"/>
  <c r="K481" i="1"/>
  <c r="A982" i="1" l="1"/>
  <c r="B972" i="3"/>
  <c r="O481" i="1"/>
  <c r="P481" i="1" s="1"/>
  <c r="I481" i="1"/>
  <c r="J481" i="1" s="1"/>
  <c r="L481" i="1"/>
  <c r="M481" i="1" s="1"/>
  <c r="A983" i="1" l="1"/>
  <c r="B973" i="3"/>
  <c r="F481" i="1"/>
  <c r="D482" i="1" s="1"/>
  <c r="G481" i="1"/>
  <c r="A984" i="1" l="1"/>
  <c r="B974" i="3"/>
  <c r="B482" i="1"/>
  <c r="E482" i="1"/>
  <c r="C482" i="1"/>
  <c r="D473" i="3" s="1"/>
  <c r="A985" i="1" l="1"/>
  <c r="B975" i="3"/>
  <c r="H482" i="1"/>
  <c r="C473" i="3"/>
  <c r="K482" i="1"/>
  <c r="N482" i="1"/>
  <c r="O482" i="1"/>
  <c r="I482" i="1"/>
  <c r="L482" i="1"/>
  <c r="A986" i="1" l="1"/>
  <c r="B976" i="3"/>
  <c r="P482" i="1"/>
  <c r="M482" i="1"/>
  <c r="J482" i="1"/>
  <c r="A987" i="1" l="1"/>
  <c r="B977" i="3"/>
  <c r="F482" i="1"/>
  <c r="B483" i="1" s="1"/>
  <c r="C474" i="3" s="1"/>
  <c r="G482" i="1"/>
  <c r="A988" i="1" l="1"/>
  <c r="B978" i="3"/>
  <c r="D483" i="1"/>
  <c r="E483" i="1"/>
  <c r="C483" i="1"/>
  <c r="D474" i="3" s="1"/>
  <c r="H483" i="1"/>
  <c r="K483" i="1"/>
  <c r="N483" i="1"/>
  <c r="A989" i="1" l="1"/>
  <c r="B979" i="3"/>
  <c r="I483" i="1"/>
  <c r="J483" i="1" s="1"/>
  <c r="L483" i="1"/>
  <c r="M483" i="1" s="1"/>
  <c r="O483" i="1"/>
  <c r="P483" i="1" s="1"/>
  <c r="A990" i="1" l="1"/>
  <c r="B980" i="3"/>
  <c r="F483" i="1"/>
  <c r="D484" i="1" s="1"/>
  <c r="G483" i="1"/>
  <c r="A991" i="1" l="1"/>
  <c r="B981" i="3"/>
  <c r="B484" i="1"/>
  <c r="E484" i="1"/>
  <c r="C484" i="1"/>
  <c r="D475" i="3" s="1"/>
  <c r="A992" i="1" l="1"/>
  <c r="B982" i="3"/>
  <c r="K484" i="1"/>
  <c r="C475" i="3"/>
  <c r="H484" i="1"/>
  <c r="N484" i="1"/>
  <c r="I484" i="1"/>
  <c r="L484" i="1"/>
  <c r="O484" i="1"/>
  <c r="P484" i="1" l="1"/>
  <c r="A993" i="1"/>
  <c r="B983" i="3"/>
  <c r="M484" i="1"/>
  <c r="J484" i="1"/>
  <c r="A994" i="1" l="1"/>
  <c r="B984" i="3"/>
  <c r="F484" i="1"/>
  <c r="B485" i="1" s="1"/>
  <c r="C476" i="3" s="1"/>
  <c r="G484" i="1"/>
  <c r="A995" i="1" l="1"/>
  <c r="B985" i="3"/>
  <c r="D485" i="1"/>
  <c r="E485" i="1"/>
  <c r="C485" i="1"/>
  <c r="D476" i="3" s="1"/>
  <c r="K485" i="1"/>
  <c r="N485" i="1"/>
  <c r="H485" i="1"/>
  <c r="A996" i="1" l="1"/>
  <c r="B986" i="3"/>
  <c r="L485" i="1"/>
  <c r="M485" i="1" s="1"/>
  <c r="I485" i="1"/>
  <c r="O485" i="1"/>
  <c r="P485" i="1" s="1"/>
  <c r="A997" i="1" l="1"/>
  <c r="B987" i="3"/>
  <c r="J485" i="1"/>
  <c r="F485" i="1" s="1"/>
  <c r="A998" i="1" l="1"/>
  <c r="B988" i="3"/>
  <c r="D486" i="1"/>
  <c r="B486" i="1"/>
  <c r="C477" i="3" s="1"/>
  <c r="G485" i="1"/>
  <c r="A999" i="1" l="1"/>
  <c r="B989" i="3"/>
  <c r="E486" i="1"/>
  <c r="C486" i="1"/>
  <c r="D477" i="3" s="1"/>
  <c r="K486" i="1"/>
  <c r="N486" i="1"/>
  <c r="H486" i="1"/>
  <c r="A1000" i="1" l="1"/>
  <c r="B990" i="3"/>
  <c r="L486" i="1"/>
  <c r="M486" i="1" s="1"/>
  <c r="O486" i="1"/>
  <c r="P486" i="1" s="1"/>
  <c r="I486" i="1"/>
  <c r="A1001" i="1" l="1"/>
  <c r="B991" i="3"/>
  <c r="J486" i="1"/>
  <c r="F486" i="1" s="1"/>
  <c r="A1002" i="1" l="1"/>
  <c r="B992" i="3"/>
  <c r="D487" i="1"/>
  <c r="B487" i="1"/>
  <c r="C478" i="3" s="1"/>
  <c r="G486" i="1"/>
  <c r="A1003" i="1" l="1"/>
  <c r="B993" i="3"/>
  <c r="E487" i="1"/>
  <c r="C487" i="1"/>
  <c r="D478" i="3" s="1"/>
  <c r="N487" i="1"/>
  <c r="H487" i="1"/>
  <c r="K487" i="1"/>
  <c r="A1004" i="1" l="1"/>
  <c r="B994" i="3"/>
  <c r="L487" i="1"/>
  <c r="M487" i="1" s="1"/>
  <c r="O487" i="1"/>
  <c r="P487" i="1" s="1"/>
  <c r="I487" i="1"/>
  <c r="A1005" i="1" l="1"/>
  <c r="B995" i="3"/>
  <c r="J487" i="1"/>
  <c r="F487" i="1" s="1"/>
  <c r="A1006" i="1" l="1"/>
  <c r="B996" i="3"/>
  <c r="B488" i="1"/>
  <c r="C479" i="3" s="1"/>
  <c r="D488" i="1"/>
  <c r="G487" i="1"/>
  <c r="A1007" i="1" l="1"/>
  <c r="B997" i="3"/>
  <c r="E488" i="1"/>
  <c r="C488" i="1"/>
  <c r="D479" i="3" s="1"/>
  <c r="N488" i="1"/>
  <c r="H488" i="1"/>
  <c r="K488" i="1"/>
  <c r="A1008" i="1" l="1"/>
  <c r="B998" i="3"/>
  <c r="O488" i="1"/>
  <c r="P488" i="1" s="1"/>
  <c r="I488" i="1"/>
  <c r="L488" i="1"/>
  <c r="M488" i="1" s="1"/>
  <c r="A1009" i="1" l="1"/>
  <c r="B999" i="3"/>
  <c r="J488" i="1"/>
  <c r="F488" i="1" s="1"/>
  <c r="A1010" i="1" l="1"/>
  <c r="B1000" i="3"/>
  <c r="D489" i="1"/>
  <c r="B489" i="1"/>
  <c r="C480" i="3" s="1"/>
  <c r="G488" i="1"/>
  <c r="A1011" i="1" l="1"/>
  <c r="B1001" i="3"/>
  <c r="E489" i="1"/>
  <c r="C489" i="1"/>
  <c r="D480" i="3" s="1"/>
  <c r="N489" i="1"/>
  <c r="H489" i="1"/>
  <c r="K489" i="1"/>
  <c r="A1012" i="1" l="1"/>
  <c r="B1002" i="3"/>
  <c r="O489" i="1"/>
  <c r="P489" i="1" s="1"/>
  <c r="I489" i="1"/>
  <c r="L489" i="1"/>
  <c r="M489" i="1" s="1"/>
  <c r="A1013" i="1" l="1"/>
  <c r="B1003" i="3"/>
  <c r="J489" i="1"/>
  <c r="F489" i="1" s="1"/>
  <c r="A1014" i="1" l="1"/>
  <c r="B1004" i="3"/>
  <c r="B490" i="1"/>
  <c r="C481" i="3" s="1"/>
  <c r="D490" i="1"/>
  <c r="G489" i="1"/>
  <c r="A1015" i="1" l="1"/>
  <c r="B1005" i="3"/>
  <c r="E490" i="1"/>
  <c r="C490" i="1"/>
  <c r="D481" i="3" s="1"/>
  <c r="H490" i="1"/>
  <c r="N490" i="1"/>
  <c r="K490" i="1"/>
  <c r="A1016" i="1" l="1"/>
  <c r="B1006" i="3"/>
  <c r="O490" i="1"/>
  <c r="P490" i="1" s="1"/>
  <c r="I490" i="1"/>
  <c r="L490" i="1"/>
  <c r="M490" i="1" s="1"/>
  <c r="A1017" i="1" l="1"/>
  <c r="B1007" i="3"/>
  <c r="J490" i="1"/>
  <c r="F490" i="1" s="1"/>
  <c r="A1018" i="1" l="1"/>
  <c r="B1008" i="3"/>
  <c r="D491" i="1"/>
  <c r="B491" i="1"/>
  <c r="C482" i="3" s="1"/>
  <c r="G490" i="1"/>
  <c r="A1019" i="1" l="1"/>
  <c r="B1009" i="3"/>
  <c r="E491" i="1"/>
  <c r="C491" i="1"/>
  <c r="D482" i="3" s="1"/>
  <c r="K491" i="1"/>
  <c r="N491" i="1"/>
  <c r="H491" i="1"/>
  <c r="A1020" i="1" l="1"/>
  <c r="B1010" i="3"/>
  <c r="O491" i="1"/>
  <c r="P491" i="1" s="1"/>
  <c r="I491" i="1"/>
  <c r="L491" i="1"/>
  <c r="M491" i="1" s="1"/>
  <c r="A1021" i="1" l="1"/>
  <c r="B1011" i="3"/>
  <c r="J491" i="1"/>
  <c r="F491" i="1" s="1"/>
  <c r="A1022" i="1" l="1"/>
  <c r="B1012" i="3"/>
  <c r="B492" i="1"/>
  <c r="C483" i="3" s="1"/>
  <c r="D492" i="1"/>
  <c r="G491" i="1"/>
  <c r="A1023" i="1" l="1"/>
  <c r="B1013" i="3"/>
  <c r="E492" i="1"/>
  <c r="C492" i="1"/>
  <c r="D483" i="3" s="1"/>
  <c r="H492" i="1"/>
  <c r="K492" i="1"/>
  <c r="N492" i="1"/>
  <c r="A1024" i="1" l="1"/>
  <c r="B1014" i="3"/>
  <c r="L492" i="1"/>
  <c r="M492" i="1" s="1"/>
  <c r="O492" i="1"/>
  <c r="P492" i="1" s="1"/>
  <c r="I492" i="1"/>
  <c r="A1025" i="1" l="1"/>
  <c r="B1015" i="3"/>
  <c r="J492" i="1"/>
  <c r="F492" i="1" s="1"/>
  <c r="A1026" i="1" l="1"/>
  <c r="B1016" i="3"/>
  <c r="D493" i="1"/>
  <c r="B493" i="1"/>
  <c r="C484" i="3" s="1"/>
  <c r="G492" i="1"/>
  <c r="A1027" i="1" l="1"/>
  <c r="B1017" i="3"/>
  <c r="E493" i="1"/>
  <c r="C493" i="1"/>
  <c r="D484" i="3" s="1"/>
  <c r="H493" i="1"/>
  <c r="K493" i="1"/>
  <c r="N493" i="1"/>
  <c r="A1028" i="1" l="1"/>
  <c r="B1018" i="3"/>
  <c r="I493" i="1"/>
  <c r="L493" i="1"/>
  <c r="M493" i="1" s="1"/>
  <c r="O493" i="1"/>
  <c r="P493" i="1" s="1"/>
  <c r="A1029" i="1" l="1"/>
  <c r="B1019" i="3"/>
  <c r="J493" i="1"/>
  <c r="F493" i="1" s="1"/>
  <c r="A1030" i="1" l="1"/>
  <c r="B1020" i="3"/>
  <c r="B494" i="1"/>
  <c r="C485" i="3" s="1"/>
  <c r="D494" i="1"/>
  <c r="G493" i="1"/>
  <c r="A1031" i="1" l="1"/>
  <c r="B1021" i="3"/>
  <c r="E494" i="1"/>
  <c r="C494" i="1"/>
  <c r="D485" i="3" s="1"/>
  <c r="N494" i="1"/>
  <c r="K494" i="1"/>
  <c r="H494" i="1"/>
  <c r="A1032" i="1" l="1"/>
  <c r="B1022" i="3"/>
  <c r="I494" i="1"/>
  <c r="L494" i="1"/>
  <c r="M494" i="1" s="1"/>
  <c r="O494" i="1"/>
  <c r="P494" i="1" s="1"/>
  <c r="A1033" i="1" l="1"/>
  <c r="B1023" i="3"/>
  <c r="J494" i="1"/>
  <c r="F494" i="1" s="1"/>
  <c r="A1034" i="1" l="1"/>
  <c r="B1024" i="3"/>
  <c r="D495" i="1"/>
  <c r="B495" i="1"/>
  <c r="C486" i="3" s="1"/>
  <c r="G494" i="1"/>
  <c r="A1035" i="1" l="1"/>
  <c r="B1025" i="3"/>
  <c r="E495" i="1"/>
  <c r="C495" i="1"/>
  <c r="D486" i="3" s="1"/>
  <c r="K495" i="1"/>
  <c r="N495" i="1"/>
  <c r="H495" i="1"/>
  <c r="A1036" i="1" l="1"/>
  <c r="B1026" i="3"/>
  <c r="O495" i="1"/>
  <c r="P495" i="1" s="1"/>
  <c r="L495" i="1"/>
  <c r="M495" i="1" s="1"/>
  <c r="I495" i="1"/>
  <c r="A1037" i="1" l="1"/>
  <c r="B1027" i="3"/>
  <c r="J495" i="1"/>
  <c r="F495" i="1" s="1"/>
  <c r="A1038" i="1" l="1"/>
  <c r="B1028" i="3"/>
  <c r="B496" i="1"/>
  <c r="C487" i="3" s="1"/>
  <c r="D496" i="1"/>
  <c r="G495" i="1"/>
  <c r="A1039" i="1" l="1"/>
  <c r="B1029" i="3"/>
  <c r="E496" i="1"/>
  <c r="C496" i="1"/>
  <c r="D487" i="3" s="1"/>
  <c r="H496" i="1"/>
  <c r="K496" i="1"/>
  <c r="N496" i="1"/>
  <c r="A1040" i="1" l="1"/>
  <c r="B1030" i="3"/>
  <c r="L496" i="1"/>
  <c r="M496" i="1" s="1"/>
  <c r="O496" i="1"/>
  <c r="P496" i="1" s="1"/>
  <c r="I496" i="1"/>
  <c r="A1041" i="1" l="1"/>
  <c r="B1031" i="3"/>
  <c r="J496" i="1"/>
  <c r="F496" i="1" s="1"/>
  <c r="A1042" i="1" l="1"/>
  <c r="B1032" i="3"/>
  <c r="D497" i="1"/>
  <c r="B497" i="1"/>
  <c r="C488" i="3" s="1"/>
  <c r="G496" i="1"/>
  <c r="A1043" i="1" l="1"/>
  <c r="B1033" i="3"/>
  <c r="N497" i="1"/>
  <c r="H497" i="1"/>
  <c r="K497" i="1"/>
  <c r="E497" i="1"/>
  <c r="C497" i="1"/>
  <c r="D488" i="3" s="1"/>
  <c r="A1044" i="1" l="1"/>
  <c r="B1034" i="3"/>
  <c r="I497" i="1"/>
  <c r="J497" i="1" s="1"/>
  <c r="L497" i="1"/>
  <c r="M497" i="1" s="1"/>
  <c r="O497" i="1"/>
  <c r="P497" i="1" s="1"/>
  <c r="A1045" i="1" l="1"/>
  <c r="B1035" i="3"/>
  <c r="F497" i="1"/>
  <c r="G497" i="1"/>
  <c r="A1046" i="1" l="1"/>
  <c r="B1036" i="3"/>
  <c r="E498" i="1"/>
  <c r="C498" i="1"/>
  <c r="D489" i="3" s="1"/>
  <c r="B498" i="1"/>
  <c r="C489" i="3" s="1"/>
  <c r="D498" i="1"/>
  <c r="A1047" i="1" l="1"/>
  <c r="B1037" i="3"/>
  <c r="N498" i="1"/>
  <c r="K498" i="1"/>
  <c r="H498" i="1"/>
  <c r="O498" i="1"/>
  <c r="I498" i="1"/>
  <c r="L498" i="1"/>
  <c r="A1048" i="1" l="1"/>
  <c r="B1038" i="3"/>
  <c r="M498" i="1"/>
  <c r="J498" i="1"/>
  <c r="P498" i="1"/>
  <c r="A1049" i="1" l="1"/>
  <c r="B1039" i="3"/>
  <c r="F498" i="1"/>
  <c r="B499" i="1" s="1"/>
  <c r="C490" i="3" s="1"/>
  <c r="G498" i="1"/>
  <c r="E499" i="1" s="1"/>
  <c r="A1050" i="1" l="1"/>
  <c r="B1040" i="3"/>
  <c r="D499" i="1"/>
  <c r="C499" i="1"/>
  <c r="K499" i="1"/>
  <c r="N499" i="1"/>
  <c r="H499" i="1"/>
  <c r="A1051" i="1" l="1"/>
  <c r="B1041" i="3"/>
  <c r="O499" i="1"/>
  <c r="P499" i="1" s="1"/>
  <c r="D490" i="3"/>
  <c r="L499" i="1"/>
  <c r="M499" i="1" s="1"/>
  <c r="I499" i="1"/>
  <c r="J499" i="1" s="1"/>
  <c r="A1052" i="1" l="1"/>
  <c r="B1042" i="3"/>
  <c r="F499" i="1"/>
  <c r="D500" i="1" s="1"/>
  <c r="G499" i="1"/>
  <c r="A1053" i="1" l="1"/>
  <c r="B1043" i="3"/>
  <c r="B500" i="1"/>
  <c r="C500" i="1"/>
  <c r="D491" i="3" s="1"/>
  <c r="E500" i="1"/>
  <c r="A1054" i="1" l="1"/>
  <c r="B1044" i="3"/>
  <c r="H500" i="1"/>
  <c r="C491" i="3"/>
  <c r="K500" i="1"/>
  <c r="N500" i="1"/>
  <c r="L500" i="1"/>
  <c r="O500" i="1"/>
  <c r="I500" i="1"/>
  <c r="P500" i="1" l="1"/>
  <c r="J500" i="1"/>
  <c r="A1055" i="1"/>
  <c r="B1045" i="3"/>
  <c r="M500" i="1"/>
  <c r="F500" i="1" l="1"/>
  <c r="B501" i="1" s="1"/>
  <c r="C492" i="3" s="1"/>
  <c r="A1056" i="1"/>
  <c r="B1046" i="3"/>
  <c r="G500" i="1"/>
  <c r="C501" i="1" s="1"/>
  <c r="D492" i="3" s="1"/>
  <c r="N501" i="1" l="1"/>
  <c r="H501" i="1"/>
  <c r="K501" i="1"/>
  <c r="D501" i="1"/>
  <c r="A1057" i="1"/>
  <c r="B1047" i="3"/>
  <c r="E501" i="1"/>
  <c r="I501" i="1"/>
  <c r="L501" i="1"/>
  <c r="O501" i="1"/>
  <c r="M501" i="1" l="1"/>
  <c r="P501" i="1"/>
  <c r="A1058" i="1"/>
  <c r="B1048" i="3"/>
  <c r="J501" i="1"/>
  <c r="F501" i="1" l="1"/>
  <c r="B502" i="1" s="1"/>
  <c r="C493" i="3" s="1"/>
  <c r="A1059" i="1"/>
  <c r="B1049" i="3"/>
  <c r="G501" i="1"/>
  <c r="D502" i="1" l="1"/>
  <c r="A1060" i="1"/>
  <c r="B1050" i="3"/>
  <c r="C502" i="1"/>
  <c r="D493" i="3" s="1"/>
  <c r="E502" i="1"/>
  <c r="N502" i="1"/>
  <c r="K502" i="1"/>
  <c r="H502" i="1"/>
  <c r="A1061" i="1" l="1"/>
  <c r="B1051" i="3"/>
  <c r="I502" i="1"/>
  <c r="O502" i="1"/>
  <c r="P502" i="1" s="1"/>
  <c r="L502" i="1"/>
  <c r="M502" i="1" s="1"/>
  <c r="A1062" i="1" l="1"/>
  <c r="B1052" i="3"/>
  <c r="J502" i="1"/>
  <c r="F502" i="1" s="1"/>
  <c r="A1063" i="1" l="1"/>
  <c r="B1053" i="3"/>
  <c r="D503" i="1"/>
  <c r="B503" i="1"/>
  <c r="C494" i="3" s="1"/>
  <c r="G502" i="1"/>
  <c r="A1064" i="1" l="1"/>
  <c r="B1054" i="3"/>
  <c r="K503" i="1"/>
  <c r="N503" i="1"/>
  <c r="H503" i="1"/>
  <c r="E503" i="1"/>
  <c r="C503" i="1"/>
  <c r="D494" i="3" s="1"/>
  <c r="A1065" i="1" l="1"/>
  <c r="B1055" i="3"/>
  <c r="O503" i="1"/>
  <c r="P503" i="1" s="1"/>
  <c r="L503" i="1"/>
  <c r="M503" i="1" s="1"/>
  <c r="I503" i="1"/>
  <c r="A1066" i="1" l="1"/>
  <c r="B1056" i="3"/>
  <c r="J503" i="1"/>
  <c r="F503" i="1" s="1"/>
  <c r="A1067" i="1" l="1"/>
  <c r="B1057" i="3"/>
  <c r="D504" i="1"/>
  <c r="B504" i="1"/>
  <c r="C495" i="3" s="1"/>
  <c r="G503" i="1"/>
  <c r="A1068" i="1" l="1"/>
  <c r="B1058" i="3"/>
  <c r="E504" i="1"/>
  <c r="C504" i="1"/>
  <c r="D495" i="3" s="1"/>
  <c r="H504" i="1"/>
  <c r="K504" i="1"/>
  <c r="N504" i="1"/>
  <c r="A1069" i="1" l="1"/>
  <c r="B1059" i="3"/>
  <c r="L504" i="1"/>
  <c r="M504" i="1" s="1"/>
  <c r="O504" i="1"/>
  <c r="P504" i="1" s="1"/>
  <c r="I504" i="1"/>
  <c r="J504" i="1" s="1"/>
  <c r="A1070" i="1" l="1"/>
  <c r="B1060" i="3"/>
  <c r="F504" i="1"/>
  <c r="D505" i="1" s="1"/>
  <c r="G504" i="1"/>
  <c r="A1071" i="1" l="1"/>
  <c r="B1061" i="3"/>
  <c r="B505" i="1"/>
  <c r="E505" i="1"/>
  <c r="C505" i="1"/>
  <c r="D496" i="3" s="1"/>
  <c r="A1072" i="1" l="1"/>
  <c r="B1062" i="3"/>
  <c r="N505" i="1"/>
  <c r="C496" i="3"/>
  <c r="H505" i="1"/>
  <c r="K505" i="1"/>
  <c r="I505" i="1"/>
  <c r="L505" i="1"/>
  <c r="O505" i="1"/>
  <c r="P505" i="1" l="1"/>
  <c r="A1073" i="1"/>
  <c r="B1063" i="3"/>
  <c r="M505" i="1"/>
  <c r="J505" i="1"/>
  <c r="A1074" i="1" l="1"/>
  <c r="B1064" i="3"/>
  <c r="F505" i="1"/>
  <c r="B506" i="1" s="1"/>
  <c r="C497" i="3" s="1"/>
  <c r="G505" i="1"/>
  <c r="A1075" i="1" l="1"/>
  <c r="B1065" i="3"/>
  <c r="D506" i="1"/>
  <c r="E506" i="1"/>
  <c r="C506" i="1"/>
  <c r="D497" i="3" s="1"/>
  <c r="N506" i="1"/>
  <c r="H506" i="1"/>
  <c r="K506" i="1"/>
  <c r="A1076" i="1" l="1"/>
  <c r="B1066" i="3"/>
  <c r="O506" i="1"/>
  <c r="P506" i="1" s="1"/>
  <c r="I506" i="1"/>
  <c r="J506" i="1" s="1"/>
  <c r="L506" i="1"/>
  <c r="M506" i="1" s="1"/>
  <c r="A1077" i="1" l="1"/>
  <c r="B1067" i="3"/>
  <c r="F506" i="1"/>
  <c r="D507" i="1" s="1"/>
  <c r="G506" i="1"/>
  <c r="A1078" i="1" l="1"/>
  <c r="B1068" i="3"/>
  <c r="B507" i="1"/>
  <c r="E507" i="1"/>
  <c r="C507" i="1"/>
  <c r="D498" i="3" s="1"/>
  <c r="A1079" i="1" l="1"/>
  <c r="B1069" i="3"/>
  <c r="K507" i="1"/>
  <c r="C498" i="3"/>
  <c r="H507" i="1"/>
  <c r="N507" i="1"/>
  <c r="O507" i="1"/>
  <c r="I507" i="1"/>
  <c r="L507" i="1"/>
  <c r="M507" i="1" l="1"/>
  <c r="A1080" i="1"/>
  <c r="B1070" i="3"/>
  <c r="P507" i="1"/>
  <c r="J507" i="1"/>
  <c r="A1081" i="1" l="1"/>
  <c r="B1071" i="3"/>
  <c r="F507" i="1"/>
  <c r="B508" i="1" s="1"/>
  <c r="G507" i="1"/>
  <c r="E508" i="1" s="1"/>
  <c r="A1082" i="1" l="1"/>
  <c r="B1072" i="3"/>
  <c r="H508" i="1"/>
  <c r="C499" i="3"/>
  <c r="N508" i="1"/>
  <c r="K508" i="1"/>
  <c r="D508" i="1"/>
  <c r="C508" i="1"/>
  <c r="A1083" i="1" l="1"/>
  <c r="B1073" i="3"/>
  <c r="L508" i="1"/>
  <c r="M508" i="1" s="1"/>
  <c r="D499" i="3"/>
  <c r="I508" i="1"/>
  <c r="J508" i="1" s="1"/>
  <c r="O508" i="1"/>
  <c r="P508" i="1" s="1"/>
  <c r="A1084" i="1" l="1"/>
  <c r="B1074" i="3"/>
  <c r="F508" i="1"/>
  <c r="B509" i="1" s="1"/>
  <c r="C500" i="3" s="1"/>
  <c r="G508" i="1"/>
  <c r="A1085" i="1" l="1"/>
  <c r="B1075" i="3"/>
  <c r="D509" i="1"/>
  <c r="E509" i="1"/>
  <c r="C509" i="1"/>
  <c r="D500" i="3" s="1"/>
  <c r="H509" i="1"/>
  <c r="N509" i="1"/>
  <c r="K509" i="1"/>
  <c r="A1086" i="1" l="1"/>
  <c r="B1076" i="3"/>
  <c r="I509" i="1"/>
  <c r="L509" i="1"/>
  <c r="M509" i="1" s="1"/>
  <c r="O509" i="1"/>
  <c r="P509" i="1" s="1"/>
  <c r="A1087" i="1" l="1"/>
  <c r="B1077" i="3"/>
  <c r="J509" i="1"/>
  <c r="F509" i="1" s="1"/>
  <c r="A1088" i="1" l="1"/>
  <c r="B1078" i="3"/>
  <c r="B510" i="1"/>
  <c r="C501" i="3" s="1"/>
  <c r="D510" i="1"/>
  <c r="G509" i="1"/>
  <c r="A1089" i="1" l="1"/>
  <c r="B1079" i="3"/>
  <c r="E510" i="1"/>
  <c r="C510" i="1"/>
  <c r="D501" i="3" s="1"/>
  <c r="N510" i="1"/>
  <c r="K510" i="1"/>
  <c r="H510" i="1"/>
  <c r="A1090" i="1" l="1"/>
  <c r="B1080" i="3"/>
  <c r="I510" i="1"/>
  <c r="J510" i="1" s="1"/>
  <c r="L510" i="1"/>
  <c r="M510" i="1" s="1"/>
  <c r="O510" i="1"/>
  <c r="P510" i="1" s="1"/>
  <c r="A1091" i="1" l="1"/>
  <c r="B1081" i="3"/>
  <c r="F510" i="1"/>
  <c r="D511" i="1" s="1"/>
  <c r="G510" i="1"/>
  <c r="A1092" i="1" l="1"/>
  <c r="B1082" i="3"/>
  <c r="B511" i="1"/>
  <c r="E511" i="1"/>
  <c r="C511" i="1"/>
  <c r="D502" i="3" s="1"/>
  <c r="A1093" i="1" l="1"/>
  <c r="B1083" i="3"/>
  <c r="K511" i="1"/>
  <c r="C502" i="3"/>
  <c r="H511" i="1"/>
  <c r="N511" i="1"/>
  <c r="O511" i="1"/>
  <c r="L511" i="1"/>
  <c r="M511" i="1" s="1"/>
  <c r="I511" i="1"/>
  <c r="A1094" i="1" l="1"/>
  <c r="B1084" i="3"/>
  <c r="P511" i="1"/>
  <c r="J511" i="1"/>
  <c r="A1095" i="1" l="1"/>
  <c r="B1085" i="3"/>
  <c r="F511" i="1"/>
  <c r="B512" i="1" s="1"/>
  <c r="C503" i="3" s="1"/>
  <c r="G511" i="1"/>
  <c r="A1096" i="1" l="1"/>
  <c r="B1086" i="3"/>
  <c r="D512" i="1"/>
  <c r="E512" i="1"/>
  <c r="C512" i="1"/>
  <c r="D503" i="3" s="1"/>
  <c r="H512" i="1"/>
  <c r="K512" i="1"/>
  <c r="N512" i="1"/>
  <c r="A1097" i="1" l="1"/>
  <c r="B1087" i="3"/>
  <c r="L512" i="1"/>
  <c r="M512" i="1" s="1"/>
  <c r="O512" i="1"/>
  <c r="P512" i="1" s="1"/>
  <c r="I512" i="1"/>
  <c r="J512" i="1" s="1"/>
  <c r="A1098" i="1" l="1"/>
  <c r="B1088" i="3"/>
  <c r="F512" i="1"/>
  <c r="D513" i="1" s="1"/>
  <c r="G512" i="1"/>
  <c r="A1099" i="1" l="1"/>
  <c r="B1089" i="3"/>
  <c r="B513" i="1"/>
  <c r="E513" i="1"/>
  <c r="C513" i="1"/>
  <c r="D504" i="3" s="1"/>
  <c r="A1100" i="1" l="1"/>
  <c r="B1090" i="3"/>
  <c r="N513" i="1"/>
  <c r="C504" i="3"/>
  <c r="H513" i="1"/>
  <c r="K513" i="1"/>
  <c r="I513" i="1"/>
  <c r="L513" i="1"/>
  <c r="O513" i="1"/>
  <c r="A1101" i="1" l="1"/>
  <c r="B1091" i="3"/>
  <c r="M513" i="1"/>
  <c r="P513" i="1"/>
  <c r="J513" i="1"/>
  <c r="F513" i="1" l="1"/>
  <c r="D514" i="1" s="1"/>
  <c r="A1102" i="1"/>
  <c r="B1092" i="3"/>
  <c r="G513" i="1"/>
  <c r="B514" i="1" l="1"/>
  <c r="C505" i="3" s="1"/>
  <c r="A1103" i="1"/>
  <c r="B1093" i="3"/>
  <c r="E514" i="1"/>
  <c r="C514" i="1"/>
  <c r="D505" i="3" s="1"/>
  <c r="K514" i="1" l="1"/>
  <c r="H514" i="1"/>
  <c r="N514" i="1"/>
  <c r="A1104" i="1"/>
  <c r="B1094" i="3"/>
  <c r="O514" i="1"/>
  <c r="I514" i="1"/>
  <c r="L514" i="1"/>
  <c r="P514" i="1" l="1"/>
  <c r="M514" i="1"/>
  <c r="A1105" i="1"/>
  <c r="B1095" i="3"/>
  <c r="J514" i="1"/>
  <c r="F514" i="1" l="1"/>
  <c r="D515" i="1" s="1"/>
  <c r="A1106" i="1"/>
  <c r="B1096" i="3"/>
  <c r="G514" i="1"/>
  <c r="B515" i="1" l="1"/>
  <c r="C506" i="3" s="1"/>
  <c r="A1107" i="1"/>
  <c r="B1097" i="3"/>
  <c r="C515" i="1"/>
  <c r="D506" i="3" s="1"/>
  <c r="E515" i="1"/>
  <c r="N515" i="1" l="1"/>
  <c r="H515" i="1"/>
  <c r="K515" i="1"/>
  <c r="A1108" i="1"/>
  <c r="B1098" i="3"/>
  <c r="O515" i="1"/>
  <c r="L515" i="1"/>
  <c r="M515" i="1" s="1"/>
  <c r="I515" i="1"/>
  <c r="J515" i="1" s="1"/>
  <c r="P515" i="1" l="1"/>
  <c r="F515" i="1" s="1"/>
  <c r="A1109" i="1"/>
  <c r="B1099" i="3"/>
  <c r="G515" i="1" l="1"/>
  <c r="E516" i="1" s="1"/>
  <c r="A1110" i="1"/>
  <c r="B1100" i="3"/>
  <c r="B516" i="1"/>
  <c r="C507" i="3" s="1"/>
  <c r="D516" i="1"/>
  <c r="C516" i="1" l="1"/>
  <c r="D507" i="3" s="1"/>
  <c r="A1111" i="1"/>
  <c r="B1101" i="3"/>
  <c r="H516" i="1"/>
  <c r="K516" i="1"/>
  <c r="N516" i="1"/>
  <c r="I516" i="1" l="1"/>
  <c r="J516" i="1" s="1"/>
  <c r="O516" i="1"/>
  <c r="L516" i="1"/>
  <c r="A1112" i="1"/>
  <c r="B1102" i="3"/>
  <c r="M516" i="1"/>
  <c r="P516" i="1"/>
  <c r="A1113" i="1" l="1"/>
  <c r="B1103" i="3"/>
  <c r="G516" i="1"/>
  <c r="C517" i="1" s="1"/>
  <c r="D508" i="3" s="1"/>
  <c r="F516" i="1"/>
  <c r="A1114" i="1" l="1"/>
  <c r="B1104" i="3"/>
  <c r="E517" i="1"/>
  <c r="B517" i="1"/>
  <c r="C508" i="3" s="1"/>
  <c r="D517" i="1"/>
  <c r="I517" i="1"/>
  <c r="L517" i="1"/>
  <c r="O517" i="1"/>
  <c r="A1115" i="1" l="1"/>
  <c r="B1105" i="3"/>
  <c r="H517" i="1"/>
  <c r="K517" i="1"/>
  <c r="M517" i="1" s="1"/>
  <c r="N517" i="1"/>
  <c r="P517" i="1" s="1"/>
  <c r="A1116" i="1" l="1"/>
  <c r="B1106" i="3"/>
  <c r="J517" i="1"/>
  <c r="G517" i="1" s="1"/>
  <c r="A1117" i="1" l="1"/>
  <c r="B1107" i="3"/>
  <c r="F517" i="1"/>
  <c r="D518" i="1" s="1"/>
  <c r="C518" i="1"/>
  <c r="D509" i="3" s="1"/>
  <c r="E518" i="1"/>
  <c r="A1118" i="1" l="1"/>
  <c r="B1108" i="3"/>
  <c r="B518" i="1"/>
  <c r="I518" i="1"/>
  <c r="L518" i="1"/>
  <c r="O518" i="1"/>
  <c r="A1119" i="1" l="1"/>
  <c r="B1109" i="3"/>
  <c r="N518" i="1"/>
  <c r="C509" i="3"/>
  <c r="K518" i="1"/>
  <c r="M518" i="1" s="1"/>
  <c r="H518" i="1"/>
  <c r="J518" i="1" s="1"/>
  <c r="P518" i="1"/>
  <c r="A1120" i="1" l="1"/>
  <c r="B1110" i="3"/>
  <c r="G518" i="1"/>
  <c r="E519" i="1" s="1"/>
  <c r="F518" i="1"/>
  <c r="D519" i="1" s="1"/>
  <c r="A1121" i="1" l="1"/>
  <c r="B1111" i="3"/>
  <c r="C519" i="1"/>
  <c r="B519" i="1"/>
  <c r="A1122" i="1" l="1"/>
  <c r="B1112" i="3"/>
  <c r="K519" i="1"/>
  <c r="C510" i="3"/>
  <c r="L519" i="1"/>
  <c r="D510" i="3"/>
  <c r="I519" i="1"/>
  <c r="O519" i="1"/>
  <c r="H519" i="1"/>
  <c r="N519" i="1"/>
  <c r="M519" i="1" l="1"/>
  <c r="A1123" i="1"/>
  <c r="B1113" i="3"/>
  <c r="P519" i="1"/>
  <c r="J519" i="1"/>
  <c r="A1124" i="1" l="1"/>
  <c r="B1114" i="3"/>
  <c r="G519" i="1"/>
  <c r="C520" i="1" s="1"/>
  <c r="F519" i="1"/>
  <c r="B520" i="1" s="1"/>
  <c r="C511" i="3" s="1"/>
  <c r="A1125" i="1" l="1"/>
  <c r="B1115" i="3"/>
  <c r="O520" i="1"/>
  <c r="D511" i="3"/>
  <c r="L520" i="1"/>
  <c r="I520" i="1"/>
  <c r="E520" i="1"/>
  <c r="D520" i="1"/>
  <c r="H520" i="1"/>
  <c r="K520" i="1"/>
  <c r="N520" i="1"/>
  <c r="P520" i="1" l="1"/>
  <c r="A1126" i="1"/>
  <c r="B1116" i="3"/>
  <c r="M520" i="1"/>
  <c r="J520" i="1"/>
  <c r="A1127" i="1" l="1"/>
  <c r="B1117" i="3"/>
  <c r="G520" i="1"/>
  <c r="E521" i="1" s="1"/>
  <c r="F520" i="1"/>
  <c r="A1128" i="1" l="1"/>
  <c r="B1118" i="3"/>
  <c r="C521" i="1"/>
  <c r="B521" i="1"/>
  <c r="C512" i="3" s="1"/>
  <c r="D521" i="1"/>
  <c r="A1129" i="1" l="1"/>
  <c r="B1119" i="3"/>
  <c r="I521" i="1"/>
  <c r="D512" i="3"/>
  <c r="L521" i="1"/>
  <c r="O521" i="1"/>
  <c r="N521" i="1"/>
  <c r="H521" i="1"/>
  <c r="K521" i="1"/>
  <c r="A1130" i="1" l="1"/>
  <c r="B1120" i="3"/>
  <c r="P521" i="1"/>
  <c r="M521" i="1"/>
  <c r="J521" i="1"/>
  <c r="A1131" i="1" l="1"/>
  <c r="B1121" i="3"/>
  <c r="G521" i="1"/>
  <c r="E522" i="1" s="1"/>
  <c r="F521" i="1"/>
  <c r="A1132" i="1" l="1"/>
  <c r="B1122" i="3"/>
  <c r="C522" i="1"/>
  <c r="D522" i="1"/>
  <c r="B522" i="1"/>
  <c r="C513" i="3" s="1"/>
  <c r="A1133" i="1" l="1"/>
  <c r="B1123" i="3"/>
  <c r="I522" i="1"/>
  <c r="D513" i="3"/>
  <c r="O522" i="1"/>
  <c r="L522" i="1"/>
  <c r="N522" i="1"/>
  <c r="K522" i="1"/>
  <c r="M522" i="1" s="1"/>
  <c r="H522" i="1"/>
  <c r="A1134" i="1" l="1"/>
  <c r="B1124" i="3"/>
  <c r="P522" i="1"/>
  <c r="J522" i="1"/>
  <c r="A1135" i="1" l="1"/>
  <c r="B1125" i="3"/>
  <c r="G522" i="1"/>
  <c r="E523" i="1" s="1"/>
  <c r="F522" i="1"/>
  <c r="A1136" i="1" l="1"/>
  <c r="B1126" i="3"/>
  <c r="C523" i="1"/>
  <c r="D523" i="1"/>
  <c r="B523" i="1"/>
  <c r="C514" i="3" s="1"/>
  <c r="A1137" i="1" l="1"/>
  <c r="B1127" i="3"/>
  <c r="O523" i="1"/>
  <c r="D514" i="3"/>
  <c r="L523" i="1"/>
  <c r="I523" i="1"/>
  <c r="K523" i="1"/>
  <c r="N523" i="1"/>
  <c r="P523" i="1" s="1"/>
  <c r="H523" i="1"/>
  <c r="A1138" i="1" l="1"/>
  <c r="B1128" i="3"/>
  <c r="M523" i="1"/>
  <c r="J523" i="1"/>
  <c r="A1139" i="1" l="1"/>
  <c r="B1129" i="3"/>
  <c r="G523" i="1"/>
  <c r="E524" i="1" s="1"/>
  <c r="F523" i="1"/>
  <c r="A1140" i="1" l="1"/>
  <c r="B1130" i="3"/>
  <c r="C524" i="1"/>
  <c r="D524" i="1"/>
  <c r="B524" i="1"/>
  <c r="C515" i="3" s="1"/>
  <c r="A1141" i="1" l="1"/>
  <c r="B1131" i="3"/>
  <c r="L524" i="1"/>
  <c r="D515" i="3"/>
  <c r="O524" i="1"/>
  <c r="I524" i="1"/>
  <c r="H524" i="1"/>
  <c r="K524" i="1"/>
  <c r="N524" i="1"/>
  <c r="P524" i="1" l="1"/>
  <c r="A1142" i="1"/>
  <c r="B1132" i="3"/>
  <c r="M524" i="1"/>
  <c r="J524" i="1"/>
  <c r="A1143" i="1" l="1"/>
  <c r="B1133" i="3"/>
  <c r="G524" i="1"/>
  <c r="E525" i="1" s="1"/>
  <c r="F524" i="1"/>
  <c r="A1144" i="1" l="1"/>
  <c r="B1134" i="3"/>
  <c r="C525" i="1"/>
  <c r="D516" i="3" s="1"/>
  <c r="D525" i="1"/>
  <c r="B525" i="1"/>
  <c r="C516" i="3" s="1"/>
  <c r="I525" i="1"/>
  <c r="L525" i="1"/>
  <c r="O525" i="1"/>
  <c r="A1145" i="1" l="1"/>
  <c r="B1135" i="3"/>
  <c r="H525" i="1"/>
  <c r="K525" i="1"/>
  <c r="M525" i="1" s="1"/>
  <c r="N525" i="1"/>
  <c r="P525" i="1" s="1"/>
  <c r="A1146" i="1" l="1"/>
  <c r="B1136" i="3"/>
  <c r="J525" i="1"/>
  <c r="G525" i="1" s="1"/>
  <c r="A1147" i="1" l="1"/>
  <c r="B1137" i="3"/>
  <c r="F525" i="1"/>
  <c r="B526" i="1" s="1"/>
  <c r="C517" i="3" s="1"/>
  <c r="C526" i="1"/>
  <c r="D517" i="3" s="1"/>
  <c r="E526" i="1"/>
  <c r="A1148" i="1" l="1"/>
  <c r="B1138" i="3"/>
  <c r="D526" i="1"/>
  <c r="I526" i="1"/>
  <c r="O526" i="1"/>
  <c r="L526" i="1"/>
  <c r="N526" i="1"/>
  <c r="K526" i="1"/>
  <c r="H526" i="1"/>
  <c r="P526" i="1" l="1"/>
  <c r="A1149" i="1"/>
  <c r="B1139" i="3"/>
  <c r="J526" i="1"/>
  <c r="M526" i="1"/>
  <c r="A1150" i="1" l="1"/>
  <c r="B1140" i="3"/>
  <c r="F526" i="1"/>
  <c r="D527" i="1" s="1"/>
  <c r="G526" i="1"/>
  <c r="C527" i="1" s="1"/>
  <c r="D518" i="3" s="1"/>
  <c r="A1151" i="1" l="1"/>
  <c r="B1141" i="3"/>
  <c r="B527" i="1"/>
  <c r="E527" i="1"/>
  <c r="O527" i="1"/>
  <c r="I527" i="1"/>
  <c r="L527" i="1"/>
  <c r="A1152" i="1" l="1"/>
  <c r="B1142" i="3"/>
  <c r="H527" i="1"/>
  <c r="C518" i="3"/>
  <c r="N527" i="1"/>
  <c r="P527" i="1" s="1"/>
  <c r="K527" i="1"/>
  <c r="M527" i="1" s="1"/>
  <c r="J527" i="1"/>
  <c r="A1153" i="1" l="1"/>
  <c r="B1143" i="3"/>
  <c r="G527" i="1"/>
  <c r="C528" i="1" s="1"/>
  <c r="D519" i="3" s="1"/>
  <c r="F527" i="1"/>
  <c r="D528" i="1" s="1"/>
  <c r="A1154" i="1" l="1"/>
  <c r="B1144" i="3"/>
  <c r="E528" i="1"/>
  <c r="B528" i="1"/>
  <c r="O528" i="1"/>
  <c r="I528" i="1"/>
  <c r="L528" i="1"/>
  <c r="A1155" i="1" l="1"/>
  <c r="B1145" i="3"/>
  <c r="H528" i="1"/>
  <c r="C519" i="3"/>
  <c r="N528" i="1"/>
  <c r="P528" i="1" s="1"/>
  <c r="K528" i="1"/>
  <c r="M528" i="1" s="1"/>
  <c r="J528" i="1"/>
  <c r="A1156" i="1" l="1"/>
  <c r="B1146" i="3"/>
  <c r="G528" i="1"/>
  <c r="C529" i="1" s="1"/>
  <c r="D520" i="3" s="1"/>
  <c r="F528" i="1"/>
  <c r="A1157" i="1" l="1"/>
  <c r="B1147" i="3"/>
  <c r="E529" i="1"/>
  <c r="D529" i="1"/>
  <c r="B529" i="1"/>
  <c r="C520" i="3" s="1"/>
  <c r="I529" i="1"/>
  <c r="L529" i="1"/>
  <c r="O529" i="1"/>
  <c r="A1158" i="1" l="1"/>
  <c r="B1148" i="3"/>
  <c r="H529" i="1"/>
  <c r="K529" i="1"/>
  <c r="M529" i="1" s="1"/>
  <c r="N529" i="1"/>
  <c r="P529" i="1" s="1"/>
  <c r="A1159" i="1" l="1"/>
  <c r="B1149" i="3"/>
  <c r="J529" i="1"/>
  <c r="G529" i="1" s="1"/>
  <c r="A1160" i="1" l="1"/>
  <c r="B1150" i="3"/>
  <c r="F529" i="1"/>
  <c r="B530" i="1" s="1"/>
  <c r="C521" i="3" s="1"/>
  <c r="E530" i="1"/>
  <c r="C530" i="1"/>
  <c r="D521" i="3" s="1"/>
  <c r="A1161" i="1" l="1"/>
  <c r="B1151" i="3"/>
  <c r="D530" i="1"/>
  <c r="I530" i="1"/>
  <c r="L530" i="1"/>
  <c r="O530" i="1"/>
  <c r="K530" i="1"/>
  <c r="M530" i="1" s="1"/>
  <c r="N530" i="1"/>
  <c r="H530" i="1"/>
  <c r="A1162" i="1" l="1"/>
  <c r="B1152" i="3"/>
  <c r="J530" i="1"/>
  <c r="P530" i="1"/>
  <c r="A1163" i="1" l="1"/>
  <c r="B1153" i="3"/>
  <c r="F530" i="1"/>
  <c r="D531" i="1" s="1"/>
  <c r="G530" i="1"/>
  <c r="A1164" i="1" l="1"/>
  <c r="B1154" i="3"/>
  <c r="B531" i="1"/>
  <c r="E531" i="1"/>
  <c r="C531" i="1"/>
  <c r="D522" i="3" s="1"/>
  <c r="A1165" i="1" l="1"/>
  <c r="B1155" i="3"/>
  <c r="K531" i="1"/>
  <c r="C522" i="3"/>
  <c r="N531" i="1"/>
  <c r="H531" i="1"/>
  <c r="L531" i="1"/>
  <c r="O531" i="1"/>
  <c r="I531" i="1"/>
  <c r="A1166" i="1" l="1"/>
  <c r="B1156" i="3"/>
  <c r="M531" i="1"/>
  <c r="P531" i="1"/>
  <c r="J531" i="1"/>
  <c r="A1167" i="1" l="1"/>
  <c r="B1157" i="3"/>
  <c r="F531" i="1"/>
  <c r="B532" i="1" s="1"/>
  <c r="C523" i="3" s="1"/>
  <c r="G531" i="1"/>
  <c r="A1168" i="1" l="1"/>
  <c r="B1158" i="3"/>
  <c r="D532" i="1"/>
  <c r="E532" i="1"/>
  <c r="C532" i="1"/>
  <c r="D523" i="3" s="1"/>
  <c r="K532" i="1"/>
  <c r="N532" i="1"/>
  <c r="H532" i="1"/>
  <c r="A1169" i="1" l="1"/>
  <c r="B1159" i="3"/>
  <c r="L532" i="1"/>
  <c r="M532" i="1" s="1"/>
  <c r="O532" i="1"/>
  <c r="P532" i="1" s="1"/>
  <c r="I532" i="1"/>
  <c r="A1170" i="1" l="1"/>
  <c r="B1160" i="3"/>
  <c r="J532" i="1"/>
  <c r="F532" i="1" s="1"/>
  <c r="A1171" i="1" l="1"/>
  <c r="B1161" i="3"/>
  <c r="B533" i="1"/>
  <c r="C524" i="3" s="1"/>
  <c r="D533" i="1"/>
  <c r="G532" i="1"/>
  <c r="A1172" i="1" l="1"/>
  <c r="B1162" i="3"/>
  <c r="E533" i="1"/>
  <c r="C533" i="1"/>
  <c r="D524" i="3" s="1"/>
  <c r="N533" i="1"/>
  <c r="H533" i="1"/>
  <c r="K533" i="1"/>
  <c r="A1173" i="1" l="1"/>
  <c r="B1163" i="3"/>
  <c r="L533" i="1"/>
  <c r="M533" i="1" s="1"/>
  <c r="O533" i="1"/>
  <c r="P533" i="1" s="1"/>
  <c r="I533" i="1"/>
  <c r="A1174" i="1" l="1"/>
  <c r="B1164" i="3"/>
  <c r="J533" i="1"/>
  <c r="F533" i="1" s="1"/>
  <c r="A1175" i="1" l="1"/>
  <c r="B1165" i="3"/>
  <c r="B534" i="1"/>
  <c r="C525" i="3" s="1"/>
  <c r="D534" i="1"/>
  <c r="G533" i="1"/>
  <c r="A1176" i="1" l="1"/>
  <c r="B1166" i="3"/>
  <c r="E534" i="1"/>
  <c r="C534" i="1"/>
  <c r="D525" i="3" s="1"/>
  <c r="N534" i="1"/>
  <c r="H534" i="1"/>
  <c r="K534" i="1"/>
  <c r="A1177" i="1" l="1"/>
  <c r="B1167" i="3"/>
  <c r="O534" i="1"/>
  <c r="P534" i="1" s="1"/>
  <c r="I534" i="1"/>
  <c r="L534" i="1"/>
  <c r="M534" i="1" s="1"/>
  <c r="A1178" i="1" l="1"/>
  <c r="B1168" i="3"/>
  <c r="J534" i="1"/>
  <c r="F534" i="1" s="1"/>
  <c r="A1179" i="1" l="1"/>
  <c r="B1169" i="3"/>
  <c r="B535" i="1"/>
  <c r="C526" i="3" s="1"/>
  <c r="D535" i="1"/>
  <c r="G534" i="1"/>
  <c r="A1180" i="1" l="1"/>
  <c r="B1170" i="3"/>
  <c r="E535" i="1"/>
  <c r="C535" i="1"/>
  <c r="D526" i="3" s="1"/>
  <c r="N535" i="1"/>
  <c r="H535" i="1"/>
  <c r="K535" i="1"/>
  <c r="A1181" i="1" l="1"/>
  <c r="B1171" i="3"/>
  <c r="O535" i="1"/>
  <c r="P535" i="1" s="1"/>
  <c r="I535" i="1"/>
  <c r="L535" i="1"/>
  <c r="M535" i="1" s="1"/>
  <c r="A1182" i="1" l="1"/>
  <c r="B1172" i="3"/>
  <c r="J535" i="1"/>
  <c r="F535" i="1" s="1"/>
  <c r="A1183" i="1" l="1"/>
  <c r="B1173" i="3"/>
  <c r="B536" i="1"/>
  <c r="C527" i="3" s="1"/>
  <c r="D536" i="1"/>
  <c r="G535" i="1"/>
  <c r="A1184" i="1" l="1"/>
  <c r="B1174" i="3"/>
  <c r="E536" i="1"/>
  <c r="C536" i="1"/>
  <c r="D527" i="3" s="1"/>
  <c r="H536" i="1"/>
  <c r="K536" i="1"/>
  <c r="N536" i="1"/>
  <c r="A1185" i="1" l="1"/>
  <c r="B1175" i="3"/>
  <c r="O536" i="1"/>
  <c r="P536" i="1" s="1"/>
  <c r="I536" i="1"/>
  <c r="L536" i="1"/>
  <c r="M536" i="1" s="1"/>
  <c r="A1186" i="1" l="1"/>
  <c r="B1176" i="3"/>
  <c r="J536" i="1"/>
  <c r="F536" i="1" s="1"/>
  <c r="A1187" i="1" l="1"/>
  <c r="B1177" i="3"/>
  <c r="D537" i="1"/>
  <c r="B537" i="1"/>
  <c r="C528" i="3" s="1"/>
  <c r="G536" i="1"/>
  <c r="A1188" i="1" l="1"/>
  <c r="B1178" i="3"/>
  <c r="E537" i="1"/>
  <c r="C537" i="1"/>
  <c r="D528" i="3" s="1"/>
  <c r="H537" i="1"/>
  <c r="K537" i="1"/>
  <c r="N537" i="1"/>
  <c r="A1189" i="1" l="1"/>
  <c r="B1179" i="3"/>
  <c r="I537" i="1"/>
  <c r="L537" i="1"/>
  <c r="M537" i="1" s="1"/>
  <c r="O537" i="1"/>
  <c r="P537" i="1" s="1"/>
  <c r="A1190" i="1" l="1"/>
  <c r="B1180" i="3"/>
  <c r="J537" i="1"/>
  <c r="F537" i="1" s="1"/>
  <c r="A1191" i="1" l="1"/>
  <c r="B1181" i="3"/>
  <c r="B538" i="1"/>
  <c r="C529" i="3" s="1"/>
  <c r="D538" i="1"/>
  <c r="G537" i="1"/>
  <c r="A1192" i="1" l="1"/>
  <c r="B1182" i="3"/>
  <c r="E538" i="1"/>
  <c r="C538" i="1"/>
  <c r="D529" i="3" s="1"/>
  <c r="K538" i="1"/>
  <c r="N538" i="1"/>
  <c r="H538" i="1"/>
  <c r="A1193" i="1" l="1"/>
  <c r="B1183" i="3"/>
  <c r="I538" i="1"/>
  <c r="L538" i="1"/>
  <c r="M538" i="1" s="1"/>
  <c r="O538" i="1"/>
  <c r="P538" i="1" s="1"/>
  <c r="A1194" i="1" l="1"/>
  <c r="B1184" i="3"/>
  <c r="J538" i="1"/>
  <c r="F538" i="1" s="1"/>
  <c r="A1195" i="1" l="1"/>
  <c r="B1185" i="3"/>
  <c r="B539" i="1"/>
  <c r="C530" i="3" s="1"/>
  <c r="D539" i="1"/>
  <c r="G538" i="1"/>
  <c r="A1196" i="1" l="1"/>
  <c r="B1186" i="3"/>
  <c r="E539" i="1"/>
  <c r="C539" i="1"/>
  <c r="D530" i="3" s="1"/>
  <c r="K539" i="1"/>
  <c r="N539" i="1"/>
  <c r="H539" i="1"/>
  <c r="A1197" i="1" l="1"/>
  <c r="B1187" i="3"/>
  <c r="L539" i="1"/>
  <c r="M539" i="1" s="1"/>
  <c r="O539" i="1"/>
  <c r="P539" i="1" s="1"/>
  <c r="I539" i="1"/>
  <c r="A1198" i="1" l="1"/>
  <c r="B1188" i="3"/>
  <c r="J539" i="1"/>
  <c r="F539" i="1" s="1"/>
  <c r="A1199" i="1" l="1"/>
  <c r="B1189" i="3"/>
  <c r="B540" i="1"/>
  <c r="C531" i="3" s="1"/>
  <c r="D540" i="1"/>
  <c r="G539" i="1"/>
  <c r="A1200" i="1" l="1"/>
  <c r="B1190" i="3"/>
  <c r="E540" i="1"/>
  <c r="C540" i="1"/>
  <c r="D531" i="3" s="1"/>
  <c r="K540" i="1"/>
  <c r="N540" i="1"/>
  <c r="H540" i="1"/>
  <c r="A1201" i="1" l="1"/>
  <c r="B1191" i="3"/>
  <c r="L540" i="1"/>
  <c r="M540" i="1" s="1"/>
  <c r="O540" i="1"/>
  <c r="P540" i="1" s="1"/>
  <c r="I540" i="1"/>
  <c r="J540" i="1" s="1"/>
  <c r="A1202" i="1" l="1"/>
  <c r="B1192" i="3"/>
  <c r="F540" i="1"/>
  <c r="G540" i="1"/>
  <c r="A1203" i="1" l="1"/>
  <c r="B1193" i="3"/>
  <c r="E541" i="1"/>
  <c r="C541" i="1"/>
  <c r="D532" i="3" s="1"/>
  <c r="D541" i="1"/>
  <c r="B541" i="1"/>
  <c r="C532" i="3" s="1"/>
  <c r="A1204" i="1" l="1"/>
  <c r="B1194" i="3"/>
  <c r="N541" i="1"/>
  <c r="H541" i="1"/>
  <c r="K541" i="1"/>
  <c r="L541" i="1"/>
  <c r="O541" i="1"/>
  <c r="I541" i="1"/>
  <c r="A1205" i="1" l="1"/>
  <c r="B1195" i="3"/>
  <c r="J541" i="1"/>
  <c r="M541" i="1"/>
  <c r="P541" i="1"/>
  <c r="A1206" i="1" l="1"/>
  <c r="B1196" i="3"/>
  <c r="G541" i="1"/>
  <c r="C542" i="1" s="1"/>
  <c r="D533" i="3" s="1"/>
  <c r="F541" i="1"/>
  <c r="A1207" i="1" l="1"/>
  <c r="B1197" i="3"/>
  <c r="E542" i="1"/>
  <c r="D542" i="1"/>
  <c r="B542" i="1"/>
  <c r="C533" i="3" s="1"/>
  <c r="O542" i="1"/>
  <c r="I542" i="1"/>
  <c r="L542" i="1"/>
  <c r="A1208" i="1" l="1"/>
  <c r="B1198" i="3"/>
  <c r="N542" i="1"/>
  <c r="P542" i="1" s="1"/>
  <c r="H542" i="1"/>
  <c r="K542" i="1"/>
  <c r="M542" i="1" s="1"/>
  <c r="A1209" i="1" l="1"/>
  <c r="B1199" i="3"/>
  <c r="J542" i="1"/>
  <c r="G542" i="1" s="1"/>
  <c r="A1210" i="1" l="1"/>
  <c r="B1200" i="3"/>
  <c r="E543" i="1"/>
  <c r="C543" i="1"/>
  <c r="D534" i="3" s="1"/>
  <c r="F542" i="1"/>
  <c r="A1211" i="1" l="1"/>
  <c r="B1201" i="3"/>
  <c r="B543" i="1"/>
  <c r="C534" i="3" s="1"/>
  <c r="D543" i="1"/>
  <c r="O543" i="1"/>
  <c r="I543" i="1"/>
  <c r="L543" i="1"/>
  <c r="A1212" i="1" l="1"/>
  <c r="B1202" i="3"/>
  <c r="N543" i="1"/>
  <c r="P543" i="1" s="1"/>
  <c r="H543" i="1"/>
  <c r="K543" i="1"/>
  <c r="M543" i="1" s="1"/>
  <c r="A1213" i="1" l="1"/>
  <c r="B1203" i="3"/>
  <c r="J543" i="1"/>
  <c r="G543" i="1" s="1"/>
  <c r="A1214" i="1" l="1"/>
  <c r="B1204" i="3"/>
  <c r="C544" i="1"/>
  <c r="D535" i="3" s="1"/>
  <c r="E544" i="1"/>
  <c r="F543" i="1"/>
  <c r="A1215" i="1" l="1"/>
  <c r="B1205" i="3"/>
  <c r="D544" i="1"/>
  <c r="B544" i="1"/>
  <c r="C535" i="3" s="1"/>
  <c r="O544" i="1"/>
  <c r="I544" i="1"/>
  <c r="L544" i="1"/>
  <c r="A1216" i="1" l="1"/>
  <c r="B1206" i="3"/>
  <c r="H544" i="1"/>
  <c r="K544" i="1"/>
  <c r="M544" i="1" s="1"/>
  <c r="N544" i="1"/>
  <c r="P544" i="1" s="1"/>
  <c r="A1217" i="1" l="1"/>
  <c r="B1207" i="3"/>
  <c r="J544" i="1"/>
  <c r="G544" i="1" s="1"/>
  <c r="A1218" i="1" l="1"/>
  <c r="B1208" i="3"/>
  <c r="F544" i="1"/>
  <c r="B545" i="1" s="1"/>
  <c r="C536" i="3" s="1"/>
  <c r="E545" i="1"/>
  <c r="C545" i="1"/>
  <c r="D536" i="3" s="1"/>
  <c r="A1219" i="1" l="1"/>
  <c r="B1209" i="3"/>
  <c r="D545" i="1"/>
  <c r="H545" i="1"/>
  <c r="K545" i="1"/>
  <c r="N545" i="1"/>
  <c r="I545" i="1"/>
  <c r="L545" i="1"/>
  <c r="O545" i="1"/>
  <c r="A1220" i="1" l="1"/>
  <c r="B1210" i="3"/>
  <c r="P545" i="1"/>
  <c r="M545" i="1"/>
  <c r="J545" i="1"/>
  <c r="A1221" i="1" l="1"/>
  <c r="B1211" i="3"/>
  <c r="F545" i="1"/>
  <c r="B546" i="1" s="1"/>
  <c r="C537" i="3" s="1"/>
  <c r="G545" i="1"/>
  <c r="A1222" i="1" l="1"/>
  <c r="B1212" i="3"/>
  <c r="D546" i="1"/>
  <c r="E546" i="1"/>
  <c r="C546" i="1"/>
  <c r="D537" i="3" s="1"/>
  <c r="K546" i="1"/>
  <c r="N546" i="1"/>
  <c r="H546" i="1"/>
  <c r="A1223" i="1" l="1"/>
  <c r="B1213" i="3"/>
  <c r="I546" i="1"/>
  <c r="L546" i="1"/>
  <c r="M546" i="1" s="1"/>
  <c r="O546" i="1"/>
  <c r="P546" i="1" s="1"/>
  <c r="A1224" i="1" l="1"/>
  <c r="B1214" i="3"/>
  <c r="J546" i="1"/>
  <c r="F546" i="1" s="1"/>
  <c r="A1225" i="1" l="1"/>
  <c r="B1215" i="3"/>
  <c r="D547" i="1"/>
  <c r="B547" i="1"/>
  <c r="C538" i="3" s="1"/>
  <c r="G546" i="1"/>
  <c r="A1226" i="1" l="1"/>
  <c r="B1216" i="3"/>
  <c r="E547" i="1"/>
  <c r="C547" i="1"/>
  <c r="D538" i="3" s="1"/>
  <c r="K547" i="1"/>
  <c r="N547" i="1"/>
  <c r="H547" i="1"/>
  <c r="A1227" i="1" l="1"/>
  <c r="B1217" i="3"/>
  <c r="L547" i="1"/>
  <c r="M547" i="1" s="1"/>
  <c r="O547" i="1"/>
  <c r="P547" i="1" s="1"/>
  <c r="I547" i="1"/>
  <c r="A1228" i="1" l="1"/>
  <c r="B1218" i="3"/>
  <c r="J547" i="1"/>
  <c r="F547" i="1" s="1"/>
  <c r="A1229" i="1" l="1"/>
  <c r="B1219" i="3"/>
  <c r="B548" i="1"/>
  <c r="C539" i="3" s="1"/>
  <c r="D548" i="1"/>
  <c r="G547" i="1"/>
  <c r="A1230" i="1" l="1"/>
  <c r="B1220" i="3"/>
  <c r="E548" i="1"/>
  <c r="C548" i="1"/>
  <c r="D539" i="3" s="1"/>
  <c r="K548" i="1"/>
  <c r="N548" i="1"/>
  <c r="H548" i="1"/>
  <c r="A1231" i="1" l="1"/>
  <c r="B1221" i="3"/>
  <c r="L548" i="1"/>
  <c r="M548" i="1" s="1"/>
  <c r="O548" i="1"/>
  <c r="P548" i="1" s="1"/>
  <c r="I548" i="1"/>
  <c r="A1232" i="1" l="1"/>
  <c r="B1222" i="3"/>
  <c r="J548" i="1"/>
  <c r="F548" i="1" s="1"/>
  <c r="A1233" i="1" l="1"/>
  <c r="B1223" i="3"/>
  <c r="B549" i="1"/>
  <c r="C540" i="3" s="1"/>
  <c r="D549" i="1"/>
  <c r="G548" i="1"/>
  <c r="A1234" i="1" l="1"/>
  <c r="B1224" i="3"/>
  <c r="E549" i="1"/>
  <c r="C549" i="1"/>
  <c r="D540" i="3" s="1"/>
  <c r="N549" i="1"/>
  <c r="H549" i="1"/>
  <c r="K549" i="1"/>
  <c r="A1235" i="1" l="1"/>
  <c r="B1225" i="3"/>
  <c r="L549" i="1"/>
  <c r="M549" i="1" s="1"/>
  <c r="O549" i="1"/>
  <c r="P549" i="1" s="1"/>
  <c r="I549" i="1"/>
  <c r="A1236" i="1" l="1"/>
  <c r="B1226" i="3"/>
  <c r="J549" i="1"/>
  <c r="F549" i="1" s="1"/>
  <c r="A1237" i="1" l="1"/>
  <c r="B1227" i="3"/>
  <c r="B550" i="1"/>
  <c r="C541" i="3" s="1"/>
  <c r="D550" i="1"/>
  <c r="G549" i="1"/>
  <c r="A1238" i="1" l="1"/>
  <c r="B1228" i="3"/>
  <c r="E550" i="1"/>
  <c r="C550" i="1"/>
  <c r="D541" i="3" s="1"/>
  <c r="N550" i="1"/>
  <c r="H550" i="1"/>
  <c r="K550" i="1"/>
  <c r="A1239" i="1" l="1"/>
  <c r="B1229" i="3"/>
  <c r="O550" i="1"/>
  <c r="P550" i="1" s="1"/>
  <c r="I550" i="1"/>
  <c r="L550" i="1"/>
  <c r="M550" i="1" s="1"/>
  <c r="A1240" i="1" l="1"/>
  <c r="B1230" i="3"/>
  <c r="J550" i="1"/>
  <c r="F550" i="1" s="1"/>
  <c r="A1241" i="1" l="1"/>
  <c r="B1231" i="3"/>
  <c r="B551" i="1"/>
  <c r="C542" i="3" s="1"/>
  <c r="D551" i="1"/>
  <c r="G550" i="1"/>
  <c r="A1242" i="1" l="1"/>
  <c r="B1232" i="3"/>
  <c r="E551" i="1"/>
  <c r="C551" i="1"/>
  <c r="D542" i="3" s="1"/>
  <c r="N551" i="1"/>
  <c r="H551" i="1"/>
  <c r="K551" i="1"/>
  <c r="A1243" i="1" l="1"/>
  <c r="B1233" i="3"/>
  <c r="O551" i="1"/>
  <c r="P551" i="1" s="1"/>
  <c r="I551" i="1"/>
  <c r="L551" i="1"/>
  <c r="M551" i="1" s="1"/>
  <c r="A1244" i="1" l="1"/>
  <c r="B1234" i="3"/>
  <c r="J551" i="1"/>
  <c r="F551" i="1" s="1"/>
  <c r="A1245" i="1" l="1"/>
  <c r="B1235" i="3"/>
  <c r="B552" i="1"/>
  <c r="C543" i="3" s="1"/>
  <c r="D552" i="1"/>
  <c r="G551" i="1"/>
  <c r="A1246" i="1" l="1"/>
  <c r="B1236" i="3"/>
  <c r="E552" i="1"/>
  <c r="C552" i="1"/>
  <c r="D543" i="3" s="1"/>
  <c r="H552" i="1"/>
  <c r="K552" i="1"/>
  <c r="N552" i="1"/>
  <c r="A1247" i="1" l="1"/>
  <c r="B1237" i="3"/>
  <c r="O552" i="1"/>
  <c r="P552" i="1" s="1"/>
  <c r="I552" i="1"/>
  <c r="L552" i="1"/>
  <c r="M552" i="1" s="1"/>
  <c r="A1248" i="1" l="1"/>
  <c r="B1238" i="3"/>
  <c r="J552" i="1"/>
  <c r="F552" i="1" s="1"/>
  <c r="A1249" i="1" l="1"/>
  <c r="B1239" i="3"/>
  <c r="D553" i="1"/>
  <c r="B553" i="1"/>
  <c r="C544" i="3" s="1"/>
  <c r="G552" i="1"/>
  <c r="A1250" i="1" l="1"/>
  <c r="B1240" i="3"/>
  <c r="E553" i="1"/>
  <c r="C553" i="1"/>
  <c r="D544" i="3" s="1"/>
  <c r="H553" i="1"/>
  <c r="K553" i="1"/>
  <c r="N553" i="1"/>
  <c r="A1251" i="1" l="1"/>
  <c r="B1241" i="3"/>
  <c r="I553" i="1"/>
  <c r="L553" i="1"/>
  <c r="M553" i="1" s="1"/>
  <c r="O553" i="1"/>
  <c r="P553" i="1" s="1"/>
  <c r="A1252" i="1" l="1"/>
  <c r="B1242" i="3"/>
  <c r="J553" i="1"/>
  <c r="F553" i="1" s="1"/>
  <c r="A1253" i="1" l="1"/>
  <c r="B1243" i="3"/>
  <c r="B554" i="1"/>
  <c r="C545" i="3" s="1"/>
  <c r="D554" i="1"/>
  <c r="G553" i="1"/>
  <c r="A1254" i="1" l="1"/>
  <c r="B1244" i="3"/>
  <c r="E554" i="1"/>
  <c r="C554" i="1"/>
  <c r="D545" i="3" s="1"/>
  <c r="K554" i="1"/>
  <c r="N554" i="1"/>
  <c r="H554" i="1"/>
  <c r="A1255" i="1" l="1"/>
  <c r="B1245" i="3"/>
  <c r="I554" i="1"/>
  <c r="L554" i="1"/>
  <c r="M554" i="1" s="1"/>
  <c r="O554" i="1"/>
  <c r="P554" i="1" s="1"/>
  <c r="A1256" i="1" l="1"/>
  <c r="B1246" i="3"/>
  <c r="J554" i="1"/>
  <c r="F554" i="1" s="1"/>
  <c r="A1257" i="1" l="1"/>
  <c r="B1247" i="3"/>
  <c r="B555" i="1"/>
  <c r="C546" i="3" s="1"/>
  <c r="D555" i="1"/>
  <c r="G554" i="1"/>
  <c r="A1258" i="1" l="1"/>
  <c r="B1248" i="3"/>
  <c r="E555" i="1"/>
  <c r="C555" i="1"/>
  <c r="D546" i="3" s="1"/>
  <c r="K555" i="1"/>
  <c r="N555" i="1"/>
  <c r="H555" i="1"/>
  <c r="A1259" i="1" l="1"/>
  <c r="B1249" i="3"/>
  <c r="L555" i="1"/>
  <c r="M555" i="1" s="1"/>
  <c r="O555" i="1"/>
  <c r="P555" i="1" s="1"/>
  <c r="I555" i="1"/>
  <c r="A1260" i="1" l="1"/>
  <c r="B1250" i="3"/>
  <c r="J555" i="1"/>
  <c r="F555" i="1" s="1"/>
  <c r="A1261" i="1" l="1"/>
  <c r="B1251" i="3"/>
  <c r="B556" i="1"/>
  <c r="C547" i="3" s="1"/>
  <c r="D556" i="1"/>
  <c r="G555" i="1"/>
  <c r="A1262" i="1" l="1"/>
  <c r="B1252" i="3"/>
  <c r="E556" i="1"/>
  <c r="C556" i="1"/>
  <c r="D547" i="3" s="1"/>
  <c r="K556" i="1"/>
  <c r="N556" i="1"/>
  <c r="H556" i="1"/>
  <c r="A1263" i="1" l="1"/>
  <c r="B1253" i="3"/>
  <c r="L556" i="1"/>
  <c r="M556" i="1" s="1"/>
  <c r="O556" i="1"/>
  <c r="P556" i="1" s="1"/>
  <c r="I556" i="1"/>
  <c r="A1264" i="1" l="1"/>
  <c r="B1254" i="3"/>
  <c r="J556" i="1"/>
  <c r="F556" i="1" s="1"/>
  <c r="A1265" i="1" l="1"/>
  <c r="B1255" i="3"/>
  <c r="B557" i="1"/>
  <c r="C548" i="3" s="1"/>
  <c r="D557" i="1"/>
  <c r="G556" i="1"/>
  <c r="A1266" i="1" l="1"/>
  <c r="B1256" i="3"/>
  <c r="E557" i="1"/>
  <c r="C557" i="1"/>
  <c r="D548" i="3" s="1"/>
  <c r="N557" i="1"/>
  <c r="H557" i="1"/>
  <c r="K557" i="1"/>
  <c r="A1267" i="1" l="1"/>
  <c r="B1257" i="3"/>
  <c r="L557" i="1"/>
  <c r="M557" i="1" s="1"/>
  <c r="O557" i="1"/>
  <c r="P557" i="1" s="1"/>
  <c r="I557" i="1"/>
  <c r="A1268" i="1" l="1"/>
  <c r="B1258" i="3"/>
  <c r="J557" i="1"/>
  <c r="F557" i="1" s="1"/>
  <c r="A1269" i="1" l="1"/>
  <c r="B1259" i="3"/>
  <c r="B558" i="1"/>
  <c r="C549" i="3" s="1"/>
  <c r="D558" i="1"/>
  <c r="G557" i="1"/>
  <c r="A1270" i="1" l="1"/>
  <c r="B1260" i="3"/>
  <c r="E558" i="1"/>
  <c r="C558" i="1"/>
  <c r="D549" i="3" s="1"/>
  <c r="N558" i="1"/>
  <c r="H558" i="1"/>
  <c r="K558" i="1"/>
  <c r="A1271" i="1" l="1"/>
  <c r="B1261" i="3"/>
  <c r="O558" i="1"/>
  <c r="P558" i="1" s="1"/>
  <c r="I558" i="1"/>
  <c r="L558" i="1"/>
  <c r="M558" i="1" s="1"/>
  <c r="A1272" i="1" l="1"/>
  <c r="B1262" i="3"/>
  <c r="J558" i="1"/>
  <c r="F558" i="1" s="1"/>
  <c r="A1273" i="1" l="1"/>
  <c r="B1263" i="3"/>
  <c r="B559" i="1"/>
  <c r="C550" i="3" s="1"/>
  <c r="D559" i="1"/>
  <c r="G558" i="1"/>
  <c r="A1274" i="1" l="1"/>
  <c r="B1264" i="3"/>
  <c r="E559" i="1"/>
  <c r="C559" i="1"/>
  <c r="D550" i="3" s="1"/>
  <c r="N559" i="1"/>
  <c r="H559" i="1"/>
  <c r="K559" i="1"/>
  <c r="A1275" i="1" l="1"/>
  <c r="B1265" i="3"/>
  <c r="O559" i="1"/>
  <c r="P559" i="1" s="1"/>
  <c r="I559" i="1"/>
  <c r="L559" i="1"/>
  <c r="M559" i="1" s="1"/>
  <c r="A1276" i="1" l="1"/>
  <c r="B1266" i="3"/>
  <c r="J559" i="1"/>
  <c r="F559" i="1" s="1"/>
  <c r="A1277" i="1" l="1"/>
  <c r="B1267" i="3"/>
  <c r="B560" i="1"/>
  <c r="C551" i="3" s="1"/>
  <c r="D560" i="1"/>
  <c r="G559" i="1"/>
  <c r="A1278" i="1" l="1"/>
  <c r="B1268" i="3"/>
  <c r="E560" i="1"/>
  <c r="C560" i="1"/>
  <c r="D551" i="3" s="1"/>
  <c r="H560" i="1"/>
  <c r="K560" i="1"/>
  <c r="N560" i="1"/>
  <c r="A1279" i="1" l="1"/>
  <c r="B1269" i="3"/>
  <c r="O560" i="1"/>
  <c r="P560" i="1" s="1"/>
  <c r="I560" i="1"/>
  <c r="L560" i="1"/>
  <c r="M560" i="1" s="1"/>
  <c r="A1280" i="1" l="1"/>
  <c r="B1270" i="3"/>
  <c r="J560" i="1"/>
  <c r="F560" i="1" s="1"/>
  <c r="A1281" i="1" l="1"/>
  <c r="B1271" i="3"/>
  <c r="D561" i="1"/>
  <c r="B561" i="1"/>
  <c r="C552" i="3" s="1"/>
  <c r="G560" i="1"/>
  <c r="A1282" i="1" l="1"/>
  <c r="B1272" i="3"/>
  <c r="E561" i="1"/>
  <c r="C561" i="1"/>
  <c r="D552" i="3" s="1"/>
  <c r="H561" i="1"/>
  <c r="K561" i="1"/>
  <c r="N561" i="1"/>
  <c r="A1283" i="1" l="1"/>
  <c r="B1273" i="3"/>
  <c r="I561" i="1"/>
  <c r="L561" i="1"/>
  <c r="M561" i="1" s="1"/>
  <c r="O561" i="1"/>
  <c r="P561" i="1" s="1"/>
  <c r="A1284" i="1" l="1"/>
  <c r="B1274" i="3"/>
  <c r="J561" i="1"/>
  <c r="F561" i="1" s="1"/>
  <c r="A1285" i="1" l="1"/>
  <c r="B1275" i="3"/>
  <c r="B562" i="1"/>
  <c r="C553" i="3" s="1"/>
  <c r="D562" i="1"/>
  <c r="G561" i="1"/>
  <c r="A1286" i="1" l="1"/>
  <c r="B1276" i="3"/>
  <c r="E562" i="1"/>
  <c r="C562" i="1"/>
  <c r="D553" i="3" s="1"/>
  <c r="K562" i="1"/>
  <c r="H562" i="1"/>
  <c r="N562" i="1"/>
  <c r="A1287" i="1" l="1"/>
  <c r="B1277" i="3"/>
  <c r="I562" i="1"/>
  <c r="L562" i="1"/>
  <c r="M562" i="1" s="1"/>
  <c r="O562" i="1"/>
  <c r="P562" i="1" s="1"/>
  <c r="A1288" i="1" l="1"/>
  <c r="B1278" i="3"/>
  <c r="J562" i="1"/>
  <c r="F562" i="1" s="1"/>
  <c r="A1289" i="1" l="1"/>
  <c r="B1279" i="3"/>
  <c r="G562" i="1"/>
  <c r="B563" i="1"/>
  <c r="C554" i="3" s="1"/>
  <c r="D563" i="1"/>
  <c r="A1290" i="1" l="1"/>
  <c r="B1280" i="3"/>
  <c r="K563" i="1"/>
  <c r="N563" i="1"/>
  <c r="H563" i="1"/>
  <c r="E563" i="1"/>
  <c r="C563" i="1"/>
  <c r="D554" i="3" s="1"/>
  <c r="A1291" i="1" l="1"/>
  <c r="B1281" i="3"/>
  <c r="L563" i="1"/>
  <c r="M563" i="1" s="1"/>
  <c r="I563" i="1"/>
  <c r="J563" i="1" s="1"/>
  <c r="O563" i="1"/>
  <c r="P563" i="1" s="1"/>
  <c r="A1292" i="1" l="1"/>
  <c r="B1282" i="3"/>
  <c r="F563" i="1"/>
  <c r="D564" i="1" s="1"/>
  <c r="G563" i="1"/>
  <c r="A1293" i="1" l="1"/>
  <c r="B1283" i="3"/>
  <c r="B564" i="1"/>
  <c r="C564" i="1"/>
  <c r="D555" i="3" s="1"/>
  <c r="E564" i="1"/>
  <c r="A1294" i="1" l="1"/>
  <c r="B1284" i="3"/>
  <c r="K564" i="1"/>
  <c r="C555" i="3"/>
  <c r="H564" i="1"/>
  <c r="N564" i="1"/>
  <c r="L564" i="1"/>
  <c r="O564" i="1"/>
  <c r="I564" i="1"/>
  <c r="M564" i="1" l="1"/>
  <c r="A1295" i="1"/>
  <c r="B1285" i="3"/>
  <c r="P564" i="1"/>
  <c r="J564" i="1"/>
  <c r="A1296" i="1" l="1"/>
  <c r="B1286" i="3"/>
  <c r="F564" i="1"/>
  <c r="B565" i="1" s="1"/>
  <c r="C556" i="3" s="1"/>
  <c r="G564" i="1"/>
  <c r="E565" i="1" s="1"/>
  <c r="A1297" i="1" l="1"/>
  <c r="B1287" i="3"/>
  <c r="D565" i="1"/>
  <c r="C565" i="1"/>
  <c r="N565" i="1"/>
  <c r="H565" i="1"/>
  <c r="K565" i="1"/>
  <c r="A1298" i="1" l="1"/>
  <c r="B1288" i="3"/>
  <c r="L565" i="1"/>
  <c r="D556" i="3"/>
  <c r="I565" i="1"/>
  <c r="J565" i="1" s="1"/>
  <c r="O565" i="1"/>
  <c r="P565" i="1" s="1"/>
  <c r="M565" i="1"/>
  <c r="A1299" i="1" l="1"/>
  <c r="B1289" i="3"/>
  <c r="G565" i="1"/>
  <c r="C566" i="1" s="1"/>
  <c r="D557" i="3" s="1"/>
  <c r="F565" i="1"/>
  <c r="A1300" i="1" l="1"/>
  <c r="B1290" i="3"/>
  <c r="E566" i="1"/>
  <c r="B566" i="1"/>
  <c r="C557" i="3" s="1"/>
  <c r="D566" i="1"/>
  <c r="O566" i="1"/>
  <c r="I566" i="1"/>
  <c r="L566" i="1"/>
  <c r="A1301" i="1" l="1"/>
  <c r="B1291" i="3"/>
  <c r="N566" i="1"/>
  <c r="P566" i="1" s="1"/>
  <c r="H566" i="1"/>
  <c r="K566" i="1"/>
  <c r="M566" i="1" s="1"/>
  <c r="A1302" i="1" l="1"/>
  <c r="B1292" i="3"/>
  <c r="J566" i="1"/>
  <c r="G566" i="1" s="1"/>
  <c r="A1303" i="1" l="1"/>
  <c r="B1293" i="3"/>
  <c r="C567" i="1"/>
  <c r="D558" i="3" s="1"/>
  <c r="E567" i="1"/>
  <c r="F566" i="1"/>
  <c r="A1304" i="1" l="1"/>
  <c r="B1294" i="3"/>
  <c r="D567" i="1"/>
  <c r="B567" i="1"/>
  <c r="C558" i="3" s="1"/>
  <c r="O567" i="1"/>
  <c r="I567" i="1"/>
  <c r="L567" i="1"/>
  <c r="A1305" i="1" l="1"/>
  <c r="B1295" i="3"/>
  <c r="N567" i="1"/>
  <c r="P567" i="1" s="1"/>
  <c r="H567" i="1"/>
  <c r="K567" i="1"/>
  <c r="M567" i="1" s="1"/>
  <c r="A1306" i="1" l="1"/>
  <c r="B1296" i="3"/>
  <c r="J567" i="1"/>
  <c r="G567" i="1" s="1"/>
  <c r="A1307" i="1" l="1"/>
  <c r="B1297" i="3"/>
  <c r="C568" i="1"/>
  <c r="D559" i="3" s="1"/>
  <c r="E568" i="1"/>
  <c r="F567" i="1"/>
  <c r="A1308" i="1" l="1"/>
  <c r="B1298" i="3"/>
  <c r="B568" i="1"/>
  <c r="C559" i="3" s="1"/>
  <c r="D568" i="1"/>
  <c r="O568" i="1"/>
  <c r="I568" i="1"/>
  <c r="L568" i="1"/>
  <c r="A1309" i="1" l="1"/>
  <c r="B1300" i="3" s="1"/>
  <c r="B1299" i="3"/>
  <c r="H568" i="1"/>
  <c r="K568" i="1"/>
  <c r="M568" i="1" s="1"/>
  <c r="N568" i="1"/>
  <c r="P568" i="1" s="1"/>
  <c r="J568" i="1" l="1"/>
  <c r="G568" i="1" s="1"/>
  <c r="F568" i="1" l="1"/>
  <c r="B569" i="1" s="1"/>
  <c r="C560" i="3" s="1"/>
  <c r="C569" i="1"/>
  <c r="D560" i="3" s="1"/>
  <c r="E569" i="1"/>
  <c r="D569" i="1" l="1"/>
  <c r="I569" i="1"/>
  <c r="L569" i="1"/>
  <c r="O569" i="1"/>
  <c r="H569" i="1"/>
  <c r="K569" i="1"/>
  <c r="N569" i="1"/>
  <c r="J569" i="1" l="1"/>
  <c r="P569" i="1"/>
  <c r="M569" i="1"/>
  <c r="G569" i="1" l="1"/>
  <c r="C570" i="1" s="1"/>
  <c r="D561" i="3" s="1"/>
  <c r="F569" i="1"/>
  <c r="D570" i="1" s="1"/>
  <c r="E570" i="1" l="1"/>
  <c r="B570" i="1"/>
  <c r="I570" i="1"/>
  <c r="L570" i="1"/>
  <c r="O570" i="1"/>
  <c r="K570" i="1" l="1"/>
  <c r="M570" i="1" s="1"/>
  <c r="C561" i="3"/>
  <c r="N570" i="1"/>
  <c r="P570" i="1" s="1"/>
  <c r="H570" i="1"/>
  <c r="J570" i="1" s="1"/>
  <c r="F570" i="1" l="1"/>
  <c r="D571" i="1" s="1"/>
  <c r="G570" i="1"/>
  <c r="B571" i="1" l="1"/>
  <c r="C571" i="1"/>
  <c r="D562" i="3" s="1"/>
  <c r="E571" i="1"/>
  <c r="K571" i="1" l="1"/>
  <c r="C562" i="3"/>
  <c r="H571" i="1"/>
  <c r="N571" i="1"/>
  <c r="L571" i="1"/>
  <c r="I571" i="1"/>
  <c r="O571" i="1"/>
  <c r="M571" i="1" l="1"/>
  <c r="P571" i="1"/>
  <c r="J571" i="1"/>
  <c r="F571" i="1" l="1"/>
  <c r="B572" i="1" s="1"/>
  <c r="C563" i="3" s="1"/>
  <c r="G571" i="1"/>
  <c r="D572" i="1" l="1"/>
  <c r="C572" i="1"/>
  <c r="D563" i="3" s="1"/>
  <c r="E572" i="1"/>
  <c r="K572" i="1"/>
  <c r="N572" i="1"/>
  <c r="H572" i="1"/>
  <c r="L572" i="1" l="1"/>
  <c r="M572" i="1" s="1"/>
  <c r="O572" i="1"/>
  <c r="P572" i="1" s="1"/>
  <c r="I572" i="1"/>
  <c r="J572" i="1" s="1"/>
  <c r="F572" i="1" l="1"/>
  <c r="G572" i="1"/>
  <c r="C573" i="1" l="1"/>
  <c r="D564" i="3" s="1"/>
  <c r="E573" i="1"/>
  <c r="B573" i="1"/>
  <c r="C564" i="3" s="1"/>
  <c r="D573" i="1"/>
  <c r="N573" i="1" l="1"/>
  <c r="H573" i="1"/>
  <c r="K573" i="1"/>
  <c r="L573" i="1"/>
  <c r="O573" i="1"/>
  <c r="I573" i="1"/>
  <c r="M573" i="1" l="1"/>
  <c r="J573" i="1"/>
  <c r="P573" i="1"/>
  <c r="G573" i="1" l="1"/>
  <c r="C574" i="1" s="1"/>
  <c r="D565" i="3" s="1"/>
  <c r="F573" i="1"/>
  <c r="E574" i="1" l="1"/>
  <c r="B574" i="1"/>
  <c r="C565" i="3" s="1"/>
  <c r="D574" i="1"/>
  <c r="O574" i="1"/>
  <c r="I574" i="1"/>
  <c r="L574" i="1"/>
  <c r="N574" i="1" l="1"/>
  <c r="P574" i="1" s="1"/>
  <c r="H574" i="1"/>
  <c r="K574" i="1"/>
  <c r="M574" i="1" s="1"/>
  <c r="J574" i="1" l="1"/>
  <c r="G574" i="1" s="1"/>
  <c r="E575" i="1" l="1"/>
  <c r="C575" i="1"/>
  <c r="D566" i="3" s="1"/>
  <c r="F574" i="1"/>
  <c r="D575" i="1" l="1"/>
  <c r="B575" i="1"/>
  <c r="C566" i="3" s="1"/>
  <c r="O575" i="1"/>
  <c r="I575" i="1"/>
  <c r="L575" i="1"/>
  <c r="N575" i="1" l="1"/>
  <c r="P575" i="1" s="1"/>
  <c r="H575" i="1"/>
  <c r="K575" i="1"/>
  <c r="M575" i="1" s="1"/>
  <c r="J575" i="1" l="1"/>
  <c r="G575" i="1" s="1"/>
  <c r="E576" i="1" l="1"/>
  <c r="C576" i="1"/>
  <c r="D567" i="3" s="1"/>
  <c r="F575" i="1"/>
  <c r="B576" i="1" l="1"/>
  <c r="C567" i="3" s="1"/>
  <c r="D576" i="1"/>
  <c r="O576" i="1"/>
  <c r="I576" i="1"/>
  <c r="L576" i="1"/>
  <c r="H576" i="1" l="1"/>
  <c r="K576" i="1"/>
  <c r="M576" i="1" s="1"/>
  <c r="N576" i="1"/>
  <c r="P576" i="1" s="1"/>
  <c r="J576" i="1" l="1"/>
  <c r="G576" i="1" s="1"/>
  <c r="F576" i="1" l="1"/>
  <c r="B577" i="1" s="1"/>
  <c r="C568" i="3" s="1"/>
  <c r="C577" i="1"/>
  <c r="D568" i="3" s="1"/>
  <c r="E577" i="1"/>
  <c r="D577" i="1" l="1"/>
  <c r="I577" i="1"/>
  <c r="L577" i="1"/>
  <c r="O577" i="1"/>
  <c r="H577" i="1"/>
  <c r="K577" i="1"/>
  <c r="N577" i="1"/>
  <c r="J577" i="1" l="1"/>
  <c r="P577" i="1"/>
  <c r="M577" i="1"/>
  <c r="G577" i="1" l="1"/>
  <c r="C578" i="1" s="1"/>
  <c r="D569" i="3" s="1"/>
  <c r="F577" i="1"/>
  <c r="D578" i="1" s="1"/>
  <c r="E578" i="1" l="1"/>
  <c r="B578" i="1"/>
  <c r="I578" i="1"/>
  <c r="L578" i="1"/>
  <c r="O578" i="1"/>
  <c r="K578" i="1" l="1"/>
  <c r="M578" i="1" s="1"/>
  <c r="C569" i="3"/>
  <c r="N578" i="1"/>
  <c r="P578" i="1" s="1"/>
  <c r="H578" i="1"/>
  <c r="J578" i="1" s="1"/>
  <c r="F578" i="1" l="1"/>
  <c r="B579" i="1" s="1"/>
  <c r="C570" i="3" s="1"/>
  <c r="G578" i="1"/>
  <c r="C579" i="1" s="1"/>
  <c r="D570" i="3" s="1"/>
  <c r="E579" i="1" l="1"/>
  <c r="D579" i="1"/>
  <c r="L579" i="1"/>
  <c r="I579" i="1"/>
  <c r="O579" i="1"/>
  <c r="K579" i="1"/>
  <c r="M579" i="1" s="1"/>
  <c r="N579" i="1"/>
  <c r="P579" i="1" s="1"/>
  <c r="H579" i="1"/>
  <c r="J579" i="1" l="1"/>
  <c r="G579" i="1" s="1"/>
  <c r="F579" i="1" l="1"/>
  <c r="D580" i="1" s="1"/>
  <c r="E580" i="1"/>
  <c r="C580" i="1"/>
  <c r="D571" i="3" s="1"/>
  <c r="B580" i="1" l="1"/>
  <c r="L580" i="1"/>
  <c r="O580" i="1"/>
  <c r="I580" i="1"/>
  <c r="K580" i="1" l="1"/>
  <c r="M580" i="1" s="1"/>
  <c r="C571" i="3"/>
  <c r="H580" i="1"/>
  <c r="J580" i="1" s="1"/>
  <c r="N580" i="1"/>
  <c r="P580" i="1" s="1"/>
  <c r="F580" i="1" l="1"/>
  <c r="B581" i="1" s="1"/>
  <c r="C572" i="3" s="1"/>
  <c r="G580" i="1"/>
  <c r="E581" i="1" s="1"/>
  <c r="D581" i="1" l="1"/>
  <c r="C581" i="1"/>
  <c r="N581" i="1"/>
  <c r="H581" i="1"/>
  <c r="K581" i="1"/>
  <c r="L581" i="1" l="1"/>
  <c r="M581" i="1" s="1"/>
  <c r="D572" i="3"/>
  <c r="I581" i="1"/>
  <c r="J581" i="1" s="1"/>
  <c r="O581" i="1"/>
  <c r="P581" i="1" s="1"/>
  <c r="F581" i="1" l="1"/>
  <c r="D582" i="1" s="1"/>
  <c r="G581" i="1"/>
  <c r="B582" i="1" l="1"/>
  <c r="E582" i="1"/>
  <c r="C582" i="1"/>
  <c r="D573" i="3" s="1"/>
  <c r="N582" i="1" l="1"/>
  <c r="C573" i="3"/>
  <c r="H582" i="1"/>
  <c r="K582" i="1"/>
  <c r="O582" i="1"/>
  <c r="I582" i="1"/>
  <c r="L582" i="1"/>
  <c r="M582" i="1" s="1"/>
  <c r="P582" i="1" l="1"/>
  <c r="J582" i="1"/>
  <c r="F582" i="1" l="1"/>
  <c r="B583" i="1" s="1"/>
  <c r="C574" i="3" s="1"/>
  <c r="G582" i="1"/>
  <c r="D583" i="1" l="1"/>
  <c r="E583" i="1"/>
  <c r="C583" i="1"/>
  <c r="D574" i="3" s="1"/>
  <c r="N583" i="1"/>
  <c r="H583" i="1"/>
  <c r="K583" i="1"/>
  <c r="O583" i="1" l="1"/>
  <c r="P583" i="1" s="1"/>
  <c r="I583" i="1"/>
  <c r="L583" i="1"/>
  <c r="M583" i="1" s="1"/>
  <c r="J583" i="1" l="1"/>
  <c r="F583" i="1" s="1"/>
  <c r="B584" i="1" l="1"/>
  <c r="C575" i="3" s="1"/>
  <c r="D584" i="1"/>
  <c r="G583" i="1"/>
  <c r="E584" i="1" l="1"/>
  <c r="C584" i="1"/>
  <c r="D575" i="3" s="1"/>
  <c r="H584" i="1"/>
  <c r="K584" i="1"/>
  <c r="N584" i="1"/>
  <c r="O584" i="1" l="1"/>
  <c r="P584" i="1" s="1"/>
  <c r="I584" i="1"/>
  <c r="L584" i="1"/>
  <c r="M584" i="1" s="1"/>
  <c r="J584" i="1" l="1"/>
  <c r="F584" i="1" s="1"/>
  <c r="B585" i="1" l="1"/>
  <c r="C576" i="3" s="1"/>
  <c r="D585" i="1"/>
  <c r="G584" i="1"/>
  <c r="E585" i="1" l="1"/>
  <c r="C585" i="1"/>
  <c r="D576" i="3" s="1"/>
  <c r="H585" i="1"/>
  <c r="K585" i="1"/>
  <c r="N585" i="1"/>
  <c r="I585" i="1" l="1"/>
  <c r="L585" i="1"/>
  <c r="M585" i="1" s="1"/>
  <c r="O585" i="1"/>
  <c r="P585" i="1" s="1"/>
  <c r="J585" i="1" l="1"/>
  <c r="F585" i="1" s="1"/>
  <c r="B586" i="1" l="1"/>
  <c r="C577" i="3" s="1"/>
  <c r="D586" i="1"/>
  <c r="G585" i="1"/>
  <c r="E586" i="1" l="1"/>
  <c r="C586" i="1"/>
  <c r="D577" i="3" s="1"/>
  <c r="K586" i="1"/>
  <c r="H586" i="1"/>
  <c r="N586" i="1"/>
  <c r="I586" i="1" l="1"/>
  <c r="L586" i="1"/>
  <c r="M586" i="1" s="1"/>
  <c r="O586" i="1"/>
  <c r="P586" i="1" s="1"/>
  <c r="J586" i="1" l="1"/>
  <c r="F586" i="1" s="1"/>
  <c r="B587" i="1" l="1"/>
  <c r="C578" i="3" s="1"/>
  <c r="D587" i="1"/>
  <c r="G586" i="1"/>
  <c r="E587" i="1" l="1"/>
  <c r="C587" i="1"/>
  <c r="D578" i="3" s="1"/>
  <c r="K587" i="1"/>
  <c r="N587" i="1"/>
  <c r="H587" i="1"/>
  <c r="L587" i="1" l="1"/>
  <c r="M587" i="1" s="1"/>
  <c r="I587" i="1"/>
  <c r="O587" i="1"/>
  <c r="P587" i="1" s="1"/>
  <c r="J587" i="1" l="1"/>
  <c r="F587" i="1" s="1"/>
  <c r="B588" i="1" l="1"/>
  <c r="C579" i="3" s="1"/>
  <c r="D588" i="1"/>
  <c r="G587" i="1"/>
  <c r="E588" i="1" l="1"/>
  <c r="C588" i="1"/>
  <c r="D579" i="3" s="1"/>
  <c r="K588" i="1"/>
  <c r="N588" i="1"/>
  <c r="H588" i="1"/>
  <c r="L588" i="1" l="1"/>
  <c r="M588" i="1" s="1"/>
  <c r="O588" i="1"/>
  <c r="P588" i="1" s="1"/>
  <c r="I588" i="1"/>
  <c r="J588" i="1" l="1"/>
  <c r="F588" i="1" s="1"/>
  <c r="B589" i="1" l="1"/>
  <c r="C580" i="3" s="1"/>
  <c r="D589" i="1"/>
  <c r="G588" i="1"/>
  <c r="E589" i="1" l="1"/>
  <c r="C589" i="1"/>
  <c r="D580" i="3" s="1"/>
  <c r="N589" i="1"/>
  <c r="H589" i="1"/>
  <c r="K589" i="1"/>
  <c r="L589" i="1" l="1"/>
  <c r="M589" i="1" s="1"/>
  <c r="O589" i="1"/>
  <c r="P589" i="1" s="1"/>
  <c r="I589" i="1"/>
  <c r="J589" i="1" l="1"/>
  <c r="F589" i="1" s="1"/>
  <c r="B590" i="1" l="1"/>
  <c r="C581" i="3" s="1"/>
  <c r="D590" i="1"/>
  <c r="G589" i="1"/>
  <c r="C590" i="1" l="1"/>
  <c r="D581" i="3" s="1"/>
  <c r="E590" i="1"/>
  <c r="N590" i="1"/>
  <c r="H590" i="1"/>
  <c r="K590" i="1"/>
  <c r="O590" i="1" l="1"/>
  <c r="P590" i="1" s="1"/>
  <c r="I590" i="1"/>
  <c r="L590" i="1"/>
  <c r="M590" i="1" s="1"/>
  <c r="J590" i="1" l="1"/>
  <c r="F590" i="1" s="1"/>
  <c r="B591" i="1" l="1"/>
  <c r="C582" i="3" s="1"/>
  <c r="D591" i="1"/>
  <c r="G590" i="1"/>
  <c r="N591" i="1" l="1"/>
  <c r="H591" i="1"/>
  <c r="K591" i="1"/>
  <c r="C591" i="1"/>
  <c r="D582" i="3" s="1"/>
  <c r="E591" i="1"/>
  <c r="O591" i="1" l="1"/>
  <c r="P591" i="1" s="1"/>
  <c r="I591" i="1"/>
  <c r="J591" i="1" s="1"/>
  <c r="L591" i="1"/>
  <c r="M591" i="1" s="1"/>
  <c r="F591" i="1" l="1"/>
  <c r="B592" i="1" s="1"/>
  <c r="C583" i="3" s="1"/>
  <c r="G591" i="1"/>
  <c r="D592" i="1" l="1"/>
  <c r="E592" i="1"/>
  <c r="C592" i="1"/>
  <c r="D583" i="3" s="1"/>
  <c r="H592" i="1"/>
  <c r="K592" i="1"/>
  <c r="N592" i="1"/>
  <c r="O592" i="1" l="1"/>
  <c r="P592" i="1" s="1"/>
  <c r="I592" i="1"/>
  <c r="L592" i="1"/>
  <c r="M592" i="1" s="1"/>
  <c r="J592" i="1" l="1"/>
  <c r="F592" i="1" s="1"/>
  <c r="B593" i="1" l="1"/>
  <c r="C584" i="3" s="1"/>
  <c r="D593" i="1"/>
  <c r="G592" i="1"/>
  <c r="E593" i="1" l="1"/>
  <c r="C593" i="1"/>
  <c r="D584" i="3" s="1"/>
  <c r="H593" i="1"/>
  <c r="K593" i="1"/>
  <c r="N593" i="1"/>
  <c r="I593" i="1" l="1"/>
  <c r="L593" i="1"/>
  <c r="M593" i="1" s="1"/>
  <c r="O593" i="1"/>
  <c r="P593" i="1" s="1"/>
  <c r="J593" i="1" l="1"/>
  <c r="F593" i="1" s="1"/>
  <c r="D594" i="1" l="1"/>
  <c r="B594" i="1"/>
  <c r="C585" i="3" s="1"/>
  <c r="G593" i="1"/>
  <c r="E594" i="1" l="1"/>
  <c r="C594" i="1"/>
  <c r="D585" i="3" s="1"/>
  <c r="K594" i="1"/>
  <c r="H594" i="1"/>
  <c r="N594" i="1"/>
  <c r="I594" i="1" l="1"/>
  <c r="L594" i="1"/>
  <c r="M594" i="1" s="1"/>
  <c r="O594" i="1"/>
  <c r="P594" i="1" s="1"/>
  <c r="J594" i="1" l="1"/>
  <c r="F594" i="1" s="1"/>
  <c r="B595" i="1" l="1"/>
  <c r="C586" i="3" s="1"/>
  <c r="D595" i="1"/>
  <c r="G594" i="1"/>
  <c r="E595" i="1" l="1"/>
  <c r="C595" i="1"/>
  <c r="D586" i="3" s="1"/>
  <c r="K595" i="1"/>
  <c r="N595" i="1"/>
  <c r="H595" i="1"/>
  <c r="L595" i="1" l="1"/>
  <c r="M595" i="1" s="1"/>
  <c r="I595" i="1"/>
  <c r="O595" i="1"/>
  <c r="P595" i="1" s="1"/>
  <c r="J595" i="1" l="1"/>
  <c r="F595" i="1" s="1"/>
  <c r="B596" i="1" l="1"/>
  <c r="C587" i="3" s="1"/>
  <c r="D596" i="1"/>
  <c r="G595" i="1"/>
  <c r="E596" i="1" l="1"/>
  <c r="C596" i="1"/>
  <c r="D587" i="3" s="1"/>
  <c r="K596" i="1"/>
  <c r="N596" i="1"/>
  <c r="H596" i="1"/>
  <c r="L596" i="1" l="1"/>
  <c r="M596" i="1" s="1"/>
  <c r="O596" i="1"/>
  <c r="P596" i="1" s="1"/>
  <c r="I596" i="1"/>
  <c r="J596" i="1" l="1"/>
  <c r="F596" i="1" s="1"/>
  <c r="B597" i="1" l="1"/>
  <c r="C588" i="3" s="1"/>
  <c r="D597" i="1"/>
  <c r="G596" i="1"/>
  <c r="E597" i="1" l="1"/>
  <c r="C597" i="1"/>
  <c r="D588" i="3" s="1"/>
  <c r="N597" i="1"/>
  <c r="H597" i="1"/>
  <c r="K597" i="1"/>
  <c r="L597" i="1" l="1"/>
  <c r="M597" i="1" s="1"/>
  <c r="O597" i="1"/>
  <c r="P597" i="1" s="1"/>
  <c r="I597" i="1"/>
  <c r="J597" i="1" l="1"/>
  <c r="F597" i="1" s="1"/>
  <c r="D598" i="1" l="1"/>
  <c r="B598" i="1"/>
  <c r="C589" i="3" s="1"/>
  <c r="G597" i="1"/>
  <c r="E598" i="1" l="1"/>
  <c r="C598" i="1"/>
  <c r="D589" i="3" s="1"/>
  <c r="N598" i="1"/>
  <c r="H598" i="1"/>
  <c r="K598" i="1"/>
  <c r="I598" i="1" l="1"/>
  <c r="L598" i="1"/>
  <c r="M598" i="1" s="1"/>
  <c r="O598" i="1"/>
  <c r="P598" i="1" s="1"/>
  <c r="J598" i="1" l="1"/>
  <c r="F598" i="1" s="1"/>
  <c r="B599" i="1" l="1"/>
  <c r="C590" i="3" s="1"/>
  <c r="D599" i="1"/>
  <c r="G598" i="1"/>
  <c r="E599" i="1" l="1"/>
  <c r="C599" i="1"/>
  <c r="D590" i="3" s="1"/>
  <c r="N599" i="1"/>
  <c r="H599" i="1"/>
  <c r="K599" i="1"/>
  <c r="O599" i="1" l="1"/>
  <c r="P599" i="1" s="1"/>
  <c r="I599" i="1"/>
  <c r="L599" i="1"/>
  <c r="M599" i="1" s="1"/>
  <c r="J599" i="1" l="1"/>
  <c r="F599" i="1" s="1"/>
  <c r="D600" i="1" l="1"/>
  <c r="B600" i="1"/>
  <c r="C591" i="3" s="1"/>
  <c r="G599" i="1"/>
  <c r="E600" i="1" l="1"/>
  <c r="C600" i="1"/>
  <c r="D591" i="3" s="1"/>
  <c r="H600" i="1"/>
  <c r="K600" i="1"/>
  <c r="N600" i="1"/>
  <c r="O600" i="1" l="1"/>
  <c r="P600" i="1" s="1"/>
  <c r="I600" i="1"/>
  <c r="L600" i="1"/>
  <c r="M600" i="1" s="1"/>
  <c r="J600" i="1" l="1"/>
  <c r="F600" i="1" s="1"/>
  <c r="B601" i="1" l="1"/>
  <c r="C592" i="3" s="1"/>
  <c r="D601" i="1"/>
  <c r="G600" i="1"/>
  <c r="E601" i="1" l="1"/>
  <c r="C601" i="1"/>
  <c r="D592" i="3" s="1"/>
  <c r="H601" i="1"/>
  <c r="K601" i="1"/>
  <c r="N601" i="1"/>
  <c r="O601" i="1" l="1"/>
  <c r="P601" i="1" s="1"/>
  <c r="I601" i="1"/>
  <c r="L601" i="1"/>
  <c r="M601" i="1" s="1"/>
  <c r="J601" i="1" l="1"/>
  <c r="F601" i="1" s="1"/>
  <c r="D602" i="1" l="1"/>
  <c r="B602" i="1"/>
  <c r="C593" i="3" s="1"/>
  <c r="G601" i="1"/>
  <c r="E602" i="1" l="1"/>
  <c r="C602" i="1"/>
  <c r="D593" i="3" s="1"/>
  <c r="H602" i="1"/>
  <c r="K602" i="1"/>
  <c r="N602" i="1"/>
  <c r="I602" i="1" l="1"/>
  <c r="J602" i="1" s="1"/>
  <c r="L602" i="1"/>
  <c r="M602" i="1" s="1"/>
  <c r="O602" i="1"/>
  <c r="P602" i="1" s="1"/>
  <c r="F602" i="1" l="1"/>
  <c r="B603" i="1" s="1"/>
  <c r="C594" i="3" s="1"/>
  <c r="G602" i="1"/>
  <c r="D603" i="1" l="1"/>
  <c r="E603" i="1"/>
  <c r="C603" i="1"/>
  <c r="D594" i="3" s="1"/>
  <c r="K603" i="1"/>
  <c r="N603" i="1"/>
  <c r="H603" i="1"/>
  <c r="I603" i="1" l="1"/>
  <c r="L603" i="1"/>
  <c r="M603" i="1" s="1"/>
  <c r="O603" i="1"/>
  <c r="P603" i="1" s="1"/>
  <c r="J603" i="1" l="1"/>
  <c r="F603" i="1" s="1"/>
  <c r="B604" i="1" l="1"/>
  <c r="C595" i="3" s="1"/>
  <c r="D604" i="1"/>
  <c r="G603" i="1"/>
  <c r="E604" i="1" l="1"/>
  <c r="C604" i="1"/>
  <c r="D595" i="3" s="1"/>
  <c r="K604" i="1"/>
  <c r="N604" i="1"/>
  <c r="H604" i="1"/>
  <c r="L604" i="1" l="1"/>
  <c r="M604" i="1" s="1"/>
  <c r="O604" i="1"/>
  <c r="P604" i="1" s="1"/>
  <c r="I604" i="1"/>
  <c r="J604" i="1" l="1"/>
  <c r="F604" i="1" s="1"/>
  <c r="B605" i="1" l="1"/>
  <c r="C596" i="3" s="1"/>
  <c r="D605" i="1"/>
  <c r="G604" i="1"/>
  <c r="E605" i="1" l="1"/>
  <c r="C605" i="1"/>
  <c r="D596" i="3" s="1"/>
  <c r="K605" i="1"/>
  <c r="N605" i="1"/>
  <c r="H605" i="1"/>
  <c r="L605" i="1" l="1"/>
  <c r="M605" i="1" s="1"/>
  <c r="O605" i="1"/>
  <c r="P605" i="1" s="1"/>
  <c r="I605" i="1"/>
  <c r="J605" i="1" l="1"/>
  <c r="F605" i="1" s="1"/>
  <c r="D606" i="1" l="1"/>
  <c r="B606" i="1"/>
  <c r="C597" i="3" s="1"/>
  <c r="G605" i="1"/>
  <c r="E606" i="1" l="1"/>
  <c r="C606" i="1"/>
  <c r="D597" i="3" s="1"/>
  <c r="N606" i="1"/>
  <c r="H606" i="1"/>
  <c r="K606" i="1"/>
  <c r="L606" i="1" l="1"/>
  <c r="M606" i="1" s="1"/>
  <c r="O606" i="1"/>
  <c r="P606" i="1" s="1"/>
  <c r="I606" i="1"/>
  <c r="J606" i="1" s="1"/>
  <c r="F606" i="1" l="1"/>
  <c r="B607" i="1" s="1"/>
  <c r="C598" i="3" s="1"/>
  <c r="G606" i="1"/>
  <c r="D607" i="1" l="1"/>
  <c r="C607" i="1"/>
  <c r="D598" i="3" s="1"/>
  <c r="E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99" i="3" s="1"/>
  <c r="D608" i="1"/>
  <c r="G607" i="1"/>
  <c r="N608" i="1" l="1"/>
  <c r="H608" i="1"/>
  <c r="K608" i="1"/>
  <c r="E608" i="1"/>
  <c r="C608" i="1"/>
  <c r="D599" i="3" s="1"/>
  <c r="O608" i="1" l="1"/>
  <c r="P608" i="1" s="1"/>
  <c r="I608" i="1"/>
  <c r="J608" i="1" s="1"/>
  <c r="L608" i="1"/>
  <c r="M608" i="1" s="1"/>
  <c r="F608" i="1" l="1"/>
  <c r="G608" i="1"/>
  <c r="C609" i="1" l="1"/>
  <c r="D600" i="3" s="1"/>
  <c r="E609" i="1"/>
  <c r="B609" i="1"/>
  <c r="C600" i="3" s="1"/>
  <c r="D609" i="1"/>
  <c r="O609" i="1" l="1"/>
  <c r="I609" i="1"/>
  <c r="L609" i="1"/>
  <c r="H609" i="1"/>
  <c r="K609" i="1"/>
  <c r="N609" i="1"/>
  <c r="M609" i="1" l="1"/>
  <c r="P609" i="1"/>
  <c r="J609" i="1"/>
  <c r="F609" i="1" l="1"/>
  <c r="D610" i="1" s="1"/>
  <c r="G609" i="1"/>
  <c r="C610" i="1" s="1"/>
  <c r="D601" i="3" s="1"/>
  <c r="B610" i="1" l="1"/>
  <c r="E610" i="1"/>
  <c r="I610" i="1"/>
  <c r="L610" i="1"/>
  <c r="O610" i="1"/>
  <c r="H610" i="1" l="1"/>
  <c r="J610" i="1" s="1"/>
  <c r="C601" i="3"/>
  <c r="N610" i="1"/>
  <c r="P610" i="1" s="1"/>
  <c r="K610" i="1"/>
  <c r="M610" i="1" s="1"/>
  <c r="F610" i="1" l="1"/>
  <c r="D611" i="1" s="1"/>
  <c r="G610" i="1"/>
  <c r="C611" i="1" s="1"/>
  <c r="D602" i="3" s="1"/>
  <c r="B611" i="1" l="1"/>
  <c r="E611" i="1"/>
  <c r="I611" i="1"/>
  <c r="L611" i="1"/>
  <c r="O611" i="1"/>
  <c r="K611" i="1" l="1"/>
  <c r="M611" i="1" s="1"/>
  <c r="C602" i="3"/>
  <c r="H611" i="1"/>
  <c r="J611" i="1" s="1"/>
  <c r="N611" i="1"/>
  <c r="P611" i="1" s="1"/>
  <c r="F611" i="1" l="1"/>
  <c r="D612" i="1" s="1"/>
  <c r="G611" i="1"/>
  <c r="E612" i="1" s="1"/>
  <c r="B612" i="1" l="1"/>
  <c r="C612" i="1"/>
  <c r="L612" i="1" l="1"/>
  <c r="D603" i="3"/>
  <c r="K612" i="1"/>
  <c r="C603" i="3"/>
  <c r="H612" i="1"/>
  <c r="N612" i="1"/>
  <c r="I612" i="1"/>
  <c r="O612" i="1"/>
  <c r="M612" i="1" l="1"/>
  <c r="P612" i="1"/>
  <c r="J612" i="1"/>
  <c r="F612" i="1" l="1"/>
  <c r="B613" i="1" s="1"/>
  <c r="G612" i="1"/>
  <c r="E613" i="1" s="1"/>
  <c r="K613" i="1" l="1"/>
  <c r="C604" i="3"/>
  <c r="N613" i="1"/>
  <c r="H613" i="1"/>
  <c r="D613" i="1"/>
  <c r="C613" i="1"/>
  <c r="D604" i="3" s="1"/>
  <c r="L613" i="1" l="1"/>
  <c r="M613" i="1" s="1"/>
  <c r="I613" i="1"/>
  <c r="J613" i="1" s="1"/>
  <c r="O613" i="1"/>
  <c r="P613" i="1" s="1"/>
  <c r="G613" i="1" l="1"/>
  <c r="E614" i="1" s="1"/>
  <c r="F613" i="1"/>
  <c r="C614" i="1" l="1"/>
  <c r="D614" i="1"/>
  <c r="B614" i="1"/>
  <c r="C605" i="3" s="1"/>
  <c r="L614" i="1" l="1"/>
  <c r="D605" i="3"/>
  <c r="I614" i="1"/>
  <c r="O614" i="1"/>
  <c r="N614" i="1"/>
  <c r="H614" i="1"/>
  <c r="K614" i="1"/>
  <c r="M614" i="1" l="1"/>
  <c r="J614" i="1"/>
  <c r="P614" i="1"/>
  <c r="G614" i="1" l="1"/>
  <c r="E615" i="1" s="1"/>
  <c r="F614" i="1"/>
  <c r="C615" i="1" l="1"/>
  <c r="B615" i="1"/>
  <c r="C606" i="3" s="1"/>
  <c r="D615" i="1"/>
  <c r="O615" i="1" l="1"/>
  <c r="D606" i="3"/>
  <c r="I615" i="1"/>
  <c r="L615" i="1"/>
  <c r="K615" i="1"/>
  <c r="N615" i="1"/>
  <c r="H615" i="1"/>
  <c r="P615" i="1" l="1"/>
  <c r="M615" i="1"/>
  <c r="J615" i="1"/>
  <c r="G615" i="1" l="1"/>
  <c r="C616" i="1" s="1"/>
  <c r="F615" i="1"/>
  <c r="D616" i="1" s="1"/>
  <c r="O616" i="1" l="1"/>
  <c r="D607" i="3"/>
  <c r="E616" i="1"/>
  <c r="L616" i="1"/>
  <c r="I616" i="1"/>
  <c r="B616" i="1"/>
  <c r="N616" i="1" l="1"/>
  <c r="P616" i="1" s="1"/>
  <c r="C607" i="3"/>
  <c r="H616" i="1"/>
  <c r="J616" i="1" s="1"/>
  <c r="K616" i="1"/>
  <c r="M616" i="1" s="1"/>
  <c r="G616" i="1" l="1"/>
  <c r="E617" i="1" s="1"/>
  <c r="F616" i="1"/>
  <c r="B617" i="1" s="1"/>
  <c r="H617" i="1" l="1"/>
  <c r="C608" i="3"/>
  <c r="C617" i="1"/>
  <c r="N617" i="1"/>
  <c r="K617" i="1"/>
  <c r="D617" i="1"/>
  <c r="O617" i="1" l="1"/>
  <c r="P617" i="1" s="1"/>
  <c r="D608" i="3"/>
  <c r="L617" i="1"/>
  <c r="M617" i="1" s="1"/>
  <c r="I617" i="1"/>
  <c r="J617" i="1" s="1"/>
  <c r="F617" i="1" l="1"/>
  <c r="D618" i="1" s="1"/>
  <c r="G617" i="1"/>
  <c r="E618" i="1" s="1"/>
  <c r="B618" i="1" l="1"/>
  <c r="C618" i="1"/>
  <c r="I618" i="1" l="1"/>
  <c r="D609" i="3"/>
  <c r="H618" i="1"/>
  <c r="C609" i="3"/>
  <c r="N618" i="1"/>
  <c r="K618" i="1"/>
  <c r="O618" i="1"/>
  <c r="L618" i="1"/>
  <c r="J618" i="1" l="1"/>
  <c r="M618" i="1"/>
  <c r="P618" i="1"/>
  <c r="F618" i="1" l="1"/>
  <c r="B619" i="1" s="1"/>
  <c r="G618" i="1"/>
  <c r="C619" i="1" s="1"/>
  <c r="D610" i="3" s="1"/>
  <c r="H619" i="1" l="1"/>
  <c r="C610" i="3"/>
  <c r="K619" i="1"/>
  <c r="N619" i="1"/>
  <c r="D619" i="1"/>
  <c r="E619" i="1"/>
  <c r="I619" i="1"/>
  <c r="L619" i="1"/>
  <c r="O619" i="1"/>
  <c r="P619" i="1" l="1"/>
  <c r="M619" i="1"/>
  <c r="J619" i="1"/>
  <c r="F619" i="1" l="1"/>
  <c r="B620" i="1" s="1"/>
  <c r="C611" i="3" s="1"/>
  <c r="G619" i="1"/>
  <c r="D620" i="1" l="1"/>
  <c r="E620" i="1"/>
  <c r="C620" i="1"/>
  <c r="D611" i="3" s="1"/>
  <c r="K620" i="1"/>
  <c r="N620" i="1"/>
  <c r="H620" i="1"/>
  <c r="L620" i="1" l="1"/>
  <c r="M620" i="1" s="1"/>
  <c r="O620" i="1"/>
  <c r="P620" i="1" s="1"/>
  <c r="I620" i="1"/>
  <c r="J620" i="1" l="1"/>
  <c r="F620" i="1" s="1"/>
  <c r="B621" i="1" l="1"/>
  <c r="C612" i="3" s="1"/>
  <c r="D621" i="1"/>
  <c r="G620" i="1"/>
  <c r="C621" i="1" l="1"/>
  <c r="D612" i="3" s="1"/>
  <c r="E621" i="1"/>
  <c r="K621" i="1"/>
  <c r="N621" i="1"/>
  <c r="H621" i="1"/>
  <c r="L621" i="1" l="1"/>
  <c r="M621" i="1" s="1"/>
  <c r="O621" i="1"/>
  <c r="P621" i="1" s="1"/>
  <c r="I621" i="1"/>
  <c r="J621" i="1" s="1"/>
  <c r="F621" i="1" l="1"/>
  <c r="G621" i="1"/>
  <c r="E622" i="1" l="1"/>
  <c r="C622" i="1"/>
  <c r="D613" i="3" s="1"/>
  <c r="D622" i="1"/>
  <c r="B622" i="1"/>
  <c r="C613" i="3" s="1"/>
  <c r="N622" i="1" l="1"/>
  <c r="H622" i="1"/>
  <c r="K622" i="1"/>
  <c r="L622" i="1"/>
  <c r="O622" i="1"/>
  <c r="I622" i="1"/>
  <c r="M622" i="1" l="1"/>
  <c r="J622" i="1"/>
  <c r="P622" i="1"/>
  <c r="G622" i="1" l="1"/>
  <c r="C623" i="1" s="1"/>
  <c r="D614" i="3" s="1"/>
  <c r="F622" i="1"/>
  <c r="E623" i="1" l="1"/>
  <c r="B623" i="1"/>
  <c r="C614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15" i="3" s="1"/>
  <c r="F623" i="1"/>
  <c r="D624" i="1" l="1"/>
  <c r="B624" i="1"/>
  <c r="C615" i="3" s="1"/>
  <c r="O624" i="1"/>
  <c r="I624" i="1"/>
  <c r="L624" i="1"/>
  <c r="N624" i="1" l="1"/>
  <c r="P624" i="1" s="1"/>
  <c r="H624" i="1"/>
  <c r="K624" i="1"/>
  <c r="M624" i="1" s="1"/>
  <c r="J624" i="1" l="1"/>
  <c r="G624" i="1" s="1"/>
  <c r="C625" i="1" l="1"/>
  <c r="D616" i="3" s="1"/>
  <c r="E625" i="1"/>
  <c r="F624" i="1"/>
  <c r="B625" i="1" l="1"/>
  <c r="C616" i="3" s="1"/>
  <c r="D625" i="1"/>
  <c r="O625" i="1"/>
  <c r="I625" i="1"/>
  <c r="L625" i="1"/>
  <c r="H625" i="1" l="1"/>
  <c r="K625" i="1"/>
  <c r="M625" i="1" s="1"/>
  <c r="N625" i="1"/>
  <c r="P625" i="1" s="1"/>
  <c r="J625" i="1" l="1"/>
  <c r="G625" i="1" s="1"/>
  <c r="F625" i="1" l="1"/>
  <c r="D626" i="1" s="1"/>
  <c r="E626" i="1"/>
  <c r="C626" i="1"/>
  <c r="D617" i="3" s="1"/>
  <c r="B626" i="1" l="1"/>
  <c r="I626" i="1"/>
  <c r="L626" i="1"/>
  <c r="O626" i="1"/>
  <c r="H626" i="1" l="1"/>
  <c r="J626" i="1" s="1"/>
  <c r="C617" i="3"/>
  <c r="K626" i="1"/>
  <c r="M626" i="1" s="1"/>
  <c r="N626" i="1"/>
  <c r="P626" i="1" s="1"/>
  <c r="G626" i="1" l="1"/>
  <c r="E627" i="1" s="1"/>
  <c r="F626" i="1"/>
  <c r="D627" i="1" s="1"/>
  <c r="C627" i="1" l="1"/>
  <c r="B627" i="1"/>
  <c r="K627" i="1" l="1"/>
  <c r="C618" i="3"/>
  <c r="I627" i="1"/>
  <c r="D618" i="3"/>
  <c r="L627" i="1"/>
  <c r="O627" i="1"/>
  <c r="H627" i="1"/>
  <c r="J627" i="1" s="1"/>
  <c r="N627" i="1"/>
  <c r="M627" i="1" l="1"/>
  <c r="P627" i="1"/>
  <c r="G627" i="1" l="1"/>
  <c r="E628" i="1" s="1"/>
  <c r="F627" i="1"/>
  <c r="B628" i="1" s="1"/>
  <c r="C619" i="3" s="1"/>
  <c r="C628" i="1" l="1"/>
  <c r="L628" i="1" s="1"/>
  <c r="D628" i="1"/>
  <c r="K628" i="1"/>
  <c r="N628" i="1"/>
  <c r="H628" i="1"/>
  <c r="I628" i="1" l="1"/>
  <c r="J628" i="1" s="1"/>
  <c r="D619" i="3"/>
  <c r="M628" i="1"/>
  <c r="O628" i="1"/>
  <c r="P628" i="1" s="1"/>
  <c r="G628" i="1" l="1"/>
  <c r="C629" i="1" s="1"/>
  <c r="D620" i="3" s="1"/>
  <c r="F628" i="1"/>
  <c r="D629" i="1" s="1"/>
  <c r="E629" i="1" l="1"/>
  <c r="B629" i="1"/>
  <c r="L629" i="1"/>
  <c r="O629" i="1"/>
  <c r="I629" i="1"/>
  <c r="K629" i="1" l="1"/>
  <c r="M629" i="1" s="1"/>
  <c r="C620" i="3"/>
  <c r="N629" i="1"/>
  <c r="P629" i="1" s="1"/>
  <c r="H629" i="1"/>
  <c r="J629" i="1" s="1"/>
  <c r="G629" i="1" l="1"/>
  <c r="C630" i="1" s="1"/>
  <c r="D621" i="3" s="1"/>
  <c r="F629" i="1"/>
  <c r="B630" i="1" s="1"/>
  <c r="C621" i="3" s="1"/>
  <c r="E630" i="1" l="1"/>
  <c r="D630" i="1"/>
  <c r="L630" i="1"/>
  <c r="O630" i="1"/>
  <c r="I630" i="1"/>
  <c r="N630" i="1"/>
  <c r="H630" i="1"/>
  <c r="K630" i="1"/>
  <c r="M630" i="1" s="1"/>
  <c r="P630" i="1" l="1"/>
  <c r="J630" i="1"/>
  <c r="F630" i="1" l="1"/>
  <c r="B631" i="1" s="1"/>
  <c r="C622" i="3" s="1"/>
  <c r="G630" i="1"/>
  <c r="D631" i="1" l="1"/>
  <c r="E631" i="1"/>
  <c r="C631" i="1"/>
  <c r="D622" i="3" s="1"/>
  <c r="N631" i="1"/>
  <c r="H631" i="1"/>
  <c r="K631" i="1"/>
  <c r="O631" i="1" l="1"/>
  <c r="P631" i="1" s="1"/>
  <c r="I631" i="1"/>
  <c r="L631" i="1"/>
  <c r="M631" i="1" s="1"/>
  <c r="J631" i="1" l="1"/>
  <c r="F631" i="1" s="1"/>
  <c r="D632" i="1" l="1"/>
  <c r="B632" i="1"/>
  <c r="C623" i="3" s="1"/>
  <c r="G631" i="1"/>
  <c r="E632" i="1" l="1"/>
  <c r="C632" i="1"/>
  <c r="D623" i="3" s="1"/>
  <c r="N632" i="1"/>
  <c r="H632" i="1"/>
  <c r="K632" i="1"/>
  <c r="O632" i="1" l="1"/>
  <c r="P632" i="1" s="1"/>
  <c r="I632" i="1"/>
  <c r="J632" i="1" s="1"/>
  <c r="L632" i="1"/>
  <c r="M632" i="1" s="1"/>
  <c r="F632" i="1" l="1"/>
  <c r="D633" i="1" s="1"/>
  <c r="G632" i="1"/>
  <c r="B633" i="1" l="1"/>
  <c r="E633" i="1"/>
  <c r="C633" i="1"/>
  <c r="D624" i="3" s="1"/>
  <c r="H633" i="1" l="1"/>
  <c r="C624" i="3"/>
  <c r="N633" i="1"/>
  <c r="K633" i="1"/>
  <c r="O633" i="1"/>
  <c r="I633" i="1"/>
  <c r="L633" i="1"/>
  <c r="J633" i="1" l="1"/>
  <c r="M633" i="1"/>
  <c r="P633" i="1"/>
  <c r="G633" i="1" l="1"/>
  <c r="E634" i="1" s="1"/>
  <c r="F633" i="1"/>
  <c r="B634" i="1" s="1"/>
  <c r="K634" i="1" l="1"/>
  <c r="C625" i="3"/>
  <c r="C634" i="1"/>
  <c r="H634" i="1"/>
  <c r="N634" i="1"/>
  <c r="D634" i="1"/>
  <c r="L634" i="1" l="1"/>
  <c r="M634" i="1" s="1"/>
  <c r="D625" i="3"/>
  <c r="O634" i="1"/>
  <c r="P634" i="1" s="1"/>
  <c r="I634" i="1"/>
  <c r="J634" i="1" s="1"/>
  <c r="F634" i="1" l="1"/>
  <c r="B635" i="1" s="1"/>
  <c r="C626" i="3" s="1"/>
  <c r="G634" i="1"/>
  <c r="E635" i="1" s="1"/>
  <c r="D635" i="1" l="1"/>
  <c r="C635" i="1"/>
  <c r="K635" i="1"/>
  <c r="N635" i="1"/>
  <c r="H635" i="1"/>
  <c r="I635" i="1" l="1"/>
  <c r="J635" i="1" s="1"/>
  <c r="D626" i="3"/>
  <c r="O635" i="1"/>
  <c r="P635" i="1" s="1"/>
  <c r="L635" i="1"/>
  <c r="M635" i="1" s="1"/>
  <c r="F635" i="1" l="1"/>
  <c r="D636" i="1" s="1"/>
  <c r="G635" i="1"/>
  <c r="C636" i="1" s="1"/>
  <c r="D627" i="3" s="1"/>
  <c r="B636" i="1" l="1"/>
  <c r="E636" i="1"/>
  <c r="L636" i="1"/>
  <c r="O636" i="1"/>
  <c r="I636" i="1"/>
  <c r="K636" i="1" l="1"/>
  <c r="M636" i="1" s="1"/>
  <c r="C627" i="3"/>
  <c r="N636" i="1"/>
  <c r="P636" i="1" s="1"/>
  <c r="H636" i="1"/>
  <c r="J636" i="1" s="1"/>
  <c r="G636" i="1" l="1"/>
  <c r="E637" i="1" s="1"/>
  <c r="F636" i="1"/>
  <c r="D637" i="1" s="1"/>
  <c r="C637" i="1" l="1"/>
  <c r="B637" i="1"/>
  <c r="K637" i="1" l="1"/>
  <c r="C628" i="3"/>
  <c r="L637" i="1"/>
  <c r="D628" i="3"/>
  <c r="I637" i="1"/>
  <c r="O637" i="1"/>
  <c r="H637" i="1"/>
  <c r="N637" i="1"/>
  <c r="P637" i="1" s="1"/>
  <c r="M637" i="1" l="1"/>
  <c r="J637" i="1"/>
  <c r="F637" i="1" l="1"/>
  <c r="D638" i="1" s="1"/>
  <c r="G637" i="1"/>
  <c r="C638" i="1" s="1"/>
  <c r="B638" i="1" l="1"/>
  <c r="C629" i="3" s="1"/>
  <c r="I638" i="1"/>
  <c r="D629" i="3"/>
  <c r="O638" i="1"/>
  <c r="L638" i="1"/>
  <c r="E638" i="1"/>
  <c r="K638" i="1" l="1"/>
  <c r="M638" i="1" s="1"/>
  <c r="H638" i="1"/>
  <c r="J638" i="1" s="1"/>
  <c r="N638" i="1"/>
  <c r="P638" i="1" s="1"/>
  <c r="F638" i="1" l="1"/>
  <c r="B639" i="1" s="1"/>
  <c r="C630" i="3" s="1"/>
  <c r="G638" i="1"/>
  <c r="C639" i="1" s="1"/>
  <c r="D639" i="1" l="1"/>
  <c r="H639" i="1"/>
  <c r="K639" i="1"/>
  <c r="N639" i="1"/>
  <c r="O639" i="1"/>
  <c r="P639" i="1" s="1"/>
  <c r="D630" i="3"/>
  <c r="L639" i="1"/>
  <c r="M639" i="1" s="1"/>
  <c r="I639" i="1"/>
  <c r="E639" i="1"/>
  <c r="J639" i="1" l="1"/>
  <c r="F639" i="1" s="1"/>
  <c r="G639" i="1" l="1"/>
  <c r="C640" i="1" s="1"/>
  <c r="D631" i="3" s="1"/>
  <c r="D640" i="1"/>
  <c r="B640" i="1"/>
  <c r="C631" i="3" s="1"/>
  <c r="L640" i="1" l="1"/>
  <c r="O640" i="1"/>
  <c r="I640" i="1"/>
  <c r="E640" i="1"/>
  <c r="N640" i="1"/>
  <c r="P640" i="1" s="1"/>
  <c r="H640" i="1"/>
  <c r="K640" i="1"/>
  <c r="M640" i="1" l="1"/>
  <c r="J640" i="1"/>
  <c r="G640" i="1" l="1"/>
  <c r="E641" i="1" s="1"/>
  <c r="F640" i="1"/>
  <c r="C641" i="1" l="1"/>
  <c r="D632" i="3" s="1"/>
  <c r="B641" i="1"/>
  <c r="C632" i="3" s="1"/>
  <c r="D641" i="1"/>
  <c r="L641" i="1" l="1"/>
  <c r="I641" i="1"/>
  <c r="O641" i="1"/>
  <c r="H641" i="1"/>
  <c r="K641" i="1"/>
  <c r="N641" i="1"/>
  <c r="P641" i="1" s="1"/>
  <c r="M641" i="1" l="1"/>
  <c r="J641" i="1"/>
  <c r="G641" i="1" l="1"/>
  <c r="C642" i="1" s="1"/>
  <c r="D633" i="3" s="1"/>
  <c r="F641" i="1"/>
  <c r="D642" i="1" s="1"/>
  <c r="E642" i="1" l="1"/>
  <c r="B642" i="1"/>
  <c r="I642" i="1"/>
  <c r="L642" i="1"/>
  <c r="O642" i="1"/>
  <c r="H642" i="1" l="1"/>
  <c r="J642" i="1" s="1"/>
  <c r="C633" i="3"/>
  <c r="N642" i="1"/>
  <c r="P642" i="1" s="1"/>
  <c r="K642" i="1"/>
  <c r="M642" i="1" s="1"/>
  <c r="G642" i="1" l="1"/>
  <c r="E643" i="1" s="1"/>
  <c r="F642" i="1"/>
  <c r="D643" i="1" s="1"/>
  <c r="C643" i="1" l="1"/>
  <c r="B643" i="1"/>
  <c r="K643" i="1" l="1"/>
  <c r="C634" i="3"/>
  <c r="I643" i="1"/>
  <c r="D634" i="3"/>
  <c r="L643" i="1"/>
  <c r="O643" i="1"/>
  <c r="H643" i="1"/>
  <c r="J643" i="1" s="1"/>
  <c r="N643" i="1"/>
  <c r="P643" i="1" l="1"/>
  <c r="M643" i="1"/>
  <c r="G643" i="1" l="1"/>
  <c r="C644" i="1" s="1"/>
  <c r="D635" i="3" s="1"/>
  <c r="F643" i="1"/>
  <c r="B644" i="1" s="1"/>
  <c r="C635" i="3" s="1"/>
  <c r="L644" i="1" l="1"/>
  <c r="I644" i="1"/>
  <c r="O644" i="1"/>
  <c r="E644" i="1"/>
  <c r="N644" i="1"/>
  <c r="P644" i="1" s="1"/>
  <c r="H644" i="1"/>
  <c r="J644" i="1" s="1"/>
  <c r="K644" i="1"/>
  <c r="D644" i="1"/>
  <c r="M644" i="1" l="1"/>
  <c r="G644" i="1" s="1"/>
  <c r="E645" i="1" s="1"/>
  <c r="F644" i="1" l="1"/>
  <c r="B645" i="1" s="1"/>
  <c r="C636" i="3" s="1"/>
  <c r="C645" i="1"/>
  <c r="D636" i="3" s="1"/>
  <c r="H645" i="1" l="1"/>
  <c r="N645" i="1"/>
  <c r="D645" i="1"/>
  <c r="K645" i="1"/>
  <c r="I645" i="1"/>
  <c r="O645" i="1"/>
  <c r="P645" i="1" s="1"/>
  <c r="L645" i="1"/>
  <c r="M645" i="1" s="1"/>
  <c r="J645" i="1" l="1"/>
  <c r="G645" i="1" s="1"/>
  <c r="E646" i="1" s="1"/>
  <c r="F645" i="1" l="1"/>
  <c r="D646" i="1" s="1"/>
  <c r="C646" i="1"/>
  <c r="B646" i="1" l="1"/>
  <c r="N646" i="1" s="1"/>
  <c r="L646" i="1"/>
  <c r="D637" i="3"/>
  <c r="O646" i="1"/>
  <c r="I646" i="1"/>
  <c r="K646" i="1" l="1"/>
  <c r="M646" i="1" s="1"/>
  <c r="H646" i="1"/>
  <c r="C637" i="3"/>
  <c r="P646" i="1"/>
  <c r="J646" i="1"/>
  <c r="F646" i="1" l="1"/>
  <c r="D647" i="1" s="1"/>
  <c r="G646" i="1"/>
  <c r="E647" i="1" s="1"/>
  <c r="B647" i="1" l="1"/>
  <c r="N647" i="1" s="1"/>
  <c r="C647" i="1"/>
  <c r="K647" i="1" l="1"/>
  <c r="H647" i="1"/>
  <c r="C638" i="3"/>
  <c r="O647" i="1"/>
  <c r="P647" i="1" s="1"/>
  <c r="D638" i="3"/>
  <c r="I647" i="1"/>
  <c r="J647" i="1" s="1"/>
  <c r="L647" i="1"/>
  <c r="M647" i="1" l="1"/>
  <c r="F647" i="1" s="1"/>
  <c r="D648" i="1" s="1"/>
  <c r="G647" i="1" l="1"/>
  <c r="C648" i="1" s="1"/>
  <c r="I648" i="1" s="1"/>
  <c r="B648" i="1"/>
  <c r="E648" i="1" l="1"/>
  <c r="L648" i="1"/>
  <c r="O648" i="1"/>
  <c r="D639" i="3"/>
  <c r="N648" i="1"/>
  <c r="P648" i="1" s="1"/>
  <c r="C639" i="3"/>
  <c r="K648" i="1"/>
  <c r="M648" i="1" s="1"/>
  <c r="H648" i="1"/>
  <c r="J648" i="1" s="1"/>
  <c r="G648" i="1" l="1"/>
  <c r="C649" i="1" s="1"/>
  <c r="F648" i="1"/>
  <c r="B649" i="1" s="1"/>
  <c r="C640" i="3" s="1"/>
  <c r="O649" i="1" l="1"/>
  <c r="D640" i="3"/>
  <c r="L649" i="1"/>
  <c r="I649" i="1"/>
  <c r="E649" i="1"/>
  <c r="D649" i="1"/>
  <c r="H649" i="1"/>
  <c r="K649" i="1"/>
  <c r="N649" i="1"/>
  <c r="P649" i="1" s="1"/>
  <c r="M649" i="1" l="1"/>
  <c r="J649" i="1"/>
  <c r="G649" i="1" l="1"/>
  <c r="E650" i="1" s="1"/>
  <c r="F649" i="1"/>
  <c r="D650" i="1" s="1"/>
  <c r="C650" i="1" l="1"/>
  <c r="B650" i="1"/>
  <c r="H650" i="1" l="1"/>
  <c r="C641" i="3"/>
  <c r="L650" i="1"/>
  <c r="D641" i="3"/>
  <c r="I650" i="1"/>
  <c r="O650" i="1"/>
  <c r="N650" i="1"/>
  <c r="K650" i="1"/>
  <c r="J650" i="1" l="1"/>
  <c r="M650" i="1"/>
  <c r="P650" i="1"/>
  <c r="G650" i="1" l="1"/>
  <c r="E651" i="1" s="1"/>
  <c r="F650" i="1"/>
  <c r="D651" i="1" s="1"/>
  <c r="C651" i="1" l="1"/>
  <c r="O651" i="1" s="1"/>
  <c r="B651" i="1"/>
  <c r="C642" i="3" s="1"/>
  <c r="L651" i="1" l="1"/>
  <c r="D642" i="3"/>
  <c r="I651" i="1"/>
  <c r="H651" i="1"/>
  <c r="N651" i="1"/>
  <c r="P651" i="1" s="1"/>
  <c r="K651" i="1"/>
  <c r="M651" i="1" l="1"/>
  <c r="J651" i="1"/>
  <c r="G651" i="1" l="1"/>
  <c r="E652" i="1" s="1"/>
  <c r="F651" i="1"/>
  <c r="D652" i="1" s="1"/>
  <c r="C652" i="1" l="1"/>
  <c r="B652" i="1"/>
  <c r="K652" i="1" s="1"/>
  <c r="L652" i="1"/>
  <c r="D643" i="3"/>
  <c r="I652" i="1"/>
  <c r="O652" i="1"/>
  <c r="H652" i="1" l="1"/>
  <c r="J652" i="1" s="1"/>
  <c r="N652" i="1"/>
  <c r="C643" i="3"/>
  <c r="M652" i="1"/>
  <c r="P652" i="1"/>
  <c r="G652" i="1" l="1"/>
  <c r="C653" i="1" s="1"/>
  <c r="F652" i="1"/>
  <c r="D653" i="1" s="1"/>
  <c r="E653" i="1" l="1"/>
  <c r="I653" i="1"/>
  <c r="D644" i="3"/>
  <c r="B653" i="1"/>
  <c r="L653" i="1"/>
  <c r="O653" i="1"/>
  <c r="H653" i="1" l="1"/>
  <c r="J653" i="1" s="1"/>
  <c r="C644" i="3"/>
  <c r="N653" i="1"/>
  <c r="P653" i="1" s="1"/>
  <c r="K653" i="1"/>
  <c r="M653" i="1" s="1"/>
  <c r="F653" i="1" l="1"/>
  <c r="D654" i="1" s="1"/>
  <c r="G653" i="1"/>
  <c r="E654" i="1" s="1"/>
  <c r="B654" i="1" l="1"/>
  <c r="C654" i="1"/>
  <c r="L654" i="1" l="1"/>
  <c r="D645" i="3"/>
  <c r="N654" i="1"/>
  <c r="C645" i="3"/>
  <c r="I654" i="1"/>
  <c r="O654" i="1"/>
  <c r="P654" i="1" s="1"/>
  <c r="H654" i="1"/>
  <c r="K654" i="1"/>
  <c r="M654" i="1" l="1"/>
  <c r="J654" i="1"/>
  <c r="G654" i="1" l="1"/>
  <c r="C655" i="1" s="1"/>
  <c r="F654" i="1"/>
  <c r="B655" i="1" s="1"/>
  <c r="E655" i="1" l="1"/>
  <c r="N655" i="1"/>
  <c r="C646" i="3"/>
  <c r="O655" i="1"/>
  <c r="D646" i="3"/>
  <c r="D655" i="1"/>
  <c r="K655" i="1"/>
  <c r="L655" i="1"/>
  <c r="I655" i="1"/>
  <c r="H655" i="1"/>
  <c r="P655" i="1" l="1"/>
  <c r="M655" i="1"/>
  <c r="J655" i="1"/>
  <c r="F655" i="1" l="1"/>
  <c r="D656" i="1" s="1"/>
  <c r="G655" i="1"/>
  <c r="C656" i="1" s="1"/>
  <c r="D647" i="3" s="1"/>
  <c r="B656" i="1" l="1"/>
  <c r="E656" i="1"/>
  <c r="O656" i="1"/>
  <c r="I656" i="1"/>
  <c r="L656" i="1"/>
  <c r="N656" i="1" l="1"/>
  <c r="P656" i="1" s="1"/>
  <c r="C647" i="3"/>
  <c r="H656" i="1"/>
  <c r="J656" i="1" s="1"/>
  <c r="K656" i="1"/>
  <c r="M656" i="1" s="1"/>
  <c r="F656" i="1" l="1"/>
  <c r="B657" i="1" s="1"/>
  <c r="G656" i="1"/>
  <c r="E657" i="1" s="1"/>
  <c r="N657" i="1" l="1"/>
  <c r="C648" i="3"/>
  <c r="H657" i="1"/>
  <c r="K657" i="1"/>
  <c r="D657" i="1"/>
  <c r="C657" i="1"/>
  <c r="O657" i="1" l="1"/>
  <c r="P657" i="1" s="1"/>
  <c r="D648" i="3"/>
  <c r="L657" i="1"/>
  <c r="M657" i="1" s="1"/>
  <c r="I657" i="1"/>
  <c r="J657" i="1" s="1"/>
  <c r="F657" i="1" l="1"/>
  <c r="D658" i="1" s="1"/>
  <c r="G657" i="1"/>
  <c r="B658" i="1" l="1"/>
  <c r="E658" i="1"/>
  <c r="C658" i="1"/>
  <c r="D649" i="3" s="1"/>
  <c r="H658" i="1" l="1"/>
  <c r="C649" i="3"/>
  <c r="K658" i="1"/>
  <c r="N658" i="1"/>
  <c r="I658" i="1"/>
  <c r="L658" i="1"/>
  <c r="O658" i="1"/>
  <c r="P658" i="1" l="1"/>
  <c r="M658" i="1"/>
  <c r="J658" i="1"/>
  <c r="F658" i="1" l="1"/>
  <c r="B659" i="1" s="1"/>
  <c r="C650" i="3" s="1"/>
  <c r="G658" i="1"/>
  <c r="D659" i="1" l="1"/>
  <c r="E659" i="1"/>
  <c r="C659" i="1"/>
  <c r="D650" i="3" s="1"/>
  <c r="K659" i="1"/>
  <c r="N659" i="1"/>
  <c r="H659" i="1"/>
  <c r="I659" i="1" l="1"/>
  <c r="L659" i="1"/>
  <c r="M659" i="1" s="1"/>
  <c r="O659" i="1"/>
  <c r="P659" i="1" s="1"/>
  <c r="J659" i="1" l="1"/>
  <c r="F659" i="1" s="1"/>
  <c r="D660" i="1" l="1"/>
  <c r="B660" i="1"/>
  <c r="C651" i="3" s="1"/>
  <c r="G659" i="1"/>
  <c r="K660" i="1" l="1"/>
  <c r="N660" i="1"/>
  <c r="H660" i="1"/>
  <c r="E660" i="1"/>
  <c r="C660" i="1"/>
  <c r="D651" i="3" s="1"/>
  <c r="L660" i="1" l="1"/>
  <c r="M660" i="1" s="1"/>
  <c r="O660" i="1"/>
  <c r="P660" i="1" s="1"/>
  <c r="I660" i="1"/>
  <c r="J660" i="1" s="1"/>
  <c r="F660" i="1" l="1"/>
  <c r="B661" i="1" s="1"/>
  <c r="C652" i="3" s="1"/>
  <c r="G660" i="1"/>
  <c r="D661" i="1" l="1"/>
  <c r="E661" i="1"/>
  <c r="C661" i="1"/>
  <c r="D652" i="3" s="1"/>
  <c r="K661" i="1"/>
  <c r="N661" i="1"/>
  <c r="H661" i="1"/>
  <c r="L661" i="1" l="1"/>
  <c r="M661" i="1" s="1"/>
  <c r="O661" i="1"/>
  <c r="P661" i="1" s="1"/>
  <c r="I661" i="1"/>
  <c r="J661" i="1" s="1"/>
  <c r="F661" i="1" l="1"/>
  <c r="D662" i="1" s="1"/>
  <c r="G661" i="1"/>
  <c r="B662" i="1" l="1"/>
  <c r="E662" i="1"/>
  <c r="C662" i="1"/>
  <c r="D653" i="3" s="1"/>
  <c r="N662" i="1" l="1"/>
  <c r="C653" i="3"/>
  <c r="K662" i="1"/>
  <c r="H662" i="1"/>
  <c r="L662" i="1"/>
  <c r="O662" i="1"/>
  <c r="I662" i="1"/>
  <c r="P662" i="1" l="1"/>
  <c r="M662" i="1"/>
  <c r="J662" i="1"/>
  <c r="F662" i="1" l="1"/>
  <c r="B663" i="1" s="1"/>
  <c r="C654" i="3" s="1"/>
  <c r="G662" i="1"/>
  <c r="D663" i="1" l="1"/>
  <c r="E663" i="1"/>
  <c r="C663" i="1"/>
  <c r="D654" i="3" s="1"/>
  <c r="N663" i="1"/>
  <c r="H663" i="1"/>
  <c r="K663" i="1"/>
  <c r="O663" i="1" l="1"/>
  <c r="P663" i="1" s="1"/>
  <c r="I663" i="1"/>
  <c r="L663" i="1"/>
  <c r="M663" i="1" s="1"/>
  <c r="J663" i="1" l="1"/>
  <c r="F663" i="1" s="1"/>
  <c r="D664" i="1" l="1"/>
  <c r="B664" i="1"/>
  <c r="C655" i="3" s="1"/>
  <c r="G663" i="1"/>
  <c r="N664" i="1" l="1"/>
  <c r="H664" i="1"/>
  <c r="K664" i="1"/>
  <c r="E664" i="1"/>
  <c r="C664" i="1"/>
  <c r="D655" i="3" s="1"/>
  <c r="O664" i="1" l="1"/>
  <c r="P664" i="1" s="1"/>
  <c r="I664" i="1"/>
  <c r="J664" i="1" s="1"/>
  <c r="L664" i="1"/>
  <c r="M664" i="1" s="1"/>
  <c r="F664" i="1" l="1"/>
  <c r="B665" i="1" s="1"/>
  <c r="C656" i="3" s="1"/>
  <c r="G664" i="1"/>
  <c r="D665" i="1" l="1"/>
  <c r="E665" i="1"/>
  <c r="C665" i="1"/>
  <c r="D656" i="3" s="1"/>
  <c r="H665" i="1"/>
  <c r="K665" i="1"/>
  <c r="N665" i="1"/>
  <c r="O665" i="1" l="1"/>
  <c r="P665" i="1" s="1"/>
  <c r="I665" i="1"/>
  <c r="J665" i="1" s="1"/>
  <c r="L665" i="1"/>
  <c r="M665" i="1" s="1"/>
  <c r="F665" i="1" l="1"/>
  <c r="G665" i="1"/>
  <c r="E666" i="1" l="1"/>
  <c r="C666" i="1"/>
  <c r="D657" i="3" s="1"/>
  <c r="D666" i="1"/>
  <c r="B666" i="1"/>
  <c r="C657" i="3" s="1"/>
  <c r="I666" i="1" l="1"/>
  <c r="L666" i="1"/>
  <c r="O666" i="1"/>
  <c r="H666" i="1"/>
  <c r="K666" i="1"/>
  <c r="M666" i="1" s="1"/>
  <c r="N666" i="1"/>
  <c r="P666" i="1" s="1"/>
  <c r="J666" i="1" l="1"/>
  <c r="F666" i="1" s="1"/>
  <c r="G666" i="1" l="1"/>
  <c r="E667" i="1" s="1"/>
  <c r="D667" i="1"/>
  <c r="B667" i="1"/>
  <c r="C658" i="3" s="1"/>
  <c r="C667" i="1" l="1"/>
  <c r="K667" i="1"/>
  <c r="N667" i="1"/>
  <c r="H667" i="1"/>
  <c r="I667" i="1" l="1"/>
  <c r="J667" i="1" s="1"/>
  <c r="D658" i="3"/>
  <c r="O667" i="1"/>
  <c r="P667" i="1" s="1"/>
  <c r="L667" i="1"/>
  <c r="M667" i="1" s="1"/>
  <c r="G667" i="1" l="1"/>
  <c r="E668" i="1" s="1"/>
  <c r="F667" i="1"/>
  <c r="D668" i="1" s="1"/>
  <c r="B668" i="1" l="1"/>
  <c r="C668" i="1"/>
  <c r="L668" i="1" l="1"/>
  <c r="D659" i="3"/>
  <c r="H668" i="1"/>
  <c r="C659" i="3"/>
  <c r="N668" i="1"/>
  <c r="K668" i="1"/>
  <c r="O668" i="1"/>
  <c r="I668" i="1"/>
  <c r="J668" i="1" s="1"/>
  <c r="M668" i="1" l="1"/>
  <c r="P668" i="1"/>
  <c r="G668" i="1" l="1"/>
  <c r="E669" i="1" s="1"/>
  <c r="F668" i="1"/>
  <c r="D669" i="1" s="1"/>
  <c r="C669" i="1" l="1"/>
  <c r="L669" i="1" s="1"/>
  <c r="B669" i="1"/>
  <c r="O669" i="1" l="1"/>
  <c r="I669" i="1"/>
  <c r="D660" i="3"/>
  <c r="K669" i="1"/>
  <c r="M669" i="1" s="1"/>
  <c r="C660" i="3"/>
  <c r="H669" i="1"/>
  <c r="J669" i="1" s="1"/>
  <c r="N669" i="1"/>
  <c r="P669" i="1" l="1"/>
  <c r="G669" i="1" s="1"/>
  <c r="C670" i="1" s="1"/>
  <c r="D661" i="3" s="1"/>
  <c r="F669" i="1" l="1"/>
  <c r="B670" i="1" s="1"/>
  <c r="C661" i="3" s="1"/>
  <c r="E670" i="1"/>
  <c r="L670" i="1"/>
  <c r="O670" i="1"/>
  <c r="I670" i="1"/>
  <c r="D670" i="1" l="1"/>
  <c r="N670" i="1"/>
  <c r="P670" i="1" s="1"/>
  <c r="H670" i="1"/>
  <c r="K670" i="1"/>
  <c r="M670" i="1" s="1"/>
  <c r="J670" i="1" l="1"/>
  <c r="G670" i="1" s="1"/>
  <c r="E671" i="1" l="1"/>
  <c r="C671" i="1"/>
  <c r="D662" i="3" s="1"/>
  <c r="F670" i="1"/>
  <c r="O671" i="1" l="1"/>
  <c r="I671" i="1"/>
  <c r="L671" i="1"/>
  <c r="D671" i="1"/>
  <c r="B671" i="1"/>
  <c r="C662" i="3" s="1"/>
  <c r="N671" i="1" l="1"/>
  <c r="P671" i="1" s="1"/>
  <c r="H671" i="1"/>
  <c r="K671" i="1"/>
  <c r="M671" i="1" s="1"/>
  <c r="J671" i="1" l="1"/>
  <c r="G671" i="1" s="1"/>
  <c r="C672" i="1" l="1"/>
  <c r="D663" i="3" s="1"/>
  <c r="E672" i="1"/>
  <c r="F671" i="1"/>
  <c r="D672" i="1" l="1"/>
  <c r="B672" i="1"/>
  <c r="C663" i="3" s="1"/>
  <c r="O672" i="1"/>
  <c r="I672" i="1"/>
  <c r="L672" i="1"/>
  <c r="H672" i="1" l="1"/>
  <c r="K672" i="1"/>
  <c r="M672" i="1" s="1"/>
  <c r="N672" i="1"/>
  <c r="P672" i="1" s="1"/>
  <c r="J672" i="1" l="1"/>
  <c r="G672" i="1" s="1"/>
  <c r="E673" i="1" l="1"/>
  <c r="C673" i="1"/>
  <c r="D664" i="3" s="1"/>
  <c r="F672" i="1"/>
  <c r="I673" i="1" l="1"/>
  <c r="L673" i="1"/>
  <c r="O673" i="1"/>
  <c r="B673" i="1"/>
  <c r="C664" i="3" s="1"/>
  <c r="D673" i="1"/>
  <c r="H673" i="1" l="1"/>
  <c r="K673" i="1"/>
  <c r="M673" i="1" s="1"/>
  <c r="N673" i="1"/>
  <c r="P673" i="1" s="1"/>
  <c r="J673" i="1" l="1"/>
  <c r="G673" i="1" s="1"/>
  <c r="F673" i="1" l="1"/>
  <c r="D674" i="1" s="1"/>
  <c r="C674" i="1"/>
  <c r="D665" i="3" s="1"/>
  <c r="E674" i="1"/>
  <c r="B674" i="1" l="1"/>
  <c r="I674" i="1"/>
  <c r="L674" i="1"/>
  <c r="O674" i="1"/>
  <c r="K674" i="1" l="1"/>
  <c r="M674" i="1" s="1"/>
  <c r="C665" i="3"/>
  <c r="H674" i="1"/>
  <c r="J674" i="1" s="1"/>
  <c r="N674" i="1"/>
  <c r="P674" i="1" s="1"/>
  <c r="G674" i="1" l="1"/>
  <c r="E675" i="1" s="1"/>
  <c r="F674" i="1"/>
  <c r="B675" i="1" s="1"/>
  <c r="C666" i="3" s="1"/>
  <c r="C675" i="1" l="1"/>
  <c r="D675" i="1"/>
  <c r="K675" i="1"/>
  <c r="N675" i="1"/>
  <c r="H675" i="1"/>
  <c r="I675" i="1" l="1"/>
  <c r="J675" i="1" s="1"/>
  <c r="D666" i="3"/>
  <c r="O675" i="1"/>
  <c r="P675" i="1" s="1"/>
  <c r="L675" i="1"/>
  <c r="M675" i="1" s="1"/>
  <c r="G675" i="1" l="1"/>
  <c r="E676" i="1" s="1"/>
  <c r="F675" i="1"/>
  <c r="C676" i="1" l="1"/>
  <c r="D676" i="1"/>
  <c r="B676" i="1"/>
  <c r="C667" i="3" s="1"/>
  <c r="L676" i="1" l="1"/>
  <c r="D667" i="3"/>
  <c r="I676" i="1"/>
  <c r="O676" i="1"/>
  <c r="K676" i="1"/>
  <c r="N676" i="1"/>
  <c r="P676" i="1" s="1"/>
  <c r="H676" i="1"/>
  <c r="M676" i="1" l="1"/>
  <c r="J676" i="1"/>
  <c r="G676" i="1" l="1"/>
  <c r="C677" i="1" s="1"/>
  <c r="D668" i="3" s="1"/>
  <c r="F676" i="1"/>
  <c r="B677" i="1" s="1"/>
  <c r="C668" i="3" s="1"/>
  <c r="E677" i="1" l="1"/>
  <c r="D677" i="1"/>
  <c r="L677" i="1"/>
  <c r="O677" i="1"/>
  <c r="I677" i="1"/>
  <c r="K677" i="1"/>
  <c r="N677" i="1"/>
  <c r="H677" i="1"/>
  <c r="P677" i="1" l="1"/>
  <c r="M677" i="1"/>
  <c r="J677" i="1"/>
  <c r="G677" i="1" l="1"/>
  <c r="C678" i="1" s="1"/>
  <c r="D669" i="3" s="1"/>
  <c r="F677" i="1"/>
  <c r="E678" i="1" l="1"/>
  <c r="B678" i="1"/>
  <c r="C669" i="3" s="1"/>
  <c r="D678" i="1"/>
  <c r="L678" i="1"/>
  <c r="O678" i="1"/>
  <c r="I678" i="1"/>
  <c r="N678" i="1" l="1"/>
  <c r="P678" i="1" s="1"/>
  <c r="H678" i="1"/>
  <c r="K678" i="1"/>
  <c r="M678" i="1" s="1"/>
  <c r="J678" i="1" l="1"/>
  <c r="G678" i="1" s="1"/>
  <c r="E679" i="1" l="1"/>
  <c r="C679" i="1"/>
  <c r="D670" i="3" s="1"/>
  <c r="F678" i="1"/>
  <c r="D679" i="1" l="1"/>
  <c r="B679" i="1"/>
  <c r="C670" i="3" s="1"/>
  <c r="O679" i="1"/>
  <c r="I679" i="1"/>
  <c r="L679" i="1"/>
  <c r="N679" i="1" l="1"/>
  <c r="P679" i="1" s="1"/>
  <c r="H679" i="1"/>
  <c r="K679" i="1"/>
  <c r="M679" i="1" s="1"/>
  <c r="J679" i="1" l="1"/>
  <c r="G679" i="1" s="1"/>
  <c r="E680" i="1" l="1"/>
  <c r="C680" i="1"/>
  <c r="D671" i="3" s="1"/>
  <c r="F679" i="1"/>
  <c r="B680" i="1" l="1"/>
  <c r="C671" i="3" s="1"/>
  <c r="D680" i="1"/>
  <c r="O680" i="1"/>
  <c r="I680" i="1"/>
  <c r="L680" i="1"/>
  <c r="N680" i="1" l="1"/>
  <c r="P680" i="1" s="1"/>
  <c r="H680" i="1"/>
  <c r="K680" i="1"/>
  <c r="M680" i="1" s="1"/>
  <c r="J680" i="1" l="1"/>
  <c r="G680" i="1" s="1"/>
  <c r="C681" i="1" l="1"/>
  <c r="D672" i="3" s="1"/>
  <c r="E681" i="1"/>
  <c r="F680" i="1"/>
  <c r="D681" i="1" l="1"/>
  <c r="B681" i="1"/>
  <c r="C672" i="3" s="1"/>
  <c r="O681" i="1"/>
  <c r="I681" i="1"/>
  <c r="L681" i="1"/>
  <c r="H681" i="1" l="1"/>
  <c r="K681" i="1"/>
  <c r="M681" i="1" s="1"/>
  <c r="N681" i="1"/>
  <c r="P681" i="1" s="1"/>
  <c r="J681" i="1" l="1"/>
  <c r="G681" i="1" s="1"/>
  <c r="F681" i="1" l="1"/>
  <c r="B682" i="1" s="1"/>
  <c r="C673" i="3" s="1"/>
  <c r="E682" i="1"/>
  <c r="C682" i="1"/>
  <c r="D673" i="3" s="1"/>
  <c r="D682" i="1" l="1"/>
  <c r="I682" i="1"/>
  <c r="L682" i="1"/>
  <c r="O682" i="1"/>
  <c r="H682" i="1"/>
  <c r="K682" i="1"/>
  <c r="N682" i="1"/>
  <c r="J682" i="1" l="1"/>
  <c r="P682" i="1"/>
  <c r="M682" i="1"/>
  <c r="F682" i="1" l="1"/>
  <c r="D683" i="1" s="1"/>
  <c r="G682" i="1"/>
  <c r="B683" i="1" l="1"/>
  <c r="C683" i="1"/>
  <c r="D674" i="3" s="1"/>
  <c r="E683" i="1"/>
  <c r="K683" i="1" l="1"/>
  <c r="C674" i="3"/>
  <c r="H683" i="1"/>
  <c r="N683" i="1"/>
  <c r="I683" i="1"/>
  <c r="L683" i="1"/>
  <c r="O683" i="1"/>
  <c r="P683" i="1" l="1"/>
  <c r="M683" i="1"/>
  <c r="J683" i="1"/>
  <c r="F683" i="1" l="1"/>
  <c r="B684" i="1" s="1"/>
  <c r="C675" i="3" s="1"/>
  <c r="G683" i="1"/>
  <c r="C684" i="1" s="1"/>
  <c r="D675" i="3" s="1"/>
  <c r="K684" i="1" l="1"/>
  <c r="H684" i="1"/>
  <c r="N684" i="1"/>
  <c r="D684" i="1"/>
  <c r="E684" i="1"/>
  <c r="L684" i="1"/>
  <c r="O684" i="1"/>
  <c r="I684" i="1"/>
  <c r="J684" i="1" s="1"/>
  <c r="P684" i="1" l="1"/>
  <c r="M684" i="1"/>
  <c r="F684" i="1" l="1"/>
  <c r="D685" i="1" s="1"/>
  <c r="G684" i="1"/>
  <c r="E685" i="1" s="1"/>
  <c r="B685" i="1" l="1"/>
  <c r="C676" i="3" s="1"/>
  <c r="C685" i="1"/>
  <c r="D676" i="3" s="1"/>
  <c r="K685" i="1" l="1"/>
  <c r="H685" i="1"/>
  <c r="N685" i="1"/>
  <c r="I685" i="1"/>
  <c r="O685" i="1"/>
  <c r="L685" i="1"/>
  <c r="P685" i="1" l="1"/>
  <c r="J685" i="1"/>
  <c r="M685" i="1"/>
  <c r="G685" i="1" l="1"/>
  <c r="E686" i="1" s="1"/>
  <c r="F685" i="1"/>
  <c r="D686" i="1" s="1"/>
  <c r="C686" i="1" l="1"/>
  <c r="D677" i="3" s="1"/>
  <c r="B686" i="1"/>
  <c r="N686" i="1" s="1"/>
  <c r="L686" i="1" l="1"/>
  <c r="I686" i="1"/>
  <c r="O686" i="1"/>
  <c r="P686" i="1" s="1"/>
  <c r="H686" i="1"/>
  <c r="J686" i="1" s="1"/>
  <c r="K686" i="1"/>
  <c r="C677" i="3"/>
  <c r="M686" i="1" l="1"/>
  <c r="F686" i="1" s="1"/>
  <c r="D687" i="1" s="1"/>
  <c r="G686" i="1"/>
  <c r="C687" i="1" s="1"/>
  <c r="D678" i="3" s="1"/>
  <c r="B687" i="1" l="1"/>
  <c r="E687" i="1"/>
  <c r="O687" i="1"/>
  <c r="I687" i="1"/>
  <c r="L687" i="1"/>
  <c r="N687" i="1" l="1"/>
  <c r="P687" i="1" s="1"/>
  <c r="C678" i="3"/>
  <c r="H687" i="1"/>
  <c r="J687" i="1" s="1"/>
  <c r="K687" i="1"/>
  <c r="M687" i="1" s="1"/>
  <c r="F687" i="1" l="1"/>
  <c r="B688" i="1" s="1"/>
  <c r="G687" i="1"/>
  <c r="C688" i="1" s="1"/>
  <c r="D679" i="3" s="1"/>
  <c r="K688" i="1" l="1"/>
  <c r="C679" i="3"/>
  <c r="H688" i="1"/>
  <c r="N688" i="1"/>
  <c r="D688" i="1"/>
  <c r="E688" i="1"/>
  <c r="O688" i="1"/>
  <c r="P688" i="1" s="1"/>
  <c r="I688" i="1"/>
  <c r="L688" i="1"/>
  <c r="M688" i="1" s="1"/>
  <c r="J688" i="1" l="1"/>
  <c r="F688" i="1" s="1"/>
  <c r="D689" i="1" l="1"/>
  <c r="B689" i="1"/>
  <c r="C680" i="3" s="1"/>
  <c r="G688" i="1"/>
  <c r="E689" i="1" l="1"/>
  <c r="C689" i="1"/>
  <c r="D680" i="3" s="1"/>
  <c r="H689" i="1"/>
  <c r="K689" i="1"/>
  <c r="N689" i="1"/>
  <c r="O689" i="1" l="1"/>
  <c r="P689" i="1" s="1"/>
  <c r="I689" i="1"/>
  <c r="J689" i="1" s="1"/>
  <c r="L689" i="1"/>
  <c r="M689" i="1" s="1"/>
  <c r="F689" i="1" l="1"/>
  <c r="B690" i="1" s="1"/>
  <c r="C681" i="3" s="1"/>
  <c r="G689" i="1"/>
  <c r="D690" i="1" l="1"/>
  <c r="E690" i="1"/>
  <c r="C690" i="1"/>
  <c r="D681" i="3" s="1"/>
  <c r="H690" i="1"/>
  <c r="K690" i="1"/>
  <c r="N690" i="1"/>
  <c r="I690" i="1" l="1"/>
  <c r="J690" i="1" s="1"/>
  <c r="L690" i="1"/>
  <c r="M690" i="1" s="1"/>
  <c r="O690" i="1"/>
  <c r="P690" i="1" s="1"/>
  <c r="F690" i="1" l="1"/>
  <c r="D691" i="1" s="1"/>
  <c r="G690" i="1"/>
  <c r="B691" i="1" l="1"/>
  <c r="E691" i="1"/>
  <c r="C691" i="1"/>
  <c r="D682" i="3" s="1"/>
  <c r="K691" i="1" l="1"/>
  <c r="C682" i="3"/>
  <c r="N691" i="1"/>
  <c r="H691" i="1"/>
  <c r="I691" i="1"/>
  <c r="L691" i="1"/>
  <c r="O691" i="1"/>
  <c r="M691" i="1" l="1"/>
  <c r="P691" i="1"/>
  <c r="J691" i="1"/>
  <c r="F691" i="1" l="1"/>
  <c r="B692" i="1" s="1"/>
  <c r="C683" i="3" s="1"/>
  <c r="G691" i="1"/>
  <c r="D692" i="1" l="1"/>
  <c r="E692" i="1"/>
  <c r="C692" i="1"/>
  <c r="D683" i="3" s="1"/>
  <c r="K692" i="1"/>
  <c r="N692" i="1"/>
  <c r="H692" i="1"/>
  <c r="L692" i="1" l="1"/>
  <c r="M692" i="1" s="1"/>
  <c r="O692" i="1"/>
  <c r="P692" i="1" s="1"/>
  <c r="I692" i="1"/>
  <c r="J692" i="1" l="1"/>
  <c r="F692" i="1" s="1"/>
  <c r="D693" i="1" l="1"/>
  <c r="B693" i="1"/>
  <c r="C684" i="3" s="1"/>
  <c r="G692" i="1"/>
  <c r="E693" i="1" l="1"/>
  <c r="C693" i="1"/>
  <c r="D684" i="3" s="1"/>
  <c r="K693" i="1"/>
  <c r="N693" i="1"/>
  <c r="H693" i="1"/>
  <c r="L693" i="1" l="1"/>
  <c r="M693" i="1" s="1"/>
  <c r="O693" i="1"/>
  <c r="P693" i="1" s="1"/>
  <c r="I693" i="1"/>
  <c r="J693" i="1" l="1"/>
  <c r="F693" i="1" s="1"/>
  <c r="D694" i="1" l="1"/>
  <c r="B694" i="1"/>
  <c r="C685" i="3" s="1"/>
  <c r="G693" i="1"/>
  <c r="N694" i="1" l="1"/>
  <c r="H694" i="1"/>
  <c r="K694" i="1"/>
  <c r="E694" i="1"/>
  <c r="C694" i="1"/>
  <c r="D685" i="3" s="1"/>
  <c r="L694" i="1" l="1"/>
  <c r="M694" i="1" s="1"/>
  <c r="O694" i="1"/>
  <c r="P694" i="1" s="1"/>
  <c r="I694" i="1"/>
  <c r="J694" i="1" s="1"/>
  <c r="F694" i="1" l="1"/>
  <c r="B695" i="1" s="1"/>
  <c r="C686" i="3" s="1"/>
  <c r="G694" i="1"/>
  <c r="D695" i="1" l="1"/>
  <c r="E695" i="1"/>
  <c r="C695" i="1"/>
  <c r="D686" i="3" s="1"/>
  <c r="N695" i="1"/>
  <c r="H695" i="1"/>
  <c r="K695" i="1"/>
  <c r="O695" i="1" l="1"/>
  <c r="P695" i="1" s="1"/>
  <c r="I695" i="1"/>
  <c r="L695" i="1"/>
  <c r="M695" i="1" s="1"/>
  <c r="J695" i="1" l="1"/>
  <c r="F695" i="1" s="1"/>
  <c r="D696" i="1" l="1"/>
  <c r="B696" i="1"/>
  <c r="C687" i="3" s="1"/>
  <c r="G695" i="1"/>
  <c r="N696" i="1" l="1"/>
  <c r="H696" i="1"/>
  <c r="K696" i="1"/>
  <c r="E696" i="1"/>
  <c r="C696" i="1"/>
  <c r="D687" i="3" s="1"/>
  <c r="O696" i="1" l="1"/>
  <c r="P696" i="1" s="1"/>
  <c r="I696" i="1"/>
  <c r="J696" i="1" s="1"/>
  <c r="L696" i="1"/>
  <c r="M696" i="1" s="1"/>
  <c r="F696" i="1" l="1"/>
  <c r="B697" i="1" s="1"/>
  <c r="C688" i="3" s="1"/>
  <c r="G696" i="1"/>
  <c r="D697" i="1" l="1"/>
  <c r="C697" i="1"/>
  <c r="D688" i="3" s="1"/>
  <c r="E697" i="1"/>
  <c r="H697" i="1"/>
  <c r="K697" i="1"/>
  <c r="N697" i="1"/>
  <c r="O697" i="1" l="1"/>
  <c r="P697" i="1" s="1"/>
  <c r="I697" i="1"/>
  <c r="L697" i="1"/>
  <c r="M697" i="1" s="1"/>
  <c r="J697" i="1" l="1"/>
  <c r="F697" i="1" s="1"/>
  <c r="B698" i="1" l="1"/>
  <c r="C689" i="3" s="1"/>
  <c r="D698" i="1"/>
  <c r="G697" i="1"/>
  <c r="C698" i="1" l="1"/>
  <c r="D689" i="3" s="1"/>
  <c r="E698" i="1"/>
  <c r="H698" i="1"/>
  <c r="K698" i="1"/>
  <c r="N698" i="1"/>
  <c r="I698" i="1" l="1"/>
  <c r="L698" i="1"/>
  <c r="M698" i="1" s="1"/>
  <c r="O698" i="1"/>
  <c r="P698" i="1" s="1"/>
  <c r="J698" i="1" l="1"/>
  <c r="F698" i="1" s="1"/>
  <c r="B699" i="1" l="1"/>
  <c r="C690" i="3" s="1"/>
  <c r="D699" i="1"/>
  <c r="G698" i="1"/>
  <c r="E699" i="1" l="1"/>
  <c r="C699" i="1"/>
  <c r="D690" i="3" s="1"/>
  <c r="K699" i="1"/>
  <c r="N699" i="1"/>
  <c r="H699" i="1"/>
  <c r="I699" i="1" l="1"/>
  <c r="L699" i="1"/>
  <c r="M699" i="1" s="1"/>
  <c r="O699" i="1"/>
  <c r="P699" i="1" s="1"/>
  <c r="J699" i="1" l="1"/>
  <c r="F699" i="1" s="1"/>
  <c r="B700" i="1" l="1"/>
  <c r="C691" i="3" s="1"/>
  <c r="D700" i="1"/>
  <c r="G699" i="1"/>
  <c r="E700" i="1" l="1"/>
  <c r="C700" i="1"/>
  <c r="D691" i="3" s="1"/>
  <c r="K700" i="1"/>
  <c r="N700" i="1"/>
  <c r="H700" i="1"/>
  <c r="L700" i="1" l="1"/>
  <c r="M700" i="1" s="1"/>
  <c r="O700" i="1"/>
  <c r="P700" i="1" s="1"/>
  <c r="I700" i="1"/>
  <c r="J700" i="1" l="1"/>
  <c r="F700" i="1" s="1"/>
  <c r="D701" i="1" l="1"/>
  <c r="B701" i="1"/>
  <c r="C692" i="3" s="1"/>
  <c r="G700" i="1"/>
  <c r="E701" i="1" l="1"/>
  <c r="C701" i="1"/>
  <c r="D692" i="3" s="1"/>
  <c r="K701" i="1"/>
  <c r="N701" i="1"/>
  <c r="H701" i="1"/>
  <c r="L701" i="1" l="1"/>
  <c r="M701" i="1" s="1"/>
  <c r="O701" i="1"/>
  <c r="P701" i="1" s="1"/>
  <c r="I701" i="1"/>
  <c r="J701" i="1" l="1"/>
  <c r="F701" i="1" s="1"/>
  <c r="B702" i="1" l="1"/>
  <c r="C693" i="3" s="1"/>
  <c r="D702" i="1"/>
  <c r="G701" i="1"/>
  <c r="E702" i="1" l="1"/>
  <c r="C702" i="1"/>
  <c r="D693" i="3" s="1"/>
  <c r="N702" i="1"/>
  <c r="H702" i="1"/>
  <c r="K702" i="1"/>
  <c r="L702" i="1" l="1"/>
  <c r="M702" i="1" s="1"/>
  <c r="O702" i="1"/>
  <c r="P702" i="1" s="1"/>
  <c r="I702" i="1"/>
  <c r="J702" i="1" l="1"/>
  <c r="F702" i="1" s="1"/>
  <c r="D703" i="1" l="1"/>
  <c r="B703" i="1"/>
  <c r="C694" i="3" s="1"/>
  <c r="G702" i="1"/>
  <c r="E703" i="1" l="1"/>
  <c r="C703" i="1"/>
  <c r="D694" i="3" s="1"/>
  <c r="N703" i="1"/>
  <c r="H703" i="1"/>
  <c r="K703" i="1"/>
  <c r="O703" i="1" l="1"/>
  <c r="P703" i="1" s="1"/>
  <c r="I703" i="1"/>
  <c r="L703" i="1"/>
  <c r="M703" i="1" s="1"/>
  <c r="J703" i="1" l="1"/>
  <c r="F703" i="1" s="1"/>
  <c r="B704" i="1" l="1"/>
  <c r="C695" i="3" s="1"/>
  <c r="D704" i="1"/>
  <c r="G703" i="1"/>
  <c r="E704" i="1" l="1"/>
  <c r="C704" i="1"/>
  <c r="D695" i="3" s="1"/>
  <c r="N704" i="1"/>
  <c r="H704" i="1"/>
  <c r="K704" i="1"/>
  <c r="O704" i="1" l="1"/>
  <c r="P704" i="1" s="1"/>
  <c r="I704" i="1"/>
  <c r="L704" i="1"/>
  <c r="M704" i="1" s="1"/>
  <c r="J704" i="1" l="1"/>
  <c r="F704" i="1" s="1"/>
  <c r="B705" i="1" l="1"/>
  <c r="C696" i="3" s="1"/>
  <c r="D705" i="1"/>
  <c r="G704" i="1"/>
  <c r="E705" i="1" l="1"/>
  <c r="C705" i="1"/>
  <c r="D696" i="3" s="1"/>
  <c r="H705" i="1"/>
  <c r="K705" i="1"/>
  <c r="N705" i="1"/>
  <c r="O705" i="1" l="1"/>
  <c r="P705" i="1" s="1"/>
  <c r="I705" i="1"/>
  <c r="L705" i="1"/>
  <c r="M705" i="1" s="1"/>
  <c r="J705" i="1" l="1"/>
  <c r="F705" i="1" s="1"/>
  <c r="B706" i="1" l="1"/>
  <c r="C697" i="3" s="1"/>
  <c r="D706" i="1"/>
  <c r="G705" i="1"/>
  <c r="E706" i="1" l="1"/>
  <c r="C706" i="1"/>
  <c r="D697" i="3" s="1"/>
  <c r="H706" i="1"/>
  <c r="K706" i="1"/>
  <c r="N706" i="1"/>
  <c r="I706" i="1" l="1"/>
  <c r="L706" i="1"/>
  <c r="M706" i="1" s="1"/>
  <c r="O706" i="1"/>
  <c r="P706" i="1" s="1"/>
  <c r="J706" i="1" l="1"/>
  <c r="F706" i="1" s="1"/>
  <c r="B707" i="1" l="1"/>
  <c r="C698" i="3" s="1"/>
  <c r="D707" i="1"/>
  <c r="G706" i="1"/>
  <c r="E707" i="1" l="1"/>
  <c r="C707" i="1"/>
  <c r="D698" i="3" s="1"/>
  <c r="K707" i="1"/>
  <c r="N707" i="1"/>
  <c r="H707" i="1"/>
  <c r="I707" i="1" l="1"/>
  <c r="L707" i="1"/>
  <c r="M707" i="1" s="1"/>
  <c r="O707" i="1"/>
  <c r="P707" i="1" s="1"/>
  <c r="J707" i="1" l="1"/>
  <c r="F707" i="1" s="1"/>
  <c r="D708" i="1" l="1"/>
  <c r="B708" i="1"/>
  <c r="C699" i="3" s="1"/>
  <c r="G707" i="1"/>
  <c r="E708" i="1" l="1"/>
  <c r="C708" i="1"/>
  <c r="D699" i="3" s="1"/>
  <c r="K708" i="1"/>
  <c r="N708" i="1"/>
  <c r="H708" i="1"/>
  <c r="L708" i="1" l="1"/>
  <c r="M708" i="1" s="1"/>
  <c r="O708" i="1"/>
  <c r="P708" i="1" s="1"/>
  <c r="I708" i="1"/>
  <c r="J708" i="1" l="1"/>
  <c r="F708" i="1" s="1"/>
  <c r="B709" i="1" l="1"/>
  <c r="C700" i="3" s="1"/>
  <c r="D709" i="1"/>
  <c r="G708" i="1"/>
  <c r="E709" i="1" l="1"/>
  <c r="C709" i="1"/>
  <c r="D700" i="3" s="1"/>
  <c r="K709" i="1"/>
  <c r="N709" i="1"/>
  <c r="H709" i="1"/>
  <c r="L709" i="1" l="1"/>
  <c r="M709" i="1" s="1"/>
  <c r="O709" i="1"/>
  <c r="P709" i="1" s="1"/>
  <c r="I709" i="1"/>
  <c r="J709" i="1" l="1"/>
  <c r="F709" i="1" s="1"/>
  <c r="D710" i="1" l="1"/>
  <c r="B710" i="1"/>
  <c r="C701" i="3" s="1"/>
  <c r="G709" i="1"/>
  <c r="N710" i="1" l="1"/>
  <c r="H710" i="1"/>
  <c r="K710" i="1"/>
  <c r="E710" i="1"/>
  <c r="C710" i="1"/>
  <c r="D701" i="3" s="1"/>
  <c r="L710" i="1" l="1"/>
  <c r="M710" i="1" s="1"/>
  <c r="O710" i="1"/>
  <c r="I710" i="1"/>
  <c r="J710" i="1" s="1"/>
  <c r="P710" i="1"/>
  <c r="F710" i="1" l="1"/>
  <c r="B711" i="1" s="1"/>
  <c r="C702" i="3" s="1"/>
  <c r="G710" i="1"/>
  <c r="D711" i="1" l="1"/>
  <c r="C711" i="1"/>
  <c r="D702" i="3" s="1"/>
  <c r="E711" i="1"/>
  <c r="N711" i="1"/>
  <c r="H711" i="1"/>
  <c r="K711" i="1"/>
  <c r="O711" i="1" l="1"/>
  <c r="P711" i="1" s="1"/>
  <c r="I711" i="1"/>
  <c r="L711" i="1"/>
  <c r="M711" i="1" s="1"/>
  <c r="J711" i="1" l="1"/>
  <c r="F711" i="1" s="1"/>
  <c r="B712" i="1" l="1"/>
  <c r="C703" i="3" s="1"/>
  <c r="D712" i="1"/>
  <c r="G711" i="1"/>
  <c r="E712" i="1" l="1"/>
  <c r="C712" i="1"/>
  <c r="D703" i="3" s="1"/>
  <c r="N712" i="1"/>
  <c r="H712" i="1"/>
  <c r="K712" i="1"/>
  <c r="O712" i="1" l="1"/>
  <c r="P712" i="1" s="1"/>
  <c r="I712" i="1"/>
  <c r="J712" i="1" s="1"/>
  <c r="L712" i="1"/>
  <c r="M712" i="1" s="1"/>
  <c r="F712" i="1" l="1"/>
  <c r="B713" i="1" s="1"/>
  <c r="C704" i="3" s="1"/>
  <c r="G712" i="1"/>
  <c r="D713" i="1" l="1"/>
  <c r="E713" i="1"/>
  <c r="C713" i="1"/>
  <c r="D704" i="3" s="1"/>
  <c r="H713" i="1"/>
  <c r="K713" i="1"/>
  <c r="N713" i="1"/>
  <c r="O713" i="1" l="1"/>
  <c r="P713" i="1" s="1"/>
  <c r="I713" i="1"/>
  <c r="L713" i="1"/>
  <c r="M713" i="1" s="1"/>
  <c r="J713" i="1" l="1"/>
  <c r="F713" i="1" s="1"/>
  <c r="D714" i="1" l="1"/>
  <c r="B714" i="1"/>
  <c r="C705" i="3" s="1"/>
  <c r="G713" i="1"/>
  <c r="E714" i="1" l="1"/>
  <c r="C714" i="1"/>
  <c r="D705" i="3" s="1"/>
  <c r="H714" i="1"/>
  <c r="K714" i="1"/>
  <c r="N714" i="1"/>
  <c r="I714" i="1" l="1"/>
  <c r="L714" i="1"/>
  <c r="M714" i="1" s="1"/>
  <c r="O714" i="1"/>
  <c r="P714" i="1" s="1"/>
  <c r="J714" i="1" l="1"/>
  <c r="F714" i="1" s="1"/>
  <c r="D715" i="1" l="1"/>
  <c r="B715" i="1"/>
  <c r="C706" i="3" s="1"/>
  <c r="G714" i="1"/>
  <c r="K715" i="1" l="1"/>
  <c r="N715" i="1"/>
  <c r="H715" i="1"/>
  <c r="E715" i="1"/>
  <c r="C715" i="1"/>
  <c r="D706" i="3" s="1"/>
  <c r="I715" i="1" l="1"/>
  <c r="J715" i="1" s="1"/>
  <c r="L715" i="1"/>
  <c r="M715" i="1" s="1"/>
  <c r="O715" i="1"/>
  <c r="P715" i="1" s="1"/>
  <c r="F715" i="1" l="1"/>
  <c r="B716" i="1" s="1"/>
  <c r="C707" i="3" s="1"/>
  <c r="G715" i="1"/>
  <c r="D716" i="1" l="1"/>
  <c r="C716" i="1"/>
  <c r="D707" i="3" s="1"/>
  <c r="E716" i="1"/>
  <c r="K716" i="1"/>
  <c r="N716" i="1"/>
  <c r="H716" i="1"/>
  <c r="L716" i="1" l="1"/>
  <c r="M716" i="1" s="1"/>
  <c r="O716" i="1"/>
  <c r="P716" i="1" s="1"/>
  <c r="I716" i="1"/>
  <c r="J716" i="1" s="1"/>
  <c r="F716" i="1" l="1"/>
  <c r="B717" i="1" s="1"/>
  <c r="C708" i="3" s="1"/>
  <c r="G716" i="1"/>
  <c r="D717" i="1" l="1"/>
  <c r="C717" i="1"/>
  <c r="D708" i="3" s="1"/>
  <c r="E717" i="1"/>
  <c r="K717" i="1"/>
  <c r="N717" i="1"/>
  <c r="H717" i="1"/>
  <c r="L717" i="1" l="1"/>
  <c r="M717" i="1" s="1"/>
  <c r="O717" i="1"/>
  <c r="P717" i="1" s="1"/>
  <c r="I717" i="1"/>
  <c r="J717" i="1" s="1"/>
  <c r="F717" i="1" l="1"/>
  <c r="D718" i="1" s="1"/>
  <c r="G717" i="1"/>
  <c r="B718" i="1" l="1"/>
  <c r="E718" i="1"/>
  <c r="C718" i="1"/>
  <c r="D709" i="3" s="1"/>
  <c r="N718" i="1" l="1"/>
  <c r="C709" i="3"/>
  <c r="K718" i="1"/>
  <c r="H718" i="1"/>
  <c r="L718" i="1"/>
  <c r="O718" i="1"/>
  <c r="I718" i="1"/>
  <c r="J718" i="1" s="1"/>
  <c r="P718" i="1" l="1"/>
  <c r="M718" i="1"/>
  <c r="F718" i="1" l="1"/>
  <c r="B719" i="1" s="1"/>
  <c r="C710" i="3" s="1"/>
  <c r="G718" i="1"/>
  <c r="E719" i="1" s="1"/>
  <c r="N719" i="1" l="1"/>
  <c r="K719" i="1"/>
  <c r="H719" i="1"/>
  <c r="D719" i="1"/>
  <c r="C719" i="1"/>
  <c r="O719" i="1" l="1"/>
  <c r="P719" i="1" s="1"/>
  <c r="D710" i="3"/>
  <c r="L719" i="1"/>
  <c r="M719" i="1" s="1"/>
  <c r="I719" i="1"/>
  <c r="J719" i="1" s="1"/>
  <c r="F719" i="1" l="1"/>
  <c r="D720" i="1" s="1"/>
  <c r="G719" i="1"/>
  <c r="B720" i="1" l="1"/>
  <c r="E720" i="1"/>
  <c r="C720" i="1"/>
  <c r="D711" i="3" s="1"/>
  <c r="N720" i="1" l="1"/>
  <c r="C711" i="3"/>
  <c r="K720" i="1"/>
  <c r="H720" i="1"/>
  <c r="O720" i="1"/>
  <c r="I720" i="1"/>
  <c r="L720" i="1"/>
  <c r="J720" i="1" l="1"/>
  <c r="P720" i="1"/>
  <c r="M720" i="1"/>
  <c r="F720" i="1" l="1"/>
  <c r="D721" i="1" s="1"/>
  <c r="G720" i="1"/>
  <c r="E721" i="1" s="1"/>
  <c r="B721" i="1" l="1"/>
  <c r="K721" i="1" s="1"/>
  <c r="C721" i="1"/>
  <c r="N721" i="1" l="1"/>
  <c r="H721" i="1"/>
  <c r="C712" i="3"/>
  <c r="O721" i="1"/>
  <c r="D712" i="3"/>
  <c r="L721" i="1"/>
  <c r="M721" i="1" s="1"/>
  <c r="I721" i="1"/>
  <c r="J721" i="1" s="1"/>
  <c r="P721" i="1" l="1"/>
  <c r="F721" i="1" s="1"/>
  <c r="D722" i="1" s="1"/>
  <c r="G721" i="1" l="1"/>
  <c r="C722" i="1" s="1"/>
  <c r="D713" i="3" s="1"/>
  <c r="B722" i="1"/>
  <c r="I722" i="1" l="1"/>
  <c r="O722" i="1"/>
  <c r="L722" i="1"/>
  <c r="E722" i="1"/>
  <c r="H722" i="1"/>
  <c r="C713" i="3"/>
  <c r="K722" i="1"/>
  <c r="M722" i="1" s="1"/>
  <c r="N722" i="1"/>
  <c r="P722" i="1" s="1"/>
  <c r="J722" i="1" l="1"/>
  <c r="F722" i="1" s="1"/>
  <c r="B723" i="1" s="1"/>
  <c r="C714" i="3" s="1"/>
  <c r="G722" i="1" l="1"/>
  <c r="C723" i="1" s="1"/>
  <c r="D714" i="3" s="1"/>
  <c r="D723" i="1"/>
  <c r="K723" i="1"/>
  <c r="N723" i="1"/>
  <c r="H723" i="1"/>
  <c r="E723" i="1" l="1"/>
  <c r="I723" i="1"/>
  <c r="L723" i="1"/>
  <c r="M723" i="1" s="1"/>
  <c r="O723" i="1"/>
  <c r="P723" i="1" s="1"/>
  <c r="J723" i="1" l="1"/>
  <c r="F723" i="1" s="1"/>
  <c r="D724" i="1" l="1"/>
  <c r="B724" i="1"/>
  <c r="C715" i="3" s="1"/>
  <c r="G723" i="1"/>
  <c r="E724" i="1" l="1"/>
  <c r="C724" i="1"/>
  <c r="D715" i="3" s="1"/>
  <c r="K724" i="1"/>
  <c r="N724" i="1"/>
  <c r="H724" i="1"/>
  <c r="L724" i="1" l="1"/>
  <c r="M724" i="1" s="1"/>
  <c r="O724" i="1"/>
  <c r="P724" i="1" s="1"/>
  <c r="I724" i="1"/>
  <c r="J724" i="1" l="1"/>
  <c r="F724" i="1" s="1"/>
  <c r="B725" i="1" l="1"/>
  <c r="C716" i="3" s="1"/>
  <c r="D725" i="1"/>
  <c r="G724" i="1"/>
  <c r="E725" i="1" l="1"/>
  <c r="C725" i="1"/>
  <c r="D716" i="3" s="1"/>
  <c r="K725" i="1"/>
  <c r="N725" i="1"/>
  <c r="H725" i="1"/>
  <c r="L725" i="1" l="1"/>
  <c r="M725" i="1" s="1"/>
  <c r="O725" i="1"/>
  <c r="P725" i="1" s="1"/>
  <c r="I725" i="1"/>
  <c r="J725" i="1" l="1"/>
  <c r="F725" i="1" s="1"/>
  <c r="D726" i="1" l="1"/>
  <c r="B726" i="1"/>
  <c r="C717" i="3" s="1"/>
  <c r="G725" i="1"/>
  <c r="N726" i="1" l="1"/>
  <c r="H726" i="1"/>
  <c r="K726" i="1"/>
  <c r="E726" i="1"/>
  <c r="C726" i="1"/>
  <c r="D717" i="3" s="1"/>
  <c r="L726" i="1" l="1"/>
  <c r="M726" i="1" s="1"/>
  <c r="O726" i="1"/>
  <c r="P726" i="1" s="1"/>
  <c r="I726" i="1"/>
  <c r="J726" i="1" s="1"/>
  <c r="F726" i="1" l="1"/>
  <c r="B727" i="1" s="1"/>
  <c r="C718" i="3" s="1"/>
  <c r="G726" i="1"/>
  <c r="D727" i="1" l="1"/>
  <c r="E727" i="1"/>
  <c r="C727" i="1"/>
  <c r="D718" i="3" s="1"/>
  <c r="N727" i="1"/>
  <c r="H727" i="1"/>
  <c r="K727" i="1"/>
  <c r="O727" i="1" l="1"/>
  <c r="P727" i="1" s="1"/>
  <c r="I727" i="1"/>
  <c r="L727" i="1"/>
  <c r="M727" i="1" s="1"/>
  <c r="J727" i="1" l="1"/>
  <c r="F727" i="1" s="1"/>
  <c r="D728" i="1" l="1"/>
  <c r="B728" i="1"/>
  <c r="C719" i="3" s="1"/>
  <c r="G727" i="1"/>
  <c r="E728" i="1" l="1"/>
  <c r="C728" i="1"/>
  <c r="D719" i="3" s="1"/>
  <c r="N728" i="1"/>
  <c r="H728" i="1"/>
  <c r="K728" i="1"/>
  <c r="O728" i="1" l="1"/>
  <c r="P728" i="1" s="1"/>
  <c r="I728" i="1"/>
  <c r="J728" i="1" s="1"/>
  <c r="L728" i="1"/>
  <c r="M728" i="1" s="1"/>
  <c r="F728" i="1" l="1"/>
  <c r="D729" i="1" s="1"/>
  <c r="G728" i="1"/>
  <c r="B729" i="1" l="1"/>
  <c r="E729" i="1"/>
  <c r="C729" i="1"/>
  <c r="D720" i="3" s="1"/>
  <c r="H729" i="1" l="1"/>
  <c r="C720" i="3"/>
  <c r="N729" i="1"/>
  <c r="K729" i="1"/>
  <c r="O729" i="1"/>
  <c r="I729" i="1"/>
  <c r="L729" i="1"/>
  <c r="M729" i="1" s="1"/>
  <c r="P729" i="1" l="1"/>
  <c r="J729" i="1"/>
  <c r="F729" i="1" l="1"/>
  <c r="B730" i="1" s="1"/>
  <c r="C721" i="3" s="1"/>
  <c r="G729" i="1"/>
  <c r="D730" i="1" l="1"/>
  <c r="E730" i="1"/>
  <c r="C730" i="1"/>
  <c r="D721" i="3" s="1"/>
  <c r="H730" i="1"/>
  <c r="K730" i="1"/>
  <c r="N730" i="1"/>
  <c r="I730" i="1" l="1"/>
  <c r="J730" i="1" s="1"/>
  <c r="L730" i="1"/>
  <c r="M730" i="1" s="1"/>
  <c r="O730" i="1"/>
  <c r="P730" i="1" s="1"/>
  <c r="F730" i="1" l="1"/>
  <c r="D731" i="1" s="1"/>
  <c r="G730" i="1"/>
  <c r="B731" i="1" l="1"/>
  <c r="E731" i="1"/>
  <c r="C731" i="1"/>
  <c r="D722" i="3" s="1"/>
  <c r="K731" i="1" l="1"/>
  <c r="C722" i="3"/>
  <c r="N731" i="1"/>
  <c r="H731" i="1"/>
  <c r="I731" i="1"/>
  <c r="L731" i="1"/>
  <c r="O731" i="1"/>
  <c r="M731" i="1" l="1"/>
  <c r="P731" i="1"/>
  <c r="J731" i="1"/>
  <c r="F731" i="1" l="1"/>
  <c r="D732" i="1" s="1"/>
  <c r="G731" i="1"/>
  <c r="B732" i="1" l="1"/>
  <c r="E732" i="1"/>
  <c r="C732" i="1"/>
  <c r="D723" i="3" s="1"/>
  <c r="N732" i="1" l="1"/>
  <c r="C723" i="3"/>
  <c r="K732" i="1"/>
  <c r="H732" i="1"/>
  <c r="L732" i="1"/>
  <c r="O732" i="1"/>
  <c r="I732" i="1"/>
  <c r="J732" i="1" s="1"/>
  <c r="P732" i="1" l="1"/>
  <c r="M732" i="1"/>
  <c r="F732" i="1" l="1"/>
  <c r="B733" i="1" s="1"/>
  <c r="C724" i="3" s="1"/>
  <c r="G732" i="1"/>
  <c r="E733" i="1" s="1"/>
  <c r="N733" i="1" l="1"/>
  <c r="H733" i="1"/>
  <c r="K733" i="1"/>
  <c r="D733" i="1"/>
  <c r="C733" i="1"/>
  <c r="L733" i="1" l="1"/>
  <c r="M733" i="1" s="1"/>
  <c r="D724" i="3"/>
  <c r="I733" i="1"/>
  <c r="J733" i="1" s="1"/>
  <c r="O733" i="1"/>
  <c r="P733" i="1" s="1"/>
  <c r="F733" i="1" l="1"/>
  <c r="D734" i="1" s="1"/>
  <c r="G733" i="1"/>
  <c r="B734" i="1" l="1"/>
  <c r="E734" i="1"/>
  <c r="C734" i="1"/>
  <c r="D725" i="3" s="1"/>
  <c r="N734" i="1" l="1"/>
  <c r="C725" i="3"/>
  <c r="K734" i="1"/>
  <c r="H734" i="1"/>
  <c r="L734" i="1"/>
  <c r="O734" i="1"/>
  <c r="I734" i="1"/>
  <c r="J734" i="1" l="1"/>
  <c r="P734" i="1"/>
  <c r="M734" i="1"/>
  <c r="F734" i="1" l="1"/>
  <c r="B735" i="1" s="1"/>
  <c r="C726" i="3" s="1"/>
  <c r="G734" i="1"/>
  <c r="E735" i="1" s="1"/>
  <c r="H735" i="1" l="1"/>
  <c r="K735" i="1"/>
  <c r="N735" i="1"/>
  <c r="D735" i="1"/>
  <c r="C735" i="1"/>
  <c r="O735" i="1" l="1"/>
  <c r="P735" i="1" s="1"/>
  <c r="D726" i="3"/>
  <c r="L735" i="1"/>
  <c r="M735" i="1" s="1"/>
  <c r="I735" i="1"/>
  <c r="J735" i="1" s="1"/>
  <c r="F735" i="1" l="1"/>
  <c r="D736" i="1" s="1"/>
  <c r="G735" i="1"/>
  <c r="E736" i="1" s="1"/>
  <c r="B736" i="1" l="1"/>
  <c r="C736" i="1"/>
  <c r="I736" i="1" l="1"/>
  <c r="D727" i="3"/>
  <c r="N736" i="1"/>
  <c r="C727" i="3"/>
  <c r="O736" i="1"/>
  <c r="H736" i="1"/>
  <c r="K736" i="1"/>
  <c r="L736" i="1"/>
  <c r="P736" i="1" l="1"/>
  <c r="J736" i="1"/>
  <c r="M736" i="1"/>
  <c r="F736" i="1" l="1"/>
  <c r="B737" i="1" s="1"/>
  <c r="K737" i="1" s="1"/>
  <c r="G736" i="1"/>
  <c r="C737" i="1" s="1"/>
  <c r="H737" i="1" l="1"/>
  <c r="D737" i="1"/>
  <c r="N737" i="1"/>
  <c r="C728" i="3"/>
  <c r="O737" i="1"/>
  <c r="D728" i="3"/>
  <c r="L737" i="1"/>
  <c r="M737" i="1" s="1"/>
  <c r="I737" i="1"/>
  <c r="E737" i="1"/>
  <c r="P737" i="1" l="1"/>
  <c r="J737" i="1"/>
  <c r="F737" i="1" l="1"/>
  <c r="D738" i="1" s="1"/>
  <c r="G737" i="1"/>
  <c r="E738" i="1" s="1"/>
  <c r="C738" i="1" l="1"/>
  <c r="D729" i="3" s="1"/>
  <c r="B738" i="1"/>
  <c r="H738" i="1" s="1"/>
  <c r="O738" i="1" l="1"/>
  <c r="L738" i="1"/>
  <c r="I738" i="1"/>
  <c r="N738" i="1"/>
  <c r="K738" i="1"/>
  <c r="M738" i="1" s="1"/>
  <c r="C729" i="3"/>
  <c r="J738" i="1"/>
  <c r="P738" i="1" l="1"/>
  <c r="G738" i="1" s="1"/>
  <c r="E739" i="1" s="1"/>
  <c r="F738" i="1" l="1"/>
  <c r="B739" i="1" s="1"/>
  <c r="C730" i="3" s="1"/>
  <c r="C739" i="1"/>
  <c r="D730" i="3" s="1"/>
  <c r="D739" i="1" l="1"/>
  <c r="N739" i="1"/>
  <c r="K739" i="1"/>
  <c r="H739" i="1"/>
  <c r="O739" i="1"/>
  <c r="P739" i="1" s="1"/>
  <c r="I739" i="1"/>
  <c r="J739" i="1" s="1"/>
  <c r="L739" i="1"/>
  <c r="M739" i="1" s="1"/>
  <c r="F739" i="1" l="1"/>
  <c r="D740" i="1" s="1"/>
  <c r="G739" i="1"/>
  <c r="B740" i="1" l="1"/>
  <c r="C731" i="3" s="1"/>
  <c r="E740" i="1"/>
  <c r="C740" i="1"/>
  <c r="D731" i="3" s="1"/>
  <c r="H740" i="1" l="1"/>
  <c r="N740" i="1"/>
  <c r="K740" i="1"/>
  <c r="L740" i="1"/>
  <c r="O740" i="1"/>
  <c r="I740" i="1"/>
  <c r="P740" i="1" l="1"/>
  <c r="J740" i="1"/>
  <c r="M740" i="1"/>
  <c r="F740" i="1" l="1"/>
  <c r="B741" i="1" s="1"/>
  <c r="C732" i="3" s="1"/>
  <c r="G740" i="1"/>
  <c r="E741" i="1" s="1"/>
  <c r="K741" i="1" l="1"/>
  <c r="H741" i="1"/>
  <c r="N741" i="1"/>
  <c r="D741" i="1"/>
  <c r="C741" i="1"/>
  <c r="D732" i="3" s="1"/>
  <c r="I741" i="1" l="1"/>
  <c r="J741" i="1" s="1"/>
  <c r="O741" i="1"/>
  <c r="P741" i="1" s="1"/>
  <c r="L741" i="1"/>
  <c r="M741" i="1" s="1"/>
  <c r="F741" i="1" l="1"/>
  <c r="D742" i="1" s="1"/>
  <c r="G741" i="1"/>
  <c r="B742" i="1" l="1"/>
  <c r="C733" i="3" s="1"/>
  <c r="E742" i="1"/>
  <c r="C742" i="1"/>
  <c r="D733" i="3" s="1"/>
  <c r="H742" i="1" l="1"/>
  <c r="K742" i="1"/>
  <c r="N742" i="1"/>
  <c r="L742" i="1"/>
  <c r="M742" i="1" s="1"/>
  <c r="O742" i="1"/>
  <c r="I742" i="1"/>
  <c r="P742" i="1" l="1"/>
  <c r="J742" i="1"/>
  <c r="F742" i="1" l="1"/>
  <c r="B743" i="1" s="1"/>
  <c r="C734" i="3" s="1"/>
  <c r="G742" i="1"/>
  <c r="C743" i="1" s="1"/>
  <c r="D734" i="3" s="1"/>
  <c r="D743" i="1"/>
  <c r="N743" i="1"/>
  <c r="H743" i="1"/>
  <c r="K743" i="1"/>
  <c r="E743" i="1" l="1"/>
  <c r="O743" i="1"/>
  <c r="P743" i="1" s="1"/>
  <c r="I743" i="1"/>
  <c r="L743" i="1"/>
  <c r="M743" i="1" s="1"/>
  <c r="J743" i="1" l="1"/>
  <c r="F743" i="1" s="1"/>
  <c r="D744" i="1" l="1"/>
  <c r="B744" i="1"/>
  <c r="C735" i="3" s="1"/>
  <c r="G743" i="1"/>
  <c r="N744" i="1" l="1"/>
  <c r="H744" i="1"/>
  <c r="K744" i="1"/>
  <c r="E744" i="1"/>
  <c r="C744" i="1"/>
  <c r="D735" i="3" s="1"/>
  <c r="O744" i="1" l="1"/>
  <c r="P744" i="1" s="1"/>
  <c r="I744" i="1"/>
  <c r="J744" i="1" s="1"/>
  <c r="L744" i="1"/>
  <c r="M744" i="1" s="1"/>
  <c r="F744" i="1" l="1"/>
  <c r="B745" i="1" s="1"/>
  <c r="C736" i="3" s="1"/>
  <c r="G744" i="1"/>
  <c r="D745" i="1" l="1"/>
  <c r="E745" i="1"/>
  <c r="C745" i="1"/>
  <c r="D736" i="3" s="1"/>
  <c r="H745" i="1"/>
  <c r="K745" i="1"/>
  <c r="N745" i="1"/>
  <c r="O745" i="1" l="1"/>
  <c r="P745" i="1" s="1"/>
  <c r="I745" i="1"/>
  <c r="L745" i="1"/>
  <c r="M745" i="1" s="1"/>
  <c r="J745" i="1" l="1"/>
  <c r="F745" i="1" s="1"/>
  <c r="D746" i="1" l="1"/>
  <c r="B746" i="1"/>
  <c r="C737" i="3" s="1"/>
  <c r="G745" i="1"/>
  <c r="E746" i="1" l="1"/>
  <c r="C746" i="1"/>
  <c r="D737" i="3" s="1"/>
  <c r="H746" i="1"/>
  <c r="K746" i="1"/>
  <c r="N746" i="1"/>
  <c r="I746" i="1" l="1"/>
  <c r="J746" i="1" s="1"/>
  <c r="L746" i="1"/>
  <c r="M746" i="1" s="1"/>
  <c r="O746" i="1"/>
  <c r="P746" i="1" s="1"/>
  <c r="F746" i="1" l="1"/>
  <c r="G746" i="1"/>
  <c r="E747" i="1" l="1"/>
  <c r="C747" i="1"/>
  <c r="D738" i="3" s="1"/>
  <c r="D747" i="1"/>
  <c r="B747" i="1"/>
  <c r="C738" i="3" s="1"/>
  <c r="I747" i="1" l="1"/>
  <c r="L747" i="1"/>
  <c r="O747" i="1"/>
  <c r="K747" i="1"/>
  <c r="N747" i="1"/>
  <c r="H747" i="1"/>
  <c r="M747" i="1" l="1"/>
  <c r="P747" i="1"/>
  <c r="J747" i="1"/>
  <c r="F747" i="1" l="1"/>
  <c r="B748" i="1" s="1"/>
  <c r="C739" i="3" s="1"/>
  <c r="G747" i="1"/>
  <c r="E748" i="1" s="1"/>
  <c r="D748" i="1" l="1"/>
  <c r="C748" i="1"/>
  <c r="K748" i="1"/>
  <c r="N748" i="1"/>
  <c r="H748" i="1"/>
  <c r="L748" i="1" l="1"/>
  <c r="M748" i="1" s="1"/>
  <c r="D739" i="3"/>
  <c r="I748" i="1"/>
  <c r="J748" i="1" s="1"/>
  <c r="O748" i="1"/>
  <c r="P748" i="1" s="1"/>
  <c r="F748" i="1" l="1"/>
  <c r="B749" i="1" s="1"/>
  <c r="C740" i="3" s="1"/>
  <c r="G748" i="1"/>
  <c r="E749" i="1" s="1"/>
  <c r="D749" i="1" l="1"/>
  <c r="C749" i="1"/>
  <c r="K749" i="1"/>
  <c r="N749" i="1"/>
  <c r="H749" i="1"/>
  <c r="L749" i="1" l="1"/>
  <c r="M749" i="1" s="1"/>
  <c r="D740" i="3"/>
  <c r="I749" i="1"/>
  <c r="J749" i="1" s="1"/>
  <c r="O749" i="1"/>
  <c r="P749" i="1" s="1"/>
  <c r="G749" i="1" l="1"/>
  <c r="E750" i="1" s="1"/>
  <c r="F749" i="1"/>
  <c r="D750" i="1" s="1"/>
  <c r="C750" i="1" l="1"/>
  <c r="B750" i="1"/>
  <c r="N750" i="1" l="1"/>
  <c r="C741" i="3"/>
  <c r="L750" i="1"/>
  <c r="D741" i="3"/>
  <c r="O750" i="1"/>
  <c r="I750" i="1"/>
  <c r="K750" i="1"/>
  <c r="M750" i="1" s="1"/>
  <c r="H750" i="1"/>
  <c r="P750" i="1" l="1"/>
  <c r="J750" i="1"/>
  <c r="G750" i="1" l="1"/>
  <c r="E751" i="1" s="1"/>
  <c r="F750" i="1"/>
  <c r="D751" i="1" s="1"/>
  <c r="C751" i="1" l="1"/>
  <c r="O751" i="1" s="1"/>
  <c r="B751" i="1"/>
  <c r="L751" i="1" l="1"/>
  <c r="I751" i="1"/>
  <c r="D742" i="3"/>
  <c r="N751" i="1"/>
  <c r="P751" i="1" s="1"/>
  <c r="C742" i="3"/>
  <c r="H751" i="1"/>
  <c r="J751" i="1" s="1"/>
  <c r="K751" i="1"/>
  <c r="M751" i="1" l="1"/>
  <c r="G751" i="1" s="1"/>
  <c r="E752" i="1" s="1"/>
  <c r="F751" i="1" l="1"/>
  <c r="D752" i="1" s="1"/>
  <c r="C752" i="1"/>
  <c r="B752" i="1" l="1"/>
  <c r="N752" i="1" s="1"/>
  <c r="O752" i="1"/>
  <c r="D743" i="3"/>
  <c r="I752" i="1"/>
  <c r="L752" i="1"/>
  <c r="P752" i="1" l="1"/>
  <c r="K752" i="1"/>
  <c r="M752" i="1" s="1"/>
  <c r="C743" i="3"/>
  <c r="H752" i="1"/>
  <c r="J752" i="1" s="1"/>
  <c r="G752" i="1" l="1"/>
  <c r="E753" i="1" s="1"/>
  <c r="F752" i="1"/>
  <c r="B753" i="1" s="1"/>
  <c r="C744" i="3" s="1"/>
  <c r="C753" i="1" l="1"/>
  <c r="D753" i="1"/>
  <c r="H753" i="1"/>
  <c r="N753" i="1"/>
  <c r="K753" i="1"/>
  <c r="I753" i="1" l="1"/>
  <c r="J753" i="1" s="1"/>
  <c r="D744" i="3"/>
  <c r="L753" i="1"/>
  <c r="M753" i="1" s="1"/>
  <c r="O753" i="1"/>
  <c r="P753" i="1" s="1"/>
  <c r="G753" i="1" l="1"/>
  <c r="E754" i="1" s="1"/>
  <c r="F753" i="1"/>
  <c r="D754" i="1" s="1"/>
  <c r="C754" i="1" l="1"/>
  <c r="B754" i="1"/>
  <c r="H754" i="1" l="1"/>
  <c r="C745" i="3"/>
  <c r="I754" i="1"/>
  <c r="D745" i="3"/>
  <c r="L754" i="1"/>
  <c r="O754" i="1"/>
  <c r="N754" i="1"/>
  <c r="K754" i="1"/>
  <c r="J754" i="1" l="1"/>
  <c r="P754" i="1"/>
  <c r="M754" i="1"/>
  <c r="G754" i="1" l="1"/>
  <c r="C755" i="1" s="1"/>
  <c r="F754" i="1"/>
  <c r="D755" i="1" s="1"/>
  <c r="L755" i="1" l="1"/>
  <c r="D746" i="3"/>
  <c r="I755" i="1"/>
  <c r="O755" i="1"/>
  <c r="E755" i="1"/>
  <c r="B755" i="1"/>
  <c r="K755" i="1" l="1"/>
  <c r="M755" i="1" s="1"/>
  <c r="C746" i="3"/>
  <c r="H755" i="1"/>
  <c r="J755" i="1" s="1"/>
  <c r="N755" i="1"/>
  <c r="P755" i="1" s="1"/>
  <c r="G755" i="1" l="1"/>
  <c r="E756" i="1" s="1"/>
  <c r="F755" i="1"/>
  <c r="B756" i="1" s="1"/>
  <c r="C747" i="3" s="1"/>
  <c r="C756" i="1" l="1"/>
  <c r="D756" i="1"/>
  <c r="K756" i="1"/>
  <c r="N756" i="1"/>
  <c r="H756" i="1"/>
  <c r="O756" i="1" l="1"/>
  <c r="P756" i="1" s="1"/>
  <c r="D747" i="3"/>
  <c r="I756" i="1"/>
  <c r="J756" i="1" s="1"/>
  <c r="L756" i="1"/>
  <c r="M756" i="1" s="1"/>
  <c r="G756" i="1" l="1"/>
  <c r="C757" i="1" s="1"/>
  <c r="D748" i="3" s="1"/>
  <c r="F756" i="1"/>
  <c r="B757" i="1" s="1"/>
  <c r="C748" i="3" s="1"/>
  <c r="E757" i="1" l="1"/>
  <c r="D757" i="1"/>
  <c r="K757" i="1"/>
  <c r="N757" i="1"/>
  <c r="H757" i="1"/>
  <c r="L757" i="1"/>
  <c r="O757" i="1"/>
  <c r="I757" i="1"/>
  <c r="J757" i="1" l="1"/>
  <c r="M757" i="1"/>
  <c r="P757" i="1"/>
  <c r="F757" i="1" l="1"/>
  <c r="D758" i="1" s="1"/>
  <c r="G757" i="1"/>
  <c r="C758" i="1" s="1"/>
  <c r="D749" i="3" s="1"/>
  <c r="B758" i="1" l="1"/>
  <c r="E758" i="1"/>
  <c r="L758" i="1"/>
  <c r="O758" i="1"/>
  <c r="I758" i="1"/>
  <c r="N758" i="1" l="1"/>
  <c r="P758" i="1" s="1"/>
  <c r="C749" i="3"/>
  <c r="K758" i="1"/>
  <c r="M758" i="1" s="1"/>
  <c r="H758" i="1"/>
  <c r="J758" i="1" s="1"/>
  <c r="G758" i="1" l="1"/>
  <c r="E759" i="1" s="1"/>
  <c r="F758" i="1"/>
  <c r="C759" i="1" l="1"/>
  <c r="D759" i="1"/>
  <c r="B759" i="1"/>
  <c r="C750" i="3" s="1"/>
  <c r="O759" i="1" l="1"/>
  <c r="D750" i="3"/>
  <c r="L759" i="1"/>
  <c r="I759" i="1"/>
  <c r="N759" i="1"/>
  <c r="H759" i="1"/>
  <c r="K759" i="1"/>
  <c r="P759" i="1" l="1"/>
  <c r="M759" i="1"/>
  <c r="J759" i="1"/>
  <c r="G759" i="1" l="1"/>
  <c r="E760" i="1" s="1"/>
  <c r="F759" i="1"/>
  <c r="C760" i="1" l="1"/>
  <c r="D760" i="1"/>
  <c r="B760" i="1"/>
  <c r="C751" i="3" s="1"/>
  <c r="O760" i="1" l="1"/>
  <c r="D751" i="3"/>
  <c r="L760" i="1"/>
  <c r="I760" i="1"/>
  <c r="N760" i="1"/>
  <c r="H760" i="1"/>
  <c r="K760" i="1"/>
  <c r="P760" i="1" l="1"/>
  <c r="M760" i="1"/>
  <c r="J760" i="1"/>
  <c r="G760" i="1" l="1"/>
  <c r="C761" i="1" s="1"/>
  <c r="D752" i="3" s="1"/>
  <c r="F760" i="1"/>
  <c r="E761" i="1" l="1"/>
  <c r="B761" i="1"/>
  <c r="C752" i="3" s="1"/>
  <c r="D761" i="1"/>
  <c r="O761" i="1"/>
  <c r="I761" i="1"/>
  <c r="L761" i="1"/>
  <c r="H761" i="1" l="1"/>
  <c r="K761" i="1"/>
  <c r="M761" i="1" s="1"/>
  <c r="N761" i="1"/>
  <c r="P761" i="1" s="1"/>
  <c r="J761" i="1" l="1"/>
  <c r="G761" i="1" s="1"/>
  <c r="F761" i="1" l="1"/>
  <c r="D762" i="1" s="1"/>
  <c r="E762" i="1"/>
  <c r="C762" i="1"/>
  <c r="D753" i="3" s="1"/>
  <c r="B762" i="1" l="1"/>
  <c r="I762" i="1"/>
  <c r="L762" i="1"/>
  <c r="O762" i="1"/>
  <c r="H762" i="1" l="1"/>
  <c r="J762" i="1" s="1"/>
  <c r="C753" i="3"/>
  <c r="N762" i="1"/>
  <c r="P762" i="1" s="1"/>
  <c r="K762" i="1"/>
  <c r="M762" i="1" s="1"/>
  <c r="G762" i="1" l="1"/>
  <c r="E763" i="1" s="1"/>
  <c r="F762" i="1"/>
  <c r="B763" i="1" s="1"/>
  <c r="C754" i="3" s="1"/>
  <c r="C763" i="1" l="1"/>
  <c r="D763" i="1"/>
  <c r="K763" i="1"/>
  <c r="N763" i="1"/>
  <c r="H763" i="1"/>
  <c r="I763" i="1" l="1"/>
  <c r="J763" i="1" s="1"/>
  <c r="D754" i="3"/>
  <c r="O763" i="1"/>
  <c r="P763" i="1" s="1"/>
  <c r="L763" i="1"/>
  <c r="M763" i="1" s="1"/>
  <c r="G763" i="1" l="1"/>
  <c r="C764" i="1" s="1"/>
  <c r="D755" i="3" s="1"/>
  <c r="F763" i="1"/>
  <c r="D764" i="1" s="1"/>
  <c r="E764" i="1" l="1"/>
  <c r="B764" i="1"/>
  <c r="L764" i="1"/>
  <c r="O764" i="1"/>
  <c r="I764" i="1"/>
  <c r="K764" i="1" l="1"/>
  <c r="M764" i="1" s="1"/>
  <c r="C755" i="3"/>
  <c r="H764" i="1"/>
  <c r="J764" i="1" s="1"/>
  <c r="N764" i="1"/>
  <c r="P764" i="1" s="1"/>
  <c r="F764" i="1" l="1"/>
  <c r="D765" i="1" s="1"/>
  <c r="G764" i="1"/>
  <c r="B765" i="1" l="1"/>
  <c r="C765" i="1"/>
  <c r="D756" i="3" s="1"/>
  <c r="E765" i="1"/>
  <c r="K765" i="1" l="1"/>
  <c r="C756" i="3"/>
  <c r="H765" i="1"/>
  <c r="N765" i="1"/>
  <c r="L765" i="1"/>
  <c r="O765" i="1"/>
  <c r="P765" i="1" s="1"/>
  <c r="I765" i="1"/>
  <c r="M765" i="1" l="1"/>
  <c r="J765" i="1"/>
  <c r="G765" i="1" l="1"/>
  <c r="C766" i="1" s="1"/>
  <c r="D757" i="3" s="1"/>
  <c r="F765" i="1"/>
  <c r="D766" i="1" s="1"/>
  <c r="E766" i="1" l="1"/>
  <c r="B766" i="1"/>
  <c r="L766" i="1"/>
  <c r="O766" i="1"/>
  <c r="I766" i="1"/>
  <c r="N766" i="1" l="1"/>
  <c r="P766" i="1" s="1"/>
  <c r="C757" i="3"/>
  <c r="K766" i="1"/>
  <c r="M766" i="1" s="1"/>
  <c r="H766" i="1"/>
  <c r="J766" i="1" s="1"/>
  <c r="F766" i="1" l="1"/>
  <c r="D767" i="1" s="1"/>
  <c r="G766" i="1"/>
  <c r="B767" i="1" l="1"/>
  <c r="C767" i="1"/>
  <c r="D758" i="3" s="1"/>
  <c r="E767" i="1"/>
  <c r="N767" i="1" l="1"/>
  <c r="C758" i="3"/>
  <c r="K767" i="1"/>
  <c r="H767" i="1"/>
  <c r="O767" i="1"/>
  <c r="I767" i="1"/>
  <c r="L767" i="1"/>
  <c r="J767" i="1" l="1"/>
  <c r="P767" i="1"/>
  <c r="M767" i="1"/>
  <c r="F767" i="1" l="1"/>
  <c r="B768" i="1" s="1"/>
  <c r="C759" i="3" s="1"/>
  <c r="G767" i="1"/>
  <c r="C768" i="1" s="1"/>
  <c r="D759" i="3" s="1"/>
  <c r="K768" i="1" l="1"/>
  <c r="H768" i="1"/>
  <c r="N768" i="1"/>
  <c r="D768" i="1"/>
  <c r="E768" i="1"/>
  <c r="O768" i="1"/>
  <c r="I768" i="1"/>
  <c r="L768" i="1"/>
  <c r="P768" i="1" l="1"/>
  <c r="M768" i="1"/>
  <c r="J768" i="1"/>
  <c r="F768" i="1" l="1"/>
  <c r="D769" i="1" s="1"/>
  <c r="G768" i="1"/>
  <c r="B769" i="1" l="1"/>
  <c r="C760" i="3" s="1"/>
  <c r="E769" i="1"/>
  <c r="C769" i="1"/>
  <c r="D760" i="3" s="1"/>
  <c r="N769" i="1" l="1"/>
  <c r="K769" i="1"/>
  <c r="H769" i="1"/>
  <c r="O769" i="1"/>
  <c r="I769" i="1"/>
  <c r="J769" i="1" s="1"/>
  <c r="L769" i="1"/>
  <c r="M769" i="1" s="1"/>
  <c r="P769" i="1" l="1"/>
  <c r="F769" i="1" s="1"/>
  <c r="B770" i="1" s="1"/>
  <c r="C761" i="3" s="1"/>
  <c r="G769" i="1" l="1"/>
  <c r="C770" i="1" s="1"/>
  <c r="D761" i="3" s="1"/>
  <c r="D770" i="1"/>
  <c r="H770" i="1"/>
  <c r="K770" i="1"/>
  <c r="N770" i="1"/>
  <c r="E770" i="1" l="1"/>
  <c r="I770" i="1"/>
  <c r="L770" i="1"/>
  <c r="M770" i="1" s="1"/>
  <c r="O770" i="1"/>
  <c r="P770" i="1" s="1"/>
  <c r="J770" i="1" l="1"/>
  <c r="F770" i="1" s="1"/>
  <c r="D771" i="1" l="1"/>
  <c r="B771" i="1"/>
  <c r="C762" i="3" s="1"/>
  <c r="G770" i="1"/>
  <c r="K771" i="1" l="1"/>
  <c r="N771" i="1"/>
  <c r="H771" i="1"/>
  <c r="E771" i="1"/>
  <c r="C771" i="1"/>
  <c r="D762" i="3" s="1"/>
  <c r="I771" i="1" l="1"/>
  <c r="J771" i="1" s="1"/>
  <c r="L771" i="1"/>
  <c r="M771" i="1" s="1"/>
  <c r="O771" i="1"/>
  <c r="P771" i="1" s="1"/>
  <c r="F771" i="1" l="1"/>
  <c r="B772" i="1" s="1"/>
  <c r="C763" i="3" s="1"/>
  <c r="G771" i="1"/>
  <c r="D772" i="1" l="1"/>
  <c r="E772" i="1"/>
  <c r="C772" i="1"/>
  <c r="D763" i="3" s="1"/>
  <c r="K772" i="1"/>
  <c r="N772" i="1"/>
  <c r="H772" i="1"/>
  <c r="L772" i="1" l="1"/>
  <c r="M772" i="1" s="1"/>
  <c r="O772" i="1"/>
  <c r="P772" i="1" s="1"/>
  <c r="I772" i="1"/>
  <c r="J772" i="1" l="1"/>
  <c r="F772" i="1" s="1"/>
  <c r="D773" i="1" l="1"/>
  <c r="B773" i="1"/>
  <c r="C764" i="3" s="1"/>
  <c r="G772" i="1"/>
  <c r="K773" i="1" l="1"/>
  <c r="N773" i="1"/>
  <c r="H773" i="1"/>
  <c r="E773" i="1"/>
  <c r="C773" i="1"/>
  <c r="D764" i="3" s="1"/>
  <c r="L773" i="1" l="1"/>
  <c r="M773" i="1" s="1"/>
  <c r="O773" i="1"/>
  <c r="P773" i="1" s="1"/>
  <c r="I773" i="1"/>
  <c r="J773" i="1" s="1"/>
  <c r="F773" i="1" l="1"/>
  <c r="G773" i="1"/>
  <c r="E774" i="1" l="1"/>
  <c r="C774" i="1"/>
  <c r="D765" i="3" s="1"/>
  <c r="B774" i="1"/>
  <c r="C765" i="3" s="1"/>
  <c r="D774" i="1"/>
  <c r="L774" i="1" l="1"/>
  <c r="O774" i="1"/>
  <c r="I774" i="1"/>
  <c r="N774" i="1"/>
  <c r="H774" i="1"/>
  <c r="K774" i="1"/>
  <c r="P774" i="1" l="1"/>
  <c r="M774" i="1"/>
  <c r="J774" i="1"/>
  <c r="F774" i="1" l="1"/>
  <c r="B775" i="1" s="1"/>
  <c r="C766" i="3" s="1"/>
  <c r="G774" i="1"/>
  <c r="D775" i="1" l="1"/>
  <c r="E775" i="1"/>
  <c r="C775" i="1"/>
  <c r="D766" i="3" s="1"/>
  <c r="N775" i="1"/>
  <c r="H775" i="1"/>
  <c r="K775" i="1"/>
  <c r="O775" i="1" l="1"/>
  <c r="P775" i="1" s="1"/>
  <c r="I775" i="1"/>
  <c r="J775" i="1" s="1"/>
  <c r="L775" i="1"/>
  <c r="M775" i="1" s="1"/>
  <c r="F775" i="1" l="1"/>
  <c r="D776" i="1" s="1"/>
  <c r="G775" i="1"/>
  <c r="B776" i="1" l="1"/>
  <c r="E776" i="1"/>
  <c r="C776" i="1"/>
  <c r="D767" i="3" s="1"/>
  <c r="N776" i="1" l="1"/>
  <c r="C767" i="3"/>
  <c r="K776" i="1"/>
  <c r="H776" i="1"/>
  <c r="O776" i="1"/>
  <c r="I776" i="1"/>
  <c r="L776" i="1"/>
  <c r="P776" i="1" l="1"/>
  <c r="J776" i="1"/>
  <c r="M776" i="1"/>
  <c r="F776" i="1" l="1"/>
  <c r="B777" i="1" s="1"/>
  <c r="G776" i="1"/>
  <c r="E777" i="1" s="1"/>
  <c r="H777" i="1" l="1"/>
  <c r="C768" i="3"/>
  <c r="K777" i="1"/>
  <c r="N777" i="1"/>
  <c r="D777" i="1"/>
  <c r="C777" i="1"/>
  <c r="O777" i="1" l="1"/>
  <c r="P777" i="1" s="1"/>
  <c r="D768" i="3"/>
  <c r="L777" i="1"/>
  <c r="M777" i="1" s="1"/>
  <c r="I777" i="1"/>
  <c r="J777" i="1" s="1"/>
  <c r="F777" i="1" l="1"/>
  <c r="B778" i="1" s="1"/>
  <c r="G777" i="1"/>
  <c r="E778" i="1" s="1"/>
  <c r="K778" i="1" l="1"/>
  <c r="C769" i="3"/>
  <c r="N778" i="1"/>
  <c r="H778" i="1"/>
  <c r="D778" i="1"/>
  <c r="C778" i="1"/>
  <c r="I778" i="1" l="1"/>
  <c r="J778" i="1" s="1"/>
  <c r="D769" i="3"/>
  <c r="O778" i="1"/>
  <c r="P778" i="1" s="1"/>
  <c r="L778" i="1"/>
  <c r="M778" i="1" s="1"/>
  <c r="F778" i="1" l="1"/>
  <c r="B779" i="1" s="1"/>
  <c r="G778" i="1"/>
  <c r="E779" i="1" s="1"/>
  <c r="H779" i="1" l="1"/>
  <c r="C770" i="3"/>
  <c r="C779" i="1"/>
  <c r="D779" i="1"/>
  <c r="N779" i="1"/>
  <c r="K779" i="1"/>
  <c r="I779" i="1" l="1"/>
  <c r="J779" i="1" s="1"/>
  <c r="D770" i="3"/>
  <c r="L779" i="1"/>
  <c r="M779" i="1" s="1"/>
  <c r="O779" i="1"/>
  <c r="P779" i="1" s="1"/>
  <c r="F779" i="1" l="1"/>
  <c r="D780" i="1" s="1"/>
  <c r="G779" i="1"/>
  <c r="B780" i="1" l="1"/>
  <c r="E780" i="1"/>
  <c r="C780" i="1"/>
  <c r="D771" i="3" s="1"/>
  <c r="K780" i="1" l="1"/>
  <c r="C771" i="3"/>
  <c r="H780" i="1"/>
  <c r="N780" i="1"/>
  <c r="L780" i="1"/>
  <c r="O780" i="1"/>
  <c r="P780" i="1" s="1"/>
  <c r="I780" i="1"/>
  <c r="M780" i="1" l="1"/>
  <c r="J780" i="1"/>
  <c r="F780" i="1" l="1"/>
  <c r="D781" i="1" s="1"/>
  <c r="G780" i="1"/>
  <c r="C781" i="1" s="1"/>
  <c r="D772" i="3" s="1"/>
  <c r="B781" i="1" l="1"/>
  <c r="K781" i="1" s="1"/>
  <c r="E781" i="1"/>
  <c r="L781" i="1"/>
  <c r="O781" i="1"/>
  <c r="I781" i="1"/>
  <c r="C772" i="3" l="1"/>
  <c r="N781" i="1"/>
  <c r="H781" i="1"/>
  <c r="M781" i="1"/>
  <c r="P781" i="1"/>
  <c r="J781" i="1"/>
  <c r="F781" i="1" l="1"/>
  <c r="B782" i="1" s="1"/>
  <c r="G781" i="1"/>
  <c r="C782" i="1" s="1"/>
  <c r="D773" i="3" s="1"/>
  <c r="N782" i="1" l="1"/>
  <c r="C773" i="3"/>
  <c r="K782" i="1"/>
  <c r="H782" i="1"/>
  <c r="D782" i="1"/>
  <c r="E782" i="1"/>
  <c r="L782" i="1"/>
  <c r="O782" i="1"/>
  <c r="I782" i="1"/>
  <c r="P782" i="1" l="1"/>
  <c r="M782" i="1"/>
  <c r="J782" i="1"/>
  <c r="F782" i="1" l="1"/>
  <c r="D783" i="1" s="1"/>
  <c r="G782" i="1"/>
  <c r="B783" i="1" l="1"/>
  <c r="C783" i="1"/>
  <c r="D774" i="3" s="1"/>
  <c r="E783" i="1"/>
  <c r="N783" i="1" l="1"/>
  <c r="C774" i="3"/>
  <c r="K783" i="1"/>
  <c r="H783" i="1"/>
  <c r="O783" i="1"/>
  <c r="I783" i="1"/>
  <c r="L783" i="1"/>
  <c r="J783" i="1" l="1"/>
  <c r="P783" i="1"/>
  <c r="M783" i="1"/>
  <c r="F783" i="1" l="1"/>
  <c r="B784" i="1" s="1"/>
  <c r="C775" i="3" s="1"/>
  <c r="G783" i="1"/>
  <c r="C784" i="1" s="1"/>
  <c r="D775" i="3" s="1"/>
  <c r="K784" i="1" l="1"/>
  <c r="H784" i="1"/>
  <c r="N784" i="1"/>
  <c r="D784" i="1"/>
  <c r="E784" i="1"/>
  <c r="O784" i="1"/>
  <c r="P784" i="1" s="1"/>
  <c r="I784" i="1"/>
  <c r="L784" i="1"/>
  <c r="M784" i="1" l="1"/>
  <c r="J784" i="1"/>
  <c r="F784" i="1" l="1"/>
  <c r="D785" i="1" s="1"/>
  <c r="G784" i="1"/>
  <c r="B785" i="1" l="1"/>
  <c r="C776" i="3" s="1"/>
  <c r="C785" i="1"/>
  <c r="D776" i="3" s="1"/>
  <c r="E785" i="1"/>
  <c r="N785" i="1" l="1"/>
  <c r="K785" i="1"/>
  <c r="H785" i="1"/>
  <c r="O785" i="1"/>
  <c r="I785" i="1"/>
  <c r="L785" i="1"/>
  <c r="M785" i="1" s="1"/>
  <c r="P785" i="1" l="1"/>
  <c r="J785" i="1"/>
  <c r="F785" i="1" l="1"/>
  <c r="B786" i="1" s="1"/>
  <c r="C777" i="3" s="1"/>
  <c r="G785" i="1"/>
  <c r="D786" i="1" l="1"/>
  <c r="E786" i="1"/>
  <c r="C786" i="1"/>
  <c r="D777" i="3" s="1"/>
  <c r="H786" i="1"/>
  <c r="K786" i="1"/>
  <c r="N786" i="1"/>
  <c r="I786" i="1" l="1"/>
  <c r="J786" i="1" s="1"/>
  <c r="L786" i="1"/>
  <c r="M786" i="1" s="1"/>
  <c r="O786" i="1"/>
  <c r="P786" i="1" s="1"/>
  <c r="F786" i="1" l="1"/>
  <c r="D787" i="1" s="1"/>
  <c r="G786" i="1"/>
  <c r="B787" i="1" l="1"/>
  <c r="E787" i="1"/>
  <c r="C787" i="1"/>
  <c r="D778" i="3" s="1"/>
  <c r="K787" i="1" l="1"/>
  <c r="C778" i="3"/>
  <c r="H787" i="1"/>
  <c r="N787" i="1"/>
  <c r="I787" i="1"/>
  <c r="L787" i="1"/>
  <c r="O787" i="1"/>
  <c r="P787" i="1" s="1"/>
  <c r="M787" i="1" l="1"/>
  <c r="J787" i="1"/>
  <c r="F787" i="1" l="1"/>
  <c r="B788" i="1" s="1"/>
  <c r="C779" i="3" s="1"/>
  <c r="G787" i="1"/>
  <c r="C788" i="1" s="1"/>
  <c r="D779" i="3" s="1"/>
  <c r="H788" i="1" l="1"/>
  <c r="N788" i="1"/>
  <c r="K788" i="1"/>
  <c r="D788" i="1"/>
  <c r="E788" i="1"/>
  <c r="L788" i="1"/>
  <c r="M788" i="1" s="1"/>
  <c r="O788" i="1"/>
  <c r="P788" i="1" s="1"/>
  <c r="I788" i="1"/>
  <c r="J788" i="1" l="1"/>
  <c r="F788" i="1" s="1"/>
  <c r="D789" i="1" l="1"/>
  <c r="B789" i="1"/>
  <c r="C780" i="3" s="1"/>
  <c r="G788" i="1"/>
  <c r="K789" i="1" l="1"/>
  <c r="N789" i="1"/>
  <c r="H789" i="1"/>
  <c r="E789" i="1"/>
  <c r="C789" i="1"/>
  <c r="D780" i="3" s="1"/>
  <c r="L789" i="1" l="1"/>
  <c r="M789" i="1" s="1"/>
  <c r="O789" i="1"/>
  <c r="P789" i="1" s="1"/>
  <c r="I789" i="1"/>
  <c r="J789" i="1" s="1"/>
  <c r="F789" i="1" l="1"/>
  <c r="B790" i="1" s="1"/>
  <c r="C781" i="3" s="1"/>
  <c r="G789" i="1"/>
  <c r="D790" i="1" l="1"/>
  <c r="E790" i="1"/>
  <c r="C790" i="1"/>
  <c r="D781" i="3" s="1"/>
  <c r="N790" i="1"/>
  <c r="H790" i="1"/>
  <c r="K790" i="1"/>
  <c r="L790" i="1" l="1"/>
  <c r="M790" i="1" s="1"/>
  <c r="O790" i="1"/>
  <c r="P790" i="1" s="1"/>
  <c r="I790" i="1"/>
  <c r="J790" i="1" s="1"/>
  <c r="F790" i="1" l="1"/>
  <c r="D791" i="1" s="1"/>
  <c r="G790" i="1"/>
  <c r="B791" i="1" l="1"/>
  <c r="E791" i="1"/>
  <c r="C791" i="1"/>
  <c r="D782" i="3" s="1"/>
  <c r="N791" i="1" l="1"/>
  <c r="C782" i="3"/>
  <c r="K791" i="1"/>
  <c r="H791" i="1"/>
  <c r="O791" i="1"/>
  <c r="I791" i="1"/>
  <c r="L791" i="1"/>
  <c r="P791" i="1" l="1"/>
  <c r="J791" i="1"/>
  <c r="M791" i="1"/>
  <c r="F791" i="1" l="1"/>
  <c r="B792" i="1" s="1"/>
  <c r="G791" i="1"/>
  <c r="C792" i="1" s="1"/>
  <c r="D783" i="3" s="1"/>
  <c r="N792" i="1" l="1"/>
  <c r="C783" i="3"/>
  <c r="H792" i="1"/>
  <c r="K792" i="1"/>
  <c r="D792" i="1"/>
  <c r="E792" i="1"/>
  <c r="O792" i="1"/>
  <c r="I792" i="1"/>
  <c r="L792" i="1"/>
  <c r="P792" i="1" l="1"/>
  <c r="M792" i="1"/>
  <c r="J792" i="1"/>
  <c r="F792" i="1" l="1"/>
  <c r="D793" i="1" s="1"/>
  <c r="G792" i="1"/>
  <c r="B793" i="1" l="1"/>
  <c r="C784" i="3" s="1"/>
  <c r="E793" i="1"/>
  <c r="C793" i="1"/>
  <c r="D784" i="3" s="1"/>
  <c r="N793" i="1" l="1"/>
  <c r="K793" i="1"/>
  <c r="H793" i="1"/>
  <c r="O793" i="1"/>
  <c r="I793" i="1"/>
  <c r="L793" i="1"/>
  <c r="M793" i="1" s="1"/>
  <c r="J793" i="1" l="1"/>
  <c r="P793" i="1"/>
  <c r="F793" i="1" l="1"/>
  <c r="B794" i="1" s="1"/>
  <c r="C785" i="3" s="1"/>
  <c r="G793" i="1"/>
  <c r="E794" i="1" s="1"/>
  <c r="K794" i="1" l="1"/>
  <c r="H794" i="1"/>
  <c r="D794" i="1"/>
  <c r="N794" i="1"/>
  <c r="C794" i="1"/>
  <c r="D785" i="3" s="1"/>
  <c r="O794" i="1" l="1"/>
  <c r="P794" i="1" s="1"/>
  <c r="L794" i="1"/>
  <c r="M794" i="1" s="1"/>
  <c r="I794" i="1"/>
  <c r="J794" i="1" s="1"/>
  <c r="F794" i="1" l="1"/>
  <c r="D795" i="1" s="1"/>
  <c r="G794" i="1"/>
  <c r="C795" i="1" s="1"/>
  <c r="D786" i="3" s="1"/>
  <c r="B795" i="1" l="1"/>
  <c r="K795" i="1" s="1"/>
  <c r="E795" i="1"/>
  <c r="I795" i="1"/>
  <c r="L795" i="1"/>
  <c r="O795" i="1"/>
  <c r="M795" i="1" l="1"/>
  <c r="H795" i="1"/>
  <c r="N795" i="1"/>
  <c r="P795" i="1" s="1"/>
  <c r="C786" i="3"/>
  <c r="J795" i="1"/>
  <c r="F795" i="1" l="1"/>
  <c r="B796" i="1" s="1"/>
  <c r="C787" i="3" s="1"/>
  <c r="G795" i="1"/>
  <c r="C796" i="1" s="1"/>
  <c r="D787" i="3" s="1"/>
  <c r="N796" i="1" l="1"/>
  <c r="H796" i="1"/>
  <c r="K796" i="1"/>
  <c r="D796" i="1"/>
  <c r="E796" i="1"/>
  <c r="L796" i="1"/>
  <c r="O796" i="1"/>
  <c r="I796" i="1"/>
  <c r="M796" i="1" l="1"/>
  <c r="P796" i="1"/>
  <c r="J796" i="1"/>
  <c r="F796" i="1" l="1"/>
  <c r="D797" i="1" s="1"/>
  <c r="G796" i="1"/>
  <c r="B797" i="1" l="1"/>
  <c r="C788" i="3" s="1"/>
  <c r="E797" i="1"/>
  <c r="C797" i="1"/>
  <c r="D788" i="3" s="1"/>
  <c r="H797" i="1" l="1"/>
  <c r="K797" i="1"/>
  <c r="N797" i="1"/>
  <c r="L797" i="1"/>
  <c r="M797" i="1" s="1"/>
  <c r="O797" i="1"/>
  <c r="P797" i="1" s="1"/>
  <c r="I797" i="1"/>
  <c r="J797" i="1" l="1"/>
  <c r="F797" i="1" s="1"/>
  <c r="D798" i="1" l="1"/>
  <c r="B798" i="1"/>
  <c r="C789" i="3" s="1"/>
  <c r="G797" i="1"/>
  <c r="N798" i="1" l="1"/>
  <c r="H798" i="1"/>
  <c r="K798" i="1"/>
  <c r="E798" i="1"/>
  <c r="C798" i="1"/>
  <c r="D789" i="3" s="1"/>
  <c r="L798" i="1" l="1"/>
  <c r="M798" i="1" s="1"/>
  <c r="O798" i="1"/>
  <c r="P798" i="1" s="1"/>
  <c r="I798" i="1"/>
  <c r="J798" i="1" s="1"/>
  <c r="F798" i="1" l="1"/>
  <c r="B799" i="1" s="1"/>
  <c r="C790" i="3" s="1"/>
  <c r="G798" i="1"/>
  <c r="D799" i="1" l="1"/>
  <c r="C799" i="1"/>
  <c r="D790" i="3" s="1"/>
  <c r="E799" i="1"/>
  <c r="N799" i="1"/>
  <c r="H799" i="1"/>
  <c r="K799" i="1"/>
  <c r="O799" i="1" l="1"/>
  <c r="P799" i="1" s="1"/>
  <c r="I799" i="1"/>
  <c r="J799" i="1" s="1"/>
  <c r="L799" i="1"/>
  <c r="M799" i="1" s="1"/>
  <c r="F799" i="1" l="1"/>
  <c r="G799" i="1"/>
  <c r="E800" i="1" l="1"/>
  <c r="C800" i="1"/>
  <c r="D791" i="3" s="1"/>
  <c r="D800" i="1"/>
  <c r="B800" i="1"/>
  <c r="C791" i="3" s="1"/>
  <c r="O800" i="1" l="1"/>
  <c r="I800" i="1"/>
  <c r="L800" i="1"/>
  <c r="N800" i="1"/>
  <c r="H800" i="1"/>
  <c r="K800" i="1"/>
  <c r="M800" i="1" s="1"/>
  <c r="P800" i="1" l="1"/>
  <c r="J800" i="1"/>
  <c r="F800" i="1" l="1"/>
  <c r="D801" i="1" s="1"/>
  <c r="G800" i="1"/>
  <c r="B801" i="1" l="1"/>
  <c r="E801" i="1"/>
  <c r="C801" i="1"/>
  <c r="D792" i="3" s="1"/>
  <c r="H801" i="1" l="1"/>
  <c r="C792" i="3"/>
  <c r="N801" i="1"/>
  <c r="K801" i="1"/>
  <c r="O801" i="1"/>
  <c r="I801" i="1"/>
  <c r="L801" i="1"/>
  <c r="M801" i="1" l="1"/>
  <c r="J801" i="1"/>
  <c r="P801" i="1"/>
  <c r="F801" i="1" l="1"/>
  <c r="B802" i="1" s="1"/>
  <c r="C793" i="3" s="1"/>
  <c r="G801" i="1"/>
  <c r="E802" i="1" s="1"/>
  <c r="N802" i="1" l="1"/>
  <c r="K802" i="1"/>
  <c r="H802" i="1"/>
  <c r="D802" i="1"/>
  <c r="C802" i="1"/>
  <c r="I802" i="1" l="1"/>
  <c r="J802" i="1" s="1"/>
  <c r="D793" i="3"/>
  <c r="O802" i="1"/>
  <c r="P802" i="1" s="1"/>
  <c r="L802" i="1"/>
  <c r="M802" i="1" s="1"/>
  <c r="F802" i="1" l="1"/>
  <c r="D803" i="1" s="1"/>
  <c r="G802" i="1"/>
  <c r="C803" i="1" s="1"/>
  <c r="D794" i="3" s="1"/>
  <c r="B803" i="1" l="1"/>
  <c r="C794" i="3" s="1"/>
  <c r="E803" i="1"/>
  <c r="I803" i="1"/>
  <c r="L803" i="1"/>
  <c r="O803" i="1"/>
  <c r="K803" i="1" l="1"/>
  <c r="M803" i="1" s="1"/>
  <c r="N803" i="1"/>
  <c r="P803" i="1" s="1"/>
  <c r="H803" i="1"/>
  <c r="J803" i="1" s="1"/>
  <c r="F803" i="1" l="1"/>
  <c r="B804" i="1" s="1"/>
  <c r="C795" i="3" s="1"/>
  <c r="G803" i="1"/>
  <c r="E804" i="1" s="1"/>
  <c r="D804" i="1" l="1"/>
  <c r="C804" i="1"/>
  <c r="K804" i="1"/>
  <c r="N804" i="1"/>
  <c r="H804" i="1"/>
  <c r="L804" i="1" l="1"/>
  <c r="M804" i="1" s="1"/>
  <c r="D795" i="3"/>
  <c r="O804" i="1"/>
  <c r="P804" i="1" s="1"/>
  <c r="I804" i="1"/>
  <c r="J804" i="1" s="1"/>
  <c r="F804" i="1" l="1"/>
  <c r="B805" i="1" s="1"/>
  <c r="C796" i="3" s="1"/>
  <c r="G804" i="1"/>
  <c r="C805" i="1" s="1"/>
  <c r="D796" i="3" s="1"/>
  <c r="D805" i="1" l="1"/>
  <c r="E805" i="1"/>
  <c r="K805" i="1"/>
  <c r="N805" i="1"/>
  <c r="H805" i="1"/>
  <c r="L805" i="1"/>
  <c r="O805" i="1"/>
  <c r="I805" i="1"/>
  <c r="P805" i="1" l="1"/>
  <c r="J805" i="1"/>
  <c r="M805" i="1"/>
  <c r="G805" i="1" l="1"/>
  <c r="E806" i="1" s="1"/>
  <c r="F805" i="1"/>
  <c r="D806" i="1" s="1"/>
  <c r="C806" i="1" l="1"/>
  <c r="B806" i="1"/>
  <c r="N806" i="1" l="1"/>
  <c r="C797" i="3"/>
  <c r="L806" i="1"/>
  <c r="D797" i="3"/>
  <c r="I806" i="1"/>
  <c r="O806" i="1"/>
  <c r="K806" i="1"/>
  <c r="M806" i="1" s="1"/>
  <c r="H806" i="1"/>
  <c r="P806" i="1" l="1"/>
  <c r="J806" i="1"/>
  <c r="G806" i="1" l="1"/>
  <c r="E807" i="1" s="1"/>
  <c r="F806" i="1"/>
  <c r="B807" i="1" s="1"/>
  <c r="C807" i="1" l="1"/>
  <c r="O807" i="1" s="1"/>
  <c r="H807" i="1"/>
  <c r="C798" i="3"/>
  <c r="N807" i="1"/>
  <c r="K807" i="1"/>
  <c r="D807" i="1"/>
  <c r="D798" i="3" l="1"/>
  <c r="L807" i="1"/>
  <c r="M807" i="1" s="1"/>
  <c r="P807" i="1"/>
  <c r="I807" i="1"/>
  <c r="J807" i="1" s="1"/>
  <c r="F807" i="1" l="1"/>
  <c r="B808" i="1" s="1"/>
  <c r="C799" i="3" s="1"/>
  <c r="G807" i="1"/>
  <c r="C808" i="1" s="1"/>
  <c r="D799" i="3" s="1"/>
  <c r="K808" i="1" l="1"/>
  <c r="H808" i="1"/>
  <c r="N808" i="1"/>
  <c r="D808" i="1"/>
  <c r="E808" i="1"/>
  <c r="O808" i="1"/>
  <c r="P808" i="1" s="1"/>
  <c r="I808" i="1"/>
  <c r="L808" i="1"/>
  <c r="M808" i="1" l="1"/>
  <c r="J808" i="1"/>
  <c r="F808" i="1" l="1"/>
  <c r="D809" i="1" s="1"/>
  <c r="G808" i="1"/>
  <c r="B809" i="1" l="1"/>
  <c r="C800" i="3" s="1"/>
  <c r="E809" i="1"/>
  <c r="C809" i="1"/>
  <c r="D800" i="3" s="1"/>
  <c r="N809" i="1" l="1"/>
  <c r="K809" i="1"/>
  <c r="H809" i="1"/>
  <c r="O809" i="1"/>
  <c r="I809" i="1"/>
  <c r="J809" i="1" s="1"/>
  <c r="L809" i="1"/>
  <c r="M809" i="1" s="1"/>
  <c r="P809" i="1" l="1"/>
  <c r="F809" i="1" s="1"/>
  <c r="B810" i="1" s="1"/>
  <c r="C801" i="3" s="1"/>
  <c r="G809" i="1" l="1"/>
  <c r="E810" i="1" s="1"/>
  <c r="D810" i="1"/>
  <c r="H810" i="1"/>
  <c r="K810" i="1"/>
  <c r="N810" i="1"/>
  <c r="C810" i="1" l="1"/>
  <c r="D801" i="3" s="1"/>
  <c r="O810" i="1" l="1"/>
  <c r="P810" i="1" s="1"/>
  <c r="L810" i="1"/>
  <c r="M810" i="1" s="1"/>
  <c r="I810" i="1"/>
  <c r="J810" i="1" s="1"/>
  <c r="G810" i="1"/>
  <c r="F810" i="1" l="1"/>
  <c r="E811" i="1"/>
  <c r="C811" i="1"/>
  <c r="D802" i="3" s="1"/>
  <c r="D811" i="1"/>
  <c r="B811" i="1"/>
  <c r="C802" i="3" s="1"/>
  <c r="I811" i="1" l="1"/>
  <c r="L811" i="1"/>
  <c r="O811" i="1"/>
  <c r="K811" i="1"/>
  <c r="N811" i="1"/>
  <c r="P811" i="1" s="1"/>
  <c r="H811" i="1"/>
  <c r="M811" i="1" l="1"/>
  <c r="J811" i="1"/>
  <c r="F811" i="1" l="1"/>
  <c r="D812" i="1" s="1"/>
  <c r="G811" i="1"/>
  <c r="E812" i="1" s="1"/>
  <c r="B812" i="1" l="1"/>
  <c r="C803" i="3" s="1"/>
  <c r="C812" i="1"/>
  <c r="N812" i="1" l="1"/>
  <c r="H812" i="1"/>
  <c r="K812" i="1"/>
  <c r="L812" i="1"/>
  <c r="D803" i="3"/>
  <c r="I812" i="1"/>
  <c r="O812" i="1"/>
  <c r="J812" i="1"/>
  <c r="M812" i="1" l="1"/>
  <c r="P812" i="1"/>
  <c r="F812" i="1" l="1"/>
  <c r="D813" i="1" s="1"/>
  <c r="G812" i="1"/>
  <c r="E813" i="1" s="1"/>
  <c r="B813" i="1"/>
  <c r="C813" i="1" l="1"/>
  <c r="L813" i="1" s="1"/>
  <c r="K813" i="1"/>
  <c r="C804" i="3"/>
  <c r="H813" i="1"/>
  <c r="N813" i="1"/>
  <c r="O813" i="1" l="1"/>
  <c r="P813" i="1" s="1"/>
  <c r="D804" i="3"/>
  <c r="I813" i="1"/>
  <c r="M813" i="1"/>
  <c r="J813" i="1"/>
  <c r="F813" i="1" l="1"/>
  <c r="B814" i="1" s="1"/>
  <c r="C805" i="3" s="1"/>
  <c r="G813" i="1"/>
  <c r="E814" i="1" s="1"/>
  <c r="H814" i="1" l="1"/>
  <c r="K814" i="1"/>
  <c r="N814" i="1"/>
  <c r="D814" i="1"/>
  <c r="C814" i="1"/>
  <c r="D805" i="3" s="1"/>
  <c r="L814" i="1" l="1"/>
  <c r="M814" i="1" s="1"/>
  <c r="I814" i="1"/>
  <c r="J814" i="1" s="1"/>
  <c r="O814" i="1"/>
  <c r="P814" i="1" s="1"/>
  <c r="F814" i="1" l="1"/>
  <c r="D815" i="1" s="1"/>
  <c r="G814" i="1"/>
  <c r="E815" i="1" s="1"/>
  <c r="B815" i="1" l="1"/>
  <c r="C815" i="1"/>
  <c r="O815" i="1" l="1"/>
  <c r="D806" i="3"/>
  <c r="N815" i="1"/>
  <c r="C806" i="3"/>
  <c r="H815" i="1"/>
  <c r="K815" i="1"/>
  <c r="I815" i="1"/>
  <c r="L815" i="1"/>
  <c r="P815" i="1" l="1"/>
  <c r="M815" i="1"/>
  <c r="J815" i="1"/>
  <c r="G815" i="1" l="1"/>
  <c r="C816" i="1" s="1"/>
  <c r="D807" i="3" s="1"/>
  <c r="F815" i="1"/>
  <c r="D816" i="1" s="1"/>
  <c r="O816" i="1" l="1"/>
  <c r="I816" i="1"/>
  <c r="E816" i="1"/>
  <c r="L816" i="1"/>
  <c r="B816" i="1"/>
  <c r="N816" i="1" l="1"/>
  <c r="P816" i="1" s="1"/>
  <c r="C807" i="3"/>
  <c r="K816" i="1"/>
  <c r="M816" i="1" s="1"/>
  <c r="H816" i="1"/>
  <c r="J816" i="1" s="1"/>
  <c r="G816" i="1" l="1"/>
  <c r="E817" i="1" s="1"/>
  <c r="F816" i="1"/>
  <c r="C817" i="1" l="1"/>
  <c r="B817" i="1"/>
  <c r="C808" i="3" s="1"/>
  <c r="D817" i="1"/>
  <c r="O817" i="1" l="1"/>
  <c r="D808" i="3"/>
  <c r="L817" i="1"/>
  <c r="I817" i="1"/>
  <c r="H817" i="1"/>
  <c r="K817" i="1"/>
  <c r="N817" i="1"/>
  <c r="P817" i="1" l="1"/>
  <c r="M817" i="1"/>
  <c r="J817" i="1"/>
  <c r="G817" i="1" l="1"/>
  <c r="E818" i="1" s="1"/>
  <c r="F817" i="1"/>
  <c r="B818" i="1" s="1"/>
  <c r="C809" i="3" s="1"/>
  <c r="C818" i="1" l="1"/>
  <c r="D818" i="1"/>
  <c r="H818" i="1"/>
  <c r="K818" i="1"/>
  <c r="N818" i="1"/>
  <c r="I818" i="1" l="1"/>
  <c r="J818" i="1" s="1"/>
  <c r="D809" i="3"/>
  <c r="O818" i="1"/>
  <c r="P818" i="1" s="1"/>
  <c r="L818" i="1"/>
  <c r="M818" i="1" s="1"/>
  <c r="G818" i="1" l="1"/>
  <c r="E819" i="1" s="1"/>
  <c r="F818" i="1"/>
  <c r="D819" i="1" s="1"/>
  <c r="C819" i="1" l="1"/>
  <c r="B819" i="1"/>
  <c r="K819" i="1" l="1"/>
  <c r="C810" i="3"/>
  <c r="I819" i="1"/>
  <c r="D810" i="3"/>
  <c r="O819" i="1"/>
  <c r="L819" i="1"/>
  <c r="H819" i="1"/>
  <c r="J819" i="1" s="1"/>
  <c r="N819" i="1"/>
  <c r="M819" i="1" l="1"/>
  <c r="P819" i="1"/>
  <c r="G819" i="1" l="1"/>
  <c r="E820" i="1" s="1"/>
  <c r="F819" i="1"/>
  <c r="B820" i="1" s="1"/>
  <c r="C820" i="1" l="1"/>
  <c r="D811" i="3" s="1"/>
  <c r="H820" i="1"/>
  <c r="C811" i="3"/>
  <c r="N820" i="1"/>
  <c r="K820" i="1"/>
  <c r="D820" i="1"/>
  <c r="I820" i="1" l="1"/>
  <c r="J820" i="1" s="1"/>
  <c r="L820" i="1"/>
  <c r="M820" i="1" s="1"/>
  <c r="O820" i="1"/>
  <c r="P820" i="1" s="1"/>
  <c r="G820" i="1" l="1"/>
  <c r="E821" i="1" s="1"/>
  <c r="F820" i="1"/>
  <c r="B821" i="1" s="1"/>
  <c r="C821" i="1" l="1"/>
  <c r="L821" i="1" s="1"/>
  <c r="K821" i="1"/>
  <c r="C812" i="3"/>
  <c r="D821" i="1"/>
  <c r="H821" i="1"/>
  <c r="N821" i="1"/>
  <c r="O821" i="1" l="1"/>
  <c r="P821" i="1" s="1"/>
  <c r="D812" i="3"/>
  <c r="I821" i="1"/>
  <c r="J821" i="1" s="1"/>
  <c r="M821" i="1"/>
  <c r="G821" i="1" l="1"/>
  <c r="C822" i="1" s="1"/>
  <c r="D813" i="3" s="1"/>
  <c r="F821" i="1"/>
  <c r="D822" i="1" s="1"/>
  <c r="I822" i="1" l="1"/>
  <c r="O822" i="1"/>
  <c r="L822" i="1"/>
  <c r="E822" i="1"/>
  <c r="B822" i="1"/>
  <c r="N822" i="1" s="1"/>
  <c r="P822" i="1" s="1"/>
  <c r="H822" i="1" l="1"/>
  <c r="J822" i="1" s="1"/>
  <c r="K822" i="1"/>
  <c r="M822" i="1" s="1"/>
  <c r="C813" i="3"/>
  <c r="G822" i="1" l="1"/>
  <c r="E823" i="1" s="1"/>
  <c r="F822" i="1"/>
  <c r="D823" i="1" s="1"/>
  <c r="C823" i="1" l="1"/>
  <c r="O823" i="1" s="1"/>
  <c r="B823" i="1"/>
  <c r="C814" i="3" s="1"/>
  <c r="D814" i="3" l="1"/>
  <c r="I823" i="1"/>
  <c r="L823" i="1"/>
  <c r="K823" i="1"/>
  <c r="H823" i="1"/>
  <c r="J823" i="1" s="1"/>
  <c r="N823" i="1"/>
  <c r="P823" i="1" s="1"/>
  <c r="M823" i="1" l="1"/>
  <c r="G823" i="1" s="1"/>
  <c r="E824" i="1" s="1"/>
  <c r="F823" i="1" l="1"/>
  <c r="B824" i="1" s="1"/>
  <c r="C815" i="3" s="1"/>
  <c r="C824" i="1"/>
  <c r="D824" i="1" l="1"/>
  <c r="I824" i="1"/>
  <c r="D815" i="3"/>
  <c r="O824" i="1"/>
  <c r="L824" i="1"/>
  <c r="N824" i="1"/>
  <c r="H824" i="1"/>
  <c r="K824" i="1"/>
  <c r="M824" i="1" l="1"/>
  <c r="P824" i="1"/>
  <c r="J824" i="1"/>
  <c r="G824" i="1" l="1"/>
  <c r="C825" i="1" s="1"/>
  <c r="D816" i="3" s="1"/>
  <c r="F824" i="1"/>
  <c r="E825" i="1" l="1"/>
  <c r="B825" i="1"/>
  <c r="C816" i="3" s="1"/>
  <c r="D825" i="1"/>
  <c r="O825" i="1"/>
  <c r="I825" i="1"/>
  <c r="L825" i="1"/>
  <c r="H825" i="1" l="1"/>
  <c r="K825" i="1"/>
  <c r="M825" i="1" s="1"/>
  <c r="N825" i="1"/>
  <c r="P825" i="1" s="1"/>
  <c r="J825" i="1" l="1"/>
  <c r="G825" i="1" s="1"/>
  <c r="F825" i="1" l="1"/>
  <c r="D826" i="1" s="1"/>
  <c r="E826" i="1"/>
  <c r="C826" i="1"/>
  <c r="D817" i="3" s="1"/>
  <c r="B826" i="1" l="1"/>
  <c r="I826" i="1"/>
  <c r="L826" i="1"/>
  <c r="O826" i="1"/>
  <c r="H826" i="1" l="1"/>
  <c r="J826" i="1" s="1"/>
  <c r="C817" i="3"/>
  <c r="N826" i="1"/>
  <c r="P826" i="1" s="1"/>
  <c r="K826" i="1"/>
  <c r="M826" i="1" s="1"/>
  <c r="G826" i="1" l="1"/>
  <c r="C827" i="1" s="1"/>
  <c r="D818" i="3" s="1"/>
  <c r="F826" i="1"/>
  <c r="D827" i="1" s="1"/>
  <c r="B827" i="1" l="1"/>
  <c r="E827" i="1"/>
  <c r="I827" i="1"/>
  <c r="L827" i="1"/>
  <c r="O827" i="1"/>
  <c r="K827" i="1" l="1"/>
  <c r="M827" i="1" s="1"/>
  <c r="C818" i="3"/>
  <c r="H827" i="1"/>
  <c r="J827" i="1" s="1"/>
  <c r="N827" i="1"/>
  <c r="P827" i="1" s="1"/>
  <c r="G827" i="1" l="1"/>
  <c r="E828" i="1" s="1"/>
  <c r="F827" i="1"/>
  <c r="C828" i="1" l="1"/>
  <c r="D828" i="1"/>
  <c r="B828" i="1"/>
  <c r="C819" i="3" s="1"/>
  <c r="L828" i="1" l="1"/>
  <c r="D819" i="3"/>
  <c r="O828" i="1"/>
  <c r="I828" i="1"/>
  <c r="K828" i="1"/>
  <c r="N828" i="1"/>
  <c r="H828" i="1"/>
  <c r="M828" i="1" l="1"/>
  <c r="P828" i="1"/>
  <c r="J828" i="1"/>
  <c r="F828" i="1" l="1"/>
  <c r="B829" i="1" s="1"/>
  <c r="C820" i="3" s="1"/>
  <c r="G828" i="1"/>
  <c r="C829" i="1" s="1"/>
  <c r="D820" i="3" s="1"/>
  <c r="D829" i="1" l="1"/>
  <c r="E829" i="1"/>
  <c r="L829" i="1"/>
  <c r="O829" i="1"/>
  <c r="I829" i="1"/>
  <c r="K829" i="1"/>
  <c r="N829" i="1"/>
  <c r="H829" i="1"/>
  <c r="M829" i="1" l="1"/>
  <c r="P829" i="1"/>
  <c r="J829" i="1"/>
  <c r="G829" i="1" l="1"/>
  <c r="E830" i="1" s="1"/>
  <c r="F829" i="1"/>
  <c r="C830" i="1" l="1"/>
  <c r="B830" i="1"/>
  <c r="C821" i="3" s="1"/>
  <c r="D830" i="1"/>
  <c r="L830" i="1" l="1"/>
  <c r="D821" i="3"/>
  <c r="I830" i="1"/>
  <c r="O830" i="1"/>
  <c r="N830" i="1"/>
  <c r="H830" i="1"/>
  <c r="K830" i="1"/>
  <c r="M830" i="1" l="1"/>
  <c r="P830" i="1"/>
  <c r="J830" i="1"/>
  <c r="G830" i="1" l="1"/>
  <c r="C831" i="1" s="1"/>
  <c r="D822" i="3" s="1"/>
  <c r="F830" i="1"/>
  <c r="E831" i="1" l="1"/>
  <c r="B831" i="1"/>
  <c r="C822" i="3" s="1"/>
  <c r="D831" i="1"/>
  <c r="O831" i="1"/>
  <c r="I831" i="1"/>
  <c r="L831" i="1"/>
  <c r="N831" i="1" l="1"/>
  <c r="P831" i="1" s="1"/>
  <c r="H831" i="1"/>
  <c r="K831" i="1"/>
  <c r="M831" i="1" s="1"/>
  <c r="J831" i="1" l="1"/>
  <c r="G831" i="1" s="1"/>
  <c r="E832" i="1" l="1"/>
  <c r="C832" i="1"/>
  <c r="D823" i="3" s="1"/>
  <c r="F831" i="1"/>
  <c r="D832" i="1" l="1"/>
  <c r="B832" i="1"/>
  <c r="C823" i="3" s="1"/>
  <c r="O832" i="1"/>
  <c r="I832" i="1"/>
  <c r="L832" i="1"/>
  <c r="N832" i="1" l="1"/>
  <c r="P832" i="1" s="1"/>
  <c r="H832" i="1"/>
  <c r="K832" i="1"/>
  <c r="M832" i="1" s="1"/>
  <c r="J832" i="1" l="1"/>
  <c r="G832" i="1" s="1"/>
  <c r="C833" i="1" l="1"/>
  <c r="D824" i="3" s="1"/>
  <c r="E833" i="1"/>
  <c r="F832" i="1"/>
  <c r="B833" i="1" l="1"/>
  <c r="C824" i="3" s="1"/>
  <c r="D833" i="1"/>
  <c r="O833" i="1"/>
  <c r="I833" i="1"/>
  <c r="L833" i="1"/>
  <c r="H833" i="1" l="1"/>
  <c r="K833" i="1"/>
  <c r="M833" i="1" s="1"/>
  <c r="N833" i="1"/>
  <c r="P833" i="1" s="1"/>
  <c r="J833" i="1" l="1"/>
  <c r="G833" i="1" s="1"/>
  <c r="F833" i="1" l="1"/>
  <c r="D834" i="1" s="1"/>
  <c r="E834" i="1"/>
  <c r="C834" i="1"/>
  <c r="D825" i="3" s="1"/>
  <c r="B834" i="1" l="1"/>
  <c r="I834" i="1"/>
  <c r="L834" i="1"/>
  <c r="O834" i="1"/>
  <c r="H834" i="1" l="1"/>
  <c r="J834" i="1" s="1"/>
  <c r="C825" i="3"/>
  <c r="K834" i="1"/>
  <c r="M834" i="1" s="1"/>
  <c r="N834" i="1"/>
  <c r="P834" i="1" s="1"/>
  <c r="F834" i="1" l="1"/>
  <c r="D835" i="1" s="1"/>
  <c r="G834" i="1"/>
  <c r="C835" i="1" s="1"/>
  <c r="D826" i="3" s="1"/>
  <c r="B835" i="1" l="1"/>
  <c r="E835" i="1"/>
  <c r="I835" i="1"/>
  <c r="L835" i="1"/>
  <c r="O835" i="1"/>
  <c r="N835" i="1" l="1"/>
  <c r="P835" i="1" s="1"/>
  <c r="C826" i="3"/>
  <c r="K835" i="1"/>
  <c r="M835" i="1" s="1"/>
  <c r="H835" i="1"/>
  <c r="J835" i="1" s="1"/>
  <c r="G835" i="1" l="1"/>
  <c r="E836" i="1" s="1"/>
  <c r="F835" i="1"/>
  <c r="B836" i="1" s="1"/>
  <c r="C827" i="3" s="1"/>
  <c r="C836" i="1" l="1"/>
  <c r="D836" i="1"/>
  <c r="K836" i="1"/>
  <c r="N836" i="1"/>
  <c r="H836" i="1"/>
  <c r="L836" i="1" l="1"/>
  <c r="M836" i="1" s="1"/>
  <c r="D827" i="3"/>
  <c r="I836" i="1"/>
  <c r="J836" i="1" s="1"/>
  <c r="O836" i="1"/>
  <c r="P836" i="1" s="1"/>
  <c r="F836" i="1" l="1"/>
  <c r="B837" i="1" s="1"/>
  <c r="C828" i="3" s="1"/>
  <c r="G836" i="1"/>
  <c r="D837" i="1" l="1"/>
  <c r="E837" i="1"/>
  <c r="C837" i="1"/>
  <c r="D828" i="3" s="1"/>
  <c r="K837" i="1"/>
  <c r="N837" i="1"/>
  <c r="H837" i="1"/>
  <c r="L837" i="1" l="1"/>
  <c r="M837" i="1" s="1"/>
  <c r="O837" i="1"/>
  <c r="P837" i="1" s="1"/>
  <c r="I837" i="1"/>
  <c r="J837" i="1" l="1"/>
  <c r="F837" i="1" s="1"/>
  <c r="D838" i="1" l="1"/>
  <c r="B838" i="1"/>
  <c r="C829" i="3" s="1"/>
  <c r="G837" i="1"/>
  <c r="N838" i="1" l="1"/>
  <c r="H838" i="1"/>
  <c r="K838" i="1"/>
  <c r="E838" i="1"/>
  <c r="C838" i="1"/>
  <c r="D829" i="3" s="1"/>
  <c r="L838" i="1" l="1"/>
  <c r="M838" i="1" s="1"/>
  <c r="O838" i="1"/>
  <c r="P838" i="1" s="1"/>
  <c r="I838" i="1"/>
  <c r="J838" i="1" s="1"/>
  <c r="F838" i="1" l="1"/>
  <c r="B839" i="1" s="1"/>
  <c r="C830" i="3" s="1"/>
  <c r="G838" i="1"/>
  <c r="D839" i="1" l="1"/>
  <c r="E839" i="1"/>
  <c r="C839" i="1"/>
  <c r="D830" i="3" s="1"/>
  <c r="N839" i="1"/>
  <c r="H839" i="1"/>
  <c r="K839" i="1"/>
  <c r="O839" i="1" l="1"/>
  <c r="P839" i="1" s="1"/>
  <c r="I839" i="1"/>
  <c r="L839" i="1"/>
  <c r="M839" i="1" s="1"/>
  <c r="J839" i="1" l="1"/>
  <c r="F839" i="1" s="1"/>
  <c r="D840" i="1" l="1"/>
  <c r="B840" i="1"/>
  <c r="C831" i="3" s="1"/>
  <c r="G839" i="1"/>
  <c r="E840" i="1" l="1"/>
  <c r="C840" i="1"/>
  <c r="D831" i="3" s="1"/>
  <c r="N840" i="1"/>
  <c r="H840" i="1"/>
  <c r="K840" i="1"/>
  <c r="O840" i="1" l="1"/>
  <c r="P840" i="1" s="1"/>
  <c r="I840" i="1"/>
  <c r="L840" i="1"/>
  <c r="M840" i="1" s="1"/>
  <c r="J840" i="1" l="1"/>
  <c r="F840" i="1" s="1"/>
  <c r="B841" i="1" l="1"/>
  <c r="C832" i="3" s="1"/>
  <c r="D841" i="1"/>
  <c r="G840" i="1"/>
  <c r="E841" i="1" l="1"/>
  <c r="C841" i="1"/>
  <c r="D832" i="3" s="1"/>
  <c r="H841" i="1"/>
  <c r="K841" i="1"/>
  <c r="N841" i="1"/>
  <c r="O841" i="1" l="1"/>
  <c r="P841" i="1" s="1"/>
  <c r="I841" i="1"/>
  <c r="L841" i="1"/>
  <c r="M841" i="1" s="1"/>
  <c r="J841" i="1" l="1"/>
  <c r="F841" i="1" s="1"/>
  <c r="B842" i="1" l="1"/>
  <c r="C833" i="3" s="1"/>
  <c r="D842" i="1"/>
  <c r="G841" i="1"/>
  <c r="E842" i="1" l="1"/>
  <c r="C842" i="1"/>
  <c r="D833" i="3" s="1"/>
  <c r="H842" i="1"/>
  <c r="K842" i="1"/>
  <c r="N842" i="1"/>
  <c r="I842" i="1" l="1"/>
  <c r="J842" i="1" s="1"/>
  <c r="L842" i="1"/>
  <c r="M842" i="1" s="1"/>
  <c r="O842" i="1"/>
  <c r="P842" i="1" s="1"/>
  <c r="F842" i="1" l="1"/>
  <c r="G842" i="1"/>
  <c r="E843" i="1" l="1"/>
  <c r="C843" i="1"/>
  <c r="D834" i="3" s="1"/>
  <c r="D843" i="1"/>
  <c r="B843" i="1"/>
  <c r="C834" i="3" s="1"/>
  <c r="K843" i="1" l="1"/>
  <c r="N843" i="1"/>
  <c r="H843" i="1"/>
  <c r="I843" i="1"/>
  <c r="L843" i="1"/>
  <c r="O843" i="1"/>
  <c r="P843" i="1" l="1"/>
  <c r="J843" i="1"/>
  <c r="M843" i="1"/>
  <c r="F843" i="1" l="1"/>
  <c r="B844" i="1" s="1"/>
  <c r="C835" i="3" s="1"/>
  <c r="G843" i="1"/>
  <c r="D844" i="1" l="1"/>
  <c r="E844" i="1"/>
  <c r="C844" i="1"/>
  <c r="D835" i="3" s="1"/>
  <c r="K844" i="1"/>
  <c r="N844" i="1"/>
  <c r="H844" i="1"/>
  <c r="L844" i="1" l="1"/>
  <c r="M844" i="1" s="1"/>
  <c r="O844" i="1"/>
  <c r="P844" i="1" s="1"/>
  <c r="I844" i="1"/>
  <c r="J844" i="1" l="1"/>
  <c r="F844" i="1" s="1"/>
  <c r="D845" i="1" l="1"/>
  <c r="B845" i="1"/>
  <c r="C836" i="3" s="1"/>
  <c r="G844" i="1"/>
  <c r="K845" i="1" l="1"/>
  <c r="N845" i="1"/>
  <c r="H845" i="1"/>
  <c r="E845" i="1"/>
  <c r="C845" i="1"/>
  <c r="D836" i="3" s="1"/>
  <c r="L845" i="1" l="1"/>
  <c r="M845" i="1" s="1"/>
  <c r="O845" i="1"/>
  <c r="P845" i="1" s="1"/>
  <c r="I845" i="1"/>
  <c r="J845" i="1" s="1"/>
  <c r="F845" i="1" l="1"/>
  <c r="B846" i="1" s="1"/>
  <c r="C837" i="3" s="1"/>
  <c r="G845" i="1"/>
  <c r="D846" i="1" l="1"/>
  <c r="E846" i="1"/>
  <c r="C846" i="1"/>
  <c r="D837" i="3" s="1"/>
  <c r="N846" i="1"/>
  <c r="H846" i="1"/>
  <c r="K846" i="1"/>
  <c r="L846" i="1" l="1"/>
  <c r="M846" i="1" s="1"/>
  <c r="O846" i="1"/>
  <c r="P846" i="1" s="1"/>
  <c r="I846" i="1"/>
  <c r="J846" i="1" l="1"/>
  <c r="F846" i="1" s="1"/>
  <c r="D847" i="1" l="1"/>
  <c r="B847" i="1"/>
  <c r="C838" i="3" s="1"/>
  <c r="G846" i="1"/>
  <c r="E847" i="1" l="1"/>
  <c r="C847" i="1"/>
  <c r="D838" i="3" s="1"/>
  <c r="N847" i="1"/>
  <c r="H847" i="1"/>
  <c r="K847" i="1"/>
  <c r="O847" i="1" l="1"/>
  <c r="P847" i="1" s="1"/>
  <c r="I847" i="1"/>
  <c r="L847" i="1"/>
  <c r="M847" i="1" s="1"/>
  <c r="J847" i="1" l="1"/>
  <c r="F847" i="1" s="1"/>
  <c r="B848" i="1" l="1"/>
  <c r="C839" i="3" s="1"/>
  <c r="D848" i="1"/>
  <c r="G847" i="1"/>
  <c r="E848" i="1" l="1"/>
  <c r="C848" i="1"/>
  <c r="D839" i="3" s="1"/>
  <c r="N848" i="1"/>
  <c r="H848" i="1"/>
  <c r="K848" i="1"/>
  <c r="O848" i="1" l="1"/>
  <c r="P848" i="1" s="1"/>
  <c r="I848" i="1"/>
  <c r="J848" i="1" s="1"/>
  <c r="L848" i="1"/>
  <c r="M848" i="1" s="1"/>
  <c r="F848" i="1" l="1"/>
  <c r="G848" i="1"/>
  <c r="E849" i="1" l="1"/>
  <c r="C849" i="1"/>
  <c r="D840" i="3" s="1"/>
  <c r="D849" i="1"/>
  <c r="B849" i="1"/>
  <c r="C840" i="3" s="1"/>
  <c r="H849" i="1" l="1"/>
  <c r="K849" i="1"/>
  <c r="N849" i="1"/>
  <c r="O849" i="1"/>
  <c r="I849" i="1"/>
  <c r="L849" i="1"/>
  <c r="M849" i="1" l="1"/>
  <c r="P849" i="1"/>
  <c r="J849" i="1"/>
  <c r="F849" i="1" l="1"/>
  <c r="D850" i="1" s="1"/>
  <c r="G849" i="1"/>
  <c r="E850" i="1" s="1"/>
  <c r="B850" i="1" l="1"/>
  <c r="C850" i="1"/>
  <c r="I850" i="1" l="1"/>
  <c r="D841" i="3"/>
  <c r="H850" i="1"/>
  <c r="C841" i="3"/>
  <c r="K850" i="1"/>
  <c r="N850" i="1"/>
  <c r="O850" i="1"/>
  <c r="L850" i="1"/>
  <c r="J850" i="1" l="1"/>
  <c r="P850" i="1"/>
  <c r="M850" i="1"/>
  <c r="G850" i="1" l="1"/>
  <c r="E851" i="1" s="1"/>
  <c r="F850" i="1"/>
  <c r="B851" i="1" s="1"/>
  <c r="H851" i="1" l="1"/>
  <c r="C842" i="3"/>
  <c r="C851" i="1"/>
  <c r="D842" i="3" s="1"/>
  <c r="N851" i="1"/>
  <c r="K851" i="1"/>
  <c r="D851" i="1"/>
  <c r="I851" i="1" l="1"/>
  <c r="J851" i="1" s="1"/>
  <c r="O851" i="1"/>
  <c r="P851" i="1" s="1"/>
  <c r="L851" i="1"/>
  <c r="M851" i="1" s="1"/>
  <c r="F851" i="1" l="1"/>
  <c r="B852" i="1" s="1"/>
  <c r="G851" i="1"/>
  <c r="C852" i="1" s="1"/>
  <c r="O852" i="1" l="1"/>
  <c r="D843" i="3"/>
  <c r="K852" i="1"/>
  <c r="C843" i="3"/>
  <c r="N852" i="1"/>
  <c r="H852" i="1"/>
  <c r="D852" i="1"/>
  <c r="L852" i="1"/>
  <c r="M852" i="1" s="1"/>
  <c r="I852" i="1"/>
  <c r="E852" i="1"/>
  <c r="P852" i="1" l="1"/>
  <c r="J852" i="1"/>
  <c r="F852" i="1" l="1"/>
  <c r="B853" i="1" s="1"/>
  <c r="C844" i="3" s="1"/>
  <c r="G852" i="1"/>
  <c r="E853" i="1" s="1"/>
  <c r="D853" i="1" l="1"/>
  <c r="C853" i="1"/>
  <c r="K853" i="1"/>
  <c r="N853" i="1"/>
  <c r="H853" i="1"/>
  <c r="L853" i="1" l="1"/>
  <c r="M853" i="1" s="1"/>
  <c r="D844" i="3"/>
  <c r="O853" i="1"/>
  <c r="P853" i="1" s="1"/>
  <c r="I853" i="1"/>
  <c r="J853" i="1" s="1"/>
  <c r="G853" i="1" l="1"/>
  <c r="C854" i="1" s="1"/>
  <c r="D845" i="3" s="1"/>
  <c r="F853" i="1"/>
  <c r="E854" i="1" l="1"/>
  <c r="B854" i="1"/>
  <c r="C845" i="3" s="1"/>
  <c r="D854" i="1"/>
  <c r="L854" i="1"/>
  <c r="O854" i="1"/>
  <c r="I854" i="1"/>
  <c r="N854" i="1" l="1"/>
  <c r="P854" i="1" s="1"/>
  <c r="H854" i="1"/>
  <c r="K854" i="1"/>
  <c r="M854" i="1" s="1"/>
  <c r="J854" i="1" l="1"/>
  <c r="G854" i="1" s="1"/>
  <c r="E855" i="1" l="1"/>
  <c r="C855" i="1"/>
  <c r="D846" i="3" s="1"/>
  <c r="F854" i="1"/>
  <c r="O855" i="1" l="1"/>
  <c r="I855" i="1"/>
  <c r="L855" i="1"/>
  <c r="D855" i="1"/>
  <c r="B855" i="1"/>
  <c r="C846" i="3" s="1"/>
  <c r="N855" i="1" l="1"/>
  <c r="P855" i="1" s="1"/>
  <c r="H855" i="1"/>
  <c r="K855" i="1"/>
  <c r="M855" i="1" s="1"/>
  <c r="J855" i="1" l="1"/>
  <c r="G855" i="1" s="1"/>
  <c r="C856" i="1" l="1"/>
  <c r="D847" i="3" s="1"/>
  <c r="E856" i="1"/>
  <c r="F855" i="1"/>
  <c r="B856" i="1" l="1"/>
  <c r="C847" i="3" s="1"/>
  <c r="D856" i="1"/>
  <c r="O856" i="1"/>
  <c r="I856" i="1"/>
  <c r="L856" i="1"/>
  <c r="N856" i="1" l="1"/>
  <c r="P856" i="1" s="1"/>
  <c r="H856" i="1"/>
  <c r="K856" i="1"/>
  <c r="M856" i="1" s="1"/>
  <c r="J856" i="1" l="1"/>
  <c r="G856" i="1" s="1"/>
  <c r="E857" i="1" l="1"/>
  <c r="C857" i="1"/>
  <c r="D848" i="3" s="1"/>
  <c r="F856" i="1"/>
  <c r="O857" i="1" l="1"/>
  <c r="I857" i="1"/>
  <c r="L857" i="1"/>
  <c r="D857" i="1"/>
  <c r="B857" i="1"/>
  <c r="C848" i="3" s="1"/>
  <c r="H857" i="1" l="1"/>
  <c r="K857" i="1"/>
  <c r="M857" i="1" s="1"/>
  <c r="N857" i="1"/>
  <c r="P857" i="1" s="1"/>
  <c r="J857" i="1" l="1"/>
  <c r="G857" i="1" s="1"/>
  <c r="F857" i="1" l="1"/>
  <c r="B858" i="1" s="1"/>
  <c r="C849" i="3" s="1"/>
  <c r="C858" i="1"/>
  <c r="D849" i="3" s="1"/>
  <c r="E858" i="1"/>
  <c r="D858" i="1" l="1"/>
  <c r="I858" i="1"/>
  <c r="L858" i="1"/>
  <c r="O858" i="1"/>
  <c r="H858" i="1"/>
  <c r="K858" i="1"/>
  <c r="N858" i="1"/>
  <c r="J858" i="1" l="1"/>
  <c r="P858" i="1"/>
  <c r="M858" i="1"/>
  <c r="F858" i="1" l="1"/>
  <c r="D859" i="1" s="1"/>
  <c r="G858" i="1"/>
  <c r="E859" i="1" s="1"/>
  <c r="B859" i="1" l="1"/>
  <c r="C859" i="1"/>
  <c r="I859" i="1" l="1"/>
  <c r="D850" i="3"/>
  <c r="K859" i="1"/>
  <c r="C850" i="3"/>
  <c r="H859" i="1"/>
  <c r="N859" i="1"/>
  <c r="O859" i="1"/>
  <c r="L859" i="1"/>
  <c r="M859" i="1" l="1"/>
  <c r="J859" i="1"/>
  <c r="P859" i="1"/>
  <c r="F859" i="1" l="1"/>
  <c r="D860" i="1" s="1"/>
  <c r="G859" i="1"/>
  <c r="E860" i="1" s="1"/>
  <c r="B860" i="1" l="1"/>
  <c r="K860" i="1" s="1"/>
  <c r="C860" i="1"/>
  <c r="N860" i="1" l="1"/>
  <c r="H860" i="1"/>
  <c r="C851" i="3"/>
  <c r="L860" i="1"/>
  <c r="M860" i="1" s="1"/>
  <c r="D851" i="3"/>
  <c r="I860" i="1"/>
  <c r="J860" i="1" s="1"/>
  <c r="O860" i="1"/>
  <c r="P860" i="1" l="1"/>
  <c r="F860" i="1" s="1"/>
  <c r="B861" i="1" s="1"/>
  <c r="C852" i="3" s="1"/>
  <c r="G860" i="1" l="1"/>
  <c r="E861" i="1" s="1"/>
  <c r="D861" i="1"/>
  <c r="K861" i="1"/>
  <c r="N861" i="1"/>
  <c r="H861" i="1"/>
  <c r="C861" i="1" l="1"/>
  <c r="D852" i="3" s="1"/>
  <c r="I861" i="1" l="1"/>
  <c r="J861" i="1" s="1"/>
  <c r="O861" i="1"/>
  <c r="P861" i="1" s="1"/>
  <c r="L861" i="1"/>
  <c r="M861" i="1" s="1"/>
  <c r="F861" i="1" l="1"/>
  <c r="D862" i="1" s="1"/>
  <c r="G861" i="1"/>
  <c r="C862" i="1" s="1"/>
  <c r="D853" i="3" s="1"/>
  <c r="B862" i="1" l="1"/>
  <c r="C853" i="3" s="1"/>
  <c r="E862" i="1"/>
  <c r="L862" i="1"/>
  <c r="O862" i="1"/>
  <c r="I862" i="1"/>
  <c r="K862" i="1" l="1"/>
  <c r="M862" i="1" s="1"/>
  <c r="H862" i="1"/>
  <c r="N862" i="1"/>
  <c r="P862" i="1" s="1"/>
  <c r="J862" i="1"/>
  <c r="G862" i="1" l="1"/>
  <c r="E863" i="1" s="1"/>
  <c r="F862" i="1"/>
  <c r="D863" i="1" s="1"/>
  <c r="C863" i="1" l="1"/>
  <c r="B863" i="1"/>
  <c r="N863" i="1" l="1"/>
  <c r="C854" i="3"/>
  <c r="O863" i="1"/>
  <c r="D854" i="3"/>
  <c r="L863" i="1"/>
  <c r="I863" i="1"/>
  <c r="K863" i="1"/>
  <c r="H863" i="1"/>
  <c r="P863" i="1" l="1"/>
  <c r="J863" i="1"/>
  <c r="M863" i="1"/>
  <c r="G863" i="1" l="1"/>
  <c r="E864" i="1" s="1"/>
  <c r="F863" i="1"/>
  <c r="D864" i="1" s="1"/>
  <c r="C864" i="1" l="1"/>
  <c r="O864" i="1" s="1"/>
  <c r="B864" i="1"/>
  <c r="L864" i="1" l="1"/>
  <c r="I864" i="1"/>
  <c r="D855" i="3"/>
  <c r="N864" i="1"/>
  <c r="P864" i="1" s="1"/>
  <c r="C855" i="3"/>
  <c r="K864" i="1"/>
  <c r="H864" i="1"/>
  <c r="J864" i="1" s="1"/>
  <c r="M864" i="1" l="1"/>
  <c r="G864" i="1" s="1"/>
  <c r="C865" i="1" s="1"/>
  <c r="D856" i="3" s="1"/>
  <c r="F864" i="1" l="1"/>
  <c r="B865" i="1" s="1"/>
  <c r="C856" i="3" s="1"/>
  <c r="E865" i="1"/>
  <c r="O865" i="1"/>
  <c r="I865" i="1"/>
  <c r="L865" i="1"/>
  <c r="D865" i="1" l="1"/>
  <c r="H865" i="1"/>
  <c r="K865" i="1"/>
  <c r="M865" i="1" s="1"/>
  <c r="N865" i="1"/>
  <c r="P865" i="1" s="1"/>
  <c r="J865" i="1" l="1"/>
  <c r="G865" i="1" s="1"/>
  <c r="F865" i="1" l="1"/>
  <c r="B866" i="1" s="1"/>
  <c r="C857" i="3" s="1"/>
  <c r="E866" i="1"/>
  <c r="C866" i="1"/>
  <c r="D857" i="3" s="1"/>
  <c r="D866" i="1" l="1"/>
  <c r="I866" i="1"/>
  <c r="L866" i="1"/>
  <c r="O866" i="1"/>
  <c r="H866" i="1"/>
  <c r="K866" i="1"/>
  <c r="N866" i="1"/>
  <c r="J866" i="1" l="1"/>
  <c r="P866" i="1"/>
  <c r="M866" i="1"/>
  <c r="G866" i="1" l="1"/>
  <c r="C867" i="1" s="1"/>
  <c r="D858" i="3" s="1"/>
  <c r="F866" i="1"/>
  <c r="D867" i="1" s="1"/>
  <c r="E867" i="1" l="1"/>
  <c r="B867" i="1"/>
  <c r="I867" i="1"/>
  <c r="L867" i="1"/>
  <c r="O867" i="1"/>
  <c r="K867" i="1" l="1"/>
  <c r="M867" i="1" s="1"/>
  <c r="C858" i="3"/>
  <c r="H867" i="1"/>
  <c r="J867" i="1" s="1"/>
  <c r="N867" i="1"/>
  <c r="P867" i="1" s="1"/>
  <c r="G867" i="1" l="1"/>
  <c r="E868" i="1" s="1"/>
  <c r="F867" i="1"/>
  <c r="C868" i="1" l="1"/>
  <c r="D868" i="1"/>
  <c r="B868" i="1"/>
  <c r="C859" i="3" s="1"/>
  <c r="L868" i="1" l="1"/>
  <c r="D859" i="3"/>
  <c r="I868" i="1"/>
  <c r="O868" i="1"/>
  <c r="K868" i="1"/>
  <c r="N868" i="1"/>
  <c r="H868" i="1"/>
  <c r="M868" i="1" l="1"/>
  <c r="P868" i="1"/>
  <c r="J868" i="1"/>
  <c r="G868" i="1" l="1"/>
  <c r="E869" i="1" s="1"/>
  <c r="F868" i="1"/>
  <c r="B869" i="1" s="1"/>
  <c r="C860" i="3" s="1"/>
  <c r="C869" i="1" l="1"/>
  <c r="D869" i="1"/>
  <c r="K869" i="1"/>
  <c r="N869" i="1"/>
  <c r="H869" i="1"/>
  <c r="L869" i="1" l="1"/>
  <c r="M869" i="1" s="1"/>
  <c r="D860" i="3"/>
  <c r="I869" i="1"/>
  <c r="J869" i="1" s="1"/>
  <c r="O869" i="1"/>
  <c r="P869" i="1" s="1"/>
  <c r="G869" i="1" l="1"/>
  <c r="E870" i="1" s="1"/>
  <c r="F869" i="1"/>
  <c r="C870" i="1" l="1"/>
  <c r="D870" i="1"/>
  <c r="B870" i="1"/>
  <c r="C861" i="3" s="1"/>
  <c r="L870" i="1" l="1"/>
  <c r="D861" i="3"/>
  <c r="O870" i="1"/>
  <c r="I870" i="1"/>
  <c r="N870" i="1"/>
  <c r="H870" i="1"/>
  <c r="K870" i="1"/>
  <c r="M870" i="1" l="1"/>
  <c r="P870" i="1"/>
  <c r="J870" i="1"/>
  <c r="G870" i="1" l="1"/>
  <c r="C871" i="1" s="1"/>
  <c r="D862" i="3" s="1"/>
  <c r="F870" i="1"/>
  <c r="E871" i="1" l="1"/>
  <c r="B871" i="1"/>
  <c r="C862" i="3" s="1"/>
  <c r="D871" i="1"/>
  <c r="O871" i="1"/>
  <c r="I871" i="1"/>
  <c r="L871" i="1"/>
  <c r="N871" i="1" l="1"/>
  <c r="P871" i="1" s="1"/>
  <c r="H871" i="1"/>
  <c r="K871" i="1"/>
  <c r="M871" i="1" s="1"/>
  <c r="J871" i="1" l="1"/>
  <c r="G871" i="1" s="1"/>
  <c r="E872" i="1" l="1"/>
  <c r="C872" i="1"/>
  <c r="D863" i="3" s="1"/>
  <c r="F871" i="1"/>
  <c r="O872" i="1" l="1"/>
  <c r="I872" i="1"/>
  <c r="L872" i="1"/>
  <c r="D872" i="1"/>
  <c r="B872" i="1"/>
  <c r="C863" i="3" s="1"/>
  <c r="N872" i="1" l="1"/>
  <c r="P872" i="1" s="1"/>
  <c r="H872" i="1"/>
  <c r="K872" i="1"/>
  <c r="M872" i="1" s="1"/>
  <c r="J872" i="1" l="1"/>
  <c r="G872" i="1" s="1"/>
  <c r="C873" i="1" l="1"/>
  <c r="D864" i="3" s="1"/>
  <c r="E873" i="1"/>
  <c r="F872" i="1"/>
  <c r="D873" i="1" l="1"/>
  <c r="B873" i="1"/>
  <c r="C864" i="3" s="1"/>
  <c r="O873" i="1"/>
  <c r="I873" i="1"/>
  <c r="L873" i="1"/>
  <c r="H873" i="1" l="1"/>
  <c r="K873" i="1"/>
  <c r="M873" i="1" s="1"/>
  <c r="N873" i="1"/>
  <c r="P873" i="1" s="1"/>
  <c r="J873" i="1" l="1"/>
  <c r="G873" i="1" s="1"/>
  <c r="F873" i="1" l="1"/>
  <c r="B874" i="1" s="1"/>
  <c r="C865" i="3" s="1"/>
  <c r="E874" i="1"/>
  <c r="C874" i="1"/>
  <c r="D865" i="3" s="1"/>
  <c r="D874" i="1" l="1"/>
  <c r="I874" i="1"/>
  <c r="L874" i="1"/>
  <c r="O874" i="1"/>
  <c r="H874" i="1"/>
  <c r="K874" i="1"/>
  <c r="N874" i="1"/>
  <c r="P874" i="1" l="1"/>
  <c r="J874" i="1"/>
  <c r="M874" i="1"/>
  <c r="G874" i="1" l="1"/>
  <c r="C875" i="1" s="1"/>
  <c r="D866" i="3" s="1"/>
  <c r="F874" i="1"/>
  <c r="D875" i="1" s="1"/>
  <c r="E875" i="1" l="1"/>
  <c r="B875" i="1"/>
  <c r="I875" i="1"/>
  <c r="L875" i="1"/>
  <c r="O875" i="1"/>
  <c r="K875" i="1" l="1"/>
  <c r="M875" i="1" s="1"/>
  <c r="C866" i="3"/>
  <c r="H875" i="1"/>
  <c r="J875" i="1" s="1"/>
  <c r="N875" i="1"/>
  <c r="P875" i="1" s="1"/>
  <c r="G875" i="1" l="1"/>
  <c r="E876" i="1" s="1"/>
  <c r="F875" i="1"/>
  <c r="D876" i="1" s="1"/>
  <c r="C876" i="1" l="1"/>
  <c r="B876" i="1"/>
  <c r="K876" i="1" l="1"/>
  <c r="C867" i="3"/>
  <c r="L876" i="1"/>
  <c r="D867" i="3"/>
  <c r="O876" i="1"/>
  <c r="I876" i="1"/>
  <c r="H876" i="1"/>
  <c r="N876" i="1"/>
  <c r="M876" i="1" l="1"/>
  <c r="J876" i="1"/>
  <c r="P876" i="1"/>
  <c r="G876" i="1" l="1"/>
  <c r="E877" i="1" s="1"/>
  <c r="F876" i="1"/>
  <c r="D877" i="1" s="1"/>
  <c r="C877" i="1" l="1"/>
  <c r="D868" i="3" s="1"/>
  <c r="B877" i="1"/>
  <c r="K877" i="1" l="1"/>
  <c r="C868" i="3"/>
  <c r="L877" i="1"/>
  <c r="I877" i="1"/>
  <c r="O877" i="1"/>
  <c r="H877" i="1"/>
  <c r="N877" i="1"/>
  <c r="J877" i="1" l="1"/>
  <c r="M877" i="1"/>
  <c r="P877" i="1"/>
  <c r="G877" i="1" l="1"/>
  <c r="C878" i="1" s="1"/>
  <c r="D869" i="3" s="1"/>
  <c r="F877" i="1"/>
  <c r="B878" i="1" s="1"/>
  <c r="C869" i="3" s="1"/>
  <c r="I878" i="1" l="1"/>
  <c r="O878" i="1"/>
  <c r="L878" i="1"/>
  <c r="E878" i="1"/>
  <c r="D878" i="1"/>
  <c r="N878" i="1"/>
  <c r="H878" i="1"/>
  <c r="K878" i="1"/>
  <c r="M878" i="1" s="1"/>
  <c r="P878" i="1" l="1"/>
  <c r="J878" i="1"/>
  <c r="G878" i="1" l="1"/>
  <c r="E879" i="1" s="1"/>
  <c r="F878" i="1"/>
  <c r="C879" i="1" l="1"/>
  <c r="D870" i="3" s="1"/>
  <c r="D879" i="1"/>
  <c r="B879" i="1"/>
  <c r="C870" i="3" s="1"/>
  <c r="L879" i="1" l="1"/>
  <c r="O879" i="1"/>
  <c r="I879" i="1"/>
  <c r="N879" i="1"/>
  <c r="P879" i="1" s="1"/>
  <c r="H879" i="1"/>
  <c r="K879" i="1"/>
  <c r="M879" i="1" l="1"/>
  <c r="J879" i="1"/>
  <c r="G879" i="1" l="1"/>
  <c r="C880" i="1" s="1"/>
  <c r="D871" i="3" s="1"/>
  <c r="F879" i="1"/>
  <c r="E880" i="1" l="1"/>
  <c r="B880" i="1"/>
  <c r="C871" i="3" s="1"/>
  <c r="D880" i="1"/>
  <c r="O880" i="1"/>
  <c r="I880" i="1"/>
  <c r="L880" i="1"/>
  <c r="N880" i="1" l="1"/>
  <c r="P880" i="1" s="1"/>
  <c r="H880" i="1"/>
  <c r="K880" i="1"/>
  <c r="M880" i="1" s="1"/>
  <c r="J880" i="1" l="1"/>
  <c r="G880" i="1" s="1"/>
  <c r="E881" i="1" l="1"/>
  <c r="C881" i="1"/>
  <c r="D872" i="3" s="1"/>
  <c r="F880" i="1"/>
  <c r="O881" i="1" l="1"/>
  <c r="I881" i="1"/>
  <c r="L881" i="1"/>
  <c r="D881" i="1"/>
  <c r="B881" i="1"/>
  <c r="C872" i="3" s="1"/>
  <c r="H881" i="1" l="1"/>
  <c r="K881" i="1"/>
  <c r="M881" i="1" s="1"/>
  <c r="N881" i="1"/>
  <c r="P881" i="1" s="1"/>
  <c r="J881" i="1" l="1"/>
  <c r="G881" i="1" s="1"/>
  <c r="F881" i="1" l="1"/>
  <c r="B882" i="1" s="1"/>
  <c r="C873" i="3" s="1"/>
  <c r="E882" i="1"/>
  <c r="C882" i="1"/>
  <c r="D873" i="3" s="1"/>
  <c r="D882" i="1" l="1"/>
  <c r="I882" i="1"/>
  <c r="L882" i="1"/>
  <c r="O882" i="1"/>
  <c r="H882" i="1"/>
  <c r="K882" i="1"/>
  <c r="N882" i="1"/>
  <c r="J882" i="1" l="1"/>
  <c r="P882" i="1"/>
  <c r="M882" i="1"/>
  <c r="G882" i="1" l="1"/>
  <c r="E883" i="1" s="1"/>
  <c r="F882" i="1"/>
  <c r="D883" i="1" s="1"/>
  <c r="C883" i="1" l="1"/>
  <c r="B883" i="1"/>
  <c r="K883" i="1" l="1"/>
  <c r="C874" i="3"/>
  <c r="I883" i="1"/>
  <c r="D874" i="3"/>
  <c r="L883" i="1"/>
  <c r="O883" i="1"/>
  <c r="H883" i="1"/>
  <c r="J883" i="1" s="1"/>
  <c r="N883" i="1"/>
  <c r="M883" i="1" l="1"/>
  <c r="P883" i="1"/>
  <c r="G883" i="1" l="1"/>
  <c r="C884" i="1" s="1"/>
  <c r="D875" i="3" s="1"/>
  <c r="F883" i="1"/>
  <c r="B884" i="1" s="1"/>
  <c r="O884" i="1" l="1"/>
  <c r="I884" i="1"/>
  <c r="L884" i="1"/>
  <c r="E884" i="1"/>
  <c r="K884" i="1"/>
  <c r="C875" i="3"/>
  <c r="H884" i="1"/>
  <c r="J884" i="1" s="1"/>
  <c r="N884" i="1"/>
  <c r="D884" i="1"/>
  <c r="M884" i="1" l="1"/>
  <c r="P884" i="1"/>
  <c r="G884" i="1" s="1"/>
  <c r="C885" i="1" s="1"/>
  <c r="D876" i="3" s="1"/>
  <c r="F884" i="1"/>
  <c r="B885" i="1" s="1"/>
  <c r="C876" i="3" s="1"/>
  <c r="E885" i="1" l="1"/>
  <c r="D885" i="1"/>
  <c r="K885" i="1"/>
  <c r="N885" i="1"/>
  <c r="H885" i="1"/>
  <c r="L885" i="1"/>
  <c r="O885" i="1"/>
  <c r="I885" i="1"/>
  <c r="J885" i="1" l="1"/>
  <c r="P885" i="1"/>
  <c r="M885" i="1"/>
  <c r="F885" i="1" l="1"/>
  <c r="D886" i="1" s="1"/>
  <c r="G885" i="1"/>
  <c r="C886" i="1" s="1"/>
  <c r="D877" i="3" s="1"/>
  <c r="B886" i="1" l="1"/>
  <c r="E886" i="1"/>
  <c r="L886" i="1"/>
  <c r="O886" i="1"/>
  <c r="I886" i="1"/>
  <c r="N886" i="1" l="1"/>
  <c r="P886" i="1" s="1"/>
  <c r="C877" i="3"/>
  <c r="K886" i="1"/>
  <c r="M886" i="1" s="1"/>
  <c r="H886" i="1"/>
  <c r="J886" i="1" s="1"/>
  <c r="G886" i="1" l="1"/>
  <c r="C887" i="1" s="1"/>
  <c r="D878" i="3" s="1"/>
  <c r="F886" i="1"/>
  <c r="D887" i="1" s="1"/>
  <c r="E887" i="1" l="1"/>
  <c r="B887" i="1"/>
  <c r="O887" i="1"/>
  <c r="I887" i="1"/>
  <c r="L887" i="1"/>
  <c r="H887" i="1" l="1"/>
  <c r="J887" i="1" s="1"/>
  <c r="C878" i="3"/>
  <c r="N887" i="1"/>
  <c r="P887" i="1" s="1"/>
  <c r="K887" i="1"/>
  <c r="M887" i="1" s="1"/>
  <c r="G887" i="1" l="1"/>
  <c r="E888" i="1" s="1"/>
  <c r="F887" i="1"/>
  <c r="C888" i="1" l="1"/>
  <c r="D888" i="1"/>
  <c r="B888" i="1"/>
  <c r="C879" i="3" s="1"/>
  <c r="O888" i="1" l="1"/>
  <c r="D879" i="3"/>
  <c r="L888" i="1"/>
  <c r="I888" i="1"/>
  <c r="N888" i="1"/>
  <c r="H888" i="1"/>
  <c r="K888" i="1"/>
  <c r="P888" i="1" l="1"/>
  <c r="M888" i="1"/>
  <c r="J888" i="1"/>
  <c r="G888" i="1" l="1"/>
  <c r="C889" i="1" s="1"/>
  <c r="D880" i="3" s="1"/>
  <c r="F888" i="1"/>
  <c r="E889" i="1" l="1"/>
  <c r="D889" i="1"/>
  <c r="B889" i="1"/>
  <c r="C880" i="3" s="1"/>
  <c r="O889" i="1"/>
  <c r="I889" i="1"/>
  <c r="L889" i="1"/>
  <c r="H889" i="1" l="1"/>
  <c r="K889" i="1"/>
  <c r="M889" i="1" s="1"/>
  <c r="N889" i="1"/>
  <c r="P889" i="1" s="1"/>
  <c r="J889" i="1" l="1"/>
  <c r="G889" i="1" s="1"/>
  <c r="F889" i="1" l="1"/>
  <c r="B890" i="1" s="1"/>
  <c r="C881" i="3" s="1"/>
  <c r="E890" i="1"/>
  <c r="C890" i="1"/>
  <c r="D881" i="3" s="1"/>
  <c r="D890" i="1" l="1"/>
  <c r="I890" i="1"/>
  <c r="L890" i="1"/>
  <c r="O890" i="1"/>
  <c r="H890" i="1"/>
  <c r="K890" i="1"/>
  <c r="N890" i="1"/>
  <c r="J890" i="1" l="1"/>
  <c r="P890" i="1"/>
  <c r="M890" i="1"/>
  <c r="G890" i="1" l="1"/>
  <c r="C891" i="1" s="1"/>
  <c r="D882" i="3" s="1"/>
  <c r="F890" i="1"/>
  <c r="E891" i="1" l="1"/>
  <c r="D891" i="1"/>
  <c r="B891" i="1"/>
  <c r="C882" i="3" s="1"/>
  <c r="I891" i="1"/>
  <c r="L891" i="1"/>
  <c r="O891" i="1"/>
  <c r="K891" i="1" l="1"/>
  <c r="M891" i="1" s="1"/>
  <c r="N891" i="1"/>
  <c r="P891" i="1" s="1"/>
  <c r="H891" i="1"/>
  <c r="J891" i="1" l="1"/>
  <c r="G891" i="1" s="1"/>
  <c r="F891" i="1" l="1"/>
  <c r="B892" i="1" s="1"/>
  <c r="C883" i="3" s="1"/>
  <c r="E892" i="1"/>
  <c r="C892" i="1"/>
  <c r="D883" i="3" s="1"/>
  <c r="D892" i="1" l="1"/>
  <c r="L892" i="1"/>
  <c r="O892" i="1"/>
  <c r="I892" i="1"/>
  <c r="K892" i="1"/>
  <c r="N892" i="1"/>
  <c r="H892" i="1"/>
  <c r="M892" i="1" l="1"/>
  <c r="P892" i="1"/>
  <c r="J892" i="1"/>
  <c r="G892" i="1" l="1"/>
  <c r="E893" i="1" s="1"/>
  <c r="F892" i="1"/>
  <c r="B893" i="1" s="1"/>
  <c r="C884" i="3" s="1"/>
  <c r="C893" i="1" l="1"/>
  <c r="D893" i="1"/>
  <c r="K893" i="1"/>
  <c r="N893" i="1"/>
  <c r="H893" i="1"/>
  <c r="L893" i="1" l="1"/>
  <c r="M893" i="1" s="1"/>
  <c r="D884" i="3"/>
  <c r="I893" i="1"/>
  <c r="J893" i="1" s="1"/>
  <c r="O893" i="1"/>
  <c r="P893" i="1" s="1"/>
  <c r="F893" i="1" l="1"/>
  <c r="B894" i="1" s="1"/>
  <c r="C885" i="3" s="1"/>
  <c r="G893" i="1"/>
  <c r="C894" i="1" s="1"/>
  <c r="D885" i="3" s="1"/>
  <c r="D894" i="1" l="1"/>
  <c r="E894" i="1"/>
  <c r="L894" i="1"/>
  <c r="O894" i="1"/>
  <c r="I894" i="1"/>
  <c r="N894" i="1"/>
  <c r="H894" i="1"/>
  <c r="K894" i="1"/>
  <c r="P894" i="1" l="1"/>
  <c r="J894" i="1"/>
  <c r="M894" i="1"/>
  <c r="F894" i="1" l="1"/>
  <c r="D895" i="1" s="1"/>
  <c r="G894" i="1"/>
  <c r="E895" i="1" s="1"/>
  <c r="B895" i="1" l="1"/>
  <c r="C895" i="1"/>
  <c r="O895" i="1" l="1"/>
  <c r="D886" i="3"/>
  <c r="N895" i="1"/>
  <c r="C886" i="3"/>
  <c r="K895" i="1"/>
  <c r="H895" i="1"/>
  <c r="I895" i="1"/>
  <c r="L895" i="1"/>
  <c r="P895" i="1" l="1"/>
  <c r="J895" i="1"/>
  <c r="M895" i="1"/>
  <c r="G895" i="1" l="1"/>
  <c r="E896" i="1" s="1"/>
  <c r="F895" i="1"/>
  <c r="B896" i="1" s="1"/>
  <c r="C887" i="3" s="1"/>
  <c r="C896" i="1" l="1"/>
  <c r="D887" i="3" s="1"/>
  <c r="D896" i="1"/>
  <c r="N896" i="1"/>
  <c r="H896" i="1"/>
  <c r="K896" i="1"/>
  <c r="L896" i="1" l="1"/>
  <c r="M896" i="1" s="1"/>
  <c r="O896" i="1"/>
  <c r="P896" i="1" s="1"/>
  <c r="I896" i="1"/>
  <c r="J896" i="1" s="1"/>
  <c r="G896" i="1" l="1"/>
  <c r="E897" i="1" s="1"/>
  <c r="F896" i="1"/>
  <c r="C897" i="1" l="1"/>
  <c r="D897" i="1"/>
  <c r="B897" i="1"/>
  <c r="C888" i="3" s="1"/>
  <c r="I897" i="1" l="1"/>
  <c r="D888" i="3"/>
  <c r="L897" i="1"/>
  <c r="O897" i="1"/>
  <c r="H897" i="1"/>
  <c r="K897" i="1"/>
  <c r="N897" i="1"/>
  <c r="P897" i="1" s="1"/>
  <c r="M897" i="1" l="1"/>
  <c r="J897" i="1"/>
  <c r="G897" i="1" l="1"/>
  <c r="C898" i="1" s="1"/>
  <c r="D889" i="3" s="1"/>
  <c r="F897" i="1"/>
  <c r="B898" i="1" s="1"/>
  <c r="C889" i="3" s="1"/>
  <c r="E898" i="1" l="1"/>
  <c r="D898" i="1"/>
  <c r="I898" i="1"/>
  <c r="L898" i="1"/>
  <c r="O898" i="1"/>
  <c r="H898" i="1"/>
  <c r="K898" i="1"/>
  <c r="N898" i="1"/>
  <c r="J898" i="1" l="1"/>
  <c r="P898" i="1"/>
  <c r="M898" i="1"/>
  <c r="G898" i="1" l="1"/>
  <c r="C899" i="1" s="1"/>
  <c r="D890" i="3" s="1"/>
  <c r="F898" i="1"/>
  <c r="E899" i="1" l="1"/>
  <c r="D899" i="1"/>
  <c r="B899" i="1"/>
  <c r="C890" i="3" s="1"/>
  <c r="I899" i="1"/>
  <c r="L899" i="1"/>
  <c r="O899" i="1"/>
  <c r="K899" i="1" l="1"/>
  <c r="M899" i="1" s="1"/>
  <c r="N899" i="1"/>
  <c r="P899" i="1" s="1"/>
  <c r="H899" i="1"/>
  <c r="J899" i="1" l="1"/>
  <c r="G899" i="1" s="1"/>
  <c r="F899" i="1" l="1"/>
  <c r="B900" i="1" s="1"/>
  <c r="C891" i="3" s="1"/>
  <c r="E900" i="1"/>
  <c r="C900" i="1"/>
  <c r="D891" i="3" s="1"/>
  <c r="D900" i="1" l="1"/>
  <c r="L900" i="1"/>
  <c r="O900" i="1"/>
  <c r="I900" i="1"/>
  <c r="K900" i="1"/>
  <c r="M900" i="1" s="1"/>
  <c r="N900" i="1"/>
  <c r="P900" i="1" s="1"/>
  <c r="H900" i="1"/>
  <c r="J900" i="1" l="1"/>
  <c r="G900" i="1" s="1"/>
  <c r="F900" i="1" l="1"/>
  <c r="B901" i="1" s="1"/>
  <c r="C892" i="3" s="1"/>
  <c r="C901" i="1"/>
  <c r="D892" i="3" s="1"/>
  <c r="E901" i="1"/>
  <c r="D901" i="1" l="1"/>
  <c r="K901" i="1"/>
  <c r="N901" i="1"/>
  <c r="H901" i="1"/>
  <c r="L901" i="1"/>
  <c r="O901" i="1"/>
  <c r="I901" i="1"/>
  <c r="J901" i="1" l="1"/>
  <c r="M901" i="1"/>
  <c r="P901" i="1"/>
  <c r="F901" i="1" l="1"/>
  <c r="B902" i="1" s="1"/>
  <c r="C893" i="3" s="1"/>
  <c r="G901" i="1"/>
  <c r="C902" i="1" s="1"/>
  <c r="D893" i="3" s="1"/>
  <c r="D902" i="1" l="1"/>
  <c r="E902" i="1"/>
  <c r="N902" i="1"/>
  <c r="H902" i="1"/>
  <c r="K902" i="1"/>
  <c r="L902" i="1"/>
  <c r="O902" i="1"/>
  <c r="I902" i="1"/>
  <c r="J902" i="1" l="1"/>
  <c r="M902" i="1"/>
  <c r="P902" i="1"/>
  <c r="G902" i="1" l="1"/>
  <c r="C903" i="1" s="1"/>
  <c r="D894" i="3" s="1"/>
  <c r="F902" i="1"/>
  <c r="E903" i="1" l="1"/>
  <c r="D903" i="1"/>
  <c r="B903" i="1"/>
  <c r="C894" i="3" s="1"/>
  <c r="O903" i="1"/>
  <c r="I903" i="1"/>
  <c r="L903" i="1"/>
  <c r="N903" i="1" l="1"/>
  <c r="P903" i="1" s="1"/>
  <c r="H903" i="1"/>
  <c r="K903" i="1"/>
  <c r="M903" i="1" s="1"/>
  <c r="J903" i="1" l="1"/>
  <c r="G903" i="1" s="1"/>
  <c r="E904" i="1" l="1"/>
  <c r="C904" i="1"/>
  <c r="D895" i="3" s="1"/>
  <c r="F903" i="1"/>
  <c r="O904" i="1" l="1"/>
  <c r="I904" i="1"/>
  <c r="L904" i="1"/>
  <c r="B904" i="1"/>
  <c r="C895" i="3" s="1"/>
  <c r="D904" i="1"/>
  <c r="N904" i="1" l="1"/>
  <c r="P904" i="1" s="1"/>
  <c r="H904" i="1"/>
  <c r="K904" i="1"/>
  <c r="M904" i="1" s="1"/>
  <c r="J904" i="1" l="1"/>
  <c r="G904" i="1" s="1"/>
  <c r="C905" i="1" l="1"/>
  <c r="D896" i="3" s="1"/>
  <c r="E905" i="1"/>
  <c r="F904" i="1"/>
  <c r="B905" i="1" l="1"/>
  <c r="C896" i="3" s="1"/>
  <c r="D905" i="1"/>
  <c r="O905" i="1"/>
  <c r="I905" i="1"/>
  <c r="L905" i="1"/>
  <c r="H905" i="1" l="1"/>
  <c r="K905" i="1"/>
  <c r="M905" i="1" s="1"/>
  <c r="N905" i="1"/>
  <c r="P905" i="1" s="1"/>
  <c r="J905" i="1" l="1"/>
  <c r="G905" i="1" s="1"/>
  <c r="F905" i="1" l="1"/>
  <c r="D906" i="1" s="1"/>
  <c r="E906" i="1"/>
  <c r="C906" i="1"/>
  <c r="D897" i="3" s="1"/>
  <c r="B906" i="1" l="1"/>
  <c r="I906" i="1"/>
  <c r="L906" i="1"/>
  <c r="O906" i="1"/>
  <c r="H906" i="1" l="1"/>
  <c r="J906" i="1" s="1"/>
  <c r="C897" i="3"/>
  <c r="N906" i="1"/>
  <c r="P906" i="1" s="1"/>
  <c r="K906" i="1"/>
  <c r="M906" i="1" s="1"/>
  <c r="G906" i="1" l="1"/>
  <c r="C907" i="1" s="1"/>
  <c r="D898" i="3" s="1"/>
  <c r="F906" i="1"/>
  <c r="D907" i="1" s="1"/>
  <c r="B907" i="1" l="1"/>
  <c r="E907" i="1"/>
  <c r="I907" i="1"/>
  <c r="L907" i="1"/>
  <c r="O907" i="1"/>
  <c r="K907" i="1" l="1"/>
  <c r="M907" i="1" s="1"/>
  <c r="C898" i="3"/>
  <c r="H907" i="1"/>
  <c r="J907" i="1" s="1"/>
  <c r="N907" i="1"/>
  <c r="P907" i="1" s="1"/>
  <c r="G907" i="1" l="1"/>
  <c r="E908" i="1" s="1"/>
  <c r="F907" i="1"/>
  <c r="B908" i="1" s="1"/>
  <c r="C899" i="3" s="1"/>
  <c r="C908" i="1" l="1"/>
  <c r="D908" i="1"/>
  <c r="K908" i="1"/>
  <c r="N908" i="1"/>
  <c r="H908" i="1"/>
  <c r="L908" i="1" l="1"/>
  <c r="M908" i="1" s="1"/>
  <c r="D899" i="3"/>
  <c r="I908" i="1"/>
  <c r="J908" i="1" s="1"/>
  <c r="O908" i="1"/>
  <c r="P908" i="1" s="1"/>
  <c r="G908" i="1" l="1"/>
  <c r="C909" i="1" s="1"/>
  <c r="D900" i="3" s="1"/>
  <c r="F908" i="1"/>
  <c r="D909" i="1" s="1"/>
  <c r="E909" i="1" l="1"/>
  <c r="B909" i="1"/>
  <c r="L909" i="1"/>
  <c r="O909" i="1"/>
  <c r="I909" i="1"/>
  <c r="K909" i="1" l="1"/>
  <c r="M909" i="1" s="1"/>
  <c r="C900" i="3"/>
  <c r="H909" i="1"/>
  <c r="J909" i="1" s="1"/>
  <c r="N909" i="1"/>
  <c r="P909" i="1" s="1"/>
  <c r="F909" i="1" l="1"/>
  <c r="D910" i="1" s="1"/>
  <c r="G909" i="1"/>
  <c r="E910" i="1" s="1"/>
  <c r="B910" i="1" l="1"/>
  <c r="C910" i="1"/>
  <c r="L910" i="1" l="1"/>
  <c r="D901" i="3"/>
  <c r="N910" i="1"/>
  <c r="C901" i="3"/>
  <c r="K910" i="1"/>
  <c r="H910" i="1"/>
  <c r="I910" i="1"/>
  <c r="O910" i="1"/>
  <c r="P910" i="1" s="1"/>
  <c r="M910" i="1" l="1"/>
  <c r="J910" i="1"/>
  <c r="G910" i="1" l="1"/>
  <c r="E911" i="1" s="1"/>
  <c r="F910" i="1"/>
  <c r="D911" i="1" s="1"/>
  <c r="C911" i="1" l="1"/>
  <c r="O911" i="1" s="1"/>
  <c r="B911" i="1"/>
  <c r="I911" i="1" l="1"/>
  <c r="L911" i="1"/>
  <c r="D902" i="3"/>
  <c r="N911" i="1"/>
  <c r="P911" i="1" s="1"/>
  <c r="C902" i="3"/>
  <c r="H911" i="1"/>
  <c r="K911" i="1"/>
  <c r="M911" i="1" s="1"/>
  <c r="J911" i="1" l="1"/>
  <c r="G911" i="1" s="1"/>
  <c r="E912" i="1" s="1"/>
  <c r="F911" i="1" l="1"/>
  <c r="D912" i="1" s="1"/>
  <c r="C912" i="1"/>
  <c r="B912" i="1" l="1"/>
  <c r="N912" i="1" s="1"/>
  <c r="I912" i="1"/>
  <c r="D903" i="3"/>
  <c r="O912" i="1"/>
  <c r="L912" i="1"/>
  <c r="H912" i="1" l="1"/>
  <c r="J912" i="1" s="1"/>
  <c r="K912" i="1"/>
  <c r="C903" i="3"/>
  <c r="P912" i="1"/>
  <c r="M912" i="1"/>
  <c r="G912" i="1" l="1"/>
  <c r="E913" i="1" s="1"/>
  <c r="F912" i="1"/>
  <c r="D913" i="1" s="1"/>
  <c r="C913" i="1" l="1"/>
  <c r="D904" i="3" s="1"/>
  <c r="B913" i="1"/>
  <c r="C904" i="3" s="1"/>
  <c r="O913" i="1" l="1"/>
  <c r="I913" i="1"/>
  <c r="L913" i="1"/>
  <c r="K913" i="1"/>
  <c r="H913" i="1"/>
  <c r="J913" i="1" s="1"/>
  <c r="N913" i="1"/>
  <c r="M913" i="1" l="1"/>
  <c r="P913" i="1"/>
  <c r="G913" i="1" l="1"/>
  <c r="C914" i="1" s="1"/>
  <c r="D905" i="3" s="1"/>
  <c r="F913" i="1"/>
  <c r="D914" i="1" s="1"/>
  <c r="I914" i="1" l="1"/>
  <c r="L914" i="1"/>
  <c r="O914" i="1"/>
  <c r="E914" i="1"/>
  <c r="B914" i="1"/>
  <c r="C905" i="3" s="1"/>
  <c r="K914" i="1" l="1"/>
  <c r="M914" i="1" s="1"/>
  <c r="H914" i="1"/>
  <c r="J914" i="1" s="1"/>
  <c r="N914" i="1"/>
  <c r="P914" i="1" s="1"/>
  <c r="G914" i="1" l="1"/>
  <c r="E915" i="1" s="1"/>
  <c r="F914" i="1"/>
  <c r="C915" i="1" l="1"/>
  <c r="D906" i="3" s="1"/>
  <c r="B915" i="1"/>
  <c r="C906" i="3" s="1"/>
  <c r="D915" i="1"/>
  <c r="L915" i="1" l="1"/>
  <c r="I915" i="1"/>
  <c r="O915" i="1"/>
  <c r="N915" i="1"/>
  <c r="H915" i="1"/>
  <c r="K915" i="1"/>
  <c r="P915" i="1" l="1"/>
  <c r="M915" i="1"/>
  <c r="J915" i="1"/>
  <c r="G915" i="1" l="1"/>
  <c r="C916" i="1" s="1"/>
  <c r="D907" i="3" s="1"/>
  <c r="F915" i="1"/>
  <c r="E916" i="1" l="1"/>
  <c r="B916" i="1"/>
  <c r="C907" i="3" s="1"/>
  <c r="D916" i="1"/>
  <c r="O916" i="1"/>
  <c r="I916" i="1"/>
  <c r="L916" i="1"/>
  <c r="H916" i="1" l="1"/>
  <c r="K916" i="1"/>
  <c r="M916" i="1" s="1"/>
  <c r="N916" i="1"/>
  <c r="P916" i="1" s="1"/>
  <c r="J916" i="1" l="1"/>
  <c r="G916" i="1" s="1"/>
  <c r="F916" i="1" l="1"/>
  <c r="D917" i="1" s="1"/>
  <c r="E917" i="1"/>
  <c r="C917" i="1"/>
  <c r="D908" i="3" s="1"/>
  <c r="B917" i="1" l="1"/>
  <c r="I917" i="1"/>
  <c r="L917" i="1"/>
  <c r="O917" i="1"/>
  <c r="H917" i="1" l="1"/>
  <c r="J917" i="1" s="1"/>
  <c r="C908" i="3"/>
  <c r="N917" i="1"/>
  <c r="P917" i="1" s="1"/>
  <c r="K917" i="1"/>
  <c r="M917" i="1" s="1"/>
  <c r="F917" i="1" l="1"/>
  <c r="D918" i="1" s="1"/>
  <c r="G917" i="1"/>
  <c r="E918" i="1" s="1"/>
  <c r="B918" i="1" l="1"/>
  <c r="C918" i="1"/>
  <c r="I918" i="1" l="1"/>
  <c r="D909" i="3"/>
  <c r="N918" i="1"/>
  <c r="C909" i="3"/>
  <c r="H918" i="1"/>
  <c r="K918" i="1"/>
  <c r="O918" i="1"/>
  <c r="L918" i="1"/>
  <c r="P918" i="1" l="1"/>
  <c r="J918" i="1"/>
  <c r="M918" i="1"/>
  <c r="F918" i="1" l="1"/>
  <c r="D919" i="1" s="1"/>
  <c r="G918" i="1"/>
  <c r="E919" i="1" s="1"/>
  <c r="B919" i="1" l="1"/>
  <c r="N919" i="1" s="1"/>
  <c r="C919" i="1"/>
  <c r="L919" i="1" s="1"/>
  <c r="C910" i="3" l="1"/>
  <c r="H919" i="1"/>
  <c r="K919" i="1"/>
  <c r="M919" i="1" s="1"/>
  <c r="O919" i="1"/>
  <c r="I919" i="1"/>
  <c r="D910" i="3"/>
  <c r="P919" i="1"/>
  <c r="J919" i="1" l="1"/>
  <c r="G919" i="1" s="1"/>
  <c r="E920" i="1" s="1"/>
  <c r="C920" i="1" l="1"/>
  <c r="D911" i="3" s="1"/>
  <c r="F919" i="1"/>
  <c r="D920" i="1" s="1"/>
  <c r="I920" i="1" l="1"/>
  <c r="L920" i="1"/>
  <c r="O920" i="1"/>
  <c r="B920" i="1"/>
  <c r="K920" i="1" s="1"/>
  <c r="M920" i="1" s="1"/>
  <c r="H920" i="1" l="1"/>
  <c r="J920" i="1" s="1"/>
  <c r="N920" i="1"/>
  <c r="P920" i="1" s="1"/>
  <c r="C911" i="3"/>
  <c r="G920" i="1"/>
  <c r="E921" i="1" s="1"/>
  <c r="F920" i="1"/>
  <c r="B921" i="1" s="1"/>
  <c r="C912" i="3" s="1"/>
  <c r="C921" i="1" l="1"/>
  <c r="D921" i="1"/>
  <c r="N921" i="1"/>
  <c r="H921" i="1"/>
  <c r="K921" i="1"/>
  <c r="L921" i="1" l="1"/>
  <c r="M921" i="1" s="1"/>
  <c r="D912" i="3"/>
  <c r="O921" i="1"/>
  <c r="P921" i="1" s="1"/>
  <c r="I921" i="1"/>
  <c r="J921" i="1" s="1"/>
  <c r="G921" i="1" l="1"/>
  <c r="C922" i="1" s="1"/>
  <c r="D913" i="3" s="1"/>
  <c r="F921" i="1"/>
  <c r="E922" i="1" l="1"/>
  <c r="D922" i="1"/>
  <c r="B922" i="1"/>
  <c r="C913" i="3" s="1"/>
  <c r="O922" i="1"/>
  <c r="I922" i="1"/>
  <c r="L922" i="1"/>
  <c r="N922" i="1" l="1"/>
  <c r="P922" i="1" s="1"/>
  <c r="H922" i="1"/>
  <c r="K922" i="1"/>
  <c r="M922" i="1" s="1"/>
  <c r="J922" i="1" l="1"/>
  <c r="G922" i="1" s="1"/>
  <c r="E923" i="1" l="1"/>
  <c r="C923" i="1"/>
  <c r="D914" i="3" s="1"/>
  <c r="F922" i="1"/>
  <c r="B923" i="1" l="1"/>
  <c r="C914" i="3" s="1"/>
  <c r="D923" i="1"/>
  <c r="O923" i="1"/>
  <c r="I923" i="1"/>
  <c r="L923" i="1"/>
  <c r="N923" i="1" l="1"/>
  <c r="P923" i="1" s="1"/>
  <c r="H923" i="1"/>
  <c r="K923" i="1"/>
  <c r="M923" i="1" s="1"/>
  <c r="J923" i="1" l="1"/>
  <c r="G923" i="1" s="1"/>
  <c r="C924" i="1" l="1"/>
  <c r="D915" i="3" s="1"/>
  <c r="E924" i="1"/>
  <c r="F923" i="1"/>
  <c r="D924" i="1" l="1"/>
  <c r="B924" i="1"/>
  <c r="C915" i="3" s="1"/>
  <c r="O924" i="1"/>
  <c r="I924" i="1"/>
  <c r="L924" i="1"/>
  <c r="H924" i="1" l="1"/>
  <c r="K924" i="1"/>
  <c r="M924" i="1" s="1"/>
  <c r="N924" i="1"/>
  <c r="P924" i="1" s="1"/>
  <c r="J924" i="1" l="1"/>
  <c r="G924" i="1" s="1"/>
  <c r="F924" i="1" l="1"/>
  <c r="B925" i="1" s="1"/>
  <c r="C916" i="3" s="1"/>
  <c r="C925" i="1"/>
  <c r="D916" i="3" s="1"/>
  <c r="E925" i="1"/>
  <c r="D925" i="1" l="1"/>
  <c r="I925" i="1"/>
  <c r="L925" i="1"/>
  <c r="O925" i="1"/>
  <c r="H925" i="1"/>
  <c r="K925" i="1"/>
  <c r="N925" i="1"/>
  <c r="J925" i="1" l="1"/>
  <c r="P925" i="1"/>
  <c r="M925" i="1"/>
  <c r="G925" i="1" l="1"/>
  <c r="C926" i="1" s="1"/>
  <c r="D917" i="3" s="1"/>
  <c r="F925" i="1"/>
  <c r="D926" i="1" s="1"/>
  <c r="E926" i="1" l="1"/>
  <c r="B926" i="1"/>
  <c r="I926" i="1"/>
  <c r="L926" i="1"/>
  <c r="O926" i="1"/>
  <c r="K926" i="1" l="1"/>
  <c r="M926" i="1" s="1"/>
  <c r="C917" i="3"/>
  <c r="N926" i="1"/>
  <c r="P926" i="1" s="1"/>
  <c r="H926" i="1"/>
  <c r="J926" i="1" s="1"/>
  <c r="F926" i="1" l="1"/>
  <c r="D927" i="1" s="1"/>
  <c r="G926" i="1"/>
  <c r="E927" i="1" s="1"/>
  <c r="C927" i="1" l="1"/>
  <c r="B927" i="1"/>
  <c r="K927" i="1" l="1"/>
  <c r="C918" i="3"/>
  <c r="L927" i="1"/>
  <c r="D918" i="3"/>
  <c r="O927" i="1"/>
  <c r="I927" i="1"/>
  <c r="H927" i="1"/>
  <c r="N927" i="1"/>
  <c r="M927" i="1" l="1"/>
  <c r="J927" i="1"/>
  <c r="P927" i="1"/>
  <c r="G927" i="1" l="1"/>
  <c r="E928" i="1" s="1"/>
  <c r="F927" i="1"/>
  <c r="D928" i="1" s="1"/>
  <c r="C928" i="1" l="1"/>
  <c r="B928" i="1"/>
  <c r="K928" i="1" l="1"/>
  <c r="C919" i="3"/>
  <c r="L928" i="1"/>
  <c r="D919" i="3"/>
  <c r="O928" i="1"/>
  <c r="I928" i="1"/>
  <c r="H928" i="1"/>
  <c r="N928" i="1"/>
  <c r="M928" i="1" l="1"/>
  <c r="P928" i="1"/>
  <c r="J928" i="1"/>
  <c r="G928" i="1" l="1"/>
  <c r="C929" i="1" s="1"/>
  <c r="F928" i="1"/>
  <c r="B929" i="1" s="1"/>
  <c r="K929" i="1" l="1"/>
  <c r="C920" i="3"/>
  <c r="L929" i="1"/>
  <c r="D920" i="3"/>
  <c r="E929" i="1"/>
  <c r="O929" i="1"/>
  <c r="I929" i="1"/>
  <c r="D929" i="1"/>
  <c r="N929" i="1"/>
  <c r="H929" i="1"/>
  <c r="M929" i="1" l="1"/>
  <c r="J929" i="1"/>
  <c r="P929" i="1"/>
  <c r="F929" i="1" l="1"/>
  <c r="B930" i="1" s="1"/>
  <c r="N930" i="1" s="1"/>
  <c r="G929" i="1"/>
  <c r="E930" i="1" s="1"/>
  <c r="H930" i="1" l="1"/>
  <c r="D930" i="1"/>
  <c r="C921" i="3"/>
  <c r="K930" i="1"/>
  <c r="C930" i="1"/>
  <c r="O930" i="1" s="1"/>
  <c r="P930" i="1" s="1"/>
  <c r="L930" i="1" l="1"/>
  <c r="M930" i="1" s="1"/>
  <c r="I930" i="1"/>
  <c r="J930" i="1" s="1"/>
  <c r="D921" i="3"/>
  <c r="F930" i="1" l="1"/>
  <c r="B931" i="1" s="1"/>
  <c r="N931" i="1" s="1"/>
  <c r="G930" i="1"/>
  <c r="E931" i="1" s="1"/>
  <c r="D931" i="1" l="1"/>
  <c r="K931" i="1"/>
  <c r="H931" i="1"/>
  <c r="C922" i="3"/>
  <c r="C931" i="1"/>
  <c r="O931" i="1" s="1"/>
  <c r="P931" i="1" s="1"/>
  <c r="L931" i="1" l="1"/>
  <c r="M931" i="1" s="1"/>
  <c r="I931" i="1"/>
  <c r="J931" i="1" s="1"/>
  <c r="D922" i="3"/>
  <c r="F931" i="1" l="1"/>
  <c r="B932" i="1" s="1"/>
  <c r="H932" i="1" s="1"/>
  <c r="G931" i="1"/>
  <c r="E932" i="1" s="1"/>
  <c r="D932" i="1" l="1"/>
  <c r="K932" i="1"/>
  <c r="N932" i="1"/>
  <c r="C923" i="3"/>
  <c r="C932" i="1"/>
  <c r="O932" i="1" s="1"/>
  <c r="P932" i="1" s="1"/>
  <c r="L932" i="1" l="1"/>
  <c r="M932" i="1" s="1"/>
  <c r="I932" i="1"/>
  <c r="J932" i="1" s="1"/>
  <c r="D923" i="3"/>
  <c r="F932" i="1" l="1"/>
  <c r="D933" i="1" s="1"/>
  <c r="G932" i="1"/>
  <c r="E933" i="1" s="1"/>
  <c r="B933" i="1" l="1"/>
  <c r="H933" i="1" s="1"/>
  <c r="C933" i="1"/>
  <c r="I933" i="1" s="1"/>
  <c r="C924" i="3" l="1"/>
  <c r="K933" i="1"/>
  <c r="N933" i="1"/>
  <c r="J933" i="1"/>
  <c r="L933" i="1"/>
  <c r="M933" i="1" s="1"/>
  <c r="D924" i="3"/>
  <c r="O933" i="1"/>
  <c r="P933" i="1" s="1"/>
  <c r="F933" i="1" l="1"/>
  <c r="B934" i="1" s="1"/>
  <c r="K934" i="1" s="1"/>
  <c r="G933" i="1"/>
  <c r="E934" i="1" s="1"/>
  <c r="N934" i="1" l="1"/>
  <c r="H934" i="1"/>
  <c r="D934" i="1"/>
  <c r="C925" i="3"/>
  <c r="C934" i="1"/>
  <c r="I934" i="1" l="1"/>
  <c r="J934" i="1" s="1"/>
  <c r="D925" i="3"/>
  <c r="L934" i="1"/>
  <c r="M934" i="1" s="1"/>
  <c r="O934" i="1"/>
  <c r="P934" i="1" s="1"/>
  <c r="F934" i="1" l="1"/>
  <c r="B935" i="1" s="1"/>
  <c r="G934" i="1"/>
  <c r="E935" i="1" s="1"/>
  <c r="K935" i="1" l="1"/>
  <c r="C926" i="3"/>
  <c r="N935" i="1"/>
  <c r="H935" i="1"/>
  <c r="D935" i="1"/>
  <c r="C935" i="1"/>
  <c r="L935" i="1" l="1"/>
  <c r="M935" i="1" s="1"/>
  <c r="D926" i="3"/>
  <c r="I935" i="1"/>
  <c r="J935" i="1" s="1"/>
  <c r="O935" i="1"/>
  <c r="P935" i="1" s="1"/>
  <c r="F935" i="1" l="1"/>
  <c r="D936" i="1" s="1"/>
  <c r="G935" i="1"/>
  <c r="B936" i="1" l="1"/>
  <c r="E936" i="1"/>
  <c r="C936" i="1"/>
  <c r="D927" i="3" s="1"/>
  <c r="K936" i="1" l="1"/>
  <c r="C927" i="3"/>
  <c r="N936" i="1"/>
  <c r="H936" i="1"/>
  <c r="L936" i="1"/>
  <c r="O936" i="1"/>
  <c r="I936" i="1"/>
  <c r="M936" i="1" l="1"/>
  <c r="P936" i="1"/>
  <c r="J936" i="1"/>
  <c r="F936" i="1" l="1"/>
  <c r="B937" i="1" s="1"/>
  <c r="C928" i="3" s="1"/>
  <c r="G936" i="1"/>
  <c r="D937" i="1" l="1"/>
  <c r="E937" i="1"/>
  <c r="C937" i="1"/>
  <c r="D928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29" i="3" s="1"/>
  <c r="G937" i="1"/>
  <c r="N938" i="1" l="1"/>
  <c r="H938" i="1"/>
  <c r="K938" i="1"/>
  <c r="C938" i="1"/>
  <c r="D929" i="3" s="1"/>
  <c r="E938" i="1"/>
  <c r="O938" i="1" l="1"/>
  <c r="P938" i="1" s="1"/>
  <c r="I938" i="1"/>
  <c r="L938" i="1"/>
  <c r="M938" i="1" s="1"/>
  <c r="J938" i="1"/>
  <c r="F938" i="1" l="1"/>
  <c r="B939" i="1" s="1"/>
  <c r="C930" i="3" s="1"/>
  <c r="G938" i="1"/>
  <c r="D939" i="1" l="1"/>
  <c r="C939" i="1"/>
  <c r="D930" i="3" s="1"/>
  <c r="E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31" i="3" s="1"/>
  <c r="G939" i="1"/>
  <c r="E940" i="1" l="1"/>
  <c r="C940" i="1"/>
  <c r="D931" i="3" s="1"/>
  <c r="H940" i="1"/>
  <c r="K940" i="1"/>
  <c r="N940" i="1"/>
  <c r="O940" i="1" l="1"/>
  <c r="P940" i="1" s="1"/>
  <c r="I940" i="1"/>
  <c r="J940" i="1" s="1"/>
  <c r="L940" i="1"/>
  <c r="M940" i="1" s="1"/>
  <c r="F940" i="1" l="1"/>
  <c r="G940" i="1"/>
  <c r="E941" i="1" l="1"/>
  <c r="C941" i="1"/>
  <c r="D932" i="3" s="1"/>
  <c r="B941" i="1"/>
  <c r="C932" i="3" s="1"/>
  <c r="D941" i="1"/>
  <c r="H941" i="1" l="1"/>
  <c r="K941" i="1"/>
  <c r="N941" i="1"/>
  <c r="I941" i="1"/>
  <c r="L941" i="1"/>
  <c r="O941" i="1"/>
  <c r="P941" i="1" l="1"/>
  <c r="M941" i="1"/>
  <c r="J941" i="1"/>
  <c r="G941" i="1" l="1"/>
  <c r="E942" i="1" s="1"/>
  <c r="F941" i="1"/>
  <c r="C942" i="1" l="1"/>
  <c r="B942" i="1"/>
  <c r="C933" i="3" s="1"/>
  <c r="D942" i="1"/>
  <c r="I942" i="1" l="1"/>
  <c r="D933" i="3"/>
  <c r="L942" i="1"/>
  <c r="O942" i="1"/>
  <c r="K942" i="1"/>
  <c r="N942" i="1"/>
  <c r="H942" i="1"/>
  <c r="P942" i="1" l="1"/>
  <c r="M942" i="1"/>
  <c r="J942" i="1"/>
  <c r="F942" i="1" l="1"/>
  <c r="D943" i="1" s="1"/>
  <c r="G942" i="1"/>
  <c r="C943" i="1" s="1"/>
  <c r="D934" i="3" s="1"/>
  <c r="B943" i="1" l="1"/>
  <c r="E943" i="1"/>
  <c r="L943" i="1"/>
  <c r="O943" i="1"/>
  <c r="I943" i="1"/>
  <c r="K943" i="1" l="1"/>
  <c r="M943" i="1" s="1"/>
  <c r="C934" i="3"/>
  <c r="N943" i="1"/>
  <c r="P943" i="1" s="1"/>
  <c r="H943" i="1"/>
  <c r="J943" i="1" s="1"/>
  <c r="G943" i="1" l="1"/>
  <c r="E944" i="1" s="1"/>
  <c r="F943" i="1"/>
  <c r="C944" i="1" l="1"/>
  <c r="B944" i="1"/>
  <c r="C935" i="3" s="1"/>
  <c r="D944" i="1"/>
  <c r="L944" i="1" l="1"/>
  <c r="D935" i="3"/>
  <c r="O944" i="1"/>
  <c r="I944" i="1"/>
  <c r="K944" i="1"/>
  <c r="N944" i="1"/>
  <c r="H944" i="1"/>
  <c r="M944" i="1" l="1"/>
  <c r="P944" i="1"/>
  <c r="J944" i="1"/>
  <c r="G944" i="1" l="1"/>
  <c r="C945" i="1" s="1"/>
  <c r="D936" i="3" s="1"/>
  <c r="F944" i="1"/>
  <c r="E945" i="1" l="1"/>
  <c r="D945" i="1"/>
  <c r="B945" i="1"/>
  <c r="C936" i="3" s="1"/>
  <c r="L945" i="1"/>
  <c r="O945" i="1"/>
  <c r="I945" i="1"/>
  <c r="N945" i="1" l="1"/>
  <c r="P945" i="1" s="1"/>
  <c r="H945" i="1"/>
  <c r="K945" i="1"/>
  <c r="M945" i="1" s="1"/>
  <c r="J945" i="1" l="1"/>
  <c r="G945" i="1" s="1"/>
  <c r="C946" i="1" l="1"/>
  <c r="D937" i="3" s="1"/>
  <c r="E946" i="1"/>
  <c r="F945" i="1"/>
  <c r="D946" i="1" l="1"/>
  <c r="B946" i="1"/>
  <c r="C937" i="3" s="1"/>
  <c r="O946" i="1"/>
  <c r="I946" i="1"/>
  <c r="L946" i="1"/>
  <c r="N946" i="1" l="1"/>
  <c r="P946" i="1" s="1"/>
  <c r="H946" i="1"/>
  <c r="K946" i="1"/>
  <c r="M946" i="1" s="1"/>
  <c r="J946" i="1" l="1"/>
  <c r="G946" i="1" s="1"/>
  <c r="E947" i="1" l="1"/>
  <c r="C947" i="1"/>
  <c r="D938" i="3" s="1"/>
  <c r="F946" i="1"/>
  <c r="B947" i="1" l="1"/>
  <c r="C938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C948" i="1" l="1"/>
  <c r="D939" i="3" s="1"/>
  <c r="E948" i="1"/>
  <c r="F947" i="1"/>
  <c r="D948" i="1" l="1"/>
  <c r="B948" i="1"/>
  <c r="C939" i="3" s="1"/>
  <c r="O948" i="1"/>
  <c r="I948" i="1"/>
  <c r="L948" i="1"/>
  <c r="H948" i="1" l="1"/>
  <c r="K948" i="1"/>
  <c r="M948" i="1" s="1"/>
  <c r="N948" i="1"/>
  <c r="P948" i="1" s="1"/>
  <c r="J948" i="1" l="1"/>
  <c r="G948" i="1" s="1"/>
  <c r="F948" i="1" l="1"/>
  <c r="D949" i="1" s="1"/>
  <c r="E949" i="1"/>
  <c r="C949" i="1"/>
  <c r="D940" i="3" s="1"/>
  <c r="B949" i="1" l="1"/>
  <c r="I949" i="1"/>
  <c r="L949" i="1"/>
  <c r="O949" i="1"/>
  <c r="H949" i="1" l="1"/>
  <c r="J949" i="1" s="1"/>
  <c r="C940" i="3"/>
  <c r="K949" i="1"/>
  <c r="M949" i="1" s="1"/>
  <c r="N949" i="1"/>
  <c r="P949" i="1" s="1"/>
  <c r="G949" i="1" l="1"/>
  <c r="C950" i="1" s="1"/>
  <c r="D941" i="3" s="1"/>
  <c r="F949" i="1"/>
  <c r="D950" i="1" s="1"/>
  <c r="E950" i="1" l="1"/>
  <c r="B950" i="1"/>
  <c r="I950" i="1"/>
  <c r="L950" i="1"/>
  <c r="O950" i="1"/>
  <c r="K950" i="1" l="1"/>
  <c r="M950" i="1" s="1"/>
  <c r="C941" i="3"/>
  <c r="H950" i="1"/>
  <c r="J950" i="1" s="1"/>
  <c r="N950" i="1"/>
  <c r="P950" i="1" s="1"/>
  <c r="G950" i="1" l="1"/>
  <c r="E951" i="1" s="1"/>
  <c r="F950" i="1"/>
  <c r="D951" i="1" s="1"/>
  <c r="C951" i="1" l="1"/>
  <c r="B951" i="1"/>
  <c r="K951" i="1" l="1"/>
  <c r="C942" i="3"/>
  <c r="L951" i="1"/>
  <c r="D942" i="3"/>
  <c r="H951" i="1"/>
  <c r="N951" i="1"/>
  <c r="I951" i="1"/>
  <c r="O951" i="1"/>
  <c r="P951" i="1" s="1"/>
  <c r="M951" i="1" l="1"/>
  <c r="J951" i="1"/>
  <c r="F951" i="1" l="1"/>
  <c r="D952" i="1" s="1"/>
  <c r="G951" i="1"/>
  <c r="C952" i="1" s="1"/>
  <c r="B952" i="1" l="1"/>
  <c r="K952" i="1" s="1"/>
  <c r="O952" i="1"/>
  <c r="D943" i="3"/>
  <c r="L952" i="1"/>
  <c r="I952" i="1"/>
  <c r="E952" i="1"/>
  <c r="H952" i="1" l="1"/>
  <c r="J952" i="1" s="1"/>
  <c r="M952" i="1"/>
  <c r="C943" i="3"/>
  <c r="N952" i="1"/>
  <c r="P952" i="1" s="1"/>
  <c r="F952" i="1" l="1"/>
  <c r="D953" i="1" s="1"/>
  <c r="G952" i="1"/>
  <c r="C953" i="1" s="1"/>
  <c r="B953" i="1" l="1"/>
  <c r="N953" i="1" s="1"/>
  <c r="L953" i="1"/>
  <c r="D944" i="3"/>
  <c r="O953" i="1"/>
  <c r="I953" i="1"/>
  <c r="E953" i="1"/>
  <c r="K953" i="1" l="1"/>
  <c r="M953" i="1" s="1"/>
  <c r="P953" i="1"/>
  <c r="C944" i="3"/>
  <c r="H953" i="1"/>
  <c r="J953" i="1" s="1"/>
  <c r="G953" i="1" l="1"/>
  <c r="C954" i="1" s="1"/>
  <c r="D945" i="3" s="1"/>
  <c r="F953" i="1"/>
  <c r="B954" i="1" s="1"/>
  <c r="C945" i="3" s="1"/>
  <c r="I954" i="1" l="1"/>
  <c r="L954" i="1"/>
  <c r="O954" i="1"/>
  <c r="E954" i="1"/>
  <c r="K954" i="1"/>
  <c r="H954" i="1"/>
  <c r="N954" i="1"/>
  <c r="P954" i="1" s="1"/>
  <c r="D954" i="1"/>
  <c r="J954" i="1" l="1"/>
  <c r="M954" i="1"/>
  <c r="G954" i="1" l="1"/>
  <c r="C955" i="1" s="1"/>
  <c r="D946" i="3" s="1"/>
  <c r="F954" i="1"/>
  <c r="D955" i="1" s="1"/>
  <c r="L955" i="1" l="1"/>
  <c r="I955" i="1"/>
  <c r="O955" i="1"/>
  <c r="E955" i="1"/>
  <c r="B955" i="1"/>
  <c r="C946" i="3" s="1"/>
  <c r="K955" i="1" l="1"/>
  <c r="M955" i="1" s="1"/>
  <c r="H955" i="1"/>
  <c r="J955" i="1" s="1"/>
  <c r="N955" i="1"/>
  <c r="P955" i="1" s="1"/>
  <c r="G955" i="1" l="1"/>
  <c r="E956" i="1" s="1"/>
  <c r="F955" i="1"/>
  <c r="C956" i="1" l="1"/>
  <c r="D947" i="3" s="1"/>
  <c r="B956" i="1"/>
  <c r="C947" i="3" s="1"/>
  <c r="D956" i="1"/>
  <c r="L956" i="1" l="1"/>
  <c r="I956" i="1"/>
  <c r="O956" i="1"/>
  <c r="H956" i="1"/>
  <c r="K956" i="1"/>
  <c r="N956" i="1"/>
  <c r="P956" i="1" s="1"/>
  <c r="M956" i="1" l="1"/>
  <c r="J956" i="1"/>
  <c r="G956" i="1" l="1"/>
  <c r="E957" i="1" s="1"/>
  <c r="F956" i="1"/>
  <c r="D957" i="1" s="1"/>
  <c r="C957" i="1" l="1"/>
  <c r="D948" i="3" s="1"/>
  <c r="B957" i="1"/>
  <c r="O957" i="1" l="1"/>
  <c r="L957" i="1"/>
  <c r="I957" i="1"/>
  <c r="H957" i="1"/>
  <c r="J957" i="1" s="1"/>
  <c r="C948" i="3"/>
  <c r="N957" i="1"/>
  <c r="K957" i="1"/>
  <c r="M957" i="1" s="1"/>
  <c r="P957" i="1" l="1"/>
  <c r="G957" i="1" s="1"/>
  <c r="E958" i="1" s="1"/>
  <c r="F957" i="1"/>
  <c r="C958" i="1" l="1"/>
  <c r="D958" i="1"/>
  <c r="B958" i="1"/>
  <c r="C949" i="3" s="1"/>
  <c r="I958" i="1" l="1"/>
  <c r="D949" i="3"/>
  <c r="O958" i="1"/>
  <c r="L958" i="1"/>
  <c r="K958" i="1"/>
  <c r="N958" i="1"/>
  <c r="H958" i="1"/>
  <c r="M958" i="1" l="1"/>
  <c r="P958" i="1"/>
  <c r="J958" i="1"/>
  <c r="F958" i="1" l="1"/>
  <c r="D959" i="1" s="1"/>
  <c r="G958" i="1"/>
  <c r="C959" i="1" s="1"/>
  <c r="D950" i="3" s="1"/>
  <c r="B959" i="1" l="1"/>
  <c r="E959" i="1"/>
  <c r="L959" i="1"/>
  <c r="O959" i="1"/>
  <c r="I959" i="1"/>
  <c r="K959" i="1" l="1"/>
  <c r="M959" i="1" s="1"/>
  <c r="C950" i="3"/>
  <c r="N959" i="1"/>
  <c r="P959" i="1" s="1"/>
  <c r="H959" i="1"/>
  <c r="J959" i="1" s="1"/>
  <c r="G959" i="1" l="1"/>
  <c r="E960" i="1" s="1"/>
  <c r="F959" i="1"/>
  <c r="D960" i="1" s="1"/>
  <c r="C960" i="1" l="1"/>
  <c r="B960" i="1"/>
  <c r="K960" i="1" l="1"/>
  <c r="C951" i="3"/>
  <c r="L960" i="1"/>
  <c r="D951" i="3"/>
  <c r="I960" i="1"/>
  <c r="O960" i="1"/>
  <c r="H960" i="1"/>
  <c r="N960" i="1"/>
  <c r="P960" i="1" l="1"/>
  <c r="M960" i="1"/>
  <c r="J960" i="1"/>
  <c r="F960" i="1" l="1"/>
  <c r="D961" i="1" s="1"/>
  <c r="G960" i="1"/>
  <c r="E961" i="1" s="1"/>
  <c r="B961" i="1" l="1"/>
  <c r="N961" i="1" s="1"/>
  <c r="C961" i="1"/>
  <c r="H961" i="1" l="1"/>
  <c r="K961" i="1"/>
  <c r="C952" i="3"/>
  <c r="L961" i="1"/>
  <c r="M961" i="1" s="1"/>
  <c r="D952" i="3"/>
  <c r="O961" i="1"/>
  <c r="P961" i="1" s="1"/>
  <c r="I961" i="1"/>
  <c r="J961" i="1" l="1"/>
  <c r="F961" i="1" s="1"/>
  <c r="D962" i="1" s="1"/>
  <c r="G961" i="1" l="1"/>
  <c r="C962" i="1" s="1"/>
  <c r="I962" i="1" s="1"/>
  <c r="B962" i="1"/>
  <c r="E962" i="1" l="1"/>
  <c r="L962" i="1"/>
  <c r="O962" i="1"/>
  <c r="D953" i="3"/>
  <c r="N962" i="1"/>
  <c r="C953" i="3"/>
  <c r="K962" i="1"/>
  <c r="M962" i="1" s="1"/>
  <c r="H962" i="1"/>
  <c r="J962" i="1" s="1"/>
  <c r="P962" i="1" l="1"/>
  <c r="F962" i="1"/>
  <c r="D963" i="1" s="1"/>
  <c r="G962" i="1"/>
  <c r="E963" i="1" s="1"/>
  <c r="C963" i="1" l="1"/>
  <c r="B963" i="1"/>
  <c r="N963" i="1" l="1"/>
  <c r="C954" i="3"/>
  <c r="O963" i="1"/>
  <c r="D954" i="3"/>
  <c r="L963" i="1"/>
  <c r="I963" i="1"/>
  <c r="H963" i="1"/>
  <c r="K963" i="1"/>
  <c r="J963" i="1" l="1"/>
  <c r="P963" i="1"/>
  <c r="M963" i="1"/>
  <c r="G963" i="1" l="1"/>
  <c r="E964" i="1" s="1"/>
  <c r="F963" i="1"/>
  <c r="D964" i="1" s="1"/>
  <c r="C964" i="1" l="1"/>
  <c r="O964" i="1" s="1"/>
  <c r="B964" i="1"/>
  <c r="I964" i="1" l="1"/>
  <c r="L964" i="1"/>
  <c r="D955" i="3"/>
  <c r="H964" i="1"/>
  <c r="C955" i="3"/>
  <c r="N964" i="1"/>
  <c r="P964" i="1" s="1"/>
  <c r="K964" i="1"/>
  <c r="M964" i="1" s="1"/>
  <c r="J964" i="1" l="1"/>
  <c r="F964" i="1" s="1"/>
  <c r="D965" i="1" s="1"/>
  <c r="G964" i="1" l="1"/>
  <c r="C965" i="1" s="1"/>
  <c r="L965" i="1" s="1"/>
  <c r="B965" i="1"/>
  <c r="O965" i="1" l="1"/>
  <c r="I965" i="1"/>
  <c r="E965" i="1"/>
  <c r="D956" i="3"/>
  <c r="K965" i="1"/>
  <c r="M965" i="1" s="1"/>
  <c r="C956" i="3"/>
  <c r="H965" i="1"/>
  <c r="J965" i="1" s="1"/>
  <c r="N965" i="1"/>
  <c r="P965" i="1" l="1"/>
  <c r="F965" i="1" s="1"/>
  <c r="B966" i="1" s="1"/>
  <c r="G965" i="1" l="1"/>
  <c r="E966" i="1" s="1"/>
  <c r="N966" i="1"/>
  <c r="C957" i="3"/>
  <c r="H966" i="1"/>
  <c r="K966" i="1"/>
  <c r="D966" i="1"/>
  <c r="C966" i="1" l="1"/>
  <c r="I966" i="1" s="1"/>
  <c r="J966" i="1" s="1"/>
  <c r="L966" i="1" l="1"/>
  <c r="M966" i="1" s="1"/>
  <c r="O966" i="1"/>
  <c r="P966" i="1" s="1"/>
  <c r="D957" i="3"/>
  <c r="F966" i="1" l="1"/>
  <c r="D967" i="1" s="1"/>
  <c r="G966" i="1"/>
  <c r="E967" i="1" s="1"/>
  <c r="B967" i="1" l="1"/>
  <c r="C958" i="3" s="1"/>
  <c r="C967" i="1"/>
  <c r="L967" i="1" s="1"/>
  <c r="H967" i="1" l="1"/>
  <c r="N967" i="1"/>
  <c r="K967" i="1"/>
  <c r="O967" i="1"/>
  <c r="P967" i="1" s="1"/>
  <c r="I967" i="1"/>
  <c r="D958" i="3"/>
  <c r="M967" i="1"/>
  <c r="J967" i="1" l="1"/>
  <c r="G967" i="1"/>
  <c r="C968" i="1" s="1"/>
  <c r="D959" i="3" s="1"/>
  <c r="F967" i="1"/>
  <c r="D968" i="1" s="1"/>
  <c r="L968" i="1" l="1"/>
  <c r="O968" i="1"/>
  <c r="E968" i="1"/>
  <c r="I968" i="1"/>
  <c r="B968" i="1"/>
  <c r="K968" i="1" l="1"/>
  <c r="M968" i="1" s="1"/>
  <c r="C959" i="3"/>
  <c r="N968" i="1"/>
  <c r="P968" i="1" s="1"/>
  <c r="H968" i="1"/>
  <c r="J968" i="1" s="1"/>
  <c r="G968" i="1" l="1"/>
  <c r="E969" i="1" s="1"/>
  <c r="F968" i="1"/>
  <c r="C969" i="1" l="1"/>
  <c r="B969" i="1"/>
  <c r="C960" i="3" s="1"/>
  <c r="D969" i="1"/>
  <c r="L969" i="1" l="1"/>
  <c r="D960" i="3"/>
  <c r="I969" i="1"/>
  <c r="O969" i="1"/>
  <c r="N969" i="1"/>
  <c r="H969" i="1"/>
  <c r="K969" i="1"/>
  <c r="M969" i="1" l="1"/>
  <c r="P969" i="1"/>
  <c r="J969" i="1"/>
  <c r="G969" i="1" l="1"/>
  <c r="C970" i="1" s="1"/>
  <c r="D961" i="3" s="1"/>
  <c r="F969" i="1"/>
  <c r="E970" i="1" l="1"/>
  <c r="D970" i="1"/>
  <c r="B970" i="1"/>
  <c r="C961" i="3" s="1"/>
  <c r="O970" i="1"/>
  <c r="I970" i="1"/>
  <c r="L970" i="1"/>
  <c r="N970" i="1" l="1"/>
  <c r="P970" i="1" s="1"/>
  <c r="H970" i="1"/>
  <c r="K970" i="1"/>
  <c r="M970" i="1" s="1"/>
  <c r="J970" i="1" l="1"/>
  <c r="G970" i="1" s="1"/>
  <c r="E971" i="1" l="1"/>
  <c r="C971" i="1"/>
  <c r="D962" i="3" s="1"/>
  <c r="F970" i="1"/>
  <c r="B971" i="1" l="1"/>
  <c r="C962" i="3" s="1"/>
  <c r="D971" i="1"/>
  <c r="O971" i="1"/>
  <c r="I971" i="1"/>
  <c r="L971" i="1"/>
  <c r="N971" i="1" l="1"/>
  <c r="P971" i="1" s="1"/>
  <c r="H971" i="1"/>
  <c r="K971" i="1"/>
  <c r="M971" i="1" s="1"/>
  <c r="J971" i="1" l="1"/>
  <c r="G971" i="1" s="1"/>
  <c r="C972" i="1" l="1"/>
  <c r="D963" i="3" s="1"/>
  <c r="E972" i="1"/>
  <c r="F971" i="1"/>
  <c r="D972" i="1" l="1"/>
  <c r="B972" i="1"/>
  <c r="C963" i="3" s="1"/>
  <c r="O972" i="1"/>
  <c r="I972" i="1"/>
  <c r="L972" i="1"/>
  <c r="H972" i="1" l="1"/>
  <c r="K972" i="1"/>
  <c r="M972" i="1" s="1"/>
  <c r="N972" i="1"/>
  <c r="P972" i="1" s="1"/>
  <c r="J972" i="1" l="1"/>
  <c r="G972" i="1" s="1"/>
  <c r="F972" i="1" l="1"/>
  <c r="E973" i="1"/>
  <c r="C973" i="1"/>
  <c r="D964" i="3" s="1"/>
  <c r="I973" i="1" l="1"/>
  <c r="L973" i="1"/>
  <c r="O973" i="1"/>
  <c r="B973" i="1"/>
  <c r="C964" i="3" s="1"/>
  <c r="D973" i="1"/>
  <c r="H973" i="1" l="1"/>
  <c r="K973" i="1"/>
  <c r="M973" i="1" s="1"/>
  <c r="N973" i="1"/>
  <c r="P973" i="1" s="1"/>
  <c r="J973" i="1" l="1"/>
  <c r="G973" i="1" s="1"/>
  <c r="F973" i="1" l="1"/>
  <c r="C974" i="1"/>
  <c r="D965" i="3" s="1"/>
  <c r="E974" i="1"/>
  <c r="I974" i="1" l="1"/>
  <c r="L974" i="1"/>
  <c r="O974" i="1"/>
  <c r="D974" i="1"/>
  <c r="B974" i="1"/>
  <c r="C965" i="3" s="1"/>
  <c r="K974" i="1" l="1"/>
  <c r="M974" i="1" s="1"/>
  <c r="N974" i="1"/>
  <c r="P974" i="1" s="1"/>
  <c r="H974" i="1"/>
  <c r="J974" i="1" l="1"/>
  <c r="G974" i="1" s="1"/>
  <c r="F974" i="1" l="1"/>
  <c r="E975" i="1"/>
  <c r="C975" i="1"/>
  <c r="D966" i="3" s="1"/>
  <c r="L975" i="1" l="1"/>
  <c r="O975" i="1"/>
  <c r="I975" i="1"/>
  <c r="D975" i="1"/>
  <c r="B975" i="1"/>
  <c r="C966" i="3" s="1"/>
  <c r="K975" i="1" l="1"/>
  <c r="M975" i="1" s="1"/>
  <c r="N975" i="1"/>
  <c r="P975" i="1" s="1"/>
  <c r="H975" i="1"/>
  <c r="J975" i="1" l="1"/>
  <c r="G975" i="1" s="1"/>
  <c r="F975" i="1" l="1"/>
  <c r="C976" i="1"/>
  <c r="D967" i="3" s="1"/>
  <c r="E976" i="1"/>
  <c r="L976" i="1" l="1"/>
  <c r="O976" i="1"/>
  <c r="I976" i="1"/>
  <c r="D976" i="1"/>
  <c r="B976" i="1"/>
  <c r="C967" i="3" s="1"/>
  <c r="K976" i="1" l="1"/>
  <c r="M976" i="1" s="1"/>
  <c r="N976" i="1"/>
  <c r="P976" i="1" s="1"/>
  <c r="H976" i="1"/>
  <c r="J976" i="1" l="1"/>
  <c r="G976" i="1" s="1"/>
  <c r="C977" i="1" l="1"/>
  <c r="D968" i="3" s="1"/>
  <c r="E977" i="1"/>
  <c r="F976" i="1"/>
  <c r="D977" i="1" l="1"/>
  <c r="B977" i="1"/>
  <c r="C968" i="3" s="1"/>
  <c r="L977" i="1"/>
  <c r="O977" i="1"/>
  <c r="I977" i="1"/>
  <c r="N977" i="1" l="1"/>
  <c r="P977" i="1" s="1"/>
  <c r="H977" i="1"/>
  <c r="K977" i="1"/>
  <c r="M977" i="1" s="1"/>
  <c r="J977" i="1" l="1"/>
  <c r="G977" i="1" s="1"/>
  <c r="E978" i="1" l="1"/>
  <c r="C978" i="1"/>
  <c r="D969" i="3" s="1"/>
  <c r="F977" i="1"/>
  <c r="D978" i="1" l="1"/>
  <c r="B978" i="1"/>
  <c r="C969" i="3" s="1"/>
  <c r="O978" i="1"/>
  <c r="I978" i="1"/>
  <c r="L978" i="1"/>
  <c r="N978" i="1" l="1"/>
  <c r="P978" i="1" s="1"/>
  <c r="H978" i="1"/>
  <c r="K978" i="1"/>
  <c r="M978" i="1" s="1"/>
  <c r="J978" i="1" l="1"/>
  <c r="G978" i="1" s="1"/>
  <c r="C979" i="1" l="1"/>
  <c r="D970" i="3" s="1"/>
  <c r="E979" i="1"/>
  <c r="F978" i="1"/>
  <c r="D979" i="1" l="1"/>
  <c r="B979" i="1"/>
  <c r="C970" i="3" s="1"/>
  <c r="O979" i="1"/>
  <c r="I979" i="1"/>
  <c r="L979" i="1"/>
  <c r="N979" i="1" l="1"/>
  <c r="P979" i="1" s="1"/>
  <c r="H979" i="1"/>
  <c r="K979" i="1"/>
  <c r="M979" i="1" s="1"/>
  <c r="J979" i="1" l="1"/>
  <c r="G979" i="1" s="1"/>
  <c r="C980" i="1" l="1"/>
  <c r="D971" i="3" s="1"/>
  <c r="E980" i="1"/>
  <c r="F979" i="1"/>
  <c r="B980" i="1" l="1"/>
  <c r="C971" i="3" s="1"/>
  <c r="D980" i="1"/>
  <c r="O980" i="1"/>
  <c r="I980" i="1"/>
  <c r="L980" i="1"/>
  <c r="H980" i="1" l="1"/>
  <c r="K980" i="1"/>
  <c r="M980" i="1" s="1"/>
  <c r="N980" i="1"/>
  <c r="P980" i="1" s="1"/>
  <c r="J980" i="1" l="1"/>
  <c r="G980" i="1" s="1"/>
  <c r="F980" i="1" l="1"/>
  <c r="B981" i="1" s="1"/>
  <c r="C972" i="3" s="1"/>
  <c r="E981" i="1"/>
  <c r="C981" i="1"/>
  <c r="D972" i="3" s="1"/>
  <c r="D981" i="1" l="1"/>
  <c r="I981" i="1"/>
  <c r="L981" i="1"/>
  <c r="O981" i="1"/>
  <c r="H981" i="1"/>
  <c r="K981" i="1"/>
  <c r="N981" i="1"/>
  <c r="J981" i="1" l="1"/>
  <c r="P981" i="1"/>
  <c r="M981" i="1"/>
  <c r="F981" i="1" l="1"/>
  <c r="D982" i="1" s="1"/>
  <c r="G981" i="1"/>
  <c r="B982" i="1" l="1"/>
  <c r="C982" i="1"/>
  <c r="D973" i="3" s="1"/>
  <c r="E982" i="1"/>
  <c r="K982" i="1" l="1"/>
  <c r="C973" i="3"/>
  <c r="H982" i="1"/>
  <c r="N982" i="1"/>
  <c r="I982" i="1"/>
  <c r="L982" i="1"/>
  <c r="O982" i="1"/>
  <c r="P982" i="1" l="1"/>
  <c r="M982" i="1"/>
  <c r="J982" i="1"/>
  <c r="F982" i="1" l="1"/>
  <c r="B983" i="1" s="1"/>
  <c r="C974" i="3" s="1"/>
  <c r="G982" i="1"/>
  <c r="D983" i="1" l="1"/>
  <c r="C983" i="1"/>
  <c r="D974" i="3" s="1"/>
  <c r="E983" i="1"/>
  <c r="K983" i="1"/>
  <c r="N983" i="1"/>
  <c r="H983" i="1"/>
  <c r="L983" i="1" l="1"/>
  <c r="M983" i="1" s="1"/>
  <c r="O983" i="1"/>
  <c r="P983" i="1" s="1"/>
  <c r="I983" i="1"/>
  <c r="J983" i="1" s="1"/>
  <c r="F983" i="1" l="1"/>
  <c r="D984" i="1" s="1"/>
  <c r="G983" i="1"/>
  <c r="B984" i="1" l="1"/>
  <c r="E984" i="1"/>
  <c r="C984" i="1"/>
  <c r="D975" i="3" s="1"/>
  <c r="K984" i="1" l="1"/>
  <c r="C975" i="3"/>
  <c r="H984" i="1"/>
  <c r="N984" i="1"/>
  <c r="L984" i="1"/>
  <c r="O984" i="1"/>
  <c r="I984" i="1"/>
  <c r="P984" i="1"/>
  <c r="M984" i="1" l="1"/>
  <c r="J984" i="1"/>
  <c r="F984" i="1" l="1"/>
  <c r="D985" i="1" s="1"/>
  <c r="G984" i="1"/>
  <c r="C985" i="1" s="1"/>
  <c r="D976" i="3" s="1"/>
  <c r="B985" i="1" l="1"/>
  <c r="N985" i="1" s="1"/>
  <c r="E985" i="1"/>
  <c r="L985" i="1"/>
  <c r="O985" i="1"/>
  <c r="I985" i="1"/>
  <c r="K985" i="1" l="1"/>
  <c r="M985" i="1" s="1"/>
  <c r="H985" i="1"/>
  <c r="C976" i="3"/>
  <c r="P985" i="1"/>
  <c r="J985" i="1"/>
  <c r="F985" i="1" l="1"/>
  <c r="D986" i="1" s="1"/>
  <c r="G985" i="1"/>
  <c r="B986" i="1" l="1"/>
  <c r="C977" i="3" s="1"/>
  <c r="E986" i="1"/>
  <c r="C986" i="1"/>
  <c r="D977" i="3" s="1"/>
  <c r="H986" i="1" l="1"/>
  <c r="N986" i="1"/>
  <c r="K986" i="1"/>
  <c r="O986" i="1"/>
  <c r="P986" i="1" s="1"/>
  <c r="I986" i="1"/>
  <c r="L986" i="1"/>
  <c r="M986" i="1" s="1"/>
  <c r="J986" i="1" l="1"/>
  <c r="F986" i="1" s="1"/>
  <c r="D987" i="1" l="1"/>
  <c r="B987" i="1"/>
  <c r="C978" i="3" s="1"/>
  <c r="G986" i="1"/>
  <c r="E987" i="1" l="1"/>
  <c r="C987" i="1"/>
  <c r="D978" i="3" s="1"/>
  <c r="N987" i="1"/>
  <c r="H987" i="1"/>
  <c r="K987" i="1"/>
  <c r="O987" i="1" l="1"/>
  <c r="P987" i="1" s="1"/>
  <c r="I987" i="1"/>
  <c r="J987" i="1" s="1"/>
  <c r="L987" i="1"/>
  <c r="M987" i="1" s="1"/>
  <c r="F987" i="1" l="1"/>
  <c r="G987" i="1"/>
  <c r="E988" i="1" l="1"/>
  <c r="C988" i="1"/>
  <c r="D979" i="3" s="1"/>
  <c r="B988" i="1"/>
  <c r="C979" i="3" s="1"/>
  <c r="D988" i="1"/>
  <c r="H988" i="1" l="1"/>
  <c r="K988" i="1"/>
  <c r="N988" i="1"/>
  <c r="O988" i="1"/>
  <c r="I988" i="1"/>
  <c r="L988" i="1"/>
  <c r="P988" i="1" l="1"/>
  <c r="M988" i="1"/>
  <c r="J988" i="1"/>
  <c r="G988" i="1" l="1"/>
  <c r="C989" i="1" s="1"/>
  <c r="D980" i="3" s="1"/>
  <c r="F988" i="1"/>
  <c r="E989" i="1" l="1"/>
  <c r="D989" i="1"/>
  <c r="B989" i="1"/>
  <c r="C980" i="3" s="1"/>
  <c r="I989" i="1"/>
  <c r="L989" i="1"/>
  <c r="O989" i="1"/>
  <c r="H989" i="1" l="1"/>
  <c r="K989" i="1"/>
  <c r="M989" i="1" s="1"/>
  <c r="N989" i="1"/>
  <c r="P989" i="1" s="1"/>
  <c r="J989" i="1" l="1"/>
  <c r="G989" i="1" s="1"/>
  <c r="F989" i="1" l="1"/>
  <c r="D990" i="1" s="1"/>
  <c r="E990" i="1"/>
  <c r="C990" i="1"/>
  <c r="D981" i="3" s="1"/>
  <c r="B990" i="1" l="1"/>
  <c r="I990" i="1"/>
  <c r="L990" i="1"/>
  <c r="O990" i="1"/>
  <c r="K990" i="1" l="1"/>
  <c r="M990" i="1" s="1"/>
  <c r="C981" i="3"/>
  <c r="N990" i="1"/>
  <c r="P990" i="1" s="1"/>
  <c r="H990" i="1"/>
  <c r="J990" i="1" s="1"/>
  <c r="G990" i="1" l="1"/>
  <c r="E991" i="1" s="1"/>
  <c r="F990" i="1"/>
  <c r="D991" i="1" s="1"/>
  <c r="C991" i="1" l="1"/>
  <c r="B991" i="1"/>
  <c r="K991" i="1" l="1"/>
  <c r="C982" i="3"/>
  <c r="L991" i="1"/>
  <c r="D982" i="3"/>
  <c r="O991" i="1"/>
  <c r="I991" i="1"/>
  <c r="N991" i="1"/>
  <c r="H991" i="1"/>
  <c r="M991" i="1" l="1"/>
  <c r="J991" i="1"/>
  <c r="P991" i="1"/>
  <c r="F991" i="1" l="1"/>
  <c r="D992" i="1" s="1"/>
  <c r="G991" i="1"/>
  <c r="C992" i="1" s="1"/>
  <c r="B992" i="1" l="1"/>
  <c r="K992" i="1" s="1"/>
  <c r="L992" i="1"/>
  <c r="D983" i="3"/>
  <c r="O992" i="1"/>
  <c r="I992" i="1"/>
  <c r="E992" i="1"/>
  <c r="H992" i="1" l="1"/>
  <c r="J992" i="1" s="1"/>
  <c r="N992" i="1"/>
  <c r="C983" i="3"/>
  <c r="M992" i="1"/>
  <c r="P992" i="1"/>
  <c r="F992" i="1" l="1"/>
  <c r="D993" i="1" s="1"/>
  <c r="G992" i="1"/>
  <c r="C993" i="1" s="1"/>
  <c r="B993" i="1" l="1"/>
  <c r="C984" i="3" s="1"/>
  <c r="L993" i="1"/>
  <c r="D984" i="3"/>
  <c r="I993" i="1"/>
  <c r="O993" i="1"/>
  <c r="E993" i="1"/>
  <c r="K993" i="1" l="1"/>
  <c r="M993" i="1" s="1"/>
  <c r="N993" i="1"/>
  <c r="P993" i="1" s="1"/>
  <c r="H993" i="1"/>
  <c r="J993" i="1" s="1"/>
  <c r="F993" i="1" l="1"/>
  <c r="B994" i="1" s="1"/>
  <c r="C985" i="3" s="1"/>
  <c r="G993" i="1"/>
  <c r="C994" i="1" s="1"/>
  <c r="D985" i="3" s="1"/>
  <c r="N994" i="1" l="1"/>
  <c r="K994" i="1"/>
  <c r="H994" i="1"/>
  <c r="D994" i="1"/>
  <c r="O994" i="1"/>
  <c r="I994" i="1"/>
  <c r="L994" i="1"/>
  <c r="E994" i="1"/>
  <c r="P994" i="1" l="1"/>
  <c r="J994" i="1"/>
  <c r="M994" i="1"/>
  <c r="G994" i="1" l="1"/>
  <c r="E995" i="1" s="1"/>
  <c r="F994" i="1"/>
  <c r="B995" i="1" s="1"/>
  <c r="C986" i="3" s="1"/>
  <c r="C995" i="1" l="1"/>
  <c r="I995" i="1" s="1"/>
  <c r="D995" i="1"/>
  <c r="K995" i="1"/>
  <c r="N995" i="1"/>
  <c r="H995" i="1"/>
  <c r="D986" i="3" l="1"/>
  <c r="L995" i="1"/>
  <c r="O995" i="1"/>
  <c r="M995" i="1"/>
  <c r="P995" i="1"/>
  <c r="J995" i="1"/>
  <c r="G995" i="1" l="1"/>
  <c r="C996" i="1" s="1"/>
  <c r="D987" i="3" s="1"/>
  <c r="F995" i="1"/>
  <c r="E996" i="1" l="1"/>
  <c r="D996" i="1"/>
  <c r="B996" i="1"/>
  <c r="C987" i="3" s="1"/>
  <c r="L996" i="1"/>
  <c r="O996" i="1"/>
  <c r="I996" i="1"/>
  <c r="N996" i="1" l="1"/>
  <c r="P996" i="1" s="1"/>
  <c r="H996" i="1"/>
  <c r="K996" i="1"/>
  <c r="M996" i="1" s="1"/>
  <c r="J996" i="1" l="1"/>
  <c r="G996" i="1" s="1"/>
  <c r="F996" i="1" l="1"/>
  <c r="B997" i="1" s="1"/>
  <c r="C988" i="3" s="1"/>
  <c r="C997" i="1"/>
  <c r="D988" i="3" s="1"/>
  <c r="E997" i="1"/>
  <c r="D997" i="1" l="1"/>
  <c r="O997" i="1"/>
  <c r="L997" i="1"/>
  <c r="I997" i="1"/>
  <c r="K997" i="1"/>
  <c r="N997" i="1"/>
  <c r="P997" i="1" s="1"/>
  <c r="H997" i="1"/>
  <c r="M997" i="1" l="1"/>
  <c r="J997" i="1"/>
  <c r="G997" i="1" l="1"/>
  <c r="E998" i="1" s="1"/>
  <c r="F997" i="1"/>
  <c r="C998" i="1" l="1"/>
  <c r="B998" i="1"/>
  <c r="C989" i="3" s="1"/>
  <c r="D998" i="1"/>
  <c r="O998" i="1" l="1"/>
  <c r="D989" i="3"/>
  <c r="L998" i="1"/>
  <c r="I998" i="1"/>
  <c r="N998" i="1"/>
  <c r="H998" i="1"/>
  <c r="K998" i="1"/>
  <c r="P998" i="1" l="1"/>
  <c r="M998" i="1"/>
  <c r="J998" i="1"/>
  <c r="G998" i="1" l="1"/>
  <c r="C999" i="1" s="1"/>
  <c r="D990" i="3" s="1"/>
  <c r="F998" i="1"/>
  <c r="E999" i="1" l="1"/>
  <c r="D999" i="1"/>
  <c r="B999" i="1"/>
  <c r="C990" i="3" s="1"/>
  <c r="O999" i="1"/>
  <c r="I999" i="1"/>
  <c r="L999" i="1"/>
  <c r="H999" i="1" l="1"/>
  <c r="N999" i="1"/>
  <c r="P999" i="1" s="1"/>
  <c r="K999" i="1"/>
  <c r="M999" i="1" s="1"/>
  <c r="J999" i="1" l="1"/>
  <c r="G999" i="1" s="1"/>
  <c r="F999" i="1" l="1"/>
  <c r="B1000" i="1" s="1"/>
  <c r="C991" i="3" s="1"/>
  <c r="C1000" i="1"/>
  <c r="D991" i="3" s="1"/>
  <c r="E1000" i="1"/>
  <c r="D1000" i="1" l="1"/>
  <c r="I1000" i="1"/>
  <c r="L1000" i="1"/>
  <c r="O1000" i="1"/>
  <c r="N1000" i="1"/>
  <c r="H1000" i="1"/>
  <c r="K1000" i="1"/>
  <c r="M1000" i="1" s="1"/>
  <c r="P1000" i="1" l="1"/>
  <c r="J1000" i="1"/>
  <c r="F1000" i="1" l="1"/>
  <c r="B1001" i="1" s="1"/>
  <c r="C992" i="3" s="1"/>
  <c r="G1000" i="1"/>
  <c r="D1001" i="1" l="1"/>
  <c r="C1001" i="1"/>
  <c r="D992" i="3" s="1"/>
  <c r="E1001" i="1"/>
  <c r="K1001" i="1"/>
  <c r="N1001" i="1"/>
  <c r="H1001" i="1"/>
  <c r="O1001" i="1" l="1"/>
  <c r="P1001" i="1" s="1"/>
  <c r="I1001" i="1"/>
  <c r="L1001" i="1"/>
  <c r="M1001" i="1" s="1"/>
  <c r="J1001" i="1" l="1"/>
  <c r="F1001" i="1" s="1"/>
  <c r="D1002" i="1" l="1"/>
  <c r="B1002" i="1"/>
  <c r="C993" i="3" s="1"/>
  <c r="G1001" i="1"/>
  <c r="E1002" i="1" l="1"/>
  <c r="C1002" i="1"/>
  <c r="D993" i="3" s="1"/>
  <c r="H1002" i="1"/>
  <c r="K1002" i="1"/>
  <c r="N1002" i="1"/>
  <c r="L1002" i="1" l="1"/>
  <c r="M1002" i="1" s="1"/>
  <c r="O1002" i="1"/>
  <c r="P1002" i="1" s="1"/>
  <c r="I1002" i="1"/>
  <c r="J1002" i="1" l="1"/>
  <c r="F1002" i="1" s="1"/>
  <c r="D1003" i="1" l="1"/>
  <c r="B1003" i="1"/>
  <c r="C994" i="3" s="1"/>
  <c r="G1002" i="1"/>
  <c r="E1003" i="1" l="1"/>
  <c r="C1003" i="1"/>
  <c r="D994" i="3" s="1"/>
  <c r="K1003" i="1"/>
  <c r="N1003" i="1"/>
  <c r="H1003" i="1"/>
  <c r="I1003" i="1" l="1"/>
  <c r="L1003" i="1"/>
  <c r="M1003" i="1" s="1"/>
  <c r="O1003" i="1"/>
  <c r="P1003" i="1" s="1"/>
  <c r="J1003" i="1" l="1"/>
  <c r="F1003" i="1" s="1"/>
  <c r="D1004" i="1" l="1"/>
  <c r="B1004" i="1"/>
  <c r="C995" i="3" s="1"/>
  <c r="G1003" i="1"/>
  <c r="E1004" i="1" l="1"/>
  <c r="C1004" i="1"/>
  <c r="D995" i="3" s="1"/>
  <c r="N1004" i="1"/>
  <c r="H1004" i="1"/>
  <c r="K1004" i="1"/>
  <c r="L1004" i="1" l="1"/>
  <c r="M1004" i="1" s="1"/>
  <c r="O1004" i="1"/>
  <c r="P1004" i="1" s="1"/>
  <c r="I1004" i="1"/>
  <c r="J1004" i="1" l="1"/>
  <c r="F1004" i="1" s="1"/>
  <c r="D1005" i="1" l="1"/>
  <c r="B1005" i="1"/>
  <c r="C996" i="3" s="1"/>
  <c r="G1004" i="1"/>
  <c r="K1005" i="1" l="1"/>
  <c r="N1005" i="1"/>
  <c r="H1005" i="1"/>
  <c r="E1005" i="1"/>
  <c r="C1005" i="1"/>
  <c r="D996" i="3" s="1"/>
  <c r="O1005" i="1" l="1"/>
  <c r="P1005" i="1" s="1"/>
  <c r="I1005" i="1"/>
  <c r="J1005" i="1" s="1"/>
  <c r="L1005" i="1"/>
  <c r="M1005" i="1" s="1"/>
  <c r="F1005" i="1" l="1"/>
  <c r="B1006" i="1" s="1"/>
  <c r="C997" i="3" s="1"/>
  <c r="G1005" i="1"/>
  <c r="D1006" i="1" l="1"/>
  <c r="E1006" i="1"/>
  <c r="C1006" i="1"/>
  <c r="D997" i="3" s="1"/>
  <c r="N1006" i="1"/>
  <c r="H1006" i="1"/>
  <c r="K1006" i="1"/>
  <c r="L1006" i="1" l="1"/>
  <c r="M1006" i="1" s="1"/>
  <c r="O1006" i="1"/>
  <c r="P1006" i="1" s="1"/>
  <c r="I1006" i="1"/>
  <c r="J1006" i="1" l="1"/>
  <c r="F1006" i="1" s="1"/>
  <c r="B1007" i="1" l="1"/>
  <c r="C998" i="3" s="1"/>
  <c r="D1007" i="1"/>
  <c r="G1006" i="1"/>
  <c r="E1007" i="1" l="1"/>
  <c r="C1007" i="1"/>
  <c r="D998" i="3" s="1"/>
  <c r="H1007" i="1"/>
  <c r="K1007" i="1"/>
  <c r="N1007" i="1"/>
  <c r="O1007" i="1" l="1"/>
  <c r="P1007" i="1" s="1"/>
  <c r="I1007" i="1"/>
  <c r="L1007" i="1"/>
  <c r="M1007" i="1" s="1"/>
  <c r="J1007" i="1" l="1"/>
  <c r="F1007" i="1" s="1"/>
  <c r="D1008" i="1" l="1"/>
  <c r="B1008" i="1"/>
  <c r="C999" i="3" s="1"/>
  <c r="G1007" i="1"/>
  <c r="E1008" i="1" l="1"/>
  <c r="C1008" i="1"/>
  <c r="D999" i="3" s="1"/>
  <c r="N1008" i="1"/>
  <c r="H1008" i="1"/>
  <c r="K1008" i="1"/>
  <c r="I1008" i="1" l="1"/>
  <c r="L1008" i="1"/>
  <c r="M1008" i="1" s="1"/>
  <c r="O1008" i="1"/>
  <c r="P1008" i="1" s="1"/>
  <c r="J1008" i="1" l="1"/>
  <c r="F1008" i="1" s="1"/>
  <c r="B1009" i="1" l="1"/>
  <c r="C1000" i="3" s="1"/>
  <c r="D1009" i="1"/>
  <c r="G1008" i="1"/>
  <c r="E1009" i="1" l="1"/>
  <c r="C1009" i="1"/>
  <c r="D1000" i="3" s="1"/>
  <c r="K1009" i="1"/>
  <c r="N1009" i="1"/>
  <c r="H1009" i="1"/>
  <c r="O1009" i="1" l="1"/>
  <c r="P1009" i="1" s="1"/>
  <c r="I1009" i="1"/>
  <c r="J1009" i="1" s="1"/>
  <c r="L1009" i="1"/>
  <c r="M1009" i="1" s="1"/>
  <c r="F1009" i="1" l="1"/>
  <c r="D1010" i="1" s="1"/>
  <c r="G1009" i="1"/>
  <c r="B1010" i="1" l="1"/>
  <c r="E1010" i="1"/>
  <c r="C1010" i="1"/>
  <c r="D1001" i="3" s="1"/>
  <c r="H1010" i="1" l="1"/>
  <c r="C1001" i="3"/>
  <c r="K1010" i="1"/>
  <c r="N1010" i="1"/>
  <c r="L1010" i="1"/>
  <c r="O1010" i="1"/>
  <c r="I1010" i="1"/>
  <c r="P1010" i="1" l="1"/>
  <c r="M1010" i="1"/>
  <c r="J1010" i="1"/>
  <c r="F1010" i="1" l="1"/>
  <c r="B1011" i="1" s="1"/>
  <c r="C1002" i="3" s="1"/>
  <c r="G1010" i="1"/>
  <c r="D1011" i="1" l="1"/>
  <c r="C1011" i="1"/>
  <c r="D1002" i="3" s="1"/>
  <c r="E1011" i="1"/>
  <c r="K1011" i="1"/>
  <c r="N1011" i="1"/>
  <c r="H1011" i="1"/>
  <c r="I1011" i="1" l="1"/>
  <c r="L1011" i="1"/>
  <c r="M1011" i="1" s="1"/>
  <c r="O1011" i="1"/>
  <c r="P1011" i="1" s="1"/>
  <c r="J1011" i="1" l="1"/>
  <c r="F1011" i="1" s="1"/>
  <c r="D1012" i="1" l="1"/>
  <c r="B1012" i="1"/>
  <c r="C1003" i="3" s="1"/>
  <c r="G1011" i="1"/>
  <c r="C1012" i="1" l="1"/>
  <c r="D1003" i="3" s="1"/>
  <c r="E1012" i="1"/>
  <c r="N1012" i="1"/>
  <c r="K1012" i="1"/>
  <c r="H1012" i="1"/>
  <c r="L1012" i="1" l="1"/>
  <c r="M1012" i="1" s="1"/>
  <c r="O1012" i="1"/>
  <c r="P1012" i="1" s="1"/>
  <c r="I1012" i="1"/>
  <c r="J1012" i="1" l="1"/>
  <c r="F1012" i="1" s="1"/>
  <c r="D1013" i="1" l="1"/>
  <c r="B1013" i="1"/>
  <c r="C1004" i="3" s="1"/>
  <c r="G1012" i="1"/>
  <c r="C1013" i="1" l="1"/>
  <c r="D1004" i="3" s="1"/>
  <c r="E1013" i="1"/>
  <c r="K1013" i="1"/>
  <c r="N1013" i="1"/>
  <c r="H1013" i="1"/>
  <c r="O1013" i="1" l="1"/>
  <c r="P1013" i="1" s="1"/>
  <c r="I1013" i="1"/>
  <c r="J1013" i="1" s="1"/>
  <c r="L1013" i="1"/>
  <c r="M1013" i="1" s="1"/>
  <c r="F1013" i="1" l="1"/>
  <c r="B1014" i="1" s="1"/>
  <c r="C1005" i="3" s="1"/>
  <c r="G1013" i="1"/>
  <c r="D1014" i="1" l="1"/>
  <c r="E1014" i="1"/>
  <c r="C1014" i="1"/>
  <c r="D1005" i="3" s="1"/>
  <c r="N1014" i="1"/>
  <c r="H1014" i="1"/>
  <c r="K1014" i="1"/>
  <c r="L1014" i="1" l="1"/>
  <c r="M1014" i="1" s="1"/>
  <c r="O1014" i="1"/>
  <c r="P1014" i="1" s="1"/>
  <c r="I1014" i="1"/>
  <c r="J1014" i="1" l="1"/>
  <c r="F1014" i="1" s="1"/>
  <c r="D1015" i="1" l="1"/>
  <c r="B1015" i="1"/>
  <c r="C1006" i="3" s="1"/>
  <c r="G1014" i="1"/>
  <c r="E1015" i="1" l="1"/>
  <c r="C1015" i="1"/>
  <c r="D1006" i="3" s="1"/>
  <c r="H1015" i="1"/>
  <c r="K1015" i="1"/>
  <c r="N1015" i="1"/>
  <c r="O1015" i="1" l="1"/>
  <c r="P1015" i="1" s="1"/>
  <c r="I1015" i="1"/>
  <c r="J1015" i="1" s="1"/>
  <c r="L1015" i="1"/>
  <c r="M1015" i="1" s="1"/>
  <c r="F1015" i="1" l="1"/>
  <c r="B1016" i="1" s="1"/>
  <c r="C1007" i="3" s="1"/>
  <c r="G1015" i="1"/>
  <c r="D1016" i="1" l="1"/>
  <c r="E1016" i="1"/>
  <c r="C1016" i="1"/>
  <c r="D1007" i="3" s="1"/>
  <c r="N1016" i="1"/>
  <c r="H1016" i="1"/>
  <c r="K1016" i="1"/>
  <c r="I1016" i="1" l="1"/>
  <c r="O1016" i="1"/>
  <c r="L1016" i="1"/>
  <c r="M1016" i="1" s="1"/>
  <c r="P1016" i="1"/>
  <c r="J1016" i="1" l="1"/>
  <c r="F1016" i="1" s="1"/>
  <c r="B1017" i="1" l="1"/>
  <c r="C1008" i="3" s="1"/>
  <c r="D1017" i="1"/>
  <c r="G1016" i="1"/>
  <c r="E1017" i="1" l="1"/>
  <c r="C1017" i="1"/>
  <c r="D1008" i="3" s="1"/>
  <c r="K1017" i="1"/>
  <c r="N1017" i="1"/>
  <c r="H1017" i="1"/>
  <c r="O1017" i="1" l="1"/>
  <c r="P1017" i="1" s="1"/>
  <c r="I1017" i="1"/>
  <c r="L1017" i="1"/>
  <c r="M1017" i="1" s="1"/>
  <c r="J1017" i="1" l="1"/>
  <c r="F1017" i="1" s="1"/>
  <c r="D1018" i="1" l="1"/>
  <c r="B1018" i="1"/>
  <c r="C1009" i="3" s="1"/>
  <c r="G1017" i="1"/>
  <c r="E1018" i="1" l="1"/>
  <c r="C1018" i="1"/>
  <c r="D1009" i="3" s="1"/>
  <c r="H1018" i="1"/>
  <c r="K1018" i="1"/>
  <c r="N1018" i="1"/>
  <c r="L1018" i="1" l="1"/>
  <c r="M1018" i="1" s="1"/>
  <c r="O1018" i="1"/>
  <c r="P1018" i="1" s="1"/>
  <c r="I1018" i="1"/>
  <c r="J1018" i="1" l="1"/>
  <c r="F1018" i="1" s="1"/>
  <c r="B1019" i="1" l="1"/>
  <c r="C1010" i="3" s="1"/>
  <c r="D1019" i="1"/>
  <c r="G1018" i="1"/>
  <c r="E1019" i="1" l="1"/>
  <c r="C1019" i="1"/>
  <c r="D1010" i="3" s="1"/>
  <c r="K1019" i="1"/>
  <c r="N1019" i="1"/>
  <c r="H1019" i="1"/>
  <c r="I1019" i="1" l="1"/>
  <c r="J1019" i="1" s="1"/>
  <c r="L1019" i="1"/>
  <c r="M1019" i="1" s="1"/>
  <c r="O1019" i="1"/>
  <c r="P1019" i="1" s="1"/>
  <c r="F1019" i="1" l="1"/>
  <c r="G1019" i="1"/>
  <c r="E1020" i="1" l="1"/>
  <c r="C1020" i="1"/>
  <c r="D1011" i="3" s="1"/>
  <c r="D1020" i="1"/>
  <c r="B1020" i="1"/>
  <c r="C1011" i="3" s="1"/>
  <c r="L1020" i="1" l="1"/>
  <c r="O1020" i="1"/>
  <c r="I1020" i="1"/>
  <c r="N1020" i="1"/>
  <c r="P1020" i="1" s="1"/>
  <c r="H1020" i="1"/>
  <c r="K1020" i="1"/>
  <c r="J1020" i="1" l="1"/>
  <c r="M1020" i="1"/>
  <c r="F1020" i="1" l="1"/>
  <c r="D1021" i="1" s="1"/>
  <c r="G1020" i="1"/>
  <c r="B1021" i="1" l="1"/>
  <c r="C1021" i="1"/>
  <c r="D1012" i="3" s="1"/>
  <c r="E1021" i="1"/>
  <c r="K1021" i="1" l="1"/>
  <c r="C1012" i="3"/>
  <c r="N1021" i="1"/>
  <c r="H1021" i="1"/>
  <c r="O1021" i="1"/>
  <c r="I1021" i="1"/>
  <c r="L1021" i="1"/>
  <c r="M1021" i="1" l="1"/>
  <c r="P1021" i="1"/>
  <c r="J1021" i="1"/>
  <c r="F1021" i="1" l="1"/>
  <c r="D1022" i="1" s="1"/>
  <c r="G1021" i="1"/>
  <c r="B1022" i="1" l="1"/>
  <c r="E1022" i="1"/>
  <c r="C1022" i="1"/>
  <c r="D1013" i="3" s="1"/>
  <c r="N1022" i="1" l="1"/>
  <c r="C1013" i="3"/>
  <c r="K1022" i="1"/>
  <c r="H1022" i="1"/>
  <c r="L1022" i="1"/>
  <c r="O1022" i="1"/>
  <c r="I1022" i="1"/>
  <c r="P1022" i="1" l="1"/>
  <c r="J1022" i="1"/>
  <c r="M1022" i="1"/>
  <c r="F1022" i="1" l="1"/>
  <c r="B1023" i="1" s="1"/>
  <c r="G1022" i="1"/>
  <c r="E1023" i="1" s="1"/>
  <c r="N1023" i="1" l="1"/>
  <c r="C1014" i="3"/>
  <c r="K1023" i="1"/>
  <c r="H1023" i="1"/>
  <c r="D1023" i="1"/>
  <c r="C1023" i="1"/>
  <c r="O1023" i="1" l="1"/>
  <c r="P1023" i="1" s="1"/>
  <c r="D1014" i="3"/>
  <c r="L1023" i="1"/>
  <c r="M1023" i="1" s="1"/>
  <c r="I1023" i="1"/>
  <c r="J1023" i="1" s="1"/>
  <c r="F1023" i="1" l="1"/>
  <c r="B1024" i="1" s="1"/>
  <c r="C1015" i="3" s="1"/>
  <c r="G1023" i="1"/>
  <c r="D1024" i="1" l="1"/>
  <c r="E1024" i="1"/>
  <c r="C1024" i="1"/>
  <c r="D1015" i="3" s="1"/>
  <c r="N1024" i="1"/>
  <c r="H1024" i="1"/>
  <c r="K1024" i="1"/>
  <c r="I1024" i="1" l="1"/>
  <c r="L1024" i="1"/>
  <c r="M1024" i="1" s="1"/>
  <c r="O1024" i="1"/>
  <c r="P1024" i="1" s="1"/>
  <c r="J1024" i="1" l="1"/>
  <c r="F1024" i="1" s="1"/>
  <c r="D1025" i="1" l="1"/>
  <c r="B1025" i="1"/>
  <c r="C1016" i="3" s="1"/>
  <c r="G1024" i="1"/>
  <c r="E1025" i="1" l="1"/>
  <c r="C1025" i="1"/>
  <c r="D1016" i="3" s="1"/>
  <c r="K1025" i="1"/>
  <c r="N1025" i="1"/>
  <c r="H1025" i="1"/>
  <c r="O1025" i="1" l="1"/>
  <c r="P1025" i="1" s="1"/>
  <c r="I1025" i="1"/>
  <c r="L1025" i="1"/>
  <c r="M1025" i="1" s="1"/>
  <c r="J1025" i="1" l="1"/>
  <c r="F1025" i="1" s="1"/>
  <c r="B1026" i="1" l="1"/>
  <c r="C1017" i="3" s="1"/>
  <c r="D1026" i="1"/>
  <c r="G1025" i="1"/>
  <c r="E1026" i="1" l="1"/>
  <c r="C1026" i="1"/>
  <c r="D1017" i="3" s="1"/>
  <c r="H1026" i="1"/>
  <c r="K1026" i="1"/>
  <c r="N1026" i="1"/>
  <c r="L1026" i="1" l="1"/>
  <c r="M1026" i="1" s="1"/>
  <c r="O1026" i="1"/>
  <c r="P1026" i="1" s="1"/>
  <c r="I1026" i="1"/>
  <c r="J1026" i="1" s="1"/>
  <c r="F1026" i="1" l="1"/>
  <c r="D1027" i="1" s="1"/>
  <c r="G1026" i="1"/>
  <c r="B1027" i="1" l="1"/>
  <c r="E1027" i="1"/>
  <c r="C1027" i="1"/>
  <c r="D1018" i="3" s="1"/>
  <c r="K1027" i="1" l="1"/>
  <c r="C1018" i="3"/>
  <c r="N1027" i="1"/>
  <c r="H1027" i="1"/>
  <c r="I1027" i="1"/>
  <c r="L1027" i="1"/>
  <c r="O1027" i="1"/>
  <c r="M1027" i="1" l="1"/>
  <c r="J1027" i="1"/>
  <c r="P1027" i="1"/>
  <c r="F1027" i="1" l="1"/>
  <c r="B1028" i="1" s="1"/>
  <c r="C1019" i="3" s="1"/>
  <c r="G1027" i="1"/>
  <c r="E1028" i="1" s="1"/>
  <c r="D1028" i="1" l="1"/>
  <c r="C1028" i="1"/>
  <c r="N1028" i="1"/>
  <c r="H1028" i="1"/>
  <c r="K1028" i="1"/>
  <c r="L1028" i="1" l="1"/>
  <c r="M1028" i="1" s="1"/>
  <c r="D1019" i="3"/>
  <c r="I1028" i="1"/>
  <c r="J1028" i="1" s="1"/>
  <c r="O1028" i="1"/>
  <c r="P1028" i="1" s="1"/>
  <c r="F1028" i="1" l="1"/>
  <c r="D1029" i="1" s="1"/>
  <c r="G1028" i="1"/>
  <c r="C1029" i="1" s="1"/>
  <c r="D1020" i="3" s="1"/>
  <c r="B1029" i="1" l="1"/>
  <c r="E1029" i="1"/>
  <c r="O1029" i="1"/>
  <c r="L1029" i="1"/>
  <c r="I1029" i="1"/>
  <c r="K1029" i="1" l="1"/>
  <c r="M1029" i="1" s="1"/>
  <c r="C1020" i="3"/>
  <c r="H1029" i="1"/>
  <c r="J1029" i="1" s="1"/>
  <c r="N1029" i="1"/>
  <c r="P1029" i="1" s="1"/>
  <c r="G1029" i="1" l="1"/>
  <c r="E1030" i="1" s="1"/>
  <c r="F1029" i="1"/>
  <c r="D1030" i="1" s="1"/>
  <c r="C1030" i="1" l="1"/>
  <c r="B1030" i="1"/>
  <c r="N1030" i="1" l="1"/>
  <c r="C1021" i="3"/>
  <c r="L1030" i="1"/>
  <c r="D1021" i="3"/>
  <c r="O1030" i="1"/>
  <c r="I1030" i="1"/>
  <c r="K1030" i="1"/>
  <c r="M1030" i="1" s="1"/>
  <c r="H1030" i="1"/>
  <c r="J1030" i="1" s="1"/>
  <c r="P1030" i="1" l="1"/>
  <c r="G1030" i="1" s="1"/>
  <c r="E1031" i="1" s="1"/>
  <c r="F1030" i="1" l="1"/>
  <c r="D1031" i="1" s="1"/>
  <c r="C1031" i="1"/>
  <c r="B1031" i="1" l="1"/>
  <c r="H1031" i="1" s="1"/>
  <c r="O1031" i="1"/>
  <c r="D1022" i="3"/>
  <c r="L1031" i="1"/>
  <c r="I1031" i="1"/>
  <c r="N1031" i="1" l="1"/>
  <c r="P1031" i="1" s="1"/>
  <c r="J1031" i="1"/>
  <c r="K1031" i="1"/>
  <c r="C1022" i="3"/>
  <c r="M1031" i="1"/>
  <c r="F1031" i="1" l="1"/>
  <c r="D1032" i="1" s="1"/>
  <c r="G1031" i="1"/>
  <c r="E1032" i="1" s="1"/>
  <c r="B1032" i="1" l="1"/>
  <c r="N1032" i="1" s="1"/>
  <c r="C1032" i="1"/>
  <c r="H1032" i="1" l="1"/>
  <c r="K1032" i="1"/>
  <c r="C1023" i="3"/>
  <c r="I1032" i="1"/>
  <c r="D1023" i="3"/>
  <c r="O1032" i="1"/>
  <c r="P1032" i="1" s="1"/>
  <c r="L1032" i="1"/>
  <c r="M1032" i="1" s="1"/>
  <c r="J1032" i="1" l="1"/>
  <c r="G1032" i="1" s="1"/>
  <c r="E1033" i="1" s="1"/>
  <c r="F1032" i="1" l="1"/>
  <c r="B1033" i="1" s="1"/>
  <c r="C1024" i="3" s="1"/>
  <c r="C1033" i="1"/>
  <c r="N1033" i="1" l="1"/>
  <c r="H1033" i="1"/>
  <c r="K1033" i="1"/>
  <c r="D1033" i="1"/>
  <c r="O1033" i="1"/>
  <c r="D1024" i="3"/>
  <c r="L1033" i="1"/>
  <c r="I1033" i="1"/>
  <c r="J1033" i="1" s="1"/>
  <c r="M1033" i="1" l="1"/>
  <c r="P1033" i="1"/>
  <c r="G1033" i="1" l="1"/>
  <c r="C1034" i="1" s="1"/>
  <c r="D1025" i="3" s="1"/>
  <c r="F1033" i="1"/>
  <c r="B1034" i="1" s="1"/>
  <c r="C1025" i="3" s="1"/>
  <c r="L1034" i="1" l="1"/>
  <c r="I1034" i="1"/>
  <c r="O1034" i="1"/>
  <c r="E1034" i="1"/>
  <c r="D1034" i="1"/>
  <c r="N1034" i="1"/>
  <c r="P1034" i="1" s="1"/>
  <c r="H1034" i="1"/>
  <c r="J1034" i="1" s="1"/>
  <c r="K1034" i="1"/>
  <c r="M1034" i="1" l="1"/>
  <c r="G1034" i="1" s="1"/>
  <c r="C1035" i="1" s="1"/>
  <c r="D1026" i="3" s="1"/>
  <c r="F1034" i="1" l="1"/>
  <c r="B1035" i="1" s="1"/>
  <c r="C1026" i="3" s="1"/>
  <c r="E1035" i="1"/>
  <c r="I1035" i="1"/>
  <c r="L1035" i="1"/>
  <c r="O1035" i="1"/>
  <c r="D1035" i="1" l="1"/>
  <c r="K1035" i="1"/>
  <c r="M1035" i="1" s="1"/>
  <c r="N1035" i="1"/>
  <c r="P1035" i="1" s="1"/>
  <c r="H1035" i="1"/>
  <c r="J1035" i="1" l="1"/>
  <c r="G1035" i="1" s="1"/>
  <c r="E1036" i="1" l="1"/>
  <c r="C1036" i="1"/>
  <c r="D1027" i="3" s="1"/>
  <c r="F1035" i="1"/>
  <c r="B1036" i="1" l="1"/>
  <c r="C1027" i="3" s="1"/>
  <c r="D1036" i="1"/>
  <c r="L1036" i="1"/>
  <c r="O1036" i="1"/>
  <c r="I1036" i="1"/>
  <c r="N1036" i="1" l="1"/>
  <c r="P1036" i="1" s="1"/>
  <c r="H1036" i="1"/>
  <c r="K1036" i="1"/>
  <c r="M1036" i="1" s="1"/>
  <c r="J1036" i="1" l="1"/>
  <c r="G1036" i="1" s="1"/>
  <c r="F1036" i="1" l="1"/>
  <c r="D1037" i="1" s="1"/>
  <c r="E1037" i="1"/>
  <c r="C1037" i="1"/>
  <c r="D1028" i="3" s="1"/>
  <c r="B1037" i="1" l="1"/>
  <c r="O1037" i="1"/>
  <c r="I1037" i="1"/>
  <c r="L1037" i="1"/>
  <c r="K1037" i="1" l="1"/>
  <c r="M1037" i="1" s="1"/>
  <c r="C1028" i="3"/>
  <c r="H1037" i="1"/>
  <c r="J1037" i="1" s="1"/>
  <c r="N1037" i="1"/>
  <c r="P1037" i="1" s="1"/>
  <c r="F1037" i="1" l="1"/>
  <c r="D1038" i="1" s="1"/>
  <c r="G1037" i="1"/>
  <c r="B1038" i="1" l="1"/>
  <c r="E1038" i="1"/>
  <c r="C1038" i="1"/>
  <c r="D1029" i="3" s="1"/>
  <c r="N1038" i="1" l="1"/>
  <c r="C1029" i="3"/>
  <c r="K1038" i="1"/>
  <c r="H1038" i="1"/>
  <c r="L1038" i="1"/>
  <c r="O1038" i="1"/>
  <c r="I1038" i="1"/>
  <c r="P1038" i="1" l="1"/>
  <c r="M1038" i="1"/>
  <c r="J1038" i="1"/>
  <c r="F1038" i="1" l="1"/>
  <c r="B1039" i="1" s="1"/>
  <c r="C1030" i="3" s="1"/>
  <c r="G1038" i="1"/>
  <c r="D1039" i="1" l="1"/>
  <c r="H1039" i="1"/>
  <c r="K1039" i="1"/>
  <c r="N1039" i="1"/>
  <c r="E1039" i="1"/>
  <c r="C1039" i="1"/>
  <c r="D1030" i="3" s="1"/>
  <c r="O1039" i="1" l="1"/>
  <c r="P1039" i="1" s="1"/>
  <c r="I1039" i="1"/>
  <c r="J1039" i="1" s="1"/>
  <c r="L1039" i="1"/>
  <c r="M1039" i="1" s="1"/>
  <c r="F1039" i="1" l="1"/>
  <c r="D1040" i="1" s="1"/>
  <c r="G1039" i="1"/>
  <c r="B1040" i="1" l="1"/>
  <c r="C1040" i="1"/>
  <c r="D1031" i="3" s="1"/>
  <c r="E1040" i="1"/>
  <c r="N1040" i="1" l="1"/>
  <c r="C1031" i="3"/>
  <c r="H1040" i="1"/>
  <c r="K1040" i="1"/>
  <c r="I1040" i="1"/>
  <c r="L1040" i="1"/>
  <c r="O1040" i="1"/>
  <c r="P1040" i="1" l="1"/>
  <c r="M1040" i="1"/>
  <c r="J1040" i="1"/>
  <c r="F1040" i="1" l="1"/>
  <c r="B1041" i="1" s="1"/>
  <c r="C1032" i="3" s="1"/>
  <c r="G1040" i="1"/>
  <c r="D1041" i="1" l="1"/>
  <c r="E1041" i="1"/>
  <c r="C1041" i="1"/>
  <c r="D1032" i="3" s="1"/>
  <c r="K1041" i="1"/>
  <c r="N1041" i="1"/>
  <c r="H1041" i="1"/>
  <c r="O1041" i="1" l="1"/>
  <c r="P1041" i="1" s="1"/>
  <c r="I1041" i="1"/>
  <c r="L1041" i="1"/>
  <c r="M1041" i="1" s="1"/>
  <c r="J1041" i="1" l="1"/>
  <c r="F1041" i="1" s="1"/>
  <c r="D1042" i="1" l="1"/>
  <c r="B1042" i="1"/>
  <c r="C1033" i="3" s="1"/>
  <c r="G1041" i="1"/>
  <c r="H1042" i="1" l="1"/>
  <c r="K1042" i="1"/>
  <c r="N1042" i="1"/>
  <c r="E1042" i="1"/>
  <c r="C1042" i="1"/>
  <c r="D1033" i="3" s="1"/>
  <c r="L1042" i="1" l="1"/>
  <c r="M1042" i="1" s="1"/>
  <c r="O1042" i="1"/>
  <c r="P1042" i="1" s="1"/>
  <c r="I1042" i="1"/>
  <c r="J1042" i="1" s="1"/>
  <c r="F1042" i="1" l="1"/>
  <c r="G1042" i="1"/>
  <c r="E1043" i="1" l="1"/>
  <c r="C1043" i="1"/>
  <c r="D1034" i="3" s="1"/>
  <c r="B1043" i="1"/>
  <c r="C1034" i="3" s="1"/>
  <c r="D1043" i="1"/>
  <c r="K1043" i="1" l="1"/>
  <c r="N1043" i="1"/>
  <c r="H1043" i="1"/>
  <c r="I1043" i="1"/>
  <c r="L1043" i="1"/>
  <c r="O1043" i="1"/>
  <c r="J1043" i="1" l="1"/>
  <c r="M1043" i="1"/>
  <c r="P1043" i="1"/>
  <c r="G1043" i="1" l="1"/>
  <c r="C1044" i="1" s="1"/>
  <c r="D1035" i="3" s="1"/>
  <c r="F1043" i="1"/>
  <c r="E1044" i="1" l="1"/>
  <c r="B1044" i="1"/>
  <c r="C1035" i="3" s="1"/>
  <c r="D1044" i="1"/>
  <c r="L1044" i="1"/>
  <c r="O1044" i="1"/>
  <c r="I1044" i="1"/>
  <c r="N1044" i="1" l="1"/>
  <c r="P1044" i="1" s="1"/>
  <c r="K1044" i="1"/>
  <c r="M1044" i="1" s="1"/>
  <c r="H1044" i="1"/>
  <c r="J1044" i="1" l="1"/>
  <c r="G1044" i="1" s="1"/>
  <c r="F1044" i="1" l="1"/>
  <c r="E1045" i="1"/>
  <c r="C1045" i="1"/>
  <c r="D1036" i="3" s="1"/>
  <c r="O1045" i="1" l="1"/>
  <c r="I1045" i="1"/>
  <c r="L1045" i="1"/>
  <c r="D1045" i="1"/>
  <c r="B1045" i="1"/>
  <c r="C1036" i="3" s="1"/>
  <c r="K1045" i="1" l="1"/>
  <c r="M1045" i="1" s="1"/>
  <c r="N1045" i="1"/>
  <c r="P1045" i="1" s="1"/>
  <c r="H1045" i="1"/>
  <c r="J1045" i="1" l="1"/>
  <c r="G1045" i="1" s="1"/>
  <c r="C1046" i="1" l="1"/>
  <c r="D1037" i="3" s="1"/>
  <c r="E1046" i="1"/>
  <c r="F1045" i="1"/>
  <c r="B1046" i="1" l="1"/>
  <c r="C1037" i="3" s="1"/>
  <c r="D1046" i="1"/>
  <c r="L1046" i="1"/>
  <c r="O1046" i="1"/>
  <c r="I1046" i="1"/>
  <c r="N1046" i="1" l="1"/>
  <c r="P1046" i="1" s="1"/>
  <c r="H1046" i="1"/>
  <c r="K1046" i="1"/>
  <c r="M1046" i="1" s="1"/>
  <c r="J1046" i="1" l="1"/>
  <c r="G1046" i="1" s="1"/>
  <c r="E1047" i="1" l="1"/>
  <c r="C1047" i="1"/>
  <c r="D1038" i="3" s="1"/>
  <c r="F1046" i="1"/>
  <c r="D1047" i="1" l="1"/>
  <c r="B1047" i="1"/>
  <c r="C1038" i="3" s="1"/>
  <c r="O1047" i="1"/>
  <c r="I1047" i="1"/>
  <c r="L1047" i="1"/>
  <c r="H1047" i="1" l="1"/>
  <c r="K1047" i="1"/>
  <c r="M1047" i="1" s="1"/>
  <c r="N1047" i="1"/>
  <c r="P1047" i="1" s="1"/>
  <c r="J1047" i="1" l="1"/>
  <c r="G1047" i="1" s="1"/>
  <c r="F1047" i="1" l="1"/>
  <c r="B1048" i="1" s="1"/>
  <c r="C1039" i="3" s="1"/>
  <c r="C1048" i="1"/>
  <c r="D1039" i="3" s="1"/>
  <c r="E1048" i="1"/>
  <c r="D1048" i="1" l="1"/>
  <c r="I1048" i="1"/>
  <c r="O1048" i="1"/>
  <c r="L1048" i="1"/>
  <c r="N1048" i="1"/>
  <c r="P1048" i="1" s="1"/>
  <c r="H1048" i="1"/>
  <c r="K1048" i="1"/>
  <c r="J1048" i="1" l="1"/>
  <c r="M1048" i="1"/>
  <c r="F1048" i="1" l="1"/>
  <c r="B1049" i="1" s="1"/>
  <c r="C1040" i="3" s="1"/>
  <c r="G1048" i="1"/>
  <c r="E1049" i="1" s="1"/>
  <c r="D1049" i="1" l="1"/>
  <c r="C1049" i="1"/>
  <c r="K1049" i="1"/>
  <c r="N1049" i="1"/>
  <c r="H1049" i="1"/>
  <c r="O1049" i="1" l="1"/>
  <c r="P1049" i="1" s="1"/>
  <c r="D1040" i="3"/>
  <c r="L1049" i="1"/>
  <c r="M1049" i="1" s="1"/>
  <c r="I1049" i="1"/>
  <c r="J1049" i="1" s="1"/>
  <c r="G1049" i="1" l="1"/>
  <c r="C1050" i="1" s="1"/>
  <c r="D1041" i="3" s="1"/>
  <c r="F1049" i="1"/>
  <c r="E1050" i="1" l="1"/>
  <c r="B1050" i="1"/>
  <c r="C1041" i="3" s="1"/>
  <c r="D1050" i="1"/>
  <c r="L1050" i="1"/>
  <c r="O1050" i="1"/>
  <c r="I1050" i="1"/>
  <c r="H1050" i="1" l="1"/>
  <c r="K1050" i="1"/>
  <c r="M1050" i="1" s="1"/>
  <c r="N1050" i="1"/>
  <c r="P1050" i="1" s="1"/>
  <c r="J1050" i="1" l="1"/>
  <c r="G1050" i="1" s="1"/>
  <c r="F1050" i="1" l="1"/>
  <c r="C1051" i="1"/>
  <c r="D1042" i="3" s="1"/>
  <c r="E1051" i="1"/>
  <c r="I1051" i="1" l="1"/>
  <c r="L1051" i="1"/>
  <c r="O1051" i="1"/>
  <c r="D1051" i="1"/>
  <c r="B1051" i="1"/>
  <c r="C1042" i="3" s="1"/>
  <c r="K1051" i="1" l="1"/>
  <c r="M1051" i="1" s="1"/>
  <c r="N1051" i="1"/>
  <c r="P1051" i="1" s="1"/>
  <c r="H1051" i="1"/>
  <c r="J1051" i="1" l="1"/>
  <c r="G1051" i="1" s="1"/>
  <c r="E1052" i="1" l="1"/>
  <c r="C1052" i="1"/>
  <c r="D1043" i="3" s="1"/>
  <c r="F1051" i="1"/>
  <c r="B1052" i="1" l="1"/>
  <c r="C1043" i="3" s="1"/>
  <c r="D1052" i="1"/>
  <c r="L1052" i="1"/>
  <c r="O1052" i="1"/>
  <c r="I1052" i="1"/>
  <c r="N1052" i="1" l="1"/>
  <c r="P1052" i="1" s="1"/>
  <c r="H1052" i="1"/>
  <c r="K1052" i="1"/>
  <c r="M1052" i="1" s="1"/>
  <c r="J1052" i="1" l="1"/>
  <c r="G1052" i="1" s="1"/>
  <c r="F1052" i="1" l="1"/>
  <c r="D1053" i="1" s="1"/>
  <c r="C1053" i="1"/>
  <c r="D1044" i="3" s="1"/>
  <c r="E1053" i="1"/>
  <c r="B1053" i="1" l="1"/>
  <c r="O1053" i="1"/>
  <c r="I1053" i="1"/>
  <c r="L1053" i="1"/>
  <c r="K1053" i="1" l="1"/>
  <c r="M1053" i="1" s="1"/>
  <c r="C1044" i="3"/>
  <c r="H1053" i="1"/>
  <c r="J1053" i="1" s="1"/>
  <c r="N1053" i="1"/>
  <c r="P1053" i="1" s="1"/>
  <c r="G1053" i="1" l="1"/>
  <c r="E1054" i="1" s="1"/>
  <c r="F1053" i="1"/>
  <c r="C1054" i="1" l="1"/>
  <c r="D1054" i="1"/>
  <c r="B1054" i="1"/>
  <c r="C1045" i="3" s="1"/>
  <c r="L1054" i="1" l="1"/>
  <c r="D1045" i="3"/>
  <c r="I1054" i="1"/>
  <c r="O1054" i="1"/>
  <c r="N1054" i="1"/>
  <c r="H1054" i="1"/>
  <c r="K1054" i="1"/>
  <c r="M1054" i="1" l="1"/>
  <c r="P1054" i="1"/>
  <c r="J1054" i="1"/>
  <c r="G1054" i="1" l="1"/>
  <c r="C1055" i="1" s="1"/>
  <c r="D1046" i="3" s="1"/>
  <c r="F1054" i="1"/>
  <c r="E1055" i="1" l="1"/>
  <c r="B1055" i="1"/>
  <c r="C1046" i="3" s="1"/>
  <c r="D1055" i="1"/>
  <c r="O1055" i="1"/>
  <c r="I1055" i="1"/>
  <c r="L1055" i="1"/>
  <c r="H1055" i="1" l="1"/>
  <c r="K1055" i="1"/>
  <c r="M1055" i="1" s="1"/>
  <c r="N1055" i="1"/>
  <c r="P1055" i="1" s="1"/>
  <c r="J1055" i="1" l="1"/>
  <c r="G1055" i="1" s="1"/>
  <c r="F1055" i="1" l="1"/>
  <c r="D1056" i="1" s="1"/>
  <c r="E1056" i="1"/>
  <c r="C1056" i="1"/>
  <c r="D1047" i="3" s="1"/>
  <c r="B1056" i="1" l="1"/>
  <c r="I1056" i="1"/>
  <c r="L1056" i="1"/>
  <c r="O1056" i="1"/>
  <c r="N1056" i="1" l="1"/>
  <c r="P1056" i="1" s="1"/>
  <c r="C1047" i="3"/>
  <c r="H1056" i="1"/>
  <c r="J1056" i="1" s="1"/>
  <c r="K1056" i="1"/>
  <c r="M1056" i="1" s="1"/>
  <c r="F1056" i="1" l="1"/>
  <c r="B1057" i="1" s="1"/>
  <c r="C1048" i="3" s="1"/>
  <c r="G1056" i="1"/>
  <c r="E1057" i="1" s="1"/>
  <c r="C1057" i="1" l="1"/>
  <c r="D1057" i="1"/>
  <c r="K1057" i="1"/>
  <c r="N1057" i="1"/>
  <c r="H1057" i="1"/>
  <c r="O1057" i="1" l="1"/>
  <c r="P1057" i="1" s="1"/>
  <c r="D1048" i="3"/>
  <c r="L1057" i="1"/>
  <c r="M1057" i="1" s="1"/>
  <c r="I1057" i="1"/>
  <c r="J1057" i="1" s="1"/>
  <c r="G1057" i="1" l="1"/>
  <c r="E1058" i="1" s="1"/>
  <c r="F1057" i="1"/>
  <c r="D1058" i="1" s="1"/>
  <c r="C1058" i="1" l="1"/>
  <c r="B1058" i="1"/>
  <c r="H1058" i="1" l="1"/>
  <c r="C1049" i="3"/>
  <c r="O1058" i="1"/>
  <c r="D1049" i="3"/>
  <c r="I1058" i="1"/>
  <c r="L1058" i="1"/>
  <c r="K1058" i="1"/>
  <c r="N1058" i="1"/>
  <c r="P1058" i="1" s="1"/>
  <c r="J1058" i="1" l="1"/>
  <c r="M1058" i="1"/>
  <c r="F1058" i="1" l="1"/>
  <c r="D1059" i="1" s="1"/>
  <c r="G1058" i="1"/>
  <c r="C1059" i="1" s="1"/>
  <c r="B1059" i="1" l="1"/>
  <c r="K1059" i="1" s="1"/>
  <c r="I1059" i="1"/>
  <c r="D1050" i="3"/>
  <c r="O1059" i="1"/>
  <c r="L1059" i="1"/>
  <c r="E1059" i="1"/>
  <c r="H1059" i="1" l="1"/>
  <c r="J1059" i="1" s="1"/>
  <c r="M1059" i="1"/>
  <c r="C1050" i="3"/>
  <c r="N1059" i="1"/>
  <c r="P1059" i="1" s="1"/>
  <c r="F1059" i="1" l="1"/>
  <c r="B1060" i="1" s="1"/>
  <c r="C1051" i="3" s="1"/>
  <c r="G1059" i="1"/>
  <c r="C1060" i="1" s="1"/>
  <c r="N1060" i="1" l="1"/>
  <c r="K1060" i="1"/>
  <c r="H1060" i="1"/>
  <c r="D1060" i="1"/>
  <c r="L1060" i="1"/>
  <c r="M1060" i="1" s="1"/>
  <c r="D1051" i="3"/>
  <c r="O1060" i="1"/>
  <c r="E1060" i="1"/>
  <c r="I1060" i="1"/>
  <c r="J1060" i="1" l="1"/>
  <c r="P1060" i="1"/>
  <c r="F1060" i="1" l="1"/>
  <c r="D1061" i="1" s="1"/>
  <c r="G1060" i="1"/>
  <c r="E1061" i="1" s="1"/>
  <c r="B1061" i="1" l="1"/>
  <c r="K1061" i="1" s="1"/>
  <c r="C1061" i="1"/>
  <c r="O1061" i="1" s="1"/>
  <c r="C1052" i="3" l="1"/>
  <c r="N1061" i="1"/>
  <c r="H1061" i="1"/>
  <c r="P1061" i="1"/>
  <c r="I1061" i="1"/>
  <c r="L1061" i="1"/>
  <c r="M1061" i="1" s="1"/>
  <c r="D1052" i="3"/>
  <c r="J1061" i="1"/>
  <c r="F1061" i="1" l="1"/>
  <c r="B1062" i="1" s="1"/>
  <c r="C1053" i="3" s="1"/>
  <c r="G1061" i="1"/>
  <c r="E1062" i="1" s="1"/>
  <c r="H1062" i="1" l="1"/>
  <c r="K1062" i="1"/>
  <c r="N1062" i="1"/>
  <c r="D1062" i="1"/>
  <c r="C1062" i="1"/>
  <c r="L1062" i="1" l="1"/>
  <c r="M1062" i="1" s="1"/>
  <c r="D1053" i="3"/>
  <c r="O1062" i="1"/>
  <c r="P1062" i="1" s="1"/>
  <c r="I1062" i="1"/>
  <c r="J1062" i="1" s="1"/>
  <c r="F1062" i="1" l="1"/>
  <c r="D1063" i="1" s="1"/>
  <c r="G1062" i="1"/>
  <c r="E1063" i="1" s="1"/>
  <c r="B1063" i="1" l="1"/>
  <c r="C1063" i="1"/>
  <c r="O1063" i="1" l="1"/>
  <c r="D1054" i="3"/>
  <c r="H1063" i="1"/>
  <c r="C1054" i="3"/>
  <c r="N1063" i="1"/>
  <c r="K1063" i="1"/>
  <c r="I1063" i="1"/>
  <c r="J1063" i="1" s="1"/>
  <c r="L1063" i="1"/>
  <c r="P1063" i="1" l="1"/>
  <c r="M1063" i="1"/>
  <c r="G1063" i="1" l="1"/>
  <c r="C1064" i="1" s="1"/>
  <c r="O1064" i="1" s="1"/>
  <c r="F1063" i="1"/>
  <c r="D1064" i="1" s="1"/>
  <c r="E1064" i="1" l="1"/>
  <c r="I1064" i="1"/>
  <c r="L1064" i="1"/>
  <c r="D1055" i="3"/>
  <c r="B1064" i="1"/>
  <c r="N1064" i="1" l="1"/>
  <c r="P1064" i="1" s="1"/>
  <c r="C1055" i="3"/>
  <c r="K1064" i="1"/>
  <c r="M1064" i="1" s="1"/>
  <c r="H1064" i="1"/>
  <c r="J1064" i="1" s="1"/>
  <c r="G1064" i="1" l="1"/>
  <c r="E1065" i="1" s="1"/>
  <c r="F1064" i="1"/>
  <c r="D1065" i="1" s="1"/>
  <c r="C1065" i="1" l="1"/>
  <c r="B1065" i="1"/>
  <c r="K1065" i="1" l="1"/>
  <c r="C1056" i="3"/>
  <c r="I1065" i="1"/>
  <c r="D1056" i="3"/>
  <c r="H1065" i="1"/>
  <c r="J1065" i="1" s="1"/>
  <c r="N1065" i="1"/>
  <c r="O1065" i="1"/>
  <c r="L1065" i="1"/>
  <c r="M1065" i="1" l="1"/>
  <c r="P1065" i="1"/>
  <c r="G1065" i="1" l="1"/>
  <c r="E1066" i="1" s="1"/>
  <c r="F1065" i="1"/>
  <c r="B1066" i="1" s="1"/>
  <c r="C1057" i="3" s="1"/>
  <c r="C1066" i="1" l="1"/>
  <c r="I1066" i="1" s="1"/>
  <c r="H1066" i="1"/>
  <c r="K1066" i="1"/>
  <c r="N1066" i="1"/>
  <c r="D1066" i="1"/>
  <c r="J1066" i="1" l="1"/>
  <c r="O1066" i="1"/>
  <c r="P1066" i="1" s="1"/>
  <c r="L1066" i="1"/>
  <c r="M1066" i="1" s="1"/>
  <c r="D1057" i="3"/>
  <c r="F1066" i="1" l="1"/>
  <c r="D1067" i="1" s="1"/>
  <c r="G1066" i="1"/>
  <c r="E1067" i="1" s="1"/>
  <c r="C1067" i="1" l="1"/>
  <c r="I1067" i="1" s="1"/>
  <c r="B1067" i="1"/>
  <c r="D1058" i="3" l="1"/>
  <c r="O1067" i="1"/>
  <c r="L1067" i="1"/>
  <c r="C1058" i="3"/>
  <c r="H1067" i="1"/>
  <c r="J1067" i="1" s="1"/>
  <c r="K1067" i="1"/>
  <c r="N1067" i="1"/>
  <c r="P1067" i="1" s="1"/>
  <c r="M1067" i="1"/>
  <c r="F1067" i="1" l="1"/>
  <c r="B1068" i="1" s="1"/>
  <c r="C1059" i="3" s="1"/>
  <c r="G1067" i="1"/>
  <c r="E1068" i="1" s="1"/>
  <c r="D1068" i="1" l="1"/>
  <c r="N1068" i="1"/>
  <c r="K1068" i="1"/>
  <c r="H1068" i="1"/>
  <c r="C1068" i="1"/>
  <c r="L1068" i="1" s="1"/>
  <c r="M1068" i="1" s="1"/>
  <c r="I1068" i="1" l="1"/>
  <c r="J1068" i="1" s="1"/>
  <c r="O1068" i="1"/>
  <c r="P1068" i="1" s="1"/>
  <c r="D1059" i="3"/>
  <c r="F1068" i="1" l="1"/>
  <c r="B1069" i="1" s="1"/>
  <c r="C1060" i="3" s="1"/>
  <c r="G1068" i="1"/>
  <c r="E1069" i="1" s="1"/>
  <c r="H1069" i="1" l="1"/>
  <c r="K1069" i="1"/>
  <c r="D1069" i="1"/>
  <c r="N1069" i="1"/>
  <c r="C1069" i="1"/>
  <c r="D1060" i="3" s="1"/>
  <c r="L1069" i="1" l="1"/>
  <c r="M1069" i="1" s="1"/>
  <c r="I1069" i="1"/>
  <c r="O1069" i="1"/>
  <c r="P1069" i="1" s="1"/>
  <c r="J1069" i="1"/>
  <c r="F1069" i="1" s="1"/>
  <c r="D1070" i="1" l="1"/>
  <c r="B1070" i="1"/>
  <c r="C1061" i="3" s="1"/>
  <c r="G1069" i="1"/>
  <c r="E1070" i="1" l="1"/>
  <c r="C1070" i="1"/>
  <c r="D1061" i="3" s="1"/>
  <c r="N1070" i="1"/>
  <c r="H1070" i="1"/>
  <c r="K1070" i="1"/>
  <c r="L1070" i="1" l="1"/>
  <c r="M1070" i="1" s="1"/>
  <c r="O1070" i="1"/>
  <c r="P1070" i="1" s="1"/>
  <c r="I1070" i="1"/>
  <c r="J1070" i="1" s="1"/>
  <c r="F1070" i="1" l="1"/>
  <c r="D1071" i="1" s="1"/>
  <c r="G1070" i="1"/>
  <c r="B1071" i="1" l="1"/>
  <c r="E1071" i="1"/>
  <c r="C1071" i="1"/>
  <c r="D1062" i="3" s="1"/>
  <c r="K1071" i="1" l="1"/>
  <c r="C1062" i="3"/>
  <c r="H1071" i="1"/>
  <c r="N1071" i="1"/>
  <c r="O1071" i="1"/>
  <c r="I1071" i="1"/>
  <c r="L1071" i="1"/>
  <c r="M1071" i="1" l="1"/>
  <c r="P1071" i="1"/>
  <c r="J1071" i="1"/>
  <c r="F1071" i="1" l="1"/>
  <c r="D1072" i="1" s="1"/>
  <c r="G1071" i="1"/>
  <c r="B1072" i="1" l="1"/>
  <c r="E1072" i="1"/>
  <c r="C1072" i="1"/>
  <c r="D1063" i="3" s="1"/>
  <c r="N1072" i="1" l="1"/>
  <c r="C1063" i="3"/>
  <c r="H1072" i="1"/>
  <c r="K1072" i="1"/>
  <c r="I1072" i="1"/>
  <c r="L1072" i="1"/>
  <c r="O1072" i="1"/>
  <c r="P1072" i="1" l="1"/>
  <c r="M1072" i="1"/>
  <c r="J1072" i="1"/>
  <c r="F1072" i="1" l="1"/>
  <c r="B1073" i="1" s="1"/>
  <c r="G1072" i="1"/>
  <c r="E1073" i="1" s="1"/>
  <c r="N1073" i="1" l="1"/>
  <c r="C1064" i="3"/>
  <c r="K1073" i="1"/>
  <c r="H1073" i="1"/>
  <c r="D1073" i="1"/>
  <c r="C1073" i="1"/>
  <c r="O1073" i="1" l="1"/>
  <c r="P1073" i="1" s="1"/>
  <c r="D1064" i="3"/>
  <c r="L1073" i="1"/>
  <c r="M1073" i="1" s="1"/>
  <c r="I1073" i="1"/>
  <c r="J1073" i="1" s="1"/>
  <c r="F1073" i="1" l="1"/>
  <c r="D1074" i="1" s="1"/>
  <c r="G1073" i="1"/>
  <c r="E1074" i="1" s="1"/>
  <c r="B1074" i="1" l="1"/>
  <c r="C1074" i="1"/>
  <c r="L1074" i="1" l="1"/>
  <c r="D1065" i="3"/>
  <c r="H1074" i="1"/>
  <c r="C1065" i="3"/>
  <c r="K1074" i="1"/>
  <c r="N1074" i="1"/>
  <c r="I1074" i="1"/>
  <c r="J1074" i="1" s="1"/>
  <c r="O1074" i="1"/>
  <c r="P1074" i="1" l="1"/>
  <c r="M1074" i="1"/>
  <c r="F1074" i="1" l="1"/>
  <c r="B1075" i="1" s="1"/>
  <c r="C1066" i="3" s="1"/>
  <c r="G1074" i="1"/>
  <c r="E1075" i="1" s="1"/>
  <c r="N1075" i="1" l="1"/>
  <c r="H1075" i="1"/>
  <c r="D1075" i="1"/>
  <c r="K1075" i="1"/>
  <c r="C1075" i="1"/>
  <c r="D1066" i="3" s="1"/>
  <c r="O1075" i="1" l="1"/>
  <c r="P1075" i="1" s="1"/>
  <c r="L1075" i="1"/>
  <c r="M1075" i="1" s="1"/>
  <c r="I1075" i="1"/>
  <c r="J1075" i="1" s="1"/>
  <c r="F1075" i="1" l="1"/>
  <c r="D1076" i="1" s="1"/>
  <c r="G1075" i="1"/>
  <c r="E1076" i="1" s="1"/>
  <c r="B1076" i="1" l="1"/>
  <c r="C1067" i="3" s="1"/>
  <c r="C1076" i="1"/>
  <c r="D1067" i="3" s="1"/>
  <c r="H1076" i="1" l="1"/>
  <c r="K1076" i="1"/>
  <c r="N1076" i="1"/>
  <c r="I1076" i="1"/>
  <c r="O1076" i="1"/>
  <c r="P1076" i="1" s="1"/>
  <c r="L1076" i="1"/>
  <c r="M1076" i="1" s="1"/>
  <c r="J1076" i="1" l="1"/>
  <c r="F1076" i="1" s="1"/>
  <c r="B1077" i="1" s="1"/>
  <c r="G1076" i="1" l="1"/>
  <c r="E1077" i="1" s="1"/>
  <c r="H1077" i="1"/>
  <c r="C1068" i="3"/>
  <c r="D1077" i="1"/>
  <c r="K1077" i="1"/>
  <c r="N1077" i="1"/>
  <c r="C1077" i="1" l="1"/>
  <c r="I1077" i="1" s="1"/>
  <c r="J1077" i="1" s="1"/>
  <c r="L1077" i="1" l="1"/>
  <c r="M1077" i="1" s="1"/>
  <c r="O1077" i="1"/>
  <c r="P1077" i="1" s="1"/>
  <c r="D1068" i="3"/>
  <c r="F1077" i="1" l="1"/>
  <c r="D1078" i="1" s="1"/>
  <c r="G1077" i="1"/>
  <c r="E1078" i="1" s="1"/>
  <c r="B1078" i="1" l="1"/>
  <c r="H1078" i="1" s="1"/>
  <c r="C1078" i="1"/>
  <c r="I1078" i="1" s="1"/>
  <c r="C1069" i="3" l="1"/>
  <c r="K1078" i="1"/>
  <c r="N1078" i="1"/>
  <c r="D1069" i="3"/>
  <c r="L1078" i="1"/>
  <c r="O1078" i="1"/>
  <c r="P1078" i="1" s="1"/>
  <c r="M1078" i="1"/>
  <c r="J1078" i="1"/>
  <c r="F1078" i="1" l="1"/>
  <c r="B1079" i="1" s="1"/>
  <c r="H1079" i="1" s="1"/>
  <c r="G1078" i="1"/>
  <c r="E1079" i="1" s="1"/>
  <c r="N1079" i="1" l="1"/>
  <c r="D1079" i="1"/>
  <c r="K1079" i="1"/>
  <c r="C1070" i="3"/>
  <c r="C1079" i="1"/>
  <c r="D1070" i="3" s="1"/>
  <c r="O1079" i="1" l="1"/>
  <c r="P1079" i="1" s="1"/>
  <c r="I1079" i="1"/>
  <c r="J1079" i="1" s="1"/>
  <c r="L1079" i="1"/>
  <c r="M1079" i="1" s="1"/>
  <c r="G1079" i="1" l="1"/>
  <c r="E1080" i="1" s="1"/>
  <c r="F1079" i="1"/>
  <c r="D1080" i="1" s="1"/>
  <c r="C1080" i="1" l="1"/>
  <c r="B1080" i="1"/>
  <c r="N1080" i="1" l="1"/>
  <c r="C1071" i="3"/>
  <c r="I1080" i="1"/>
  <c r="D1071" i="3"/>
  <c r="O1080" i="1"/>
  <c r="L1080" i="1"/>
  <c r="K1080" i="1"/>
  <c r="H1080" i="1"/>
  <c r="J1080" i="1" s="1"/>
  <c r="P1080" i="1" l="1"/>
  <c r="M1080" i="1"/>
  <c r="F1080" i="1" l="1"/>
  <c r="B1081" i="1" s="1"/>
  <c r="C1072" i="3" s="1"/>
  <c r="G1080" i="1"/>
  <c r="C1081" i="1" s="1"/>
  <c r="D1072" i="3" s="1"/>
  <c r="H1081" i="1" l="1"/>
  <c r="N1081" i="1"/>
  <c r="K1081" i="1"/>
  <c r="D1081" i="1"/>
  <c r="E1081" i="1"/>
  <c r="O1081" i="1"/>
  <c r="P1081" i="1" s="1"/>
  <c r="I1081" i="1"/>
  <c r="L1081" i="1"/>
  <c r="M1081" i="1" s="1"/>
  <c r="J1081" i="1" l="1"/>
  <c r="F1081" i="1" s="1"/>
  <c r="D1082" i="1" l="1"/>
  <c r="B1082" i="1"/>
  <c r="C1073" i="3" s="1"/>
  <c r="G1081" i="1"/>
  <c r="E1082" i="1" l="1"/>
  <c r="C1082" i="1"/>
  <c r="D1073" i="3" s="1"/>
  <c r="H1082" i="1"/>
  <c r="K1082" i="1"/>
  <c r="N1082" i="1"/>
  <c r="L1082" i="1" l="1"/>
  <c r="M1082" i="1" s="1"/>
  <c r="O1082" i="1"/>
  <c r="P1082" i="1" s="1"/>
  <c r="I1082" i="1"/>
  <c r="J1082" i="1" l="1"/>
  <c r="F1082" i="1" s="1"/>
  <c r="B1083" i="1" l="1"/>
  <c r="C1074" i="3" s="1"/>
  <c r="D1083" i="1"/>
  <c r="G1082" i="1"/>
  <c r="E1083" i="1" l="1"/>
  <c r="C1083" i="1"/>
  <c r="D1074" i="3" s="1"/>
  <c r="K1083" i="1"/>
  <c r="N1083" i="1"/>
  <c r="H1083" i="1"/>
  <c r="I1083" i="1" l="1"/>
  <c r="L1083" i="1"/>
  <c r="M1083" i="1" s="1"/>
  <c r="O1083" i="1"/>
  <c r="P1083" i="1" s="1"/>
  <c r="J1083" i="1" l="1"/>
  <c r="F1083" i="1" s="1"/>
  <c r="D1084" i="1" l="1"/>
  <c r="B1084" i="1"/>
  <c r="C1075" i="3" s="1"/>
  <c r="G1083" i="1"/>
  <c r="N1084" i="1" l="1"/>
  <c r="H1084" i="1"/>
  <c r="K1084" i="1"/>
  <c r="E1084" i="1"/>
  <c r="C1084" i="1"/>
  <c r="D1075" i="3" s="1"/>
  <c r="L1084" i="1" l="1"/>
  <c r="M1084" i="1" s="1"/>
  <c r="O1084" i="1"/>
  <c r="P1084" i="1" s="1"/>
  <c r="I1084" i="1"/>
  <c r="J1084" i="1" s="1"/>
  <c r="F1084" i="1" l="1"/>
  <c r="B1085" i="1" s="1"/>
  <c r="C1076" i="3" s="1"/>
  <c r="G1084" i="1"/>
  <c r="D1085" i="1" l="1"/>
  <c r="C1085" i="1"/>
  <c r="D1076" i="3" s="1"/>
  <c r="E1085" i="1"/>
  <c r="K1085" i="1"/>
  <c r="N1085" i="1"/>
  <c r="H1085" i="1"/>
  <c r="O1085" i="1" l="1"/>
  <c r="P1085" i="1" s="1"/>
  <c r="I1085" i="1"/>
  <c r="L1085" i="1"/>
  <c r="M1085" i="1" s="1"/>
  <c r="J1085" i="1" l="1"/>
  <c r="F1085" i="1" s="1"/>
  <c r="D1086" i="1" l="1"/>
  <c r="B1086" i="1"/>
  <c r="C1077" i="3" s="1"/>
  <c r="G1085" i="1"/>
  <c r="N1086" i="1" l="1"/>
  <c r="H1086" i="1"/>
  <c r="K1086" i="1"/>
  <c r="E1086" i="1"/>
  <c r="C1086" i="1"/>
  <c r="D1077" i="3" s="1"/>
  <c r="L1086" i="1" l="1"/>
  <c r="M1086" i="1" s="1"/>
  <c r="O1086" i="1"/>
  <c r="P1086" i="1" s="1"/>
  <c r="I1086" i="1"/>
  <c r="J1086" i="1" s="1"/>
  <c r="F1086" i="1" l="1"/>
  <c r="B1087" i="1" s="1"/>
  <c r="C1078" i="3" s="1"/>
  <c r="G1086" i="1"/>
  <c r="D1087" i="1" l="1"/>
  <c r="C1087" i="1"/>
  <c r="D1078" i="3" s="1"/>
  <c r="E1087" i="1"/>
  <c r="H1087" i="1"/>
  <c r="K1087" i="1"/>
  <c r="N1087" i="1"/>
  <c r="O1087" i="1" l="1"/>
  <c r="P1087" i="1" s="1"/>
  <c r="I1087" i="1"/>
  <c r="L1087" i="1"/>
  <c r="M1087" i="1" s="1"/>
  <c r="J1087" i="1" l="1"/>
  <c r="F1087" i="1" s="1"/>
  <c r="D1088" i="1" l="1"/>
  <c r="B1088" i="1"/>
  <c r="C1079" i="3" s="1"/>
  <c r="G1087" i="1"/>
  <c r="E1088" i="1" l="1"/>
  <c r="C1088" i="1"/>
  <c r="D1079" i="3" s="1"/>
  <c r="N1088" i="1"/>
  <c r="H1088" i="1"/>
  <c r="K1088" i="1"/>
  <c r="I1088" i="1" l="1"/>
  <c r="L1088" i="1"/>
  <c r="M1088" i="1" s="1"/>
  <c r="O1088" i="1"/>
  <c r="P1088" i="1" s="1"/>
  <c r="J1088" i="1" l="1"/>
  <c r="F1088" i="1" s="1"/>
  <c r="D1089" i="1" l="1"/>
  <c r="B1089" i="1"/>
  <c r="C1080" i="3" s="1"/>
  <c r="G1088" i="1"/>
  <c r="E1089" i="1" l="1"/>
  <c r="C1089" i="1"/>
  <c r="D1080" i="3" s="1"/>
  <c r="K1089" i="1"/>
  <c r="N1089" i="1"/>
  <c r="H1089" i="1"/>
  <c r="O1089" i="1" l="1"/>
  <c r="P1089" i="1" s="1"/>
  <c r="I1089" i="1"/>
  <c r="L1089" i="1"/>
  <c r="M1089" i="1" s="1"/>
  <c r="J1089" i="1" l="1"/>
  <c r="F1089" i="1" s="1"/>
  <c r="B1090" i="1" l="1"/>
  <c r="C1081" i="3" s="1"/>
  <c r="D1090" i="1"/>
  <c r="G1089" i="1"/>
  <c r="E1090" i="1" l="1"/>
  <c r="C1090" i="1"/>
  <c r="D1081" i="3" s="1"/>
  <c r="H1090" i="1"/>
  <c r="K1090" i="1"/>
  <c r="N1090" i="1"/>
  <c r="L1090" i="1" l="1"/>
  <c r="M1090" i="1" s="1"/>
  <c r="O1090" i="1"/>
  <c r="P1090" i="1" s="1"/>
  <c r="I1090" i="1"/>
  <c r="J1090" i="1" s="1"/>
  <c r="F1090" i="1" l="1"/>
  <c r="D1091" i="1" s="1"/>
  <c r="G1090" i="1"/>
  <c r="B1091" i="1" l="1"/>
  <c r="C1091" i="1"/>
  <c r="D1082" i="3" s="1"/>
  <c r="E1091" i="1"/>
  <c r="K1091" i="1" l="1"/>
  <c r="C1082" i="3"/>
  <c r="H1091" i="1"/>
  <c r="N1091" i="1"/>
  <c r="I1091" i="1"/>
  <c r="L1091" i="1"/>
  <c r="O1091" i="1"/>
  <c r="P1091" i="1" s="1"/>
  <c r="M1091" i="1" l="1"/>
  <c r="J1091" i="1"/>
  <c r="F1091" i="1" l="1"/>
  <c r="B1092" i="1" s="1"/>
  <c r="C1083" i="3" s="1"/>
  <c r="G1091" i="1"/>
  <c r="E1092" i="1" s="1"/>
  <c r="H1092" i="1" l="1"/>
  <c r="K1092" i="1"/>
  <c r="N1092" i="1"/>
  <c r="D1092" i="1"/>
  <c r="C1092" i="1"/>
  <c r="L1092" i="1" l="1"/>
  <c r="M1092" i="1" s="1"/>
  <c r="D1083" i="3"/>
  <c r="I1092" i="1"/>
  <c r="J1092" i="1" s="1"/>
  <c r="O1092" i="1"/>
  <c r="P1092" i="1" s="1"/>
  <c r="F1092" i="1" l="1"/>
  <c r="D1093" i="1" s="1"/>
  <c r="G1092" i="1"/>
  <c r="C1093" i="1" s="1"/>
  <c r="D1084" i="3" s="1"/>
  <c r="B1093" i="1" l="1"/>
  <c r="E1093" i="1"/>
  <c r="O1093" i="1"/>
  <c r="L1093" i="1"/>
  <c r="I1093" i="1"/>
  <c r="K1093" i="1" l="1"/>
  <c r="M1093" i="1" s="1"/>
  <c r="C1084" i="3"/>
  <c r="H1093" i="1"/>
  <c r="J1093" i="1" s="1"/>
  <c r="N1093" i="1"/>
  <c r="P1093" i="1" s="1"/>
  <c r="F1093" i="1" l="1"/>
  <c r="B1094" i="1" s="1"/>
  <c r="G1093" i="1"/>
  <c r="E1094" i="1" s="1"/>
  <c r="K1094" i="1" l="1"/>
  <c r="C1085" i="3"/>
  <c r="N1094" i="1"/>
  <c r="H1094" i="1"/>
  <c r="D1094" i="1"/>
  <c r="C1094" i="1"/>
  <c r="L1094" i="1" l="1"/>
  <c r="M1094" i="1" s="1"/>
  <c r="D1085" i="3"/>
  <c r="I1094" i="1"/>
  <c r="J1094" i="1" s="1"/>
  <c r="O1094" i="1"/>
  <c r="P1094" i="1" s="1"/>
  <c r="F1094" i="1" l="1"/>
  <c r="D1095" i="1" s="1"/>
  <c r="G1094" i="1"/>
  <c r="C1095" i="1" s="1"/>
  <c r="D1086" i="3" s="1"/>
  <c r="B1095" i="1" l="1"/>
  <c r="E1095" i="1"/>
  <c r="O1095" i="1"/>
  <c r="I1095" i="1"/>
  <c r="L1095" i="1"/>
  <c r="H1095" i="1" l="1"/>
  <c r="J1095" i="1" s="1"/>
  <c r="C1086" i="3"/>
  <c r="N1095" i="1"/>
  <c r="P1095" i="1" s="1"/>
  <c r="K1095" i="1"/>
  <c r="M1095" i="1" s="1"/>
  <c r="F1095" i="1" l="1"/>
  <c r="B1096" i="1" s="1"/>
  <c r="G1095" i="1"/>
  <c r="C1096" i="1" s="1"/>
  <c r="D1087" i="3" s="1"/>
  <c r="H1096" i="1" l="1"/>
  <c r="C1087" i="3"/>
  <c r="K1096" i="1"/>
  <c r="N1096" i="1"/>
  <c r="D1096" i="1"/>
  <c r="E1096" i="1"/>
  <c r="I1096" i="1"/>
  <c r="L1096" i="1"/>
  <c r="O1096" i="1"/>
  <c r="P1096" i="1" l="1"/>
  <c r="M1096" i="1"/>
  <c r="J1096" i="1"/>
  <c r="F1096" i="1" l="1"/>
  <c r="D1097" i="1" s="1"/>
  <c r="G1096" i="1"/>
  <c r="B1097" i="1" l="1"/>
  <c r="E1097" i="1"/>
  <c r="C1097" i="1"/>
  <c r="D1088" i="3" s="1"/>
  <c r="K1097" i="1" l="1"/>
  <c r="C1088" i="3"/>
  <c r="H1097" i="1"/>
  <c r="N1097" i="1"/>
  <c r="O1097" i="1"/>
  <c r="I1097" i="1"/>
  <c r="L1097" i="1"/>
  <c r="M1097" i="1" l="1"/>
  <c r="P1097" i="1"/>
  <c r="J1097" i="1"/>
  <c r="F1097" i="1" l="1"/>
  <c r="B1098" i="1" s="1"/>
  <c r="G1097" i="1"/>
  <c r="C1098" i="1" s="1"/>
  <c r="D1089" i="3" s="1"/>
  <c r="K1098" i="1" l="1"/>
  <c r="C1089" i="3"/>
  <c r="N1098" i="1"/>
  <c r="H1098" i="1"/>
  <c r="D1098" i="1"/>
  <c r="E1098" i="1"/>
  <c r="L1098" i="1"/>
  <c r="O1098" i="1"/>
  <c r="I1098" i="1"/>
  <c r="M1098" i="1" l="1"/>
  <c r="J1098" i="1"/>
  <c r="P1098" i="1"/>
  <c r="G1098" i="1" l="1"/>
  <c r="C1099" i="1" s="1"/>
  <c r="D1090" i="3" s="1"/>
  <c r="F1098" i="1"/>
  <c r="D1099" i="1" s="1"/>
  <c r="E1099" i="1" l="1"/>
  <c r="B1099" i="1"/>
  <c r="C1090" i="3" s="1"/>
  <c r="I1099" i="1"/>
  <c r="L1099" i="1"/>
  <c r="O1099" i="1"/>
  <c r="K1099" i="1" l="1"/>
  <c r="M1099" i="1" s="1"/>
  <c r="H1099" i="1"/>
  <c r="N1099" i="1"/>
  <c r="P1099" i="1" s="1"/>
  <c r="J1099" i="1"/>
  <c r="G1099" i="1" l="1"/>
  <c r="E1100" i="1" s="1"/>
  <c r="F1099" i="1"/>
  <c r="C1100" i="1" l="1"/>
  <c r="D1100" i="1"/>
  <c r="B1100" i="1"/>
  <c r="C1091" i="3" s="1"/>
  <c r="L1100" i="1" l="1"/>
  <c r="D1091" i="3"/>
  <c r="I1100" i="1"/>
  <c r="O1100" i="1"/>
  <c r="N1100" i="1"/>
  <c r="H1100" i="1"/>
  <c r="K1100" i="1"/>
  <c r="M1100" i="1" l="1"/>
  <c r="P1100" i="1"/>
  <c r="J1100" i="1"/>
  <c r="G1100" i="1" l="1"/>
  <c r="E1101" i="1" s="1"/>
  <c r="F1100" i="1"/>
  <c r="C1101" i="1" l="1"/>
  <c r="B1101" i="1"/>
  <c r="C1092" i="3" s="1"/>
  <c r="D1101" i="1"/>
  <c r="O1101" i="1" l="1"/>
  <c r="D1092" i="3"/>
  <c r="L1101" i="1"/>
  <c r="I1101" i="1"/>
  <c r="K1101" i="1"/>
  <c r="N1101" i="1"/>
  <c r="H1101" i="1"/>
  <c r="P1101" i="1" l="1"/>
  <c r="M1101" i="1"/>
  <c r="J1101" i="1"/>
  <c r="G1101" i="1" l="1"/>
  <c r="E1102" i="1" s="1"/>
  <c r="F1101" i="1"/>
  <c r="C1102" i="1" l="1"/>
  <c r="D1102" i="1"/>
  <c r="B1102" i="1"/>
  <c r="C1093" i="3" s="1"/>
  <c r="L1102" i="1" l="1"/>
  <c r="D1093" i="3"/>
  <c r="O1102" i="1"/>
  <c r="I1102" i="1"/>
  <c r="N1102" i="1"/>
  <c r="H1102" i="1"/>
  <c r="K1102" i="1"/>
  <c r="M1102" i="1" l="1"/>
  <c r="P1102" i="1"/>
  <c r="J1102" i="1"/>
  <c r="G1102" i="1" l="1"/>
  <c r="C1103" i="1" s="1"/>
  <c r="D1094" i="3" s="1"/>
  <c r="F1102" i="1"/>
  <c r="E1103" i="1" l="1"/>
  <c r="D1103" i="1"/>
  <c r="B1103" i="1"/>
  <c r="C1094" i="3" s="1"/>
  <c r="O1103" i="1"/>
  <c r="I1103" i="1"/>
  <c r="L1103" i="1"/>
  <c r="H1103" i="1" l="1"/>
  <c r="K1103" i="1"/>
  <c r="M1103" i="1" s="1"/>
  <c r="N1103" i="1"/>
  <c r="P1103" i="1" s="1"/>
  <c r="J1103" i="1" l="1"/>
  <c r="G1103" i="1" s="1"/>
  <c r="F1103" i="1" l="1"/>
  <c r="B1104" i="1" s="1"/>
  <c r="C1095" i="3" s="1"/>
  <c r="E1104" i="1"/>
  <c r="C1104" i="1"/>
  <c r="D1095" i="3" s="1"/>
  <c r="D1104" i="1" l="1"/>
  <c r="I1104" i="1"/>
  <c r="L1104" i="1"/>
  <c r="O1104" i="1"/>
  <c r="N1104" i="1"/>
  <c r="H1104" i="1"/>
  <c r="K1104" i="1"/>
  <c r="P1104" i="1" l="1"/>
  <c r="J1104" i="1"/>
  <c r="M1104" i="1"/>
  <c r="F1104" i="1" l="1"/>
  <c r="B1105" i="1" s="1"/>
  <c r="C1096" i="3" s="1"/>
  <c r="G1104" i="1"/>
  <c r="E1105" i="1" s="1"/>
  <c r="D1105" i="1" l="1"/>
  <c r="C1105" i="1"/>
  <c r="K1105" i="1"/>
  <c r="N1105" i="1"/>
  <c r="H1105" i="1"/>
  <c r="O1105" i="1" l="1"/>
  <c r="P1105" i="1" s="1"/>
  <c r="D1096" i="3"/>
  <c r="L1105" i="1"/>
  <c r="M1105" i="1" s="1"/>
  <c r="I1105" i="1"/>
  <c r="J1105" i="1" s="1"/>
  <c r="F1105" i="1" l="1"/>
  <c r="D1106" i="1" s="1"/>
  <c r="G1105" i="1"/>
  <c r="E1106" i="1" s="1"/>
  <c r="B1106" i="1" l="1"/>
  <c r="C1106" i="1"/>
  <c r="L1106" i="1" l="1"/>
  <c r="D1097" i="3"/>
  <c r="H1106" i="1"/>
  <c r="C1097" i="3"/>
  <c r="N1106" i="1"/>
  <c r="K1106" i="1"/>
  <c r="I1106" i="1"/>
  <c r="J1106" i="1" s="1"/>
  <c r="O1106" i="1"/>
  <c r="M1106" i="1" l="1"/>
  <c r="P1106" i="1"/>
  <c r="G1106" i="1" l="1"/>
  <c r="E1107" i="1" s="1"/>
  <c r="F1106" i="1"/>
  <c r="D1107" i="1" s="1"/>
  <c r="C1107" i="1" l="1"/>
  <c r="I1107" i="1" s="1"/>
  <c r="B1107" i="1"/>
  <c r="L1107" i="1" l="1"/>
  <c r="O1107" i="1"/>
  <c r="D1098" i="3"/>
  <c r="K1107" i="1"/>
  <c r="C1098" i="3"/>
  <c r="N1107" i="1"/>
  <c r="P1107" i="1" s="1"/>
  <c r="H1107" i="1"/>
  <c r="J1107" i="1" s="1"/>
  <c r="M1107" i="1" l="1"/>
  <c r="G1107" i="1" s="1"/>
  <c r="E1108" i="1" s="1"/>
  <c r="F1107" i="1" l="1"/>
  <c r="B1108" i="1" s="1"/>
  <c r="H1108" i="1" s="1"/>
  <c r="C1108" i="1"/>
  <c r="N1108" i="1" l="1"/>
  <c r="D1108" i="1"/>
  <c r="K1108" i="1"/>
  <c r="C1099" i="3"/>
  <c r="L1108" i="1"/>
  <c r="M1108" i="1" s="1"/>
  <c r="D1099" i="3"/>
  <c r="O1108" i="1"/>
  <c r="I1108" i="1"/>
  <c r="J1108" i="1" s="1"/>
  <c r="P1108" i="1" l="1"/>
  <c r="F1108" i="1" s="1"/>
  <c r="D1109" i="1" s="1"/>
  <c r="G1108" i="1" l="1"/>
  <c r="C1109" i="1" s="1"/>
  <c r="O1109" i="1" s="1"/>
  <c r="B1109" i="1"/>
  <c r="E1109" i="1" l="1"/>
  <c r="I1109" i="1"/>
  <c r="L1109" i="1"/>
  <c r="D1100" i="3"/>
  <c r="K1109" i="1"/>
  <c r="M1109" i="1" s="1"/>
  <c r="C1100" i="3"/>
  <c r="H1109" i="1"/>
  <c r="J1109" i="1" s="1"/>
  <c r="N1109" i="1"/>
  <c r="P1109" i="1" s="1"/>
  <c r="G1109" i="1" l="1"/>
  <c r="E1110" i="1" s="1"/>
  <c r="F1109" i="1"/>
  <c r="C1110" i="1" l="1"/>
  <c r="D1110" i="1"/>
  <c r="B1110" i="1"/>
  <c r="C1101" i="3" s="1"/>
  <c r="L1110" i="1" l="1"/>
  <c r="D1101" i="3"/>
  <c r="O1110" i="1"/>
  <c r="I1110" i="1"/>
  <c r="N1110" i="1"/>
  <c r="H1110" i="1"/>
  <c r="K1110" i="1"/>
  <c r="M1110" i="1" l="1"/>
  <c r="P1110" i="1"/>
  <c r="J1110" i="1"/>
  <c r="G1110" i="1" l="1"/>
  <c r="E1111" i="1" s="1"/>
  <c r="F1110" i="1"/>
  <c r="C1111" i="1" l="1"/>
  <c r="B1111" i="1"/>
  <c r="C1102" i="3" s="1"/>
  <c r="D1111" i="1"/>
  <c r="O1111" i="1" l="1"/>
  <c r="D1102" i="3"/>
  <c r="L1111" i="1"/>
  <c r="I1111" i="1"/>
  <c r="H1111" i="1"/>
  <c r="K1111" i="1"/>
  <c r="N1111" i="1"/>
  <c r="P1111" i="1" l="1"/>
  <c r="M1111" i="1"/>
  <c r="J1111" i="1"/>
  <c r="G1111" i="1" l="1"/>
  <c r="C1112" i="1" s="1"/>
  <c r="D1103" i="3" s="1"/>
  <c r="F1111" i="1"/>
  <c r="D1112" i="1" s="1"/>
  <c r="E1112" i="1" l="1"/>
  <c r="B1112" i="1"/>
  <c r="I1112" i="1"/>
  <c r="O1112" i="1"/>
  <c r="L1112" i="1"/>
  <c r="N1112" i="1" l="1"/>
  <c r="P1112" i="1" s="1"/>
  <c r="C1103" i="3"/>
  <c r="K1112" i="1"/>
  <c r="M1112" i="1" s="1"/>
  <c r="H1112" i="1"/>
  <c r="J1112" i="1" s="1"/>
  <c r="G1112" i="1" l="1"/>
  <c r="E1113" i="1" s="1"/>
  <c r="F1112" i="1"/>
  <c r="D1113" i="1" s="1"/>
  <c r="C1113" i="1" l="1"/>
  <c r="B1113" i="1"/>
  <c r="K1113" i="1" l="1"/>
  <c r="C1104" i="3"/>
  <c r="O1113" i="1"/>
  <c r="D1104" i="3"/>
  <c r="I1113" i="1"/>
  <c r="L1113" i="1"/>
  <c r="H1113" i="1"/>
  <c r="N1113" i="1"/>
  <c r="P1113" i="1" s="1"/>
  <c r="M1113" i="1" l="1"/>
  <c r="J1113" i="1"/>
  <c r="G1113" i="1" l="1"/>
  <c r="E1114" i="1" s="1"/>
  <c r="F1113" i="1"/>
  <c r="D1114" i="1" s="1"/>
  <c r="C1114" i="1" l="1"/>
  <c r="I1114" i="1" s="1"/>
  <c r="B1114" i="1"/>
  <c r="L1114" i="1" l="1"/>
  <c r="O1114" i="1"/>
  <c r="D1105" i="3"/>
  <c r="H1114" i="1"/>
  <c r="J1114" i="1" s="1"/>
  <c r="C1105" i="3"/>
  <c r="K1114" i="1"/>
  <c r="N1114" i="1"/>
  <c r="P1114" i="1" s="1"/>
  <c r="M1114" i="1" l="1"/>
  <c r="G1114" i="1" s="1"/>
  <c r="C1115" i="1" s="1"/>
  <c r="F1114" i="1" l="1"/>
  <c r="D1115" i="1" s="1"/>
  <c r="O1115" i="1"/>
  <c r="D1106" i="3"/>
  <c r="L1115" i="1"/>
  <c r="I1115" i="1"/>
  <c r="E1115" i="1"/>
  <c r="B1115" i="1" l="1"/>
  <c r="K1115" i="1" s="1"/>
  <c r="M1115" i="1" s="1"/>
  <c r="N1115" i="1" l="1"/>
  <c r="P1115" i="1" s="1"/>
  <c r="H1115" i="1"/>
  <c r="J1115" i="1" s="1"/>
  <c r="C1106" i="3"/>
  <c r="G1115" i="1" l="1"/>
  <c r="C1116" i="1" s="1"/>
  <c r="I1116" i="1" s="1"/>
  <c r="F1115" i="1"/>
  <c r="D1116" i="1" s="1"/>
  <c r="B1116" i="1" l="1"/>
  <c r="N1116" i="1" s="1"/>
  <c r="L1116" i="1"/>
  <c r="D1107" i="3"/>
  <c r="O1116" i="1"/>
  <c r="E1116" i="1"/>
  <c r="P1116" i="1" l="1"/>
  <c r="C1107" i="3"/>
  <c r="K1116" i="1"/>
  <c r="M1116" i="1" s="1"/>
  <c r="H1116" i="1"/>
  <c r="J1116" i="1" s="1"/>
  <c r="G1116" i="1" l="1"/>
  <c r="E1117" i="1" s="1"/>
  <c r="F1116" i="1"/>
  <c r="D1117" i="1" s="1"/>
  <c r="C1117" i="1" l="1"/>
  <c r="D1108" i="3" s="1"/>
  <c r="B1117" i="1"/>
  <c r="K1117" i="1" s="1"/>
  <c r="H1117" i="1" l="1"/>
  <c r="L1117" i="1"/>
  <c r="M1117" i="1" s="1"/>
  <c r="O1117" i="1"/>
  <c r="I1117" i="1"/>
  <c r="N1117" i="1"/>
  <c r="P1117" i="1" s="1"/>
  <c r="C1108" i="3"/>
  <c r="J1117" i="1" l="1"/>
  <c r="F1117" i="1"/>
  <c r="B1118" i="1" s="1"/>
  <c r="C1109" i="3" s="1"/>
  <c r="G1117" i="1"/>
  <c r="E1118" i="1" s="1"/>
  <c r="H1118" i="1" l="1"/>
  <c r="D1118" i="1"/>
  <c r="N1118" i="1"/>
  <c r="K1118" i="1"/>
  <c r="C1118" i="1"/>
  <c r="L1118" i="1" s="1"/>
  <c r="M1118" i="1" s="1"/>
  <c r="O1118" i="1" l="1"/>
  <c r="P1118" i="1" s="1"/>
  <c r="I1118" i="1"/>
  <c r="J1118" i="1" s="1"/>
  <c r="D1109" i="3"/>
  <c r="F1118" i="1" l="1"/>
  <c r="B1119" i="1" s="1"/>
  <c r="C1110" i="3" s="1"/>
  <c r="G1118" i="1"/>
  <c r="E1119" i="1" s="1"/>
  <c r="N1119" i="1" l="1"/>
  <c r="H1119" i="1"/>
  <c r="D1119" i="1"/>
  <c r="K1119" i="1"/>
  <c r="C1119" i="1"/>
  <c r="D1110" i="3" s="1"/>
  <c r="L1119" i="1" l="1"/>
  <c r="M1119" i="1" s="1"/>
  <c r="I1119" i="1"/>
  <c r="J1119" i="1" s="1"/>
  <c r="O1119" i="1"/>
  <c r="P1119" i="1" s="1"/>
  <c r="F1119" i="1" l="1"/>
  <c r="D1120" i="1" s="1"/>
  <c r="G1119" i="1"/>
  <c r="C1120" i="1" s="1"/>
  <c r="D1111" i="3" s="1"/>
  <c r="B1120" i="1" l="1"/>
  <c r="C1111" i="3" s="1"/>
  <c r="E1120" i="1"/>
  <c r="I1120" i="1"/>
  <c r="L1120" i="1"/>
  <c r="O1120" i="1"/>
  <c r="H1120" i="1" l="1"/>
  <c r="J1120" i="1" s="1"/>
  <c r="N1120" i="1"/>
  <c r="P1120" i="1" s="1"/>
  <c r="K1120" i="1"/>
  <c r="M1120" i="1" s="1"/>
  <c r="F1120" i="1" l="1"/>
  <c r="B1121" i="1" s="1"/>
  <c r="C1112" i="3" s="1"/>
  <c r="G1120" i="1"/>
  <c r="D1121" i="1" l="1"/>
  <c r="E1121" i="1"/>
  <c r="C1121" i="1"/>
  <c r="D1112" i="3" s="1"/>
  <c r="K1121" i="1"/>
  <c r="N1121" i="1"/>
  <c r="H1121" i="1"/>
  <c r="O1121" i="1" l="1"/>
  <c r="P1121" i="1" s="1"/>
  <c r="I1121" i="1"/>
  <c r="L1121" i="1"/>
  <c r="M1121" i="1" s="1"/>
  <c r="J1121" i="1" l="1"/>
  <c r="F1121" i="1" s="1"/>
  <c r="B1122" i="1" l="1"/>
  <c r="C1113" i="3" s="1"/>
  <c r="D1122" i="1"/>
  <c r="G1121" i="1"/>
  <c r="E1122" i="1" l="1"/>
  <c r="C1122" i="1"/>
  <c r="D1113" i="3" s="1"/>
  <c r="H1122" i="1"/>
  <c r="K1122" i="1"/>
  <c r="N1122" i="1"/>
  <c r="L1122" i="1" l="1"/>
  <c r="M1122" i="1" s="1"/>
  <c r="O1122" i="1"/>
  <c r="P1122" i="1" s="1"/>
  <c r="I1122" i="1"/>
  <c r="J1122" i="1" l="1"/>
  <c r="F1122" i="1" s="1"/>
  <c r="D1123" i="1" l="1"/>
  <c r="B1123" i="1"/>
  <c r="C1114" i="3" s="1"/>
  <c r="G1122" i="1"/>
  <c r="E1123" i="1" l="1"/>
  <c r="C1123" i="1"/>
  <c r="D1114" i="3" s="1"/>
  <c r="K1123" i="1"/>
  <c r="N1123" i="1"/>
  <c r="H1123" i="1"/>
  <c r="I1123" i="1" l="1"/>
  <c r="L1123" i="1"/>
  <c r="M1123" i="1" s="1"/>
  <c r="O1123" i="1"/>
  <c r="P1123" i="1" s="1"/>
  <c r="J1123" i="1" l="1"/>
  <c r="F1123" i="1" s="1"/>
  <c r="B1124" i="1" l="1"/>
  <c r="C1115" i="3" s="1"/>
  <c r="D1124" i="1"/>
  <c r="G1123" i="1"/>
  <c r="E1124" i="1" l="1"/>
  <c r="C1124" i="1"/>
  <c r="D1115" i="3" s="1"/>
  <c r="N1124" i="1"/>
  <c r="H1124" i="1"/>
  <c r="K1124" i="1"/>
  <c r="L1124" i="1" l="1"/>
  <c r="M1124" i="1" s="1"/>
  <c r="O1124" i="1"/>
  <c r="P1124" i="1" s="1"/>
  <c r="I1124" i="1"/>
  <c r="J1124" i="1" l="1"/>
  <c r="F1124" i="1" s="1"/>
  <c r="D1125" i="1" l="1"/>
  <c r="B1125" i="1"/>
  <c r="C1116" i="3" s="1"/>
  <c r="G1124" i="1"/>
  <c r="K1125" i="1" l="1"/>
  <c r="N1125" i="1"/>
  <c r="H1125" i="1"/>
  <c r="E1125" i="1"/>
  <c r="C1125" i="1"/>
  <c r="D1116" i="3" s="1"/>
  <c r="O1125" i="1" l="1"/>
  <c r="P1125" i="1" s="1"/>
  <c r="L1125" i="1"/>
  <c r="M1125" i="1" s="1"/>
  <c r="I1125" i="1"/>
  <c r="J1125" i="1" l="1"/>
  <c r="F1125" i="1" s="1"/>
  <c r="B1126" i="1" l="1"/>
  <c r="C1117" i="3" s="1"/>
  <c r="D1126" i="1"/>
  <c r="G1125" i="1"/>
  <c r="E1126" i="1" l="1"/>
  <c r="C1126" i="1"/>
  <c r="D1117" i="3" s="1"/>
  <c r="N1126" i="1"/>
  <c r="H1126" i="1"/>
  <c r="K1126" i="1"/>
  <c r="L1126" i="1" l="1"/>
  <c r="M1126" i="1" s="1"/>
  <c r="O1126" i="1"/>
  <c r="P1126" i="1" s="1"/>
  <c r="I1126" i="1"/>
  <c r="J1126" i="1" s="1"/>
  <c r="F1126" i="1" l="1"/>
  <c r="B1127" i="1" s="1"/>
  <c r="C1118" i="3" s="1"/>
  <c r="G1126" i="1"/>
  <c r="D1127" i="1" l="1"/>
  <c r="E1127" i="1"/>
  <c r="C1127" i="1"/>
  <c r="D1118" i="3" s="1"/>
  <c r="H1127" i="1"/>
  <c r="N1127" i="1"/>
  <c r="K1127" i="1"/>
  <c r="O1127" i="1" l="1"/>
  <c r="P1127" i="1" s="1"/>
  <c r="I1127" i="1"/>
  <c r="J1127" i="1" s="1"/>
  <c r="L1127" i="1"/>
  <c r="M1127" i="1" s="1"/>
  <c r="F1127" i="1" l="1"/>
  <c r="D1128" i="1" s="1"/>
  <c r="G1127" i="1"/>
  <c r="B1128" i="1" l="1"/>
  <c r="E1128" i="1"/>
  <c r="C1128" i="1"/>
  <c r="D1119" i="3" s="1"/>
  <c r="N1128" i="1" l="1"/>
  <c r="C1119" i="3"/>
  <c r="K1128" i="1"/>
  <c r="H1128" i="1"/>
  <c r="I1128" i="1"/>
  <c r="L1128" i="1"/>
  <c r="O1128" i="1"/>
  <c r="J1128" i="1" l="1"/>
  <c r="P1128" i="1"/>
  <c r="M1128" i="1"/>
  <c r="F1128" i="1" l="1"/>
  <c r="B1129" i="1" s="1"/>
  <c r="C1120" i="3" s="1"/>
  <c r="G1128" i="1"/>
  <c r="E1129" i="1" s="1"/>
  <c r="K1129" i="1" l="1"/>
  <c r="N1129" i="1"/>
  <c r="D1129" i="1"/>
  <c r="H1129" i="1"/>
  <c r="C1129" i="1"/>
  <c r="O1129" i="1" l="1"/>
  <c r="P1129" i="1" s="1"/>
  <c r="D1120" i="3"/>
  <c r="L1129" i="1"/>
  <c r="M1129" i="1" s="1"/>
  <c r="I1129" i="1"/>
  <c r="J1129" i="1" s="1"/>
  <c r="F1129" i="1" l="1"/>
  <c r="D1130" i="1" s="1"/>
  <c r="G1129" i="1"/>
  <c r="E1130" i="1" s="1"/>
  <c r="B1130" i="1" l="1"/>
  <c r="C1130" i="1"/>
  <c r="L1130" i="1" l="1"/>
  <c r="D1121" i="3"/>
  <c r="H1130" i="1"/>
  <c r="C1121" i="3"/>
  <c r="N1130" i="1"/>
  <c r="K1130" i="1"/>
  <c r="I1130" i="1"/>
  <c r="J1130" i="1" s="1"/>
  <c r="O1130" i="1"/>
  <c r="M1130" i="1" l="1"/>
  <c r="P1130" i="1"/>
  <c r="F1130" i="1" l="1"/>
  <c r="D1131" i="1" s="1"/>
  <c r="G1130" i="1"/>
  <c r="C1131" i="1" s="1"/>
  <c r="D1122" i="3" s="1"/>
  <c r="B1131" i="1" l="1"/>
  <c r="K1131" i="1" s="1"/>
  <c r="E1131" i="1"/>
  <c r="I1131" i="1"/>
  <c r="L1131" i="1"/>
  <c r="O1131" i="1"/>
  <c r="H1131" i="1" l="1"/>
  <c r="J1131" i="1" s="1"/>
  <c r="N1131" i="1"/>
  <c r="M1131" i="1"/>
  <c r="C1122" i="3"/>
  <c r="P1131" i="1"/>
  <c r="F1131" i="1" l="1"/>
  <c r="D1132" i="1" s="1"/>
  <c r="G1131" i="1"/>
  <c r="E1132" i="1" s="1"/>
  <c r="B1132" i="1" l="1"/>
  <c r="C1132" i="1"/>
  <c r="L1132" i="1" l="1"/>
  <c r="D1123" i="3"/>
  <c r="N1132" i="1"/>
  <c r="C1123" i="3"/>
  <c r="K1132" i="1"/>
  <c r="H1132" i="1"/>
  <c r="I1132" i="1"/>
  <c r="O1132" i="1"/>
  <c r="P1132" i="1" s="1"/>
  <c r="M1132" i="1" l="1"/>
  <c r="J1132" i="1"/>
  <c r="G1132" i="1" l="1"/>
  <c r="E1133" i="1" s="1"/>
  <c r="F1132" i="1"/>
  <c r="D1133" i="1" s="1"/>
  <c r="C1133" i="1" l="1"/>
  <c r="O1133" i="1" s="1"/>
  <c r="B1133" i="1"/>
  <c r="I1133" i="1" l="1"/>
  <c r="L1133" i="1"/>
  <c r="D1124" i="3"/>
  <c r="K1133" i="1"/>
  <c r="M1133" i="1" s="1"/>
  <c r="C1124" i="3"/>
  <c r="H1133" i="1"/>
  <c r="N1133" i="1"/>
  <c r="P1133" i="1" s="1"/>
  <c r="J1133" i="1" l="1"/>
  <c r="G1133" i="1" s="1"/>
  <c r="C1134" i="1" s="1"/>
  <c r="D1125" i="3" s="1"/>
  <c r="F1133" i="1" l="1"/>
  <c r="D1134" i="1" s="1"/>
  <c r="E1134" i="1"/>
  <c r="L1134" i="1"/>
  <c r="O1134" i="1"/>
  <c r="I1134" i="1"/>
  <c r="B1134" i="1" l="1"/>
  <c r="C1125" i="3" s="1"/>
  <c r="K1134" i="1" l="1"/>
  <c r="M1134" i="1" s="1"/>
  <c r="H1134" i="1"/>
  <c r="J1134" i="1" s="1"/>
  <c r="N1134" i="1"/>
  <c r="P1134" i="1" s="1"/>
  <c r="G1134" i="1" l="1"/>
  <c r="E1135" i="1" s="1"/>
  <c r="F1134" i="1"/>
  <c r="C1135" i="1" l="1"/>
  <c r="D1126" i="3" s="1"/>
  <c r="B1135" i="1"/>
  <c r="C1126" i="3" s="1"/>
  <c r="D1135" i="1"/>
  <c r="L1135" i="1" l="1"/>
  <c r="I1135" i="1"/>
  <c r="O1135" i="1"/>
  <c r="H1135" i="1"/>
  <c r="K1135" i="1"/>
  <c r="N1135" i="1"/>
  <c r="P1135" i="1" s="1"/>
  <c r="M1135" i="1" l="1"/>
  <c r="J1135" i="1"/>
  <c r="G1135" i="1" l="1"/>
  <c r="C1136" i="1" s="1"/>
  <c r="D1127" i="3" s="1"/>
  <c r="F1135" i="1"/>
  <c r="D1136" i="1" s="1"/>
  <c r="E1136" i="1" l="1"/>
  <c r="B1136" i="1"/>
  <c r="I1136" i="1"/>
  <c r="L1136" i="1"/>
  <c r="O1136" i="1"/>
  <c r="N1136" i="1" l="1"/>
  <c r="P1136" i="1" s="1"/>
  <c r="C1127" i="3"/>
  <c r="K1136" i="1"/>
  <c r="M1136" i="1" s="1"/>
  <c r="H1136" i="1"/>
  <c r="J1136" i="1" s="1"/>
  <c r="G1136" i="1" l="1"/>
  <c r="E1137" i="1" s="1"/>
  <c r="F1136" i="1"/>
  <c r="C1137" i="1" l="1"/>
  <c r="D1137" i="1"/>
  <c r="B1137" i="1"/>
  <c r="C1128" i="3" s="1"/>
  <c r="O1137" i="1" l="1"/>
  <c r="D1128" i="3"/>
  <c r="L1137" i="1"/>
  <c r="I1137" i="1"/>
  <c r="K1137" i="1"/>
  <c r="N1137" i="1"/>
  <c r="H1137" i="1"/>
  <c r="P1137" i="1" l="1"/>
  <c r="M1137" i="1"/>
  <c r="J1137" i="1"/>
  <c r="F1137" i="1" l="1"/>
  <c r="B1138" i="1" s="1"/>
  <c r="C1129" i="3" s="1"/>
  <c r="G1137" i="1"/>
  <c r="C1138" i="1" s="1"/>
  <c r="D1129" i="3" s="1"/>
  <c r="D1138" i="1" l="1"/>
  <c r="E1138" i="1"/>
  <c r="L1138" i="1"/>
  <c r="O1138" i="1"/>
  <c r="I1138" i="1"/>
  <c r="H1138" i="1"/>
  <c r="K1138" i="1"/>
  <c r="M1138" i="1" s="1"/>
  <c r="N1138" i="1"/>
  <c r="J1138" i="1" l="1"/>
  <c r="P1138" i="1"/>
  <c r="G1138" i="1" l="1"/>
  <c r="E1139" i="1" s="1"/>
  <c r="F1138" i="1"/>
  <c r="C1139" i="1" l="1"/>
  <c r="B1139" i="1"/>
  <c r="C1130" i="3" s="1"/>
  <c r="D1139" i="1"/>
  <c r="I1139" i="1" l="1"/>
  <c r="D1130" i="3"/>
  <c r="O1139" i="1"/>
  <c r="L1139" i="1"/>
  <c r="K1139" i="1"/>
  <c r="N1139" i="1"/>
  <c r="H1139" i="1"/>
  <c r="M1139" i="1" l="1"/>
  <c r="P1139" i="1"/>
  <c r="J1139" i="1"/>
  <c r="G1139" i="1" l="1"/>
  <c r="E1140" i="1" s="1"/>
  <c r="F1139" i="1"/>
  <c r="C1140" i="1" l="1"/>
  <c r="D1140" i="1"/>
  <c r="B1140" i="1"/>
  <c r="C1131" i="3" s="1"/>
  <c r="L1140" i="1" l="1"/>
  <c r="D1131" i="3"/>
  <c r="I1140" i="1"/>
  <c r="O1140" i="1"/>
  <c r="N1140" i="1"/>
  <c r="K1140" i="1"/>
  <c r="H1140" i="1"/>
  <c r="M1140" i="1" l="1"/>
  <c r="P1140" i="1"/>
  <c r="J1140" i="1"/>
  <c r="G1140" i="1" l="1"/>
  <c r="C1141" i="1" s="1"/>
  <c r="D1132" i="3" s="1"/>
  <c r="F1140" i="1"/>
  <c r="D1141" i="1" s="1"/>
  <c r="E1141" i="1" l="1"/>
  <c r="B1141" i="1"/>
  <c r="O1141" i="1"/>
  <c r="I1141" i="1"/>
  <c r="L1141" i="1"/>
  <c r="K1141" i="1" l="1"/>
  <c r="M1141" i="1" s="1"/>
  <c r="C1132" i="3"/>
  <c r="H1141" i="1"/>
  <c r="J1141" i="1" s="1"/>
  <c r="N1141" i="1"/>
  <c r="P1141" i="1" s="1"/>
  <c r="F1141" i="1" l="1"/>
  <c r="D1142" i="1" s="1"/>
  <c r="G1141" i="1"/>
  <c r="B1142" i="1" l="1"/>
  <c r="E1142" i="1"/>
  <c r="C1142" i="1"/>
  <c r="D1133" i="3" s="1"/>
  <c r="N1142" i="1" l="1"/>
  <c r="C1133" i="3"/>
  <c r="K1142" i="1"/>
  <c r="H1142" i="1"/>
  <c r="L1142" i="1"/>
  <c r="O1142" i="1"/>
  <c r="I1142" i="1"/>
  <c r="P1142" i="1" l="1"/>
  <c r="M1142" i="1"/>
  <c r="J1142" i="1"/>
  <c r="F1142" i="1" l="1"/>
  <c r="B1143" i="1" s="1"/>
  <c r="C1134" i="3" s="1"/>
  <c r="G1142" i="1"/>
  <c r="D1143" i="1" l="1"/>
  <c r="E1143" i="1"/>
  <c r="C1143" i="1"/>
  <c r="D1134" i="3" s="1"/>
  <c r="H1143" i="1"/>
  <c r="K1143" i="1"/>
  <c r="N1143" i="1"/>
  <c r="O1143" i="1" l="1"/>
  <c r="P1143" i="1" s="1"/>
  <c r="I1143" i="1"/>
  <c r="J1143" i="1" s="1"/>
  <c r="L1143" i="1"/>
  <c r="M1143" i="1" s="1"/>
  <c r="F1143" i="1" l="1"/>
  <c r="D1144" i="1" s="1"/>
  <c r="G1143" i="1"/>
  <c r="B1144" i="1" l="1"/>
  <c r="E1144" i="1"/>
  <c r="C1144" i="1"/>
  <c r="D1135" i="3" s="1"/>
  <c r="N1144" i="1" l="1"/>
  <c r="C1135" i="3"/>
  <c r="H1144" i="1"/>
  <c r="K1144" i="1"/>
  <c r="I1144" i="1"/>
  <c r="O1144" i="1"/>
  <c r="L1144" i="1"/>
  <c r="P1144" i="1" l="1"/>
  <c r="M1144" i="1"/>
  <c r="J1144" i="1"/>
  <c r="F1144" i="1" l="1"/>
  <c r="D1145" i="1" s="1"/>
  <c r="G1144" i="1"/>
  <c r="E1145" i="1" s="1"/>
  <c r="B1145" i="1" l="1"/>
  <c r="C1145" i="1"/>
  <c r="O1145" i="1" l="1"/>
  <c r="D1136" i="3"/>
  <c r="K1145" i="1"/>
  <c r="C1136" i="3"/>
  <c r="N1145" i="1"/>
  <c r="H1145" i="1"/>
  <c r="L1145" i="1"/>
  <c r="M1145" i="1" s="1"/>
  <c r="I1145" i="1"/>
  <c r="P1145" i="1" l="1"/>
  <c r="J1145" i="1"/>
  <c r="F1145" i="1" l="1"/>
  <c r="D1146" i="1" s="1"/>
  <c r="G1145" i="1"/>
  <c r="E1146" i="1" s="1"/>
  <c r="B1146" i="1" l="1"/>
  <c r="K1146" i="1" s="1"/>
  <c r="C1146" i="1"/>
  <c r="H1146" i="1" l="1"/>
  <c r="N1146" i="1"/>
  <c r="C1137" i="3"/>
  <c r="O1146" i="1"/>
  <c r="D1137" i="3"/>
  <c r="L1146" i="1"/>
  <c r="M1146" i="1" s="1"/>
  <c r="I1146" i="1"/>
  <c r="P1146" i="1" l="1"/>
  <c r="J1146" i="1"/>
  <c r="F1146" i="1" l="1"/>
  <c r="B1147" i="1" s="1"/>
  <c r="C1138" i="3" s="1"/>
  <c r="G1146" i="1"/>
  <c r="E1147" i="1" s="1"/>
  <c r="K1147" i="1" l="1"/>
  <c r="D1147" i="1"/>
  <c r="N1147" i="1"/>
  <c r="H1147" i="1"/>
  <c r="C1147" i="1"/>
  <c r="L1147" i="1" s="1"/>
  <c r="M1147" i="1" l="1"/>
  <c r="O1147" i="1"/>
  <c r="P1147" i="1" s="1"/>
  <c r="I1147" i="1"/>
  <c r="J1147" i="1" s="1"/>
  <c r="D1138" i="3"/>
  <c r="F1147" i="1" l="1"/>
  <c r="B1148" i="1" s="1"/>
  <c r="C1139" i="3" s="1"/>
  <c r="G1147" i="1"/>
  <c r="E1148" i="1" s="1"/>
  <c r="K1148" i="1" l="1"/>
  <c r="N1148" i="1"/>
  <c r="H1148" i="1"/>
  <c r="D1148" i="1"/>
  <c r="C1148" i="1"/>
  <c r="D1139" i="3" s="1"/>
  <c r="I1148" i="1" l="1"/>
  <c r="J1148" i="1" s="1"/>
  <c r="O1148" i="1"/>
  <c r="P1148" i="1" s="1"/>
  <c r="L1148" i="1"/>
  <c r="M1148" i="1" s="1"/>
  <c r="F1148" i="1" l="1"/>
  <c r="D1149" i="1" s="1"/>
  <c r="G1148" i="1"/>
  <c r="B1149" i="1" l="1"/>
  <c r="C1140" i="3" s="1"/>
  <c r="E1149" i="1"/>
  <c r="C1149" i="1"/>
  <c r="D1140" i="3" s="1"/>
  <c r="K1149" i="1" l="1"/>
  <c r="H1149" i="1"/>
  <c r="N1149" i="1"/>
  <c r="I1149" i="1"/>
  <c r="O1149" i="1"/>
  <c r="P1149" i="1" s="1"/>
  <c r="L1149" i="1"/>
  <c r="M1149" i="1" l="1"/>
  <c r="J1149" i="1"/>
  <c r="F1149" i="1" l="1"/>
  <c r="B1150" i="1" s="1"/>
  <c r="C1141" i="3" s="1"/>
  <c r="G1149" i="1"/>
  <c r="D1150" i="1" l="1"/>
  <c r="E1150" i="1"/>
  <c r="C1150" i="1"/>
  <c r="D1141" i="3" s="1"/>
  <c r="N1150" i="1"/>
  <c r="K1150" i="1"/>
  <c r="H1150" i="1"/>
  <c r="O1150" i="1" l="1"/>
  <c r="P1150" i="1" s="1"/>
  <c r="I1150" i="1"/>
  <c r="L1150" i="1"/>
  <c r="M1150" i="1" s="1"/>
  <c r="J1150" i="1" l="1"/>
  <c r="F1150" i="1" s="1"/>
  <c r="D1151" i="1" l="1"/>
  <c r="B1151" i="1"/>
  <c r="C1142" i="3" s="1"/>
  <c r="G1150" i="1"/>
  <c r="E1151" i="1" l="1"/>
  <c r="C1151" i="1"/>
  <c r="D1142" i="3" s="1"/>
  <c r="H1151" i="1"/>
  <c r="K1151" i="1"/>
  <c r="N1151" i="1"/>
  <c r="O1151" i="1" l="1"/>
  <c r="P1151" i="1" s="1"/>
  <c r="L1151" i="1"/>
  <c r="M1151" i="1" s="1"/>
  <c r="I1151" i="1"/>
  <c r="J1151" i="1" s="1"/>
  <c r="F1151" i="1" l="1"/>
  <c r="B1152" i="1" s="1"/>
  <c r="C1143" i="3" s="1"/>
  <c r="G1151" i="1"/>
  <c r="D1152" i="1" l="1"/>
  <c r="E1152" i="1"/>
  <c r="C1152" i="1"/>
  <c r="D1143" i="3" s="1"/>
  <c r="H1152" i="1"/>
  <c r="K1152" i="1"/>
  <c r="N1152" i="1"/>
  <c r="I1152" i="1" l="1"/>
  <c r="J1152" i="1" s="1"/>
  <c r="L1152" i="1"/>
  <c r="M1152" i="1" s="1"/>
  <c r="O1152" i="1"/>
  <c r="P1152" i="1" s="1"/>
  <c r="F1152" i="1" l="1"/>
  <c r="D1153" i="1" s="1"/>
  <c r="G1152" i="1"/>
  <c r="B1153" i="1" l="1"/>
  <c r="E1153" i="1"/>
  <c r="C1153" i="1"/>
  <c r="D1144" i="3" s="1"/>
  <c r="N1153" i="1" l="1"/>
  <c r="C1144" i="3"/>
  <c r="H1153" i="1"/>
  <c r="K1153" i="1"/>
  <c r="I1153" i="1"/>
  <c r="L1153" i="1"/>
  <c r="O1153" i="1"/>
  <c r="P1153" i="1" l="1"/>
  <c r="M1153" i="1"/>
  <c r="J1153" i="1"/>
  <c r="F1153" i="1" l="1"/>
  <c r="D1154" i="1" s="1"/>
  <c r="G1153" i="1"/>
  <c r="B1154" i="1" l="1"/>
  <c r="E1154" i="1"/>
  <c r="C1154" i="1"/>
  <c r="D1145" i="3" s="1"/>
  <c r="K1154" i="1" l="1"/>
  <c r="C1145" i="3"/>
  <c r="H1154" i="1"/>
  <c r="N1154" i="1"/>
  <c r="O1154" i="1"/>
  <c r="I1154" i="1"/>
  <c r="L1154" i="1"/>
  <c r="M1154" i="1" l="1"/>
  <c r="P1154" i="1"/>
  <c r="J1154" i="1"/>
  <c r="F1154" i="1" l="1"/>
  <c r="B1155" i="1" s="1"/>
  <c r="C1146" i="3" s="1"/>
  <c r="G1154" i="1"/>
  <c r="D1155" i="1" l="1"/>
  <c r="E1155" i="1"/>
  <c r="C1155" i="1"/>
  <c r="D1146" i="3" s="1"/>
  <c r="K1155" i="1"/>
  <c r="N1155" i="1"/>
  <c r="H1155" i="1"/>
  <c r="L1155" i="1" l="1"/>
  <c r="M1155" i="1" s="1"/>
  <c r="I1155" i="1"/>
  <c r="O1155" i="1"/>
  <c r="P1155" i="1" s="1"/>
  <c r="J1155" i="1" l="1"/>
  <c r="F1155" i="1" s="1"/>
  <c r="D1156" i="1" l="1"/>
  <c r="B1156" i="1"/>
  <c r="C1147" i="3" s="1"/>
  <c r="G1155" i="1"/>
  <c r="E1156" i="1" l="1"/>
  <c r="C1156" i="1"/>
  <c r="D1147" i="3" s="1"/>
  <c r="H1156" i="1"/>
  <c r="K1156" i="1"/>
  <c r="N1156" i="1"/>
  <c r="L1156" i="1" l="1"/>
  <c r="M1156" i="1" s="1"/>
  <c r="O1156" i="1"/>
  <c r="P1156" i="1" s="1"/>
  <c r="I1156" i="1"/>
  <c r="J1156" i="1" l="1"/>
  <c r="F1156" i="1" s="1"/>
  <c r="B1157" i="1" l="1"/>
  <c r="C1148" i="3" s="1"/>
  <c r="D1157" i="1"/>
  <c r="G1156" i="1"/>
  <c r="E1157" i="1" l="1"/>
  <c r="C1157" i="1"/>
  <c r="D1148" i="3" s="1"/>
  <c r="N1157" i="1"/>
  <c r="H1157" i="1"/>
  <c r="K1157" i="1"/>
  <c r="I1157" i="1" l="1"/>
  <c r="L1157" i="1"/>
  <c r="M1157" i="1" s="1"/>
  <c r="O1157" i="1"/>
  <c r="P1157" i="1" s="1"/>
  <c r="J1157" i="1" l="1"/>
  <c r="F1157" i="1" s="1"/>
  <c r="D1158" i="1" l="1"/>
  <c r="B1158" i="1"/>
  <c r="C1149" i="3" s="1"/>
  <c r="G1157" i="1"/>
  <c r="N1158" i="1" l="1"/>
  <c r="K1158" i="1"/>
  <c r="H1158" i="1"/>
  <c r="E1158" i="1"/>
  <c r="C1158" i="1"/>
  <c r="D1149" i="3" s="1"/>
  <c r="O1158" i="1" l="1"/>
  <c r="P1158" i="1" s="1"/>
  <c r="I1158" i="1"/>
  <c r="J1158" i="1" s="1"/>
  <c r="L1158" i="1"/>
  <c r="M1158" i="1" s="1"/>
  <c r="F1158" i="1" l="1"/>
  <c r="B1159" i="1" s="1"/>
  <c r="C1150" i="3" s="1"/>
  <c r="G1158" i="1"/>
  <c r="D1159" i="1" l="1"/>
  <c r="C1159" i="1"/>
  <c r="D1150" i="3" s="1"/>
  <c r="E1159" i="1"/>
  <c r="H1159" i="1"/>
  <c r="K1159" i="1"/>
  <c r="N1159" i="1"/>
  <c r="O1159" i="1" l="1"/>
  <c r="P1159" i="1" s="1"/>
  <c r="L1159" i="1"/>
  <c r="M1159" i="1" s="1"/>
  <c r="I1159" i="1"/>
  <c r="J1159" i="1" s="1"/>
  <c r="F1159" i="1" l="1"/>
  <c r="G1159" i="1"/>
  <c r="C1160" i="1" l="1"/>
  <c r="D1151" i="3" s="1"/>
  <c r="E1160" i="1"/>
  <c r="D1160" i="1"/>
  <c r="B1160" i="1"/>
  <c r="C1151" i="3" s="1"/>
  <c r="H1160" i="1" l="1"/>
  <c r="K1160" i="1"/>
  <c r="N1160" i="1"/>
  <c r="I1160" i="1"/>
  <c r="L1160" i="1"/>
  <c r="O1160" i="1"/>
  <c r="P1160" i="1" l="1"/>
  <c r="M1160" i="1"/>
  <c r="J1160" i="1"/>
  <c r="G1160" i="1" l="1"/>
  <c r="C1161" i="1" s="1"/>
  <c r="D1152" i="3" s="1"/>
  <c r="F1160" i="1"/>
  <c r="E1161" i="1" l="1"/>
  <c r="B1161" i="1"/>
  <c r="C1152" i="3" s="1"/>
  <c r="D1161" i="1"/>
  <c r="I1161" i="1"/>
  <c r="L1161" i="1"/>
  <c r="O1161" i="1"/>
  <c r="N1161" i="1" l="1"/>
  <c r="P1161" i="1" s="1"/>
  <c r="K1161" i="1"/>
  <c r="M1161" i="1" s="1"/>
  <c r="H1161" i="1"/>
  <c r="J1161" i="1" l="1"/>
  <c r="G1161" i="1" s="1"/>
  <c r="F1161" i="1" l="1"/>
  <c r="D1162" i="1" s="1"/>
  <c r="E1162" i="1"/>
  <c r="C1162" i="1"/>
  <c r="D1153" i="3" s="1"/>
  <c r="B1162" i="1" l="1"/>
  <c r="O1162" i="1"/>
  <c r="L1162" i="1"/>
  <c r="I1162" i="1"/>
  <c r="K1162" i="1" l="1"/>
  <c r="M1162" i="1" s="1"/>
  <c r="C1153" i="3"/>
  <c r="N1162" i="1"/>
  <c r="P1162" i="1" s="1"/>
  <c r="H1162" i="1"/>
  <c r="J1162" i="1" s="1"/>
  <c r="G1162" i="1" l="1"/>
  <c r="E1163" i="1" s="1"/>
  <c r="F1162" i="1"/>
  <c r="D1163" i="1" s="1"/>
  <c r="C1163" i="1" l="1"/>
  <c r="B1163" i="1"/>
  <c r="H1163" i="1" l="1"/>
  <c r="C1154" i="3"/>
  <c r="L1163" i="1"/>
  <c r="D1154" i="3"/>
  <c r="O1163" i="1"/>
  <c r="I1163" i="1"/>
  <c r="K1163" i="1"/>
  <c r="M1163" i="1" s="1"/>
  <c r="N1163" i="1"/>
  <c r="J1163" i="1" l="1"/>
  <c r="P1163" i="1"/>
  <c r="F1163" i="1" l="1"/>
  <c r="D1164" i="1" s="1"/>
  <c r="G1163" i="1"/>
  <c r="E1164" i="1" s="1"/>
  <c r="B1164" i="1" l="1"/>
  <c r="N1164" i="1" s="1"/>
  <c r="C1164" i="1"/>
  <c r="H1164" i="1" l="1"/>
  <c r="K1164" i="1"/>
  <c r="C1155" i="3"/>
  <c r="I1164" i="1"/>
  <c r="D1155" i="3"/>
  <c r="O1164" i="1"/>
  <c r="P1164" i="1" s="1"/>
  <c r="L1164" i="1"/>
  <c r="M1164" i="1" s="1"/>
  <c r="J1164" i="1" l="1"/>
  <c r="F1164" i="1" s="1"/>
  <c r="B1165" i="1" s="1"/>
  <c r="G1164" i="1" l="1"/>
  <c r="E1165" i="1" s="1"/>
  <c r="K1165" i="1"/>
  <c r="C1156" i="3"/>
  <c r="N1165" i="1"/>
  <c r="H1165" i="1"/>
  <c r="D1165" i="1"/>
  <c r="C1165" i="1" l="1"/>
  <c r="O1165" i="1" s="1"/>
  <c r="P1165" i="1" s="1"/>
  <c r="L1165" i="1" l="1"/>
  <c r="M1165" i="1" s="1"/>
  <c r="I1165" i="1"/>
  <c r="J1165" i="1" s="1"/>
  <c r="D1156" i="3"/>
  <c r="F1165" i="1" l="1"/>
  <c r="D1166" i="1" s="1"/>
  <c r="G1165" i="1"/>
  <c r="E1166" i="1" s="1"/>
  <c r="B1166" i="1" l="1"/>
  <c r="C1157" i="3" s="1"/>
  <c r="C1166" i="1"/>
  <c r="I1166" i="1" s="1"/>
  <c r="K1166" i="1" l="1"/>
  <c r="N1166" i="1"/>
  <c r="H1166" i="1"/>
  <c r="L1166" i="1"/>
  <c r="O1166" i="1"/>
  <c r="P1166" i="1" s="1"/>
  <c r="D1157" i="3"/>
  <c r="J1166" i="1"/>
  <c r="M1166" i="1" l="1"/>
  <c r="F1166" i="1" s="1"/>
  <c r="D1167" i="1" s="1"/>
  <c r="G1166" i="1" l="1"/>
  <c r="E1167" i="1" s="1"/>
  <c r="B1167" i="1"/>
  <c r="K1167" i="1" s="1"/>
  <c r="C1167" i="1" l="1"/>
  <c r="D1158" i="3" s="1"/>
  <c r="H1167" i="1"/>
  <c r="N1167" i="1"/>
  <c r="C1158" i="3"/>
  <c r="L1167" i="1" l="1"/>
  <c r="M1167" i="1" s="1"/>
  <c r="I1167" i="1"/>
  <c r="O1167" i="1"/>
  <c r="P1167" i="1" s="1"/>
  <c r="J1167" i="1"/>
  <c r="F1167" i="1" l="1"/>
  <c r="B1168" i="1" s="1"/>
  <c r="C1159" i="3" s="1"/>
  <c r="G1167" i="1"/>
  <c r="E1168" i="1" s="1"/>
  <c r="K1168" i="1" l="1"/>
  <c r="N1168" i="1"/>
  <c r="D1168" i="1"/>
  <c r="H1168" i="1"/>
  <c r="C1168" i="1"/>
  <c r="L1168" i="1" s="1"/>
  <c r="M1168" i="1" l="1"/>
  <c r="O1168" i="1"/>
  <c r="P1168" i="1" s="1"/>
  <c r="I1168" i="1"/>
  <c r="J1168" i="1" s="1"/>
  <c r="D1159" i="3"/>
  <c r="F1168" i="1" l="1"/>
  <c r="D1169" i="1" s="1"/>
  <c r="G1168" i="1"/>
  <c r="E1169" i="1" s="1"/>
  <c r="B1169" i="1" l="1"/>
  <c r="C1160" i="3" s="1"/>
  <c r="C1169" i="1"/>
  <c r="D1160" i="3" s="1"/>
  <c r="H1169" i="1" l="1"/>
  <c r="K1169" i="1"/>
  <c r="N1169" i="1"/>
  <c r="O1169" i="1"/>
  <c r="I1169" i="1"/>
  <c r="L1169" i="1"/>
  <c r="M1169" i="1" s="1"/>
  <c r="P1169" i="1" l="1"/>
  <c r="J1169" i="1"/>
  <c r="F1169" i="1" l="1"/>
  <c r="B1170" i="1" s="1"/>
  <c r="C1161" i="3" s="1"/>
  <c r="G1169" i="1"/>
  <c r="E1170" i="1" s="1"/>
  <c r="K1170" i="1" l="1"/>
  <c r="H1170" i="1"/>
  <c r="D1170" i="1"/>
  <c r="N1170" i="1"/>
  <c r="C1170" i="1"/>
  <c r="D1161" i="3" s="1"/>
  <c r="I1170" i="1" l="1"/>
  <c r="J1170" i="1" s="1"/>
  <c r="O1170" i="1"/>
  <c r="P1170" i="1" s="1"/>
  <c r="L1170" i="1"/>
  <c r="M1170" i="1" s="1"/>
  <c r="F1170" i="1" l="1"/>
  <c r="D1171" i="1" s="1"/>
  <c r="G1170" i="1"/>
  <c r="B1171" i="1" l="1"/>
  <c r="C1162" i="3" s="1"/>
  <c r="E1171" i="1"/>
  <c r="C1171" i="1"/>
  <c r="D1162" i="3" s="1"/>
  <c r="K1171" i="1" l="1"/>
  <c r="N1171" i="1"/>
  <c r="H1171" i="1"/>
  <c r="O1171" i="1"/>
  <c r="P1171" i="1" s="1"/>
  <c r="I1171" i="1"/>
  <c r="L1171" i="1"/>
  <c r="M1171" i="1" l="1"/>
  <c r="J1171" i="1"/>
  <c r="F1171" i="1" l="1"/>
  <c r="B1172" i="1" s="1"/>
  <c r="C1163" i="3" s="1"/>
  <c r="G1171" i="1"/>
  <c r="D1172" i="1" l="1"/>
  <c r="E1172" i="1"/>
  <c r="C1172" i="1"/>
  <c r="D1163" i="3" s="1"/>
  <c r="N1172" i="1"/>
  <c r="H1172" i="1"/>
  <c r="K1172" i="1"/>
  <c r="O1172" i="1" l="1"/>
  <c r="P1172" i="1" s="1"/>
  <c r="I1172" i="1"/>
  <c r="L1172" i="1"/>
  <c r="M1172" i="1" s="1"/>
  <c r="J1172" i="1" l="1"/>
  <c r="F1172" i="1" s="1"/>
  <c r="D1173" i="1" l="1"/>
  <c r="B1173" i="1"/>
  <c r="C1164" i="3" s="1"/>
  <c r="G1172" i="1"/>
  <c r="H1173" i="1" l="1"/>
  <c r="K1173" i="1"/>
  <c r="N1173" i="1"/>
  <c r="E1173" i="1"/>
  <c r="C1173" i="1"/>
  <c r="D1164" i="3" s="1"/>
  <c r="O1173" i="1" l="1"/>
  <c r="P1173" i="1" s="1"/>
  <c r="I1173" i="1"/>
  <c r="J1173" i="1" s="1"/>
  <c r="L1173" i="1"/>
  <c r="M1173" i="1" s="1"/>
  <c r="F1173" i="1" l="1"/>
  <c r="B1174" i="1" s="1"/>
  <c r="C1165" i="3" s="1"/>
  <c r="G1173" i="1"/>
  <c r="D1174" i="1" l="1"/>
  <c r="E1174" i="1"/>
  <c r="C1174" i="1"/>
  <c r="D1165" i="3" s="1"/>
  <c r="H1174" i="1"/>
  <c r="K1174" i="1"/>
  <c r="N1174" i="1"/>
  <c r="I1174" i="1" l="1"/>
  <c r="J1174" i="1" s="1"/>
  <c r="L1174" i="1"/>
  <c r="M1174" i="1" s="1"/>
  <c r="O1174" i="1"/>
  <c r="P1174" i="1" s="1"/>
  <c r="F1174" i="1" l="1"/>
  <c r="D1175" i="1" s="1"/>
  <c r="G1174" i="1"/>
  <c r="B1175" i="1" l="1"/>
  <c r="E1175" i="1"/>
  <c r="C1175" i="1"/>
  <c r="D1166" i="3" s="1"/>
  <c r="K1175" i="1" l="1"/>
  <c r="C1166" i="3"/>
  <c r="H1175" i="1"/>
  <c r="N1175" i="1"/>
  <c r="I1175" i="1"/>
  <c r="L1175" i="1"/>
  <c r="O1175" i="1"/>
  <c r="P1175" i="1" s="1"/>
  <c r="M1175" i="1" l="1"/>
  <c r="J1175" i="1"/>
  <c r="F1175" i="1" l="1"/>
  <c r="B1176" i="1" s="1"/>
  <c r="C1167" i="3" s="1"/>
  <c r="G1175" i="1"/>
  <c r="E1176" i="1" s="1"/>
  <c r="D1176" i="1" l="1"/>
  <c r="C1176" i="1"/>
  <c r="K1176" i="1"/>
  <c r="N1176" i="1"/>
  <c r="H1176" i="1"/>
  <c r="L1176" i="1" l="1"/>
  <c r="M1176" i="1" s="1"/>
  <c r="D1167" i="3"/>
  <c r="I1176" i="1"/>
  <c r="J1176" i="1" s="1"/>
  <c r="O1176" i="1"/>
  <c r="P1176" i="1" s="1"/>
  <c r="F1176" i="1" l="1"/>
  <c r="D1177" i="1" s="1"/>
  <c r="G1176" i="1"/>
  <c r="C1177" i="1" s="1"/>
  <c r="D1168" i="3" s="1"/>
  <c r="B1177" i="1" l="1"/>
  <c r="E1177" i="1"/>
  <c r="L1177" i="1"/>
  <c r="O1177" i="1"/>
  <c r="I1177" i="1"/>
  <c r="K1177" i="1" l="1"/>
  <c r="M1177" i="1" s="1"/>
  <c r="C1168" i="3"/>
  <c r="H1177" i="1"/>
  <c r="J1177" i="1" s="1"/>
  <c r="N1177" i="1"/>
  <c r="P1177" i="1" s="1"/>
  <c r="F1177" i="1" l="1"/>
  <c r="D1178" i="1" s="1"/>
  <c r="G1177" i="1"/>
  <c r="E1178" i="1" s="1"/>
  <c r="B1178" i="1" l="1"/>
  <c r="C1178" i="1"/>
  <c r="L1178" i="1" l="1"/>
  <c r="D1169" i="3"/>
  <c r="N1178" i="1"/>
  <c r="C1169" i="3"/>
  <c r="H1178" i="1"/>
  <c r="K1178" i="1"/>
  <c r="I1178" i="1"/>
  <c r="O1178" i="1"/>
  <c r="P1178" i="1" s="1"/>
  <c r="M1178" i="1" l="1"/>
  <c r="J1178" i="1"/>
  <c r="G1178" i="1" l="1"/>
  <c r="E1179" i="1" s="1"/>
  <c r="F1178" i="1"/>
  <c r="D1179" i="1" s="1"/>
  <c r="C1179" i="1" l="1"/>
  <c r="I1179" i="1" s="1"/>
  <c r="B1179" i="1"/>
  <c r="L1179" i="1" l="1"/>
  <c r="O1179" i="1"/>
  <c r="D1170" i="3"/>
  <c r="N1179" i="1"/>
  <c r="P1179" i="1" s="1"/>
  <c r="C1170" i="3"/>
  <c r="K1179" i="1"/>
  <c r="H1179" i="1"/>
  <c r="J1179" i="1" s="1"/>
  <c r="M1179" i="1" l="1"/>
  <c r="G1179" i="1" s="1"/>
  <c r="C1180" i="1" s="1"/>
  <c r="D1171" i="3" s="1"/>
  <c r="F1179" i="1" l="1"/>
  <c r="B1180" i="1" s="1"/>
  <c r="C1171" i="3" s="1"/>
  <c r="E1180" i="1"/>
  <c r="O1180" i="1"/>
  <c r="I1180" i="1"/>
  <c r="L1180" i="1"/>
  <c r="D1180" i="1" l="1"/>
  <c r="N1180" i="1"/>
  <c r="P1180" i="1" s="1"/>
  <c r="H1180" i="1"/>
  <c r="K1180" i="1"/>
  <c r="M1180" i="1" s="1"/>
  <c r="J1180" i="1" l="1"/>
  <c r="G1180" i="1" s="1"/>
  <c r="E1181" i="1" l="1"/>
  <c r="C1181" i="1"/>
  <c r="D1172" i="3" s="1"/>
  <c r="F1180" i="1"/>
  <c r="O1181" i="1" l="1"/>
  <c r="I1181" i="1"/>
  <c r="L1181" i="1"/>
  <c r="D1181" i="1"/>
  <c r="B1181" i="1"/>
  <c r="C1172" i="3" s="1"/>
  <c r="H1181" i="1" l="1"/>
  <c r="K1181" i="1"/>
  <c r="M1181" i="1" s="1"/>
  <c r="N1181" i="1"/>
  <c r="P1181" i="1" s="1"/>
  <c r="J1181" i="1" l="1"/>
  <c r="G1181" i="1" s="1"/>
  <c r="F1181" i="1" l="1"/>
  <c r="B1182" i="1" s="1"/>
  <c r="C1173" i="3" s="1"/>
  <c r="C1182" i="1"/>
  <c r="D1173" i="3" s="1"/>
  <c r="E1182" i="1"/>
  <c r="D1182" i="1" l="1"/>
  <c r="I1182" i="1"/>
  <c r="L1182" i="1"/>
  <c r="O1182" i="1"/>
  <c r="H1182" i="1"/>
  <c r="K1182" i="1"/>
  <c r="N1182" i="1"/>
  <c r="J1182" i="1" l="1"/>
  <c r="P1182" i="1"/>
  <c r="M1182" i="1"/>
  <c r="F1182" i="1" l="1"/>
  <c r="B1183" i="1" s="1"/>
  <c r="C1174" i="3" s="1"/>
  <c r="G1182" i="1"/>
  <c r="D1183" i="1" l="1"/>
  <c r="E1183" i="1"/>
  <c r="C1183" i="1"/>
  <c r="D1174" i="3" s="1"/>
  <c r="K1183" i="1"/>
  <c r="N1183" i="1"/>
  <c r="H1183" i="1"/>
  <c r="I1183" i="1" l="1"/>
  <c r="L1183" i="1"/>
  <c r="M1183" i="1" s="1"/>
  <c r="O1183" i="1"/>
  <c r="P1183" i="1" s="1"/>
  <c r="J1183" i="1" l="1"/>
  <c r="F1183" i="1" s="1"/>
  <c r="D1184" i="1" l="1"/>
  <c r="B1184" i="1"/>
  <c r="C1175" i="3" s="1"/>
  <c r="G1183" i="1"/>
  <c r="E1184" i="1" l="1"/>
  <c r="C1184" i="1"/>
  <c r="D1175" i="3" s="1"/>
  <c r="K1184" i="1"/>
  <c r="N1184" i="1"/>
  <c r="H1184" i="1"/>
  <c r="L1184" i="1" l="1"/>
  <c r="M1184" i="1" s="1"/>
  <c r="O1184" i="1"/>
  <c r="P1184" i="1" s="1"/>
  <c r="I1184" i="1"/>
  <c r="J1184" i="1" l="1"/>
  <c r="F1184" i="1" s="1"/>
  <c r="D1185" i="1" l="1"/>
  <c r="B1185" i="1"/>
  <c r="C1176" i="3" s="1"/>
  <c r="G1184" i="1"/>
  <c r="K1185" i="1" l="1"/>
  <c r="N1185" i="1"/>
  <c r="H1185" i="1"/>
  <c r="E1185" i="1"/>
  <c r="C1185" i="1"/>
  <c r="D1176" i="3" s="1"/>
  <c r="L1185" i="1" l="1"/>
  <c r="M1185" i="1" s="1"/>
  <c r="O1185" i="1"/>
  <c r="P1185" i="1" s="1"/>
  <c r="I1185" i="1"/>
  <c r="J1185" i="1" l="1"/>
  <c r="F1185" i="1" s="1"/>
  <c r="B1186" i="1" l="1"/>
  <c r="C1177" i="3" s="1"/>
  <c r="D1186" i="1"/>
  <c r="G1185" i="1"/>
  <c r="E1186" i="1" l="1"/>
  <c r="C1186" i="1"/>
  <c r="D1177" i="3" s="1"/>
  <c r="N1186" i="1"/>
  <c r="H1186" i="1"/>
  <c r="K1186" i="1"/>
  <c r="L1186" i="1" l="1"/>
  <c r="M1186" i="1" s="1"/>
  <c r="O1186" i="1"/>
  <c r="P1186" i="1" s="1"/>
  <c r="I1186" i="1"/>
  <c r="J1186" i="1" l="1"/>
  <c r="F1186" i="1" s="1"/>
  <c r="B1187" i="1" l="1"/>
  <c r="C1178" i="3" s="1"/>
  <c r="D1187" i="1"/>
  <c r="G1186" i="1"/>
  <c r="E1187" i="1" l="1"/>
  <c r="C1187" i="1"/>
  <c r="D1178" i="3" s="1"/>
  <c r="N1187" i="1"/>
  <c r="H1187" i="1"/>
  <c r="K1187" i="1"/>
  <c r="O1187" i="1" l="1"/>
  <c r="P1187" i="1" s="1"/>
  <c r="I1187" i="1"/>
  <c r="L1187" i="1"/>
  <c r="M1187" i="1" s="1"/>
  <c r="J1187" i="1" l="1"/>
  <c r="F1187" i="1" s="1"/>
  <c r="D1188" i="1" l="1"/>
  <c r="B1188" i="1"/>
  <c r="C1179" i="3" s="1"/>
  <c r="G1187" i="1"/>
  <c r="E1188" i="1" l="1"/>
  <c r="C1188" i="1"/>
  <c r="D1179" i="3" s="1"/>
  <c r="N1188" i="1"/>
  <c r="H1188" i="1"/>
  <c r="K1188" i="1"/>
  <c r="O1188" i="1" l="1"/>
  <c r="P1188" i="1" s="1"/>
  <c r="I1188" i="1"/>
  <c r="L1188" i="1"/>
  <c r="M1188" i="1" s="1"/>
  <c r="J1188" i="1" l="1"/>
  <c r="F1188" i="1" s="1"/>
  <c r="D1189" i="1" l="1"/>
  <c r="B1189" i="1"/>
  <c r="C1180" i="3" s="1"/>
  <c r="G1188" i="1"/>
  <c r="E1189" i="1" l="1"/>
  <c r="C1189" i="1"/>
  <c r="D1180" i="3" s="1"/>
  <c r="H1189" i="1"/>
  <c r="K1189" i="1"/>
  <c r="N1189" i="1"/>
  <c r="O1189" i="1" l="1"/>
  <c r="P1189" i="1" s="1"/>
  <c r="I1189" i="1"/>
  <c r="L1189" i="1"/>
  <c r="M1189" i="1" s="1"/>
  <c r="J1189" i="1" l="1"/>
  <c r="F1189" i="1" s="1"/>
  <c r="B1190" i="1" l="1"/>
  <c r="C1181" i="3" s="1"/>
  <c r="D1190" i="1"/>
  <c r="G1189" i="1"/>
  <c r="E1190" i="1" l="1"/>
  <c r="C1190" i="1"/>
  <c r="D1181" i="3" s="1"/>
  <c r="H1190" i="1"/>
  <c r="K1190" i="1"/>
  <c r="N1190" i="1"/>
  <c r="I1190" i="1" l="1"/>
  <c r="L1190" i="1"/>
  <c r="M1190" i="1" s="1"/>
  <c r="O1190" i="1"/>
  <c r="P1190" i="1" s="1"/>
  <c r="J1190" i="1" l="1"/>
  <c r="F1190" i="1" s="1"/>
  <c r="G1190" i="1" l="1"/>
  <c r="D1191" i="1"/>
  <c r="B1191" i="1"/>
  <c r="C1182" i="3" s="1"/>
  <c r="K1191" i="1" l="1"/>
  <c r="N1191" i="1"/>
  <c r="H1191" i="1"/>
  <c r="E1191" i="1"/>
  <c r="C1191" i="1"/>
  <c r="D1182" i="3" s="1"/>
  <c r="I1191" i="1" l="1"/>
  <c r="J1191" i="1" s="1"/>
  <c r="L1191" i="1"/>
  <c r="M1191" i="1" s="1"/>
  <c r="O1191" i="1"/>
  <c r="P1191" i="1" s="1"/>
  <c r="F1191" i="1" l="1"/>
  <c r="B1192" i="1" s="1"/>
  <c r="C1183" i="3" s="1"/>
  <c r="G1191" i="1"/>
  <c r="D1192" i="1" l="1"/>
  <c r="C1192" i="1"/>
  <c r="D1183" i="3" s="1"/>
  <c r="E1192" i="1"/>
  <c r="K1192" i="1"/>
  <c r="N1192" i="1"/>
  <c r="H1192" i="1"/>
  <c r="L1192" i="1" l="1"/>
  <c r="M1192" i="1" s="1"/>
  <c r="O1192" i="1"/>
  <c r="P1192" i="1" s="1"/>
  <c r="I1192" i="1"/>
  <c r="J1192" i="1" s="1"/>
  <c r="F1192" i="1" l="1"/>
  <c r="G1192" i="1"/>
  <c r="E1193" i="1" l="1"/>
  <c r="C1193" i="1"/>
  <c r="D1184" i="3" s="1"/>
  <c r="D1193" i="1"/>
  <c r="B1193" i="1"/>
  <c r="C1184" i="3" s="1"/>
  <c r="K1193" i="1" l="1"/>
  <c r="N1193" i="1"/>
  <c r="H1193" i="1"/>
  <c r="L1193" i="1"/>
  <c r="O1193" i="1"/>
  <c r="I1193" i="1"/>
  <c r="J1193" i="1" l="1"/>
  <c r="P1193" i="1"/>
  <c r="M1193" i="1"/>
  <c r="F1193" i="1" l="1"/>
  <c r="D1194" i="1" s="1"/>
  <c r="G1193" i="1"/>
  <c r="E1194" i="1" s="1"/>
  <c r="B1194" i="1" l="1"/>
  <c r="C1194" i="1"/>
  <c r="L1194" i="1" l="1"/>
  <c r="D1185" i="3"/>
  <c r="N1194" i="1"/>
  <c r="C1185" i="3"/>
  <c r="K1194" i="1"/>
  <c r="H1194" i="1"/>
  <c r="I1194" i="1"/>
  <c r="O1194" i="1"/>
  <c r="P1194" i="1" s="1"/>
  <c r="M1194" i="1" l="1"/>
  <c r="J1194" i="1"/>
  <c r="G1194" i="1" l="1"/>
  <c r="E1195" i="1" s="1"/>
  <c r="F1194" i="1"/>
  <c r="D1195" i="1" s="1"/>
  <c r="C1195" i="1" l="1"/>
  <c r="O1195" i="1" s="1"/>
  <c r="B1195" i="1"/>
  <c r="L1195" i="1" l="1"/>
  <c r="I1195" i="1"/>
  <c r="D1186" i="3"/>
  <c r="N1195" i="1"/>
  <c r="P1195" i="1" s="1"/>
  <c r="C1186" i="3"/>
  <c r="H1195" i="1"/>
  <c r="J1195" i="1" s="1"/>
  <c r="K1195" i="1"/>
  <c r="M1195" i="1" l="1"/>
  <c r="G1195" i="1" s="1"/>
  <c r="E1196" i="1" s="1"/>
  <c r="F1195" i="1" l="1"/>
  <c r="D1196" i="1" s="1"/>
  <c r="C1196" i="1"/>
  <c r="D1187" i="3" s="1"/>
  <c r="B1196" i="1" l="1"/>
  <c r="N1196" i="1" s="1"/>
  <c r="I1196" i="1"/>
  <c r="L1196" i="1"/>
  <c r="O1196" i="1"/>
  <c r="H1196" i="1" l="1"/>
  <c r="J1196" i="1" s="1"/>
  <c r="K1196" i="1"/>
  <c r="M1196" i="1" s="1"/>
  <c r="C1187" i="3"/>
  <c r="P1196" i="1"/>
  <c r="G1196" i="1" l="1"/>
  <c r="C1197" i="1" s="1"/>
  <c r="O1197" i="1" s="1"/>
  <c r="F1196" i="1"/>
  <c r="D1197" i="1" s="1"/>
  <c r="I1197" i="1" l="1"/>
  <c r="L1197" i="1"/>
  <c r="E1197" i="1"/>
  <c r="D1188" i="3"/>
  <c r="B1197" i="1"/>
  <c r="H1197" i="1" l="1"/>
  <c r="J1197" i="1" s="1"/>
  <c r="C1188" i="3"/>
  <c r="K1197" i="1"/>
  <c r="M1197" i="1" s="1"/>
  <c r="N1197" i="1"/>
  <c r="P1197" i="1" s="1"/>
  <c r="G1197" i="1" l="1"/>
  <c r="E1198" i="1" s="1"/>
  <c r="F1197" i="1"/>
  <c r="B1198" i="1" s="1"/>
  <c r="K1198" i="1" l="1"/>
  <c r="C1189" i="3"/>
  <c r="C1198" i="1"/>
  <c r="H1198" i="1"/>
  <c r="N1198" i="1"/>
  <c r="D1198" i="1"/>
  <c r="I1198" i="1" l="1"/>
  <c r="J1198" i="1" s="1"/>
  <c r="D1189" i="3"/>
  <c r="L1198" i="1"/>
  <c r="M1198" i="1" s="1"/>
  <c r="O1198" i="1"/>
  <c r="P1198" i="1" s="1"/>
  <c r="F1198" i="1" l="1"/>
  <c r="D1199" i="1" s="1"/>
  <c r="G1198" i="1"/>
  <c r="E1199" i="1" s="1"/>
  <c r="B1199" i="1" l="1"/>
  <c r="C1199" i="1"/>
  <c r="I1199" i="1" l="1"/>
  <c r="D1190" i="3"/>
  <c r="K1199" i="1"/>
  <c r="C1190" i="3"/>
  <c r="H1199" i="1"/>
  <c r="N1199" i="1"/>
  <c r="O1199" i="1"/>
  <c r="L1199" i="1"/>
  <c r="M1199" i="1" s="1"/>
  <c r="J1199" i="1" l="1"/>
  <c r="P1199" i="1"/>
  <c r="F1199" i="1" l="1"/>
  <c r="B1200" i="1" s="1"/>
  <c r="C1191" i="3" s="1"/>
  <c r="G1199" i="1"/>
  <c r="E1200" i="1" s="1"/>
  <c r="N1200" i="1" l="1"/>
  <c r="H1200" i="1"/>
  <c r="K1200" i="1"/>
  <c r="D1200" i="1"/>
  <c r="C1200" i="1"/>
  <c r="L1200" i="1" l="1"/>
  <c r="M1200" i="1" s="1"/>
  <c r="D1191" i="3"/>
  <c r="I1200" i="1"/>
  <c r="J1200" i="1" s="1"/>
  <c r="O1200" i="1"/>
  <c r="P1200" i="1" s="1"/>
  <c r="F1200" i="1" l="1"/>
  <c r="B1201" i="1" s="1"/>
  <c r="C1192" i="3" s="1"/>
  <c r="G1200" i="1"/>
  <c r="D1201" i="1" l="1"/>
  <c r="E1201" i="1"/>
  <c r="C1201" i="1"/>
  <c r="D1192" i="3" s="1"/>
  <c r="K1201" i="1"/>
  <c r="N1201" i="1"/>
  <c r="H1201" i="1"/>
  <c r="L1201" i="1" l="1"/>
  <c r="M1201" i="1" s="1"/>
  <c r="O1201" i="1"/>
  <c r="P1201" i="1" s="1"/>
  <c r="I1201" i="1"/>
  <c r="J1201" i="1" l="1"/>
  <c r="F1201" i="1" s="1"/>
  <c r="D1202" i="1" l="1"/>
  <c r="B1202" i="1"/>
  <c r="C1193" i="3" s="1"/>
  <c r="G1201" i="1"/>
  <c r="E1202" i="1" l="1"/>
  <c r="C1202" i="1"/>
  <c r="D1193" i="3" s="1"/>
  <c r="N1202" i="1"/>
  <c r="H1202" i="1"/>
  <c r="K1202" i="1"/>
  <c r="L1202" i="1" l="1"/>
  <c r="M1202" i="1" s="1"/>
  <c r="O1202" i="1"/>
  <c r="P1202" i="1" s="1"/>
  <c r="I1202" i="1"/>
  <c r="J1202" i="1" l="1"/>
  <c r="F1202" i="1" s="1"/>
  <c r="B1203" i="1" l="1"/>
  <c r="C1194" i="3" s="1"/>
  <c r="D1203" i="1"/>
  <c r="G1202" i="1"/>
  <c r="E1203" i="1" l="1"/>
  <c r="C1203" i="1"/>
  <c r="D1194" i="3" s="1"/>
  <c r="N1203" i="1"/>
  <c r="H1203" i="1"/>
  <c r="K1203" i="1"/>
  <c r="O1203" i="1" l="1"/>
  <c r="P1203" i="1" s="1"/>
  <c r="I1203" i="1"/>
  <c r="L1203" i="1"/>
  <c r="M1203" i="1" s="1"/>
  <c r="J1203" i="1" l="1"/>
  <c r="F1203" i="1" s="1"/>
  <c r="B1204" i="1" l="1"/>
  <c r="C1195" i="3" s="1"/>
  <c r="D1204" i="1"/>
  <c r="G1203" i="1"/>
  <c r="E1204" i="1" l="1"/>
  <c r="C1204" i="1"/>
  <c r="D1195" i="3" s="1"/>
  <c r="N1204" i="1"/>
  <c r="H1204" i="1"/>
  <c r="K1204" i="1"/>
  <c r="O1204" i="1" l="1"/>
  <c r="P1204" i="1" s="1"/>
  <c r="I1204" i="1"/>
  <c r="L1204" i="1"/>
  <c r="M1204" i="1" s="1"/>
  <c r="J1204" i="1" l="1"/>
  <c r="F1204" i="1" s="1"/>
  <c r="D1205" i="1" l="1"/>
  <c r="B1205" i="1"/>
  <c r="C1196" i="3" s="1"/>
  <c r="G1204" i="1"/>
  <c r="E1205" i="1" l="1"/>
  <c r="C1205" i="1"/>
  <c r="D1196" i="3" s="1"/>
  <c r="H1205" i="1"/>
  <c r="K1205" i="1"/>
  <c r="N1205" i="1"/>
  <c r="O1205" i="1" l="1"/>
  <c r="P1205" i="1" s="1"/>
  <c r="I1205" i="1"/>
  <c r="L1205" i="1"/>
  <c r="M1205" i="1" s="1"/>
  <c r="J1205" i="1" l="1"/>
  <c r="F1205" i="1" s="1"/>
  <c r="B1206" i="1" l="1"/>
  <c r="C1197" i="3" s="1"/>
  <c r="D1206" i="1"/>
  <c r="G1205" i="1"/>
  <c r="E1206" i="1" l="1"/>
  <c r="C1206" i="1"/>
  <c r="D1197" i="3" s="1"/>
  <c r="H1206" i="1"/>
  <c r="K1206" i="1"/>
  <c r="N1206" i="1"/>
  <c r="I1206" i="1" l="1"/>
  <c r="L1206" i="1"/>
  <c r="M1206" i="1" s="1"/>
  <c r="O1206" i="1"/>
  <c r="P1206" i="1" s="1"/>
  <c r="J1206" i="1" l="1"/>
  <c r="F1206" i="1" s="1"/>
  <c r="D1207" i="1" l="1"/>
  <c r="B1207" i="1"/>
  <c r="C1198" i="3" s="1"/>
  <c r="G1206" i="1"/>
  <c r="E1207" i="1" l="1"/>
  <c r="C1207" i="1"/>
  <c r="D1198" i="3" s="1"/>
  <c r="K1207" i="1"/>
  <c r="N1207" i="1"/>
  <c r="H1207" i="1"/>
  <c r="I1207" i="1" l="1"/>
  <c r="L1207" i="1"/>
  <c r="M1207" i="1" s="1"/>
  <c r="O1207" i="1"/>
  <c r="P1207" i="1" s="1"/>
  <c r="J1207" i="1" l="1"/>
  <c r="F1207" i="1" s="1"/>
  <c r="B1208" i="1" l="1"/>
  <c r="C1199" i="3" s="1"/>
  <c r="D1208" i="1"/>
  <c r="G1207" i="1"/>
  <c r="E1208" i="1" l="1"/>
  <c r="C1208" i="1"/>
  <c r="D1199" i="3" s="1"/>
  <c r="K1208" i="1"/>
  <c r="N1208" i="1"/>
  <c r="H1208" i="1"/>
  <c r="L1208" i="1" l="1"/>
  <c r="M1208" i="1" s="1"/>
  <c r="O1208" i="1"/>
  <c r="P1208" i="1" s="1"/>
  <c r="I1208" i="1"/>
  <c r="J1208" i="1" l="1"/>
  <c r="F1208" i="1" s="1"/>
  <c r="D1209" i="1" l="1"/>
  <c r="B1209" i="1"/>
  <c r="C1200" i="3" s="1"/>
  <c r="G1208" i="1"/>
  <c r="E1209" i="1" l="1"/>
  <c r="C1209" i="1"/>
  <c r="D1200" i="3" s="1"/>
  <c r="K1209" i="1"/>
  <c r="N1209" i="1"/>
  <c r="H1209" i="1"/>
  <c r="L1209" i="1" l="1"/>
  <c r="M1209" i="1" s="1"/>
  <c r="O1209" i="1"/>
  <c r="P1209" i="1" s="1"/>
  <c r="I1209" i="1"/>
  <c r="J1209" i="1" l="1"/>
  <c r="F1209" i="1" s="1"/>
  <c r="B1210" i="1" l="1"/>
  <c r="C1201" i="3" s="1"/>
  <c r="D1210" i="1"/>
  <c r="G1209" i="1"/>
  <c r="E1210" i="1" l="1"/>
  <c r="C1210" i="1"/>
  <c r="D1201" i="3" s="1"/>
  <c r="N1210" i="1"/>
  <c r="H1210" i="1"/>
  <c r="K1210" i="1"/>
  <c r="L1210" i="1" l="1"/>
  <c r="M1210" i="1" s="1"/>
  <c r="O1210" i="1"/>
  <c r="P1210" i="1" s="1"/>
  <c r="I1210" i="1"/>
  <c r="J1210" i="1" l="1"/>
  <c r="F1210" i="1" s="1"/>
  <c r="B1211" i="1" l="1"/>
  <c r="C1202" i="3" s="1"/>
  <c r="D1211" i="1"/>
  <c r="G1210" i="1"/>
  <c r="E1211" i="1" l="1"/>
  <c r="C1211" i="1"/>
  <c r="D1202" i="3" s="1"/>
  <c r="N1211" i="1"/>
  <c r="H1211" i="1"/>
  <c r="K1211" i="1"/>
  <c r="O1211" i="1" l="1"/>
  <c r="P1211" i="1" s="1"/>
  <c r="I1211" i="1"/>
  <c r="L1211" i="1"/>
  <c r="M1211" i="1" s="1"/>
  <c r="J1211" i="1" l="1"/>
  <c r="F1211" i="1" s="1"/>
  <c r="B1212" i="1" l="1"/>
  <c r="C1203" i="3" s="1"/>
  <c r="D1212" i="1"/>
  <c r="G1211" i="1"/>
  <c r="E1212" i="1" l="1"/>
  <c r="C1212" i="1"/>
  <c r="D1203" i="3" s="1"/>
  <c r="N1212" i="1"/>
  <c r="H1212" i="1"/>
  <c r="K1212" i="1"/>
  <c r="O1212" i="1" l="1"/>
  <c r="P1212" i="1" s="1"/>
  <c r="I1212" i="1"/>
  <c r="L1212" i="1"/>
  <c r="M1212" i="1" s="1"/>
  <c r="J1212" i="1" l="1"/>
  <c r="F1212" i="1" s="1"/>
  <c r="B1213" i="1" l="1"/>
  <c r="C1204" i="3" s="1"/>
  <c r="D1213" i="1"/>
  <c r="G1212" i="1"/>
  <c r="E1213" i="1" l="1"/>
  <c r="C1213" i="1"/>
  <c r="D1204" i="3" s="1"/>
  <c r="H1213" i="1"/>
  <c r="K1213" i="1"/>
  <c r="N1213" i="1"/>
  <c r="O1213" i="1" l="1"/>
  <c r="P1213" i="1" s="1"/>
  <c r="I1213" i="1"/>
  <c r="L1213" i="1"/>
  <c r="M1213" i="1" s="1"/>
  <c r="J1213" i="1" l="1"/>
  <c r="F1213" i="1" s="1"/>
  <c r="B1214" i="1" l="1"/>
  <c r="C1205" i="3" s="1"/>
  <c r="D1214" i="1"/>
  <c r="G1213" i="1"/>
  <c r="E1214" i="1" l="1"/>
  <c r="C1214" i="1"/>
  <c r="D1205" i="3" s="1"/>
  <c r="H1214" i="1"/>
  <c r="K1214" i="1"/>
  <c r="N1214" i="1"/>
  <c r="I1214" i="1" l="1"/>
  <c r="L1214" i="1"/>
  <c r="M1214" i="1" s="1"/>
  <c r="O1214" i="1"/>
  <c r="P1214" i="1" s="1"/>
  <c r="J1214" i="1" l="1"/>
  <c r="F1214" i="1" s="1"/>
  <c r="B1215" i="1" l="1"/>
  <c r="C1206" i="3" s="1"/>
  <c r="D1215" i="1"/>
  <c r="G1214" i="1"/>
  <c r="E1215" i="1" l="1"/>
  <c r="C1215" i="1"/>
  <c r="D1206" i="3" s="1"/>
  <c r="K1215" i="1"/>
  <c r="N1215" i="1"/>
  <c r="H1215" i="1"/>
  <c r="I1215" i="1" l="1"/>
  <c r="L1215" i="1"/>
  <c r="M1215" i="1" s="1"/>
  <c r="O1215" i="1"/>
  <c r="P1215" i="1" s="1"/>
  <c r="J1215" i="1" l="1"/>
  <c r="F1215" i="1" s="1"/>
  <c r="B1216" i="1" l="1"/>
  <c r="C1207" i="3" s="1"/>
  <c r="D1216" i="1"/>
  <c r="G1215" i="1"/>
  <c r="E1216" i="1" l="1"/>
  <c r="C1216" i="1"/>
  <c r="D1207" i="3" s="1"/>
  <c r="K1216" i="1"/>
  <c r="N1216" i="1"/>
  <c r="H1216" i="1"/>
  <c r="L1216" i="1" l="1"/>
  <c r="M1216" i="1" s="1"/>
  <c r="O1216" i="1"/>
  <c r="P1216" i="1" s="1"/>
  <c r="I1216" i="1"/>
  <c r="J1216" i="1" l="1"/>
  <c r="F1216" i="1" s="1"/>
  <c r="D1217" i="1" l="1"/>
  <c r="B1217" i="1"/>
  <c r="C1208" i="3" s="1"/>
  <c r="G1216" i="1"/>
  <c r="E1217" i="1" l="1"/>
  <c r="C1217" i="1"/>
  <c r="D1208" i="3" s="1"/>
  <c r="K1217" i="1"/>
  <c r="N1217" i="1"/>
  <c r="H1217" i="1"/>
  <c r="L1217" i="1" l="1"/>
  <c r="M1217" i="1" s="1"/>
  <c r="O1217" i="1"/>
  <c r="P1217" i="1" s="1"/>
  <c r="I1217" i="1"/>
  <c r="J1217" i="1" l="1"/>
  <c r="F1217" i="1" s="1"/>
  <c r="B1218" i="1" l="1"/>
  <c r="C1209" i="3" s="1"/>
  <c r="D1218" i="1"/>
  <c r="G1217" i="1"/>
  <c r="E1218" i="1" l="1"/>
  <c r="C1218" i="1"/>
  <c r="D1209" i="3" s="1"/>
  <c r="N1218" i="1"/>
  <c r="H1218" i="1"/>
  <c r="K1218" i="1"/>
  <c r="L1218" i="1" l="1"/>
  <c r="M1218" i="1" s="1"/>
  <c r="O1218" i="1"/>
  <c r="P1218" i="1" s="1"/>
  <c r="I1218" i="1"/>
  <c r="J1218" i="1" l="1"/>
  <c r="F1218" i="1" s="1"/>
  <c r="B1219" i="1" l="1"/>
  <c r="C1210" i="3" s="1"/>
  <c r="D1219" i="1"/>
  <c r="G1218" i="1"/>
  <c r="E1219" i="1" l="1"/>
  <c r="C1219" i="1"/>
  <c r="D1210" i="3" s="1"/>
  <c r="N1219" i="1"/>
  <c r="H1219" i="1"/>
  <c r="K1219" i="1"/>
  <c r="O1219" i="1" l="1"/>
  <c r="P1219" i="1" s="1"/>
  <c r="I1219" i="1"/>
  <c r="L1219" i="1"/>
  <c r="M1219" i="1" s="1"/>
  <c r="J1219" i="1" l="1"/>
  <c r="F1219" i="1" s="1"/>
  <c r="D1220" i="1" l="1"/>
  <c r="B1220" i="1"/>
  <c r="C1211" i="3" s="1"/>
  <c r="G1219" i="1"/>
  <c r="E1220" i="1" l="1"/>
  <c r="C1220" i="1"/>
  <c r="D1211" i="3" s="1"/>
  <c r="N1220" i="1"/>
  <c r="H1220" i="1"/>
  <c r="K1220" i="1"/>
  <c r="O1220" i="1" l="1"/>
  <c r="P1220" i="1" s="1"/>
  <c r="I1220" i="1"/>
  <c r="L1220" i="1"/>
  <c r="M1220" i="1" s="1"/>
  <c r="J1220" i="1" l="1"/>
  <c r="F1220" i="1" s="1"/>
  <c r="B1221" i="1" l="1"/>
  <c r="C1212" i="3" s="1"/>
  <c r="D1221" i="1"/>
  <c r="G1220" i="1"/>
  <c r="E1221" i="1" l="1"/>
  <c r="C1221" i="1"/>
  <c r="D1212" i="3" s="1"/>
  <c r="H1221" i="1"/>
  <c r="K1221" i="1"/>
  <c r="N1221" i="1"/>
  <c r="O1221" i="1" l="1"/>
  <c r="P1221" i="1" s="1"/>
  <c r="I1221" i="1"/>
  <c r="L1221" i="1"/>
  <c r="M1221" i="1" s="1"/>
  <c r="J1221" i="1" l="1"/>
  <c r="F1221" i="1" s="1"/>
  <c r="B1222" i="1" l="1"/>
  <c r="C1213" i="3" s="1"/>
  <c r="D1222" i="1"/>
  <c r="G1221" i="1"/>
  <c r="E1222" i="1" l="1"/>
  <c r="C1222" i="1"/>
  <c r="D1213" i="3" s="1"/>
  <c r="H1222" i="1"/>
  <c r="K1222" i="1"/>
  <c r="N1222" i="1"/>
  <c r="I1222" i="1" l="1"/>
  <c r="L1222" i="1"/>
  <c r="M1222" i="1" s="1"/>
  <c r="O1222" i="1"/>
  <c r="P1222" i="1" s="1"/>
  <c r="J1222" i="1" l="1"/>
  <c r="F1222" i="1" s="1"/>
  <c r="B1223" i="1" l="1"/>
  <c r="C1214" i="3" s="1"/>
  <c r="D1223" i="1"/>
  <c r="G1222" i="1"/>
  <c r="E1223" i="1" l="1"/>
  <c r="C1223" i="1"/>
  <c r="D1214" i="3" s="1"/>
  <c r="K1223" i="1"/>
  <c r="N1223" i="1"/>
  <c r="H1223" i="1"/>
  <c r="I1223" i="1" l="1"/>
  <c r="L1223" i="1"/>
  <c r="M1223" i="1" s="1"/>
  <c r="O1223" i="1"/>
  <c r="P1223" i="1" s="1"/>
  <c r="J1223" i="1" l="1"/>
  <c r="F1223" i="1" s="1"/>
  <c r="B1224" i="1" l="1"/>
  <c r="C1215" i="3" s="1"/>
  <c r="D1224" i="1"/>
  <c r="G1223" i="1"/>
  <c r="E1224" i="1" l="1"/>
  <c r="C1224" i="1"/>
  <c r="D1215" i="3" s="1"/>
  <c r="K1224" i="1"/>
  <c r="N1224" i="1"/>
  <c r="H1224" i="1"/>
  <c r="L1224" i="1" l="1"/>
  <c r="M1224" i="1" s="1"/>
  <c r="O1224" i="1"/>
  <c r="P1224" i="1" s="1"/>
  <c r="I1224" i="1"/>
  <c r="J1224" i="1" l="1"/>
  <c r="F1224" i="1" s="1"/>
  <c r="D1225" i="1" l="1"/>
  <c r="B1225" i="1"/>
  <c r="C1216" i="3" s="1"/>
  <c r="G1224" i="1"/>
  <c r="E1225" i="1" l="1"/>
  <c r="C1225" i="1"/>
  <c r="D1216" i="3" s="1"/>
  <c r="K1225" i="1"/>
  <c r="N1225" i="1"/>
  <c r="H1225" i="1"/>
  <c r="L1225" i="1" l="1"/>
  <c r="M1225" i="1" s="1"/>
  <c r="O1225" i="1"/>
  <c r="P1225" i="1" s="1"/>
  <c r="I1225" i="1"/>
  <c r="J1225" i="1" l="1"/>
  <c r="F1225" i="1" s="1"/>
  <c r="B1226" i="1" l="1"/>
  <c r="C1217" i="3" s="1"/>
  <c r="D1226" i="1"/>
  <c r="G1225" i="1"/>
  <c r="E1226" i="1" l="1"/>
  <c r="C1226" i="1"/>
  <c r="D1217" i="3" s="1"/>
  <c r="N1226" i="1"/>
  <c r="H1226" i="1"/>
  <c r="K1226" i="1"/>
  <c r="L1226" i="1" l="1"/>
  <c r="M1226" i="1" s="1"/>
  <c r="O1226" i="1"/>
  <c r="P1226" i="1" s="1"/>
  <c r="I1226" i="1"/>
  <c r="J1226" i="1" l="1"/>
  <c r="F1226" i="1" s="1"/>
  <c r="D1227" i="1" l="1"/>
  <c r="B1227" i="1"/>
  <c r="C1218" i="3" s="1"/>
  <c r="G1226" i="1"/>
  <c r="E1227" i="1" l="1"/>
  <c r="C1227" i="1"/>
  <c r="D1218" i="3" s="1"/>
  <c r="N1227" i="1"/>
  <c r="H1227" i="1"/>
  <c r="K1227" i="1"/>
  <c r="O1227" i="1" l="1"/>
  <c r="P1227" i="1" s="1"/>
  <c r="I1227" i="1"/>
  <c r="L1227" i="1"/>
  <c r="M1227" i="1" s="1"/>
  <c r="J1227" i="1" l="1"/>
  <c r="F1227" i="1" s="1"/>
  <c r="D1228" i="1" l="1"/>
  <c r="B1228" i="1"/>
  <c r="C1219" i="3" s="1"/>
  <c r="G1227" i="1"/>
  <c r="E1228" i="1" l="1"/>
  <c r="C1228" i="1"/>
  <c r="D1219" i="3" s="1"/>
  <c r="N1228" i="1"/>
  <c r="H1228" i="1"/>
  <c r="K1228" i="1"/>
  <c r="O1228" i="1" l="1"/>
  <c r="P1228" i="1" s="1"/>
  <c r="I1228" i="1"/>
  <c r="L1228" i="1"/>
  <c r="M1228" i="1" s="1"/>
  <c r="J1228" i="1" l="1"/>
  <c r="F1228" i="1" s="1"/>
  <c r="D1229" i="1" l="1"/>
  <c r="B1229" i="1"/>
  <c r="C1220" i="3" s="1"/>
  <c r="G1228" i="1"/>
  <c r="E1229" i="1" l="1"/>
  <c r="C1229" i="1"/>
  <c r="D1220" i="3" s="1"/>
  <c r="H1229" i="1"/>
  <c r="K1229" i="1"/>
  <c r="N1229" i="1"/>
  <c r="O1229" i="1" l="1"/>
  <c r="P1229" i="1" s="1"/>
  <c r="I1229" i="1"/>
  <c r="L1229" i="1"/>
  <c r="M1229" i="1" s="1"/>
  <c r="J1229" i="1" l="1"/>
  <c r="F1229" i="1" s="1"/>
  <c r="B1230" i="1" l="1"/>
  <c r="C1221" i="3" s="1"/>
  <c r="D1230" i="1"/>
  <c r="G1229" i="1"/>
  <c r="E1230" i="1" l="1"/>
  <c r="C1230" i="1"/>
  <c r="D1221" i="3" s="1"/>
  <c r="H1230" i="1"/>
  <c r="K1230" i="1"/>
  <c r="N1230" i="1"/>
  <c r="I1230" i="1" l="1"/>
  <c r="L1230" i="1"/>
  <c r="M1230" i="1" s="1"/>
  <c r="O1230" i="1"/>
  <c r="P1230" i="1" s="1"/>
  <c r="J1230" i="1" l="1"/>
  <c r="F1230" i="1" s="1"/>
  <c r="B1231" i="1" l="1"/>
  <c r="C1222" i="3" s="1"/>
  <c r="D1231" i="1"/>
  <c r="G1230" i="1"/>
  <c r="E1231" i="1" l="1"/>
  <c r="C1231" i="1"/>
  <c r="D1222" i="3" s="1"/>
  <c r="K1231" i="1"/>
  <c r="N1231" i="1"/>
  <c r="H1231" i="1"/>
  <c r="I1231" i="1" l="1"/>
  <c r="L1231" i="1"/>
  <c r="M1231" i="1" s="1"/>
  <c r="O1231" i="1"/>
  <c r="P1231" i="1" s="1"/>
  <c r="J1231" i="1" l="1"/>
  <c r="F1231" i="1" s="1"/>
  <c r="B1232" i="1" l="1"/>
  <c r="C1223" i="3" s="1"/>
  <c r="D1232" i="1"/>
  <c r="G1231" i="1"/>
  <c r="E1232" i="1" l="1"/>
  <c r="C1232" i="1"/>
  <c r="D1223" i="3" s="1"/>
  <c r="K1232" i="1"/>
  <c r="N1232" i="1"/>
  <c r="H1232" i="1"/>
  <c r="L1232" i="1" l="1"/>
  <c r="M1232" i="1" s="1"/>
  <c r="O1232" i="1"/>
  <c r="P1232" i="1" s="1"/>
  <c r="I1232" i="1"/>
  <c r="J1232" i="1" l="1"/>
  <c r="F1232" i="1" s="1"/>
  <c r="D1233" i="1" l="1"/>
  <c r="B1233" i="1"/>
  <c r="C1224" i="3" s="1"/>
  <c r="G1232" i="1"/>
  <c r="E1233" i="1" l="1"/>
  <c r="C1233" i="1"/>
  <c r="D1224" i="3" s="1"/>
  <c r="K1233" i="1"/>
  <c r="N1233" i="1"/>
  <c r="H1233" i="1"/>
  <c r="L1233" i="1" l="1"/>
  <c r="M1233" i="1" s="1"/>
  <c r="O1233" i="1"/>
  <c r="P1233" i="1" s="1"/>
  <c r="I1233" i="1"/>
  <c r="J1233" i="1" l="1"/>
  <c r="F1233" i="1" s="1"/>
  <c r="B1234" i="1" l="1"/>
  <c r="C1225" i="3" s="1"/>
  <c r="D1234" i="1"/>
  <c r="G1233" i="1"/>
  <c r="E1234" i="1" l="1"/>
  <c r="C1234" i="1"/>
  <c r="D1225" i="3" s="1"/>
  <c r="N1234" i="1"/>
  <c r="H1234" i="1"/>
  <c r="K1234" i="1"/>
  <c r="L1234" i="1" l="1"/>
  <c r="M1234" i="1" s="1"/>
  <c r="O1234" i="1"/>
  <c r="P1234" i="1" s="1"/>
  <c r="I1234" i="1"/>
  <c r="J1234" i="1" l="1"/>
  <c r="F1234" i="1" s="1"/>
  <c r="D1235" i="1" l="1"/>
  <c r="B1235" i="1"/>
  <c r="C1226" i="3" s="1"/>
  <c r="G1234" i="1"/>
  <c r="E1235" i="1" l="1"/>
  <c r="C1235" i="1"/>
  <c r="D1226" i="3" s="1"/>
  <c r="N1235" i="1"/>
  <c r="H1235" i="1"/>
  <c r="K1235" i="1"/>
  <c r="O1235" i="1" l="1"/>
  <c r="P1235" i="1" s="1"/>
  <c r="I1235" i="1"/>
  <c r="L1235" i="1"/>
  <c r="M1235" i="1" s="1"/>
  <c r="J1235" i="1" l="1"/>
  <c r="F1235" i="1" s="1"/>
  <c r="D1236" i="1" l="1"/>
  <c r="B1236" i="1"/>
  <c r="C1227" i="3" s="1"/>
  <c r="G1235" i="1"/>
  <c r="E1236" i="1" l="1"/>
  <c r="C1236" i="1"/>
  <c r="D1227" i="3" s="1"/>
  <c r="N1236" i="1"/>
  <c r="H1236" i="1"/>
  <c r="K1236" i="1"/>
  <c r="O1236" i="1" l="1"/>
  <c r="P1236" i="1" s="1"/>
  <c r="I1236" i="1"/>
  <c r="L1236" i="1"/>
  <c r="M1236" i="1" s="1"/>
  <c r="J1236" i="1" l="1"/>
  <c r="F1236" i="1" s="1"/>
  <c r="D1237" i="1" l="1"/>
  <c r="B1237" i="1"/>
  <c r="C1228" i="3" s="1"/>
  <c r="G1236" i="1"/>
  <c r="E1237" i="1" l="1"/>
  <c r="C1237" i="1"/>
  <c r="D1228" i="3" s="1"/>
  <c r="H1237" i="1"/>
  <c r="K1237" i="1"/>
  <c r="N1237" i="1"/>
  <c r="O1237" i="1" l="1"/>
  <c r="P1237" i="1" s="1"/>
  <c r="I1237" i="1"/>
  <c r="L1237" i="1"/>
  <c r="M1237" i="1" s="1"/>
  <c r="J1237" i="1" l="1"/>
  <c r="F1237" i="1" s="1"/>
  <c r="B1238" i="1" l="1"/>
  <c r="C1229" i="3" s="1"/>
  <c r="D1238" i="1"/>
  <c r="G1237" i="1"/>
  <c r="E1238" i="1" l="1"/>
  <c r="C1238" i="1"/>
  <c r="D1229" i="3" s="1"/>
  <c r="H1238" i="1"/>
  <c r="K1238" i="1"/>
  <c r="N1238" i="1"/>
  <c r="I1238" i="1" l="1"/>
  <c r="L1238" i="1"/>
  <c r="M1238" i="1" s="1"/>
  <c r="O1238" i="1"/>
  <c r="P1238" i="1" s="1"/>
  <c r="J1238" i="1" l="1"/>
  <c r="F1238" i="1" s="1"/>
  <c r="D1239" i="1" l="1"/>
  <c r="B1239" i="1"/>
  <c r="C1230" i="3" s="1"/>
  <c r="G1238" i="1"/>
  <c r="E1239" i="1" l="1"/>
  <c r="C1239" i="1"/>
  <c r="D1230" i="3" s="1"/>
  <c r="K1239" i="1"/>
  <c r="N1239" i="1"/>
  <c r="H1239" i="1"/>
  <c r="I1239" i="1" l="1"/>
  <c r="L1239" i="1"/>
  <c r="M1239" i="1" s="1"/>
  <c r="O1239" i="1"/>
  <c r="P1239" i="1" s="1"/>
  <c r="J1239" i="1" l="1"/>
  <c r="F1239" i="1" s="1"/>
  <c r="B1240" i="1" l="1"/>
  <c r="C1231" i="3" s="1"/>
  <c r="D1240" i="1"/>
  <c r="G1239" i="1"/>
  <c r="E1240" i="1" l="1"/>
  <c r="C1240" i="1"/>
  <c r="D1231" i="3" s="1"/>
  <c r="K1240" i="1"/>
  <c r="N1240" i="1"/>
  <c r="H1240" i="1"/>
  <c r="L1240" i="1" l="1"/>
  <c r="M1240" i="1" s="1"/>
  <c r="O1240" i="1"/>
  <c r="P1240" i="1" s="1"/>
  <c r="I1240" i="1"/>
  <c r="J1240" i="1" l="1"/>
  <c r="F1240" i="1" s="1"/>
  <c r="D1241" i="1" l="1"/>
  <c r="B1241" i="1"/>
  <c r="C1232" i="3" s="1"/>
  <c r="G1240" i="1"/>
  <c r="E1241" i="1" l="1"/>
  <c r="C1241" i="1"/>
  <c r="D1232" i="3" s="1"/>
  <c r="K1241" i="1"/>
  <c r="N1241" i="1"/>
  <c r="H1241" i="1"/>
  <c r="L1241" i="1" l="1"/>
  <c r="M1241" i="1" s="1"/>
  <c r="O1241" i="1"/>
  <c r="P1241" i="1" s="1"/>
  <c r="I1241" i="1"/>
  <c r="J1241" i="1" l="1"/>
  <c r="F1241" i="1" s="1"/>
  <c r="B1242" i="1" l="1"/>
  <c r="C1233" i="3" s="1"/>
  <c r="D1242" i="1"/>
  <c r="G1241" i="1"/>
  <c r="E1242" i="1" l="1"/>
  <c r="C1242" i="1"/>
  <c r="D1233" i="3" s="1"/>
  <c r="N1242" i="1"/>
  <c r="H1242" i="1"/>
  <c r="K1242" i="1"/>
  <c r="L1242" i="1" l="1"/>
  <c r="M1242" i="1" s="1"/>
  <c r="O1242" i="1"/>
  <c r="P1242" i="1" s="1"/>
  <c r="I1242" i="1"/>
  <c r="J1242" i="1" l="1"/>
  <c r="F1242" i="1" s="1"/>
  <c r="D1243" i="1" l="1"/>
  <c r="B1243" i="1"/>
  <c r="C1234" i="3" s="1"/>
  <c r="G1242" i="1"/>
  <c r="E1243" i="1" l="1"/>
  <c r="C1243" i="1"/>
  <c r="D1234" i="3" s="1"/>
  <c r="N1243" i="1"/>
  <c r="H1243" i="1"/>
  <c r="K1243" i="1"/>
  <c r="O1243" i="1" l="1"/>
  <c r="P1243" i="1" s="1"/>
  <c r="I1243" i="1"/>
  <c r="L1243" i="1"/>
  <c r="M1243" i="1" s="1"/>
  <c r="J1243" i="1" l="1"/>
  <c r="F1243" i="1" s="1"/>
  <c r="D1244" i="1" l="1"/>
  <c r="B1244" i="1"/>
  <c r="C1235" i="3" s="1"/>
  <c r="G1243" i="1"/>
  <c r="E1244" i="1" l="1"/>
  <c r="C1244" i="1"/>
  <c r="D1235" i="3" s="1"/>
  <c r="N1244" i="1"/>
  <c r="H1244" i="1"/>
  <c r="K1244" i="1"/>
  <c r="O1244" i="1" l="1"/>
  <c r="P1244" i="1" s="1"/>
  <c r="I1244" i="1"/>
  <c r="L1244" i="1"/>
  <c r="M1244" i="1" s="1"/>
  <c r="J1244" i="1" l="1"/>
  <c r="F1244" i="1" s="1"/>
  <c r="B1245" i="1" l="1"/>
  <c r="C1236" i="3" s="1"/>
  <c r="D1245" i="1"/>
  <c r="G1244" i="1"/>
  <c r="E1245" i="1" l="1"/>
  <c r="C1245" i="1"/>
  <c r="D1236" i="3" s="1"/>
  <c r="H1245" i="1"/>
  <c r="K1245" i="1"/>
  <c r="N1245" i="1"/>
  <c r="O1245" i="1" l="1"/>
  <c r="P1245" i="1" s="1"/>
  <c r="I1245" i="1"/>
  <c r="L1245" i="1"/>
  <c r="M1245" i="1" s="1"/>
  <c r="J1245" i="1" l="1"/>
  <c r="F1245" i="1" s="1"/>
  <c r="D1246" i="1" l="1"/>
  <c r="B1246" i="1"/>
  <c r="C1237" i="3" s="1"/>
  <c r="G1245" i="1"/>
  <c r="E1246" i="1" l="1"/>
  <c r="C1246" i="1"/>
  <c r="D1237" i="3" s="1"/>
  <c r="H1246" i="1"/>
  <c r="K1246" i="1"/>
  <c r="N1246" i="1"/>
  <c r="I1246" i="1" l="1"/>
  <c r="L1246" i="1"/>
  <c r="M1246" i="1" s="1"/>
  <c r="O1246" i="1"/>
  <c r="P1246" i="1" s="1"/>
  <c r="J1246" i="1" l="1"/>
  <c r="F1246" i="1" s="1"/>
  <c r="B1247" i="1" l="1"/>
  <c r="C1238" i="3" s="1"/>
  <c r="D1247" i="1"/>
  <c r="G1246" i="1"/>
  <c r="E1247" i="1" l="1"/>
  <c r="C1247" i="1"/>
  <c r="D1238" i="3" s="1"/>
  <c r="K1247" i="1"/>
  <c r="N1247" i="1"/>
  <c r="H1247" i="1"/>
  <c r="I1247" i="1" l="1"/>
  <c r="L1247" i="1"/>
  <c r="M1247" i="1" s="1"/>
  <c r="O1247" i="1"/>
  <c r="P1247" i="1" s="1"/>
  <c r="J1247" i="1" l="1"/>
  <c r="F1247" i="1" s="1"/>
  <c r="B1248" i="1" l="1"/>
  <c r="C1239" i="3" s="1"/>
  <c r="D1248" i="1"/>
  <c r="G1247" i="1"/>
  <c r="E1248" i="1" l="1"/>
  <c r="C1248" i="1"/>
  <c r="D1239" i="3" s="1"/>
  <c r="K1248" i="1"/>
  <c r="N1248" i="1"/>
  <c r="H1248" i="1"/>
  <c r="L1248" i="1" l="1"/>
  <c r="M1248" i="1" s="1"/>
  <c r="O1248" i="1"/>
  <c r="P1248" i="1" s="1"/>
  <c r="I1248" i="1"/>
  <c r="J1248" i="1" l="1"/>
  <c r="F1248" i="1" s="1"/>
  <c r="D1249" i="1" l="1"/>
  <c r="B1249" i="1"/>
  <c r="C1240" i="3" s="1"/>
  <c r="G1248" i="1"/>
  <c r="E1249" i="1" l="1"/>
  <c r="C1249" i="1"/>
  <c r="D1240" i="3" s="1"/>
  <c r="K1249" i="1"/>
  <c r="N1249" i="1"/>
  <c r="H1249" i="1"/>
  <c r="L1249" i="1" l="1"/>
  <c r="M1249" i="1" s="1"/>
  <c r="O1249" i="1"/>
  <c r="P1249" i="1" s="1"/>
  <c r="I1249" i="1"/>
  <c r="J1249" i="1" l="1"/>
  <c r="F1249" i="1" s="1"/>
  <c r="G1249" i="1" l="1"/>
  <c r="E1250" i="1" s="1"/>
  <c r="B1250" i="1"/>
  <c r="C1241" i="3" s="1"/>
  <c r="D1250" i="1"/>
  <c r="C1250" i="1" l="1"/>
  <c r="N1250" i="1"/>
  <c r="H1250" i="1"/>
  <c r="K1250" i="1"/>
  <c r="L1250" i="1" l="1"/>
  <c r="M1250" i="1" s="1"/>
  <c r="D1241" i="3"/>
  <c r="O1250" i="1"/>
  <c r="P1250" i="1" s="1"/>
  <c r="I1250" i="1"/>
  <c r="J1250" i="1" s="1"/>
  <c r="F1250" i="1" l="1"/>
  <c r="D1251" i="1" s="1"/>
  <c r="G1250" i="1"/>
  <c r="E1251" i="1" s="1"/>
  <c r="B1251" i="1" l="1"/>
  <c r="C1251" i="1"/>
  <c r="O1251" i="1" l="1"/>
  <c r="D1242" i="3"/>
  <c r="N1251" i="1"/>
  <c r="C1242" i="3"/>
  <c r="K1251" i="1"/>
  <c r="H1251" i="1"/>
  <c r="L1251" i="1"/>
  <c r="I1251" i="1"/>
  <c r="P1251" i="1" l="1"/>
  <c r="J1251" i="1"/>
  <c r="M1251" i="1"/>
  <c r="G1251" i="1" l="1"/>
  <c r="E1252" i="1" s="1"/>
  <c r="F1251" i="1"/>
  <c r="D1252" i="1" s="1"/>
  <c r="C1252" i="1" l="1"/>
  <c r="B1252" i="1"/>
  <c r="C1243" i="3" s="1"/>
  <c r="D1243" i="3" l="1"/>
  <c r="L1252" i="1"/>
  <c r="O1252" i="1"/>
  <c r="I1252" i="1"/>
  <c r="K1252" i="1"/>
  <c r="M1252" i="1" s="1"/>
  <c r="N1252" i="1"/>
  <c r="P1252" i="1" s="1"/>
  <c r="H1252" i="1"/>
  <c r="J1252" i="1" s="1"/>
  <c r="G1252" i="1" l="1"/>
  <c r="C1253" i="1" s="1"/>
  <c r="F1252" i="1"/>
  <c r="D1253" i="1" s="1"/>
  <c r="L1253" i="1" l="1"/>
  <c r="D1244" i="3"/>
  <c r="I1253" i="1"/>
  <c r="O1253" i="1"/>
  <c r="E1253" i="1"/>
  <c r="B1253" i="1"/>
  <c r="H1253" i="1" l="1"/>
  <c r="J1253" i="1" s="1"/>
  <c r="C1244" i="3"/>
  <c r="N1253" i="1"/>
  <c r="P1253" i="1" s="1"/>
  <c r="K1253" i="1"/>
  <c r="M1253" i="1" s="1"/>
  <c r="G1253" i="1" l="1"/>
  <c r="C1254" i="1" s="1"/>
  <c r="D1245" i="3" s="1"/>
  <c r="F1253" i="1"/>
  <c r="E1254" i="1" l="1"/>
  <c r="I1254" i="1"/>
  <c r="L1254" i="1"/>
  <c r="O1254" i="1"/>
  <c r="B1254" i="1"/>
  <c r="C1245" i="3" s="1"/>
  <c r="D1254" i="1"/>
  <c r="H1254" i="1" l="1"/>
  <c r="K1254" i="1"/>
  <c r="M1254" i="1" s="1"/>
  <c r="N1254" i="1"/>
  <c r="P1254" i="1" s="1"/>
  <c r="J1254" i="1" l="1"/>
  <c r="G1254" i="1" s="1"/>
  <c r="C1255" i="1" l="1"/>
  <c r="D1246" i="3" s="1"/>
  <c r="E1255" i="1"/>
  <c r="F1254" i="1"/>
  <c r="I1255" i="1" l="1"/>
  <c r="L1255" i="1"/>
  <c r="O1255" i="1"/>
  <c r="B1255" i="1"/>
  <c r="C1246" i="3" s="1"/>
  <c r="D1255" i="1"/>
  <c r="K1255" i="1" l="1"/>
  <c r="M1255" i="1" s="1"/>
  <c r="N1255" i="1"/>
  <c r="P1255" i="1" s="1"/>
  <c r="H1255" i="1"/>
  <c r="J1255" i="1" l="1"/>
  <c r="G1255" i="1" s="1"/>
  <c r="C1256" i="1" l="1"/>
  <c r="D1247" i="3" s="1"/>
  <c r="E1256" i="1"/>
  <c r="F1255" i="1"/>
  <c r="L1256" i="1" l="1"/>
  <c r="O1256" i="1"/>
  <c r="I1256" i="1"/>
  <c r="B1256" i="1"/>
  <c r="C1247" i="3" s="1"/>
  <c r="D1256" i="1"/>
  <c r="K1256" i="1" l="1"/>
  <c r="M1256" i="1" s="1"/>
  <c r="N1256" i="1"/>
  <c r="P1256" i="1" s="1"/>
  <c r="H1256" i="1"/>
  <c r="J1256" i="1" l="1"/>
  <c r="G1256" i="1" s="1"/>
  <c r="C1257" i="1" l="1"/>
  <c r="D1248" i="3" s="1"/>
  <c r="E1257" i="1"/>
  <c r="F1256" i="1"/>
  <c r="L1257" i="1" l="1"/>
  <c r="O1257" i="1"/>
  <c r="I1257" i="1"/>
  <c r="D1257" i="1"/>
  <c r="B1257" i="1"/>
  <c r="C1248" i="3" s="1"/>
  <c r="K1257" i="1" l="1"/>
  <c r="M1257" i="1" s="1"/>
  <c r="N1257" i="1"/>
  <c r="P1257" i="1" s="1"/>
  <c r="H1257" i="1"/>
  <c r="J1257" i="1" l="1"/>
  <c r="G1257" i="1" s="1"/>
  <c r="F1257" i="1" l="1"/>
  <c r="B1258" i="1" s="1"/>
  <c r="C1249" i="3" s="1"/>
  <c r="C1258" i="1"/>
  <c r="D1249" i="3" s="1"/>
  <c r="E1258" i="1"/>
  <c r="D1258" i="1" l="1"/>
  <c r="N1258" i="1"/>
  <c r="H1258" i="1"/>
  <c r="K1258" i="1"/>
  <c r="L1258" i="1"/>
  <c r="O1258" i="1"/>
  <c r="I1258" i="1"/>
  <c r="J1258" i="1" l="1"/>
  <c r="M1258" i="1"/>
  <c r="P1258" i="1"/>
  <c r="G1258" i="1" l="1"/>
  <c r="C1259" i="1" s="1"/>
  <c r="D1250" i="3" s="1"/>
  <c r="F1258" i="1"/>
  <c r="D1259" i="1" s="1"/>
  <c r="E1259" i="1" l="1"/>
  <c r="B1259" i="1"/>
  <c r="O1259" i="1"/>
  <c r="I1259" i="1"/>
  <c r="L1259" i="1"/>
  <c r="N1259" i="1" l="1"/>
  <c r="P1259" i="1" s="1"/>
  <c r="C1250" i="3"/>
  <c r="K1259" i="1"/>
  <c r="M1259" i="1" s="1"/>
  <c r="H1259" i="1"/>
  <c r="J1259" i="1" s="1"/>
  <c r="G1259" i="1" l="1"/>
  <c r="E1260" i="1" s="1"/>
  <c r="F1259" i="1"/>
  <c r="B1260" i="1" s="1"/>
  <c r="C1251" i="3" s="1"/>
  <c r="C1260" i="1" l="1"/>
  <c r="D1260" i="1"/>
  <c r="N1260" i="1"/>
  <c r="H1260" i="1"/>
  <c r="K1260" i="1"/>
  <c r="O1260" i="1" l="1"/>
  <c r="P1260" i="1" s="1"/>
  <c r="D1251" i="3"/>
  <c r="I1260" i="1"/>
  <c r="J1260" i="1" s="1"/>
  <c r="L1260" i="1"/>
  <c r="M1260" i="1" s="1"/>
  <c r="G1260" i="1" l="1"/>
  <c r="E1261" i="1" s="1"/>
  <c r="F1260" i="1"/>
  <c r="C1261" i="1" l="1"/>
  <c r="B1261" i="1"/>
  <c r="C1252" i="3" s="1"/>
  <c r="D1261" i="1"/>
  <c r="O1261" i="1" l="1"/>
  <c r="D1252" i="3"/>
  <c r="L1261" i="1"/>
  <c r="I1261" i="1"/>
  <c r="H1261" i="1"/>
  <c r="K1261" i="1"/>
  <c r="N1261" i="1"/>
  <c r="P1261" i="1" l="1"/>
  <c r="M1261" i="1"/>
  <c r="J1261" i="1"/>
  <c r="G1261" i="1" l="1"/>
  <c r="E1262" i="1" s="1"/>
  <c r="F1261" i="1"/>
  <c r="C1262" i="1" l="1"/>
  <c r="D1262" i="1"/>
  <c r="B1262" i="1"/>
  <c r="C1253" i="3" s="1"/>
  <c r="I1262" i="1" l="1"/>
  <c r="D1253" i="3"/>
  <c r="L1262" i="1"/>
  <c r="O1262" i="1"/>
  <c r="H1262" i="1"/>
  <c r="K1262" i="1"/>
  <c r="N1262" i="1"/>
  <c r="P1262" i="1" l="1"/>
  <c r="M1262" i="1"/>
  <c r="J1262" i="1"/>
  <c r="G1262" i="1" l="1"/>
  <c r="E1263" i="1" s="1"/>
  <c r="F1262" i="1"/>
  <c r="C1263" i="1" l="1"/>
  <c r="B1263" i="1"/>
  <c r="C1254" i="3" s="1"/>
  <c r="D1263" i="1"/>
  <c r="I1263" i="1" l="1"/>
  <c r="D1254" i="3"/>
  <c r="L1263" i="1"/>
  <c r="O1263" i="1"/>
  <c r="K1263" i="1"/>
  <c r="N1263" i="1"/>
  <c r="H1263" i="1"/>
  <c r="P1263" i="1" l="1"/>
  <c r="M1263" i="1"/>
  <c r="J1263" i="1"/>
  <c r="G1263" i="1" l="1"/>
  <c r="E1264" i="1" s="1"/>
  <c r="F1263" i="1"/>
  <c r="C1264" i="1" l="1"/>
  <c r="B1264" i="1"/>
  <c r="C1255" i="3" s="1"/>
  <c r="D1264" i="1"/>
  <c r="L1264" i="1" l="1"/>
  <c r="D1255" i="3"/>
  <c r="I1264" i="1"/>
  <c r="O1264" i="1"/>
  <c r="K1264" i="1"/>
  <c r="N1264" i="1"/>
  <c r="H1264" i="1"/>
  <c r="P1264" i="1" l="1"/>
  <c r="M1264" i="1"/>
  <c r="J1264" i="1"/>
  <c r="G1264" i="1" l="1"/>
  <c r="E1265" i="1" s="1"/>
  <c r="F1264" i="1"/>
  <c r="C1265" i="1" l="1"/>
  <c r="D1256" i="3" s="1"/>
  <c r="B1265" i="1"/>
  <c r="C1256" i="3" s="1"/>
  <c r="D1265" i="1"/>
  <c r="L1265" i="1" l="1"/>
  <c r="I1265" i="1"/>
  <c r="O1265" i="1"/>
  <c r="N1265" i="1"/>
  <c r="H1265" i="1"/>
  <c r="K1265" i="1"/>
  <c r="M1265" i="1" l="1"/>
  <c r="P1265" i="1"/>
  <c r="J1265" i="1"/>
  <c r="G1265" i="1" l="1"/>
  <c r="C1266" i="1" s="1"/>
  <c r="D1257" i="3" s="1"/>
  <c r="F1265" i="1"/>
  <c r="D1266" i="1" s="1"/>
  <c r="E1266" i="1" l="1"/>
  <c r="B1266" i="1"/>
  <c r="O1266" i="1"/>
  <c r="I1266" i="1"/>
  <c r="L1266" i="1"/>
  <c r="N1266" i="1" l="1"/>
  <c r="P1266" i="1" s="1"/>
  <c r="C1257" i="3"/>
  <c r="H1266" i="1"/>
  <c r="J1266" i="1" s="1"/>
  <c r="K1266" i="1"/>
  <c r="M1266" i="1" s="1"/>
  <c r="F1266" i="1" l="1"/>
  <c r="B1267" i="1" s="1"/>
  <c r="C1258" i="3" s="1"/>
  <c r="G1266" i="1"/>
  <c r="E1267" i="1" s="1"/>
  <c r="D1267" i="1" l="1"/>
  <c r="C1267" i="1"/>
  <c r="N1267" i="1"/>
  <c r="H1267" i="1"/>
  <c r="K1267" i="1"/>
  <c r="O1267" i="1" l="1"/>
  <c r="P1267" i="1" s="1"/>
  <c r="D1258" i="3"/>
  <c r="I1267" i="1"/>
  <c r="J1267" i="1" s="1"/>
  <c r="L1267" i="1"/>
  <c r="M1267" i="1" s="1"/>
  <c r="F1267" i="1" l="1"/>
  <c r="D1268" i="1" s="1"/>
  <c r="G1267" i="1"/>
  <c r="E1268" i="1" s="1"/>
  <c r="C1268" i="1" l="1"/>
  <c r="B1268" i="1"/>
  <c r="H1268" i="1" l="1"/>
  <c r="C1259" i="3"/>
  <c r="O1268" i="1"/>
  <c r="D1259" i="3"/>
  <c r="I1268" i="1"/>
  <c r="L1268" i="1"/>
  <c r="N1268" i="1"/>
  <c r="P1268" i="1" s="1"/>
  <c r="K1268" i="1"/>
  <c r="M1268" i="1" l="1"/>
  <c r="J1268" i="1"/>
  <c r="F1268" i="1" l="1"/>
  <c r="B1269" i="1" s="1"/>
  <c r="C1260" i="3" s="1"/>
  <c r="G1268" i="1"/>
  <c r="E1269" i="1" s="1"/>
  <c r="N1269" i="1" l="1"/>
  <c r="D1269" i="1"/>
  <c r="K1269" i="1"/>
  <c r="H1269" i="1"/>
  <c r="C1269" i="1"/>
  <c r="D1260" i="3" l="1"/>
  <c r="L1269" i="1"/>
  <c r="M1269" i="1" s="1"/>
  <c r="O1269" i="1"/>
  <c r="P1269" i="1" s="1"/>
  <c r="I1269" i="1"/>
  <c r="J1269" i="1" s="1"/>
  <c r="F1269" i="1" s="1"/>
  <c r="D1270" i="1" s="1"/>
  <c r="G1269" i="1" l="1"/>
  <c r="E1270" i="1" s="1"/>
  <c r="B1270" i="1"/>
  <c r="C1270" i="1" l="1"/>
  <c r="I1270" i="1" s="1"/>
  <c r="K1270" i="1"/>
  <c r="C1261" i="3"/>
  <c r="N1270" i="1"/>
  <c r="H1270" i="1"/>
  <c r="L1270" i="1" l="1"/>
  <c r="M1270" i="1" s="1"/>
  <c r="O1270" i="1"/>
  <c r="D1261" i="3"/>
  <c r="J1270" i="1"/>
  <c r="P1270" i="1"/>
  <c r="F1270" i="1" l="1"/>
  <c r="B1271" i="1" s="1"/>
  <c r="G1270" i="1"/>
  <c r="E1271" i="1" s="1"/>
  <c r="D1271" i="1" l="1"/>
  <c r="N1271" i="1"/>
  <c r="C1262" i="3"/>
  <c r="C1271" i="1"/>
  <c r="K1271" i="1"/>
  <c r="H1271" i="1"/>
  <c r="L1271" i="1" l="1"/>
  <c r="M1271" i="1" s="1"/>
  <c r="D1262" i="3"/>
  <c r="I1271" i="1"/>
  <c r="J1271" i="1" s="1"/>
  <c r="O1271" i="1"/>
  <c r="P1271" i="1" s="1"/>
  <c r="F1271" i="1" l="1"/>
  <c r="D1272" i="1" s="1"/>
  <c r="G1271" i="1"/>
  <c r="E1272" i="1" s="1"/>
  <c r="B1272" i="1" l="1"/>
  <c r="C1272" i="1"/>
  <c r="L1272" i="1" l="1"/>
  <c r="D1263" i="3"/>
  <c r="K1272" i="1"/>
  <c r="C1263" i="3"/>
  <c r="N1272" i="1"/>
  <c r="H1272" i="1"/>
  <c r="O1272" i="1"/>
  <c r="I1272" i="1"/>
  <c r="M1272" i="1" l="1"/>
  <c r="J1272" i="1"/>
  <c r="P1272" i="1"/>
  <c r="F1272" i="1" l="1"/>
  <c r="B1273" i="1" s="1"/>
  <c r="C1264" i="3" s="1"/>
  <c r="G1272" i="1"/>
  <c r="E1273" i="1" s="1"/>
  <c r="H1273" i="1" l="1"/>
  <c r="K1273" i="1"/>
  <c r="N1273" i="1"/>
  <c r="D1273" i="1"/>
  <c r="C1273" i="1"/>
  <c r="L1273" i="1" l="1"/>
  <c r="M1273" i="1" s="1"/>
  <c r="D1264" i="3"/>
  <c r="O1273" i="1"/>
  <c r="P1273" i="1" s="1"/>
  <c r="I1273" i="1"/>
  <c r="J1273" i="1" s="1"/>
  <c r="F1273" i="1" l="1"/>
  <c r="B1274" i="1" s="1"/>
  <c r="G1273" i="1"/>
  <c r="E1274" i="1" s="1"/>
  <c r="N1274" i="1" l="1"/>
  <c r="C1265" i="3"/>
  <c r="H1274" i="1"/>
  <c r="C1274" i="1"/>
  <c r="D1265" i="3" s="1"/>
  <c r="K1274" i="1"/>
  <c r="D1274" i="1"/>
  <c r="I1274" i="1" l="1"/>
  <c r="J1274" i="1" s="1"/>
  <c r="O1274" i="1"/>
  <c r="P1274" i="1" s="1"/>
  <c r="L1274" i="1"/>
  <c r="M1274" i="1" s="1"/>
  <c r="F1274" i="1" l="1"/>
  <c r="B1275" i="1" s="1"/>
  <c r="C1266" i="3" s="1"/>
  <c r="G1274" i="1"/>
  <c r="C1275" i="1" s="1"/>
  <c r="D1266" i="3" s="1"/>
  <c r="D1275" i="1" l="1"/>
  <c r="E1275" i="1"/>
  <c r="N1275" i="1"/>
  <c r="H1275" i="1"/>
  <c r="K1275" i="1"/>
  <c r="O1275" i="1"/>
  <c r="L1275" i="1"/>
  <c r="I1275" i="1"/>
  <c r="J1275" i="1" l="1"/>
  <c r="M1275" i="1"/>
  <c r="P1275" i="1"/>
  <c r="F1275" i="1" l="1"/>
  <c r="D1276" i="1" s="1"/>
  <c r="G1275" i="1"/>
  <c r="C1276" i="1" s="1"/>
  <c r="D1267" i="3" s="1"/>
  <c r="B1276" i="1" l="1"/>
  <c r="E1276" i="1"/>
  <c r="O1276" i="1"/>
  <c r="I1276" i="1"/>
  <c r="L1276" i="1"/>
  <c r="H1276" i="1" l="1"/>
  <c r="J1276" i="1" s="1"/>
  <c r="C1267" i="3"/>
  <c r="K1276" i="1"/>
  <c r="M1276" i="1" s="1"/>
  <c r="N1276" i="1"/>
  <c r="P1276" i="1" s="1"/>
  <c r="G1276" i="1" l="1"/>
  <c r="E1277" i="1" s="1"/>
  <c r="F1276" i="1"/>
  <c r="D1277" i="1" s="1"/>
  <c r="C1277" i="1" l="1"/>
  <c r="B1277" i="1"/>
  <c r="H1277" i="1" l="1"/>
  <c r="C1268" i="3"/>
  <c r="L1277" i="1"/>
  <c r="D1268" i="3"/>
  <c r="O1277" i="1"/>
  <c r="I1277" i="1"/>
  <c r="K1277" i="1"/>
  <c r="M1277" i="1" s="1"/>
  <c r="N1277" i="1"/>
  <c r="J1277" i="1" l="1"/>
  <c r="P1277" i="1"/>
  <c r="F1277" i="1" l="1"/>
  <c r="B1278" i="1" s="1"/>
  <c r="C1269" i="3" s="1"/>
  <c r="G1277" i="1"/>
  <c r="E1278" i="1" s="1"/>
  <c r="H1278" i="1" l="1"/>
  <c r="N1278" i="1"/>
  <c r="K1278" i="1"/>
  <c r="D1278" i="1"/>
  <c r="C1278" i="1"/>
  <c r="I1278" i="1" l="1"/>
  <c r="J1278" i="1" s="1"/>
  <c r="D1269" i="3"/>
  <c r="L1278" i="1"/>
  <c r="M1278" i="1" s="1"/>
  <c r="O1278" i="1"/>
  <c r="P1278" i="1" s="1"/>
  <c r="F1278" i="1" l="1"/>
  <c r="D1279" i="1" s="1"/>
  <c r="G1278" i="1"/>
  <c r="C1279" i="1" s="1"/>
  <c r="D1270" i="3" s="1"/>
  <c r="B1279" i="1" l="1"/>
  <c r="E1279" i="1"/>
  <c r="L1279" i="1"/>
  <c r="O1279" i="1"/>
  <c r="I1279" i="1"/>
  <c r="N1279" i="1" l="1"/>
  <c r="P1279" i="1" s="1"/>
  <c r="C1270" i="3"/>
  <c r="H1279" i="1"/>
  <c r="J1279" i="1" s="1"/>
  <c r="K1279" i="1"/>
  <c r="M1279" i="1" s="1"/>
  <c r="F1279" i="1" l="1"/>
  <c r="D1280" i="1" s="1"/>
  <c r="G1279" i="1"/>
  <c r="B1280" i="1" l="1"/>
  <c r="C1280" i="1"/>
  <c r="D1271" i="3" s="1"/>
  <c r="E1280" i="1"/>
  <c r="K1280" i="1" l="1"/>
  <c r="C1271" i="3"/>
  <c r="N1280" i="1"/>
  <c r="H1280" i="1"/>
  <c r="O1280" i="1"/>
  <c r="I1280" i="1"/>
  <c r="L1280" i="1"/>
  <c r="M1280" i="1" l="1"/>
  <c r="P1280" i="1"/>
  <c r="J1280" i="1"/>
  <c r="F1280" i="1" l="1"/>
  <c r="D1281" i="1" s="1"/>
  <c r="G1280" i="1"/>
  <c r="E1281" i="1" s="1"/>
  <c r="B1281" i="1" l="1"/>
  <c r="C1281" i="1"/>
  <c r="L1281" i="1" l="1"/>
  <c r="D1272" i="3"/>
  <c r="N1281" i="1"/>
  <c r="C1272" i="3"/>
  <c r="K1281" i="1"/>
  <c r="H1281" i="1"/>
  <c r="I1281" i="1"/>
  <c r="O1281" i="1"/>
  <c r="P1281" i="1" s="1"/>
  <c r="M1281" i="1" l="1"/>
  <c r="J1281" i="1"/>
  <c r="F1281" i="1" l="1"/>
  <c r="B1282" i="1" s="1"/>
  <c r="C1273" i="3" s="1"/>
  <c r="G1281" i="1"/>
  <c r="E1282" i="1" s="1"/>
  <c r="N1282" i="1" l="1"/>
  <c r="H1282" i="1"/>
  <c r="K1282" i="1"/>
  <c r="D1282" i="1"/>
  <c r="C1282" i="1"/>
  <c r="O1282" i="1" l="1"/>
  <c r="P1282" i="1" s="1"/>
  <c r="D1273" i="3"/>
  <c r="L1282" i="1"/>
  <c r="M1282" i="1" s="1"/>
  <c r="I1282" i="1"/>
  <c r="J1282" i="1" s="1"/>
  <c r="F1282" i="1" l="1"/>
  <c r="B1283" i="1" s="1"/>
  <c r="C1274" i="3" s="1"/>
  <c r="G1282" i="1"/>
  <c r="C1283" i="1" s="1"/>
  <c r="D1274" i="3" s="1"/>
  <c r="D1283" i="1" l="1"/>
  <c r="E1283" i="1"/>
  <c r="L1283" i="1"/>
  <c r="I1283" i="1"/>
  <c r="O1283" i="1"/>
  <c r="N1283" i="1"/>
  <c r="H1283" i="1"/>
  <c r="K1283" i="1"/>
  <c r="P1283" i="1" l="1"/>
  <c r="M1283" i="1"/>
  <c r="J1283" i="1"/>
  <c r="F1283" i="1" l="1"/>
  <c r="D1284" i="1" s="1"/>
  <c r="G1283" i="1"/>
  <c r="E1284" i="1" s="1"/>
  <c r="C1284" i="1" l="1"/>
  <c r="B1284" i="1"/>
  <c r="K1284" i="1" l="1"/>
  <c r="C1275" i="3"/>
  <c r="O1284" i="1"/>
  <c r="D1275" i="3"/>
  <c r="L1284" i="1"/>
  <c r="I1284" i="1"/>
  <c r="N1284" i="1"/>
  <c r="P1284" i="1" s="1"/>
  <c r="H1284" i="1"/>
  <c r="J1284" i="1" s="1"/>
  <c r="M1284" i="1" l="1"/>
  <c r="G1284" i="1" s="1"/>
  <c r="E1285" i="1" s="1"/>
  <c r="F1284" i="1" l="1"/>
  <c r="D1285" i="1" s="1"/>
  <c r="C1285" i="1"/>
  <c r="B1285" i="1" l="1"/>
  <c r="H1285" i="1" s="1"/>
  <c r="L1285" i="1"/>
  <c r="D1276" i="3"/>
  <c r="O1285" i="1"/>
  <c r="I1285" i="1"/>
  <c r="C1276" i="3" l="1"/>
  <c r="J1285" i="1"/>
  <c r="N1285" i="1"/>
  <c r="P1285" i="1" s="1"/>
  <c r="K1285" i="1"/>
  <c r="M1285" i="1" s="1"/>
  <c r="G1285" i="1" l="1"/>
  <c r="C1286" i="1" s="1"/>
  <c r="D1277" i="3" s="1"/>
  <c r="F1285" i="1"/>
  <c r="D1286" i="1" s="1"/>
  <c r="O1286" i="1" l="1"/>
  <c r="I1286" i="1"/>
  <c r="L1286" i="1"/>
  <c r="E1286" i="1"/>
  <c r="B1286" i="1"/>
  <c r="K1286" i="1" l="1"/>
  <c r="M1286" i="1" s="1"/>
  <c r="C1277" i="3"/>
  <c r="N1286" i="1"/>
  <c r="P1286" i="1" s="1"/>
  <c r="H1286" i="1"/>
  <c r="J1286" i="1" s="1"/>
  <c r="G1286" i="1" l="1"/>
  <c r="E1287" i="1" s="1"/>
  <c r="F1286" i="1"/>
  <c r="D1287" i="1" s="1"/>
  <c r="C1287" i="1" l="1"/>
  <c r="B1287" i="1"/>
  <c r="N1287" i="1" l="1"/>
  <c r="C1278" i="3"/>
  <c r="L1287" i="1"/>
  <c r="D1278" i="3"/>
  <c r="O1287" i="1"/>
  <c r="I1287" i="1"/>
  <c r="K1287" i="1"/>
  <c r="M1287" i="1" s="1"/>
  <c r="H1287" i="1"/>
  <c r="P1287" i="1" l="1"/>
  <c r="J1287" i="1"/>
  <c r="G1287" i="1" l="1"/>
  <c r="E1288" i="1" s="1"/>
  <c r="F1287" i="1"/>
  <c r="D1288" i="1" s="1"/>
  <c r="C1288" i="1" l="1"/>
  <c r="D1279" i="3" s="1"/>
  <c r="B1288" i="1"/>
  <c r="C1279" i="3" s="1"/>
  <c r="L1288" i="1" l="1"/>
  <c r="I1288" i="1"/>
  <c r="O1288" i="1"/>
  <c r="N1288" i="1"/>
  <c r="H1288" i="1"/>
  <c r="J1288" i="1" s="1"/>
  <c r="K1288" i="1"/>
  <c r="P1288" i="1" l="1"/>
  <c r="M1288" i="1"/>
  <c r="G1288" i="1" l="1"/>
  <c r="C1289" i="1" s="1"/>
  <c r="D1280" i="3" s="1"/>
  <c r="F1288" i="1"/>
  <c r="D1289" i="1" s="1"/>
  <c r="I1289" i="1" l="1"/>
  <c r="O1289" i="1"/>
  <c r="E1289" i="1"/>
  <c r="L1289" i="1"/>
  <c r="B1289" i="1"/>
  <c r="N1289" i="1" s="1"/>
  <c r="P1289" i="1" s="1"/>
  <c r="K1289" i="1" l="1"/>
  <c r="M1289" i="1" s="1"/>
  <c r="H1289" i="1"/>
  <c r="J1289" i="1" s="1"/>
  <c r="C1280" i="3"/>
  <c r="G1289" i="1" l="1"/>
  <c r="E1290" i="1" s="1"/>
  <c r="F1289" i="1"/>
  <c r="D1290" i="1" s="1"/>
  <c r="C1290" i="1" l="1"/>
  <c r="O1290" i="1" s="1"/>
  <c r="B1290" i="1"/>
  <c r="K1290" i="1" s="1"/>
  <c r="D1281" i="3" l="1"/>
  <c r="I1290" i="1"/>
  <c r="L1290" i="1"/>
  <c r="N1290" i="1"/>
  <c r="P1290" i="1" s="1"/>
  <c r="H1290" i="1"/>
  <c r="J1290" i="1" s="1"/>
  <c r="C1281" i="3"/>
  <c r="M1290" i="1"/>
  <c r="F1290" i="1" l="1"/>
  <c r="B1291" i="1" s="1"/>
  <c r="C1282" i="3" s="1"/>
  <c r="G1290" i="1"/>
  <c r="E1291" i="1" s="1"/>
  <c r="N1291" i="1" l="1"/>
  <c r="K1291" i="1"/>
  <c r="H1291" i="1"/>
  <c r="D1291" i="1"/>
  <c r="C1291" i="1"/>
  <c r="L1291" i="1" l="1"/>
  <c r="M1291" i="1" s="1"/>
  <c r="D1282" i="3"/>
  <c r="I1291" i="1"/>
  <c r="J1291" i="1" s="1"/>
  <c r="O1291" i="1"/>
  <c r="P1291" i="1" s="1"/>
  <c r="F1291" i="1" l="1"/>
  <c r="D1292" i="1" s="1"/>
  <c r="G1291" i="1"/>
  <c r="C1292" i="1" s="1"/>
  <c r="I1292" i="1" l="1"/>
  <c r="D1283" i="3"/>
  <c r="B1292" i="1"/>
  <c r="O1292" i="1"/>
  <c r="L1292" i="1"/>
  <c r="E1292" i="1"/>
  <c r="K1292" i="1" l="1"/>
  <c r="M1292" i="1" s="1"/>
  <c r="C1283" i="3"/>
  <c r="N1292" i="1"/>
  <c r="P1292" i="1" s="1"/>
  <c r="H1292" i="1"/>
  <c r="J1292" i="1" s="1"/>
  <c r="G1292" i="1" l="1"/>
  <c r="E1293" i="1" s="1"/>
  <c r="F1292" i="1"/>
  <c r="B1293" i="1" s="1"/>
  <c r="H1293" i="1" l="1"/>
  <c r="C1284" i="3"/>
  <c r="C1293" i="1"/>
  <c r="N1293" i="1"/>
  <c r="K1293" i="1"/>
  <c r="D1293" i="1"/>
  <c r="L1293" i="1" l="1"/>
  <c r="M1293" i="1" s="1"/>
  <c r="D1284" i="3"/>
  <c r="I1293" i="1"/>
  <c r="J1293" i="1" s="1"/>
  <c r="O1293" i="1"/>
  <c r="P1293" i="1" s="1"/>
  <c r="F1293" i="1" l="1"/>
  <c r="D1294" i="1" s="1"/>
  <c r="G1293" i="1"/>
  <c r="C1294" i="1" s="1"/>
  <c r="B1294" i="1" l="1"/>
  <c r="N1294" i="1" s="1"/>
  <c r="I1294" i="1"/>
  <c r="D1285" i="3"/>
  <c r="L1294" i="1"/>
  <c r="O1294" i="1"/>
  <c r="E1294" i="1"/>
  <c r="H1294" i="1" l="1"/>
  <c r="J1294" i="1" s="1"/>
  <c r="K1294" i="1"/>
  <c r="M1294" i="1" s="1"/>
  <c r="C1285" i="3"/>
  <c r="P1294" i="1"/>
  <c r="G1294" i="1" l="1"/>
  <c r="E1295" i="1" s="1"/>
  <c r="F1294" i="1"/>
  <c r="D1295" i="1" s="1"/>
  <c r="C1295" i="1" l="1"/>
  <c r="D1286" i="3" s="1"/>
  <c r="B1295" i="1"/>
  <c r="C1286" i="3" s="1"/>
  <c r="L1295" i="1" l="1"/>
  <c r="I1295" i="1"/>
  <c r="O1295" i="1"/>
  <c r="N1295" i="1"/>
  <c r="K1295" i="1"/>
  <c r="H1295" i="1"/>
  <c r="J1295" i="1" s="1"/>
  <c r="P1295" i="1" l="1"/>
  <c r="M1295" i="1"/>
  <c r="G1295" i="1" l="1"/>
  <c r="E1296" i="1" s="1"/>
  <c r="F1295" i="1"/>
  <c r="B1296" i="1" s="1"/>
  <c r="C1287" i="3" s="1"/>
  <c r="H1296" i="1" l="1"/>
  <c r="D1296" i="1"/>
  <c r="C1296" i="1"/>
  <c r="O1296" i="1" s="1"/>
  <c r="N1296" i="1"/>
  <c r="K1296" i="1"/>
  <c r="L1296" i="1" l="1"/>
  <c r="M1296" i="1" s="1"/>
  <c r="I1296" i="1"/>
  <c r="J1296" i="1" s="1"/>
  <c r="D1287" i="3"/>
  <c r="P1296" i="1"/>
  <c r="F1296" i="1" l="1"/>
  <c r="G1296" i="1"/>
  <c r="C1297" i="1" s="1"/>
  <c r="D1288" i="3" s="1"/>
  <c r="BB27" i="3" s="1"/>
  <c r="B1297" i="1"/>
  <c r="C1288" i="3" s="1"/>
  <c r="BA27" i="3" s="1"/>
  <c r="D1297" i="1"/>
  <c r="O1297" i="1" l="1"/>
  <c r="L1297" i="1"/>
  <c r="I1297" i="1"/>
  <c r="E1297" i="1"/>
  <c r="N1297" i="1"/>
  <c r="K1297" i="1"/>
  <c r="M1297" i="1" s="1"/>
  <c r="H1297" i="1"/>
  <c r="P1297" i="1" l="1"/>
  <c r="J1297" i="1"/>
  <c r="G1297" i="1" l="1"/>
  <c r="C1298" i="1" s="1"/>
  <c r="D1289" i="3" s="1"/>
  <c r="BB26" i="3" s="1"/>
  <c r="F1297" i="1"/>
  <c r="E1298" i="1" l="1"/>
  <c r="I1298" i="1"/>
  <c r="O1298" i="1"/>
  <c r="L1298" i="1"/>
  <c r="B1298" i="1"/>
  <c r="C1289" i="3" s="1"/>
  <c r="BA26" i="3" s="1"/>
  <c r="D1298" i="1"/>
  <c r="K1298" i="1" l="1"/>
  <c r="M1298" i="1" s="1"/>
  <c r="N1298" i="1"/>
  <c r="P1298" i="1" s="1"/>
  <c r="H1298" i="1"/>
  <c r="J1298" i="1" l="1"/>
  <c r="G1298" i="1" s="1"/>
  <c r="C1299" i="1" l="1"/>
  <c r="D1290" i="3" s="1"/>
  <c r="BB25" i="3" s="1"/>
  <c r="E1299" i="1"/>
  <c r="F1298" i="1"/>
  <c r="L1299" i="1" l="1"/>
  <c r="O1299" i="1"/>
  <c r="I1299" i="1"/>
  <c r="D1299" i="1"/>
  <c r="B1299" i="1"/>
  <c r="C1290" i="3" s="1"/>
  <c r="BA25" i="3" s="1"/>
  <c r="K1299" i="1" l="1"/>
  <c r="M1299" i="1" s="1"/>
  <c r="N1299" i="1"/>
  <c r="P1299" i="1" s="1"/>
  <c r="H1299" i="1"/>
  <c r="J1299" i="1" l="1"/>
  <c r="G1299" i="1" s="1"/>
  <c r="F1299" i="1" l="1"/>
  <c r="B1300" i="1" s="1"/>
  <c r="C1291" i="3" s="1"/>
  <c r="BA24" i="3" s="1"/>
  <c r="C1300" i="1"/>
  <c r="D1291" i="3" s="1"/>
  <c r="BB24" i="3" s="1"/>
  <c r="E1300" i="1"/>
  <c r="D1300" i="1" l="1"/>
  <c r="K1300" i="1"/>
  <c r="N1300" i="1"/>
  <c r="H1300" i="1"/>
  <c r="I1300" i="1"/>
  <c r="L1300" i="1"/>
  <c r="O1300" i="1"/>
  <c r="J1300" i="1" l="1"/>
  <c r="P1300" i="1"/>
  <c r="M1300" i="1"/>
  <c r="G1300" i="1" l="1"/>
  <c r="C1301" i="1" s="1"/>
  <c r="D1292" i="3" s="1"/>
  <c r="BB23" i="3" s="1"/>
  <c r="F1300" i="1"/>
  <c r="D1301" i="1" s="1"/>
  <c r="E1301" i="1" l="1"/>
  <c r="B1301" i="1"/>
  <c r="O1301" i="1"/>
  <c r="I1301" i="1"/>
  <c r="L1301" i="1"/>
  <c r="H1301" i="1" l="1"/>
  <c r="J1301" i="1" s="1"/>
  <c r="C1292" i="3"/>
  <c r="BA23" i="3" s="1"/>
  <c r="K1301" i="1"/>
  <c r="M1301" i="1" s="1"/>
  <c r="N1301" i="1"/>
  <c r="P1301" i="1" s="1"/>
  <c r="G1301" i="1" l="1"/>
  <c r="C1302" i="1" s="1"/>
  <c r="D1293" i="3" s="1"/>
  <c r="BB22" i="3" s="1"/>
  <c r="F1301" i="1"/>
  <c r="E1302" i="1" l="1"/>
  <c r="B1302" i="1"/>
  <c r="C1293" i="3" s="1"/>
  <c r="BA22" i="3" s="1"/>
  <c r="D1302" i="1"/>
  <c r="O1302" i="1"/>
  <c r="I1302" i="1"/>
  <c r="L1302" i="1"/>
  <c r="N1302" i="1" l="1"/>
  <c r="P1302" i="1" s="1"/>
  <c r="H1302" i="1"/>
  <c r="K1302" i="1"/>
  <c r="M1302" i="1" s="1"/>
  <c r="J1302" i="1" l="1"/>
  <c r="G1302" i="1" s="1"/>
  <c r="F1302" i="1" l="1"/>
  <c r="B1303" i="1" s="1"/>
  <c r="C1294" i="3" s="1"/>
  <c r="BA21" i="3" s="1"/>
  <c r="C1303" i="1"/>
  <c r="D1294" i="3" s="1"/>
  <c r="BB21" i="3" s="1"/>
  <c r="E1303" i="1"/>
  <c r="D1303" i="1" l="1"/>
  <c r="H1303" i="1"/>
  <c r="K1303" i="1"/>
  <c r="N1303" i="1"/>
  <c r="O1303" i="1"/>
  <c r="L1303" i="1"/>
  <c r="I1303" i="1"/>
  <c r="M1303" i="1" l="1"/>
  <c r="P1303" i="1"/>
  <c r="J1303" i="1"/>
  <c r="G1303" i="1" l="1"/>
  <c r="E1304" i="1" s="1"/>
  <c r="F1303" i="1"/>
  <c r="C1304" i="1" l="1"/>
  <c r="D1304" i="1"/>
  <c r="B1304" i="1"/>
  <c r="C1295" i="3" s="1"/>
  <c r="BA20" i="3" s="1"/>
  <c r="I1304" i="1" l="1"/>
  <c r="D1295" i="3"/>
  <c r="BB20" i="3" s="1"/>
  <c r="L1304" i="1"/>
  <c r="O1304" i="1"/>
  <c r="H1304" i="1"/>
  <c r="K1304" i="1"/>
  <c r="N1304" i="1"/>
  <c r="P1304" i="1" l="1"/>
  <c r="M1304" i="1"/>
  <c r="J1304" i="1"/>
  <c r="G1304" i="1" l="1"/>
  <c r="E1305" i="1" s="1"/>
  <c r="F1304" i="1"/>
  <c r="C1305" i="1" l="1"/>
  <c r="B1305" i="1"/>
  <c r="C1296" i="3" s="1"/>
  <c r="BA19" i="3" s="1"/>
  <c r="D1305" i="1"/>
  <c r="I1305" i="1" l="1"/>
  <c r="D1296" i="3"/>
  <c r="BB19" i="3" s="1"/>
  <c r="O1305" i="1"/>
  <c r="L1305" i="1"/>
  <c r="H1305" i="1"/>
  <c r="K1305" i="1"/>
  <c r="M1305" i="1" s="1"/>
  <c r="N1305" i="1"/>
  <c r="P1305" i="1" l="1"/>
  <c r="J1305" i="1"/>
  <c r="G1305" i="1" l="1"/>
  <c r="C1306" i="1" s="1"/>
  <c r="D1297" i="3" s="1"/>
  <c r="BB18" i="3" s="1"/>
  <c r="F1305" i="1"/>
  <c r="D1306" i="1" s="1"/>
  <c r="E1306" i="1" l="1"/>
  <c r="B1306" i="1"/>
  <c r="I1306" i="1"/>
  <c r="L1306" i="1"/>
  <c r="O1306" i="1"/>
  <c r="K1306" i="1" l="1"/>
  <c r="M1306" i="1" s="1"/>
  <c r="C1297" i="3"/>
  <c r="BA18" i="3" s="1"/>
  <c r="N1306" i="1"/>
  <c r="P1306" i="1" s="1"/>
  <c r="H1306" i="1"/>
  <c r="J1306" i="1" s="1"/>
  <c r="F1306" i="1" l="1"/>
  <c r="B1307" i="1" s="1"/>
  <c r="C1298" i="3" s="1"/>
  <c r="BA17" i="3" s="1"/>
  <c r="G1306" i="1"/>
  <c r="D1307" i="1" l="1"/>
  <c r="K1307" i="1"/>
  <c r="N1307" i="1"/>
  <c r="H1307" i="1"/>
  <c r="C1307" i="1"/>
  <c r="D1298" i="3" s="1"/>
  <c r="BB17" i="3" s="1"/>
  <c r="E1307" i="1"/>
  <c r="L1307" i="1" l="1"/>
  <c r="M1307" i="1" s="1"/>
  <c r="O1307" i="1"/>
  <c r="P1307" i="1" s="1"/>
  <c r="I1307" i="1"/>
  <c r="J1307" i="1" s="1"/>
  <c r="F1307" i="1" l="1"/>
  <c r="G1307" i="1"/>
  <c r="B1308" i="1" l="1"/>
  <c r="C1299" i="3" s="1"/>
  <c r="BA16" i="3" s="1"/>
  <c r="D1308" i="1"/>
  <c r="E1308" i="1"/>
  <c r="C1308" i="1"/>
  <c r="D1299" i="3" s="1"/>
  <c r="BB16" i="3" s="1"/>
  <c r="L1308" i="1" l="1"/>
  <c r="O1308" i="1"/>
  <c r="I1308" i="1"/>
  <c r="K1308" i="1"/>
  <c r="N1308" i="1"/>
  <c r="H1308" i="1"/>
  <c r="P1308" i="1" l="1"/>
  <c r="J1308" i="1"/>
  <c r="M1308" i="1"/>
  <c r="G1308" i="1" l="1"/>
  <c r="E1309" i="1" s="1"/>
  <c r="F1308" i="1"/>
  <c r="C1309" i="1" l="1"/>
  <c r="D1309" i="1"/>
  <c r="B1309" i="1"/>
  <c r="C1300" i="3" s="1"/>
  <c r="BA12" i="3" s="1"/>
  <c r="L1309" i="1" l="1"/>
  <c r="D1300" i="3"/>
  <c r="BB12" i="3" s="1"/>
  <c r="O1309" i="1"/>
  <c r="I1309" i="1"/>
  <c r="N1309" i="1"/>
  <c r="H1309" i="1"/>
  <c r="K1309" i="1"/>
  <c r="M1309" i="1" l="1"/>
  <c r="P1309" i="1"/>
  <c r="J1309" i="1"/>
  <c r="G1309" i="1" l="1"/>
  <c r="F1309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<sst xmlns="http://schemas.openxmlformats.org/spreadsheetml/2006/main" count="134" uniqueCount="84">
  <si>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</si>
  <si>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</si>
  <si>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</si>
  <si>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</si>
  <si>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</si>
  <si>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</si>
  <si>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</si>
  <si>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</si>
  <si>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</si>
  <si>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</si>
  <si>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</si>
  <si>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</si>
  <si>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</si>
  <si>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</si>
  <si>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</si>
  <si>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</si>
  <si>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</si>
  <si>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</si>
  <si>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</si>
  <si>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</si>
  <si>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</si>
  <si>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</si>
  <si>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</si>
  <si>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</si>
  <si>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</si>
  <si>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</si>
  <si>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</si>
  <si>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</si>
  <si>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</si>
  <si>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</si>
  <si>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</si>
  <si>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</si>
  <si>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</si>
  <si>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</si>
  <si>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</si>
  <si>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</si>
  <si>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</si>
  <si>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</si>
  <si>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</si>
  <si>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</si>
  <si>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</si>
  <si>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</si>
  <si>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</si>
  <si>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</si>
  <si>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</si>
  <si>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</si>
  <si>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</si>
  <si>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</si>
  <si>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</si>
  <si>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</si>
  <si>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</si>
  <si>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</si>
  <si>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</si>
  <si>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</si>
  <si>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</si>
  <si>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</si>
  <si>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</si>
  <si>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</si>
  <si>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</si>
  <si>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</si>
  <si>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</si>
  <si>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</si>
  <si>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</si>
  <si>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</si>
  <si>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</si>
  <si>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</si>
  <si>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</si>
  <si>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</si>
  <si>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</si>
  <si>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</si>
  <si>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</si>
  <si>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</si>
  <si>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</si>
  <si>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</si>
  <si>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</si>
  <si>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</si>
  <si>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</si>
  <si>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</si>
  <si>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</si>
  <si>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</si>
  <si>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</si>
  <si>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</si>
  <si>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Répulsion</t>
  </si>
  <si>
    <t>Jours de voyage du Romano-Fafard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</si>
</sst>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7" fillId="0" borderId="16" xfId="0" applyFont="1" applyBorder="1" applyAlignment="1">
      <alignment horizontal="right"/>
    </xf>
    <xf numFmtId="0" fontId="0" fillId="0" borderId="3" xfId="0" applyBorder="1"/>
    <xf numFmtId="0" fontId="0" fillId="0" borderId="13" xfId="0" applyBorder="1"/>
    <xf numFmtId="0" fontId="0" fillId="0" borderId="14" xfId="0" applyBorder="1"/>
    <xf numFmtId="0" fontId="0" fillId="11" borderId="17" xfId="0" applyFill="1" applyBorder="1"/>
    <xf numFmtId="0" fontId="2" fillId="11" borderId="18" xfId="0" applyFont="1" applyFill="1" applyBorder="1"/>
    <xf numFmtId="0" fontId="0" fillId="0" borderId="1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A"/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>
              <a:glow rad="63500">
                <a:schemeClr val="accent5"/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30000</c:v>
                </c:pt>
                <c:pt idx="1">
                  <c:v>29510.565162951534</c:v>
                </c:pt>
                <c:pt idx="2">
                  <c:v>28090.169943749475</c:v>
                </c:pt>
                <c:pt idx="3">
                  <c:v>25877.852522924732</c:v>
                </c:pt>
                <c:pt idx="4">
                  <c:v>23090.169943749475</c:v>
                </c:pt>
                <c:pt idx="5">
                  <c:v>20000</c:v>
                </c:pt>
                <c:pt idx="6">
                  <c:v>16909.830056250525</c:v>
                </c:pt>
                <c:pt idx="7">
                  <c:v>14122.147477075268</c:v>
                </c:pt>
                <c:pt idx="8">
                  <c:v>11909.830056250526</c:v>
                </c:pt>
                <c:pt idx="9">
                  <c:v>10489.434837048464</c:v>
                </c:pt>
                <c:pt idx="10">
                  <c:v>10000</c:v>
                </c:pt>
                <c:pt idx="11">
                  <c:v>10489.434837048462</c:v>
                </c:pt>
                <c:pt idx="12">
                  <c:v>11909.830056250525</c:v>
                </c:pt>
                <c:pt idx="13">
                  <c:v>14122.147477075268</c:v>
                </c:pt>
                <c:pt idx="14">
                  <c:v>16909.830056250525</c:v>
                </c:pt>
                <c:pt idx="15">
                  <c:v>19999.999999999996</c:v>
                </c:pt>
                <c:pt idx="16">
                  <c:v>23090.169943749472</c:v>
                </c:pt>
                <c:pt idx="17">
                  <c:v>25877.852522924728</c:v>
                </c:pt>
                <c:pt idx="18">
                  <c:v>28090.169943749475</c:v>
                </c:pt>
                <c:pt idx="19">
                  <c:v>29510.565162951534</c:v>
                </c:pt>
                <c:pt idx="20">
                  <c:v>30000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23090.169943749475</c:v>
                </c:pt>
                <c:pt idx="2">
                  <c:v>25877.852522924732</c:v>
                </c:pt>
                <c:pt idx="3">
                  <c:v>28090.169943749475</c:v>
                </c:pt>
                <c:pt idx="4">
                  <c:v>29510.565162951534</c:v>
                </c:pt>
                <c:pt idx="5">
                  <c:v>30000</c:v>
                </c:pt>
                <c:pt idx="6">
                  <c:v>29510.565162951534</c:v>
                </c:pt>
                <c:pt idx="7">
                  <c:v>28090.169943749475</c:v>
                </c:pt>
                <c:pt idx="8">
                  <c:v>25877.852522924732</c:v>
                </c:pt>
                <c:pt idx="9">
                  <c:v>23090.169943749475</c:v>
                </c:pt>
                <c:pt idx="10">
                  <c:v>20000</c:v>
                </c:pt>
                <c:pt idx="11">
                  <c:v>16909.830056250532</c:v>
                </c:pt>
                <c:pt idx="12">
                  <c:v>14122.147477075268</c:v>
                </c:pt>
                <c:pt idx="13">
                  <c:v>11909.830056250526</c:v>
                </c:pt>
                <c:pt idx="14">
                  <c:v>10489.434837048464</c:v>
                </c:pt>
                <c:pt idx="15">
                  <c:v>10000</c:v>
                </c:pt>
                <c:pt idx="16">
                  <c:v>10489.434837048464</c:v>
                </c:pt>
                <c:pt idx="17">
                  <c:v>11909.830056250525</c:v>
                </c:pt>
                <c:pt idx="18">
                  <c:v>14122.147477075267</c:v>
                </c:pt>
                <c:pt idx="19">
                  <c:v>16909.830056250525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31750" cap="rnd">
              <a:solidFill>
                <a:srgbClr val="996600"/>
              </a:solidFill>
              <a:round/>
            </a:ln>
            <a:effectLst>
              <a:glow rad="63500">
                <a:srgbClr val="996600"/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-12000</c:v>
                </c:pt>
                <c:pt idx="1">
                  <c:v>-12391.547869638773</c:v>
                </c:pt>
                <c:pt idx="2">
                  <c:v>-13527.86404500042</c:v>
                </c:pt>
                <c:pt idx="3">
                  <c:v>-15297.717981660215</c:v>
                </c:pt>
                <c:pt idx="4">
                  <c:v>-17527.86404500042</c:v>
                </c:pt>
                <c:pt idx="5">
                  <c:v>-20000</c:v>
                </c:pt>
                <c:pt idx="6">
                  <c:v>-22472.13595499958</c:v>
                </c:pt>
                <c:pt idx="7">
                  <c:v>-24702.282018339785</c:v>
                </c:pt>
                <c:pt idx="8">
                  <c:v>-26472.13595499958</c:v>
                </c:pt>
                <c:pt idx="9">
                  <c:v>-27608.452130361227</c:v>
                </c:pt>
                <c:pt idx="10">
                  <c:v>-28000</c:v>
                </c:pt>
                <c:pt idx="11">
                  <c:v>-27608.452130361231</c:v>
                </c:pt>
                <c:pt idx="12">
                  <c:v>-26472.13595499958</c:v>
                </c:pt>
                <c:pt idx="13">
                  <c:v>-24702.282018339785</c:v>
                </c:pt>
                <c:pt idx="14">
                  <c:v>-22472.13595499958</c:v>
                </c:pt>
                <c:pt idx="15">
                  <c:v>-20000</c:v>
                </c:pt>
                <c:pt idx="16">
                  <c:v>-17527.864045000424</c:v>
                </c:pt>
                <c:pt idx="17">
                  <c:v>-15297.717981660217</c:v>
                </c:pt>
                <c:pt idx="18">
                  <c:v>-13527.86404500042</c:v>
                </c:pt>
                <c:pt idx="19">
                  <c:v>-12391.547869638773</c:v>
                </c:pt>
                <c:pt idx="20">
                  <c:v>-12000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22472.13595499958</c:v>
                </c:pt>
                <c:pt idx="2">
                  <c:v>24702.282018339785</c:v>
                </c:pt>
                <c:pt idx="3">
                  <c:v>26472.13595499958</c:v>
                </c:pt>
                <c:pt idx="4">
                  <c:v>27608.452130361227</c:v>
                </c:pt>
                <c:pt idx="5">
                  <c:v>28000</c:v>
                </c:pt>
                <c:pt idx="6">
                  <c:v>27608.452130361227</c:v>
                </c:pt>
                <c:pt idx="7">
                  <c:v>26472.13595499958</c:v>
                </c:pt>
                <c:pt idx="8">
                  <c:v>24702.282018339785</c:v>
                </c:pt>
                <c:pt idx="9">
                  <c:v>22472.13595499958</c:v>
                </c:pt>
                <c:pt idx="10">
                  <c:v>20000</c:v>
                </c:pt>
                <c:pt idx="11">
                  <c:v>17527.864045000424</c:v>
                </c:pt>
                <c:pt idx="12">
                  <c:v>15297.717981660215</c:v>
                </c:pt>
                <c:pt idx="13">
                  <c:v>13527.86404500042</c:v>
                </c:pt>
                <c:pt idx="14">
                  <c:v>12391.547869638773</c:v>
                </c:pt>
                <c:pt idx="15">
                  <c:v>12000</c:v>
                </c:pt>
                <c:pt idx="16">
                  <c:v>12391.547869638771</c:v>
                </c:pt>
                <c:pt idx="17">
                  <c:v>13527.86404500042</c:v>
                </c:pt>
                <c:pt idx="18">
                  <c:v>15297.717981660213</c:v>
                </c:pt>
                <c:pt idx="19">
                  <c:v>17527.86404500042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glow rad="76200">
                <a:schemeClr val="accent6">
                  <a:alpha val="75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5000</c:v>
                </c:pt>
                <c:pt idx="1">
                  <c:v>4510.565162951536</c:v>
                </c:pt>
                <c:pt idx="2">
                  <c:v>3090.1699437494744</c:v>
                </c:pt>
                <c:pt idx="3">
                  <c:v>877.8525229247316</c:v>
                </c:pt>
                <c:pt idx="4">
                  <c:v>-1909.8300562505256</c:v>
                </c:pt>
                <c:pt idx="5">
                  <c:v>-4999.9999999999991</c:v>
                </c:pt>
                <c:pt idx="6">
                  <c:v>-8090.1699437494735</c:v>
                </c:pt>
                <c:pt idx="7">
                  <c:v>-10877.852522924732</c:v>
                </c:pt>
                <c:pt idx="8">
                  <c:v>-13090.169943749474</c:v>
                </c:pt>
                <c:pt idx="9">
                  <c:v>-14510.565162951536</c:v>
                </c:pt>
                <c:pt idx="10">
                  <c:v>-15000</c:v>
                </c:pt>
                <c:pt idx="11">
                  <c:v>-14510.565162951538</c:v>
                </c:pt>
                <c:pt idx="12">
                  <c:v>-13090.169943749475</c:v>
                </c:pt>
                <c:pt idx="13">
                  <c:v>-10877.852522924732</c:v>
                </c:pt>
                <c:pt idx="14">
                  <c:v>-8090.1699437494754</c:v>
                </c:pt>
                <c:pt idx="15">
                  <c:v>-5000.0000000000018</c:v>
                </c:pt>
                <c:pt idx="16">
                  <c:v>-1909.8300562505278</c:v>
                </c:pt>
                <c:pt idx="17">
                  <c:v>877.85252292472887</c:v>
                </c:pt>
                <c:pt idx="18">
                  <c:v>3090.1699437494735</c:v>
                </c:pt>
                <c:pt idx="19">
                  <c:v>4510.565162951536</c:v>
                </c:pt>
                <c:pt idx="20">
                  <c:v>5000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-31909.830056250525</c:v>
                </c:pt>
                <c:pt idx="2">
                  <c:v>-29122.147477075268</c:v>
                </c:pt>
                <c:pt idx="3">
                  <c:v>-26909.830056250525</c:v>
                </c:pt>
                <c:pt idx="4">
                  <c:v>-25489.434837048466</c:v>
                </c:pt>
                <c:pt idx="5">
                  <c:v>-25000</c:v>
                </c:pt>
                <c:pt idx="6">
                  <c:v>-25489.434837048466</c:v>
                </c:pt>
                <c:pt idx="7">
                  <c:v>-26909.830056250525</c:v>
                </c:pt>
                <c:pt idx="8">
                  <c:v>-29122.147477075268</c:v>
                </c:pt>
                <c:pt idx="9">
                  <c:v>-31909.830056250525</c:v>
                </c:pt>
                <c:pt idx="10">
                  <c:v>-35000</c:v>
                </c:pt>
                <c:pt idx="11">
                  <c:v>-38090.169943749468</c:v>
                </c:pt>
                <c:pt idx="12">
                  <c:v>-40877.852522924732</c:v>
                </c:pt>
                <c:pt idx="13">
                  <c:v>-43090.169943749475</c:v>
                </c:pt>
                <c:pt idx="14">
                  <c:v>-44510.565162951534</c:v>
                </c:pt>
                <c:pt idx="15">
                  <c:v>-45000</c:v>
                </c:pt>
                <c:pt idx="16">
                  <c:v>-44510.565162951534</c:v>
                </c:pt>
                <c:pt idx="17">
                  <c:v>-43090.169943749475</c:v>
                </c:pt>
                <c:pt idx="18">
                  <c:v>-40877.852522924732</c:v>
                </c:pt>
                <c:pt idx="19">
                  <c:v>-38090.169943749475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2700" cap="rnd">
              <a:solidFill>
                <a:srgbClr val="FFC000">
                  <a:alpha val="50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Feuille1!$B$309:$B$1309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247.90360575802839</c:v>
                </c:pt>
                <c:pt idx="3">
                  <c:v>758.8503348282859</c:v>
                </c:pt>
                <c:pt idx="4">
                  <c:v>1569.5618499450648</c:v>
                </c:pt>
                <c:pt idx="5">
                  <c:v>2755.0455838415651</c:v>
                </c:pt>
                <c:pt idx="6">
                  <c:v>4467.2037194457562</c:v>
                </c:pt>
                <c:pt idx="7">
                  <c:v>7027.1140034927021</c:v>
                </c:pt>
                <c:pt idx="8">
                  <c:v>11151.108544382034</c:v>
                </c:pt>
                <c:pt idx="9">
                  <c:v>18311.022534216521</c:v>
                </c:pt>
                <c:pt idx="10">
                  <c:v>26518.712323723368</c:v>
                </c:pt>
                <c:pt idx="11">
                  <c:v>31567.994210569883</c:v>
                </c:pt>
                <c:pt idx="12">
                  <c:v>33638.751365539814</c:v>
                </c:pt>
                <c:pt idx="13">
                  <c:v>32787.75018519607</c:v>
                </c:pt>
                <c:pt idx="14">
                  <c:v>28581.89728526607</c:v>
                </c:pt>
                <c:pt idx="15">
                  <c:v>20143.383363127232</c:v>
                </c:pt>
                <c:pt idx="16">
                  <c:v>11139.788133438758</c:v>
                </c:pt>
                <c:pt idx="17">
                  <c:v>4968.4079582571931</c:v>
                </c:pt>
                <c:pt idx="18">
                  <c:v>598.53029424353872</c:v>
                </c:pt>
                <c:pt idx="19">
                  <c:v>-2878.1123373572618</c:v>
                </c:pt>
                <c:pt idx="20">
                  <c:v>-6187.4207175964184</c:v>
                </c:pt>
                <c:pt idx="21">
                  <c:v>-10046.523862348025</c:v>
                </c:pt>
                <c:pt idx="22">
                  <c:v>-15366.958117334745</c:v>
                </c:pt>
                <c:pt idx="23">
                  <c:v>-22905.25159175706</c:v>
                </c:pt>
                <c:pt idx="24">
                  <c:v>-27300.492047161628</c:v>
                </c:pt>
                <c:pt idx="25">
                  <c:v>-28222.36893006321</c:v>
                </c:pt>
                <c:pt idx="26">
                  <c:v>-26017.076231431223</c:v>
                </c:pt>
                <c:pt idx="27">
                  <c:v>-20617.222498779684</c:v>
                </c:pt>
                <c:pt idx="28">
                  <c:v>-14012.779831379557</c:v>
                </c:pt>
                <c:pt idx="29">
                  <c:v>-9772.5917110434766</c:v>
                </c:pt>
                <c:pt idx="30">
                  <c:v>-6837.4306339858904</c:v>
                </c:pt>
                <c:pt idx="31">
                  <c:v>-4440.548862157927</c:v>
                </c:pt>
                <c:pt idx="32">
                  <c:v>-2105.9802478575502</c:v>
                </c:pt>
                <c:pt idx="33">
                  <c:v>577.39633340058435</c:v>
                </c:pt>
                <c:pt idx="34">
                  <c:v>4125.3613917362909</c:v>
                </c:pt>
                <c:pt idx="35">
                  <c:v>9339.3241475112136</c:v>
                </c:pt>
                <c:pt idx="36">
                  <c:v>17436.861702489245</c:v>
                </c:pt>
                <c:pt idx="37">
                  <c:v>27047.274892384699</c:v>
                </c:pt>
                <c:pt idx="38">
                  <c:v>32729.690769326215</c:v>
                </c:pt>
                <c:pt idx="39">
                  <c:v>34998.854789290694</c:v>
                </c:pt>
                <c:pt idx="40">
                  <c:v>34290.046504536054</c:v>
                </c:pt>
                <c:pt idx="41">
                  <c:v>30537.947668897636</c:v>
                </c:pt>
                <c:pt idx="42">
                  <c:v>23174.526744141407</c:v>
                </c:pt>
                <c:pt idx="43">
                  <c:v>12980.120171354978</c:v>
                </c:pt>
                <c:pt idx="44">
                  <c:v>6262.948175551338</c:v>
                </c:pt>
                <c:pt idx="45">
                  <c:v>1597.5006399541371</c:v>
                </c:pt>
                <c:pt idx="46">
                  <c:v>-2130.8644270131626</c:v>
                </c:pt>
                <c:pt idx="47">
                  <c:v>-5511.4733920331319</c:v>
                </c:pt>
                <c:pt idx="48">
                  <c:v>-8829.135148117417</c:v>
                </c:pt>
                <c:pt idx="49">
                  <c:v>-12177.573921510126</c:v>
                </c:pt>
                <c:pt idx="50">
                  <c:v>-15525.305596479109</c:v>
                </c:pt>
                <c:pt idx="51">
                  <c:v>-18741.996701746008</c:v>
                </c:pt>
                <c:pt idx="52">
                  <c:v>-21529.019182971238</c:v>
                </c:pt>
                <c:pt idx="53">
                  <c:v>-22952.882134696676</c:v>
                </c:pt>
                <c:pt idx="54">
                  <c:v>-21209.663729463769</c:v>
                </c:pt>
                <c:pt idx="55">
                  <c:v>-18290.544443871626</c:v>
                </c:pt>
                <c:pt idx="56">
                  <c:v>-15186.82005058219</c:v>
                </c:pt>
                <c:pt idx="57">
                  <c:v>-12431.359148574629</c:v>
                </c:pt>
                <c:pt idx="58">
                  <c:v>-10626.212203806455</c:v>
                </c:pt>
                <c:pt idx="59">
                  <c:v>-10369.547285677832</c:v>
                </c:pt>
                <c:pt idx="60">
                  <c:v>-11510.178228008752</c:v>
                </c:pt>
                <c:pt idx="61">
                  <c:v>-13298.138406041324</c:v>
                </c:pt>
                <c:pt idx="62">
                  <c:v>-15158.345165047986</c:v>
                </c:pt>
                <c:pt idx="63">
                  <c:v>-16768.385927091105</c:v>
                </c:pt>
                <c:pt idx="64">
                  <c:v>-17951.536889422849</c:v>
                </c:pt>
                <c:pt idx="65">
                  <c:v>-18613.916352230914</c:v>
                </c:pt>
                <c:pt idx="66">
                  <c:v>-18720.652265641733</c:v>
                </c:pt>
                <c:pt idx="67">
                  <c:v>-18309.863818860798</c:v>
                </c:pt>
                <c:pt idx="68">
                  <c:v>-17636.035618288945</c:v>
                </c:pt>
                <c:pt idx="69">
                  <c:v>-17917.518228287325</c:v>
                </c:pt>
                <c:pt idx="70">
                  <c:v>-18788.630331805267</c:v>
                </c:pt>
                <c:pt idx="71">
                  <c:v>-19351.083316965367</c:v>
                </c:pt>
                <c:pt idx="72">
                  <c:v>-19442.204592617731</c:v>
                </c:pt>
                <c:pt idx="73">
                  <c:v>-19050.012933495193</c:v>
                </c:pt>
                <c:pt idx="74">
                  <c:v>-18350.917921847697</c:v>
                </c:pt>
                <c:pt idx="75">
                  <c:v>-18441.931954352254</c:v>
                </c:pt>
                <c:pt idx="76">
                  <c:v>-18548.510827491551</c:v>
                </c:pt>
                <c:pt idx="77">
                  <c:v>-18201.873299589322</c:v>
                </c:pt>
                <c:pt idx="78">
                  <c:v>-17325.245933069924</c:v>
                </c:pt>
                <c:pt idx="79">
                  <c:v>-15918.128699442388</c:v>
                </c:pt>
                <c:pt idx="80">
                  <c:v>-14007.788184008485</c:v>
                </c:pt>
                <c:pt idx="81">
                  <c:v>-11640.106582381834</c:v>
                </c:pt>
                <c:pt idx="82">
                  <c:v>-8875.1483470124167</c:v>
                </c:pt>
                <c:pt idx="83">
                  <c:v>-5780.8356504987469</c:v>
                </c:pt>
                <c:pt idx="84">
                  <c:v>-2424.7519824636379</c:v>
                </c:pt>
                <c:pt idx="85">
                  <c:v>1133.7761660597903</c:v>
                </c:pt>
                <c:pt idx="86">
                  <c:v>4849.8414323729476</c:v>
                </c:pt>
                <c:pt idx="87">
                  <c:v>8696.8335951259905</c:v>
                </c:pt>
                <c:pt idx="88">
                  <c:v>12665.359788215726</c:v>
                </c:pt>
                <c:pt idx="89">
                  <c:v>16745.045193405611</c:v>
                </c:pt>
                <c:pt idx="90">
                  <c:v>20829.228796352389</c:v>
                </c:pt>
                <c:pt idx="91">
                  <c:v>24136.330673879605</c:v>
                </c:pt>
                <c:pt idx="92">
                  <c:v>23661.500648298923</c:v>
                </c:pt>
                <c:pt idx="93">
                  <c:v>21371.522218876482</c:v>
                </c:pt>
                <c:pt idx="94">
                  <c:v>18499.247539455017</c:v>
                </c:pt>
                <c:pt idx="95">
                  <c:v>15512.049661263754</c:v>
                </c:pt>
                <c:pt idx="96">
                  <c:v>12744.888541006892</c:v>
                </c:pt>
                <c:pt idx="97">
                  <c:v>10651.74871896454</c:v>
                </c:pt>
                <c:pt idx="98">
                  <c:v>10114.74239045562</c:v>
                </c:pt>
                <c:pt idx="99">
                  <c:v>12552.282603865731</c:v>
                </c:pt>
                <c:pt idx="100">
                  <c:v>17291.765064492847</c:v>
                </c:pt>
                <c:pt idx="101">
                  <c:v>22165.756287990273</c:v>
                </c:pt>
                <c:pt idx="102">
                  <c:v>26239.871219308305</c:v>
                </c:pt>
                <c:pt idx="103">
                  <c:v>29192.577699985348</c:v>
                </c:pt>
                <c:pt idx="104">
                  <c:v>30860.370438969876</c:v>
                </c:pt>
                <c:pt idx="105">
                  <c:v>31060.345747841948</c:v>
                </c:pt>
                <c:pt idx="106">
                  <c:v>29454.805535754225</c:v>
                </c:pt>
                <c:pt idx="107">
                  <c:v>25283.105825351107</c:v>
                </c:pt>
                <c:pt idx="108">
                  <c:v>17244.640191922816</c:v>
                </c:pt>
                <c:pt idx="109">
                  <c:v>10635.552230758005</c:v>
                </c:pt>
                <c:pt idx="110">
                  <c:v>5661.8031273297693</c:v>
                </c:pt>
                <c:pt idx="111">
                  <c:v>1782.9072179225145</c:v>
                </c:pt>
                <c:pt idx="112">
                  <c:v>-1345.585683455316</c:v>
                </c:pt>
                <c:pt idx="113">
                  <c:v>-4015.3583335673243</c:v>
                </c:pt>
                <c:pt idx="114">
                  <c:v>-6621.5414708548351</c:v>
                </c:pt>
                <c:pt idx="115">
                  <c:v>-9828.8436211866319</c:v>
                </c:pt>
                <c:pt idx="116">
                  <c:v>-14442.028317890603</c:v>
                </c:pt>
                <c:pt idx="117">
                  <c:v>-20086.413672942101</c:v>
                </c:pt>
                <c:pt idx="118">
                  <c:v>-25019.234729555261</c:v>
                </c:pt>
                <c:pt idx="119">
                  <c:v>-28200.346275965854</c:v>
                </c:pt>
                <c:pt idx="120">
                  <c:v>-29152.106613580774</c:v>
                </c:pt>
                <c:pt idx="121">
                  <c:v>-27359.779732754832</c:v>
                </c:pt>
                <c:pt idx="122">
                  <c:v>-21978.957651168199</c:v>
                </c:pt>
                <c:pt idx="123">
                  <c:v>-14416.4539241436</c:v>
                </c:pt>
                <c:pt idx="124">
                  <c:v>-8508.906622331524</c:v>
                </c:pt>
                <c:pt idx="125">
                  <c:v>-3589.8283639246501</c:v>
                </c:pt>
                <c:pt idx="126">
                  <c:v>1349.034552627131</c:v>
                </c:pt>
                <c:pt idx="127">
                  <c:v>7336.2169364103356</c:v>
                </c:pt>
                <c:pt idx="128">
                  <c:v>15515.868053357131</c:v>
                </c:pt>
                <c:pt idx="129">
                  <c:v>25593.38777952789</c:v>
                </c:pt>
                <c:pt idx="130">
                  <c:v>32295.512252824738</c:v>
                </c:pt>
                <c:pt idx="131">
                  <c:v>35490.204506725946</c:v>
                </c:pt>
                <c:pt idx="132">
                  <c:v>35851.527012708721</c:v>
                </c:pt>
                <c:pt idx="133">
                  <c:v>33675.156089258657</c:v>
                </c:pt>
                <c:pt idx="134">
                  <c:v>28948.209805296574</c:v>
                </c:pt>
                <c:pt idx="135">
                  <c:v>21503.304104893043</c:v>
                </c:pt>
                <c:pt idx="136">
                  <c:v>12788.18294310382</c:v>
                </c:pt>
                <c:pt idx="137">
                  <c:v>7530.8603256751358</c:v>
                </c:pt>
                <c:pt idx="138">
                  <c:v>4261.6329589454272</c:v>
                </c:pt>
                <c:pt idx="139">
                  <c:v>1891.6366999649854</c:v>
                </c:pt>
                <c:pt idx="140">
                  <c:v>-34.153755057807928</c:v>
                </c:pt>
                <c:pt idx="141">
                  <c:v>-1702.5021668727172</c:v>
                </c:pt>
                <c:pt idx="142">
                  <c:v>-3187.0034524994962</c:v>
                </c:pt>
                <c:pt idx="143">
                  <c:v>-4506.5271473726134</c:v>
                </c:pt>
                <c:pt idx="144">
                  <c:v>-5645.4705026413994</c:v>
                </c:pt>
                <c:pt idx="145">
                  <c:v>-6552.0174396094953</c:v>
                </c:pt>
                <c:pt idx="146">
                  <c:v>-7098.1962544886428</c:v>
                </c:pt>
                <c:pt idx="147">
                  <c:v>-6887.5541122352615</c:v>
                </c:pt>
                <c:pt idx="148">
                  <c:v>-4848.3972943751087</c:v>
                </c:pt>
                <c:pt idx="149">
                  <c:v>-2830.1796668927645</c:v>
                </c:pt>
                <c:pt idx="150">
                  <c:v>-1176.8318439018674</c:v>
                </c:pt>
                <c:pt idx="151">
                  <c:v>65.406819317407781</c:v>
                </c:pt>
                <c:pt idx="152">
                  <c:v>835.75233321961082</c:v>
                </c:pt>
                <c:pt idx="153">
                  <c:v>998.31368474516796</c:v>
                </c:pt>
                <c:pt idx="154">
                  <c:v>228.96152538753825</c:v>
                </c:pt>
                <c:pt idx="155">
                  <c:v>-2380.6911325080591</c:v>
                </c:pt>
                <c:pt idx="156">
                  <c:v>-7400.8515194719348</c:v>
                </c:pt>
                <c:pt idx="157">
                  <c:v>-11423.471924943135</c:v>
                </c:pt>
                <c:pt idx="158">
                  <c:v>-14417.310083297689</c:v>
                </c:pt>
                <c:pt idx="159">
                  <c:v>-16537.816619635134</c:v>
                </c:pt>
                <c:pt idx="160">
                  <c:v>-17887.279245130725</c:v>
                </c:pt>
                <c:pt idx="161">
                  <c:v>-18530.654484919403</c:v>
                </c:pt>
                <c:pt idx="162">
                  <c:v>-18515.302563676214</c:v>
                </c:pt>
                <c:pt idx="163">
                  <c:v>-17898.524515139969</c:v>
                </c:pt>
                <c:pt idx="164">
                  <c:v>-16849.043992097173</c:v>
                </c:pt>
                <c:pt idx="165">
                  <c:v>-16248.080098190943</c:v>
                </c:pt>
                <c:pt idx="166">
                  <c:v>-17619.023275527852</c:v>
                </c:pt>
                <c:pt idx="167">
                  <c:v>-19001.367876094104</c:v>
                </c:pt>
                <c:pt idx="168">
                  <c:v>-19946.505889976168</c:v>
                </c:pt>
                <c:pt idx="169">
                  <c:v>-20366.717112711856</c:v>
                </c:pt>
                <c:pt idx="170">
                  <c:v>-20230.08396687992</c:v>
                </c:pt>
                <c:pt idx="171">
                  <c:v>-19518.325290977136</c:v>
                </c:pt>
                <c:pt idx="172">
                  <c:v>-18317.946537872933</c:v>
                </c:pt>
                <c:pt idx="173">
                  <c:v>-17710.78479635992</c:v>
                </c:pt>
                <c:pt idx="174">
                  <c:v>-17446.240321067064</c:v>
                </c:pt>
                <c:pt idx="175">
                  <c:v>-16816.433412729133</c:v>
                </c:pt>
                <c:pt idx="176">
                  <c:v>-15675.907117530214</c:v>
                </c:pt>
                <c:pt idx="177">
                  <c:v>-13971.083660096274</c:v>
                </c:pt>
                <c:pt idx="178">
                  <c:v>-11662.258983532598</c:v>
                </c:pt>
                <c:pt idx="179">
                  <c:v>-8712.8783640420188</c:v>
                </c:pt>
                <c:pt idx="180">
                  <c:v>-5131.2560826823419</c:v>
                </c:pt>
                <c:pt idx="181">
                  <c:v>-1392.4110192892938</c:v>
                </c:pt>
                <c:pt idx="182">
                  <c:v>-704.41682490271978</c:v>
                </c:pt>
                <c:pt idx="183">
                  <c:v>-1545.0132757626709</c:v>
                </c:pt>
                <c:pt idx="184">
                  <c:v>-2896.697884090323</c:v>
                </c:pt>
                <c:pt idx="185">
                  <c:v>-4430.0345203191382</c:v>
                </c:pt>
                <c:pt idx="186">
                  <c:v>-5979.9063407286549</c:v>
                </c:pt>
                <c:pt idx="187">
                  <c:v>-7406.2978126976741</c:v>
                </c:pt>
                <c:pt idx="188">
                  <c:v>-8501.6112486928396</c:v>
                </c:pt>
                <c:pt idx="189">
                  <c:v>-8758.1504183670113</c:v>
                </c:pt>
                <c:pt idx="190">
                  <c:v>-6500.0123116955729</c:v>
                </c:pt>
                <c:pt idx="191">
                  <c:v>-3264.8839504215075</c:v>
                </c:pt>
                <c:pt idx="192">
                  <c:v>-216.01931184347245</c:v>
                </c:pt>
                <c:pt idx="193">
                  <c:v>2606.6762688428626</c:v>
                </c:pt>
                <c:pt idx="194">
                  <c:v>5299.5120805771649</c:v>
                </c:pt>
                <c:pt idx="195">
                  <c:v>8026.5257868238459</c:v>
                </c:pt>
                <c:pt idx="196">
                  <c:v>11106.352758318071</c:v>
                </c:pt>
                <c:pt idx="197">
                  <c:v>15343.310314642753</c:v>
                </c:pt>
                <c:pt idx="198">
                  <c:v>22401.066273561995</c:v>
                </c:pt>
                <c:pt idx="199">
                  <c:v>27892.260575297303</c:v>
                </c:pt>
                <c:pt idx="200">
                  <c:v>31854.639858214705</c:v>
                </c:pt>
                <c:pt idx="201">
                  <c:v>34617.52198068818</c:v>
                </c:pt>
                <c:pt idx="202">
                  <c:v>36346.971899888602</c:v>
                </c:pt>
                <c:pt idx="203">
                  <c:v>37106.720386601781</c:v>
                </c:pt>
                <c:pt idx="204">
                  <c:v>36885.018976828003</c:v>
                </c:pt>
                <c:pt idx="205">
                  <c:v>35589.808396470617</c:v>
                </c:pt>
                <c:pt idx="206">
                  <c:v>33004.263729817394</c:v>
                </c:pt>
                <c:pt idx="207">
                  <c:v>28644.732508879053</c:v>
                </c:pt>
                <c:pt idx="208">
                  <c:v>21336.252781328458</c:v>
                </c:pt>
                <c:pt idx="209">
                  <c:v>12256.565253374905</c:v>
                </c:pt>
                <c:pt idx="210">
                  <c:v>4991.8283877349832</c:v>
                </c:pt>
                <c:pt idx="211">
                  <c:v>-1532.6922211975661</c:v>
                </c:pt>
                <c:pt idx="212">
                  <c:v>-7763.9693989183543</c:v>
                </c:pt>
                <c:pt idx="213">
                  <c:v>-13706.35821390582</c:v>
                </c:pt>
                <c:pt idx="214">
                  <c:v>-19128.838774137184</c:v>
                </c:pt>
                <c:pt idx="215">
                  <c:v>-23778.179212131559</c:v>
                </c:pt>
                <c:pt idx="216">
                  <c:v>-27484.228742353276</c:v>
                </c:pt>
                <c:pt idx="217">
                  <c:v>-30154.231516098247</c:v>
                </c:pt>
                <c:pt idx="218">
                  <c:v>-31734.108456509108</c:v>
                </c:pt>
                <c:pt idx="219">
                  <c:v>-32174.622105218466</c:v>
                </c:pt>
                <c:pt idx="220">
                  <c:v>-31404.987837581088</c:v>
                </c:pt>
                <c:pt idx="221">
                  <c:v>-29305.347721150953</c:v>
                </c:pt>
                <c:pt idx="222">
                  <c:v>-25663.726833323628</c:v>
                </c:pt>
                <c:pt idx="223">
                  <c:v>-20089.620036467884</c:v>
                </c:pt>
                <c:pt idx="224">
                  <c:v>-11849.406380909606</c:v>
                </c:pt>
                <c:pt idx="225">
                  <c:v>-409.79636375853033</c:v>
                </c:pt>
                <c:pt idx="226">
                  <c:v>8249.449703110351</c:v>
                </c:pt>
                <c:pt idx="227">
                  <c:v>13889.728593262003</c:v>
                </c:pt>
                <c:pt idx="228">
                  <c:v>17554.463352608065</c:v>
                </c:pt>
                <c:pt idx="229">
                  <c:v>19804.089281218512</c:v>
                </c:pt>
                <c:pt idx="230">
                  <c:v>20950.567777737688</c:v>
                </c:pt>
                <c:pt idx="231">
                  <c:v>21188.901311574173</c:v>
                </c:pt>
                <c:pt idx="232">
                  <c:v>20657.198715108709</c:v>
                </c:pt>
                <c:pt idx="233">
                  <c:v>19472.534829024757</c:v>
                </c:pt>
                <c:pt idx="234">
                  <c:v>17789.533717961251</c:v>
                </c:pt>
                <c:pt idx="235">
                  <c:v>16116.137743367623</c:v>
                </c:pt>
                <c:pt idx="236">
                  <c:v>16997.402568321504</c:v>
                </c:pt>
                <c:pt idx="237">
                  <c:v>18561.313697588874</c:v>
                </c:pt>
                <c:pt idx="238">
                  <c:v>19987.665332416604</c:v>
                </c:pt>
                <c:pt idx="239">
                  <c:v>21167.556032027078</c:v>
                </c:pt>
                <c:pt idx="240">
                  <c:v>22091.304550711287</c:v>
                </c:pt>
                <c:pt idx="241">
                  <c:v>22763.801930362446</c:v>
                </c:pt>
                <c:pt idx="242">
                  <c:v>23188.729519550925</c:v>
                </c:pt>
                <c:pt idx="243">
                  <c:v>23364.79637168027</c:v>
                </c:pt>
                <c:pt idx="244">
                  <c:v>23284.255489510902</c:v>
                </c:pt>
                <c:pt idx="245">
                  <c:v>22931.442391644439</c:v>
                </c:pt>
                <c:pt idx="246">
                  <c:v>22280.666689376299</c:v>
                </c:pt>
                <c:pt idx="247">
                  <c:v>21293.999707137478</c:v>
                </c:pt>
                <c:pt idx="248">
                  <c:v>19927.338759990929</c:v>
                </c:pt>
                <c:pt idx="249">
                  <c:v>18239.230592223816</c:v>
                </c:pt>
                <c:pt idx="250">
                  <c:v>17686.850610802743</c:v>
                </c:pt>
                <c:pt idx="251">
                  <c:v>17403.27765047771</c:v>
                </c:pt>
                <c:pt idx="252">
                  <c:v>16785.789707899643</c:v>
                </c:pt>
                <c:pt idx="253">
                  <c:v>15572.099314384055</c:v>
                </c:pt>
                <c:pt idx="254">
                  <c:v>13402.461605908851</c:v>
                </c:pt>
                <c:pt idx="255">
                  <c:v>9609.3015296031172</c:v>
                </c:pt>
                <c:pt idx="256">
                  <c:v>3069.4125816530359</c:v>
                </c:pt>
                <c:pt idx="257">
                  <c:v>-6128.4856751486295</c:v>
                </c:pt>
                <c:pt idx="258">
                  <c:v>-14991.401886716714</c:v>
                </c:pt>
                <c:pt idx="259">
                  <c:v>-22515.482397410076</c:v>
                </c:pt>
                <c:pt idx="260">
                  <c:v>-28738.837692688932</c:v>
                </c:pt>
                <c:pt idx="261">
                  <c:v>-33822.512483940394</c:v>
                </c:pt>
                <c:pt idx="262">
                  <c:v>-37899.6897248323</c:v>
                </c:pt>
                <c:pt idx="263">
                  <c:v>-41065.596152972728</c:v>
                </c:pt>
                <c:pt idx="264">
                  <c:v>-43385.509408544691</c:v>
                </c:pt>
                <c:pt idx="265">
                  <c:v>-44902.43528871172</c:v>
                </c:pt>
                <c:pt idx="266">
                  <c:v>-45642.467695732361</c:v>
                </c:pt>
                <c:pt idx="267">
                  <c:v>-45618.235942528649</c:v>
                </c:pt>
                <c:pt idx="268">
                  <c:v>-44830.955934934209</c:v>
                </c:pt>
                <c:pt idx="269">
                  <c:v>-43271.357759993814</c:v>
                </c:pt>
                <c:pt idx="270">
                  <c:v>-40919.408702273329</c:v>
                </c:pt>
                <c:pt idx="271">
                  <c:v>-37742.155126284692</c:v>
                </c:pt>
                <c:pt idx="272">
                  <c:v>-33687.852532961617</c:v>
                </c:pt>
                <c:pt idx="273">
                  <c:v>-28673.028929790369</c:v>
                </c:pt>
                <c:pt idx="274">
                  <c:v>-22568.384846662379</c:v>
                </c:pt>
                <c:pt idx="275">
                  <c:v>-15392.902371295455</c:v>
                </c:pt>
                <c:pt idx="276">
                  <c:v>-9576.2489476534211</c:v>
                </c:pt>
                <c:pt idx="277">
                  <c:v>-4842.9029449769951</c:v>
                </c:pt>
                <c:pt idx="278">
                  <c:v>46.286734325831787</c:v>
                </c:pt>
                <c:pt idx="279">
                  <c:v>5298.1656844919444</c:v>
                </c:pt>
                <c:pt idx="280">
                  <c:v>10801.896447573192</c:v>
                </c:pt>
                <c:pt idx="281">
                  <c:v>16379.034437470773</c:v>
                </c:pt>
                <c:pt idx="282">
                  <c:v>21861.45900258957</c:v>
                </c:pt>
                <c:pt idx="283">
                  <c:v>27107.536245092324</c:v>
                </c:pt>
                <c:pt idx="284">
                  <c:v>31998.573763906574</c:v>
                </c:pt>
                <c:pt idx="285">
                  <c:v>36430.753726494993</c:v>
                </c:pt>
                <c:pt idx="286">
                  <c:v>40307.090973586608</c:v>
                </c:pt>
                <c:pt idx="287">
                  <c:v>43530.267723509336</c:v>
                </c:pt>
                <c:pt idx="288">
                  <c:v>45996.132018723118</c:v>
                </c:pt>
                <c:pt idx="289">
                  <c:v>47587.540334143159</c:v>
                </c:pt>
                <c:pt idx="290">
                  <c:v>48168.654887702723</c:v>
                </c:pt>
                <c:pt idx="291">
                  <c:v>47581.085364243627</c:v>
                </c:pt>
                <c:pt idx="292">
                  <c:v>45646.53688818778</c:v>
                </c:pt>
                <c:pt idx="293">
                  <c:v>42187.966593479403</c:v>
                </c:pt>
                <c:pt idx="294">
                  <c:v>37092.220626556111</c:v>
                </c:pt>
                <c:pt idx="295">
                  <c:v>30429.352840272655</c:v>
                </c:pt>
                <c:pt idx="296">
                  <c:v>22549.411172266875</c:v>
                </c:pt>
                <c:pt idx="297">
                  <c:v>13955.941007843932</c:v>
                </c:pt>
                <c:pt idx="298">
                  <c:v>5019.6299851179392</c:v>
                </c:pt>
                <c:pt idx="299">
                  <c:v>-4050.6472661277667</c:v>
                </c:pt>
                <c:pt idx="300">
                  <c:v>-12952.661201230423</c:v>
                </c:pt>
                <c:pt idx="301">
                  <c:v>-21221.363636639679</c:v>
                </c:pt>
                <c:pt idx="302">
                  <c:v>-28523.38491263389</c:v>
                </c:pt>
                <c:pt idx="303">
                  <c:v>-34785.122074283587</c:v>
                </c:pt>
                <c:pt idx="304">
                  <c:v>-40071.551985214879</c:v>
                </c:pt>
                <c:pt idx="305">
                  <c:v>-44481.414396890163</c:v>
                </c:pt>
                <c:pt idx="306">
                  <c:v>-48106.685889451437</c:v>
                </c:pt>
                <c:pt idx="307">
                  <c:v>-51022.724756884811</c:v>
                </c:pt>
                <c:pt idx="308">
                  <c:v>-53288.310183883856</c:v>
                </c:pt>
                <c:pt idx="309">
                  <c:v>-54948.006540981609</c:v>
                </c:pt>
                <c:pt idx="310">
                  <c:v>-56034.56126030608</c:v>
                </c:pt>
                <c:pt idx="311">
                  <c:v>-56570.761742578317</c:v>
                </c:pt>
                <c:pt idx="312">
                  <c:v>-56570.672786972798</c:v>
                </c:pt>
                <c:pt idx="313">
                  <c:v>-56040.281879998765</c:v>
                </c:pt>
                <c:pt idx="314">
                  <c:v>-54977.559049912968</c:v>
                </c:pt>
                <c:pt idx="315">
                  <c:v>-53371.863103556345</c:v>
                </c:pt>
                <c:pt idx="316">
                  <c:v>-51202.496856183454</c:v>
                </c:pt>
                <c:pt idx="317">
                  <c:v>-48435.980922736286</c:v>
                </c:pt>
                <c:pt idx="318">
                  <c:v>-45021.144917732228</c:v>
                </c:pt>
                <c:pt idx="319">
                  <c:v>-40880.07082446594</c:v>
                </c:pt>
                <c:pt idx="320">
                  <c:v>-35890.219032829955</c:v>
                </c:pt>
                <c:pt idx="321">
                  <c:v>-29845.192130959957</c:v>
                </c:pt>
                <c:pt idx="322">
                  <c:v>-22354.609905317069</c:v>
                </c:pt>
                <c:pt idx="323">
                  <c:v>-12538.988396076053</c:v>
                </c:pt>
                <c:pt idx="324">
                  <c:v>1373.1818983388666</c:v>
                </c:pt>
                <c:pt idx="325">
                  <c:v>11482.071561800427</c:v>
                </c:pt>
                <c:pt idx="326">
                  <c:v>19308.81919635868</c:v>
                </c:pt>
                <c:pt idx="327">
                  <c:v>25755.411898220133</c:v>
                </c:pt>
                <c:pt idx="328">
                  <c:v>31192.744701045041</c:v>
                </c:pt>
                <c:pt idx="329">
                  <c:v>35791.024864163555</c:v>
                </c:pt>
                <c:pt idx="330">
                  <c:v>39629.854482201299</c:v>
                </c:pt>
                <c:pt idx="331">
                  <c:v>42740.077587388492</c:v>
                </c:pt>
                <c:pt idx="332">
                  <c:v>45120.85125912982</c:v>
                </c:pt>
                <c:pt idx="333">
                  <c:v>46745.60032226253</c:v>
                </c:pt>
                <c:pt idx="334">
                  <c:v>47561.34733190015</c:v>
                </c:pt>
                <c:pt idx="335">
                  <c:v>47482.090989335426</c:v>
                </c:pt>
                <c:pt idx="336">
                  <c:v>46374.140666080391</c:v>
                </c:pt>
                <c:pt idx="337">
                  <c:v>44027.616141988205</c:v>
                </c:pt>
                <c:pt idx="338">
                  <c:v>40102.804402665417</c:v>
                </c:pt>
                <c:pt idx="339">
                  <c:v>34046.138591873321</c:v>
                </c:pt>
                <c:pt idx="340">
                  <c:v>25164.922723729826</c:v>
                </c:pt>
                <c:pt idx="341">
                  <c:v>14310.915328600886</c:v>
                </c:pt>
                <c:pt idx="342">
                  <c:v>4504.7051264892252</c:v>
                </c:pt>
                <c:pt idx="343">
                  <c:v>-4121.7731643314946</c:v>
                </c:pt>
                <c:pt idx="344">
                  <c:v>-12735.073263376011</c:v>
                </c:pt>
                <c:pt idx="345">
                  <c:v>-23475.429320187883</c:v>
                </c:pt>
                <c:pt idx="346">
                  <c:v>-31503.284796807668</c:v>
                </c:pt>
                <c:pt idx="347">
                  <c:v>-37434.56863119387</c:v>
                </c:pt>
                <c:pt idx="348">
                  <c:v>-41944.665420783625</c:v>
                </c:pt>
                <c:pt idx="349">
                  <c:v>-45347.528181531343</c:v>
                </c:pt>
                <c:pt idx="350">
                  <c:v>-47810.55988755617</c:v>
                </c:pt>
                <c:pt idx="351">
                  <c:v>-49431.515333067175</c:v>
                </c:pt>
                <c:pt idx="352">
                  <c:v>-50269.081037430726</c:v>
                </c:pt>
                <c:pt idx="353">
                  <c:v>-50356.74074676419</c:v>
                </c:pt>
                <c:pt idx="354">
                  <c:v>-49709.605784739084</c:v>
                </c:pt>
                <c:pt idx="355">
                  <c:v>-48327.869285499575</c:v>
                </c:pt>
                <c:pt idx="356">
                  <c:v>-46198.50663710168</c:v>
                </c:pt>
                <c:pt idx="357">
                  <c:v>-43296.172455122891</c:v>
                </c:pt>
                <c:pt idx="358">
                  <c:v>-39584.252784997378</c:v>
                </c:pt>
                <c:pt idx="359">
                  <c:v>-35017.681472736214</c:v>
                </c:pt>
                <c:pt idx="360">
                  <c:v>-29550.626315641744</c:v>
                </c:pt>
                <c:pt idx="361">
                  <c:v>-23154.341560260433</c:v>
                </c:pt>
                <c:pt idx="362">
                  <c:v>-15852.449021720786</c:v>
                </c:pt>
                <c:pt idx="363">
                  <c:v>-7787.6320089738092</c:v>
                </c:pt>
                <c:pt idx="364">
                  <c:v>658.66186776296627</c:v>
                </c:pt>
                <c:pt idx="365">
                  <c:v>8836.8788352012652</c:v>
                </c:pt>
                <c:pt idx="366">
                  <c:v>16183.065166183023</c:v>
                </c:pt>
                <c:pt idx="367">
                  <c:v>22493.804272270281</c:v>
                </c:pt>
                <c:pt idx="368">
                  <c:v>27794.714541016452</c:v>
                </c:pt>
                <c:pt idx="369">
                  <c:v>32178.456773224789</c:v>
                </c:pt>
                <c:pt idx="370">
                  <c:v>35738.276281644161</c:v>
                </c:pt>
                <c:pt idx="371">
                  <c:v>38550.686102800239</c:v>
                </c:pt>
                <c:pt idx="372">
                  <c:v>40673.890579303996</c:v>
                </c:pt>
                <c:pt idx="373">
                  <c:v>42149.987398440695</c:v>
                </c:pt>
                <c:pt idx="374">
                  <c:v>43007.431968181714</c:v>
                </c:pt>
                <c:pt idx="375">
                  <c:v>43262.879380887913</c:v>
                </c:pt>
                <c:pt idx="376">
                  <c:v>42922.249152968863</c:v>
                </c:pt>
                <c:pt idx="377">
                  <c:v>41981.008337199695</c:v>
                </c:pt>
                <c:pt idx="378">
                  <c:v>40423.639401041313</c:v>
                </c:pt>
                <c:pt idx="379">
                  <c:v>38222.160095972387</c:v>
                </c:pt>
                <c:pt idx="380">
                  <c:v>35333.411928883615</c:v>
                </c:pt>
                <c:pt idx="381">
                  <c:v>31694.631783444394</c:v>
                </c:pt>
                <c:pt idx="382">
                  <c:v>27216.649177216557</c:v>
                </c:pt>
                <c:pt idx="383">
                  <c:v>21774.544156774085</c:v>
                </c:pt>
                <c:pt idx="384">
                  <c:v>15200.569003081811</c:v>
                </c:pt>
                <c:pt idx="385">
                  <c:v>7314.3758240077968</c:v>
                </c:pt>
                <c:pt idx="386">
                  <c:v>-1842.5075350853492</c:v>
                </c:pt>
                <c:pt idx="387">
                  <c:v>-11358.6411039287</c:v>
                </c:pt>
                <c:pt idx="388">
                  <c:v>-19812.063941748132</c:v>
                </c:pt>
                <c:pt idx="389">
                  <c:v>-26701.587973976184</c:v>
                </c:pt>
                <c:pt idx="390">
                  <c:v>-32133.119113050248</c:v>
                </c:pt>
                <c:pt idx="391">
                  <c:v>-36312.287351565297</c:v>
                </c:pt>
                <c:pt idx="392">
                  <c:v>-39410.304309470972</c:v>
                </c:pt>
                <c:pt idx="393">
                  <c:v>-41550.929630403902</c:v>
                </c:pt>
                <c:pt idx="394">
                  <c:v>-42818.823518646052</c:v>
                </c:pt>
                <c:pt idx="395">
                  <c:v>-43268.087194247775</c:v>
                </c:pt>
                <c:pt idx="396">
                  <c:v>-42927.722216450173</c:v>
                </c:pt>
                <c:pt idx="397">
                  <c:v>-41803.910716612503</c:v>
                </c:pt>
                <c:pt idx="398">
                  <c:v>-39879.047441093084</c:v>
                </c:pt>
                <c:pt idx="399">
                  <c:v>-37106.565745393716</c:v>
                </c:pt>
                <c:pt idx="400">
                  <c:v>-33398.627723561425</c:v>
                </c:pt>
                <c:pt idx="401">
                  <c:v>-28598.769993735103</c:v>
                </c:pt>
                <c:pt idx="402">
                  <c:v>-22416.652422214542</c:v>
                </c:pt>
                <c:pt idx="403">
                  <c:v>-14252.923278548382</c:v>
                </c:pt>
                <c:pt idx="404">
                  <c:v>-2867.882656675572</c:v>
                </c:pt>
                <c:pt idx="405">
                  <c:v>6519.7863008696586</c:v>
                </c:pt>
                <c:pt idx="406">
                  <c:v>12927.855347124623</c:v>
                </c:pt>
                <c:pt idx="407">
                  <c:v>17675.019013178746</c:v>
                </c:pt>
                <c:pt idx="408">
                  <c:v>21308.682679395923</c:v>
                </c:pt>
                <c:pt idx="409">
                  <c:v>24070.715955799118</c:v>
                </c:pt>
                <c:pt idx="410">
                  <c:v>26048.596643863108</c:v>
                </c:pt>
                <c:pt idx="411">
                  <c:v>27199.349769712946</c:v>
                </c:pt>
                <c:pt idx="412">
                  <c:v>27262.899846348362</c:v>
                </c:pt>
                <c:pt idx="413">
                  <c:v>25348.155122361066</c:v>
                </c:pt>
                <c:pt idx="414">
                  <c:v>19304.936234956171</c:v>
                </c:pt>
                <c:pt idx="415">
                  <c:v>13162.140477389763</c:v>
                </c:pt>
                <c:pt idx="416">
                  <c:v>7492.3680942621731</c:v>
                </c:pt>
                <c:pt idx="417">
                  <c:v>2182.115475616642</c:v>
                </c:pt>
                <c:pt idx="418">
                  <c:v>-2853.9118999539282</c:v>
                </c:pt>
                <c:pt idx="419">
                  <c:v>-7652.5891142804767</c:v>
                </c:pt>
                <c:pt idx="420">
                  <c:v>-12214.961786425949</c:v>
                </c:pt>
                <c:pt idx="421">
                  <c:v>-16510.660782104675</c:v>
                </c:pt>
                <c:pt idx="422">
                  <c:v>-20468.29011195472</c:v>
                </c:pt>
                <c:pt idx="423">
                  <c:v>-23935.769413062153</c:v>
                </c:pt>
                <c:pt idx="424">
                  <c:v>-26546.754217265887</c:v>
                </c:pt>
                <c:pt idx="425">
                  <c:v>-27268.315888908553</c:v>
                </c:pt>
                <c:pt idx="426">
                  <c:v>-24361.750632330361</c:v>
                </c:pt>
                <c:pt idx="427">
                  <c:v>-19671.633129776681</c:v>
                </c:pt>
                <c:pt idx="428">
                  <c:v>-14328.648778951061</c:v>
                </c:pt>
                <c:pt idx="429">
                  <c:v>-8518.4033543800542</c:v>
                </c:pt>
                <c:pt idx="430">
                  <c:v>-2344.9648689517949</c:v>
                </c:pt>
                <c:pt idx="431">
                  <c:v>3833.289178638518</c:v>
                </c:pt>
                <c:pt idx="432">
                  <c:v>9183.3377811649752</c:v>
                </c:pt>
                <c:pt idx="433">
                  <c:v>12691.057857750984</c:v>
                </c:pt>
                <c:pt idx="434">
                  <c:v>14007.221897762924</c:v>
                </c:pt>
                <c:pt idx="435">
                  <c:v>13459.720858338975</c:v>
                </c:pt>
                <c:pt idx="436">
                  <c:v>11525.573870287537</c:v>
                </c:pt>
                <c:pt idx="437">
                  <c:v>8601.9167050991764</c:v>
                </c:pt>
                <c:pt idx="438">
                  <c:v>4988.6440695883193</c:v>
                </c:pt>
                <c:pt idx="439">
                  <c:v>919.97760401096195</c:v>
                </c:pt>
                <c:pt idx="440">
                  <c:v>-3402.026123088393</c:v>
                </c:pt>
                <c:pt idx="441">
                  <c:v>-7775.9271330009296</c:v>
                </c:pt>
                <c:pt idx="442">
                  <c:v>-11963.922237493505</c:v>
                </c:pt>
                <c:pt idx="443">
                  <c:v>-15635.442298722979</c:v>
                </c:pt>
                <c:pt idx="444">
                  <c:v>-18269.673148010083</c:v>
                </c:pt>
                <c:pt idx="445">
                  <c:v>-19022.449910576393</c:v>
                </c:pt>
                <c:pt idx="446">
                  <c:v>-16879.054113968439</c:v>
                </c:pt>
                <c:pt idx="447">
                  <c:v>-11966.111033947485</c:v>
                </c:pt>
                <c:pt idx="448">
                  <c:v>-5800.6766735104266</c:v>
                </c:pt>
                <c:pt idx="449">
                  <c:v>610.16629160792752</c:v>
                </c:pt>
                <c:pt idx="450">
                  <c:v>6967.8145465345724</c:v>
                </c:pt>
                <c:pt idx="451">
                  <c:v>13310.39591088246</c:v>
                </c:pt>
                <c:pt idx="452">
                  <c:v>19780.303219411828</c:v>
                </c:pt>
                <c:pt idx="453">
                  <c:v>25844.61435462442</c:v>
                </c:pt>
                <c:pt idx="454">
                  <c:v>27608.865039355194</c:v>
                </c:pt>
                <c:pt idx="455">
                  <c:v>27165.755742963534</c:v>
                </c:pt>
                <c:pt idx="456">
                  <c:v>25730.638821423559</c:v>
                </c:pt>
                <c:pt idx="457">
                  <c:v>23736.953698954123</c:v>
                </c:pt>
                <c:pt idx="458">
                  <c:v>21386.550262624904</c:v>
                </c:pt>
                <c:pt idx="459">
                  <c:v>18796.865818477909</c:v>
                </c:pt>
                <c:pt idx="460">
                  <c:v>16050.012088816778</c:v>
                </c:pt>
                <c:pt idx="461">
                  <c:v>13214.167668493064</c:v>
                </c:pt>
                <c:pt idx="462">
                  <c:v>10356.37737297262</c:v>
                </c:pt>
                <c:pt idx="463">
                  <c:v>7553.8631397969275</c:v>
                </c:pt>
                <c:pt idx="464">
                  <c:v>4907.9057887822219</c:v>
                </c:pt>
                <c:pt idx="465">
                  <c:v>2562.3663871823223</c:v>
                </c:pt>
                <c:pt idx="466">
                  <c:v>716.53244649931491</c:v>
                </c:pt>
                <c:pt idx="467">
                  <c:v>-435.41965685064372</c:v>
                </c:pt>
                <c:pt idx="468">
                  <c:v>-908.61540989961497</c:v>
                </c:pt>
                <c:pt idx="469">
                  <c:v>-869.46508075329587</c:v>
                </c:pt>
                <c:pt idx="470">
                  <c:v>-496.6929040989811</c:v>
                </c:pt>
                <c:pt idx="471">
                  <c:v>1.2370377304762883</c:v>
                </c:pt>
                <c:pt idx="472">
                  <c:v>337.60867480513537</c:v>
                </c:pt>
                <c:pt idx="473">
                  <c:v>-158.24285829260248</c:v>
                </c:pt>
                <c:pt idx="474">
                  <c:v>-3691.0362007335707</c:v>
                </c:pt>
                <c:pt idx="475">
                  <c:v>-7783.1044587845217</c:v>
                </c:pt>
                <c:pt idx="476">
                  <c:v>-11436.793765899265</c:v>
                </c:pt>
                <c:pt idx="477">
                  <c:v>-14615.649211591248</c:v>
                </c:pt>
                <c:pt idx="478">
                  <c:v>-17350.278260747975</c:v>
                </c:pt>
                <c:pt idx="479">
                  <c:v>-19663.500697596446</c:v>
                </c:pt>
                <c:pt idx="480">
                  <c:v>-21564.212423650442</c:v>
                </c:pt>
                <c:pt idx="481">
                  <c:v>-23047.547232747474</c:v>
                </c:pt>
                <c:pt idx="482">
                  <c:v>-24094.175012087107</c:v>
                </c:pt>
                <c:pt idx="483">
                  <c:v>-24667.268522832775</c:v>
                </c:pt>
                <c:pt idx="484">
                  <c:v>-24705.583519666299</c:v>
                </c:pt>
                <c:pt idx="485">
                  <c:v>-24109.028904947219</c:v>
                </c:pt>
                <c:pt idx="486">
                  <c:v>-22707.164999279714</c:v>
                </c:pt>
                <c:pt idx="487">
                  <c:v>-20182.201019581418</c:v>
                </c:pt>
                <c:pt idx="488">
                  <c:v>-15851.185035606439</c:v>
                </c:pt>
                <c:pt idx="489">
                  <c:v>-8120.4905902268911</c:v>
                </c:pt>
                <c:pt idx="490">
                  <c:v>1715.9263049789033</c:v>
                </c:pt>
                <c:pt idx="491">
                  <c:v>10004.438934669908</c:v>
                </c:pt>
                <c:pt idx="492">
                  <c:v>17043.15802953524</c:v>
                </c:pt>
                <c:pt idx="493">
                  <c:v>23142.269918386177</c:v>
                </c:pt>
                <c:pt idx="494">
                  <c:v>28423.06363975798</c:v>
                </c:pt>
                <c:pt idx="495">
                  <c:v>32876.957015194799</c:v>
                </c:pt>
                <c:pt idx="496">
                  <c:v>36399.416849460271</c:v>
                </c:pt>
                <c:pt idx="497">
                  <c:v>38799.071496581731</c:v>
                </c:pt>
                <c:pt idx="498">
                  <c:v>39790.053764195582</c:v>
                </c:pt>
                <c:pt idx="499">
                  <c:v>38980.659812670456</c:v>
                </c:pt>
                <c:pt idx="500">
                  <c:v>35906.811792588378</c:v>
                </c:pt>
                <c:pt idx="501">
                  <c:v>30265.701249347218</c:v>
                </c:pt>
                <c:pt idx="502">
                  <c:v>22510.220975904587</c:v>
                </c:pt>
                <c:pt idx="503">
                  <c:v>14014.63525854689</c:v>
                </c:pt>
                <c:pt idx="504">
                  <c:v>5940.377142243392</c:v>
                </c:pt>
                <c:pt idx="505">
                  <c:v>-1393.8135852626283</c:v>
                </c:pt>
                <c:pt idx="506">
                  <c:v>-8298.1650074860081</c:v>
                </c:pt>
                <c:pt idx="507">
                  <c:v>-15714.74694951608</c:v>
                </c:pt>
                <c:pt idx="508">
                  <c:v>-25292.947882499291</c:v>
                </c:pt>
                <c:pt idx="509">
                  <c:v>-32254.767299979369</c:v>
                </c:pt>
                <c:pt idx="510">
                  <c:v>-37624.716760139861</c:v>
                </c:pt>
                <c:pt idx="511">
                  <c:v>-41873.930088213041</c:v>
                </c:pt>
                <c:pt idx="512">
                  <c:v>-45214.794914242571</c:v>
                </c:pt>
                <c:pt idx="513">
                  <c:v>-47760.104439132221</c:v>
                </c:pt>
                <c:pt idx="514">
                  <c:v>-49576.103364857503</c:v>
                </c:pt>
                <c:pt idx="515">
                  <c:v>-50703.159984588463</c:v>
                </c:pt>
                <c:pt idx="516">
                  <c:v>-51164.773824691671</c:v>
                </c:pt>
                <c:pt idx="517">
                  <c:v>-50971.613943253869</c:v>
                </c:pt>
                <c:pt idx="518">
                  <c:v>-50123.021737498464</c:v>
                </c:pt>
                <c:pt idx="519">
                  <c:v>-48606.85574357216</c:v>
                </c:pt>
                <c:pt idx="520">
                  <c:v>-46397.828020918365</c:v>
                </c:pt>
                <c:pt idx="521">
                  <c:v>-43453.952188295087</c:v>
                </c:pt>
                <c:pt idx="522">
                  <c:v>-39710.052859105708</c:v>
                </c:pt>
                <c:pt idx="523">
                  <c:v>-35066.086358280983</c:v>
                </c:pt>
                <c:pt idx="524">
                  <c:v>-29365.654670164477</c:v>
                </c:pt>
                <c:pt idx="525">
                  <c:v>-22356.480684974718</c:v>
                </c:pt>
                <c:pt idx="526">
                  <c:v>-13636.477782991873</c:v>
                </c:pt>
                <c:pt idx="527">
                  <c:v>-2891.9588278348383</c:v>
                </c:pt>
                <c:pt idx="528">
                  <c:v>6845.216116716354</c:v>
                </c:pt>
                <c:pt idx="529">
                  <c:v>13286.154322939909</c:v>
                </c:pt>
                <c:pt idx="530">
                  <c:v>17843.518023196055</c:v>
                </c:pt>
                <c:pt idx="531">
                  <c:v>21272.399985918717</c:v>
                </c:pt>
                <c:pt idx="532">
                  <c:v>23891.211985465503</c:v>
                </c:pt>
                <c:pt idx="533">
                  <c:v>25752.745469729707</c:v>
                </c:pt>
                <c:pt idx="534">
                  <c:v>26516.818505071264</c:v>
                </c:pt>
                <c:pt idx="535">
                  <c:v>24455.193620038335</c:v>
                </c:pt>
                <c:pt idx="536">
                  <c:v>19462.261186022439</c:v>
                </c:pt>
                <c:pt idx="537">
                  <c:v>14237.902702107436</c:v>
                </c:pt>
                <c:pt idx="538">
                  <c:v>9127.1209028295289</c:v>
                </c:pt>
                <c:pt idx="539">
                  <c:v>4164.9738594583887</c:v>
                </c:pt>
                <c:pt idx="540">
                  <c:v>-643.0548244753187</c:v>
                </c:pt>
                <c:pt idx="541">
                  <c:v>-5286.3863514430259</c:v>
                </c:pt>
                <c:pt idx="542">
                  <c:v>-9745.580601987047</c:v>
                </c:pt>
                <c:pt idx="543">
                  <c:v>-13992.115579574098</c:v>
                </c:pt>
                <c:pt idx="544">
                  <c:v>-17987.120605995813</c:v>
                </c:pt>
                <c:pt idx="545">
                  <c:v>-21677.596373462791</c:v>
                </c:pt>
                <c:pt idx="546">
                  <c:v>-24988.105706652925</c:v>
                </c:pt>
                <c:pt idx="547">
                  <c:v>-27803.035648419882</c:v>
                </c:pt>
                <c:pt idx="548">
                  <c:v>-29926.361662497922</c:v>
                </c:pt>
                <c:pt idx="549">
                  <c:v>-30982.987601620771</c:v>
                </c:pt>
                <c:pt idx="550">
                  <c:v>-30190.580313816336</c:v>
                </c:pt>
                <c:pt idx="551">
                  <c:v>-26387.924310956827</c:v>
                </c:pt>
                <c:pt idx="552">
                  <c:v>-20438.209547612612</c:v>
                </c:pt>
                <c:pt idx="553">
                  <c:v>-13762.476336441974</c:v>
                </c:pt>
                <c:pt idx="554">
                  <c:v>-6665.1090379787765</c:v>
                </c:pt>
                <c:pt idx="555">
                  <c:v>720.97061163005355</c:v>
                </c:pt>
                <c:pt idx="556">
                  <c:v>7988.8056636811107</c:v>
                </c:pt>
                <c:pt idx="557">
                  <c:v>14476.320782276473</c:v>
                </c:pt>
                <c:pt idx="558">
                  <c:v>19724.114584343766</c:v>
                </c:pt>
                <c:pt idx="559">
                  <c:v>23671.841873464091</c:v>
                </c:pt>
                <c:pt idx="560">
                  <c:v>26458.445932259605</c:v>
                </c:pt>
                <c:pt idx="561">
                  <c:v>28254.728490413967</c:v>
                </c:pt>
                <c:pt idx="562">
                  <c:v>29206.886522029305</c:v>
                </c:pt>
                <c:pt idx="563">
                  <c:v>29428.380868412598</c:v>
                </c:pt>
                <c:pt idx="564">
                  <c:v>29004.600746480297</c:v>
                </c:pt>
                <c:pt idx="565">
                  <c:v>27999.028489374676</c:v>
                </c:pt>
                <c:pt idx="566">
                  <c:v>26458.237790170231</c:v>
                </c:pt>
                <c:pt idx="567">
                  <c:v>24415.441413960973</c:v>
                </c:pt>
                <c:pt idx="568">
                  <c:v>21892.820145210815</c:v>
                </c:pt>
                <c:pt idx="569">
                  <c:v>18902.899879769648</c:v>
                </c:pt>
                <c:pt idx="570">
                  <c:v>15449.208849791012</c:v>
                </c:pt>
                <c:pt idx="571">
                  <c:v>11526.53942683206</c:v>
                </c:pt>
                <c:pt idx="572">
                  <c:v>7121.8031241227718</c:v>
                </c:pt>
                <c:pt idx="573">
                  <c:v>2219.7549377292085</c:v>
                </c:pt>
                <c:pt idx="574">
                  <c:v>-3164.2863404140789</c:v>
                </c:pt>
                <c:pt idx="575">
                  <c:v>-8782.1216010416902</c:v>
                </c:pt>
                <c:pt idx="576">
                  <c:v>-12815.930897340244</c:v>
                </c:pt>
                <c:pt idx="577">
                  <c:v>-13021.041943952692</c:v>
                </c:pt>
                <c:pt idx="578">
                  <c:v>-11746.8874813005</c:v>
                </c:pt>
                <c:pt idx="579">
                  <c:v>-9822.6638986097933</c:v>
                </c:pt>
                <c:pt idx="580">
                  <c:v>-7517.4382347103374</c:v>
                </c:pt>
                <c:pt idx="581">
                  <c:v>-5044.3821763711157</c:v>
                </c:pt>
                <c:pt idx="582">
                  <c:v>-2663.4829835747851</c:v>
                </c:pt>
                <c:pt idx="583">
                  <c:v>-57.059722298663189</c:v>
                </c:pt>
                <c:pt idx="584">
                  <c:v>3105.3962651126112</c:v>
                </c:pt>
                <c:pt idx="585">
                  <c:v>6695.8428992772242</c:v>
                </c:pt>
                <c:pt idx="586">
                  <c:v>10504.509415787681</c:v>
                </c:pt>
                <c:pt idx="587">
                  <c:v>14371.378430164237</c:v>
                </c:pt>
                <c:pt idx="588">
                  <c:v>18185.884869419027</c:v>
                </c:pt>
                <c:pt idx="589">
                  <c:v>21868.575903852998</c:v>
                </c:pt>
                <c:pt idx="590">
                  <c:v>25356.771316450329</c:v>
                </c:pt>
                <c:pt idx="591">
                  <c:v>28594.843526255423</c:v>
                </c:pt>
                <c:pt idx="592">
                  <c:v>31527.045369471358</c:v>
                </c:pt>
                <c:pt idx="593">
                  <c:v>34091.003886431572</c:v>
                </c:pt>
                <c:pt idx="594">
                  <c:v>36210.091379444326</c:v>
                </c:pt>
                <c:pt idx="595">
                  <c:v>37782.256945410903</c:v>
                </c:pt>
                <c:pt idx="596">
                  <c:v>38660.852574164936</c:v>
                </c:pt>
                <c:pt idx="597">
                  <c:v>38617.599710942486</c:v>
                </c:pt>
                <c:pt idx="598">
                  <c:v>37264.280993229026</c:v>
                </c:pt>
                <c:pt idx="599">
                  <c:v>33886.683623615943</c:v>
                </c:pt>
                <c:pt idx="600">
                  <c:v>27307.388663750324</c:v>
                </c:pt>
                <c:pt idx="601">
                  <c:v>17846.830853317228</c:v>
                </c:pt>
                <c:pt idx="602">
                  <c:v>8347.9289962564308</c:v>
                </c:pt>
                <c:pt idx="603">
                  <c:v>-683.20216404198743</c:v>
                </c:pt>
                <c:pt idx="604">
                  <c:v>-9431.919081484788</c:v>
                </c:pt>
                <c:pt idx="605">
                  <c:v>-17883.225619445548</c:v>
                </c:pt>
                <c:pt idx="606">
                  <c:v>-25726.941740999246</c:v>
                </c:pt>
                <c:pt idx="607">
                  <c:v>-32667.772571100795</c:v>
                </c:pt>
                <c:pt idx="608">
                  <c:v>-38623.189897285549</c:v>
                </c:pt>
                <c:pt idx="609">
                  <c:v>-43637.766803885919</c:v>
                </c:pt>
                <c:pt idx="610">
                  <c:v>-47789.180252805723</c:v>
                </c:pt>
                <c:pt idx="611">
                  <c:v>-51150.698457350969</c:v>
                </c:pt>
                <c:pt idx="612">
                  <c:v>-53781.457310650949</c:v>
                </c:pt>
                <c:pt idx="613">
                  <c:v>-55725.7341923684</c:v>
                </c:pt>
                <c:pt idx="614">
                  <c:v>-57014.374543250495</c:v>
                </c:pt>
                <c:pt idx="615">
                  <c:v>-57666.249476845107</c:v>
                </c:pt>
                <c:pt idx="616">
                  <c:v>-57689.132140557296</c:v>
                </c:pt>
                <c:pt idx="617">
                  <c:v>-57079.784665043087</c:v>
                </c:pt>
                <c:pt idx="618">
                  <c:v>-55823.063653452649</c:v>
                </c:pt>
                <c:pt idx="619">
                  <c:v>-53889.664998975364</c:v>
                </c:pt>
                <c:pt idx="620">
                  <c:v>-51231.683955888984</c:v>
                </c:pt>
                <c:pt idx="621">
                  <c:v>-47774.14298776762</c:v>
                </c:pt>
                <c:pt idx="622">
                  <c:v>-43398.024748428172</c:v>
                </c:pt>
                <c:pt idx="623">
                  <c:v>-37902.732463616288</c:v>
                </c:pt>
                <c:pt idx="624">
                  <c:v>-30911.062958938586</c:v>
                </c:pt>
                <c:pt idx="625">
                  <c:v>-21627.361011218571</c:v>
                </c:pt>
                <c:pt idx="626">
                  <c:v>-10558.433957566293</c:v>
                </c:pt>
                <c:pt idx="627">
                  <c:v>-1159.3063350099192</c:v>
                </c:pt>
                <c:pt idx="628">
                  <c:v>8760.0975582920819</c:v>
                </c:pt>
                <c:pt idx="629">
                  <c:v>20474.660742443579</c:v>
                </c:pt>
                <c:pt idx="630">
                  <c:v>31628.692996362985</c:v>
                </c:pt>
                <c:pt idx="631">
                  <c:v>39842.724388554736</c:v>
                </c:pt>
                <c:pt idx="632">
                  <c:v>45917.970047873117</c:v>
                </c:pt>
                <c:pt idx="633">
                  <c:v>50493.589996251889</c:v>
                </c:pt>
                <c:pt idx="634">
                  <c:v>53932.314652476009</c:v>
                </c:pt>
                <c:pt idx="635">
                  <c:v>56449.494699186922</c:v>
                </c:pt>
                <c:pt idx="636">
                  <c:v>58181.741795891074</c:v>
                </c:pt>
                <c:pt idx="637">
                  <c:v>59220.364031281213</c:v>
                </c:pt>
                <c:pt idx="638">
                  <c:v>59628.550640490401</c:v>
                </c:pt>
                <c:pt idx="639">
                  <c:v>59450.76530012369</c:v>
                </c:pt>
                <c:pt idx="640">
                  <c:v>58718.123565345253</c:v>
                </c:pt>
                <c:pt idx="641">
                  <c:v>57451.527094752186</c:v>
                </c:pt>
                <c:pt idx="642">
                  <c:v>55663.418448274417</c:v>
                </c:pt>
                <c:pt idx="643">
                  <c:v>53358.565292190426</c:v>
                </c:pt>
                <c:pt idx="644">
                  <c:v>50534.012891784871</c:v>
                </c:pt>
                <c:pt idx="645">
                  <c:v>47178.12462457113</c:v>
                </c:pt>
                <c:pt idx="646">
                  <c:v>43268.358719719021</c:v>
                </c:pt>
                <c:pt idx="647">
                  <c:v>38766.95558070371</c:v>
                </c:pt>
                <c:pt idx="648">
                  <c:v>33612.697588284798</c:v>
                </c:pt>
                <c:pt idx="649">
                  <c:v>27704.421125980971</c:v>
                </c:pt>
                <c:pt idx="650">
                  <c:v>20865.022392181869</c:v>
                </c:pt>
                <c:pt idx="651">
                  <c:v>12752.380487784745</c:v>
                </c:pt>
                <c:pt idx="652">
                  <c:v>2608.4941427622043</c:v>
                </c:pt>
                <c:pt idx="653">
                  <c:v>-10925.262230849341</c:v>
                </c:pt>
                <c:pt idx="654">
                  <c:v>-20472.303150655716</c:v>
                </c:pt>
                <c:pt idx="655">
                  <c:v>-27386.683247172608</c:v>
                </c:pt>
                <c:pt idx="656">
                  <c:v>-32703.530262330289</c:v>
                </c:pt>
                <c:pt idx="657">
                  <c:v>-36858.009215819817</c:v>
                </c:pt>
                <c:pt idx="658">
                  <c:v>-40057.856297346392</c:v>
                </c:pt>
                <c:pt idx="659">
                  <c:v>-42407.600839644787</c:v>
                </c:pt>
                <c:pt idx="660">
                  <c:v>-43954.973967349557</c:v>
                </c:pt>
                <c:pt idx="661">
                  <c:v>-44709.265382730882</c:v>
                </c:pt>
                <c:pt idx="662">
                  <c:v>-44646.544550036393</c:v>
                </c:pt>
                <c:pt idx="663">
                  <c:v>-43705.602023724241</c:v>
                </c:pt>
                <c:pt idx="664">
                  <c:v>-41772.618722021158</c:v>
                </c:pt>
                <c:pt idx="665">
                  <c:v>-38645.197531964957</c:v>
                </c:pt>
                <c:pt idx="666">
                  <c:v>-33951.882943101322</c:v>
                </c:pt>
                <c:pt idx="667">
                  <c:v>-27008.608552435977</c:v>
                </c:pt>
                <c:pt idx="668">
                  <c:v>-17346.646330454281</c:v>
                </c:pt>
                <c:pt idx="669">
                  <c:v>-7898.16041904349</c:v>
                </c:pt>
                <c:pt idx="670">
                  <c:v>1103.6765680365957</c:v>
                </c:pt>
                <c:pt idx="671">
                  <c:v>11010.278070694041</c:v>
                </c:pt>
                <c:pt idx="672">
                  <c:v>23999.509446058662</c:v>
                </c:pt>
                <c:pt idx="673">
                  <c:v>33371.019965005093</c:v>
                </c:pt>
                <c:pt idx="674">
                  <c:v>39758.428908313785</c:v>
                </c:pt>
                <c:pt idx="675">
                  <c:v>44212.972396704266</c:v>
                </c:pt>
                <c:pt idx="676">
                  <c:v>47200.190896965134</c:v>
                </c:pt>
                <c:pt idx="677">
                  <c:v>48951.701052685734</c:v>
                </c:pt>
                <c:pt idx="678">
                  <c:v>49587.337885608453</c:v>
                </c:pt>
                <c:pt idx="679">
                  <c:v>49160.88287133316</c:v>
                </c:pt>
                <c:pt idx="680">
                  <c:v>47677.531023245145</c:v>
                </c:pt>
                <c:pt idx="681">
                  <c:v>45097.48920262327</c:v>
                </c:pt>
                <c:pt idx="682">
                  <c:v>41329.256962560852</c:v>
                </c:pt>
                <c:pt idx="683">
                  <c:v>36211.534932322924</c:v>
                </c:pt>
                <c:pt idx="684">
                  <c:v>29486.588107522653</c:v>
                </c:pt>
                <c:pt idx="685">
                  <c:v>20865.633377494523</c:v>
                </c:pt>
                <c:pt idx="686">
                  <c:v>11434.80738769655</c:v>
                </c:pt>
                <c:pt idx="687">
                  <c:v>5158.4638842290224</c:v>
                </c:pt>
                <c:pt idx="688">
                  <c:v>532.21359186658856</c:v>
                </c:pt>
                <c:pt idx="689">
                  <c:v>-3492.1181906399752</c:v>
                </c:pt>
                <c:pt idx="690">
                  <c:v>-7233.9469821848179</c:v>
                </c:pt>
                <c:pt idx="691">
                  <c:v>-10749.973306032156</c:v>
                </c:pt>
                <c:pt idx="692">
                  <c:v>-14019.948078854844</c:v>
                </c:pt>
                <c:pt idx="693">
                  <c:v>-17000.39636106414</c:v>
                </c:pt>
                <c:pt idx="694">
                  <c:v>-19633.75867326614</c:v>
                </c:pt>
                <c:pt idx="695">
                  <c:v>-21840.396316975701</c:v>
                </c:pt>
                <c:pt idx="696">
                  <c:v>-23492.382912588491</c:v>
                </c:pt>
                <c:pt idx="697">
                  <c:v>-24332.396601926372</c:v>
                </c:pt>
                <c:pt idx="698">
                  <c:v>-23637.107907280704</c:v>
                </c:pt>
                <c:pt idx="699">
                  <c:v>-19534.028372406363</c:v>
                </c:pt>
                <c:pt idx="700">
                  <c:v>-14890.514942335803</c:v>
                </c:pt>
                <c:pt idx="701">
                  <c:v>-9965.2764143615477</c:v>
                </c:pt>
                <c:pt idx="702">
                  <c:v>-4702.1350318778368</c:v>
                </c:pt>
                <c:pt idx="703">
                  <c:v>772.75232413236904</c:v>
                </c:pt>
                <c:pt idx="704">
                  <c:v>6009.337909985732</c:v>
                </c:pt>
                <c:pt idx="705">
                  <c:v>10160.745998083939</c:v>
                </c:pt>
                <c:pt idx="706">
                  <c:v>12319.728020122519</c:v>
                </c:pt>
                <c:pt idx="707">
                  <c:v>12192.564581556659</c:v>
                </c:pt>
                <c:pt idx="708">
                  <c:v>10130.523455010818</c:v>
                </c:pt>
                <c:pt idx="709">
                  <c:v>6678.1149898638369</c:v>
                </c:pt>
                <c:pt idx="710">
                  <c:v>2327.1610556804471</c:v>
                </c:pt>
                <c:pt idx="711">
                  <c:v>-2517.1285732412116</c:v>
                </c:pt>
                <c:pt idx="712">
                  <c:v>-7501.5577270327176</c:v>
                </c:pt>
                <c:pt idx="713">
                  <c:v>-12276.808650847797</c:v>
                </c:pt>
                <c:pt idx="714">
                  <c:v>-16443.081336208954</c:v>
                </c:pt>
                <c:pt idx="715">
                  <c:v>-19487.066535365462</c:v>
                </c:pt>
                <c:pt idx="716">
                  <c:v>-20734.188213509042</c:v>
                </c:pt>
                <c:pt idx="717">
                  <c:v>-19465.376572254969</c:v>
                </c:pt>
                <c:pt idx="718">
                  <c:v>-15504.900300410767</c:v>
                </c:pt>
                <c:pt idx="719">
                  <c:v>-9737.2256438773475</c:v>
                </c:pt>
                <c:pt idx="720">
                  <c:v>-3287.7846691180139</c:v>
                </c:pt>
                <c:pt idx="721">
                  <c:v>3241.3421157602083</c:v>
                </c:pt>
                <c:pt idx="722">
                  <c:v>9696.9353332747851</c:v>
                </c:pt>
                <c:pt idx="723">
                  <c:v>16134.549584881555</c:v>
                </c:pt>
                <c:pt idx="724">
                  <c:v>22529.48740082419</c:v>
                </c:pt>
                <c:pt idx="725">
                  <c:v>27568.250849723398</c:v>
                </c:pt>
                <c:pt idx="726">
                  <c:v>28254.904137340563</c:v>
                </c:pt>
                <c:pt idx="727">
                  <c:v>26811.727376275572</c:v>
                </c:pt>
                <c:pt idx="728">
                  <c:v>24412.858104542265</c:v>
                </c:pt>
                <c:pt idx="729">
                  <c:v>21509.990026754156</c:v>
                </c:pt>
                <c:pt idx="730">
                  <c:v>18321.809762095836</c:v>
                </c:pt>
                <c:pt idx="731">
                  <c:v>14980.818283829933</c:v>
                </c:pt>
                <c:pt idx="732">
                  <c:v>11585.206171166261</c:v>
                </c:pt>
                <c:pt idx="733">
                  <c:v>8222.2292758535659</c:v>
                </c:pt>
                <c:pt idx="734">
                  <c:v>4981.8516340535471</c:v>
                </c:pt>
                <c:pt idx="735">
                  <c:v>1965.4710907249009</c:v>
                </c:pt>
                <c:pt idx="736">
                  <c:v>-716.10856329142405</c:v>
                </c:pt>
                <c:pt idx="737">
                  <c:v>-2989.2902407278766</c:v>
                </c:pt>
                <c:pt idx="738">
                  <c:v>-5004.6207305762637</c:v>
                </c:pt>
                <c:pt idx="739">
                  <c:v>-7313.6946776272825</c:v>
                </c:pt>
                <c:pt idx="740">
                  <c:v>-9953.0707665518876</c:v>
                </c:pt>
                <c:pt idx="741">
                  <c:v>-12440.968879116133</c:v>
                </c:pt>
                <c:pt idx="742">
                  <c:v>-14489.285560557557</c:v>
                </c:pt>
                <c:pt idx="743">
                  <c:v>-15858.156609236428</c:v>
                </c:pt>
                <c:pt idx="744">
                  <c:v>-16107.80147795142</c:v>
                </c:pt>
                <c:pt idx="745">
                  <c:v>-14189.672612201341</c:v>
                </c:pt>
                <c:pt idx="746">
                  <c:v>-8331.3017318920938</c:v>
                </c:pt>
                <c:pt idx="747">
                  <c:v>-1020.3210391885111</c:v>
                </c:pt>
                <c:pt idx="748">
                  <c:v>5555.2282969775524</c:v>
                </c:pt>
                <c:pt idx="749">
                  <c:v>11076.589038533652</c:v>
                </c:pt>
                <c:pt idx="750">
                  <c:v>15545.951915476087</c:v>
                </c:pt>
                <c:pt idx="751">
                  <c:v>18990.504052186785</c:v>
                </c:pt>
                <c:pt idx="752">
                  <c:v>21416.367736523451</c:v>
                </c:pt>
                <c:pt idx="753">
                  <c:v>22802.186144735795</c:v>
                </c:pt>
                <c:pt idx="754">
                  <c:v>23099.303414334972</c:v>
                </c:pt>
                <c:pt idx="755">
                  <c:v>22234.707664269561</c:v>
                </c:pt>
                <c:pt idx="756">
                  <c:v>20121.606480898088</c:v>
                </c:pt>
                <c:pt idx="757">
                  <c:v>16691.728146073878</c:v>
                </c:pt>
                <c:pt idx="758">
                  <c:v>11973.351154524193</c:v>
                </c:pt>
                <c:pt idx="759">
                  <c:v>6213.1998454421437</c:v>
                </c:pt>
                <c:pt idx="760">
                  <c:v>-91.296840816937561</c:v>
                </c:pt>
                <c:pt idx="761">
                  <c:v>-6416.0874485175609</c:v>
                </c:pt>
                <c:pt idx="762">
                  <c:v>-12461.674169882099</c:v>
                </c:pt>
                <c:pt idx="763">
                  <c:v>-18141.090082576782</c:v>
                </c:pt>
                <c:pt idx="764">
                  <c:v>-23318.431207131347</c:v>
                </c:pt>
                <c:pt idx="765">
                  <c:v>-26900.625795746451</c:v>
                </c:pt>
                <c:pt idx="766">
                  <c:v>-26794.48487610152</c:v>
                </c:pt>
                <c:pt idx="767">
                  <c:v>-24636.554373662977</c:v>
                </c:pt>
                <c:pt idx="768">
                  <c:v>-21501.834576595626</c:v>
                </c:pt>
                <c:pt idx="769">
                  <c:v>-17803.21584193311</c:v>
                </c:pt>
                <c:pt idx="770">
                  <c:v>-13727.11087665093</c:v>
                </c:pt>
                <c:pt idx="771">
                  <c:v>-9368.9753810984203</c:v>
                </c:pt>
                <c:pt idx="772">
                  <c:v>-4771.5114784685147</c:v>
                </c:pt>
                <c:pt idx="773">
                  <c:v>76.812290756662435</c:v>
                </c:pt>
                <c:pt idx="774">
                  <c:v>5279.8817732627685</c:v>
                </c:pt>
                <c:pt idx="775">
                  <c:v>11144.77317699832</c:v>
                </c:pt>
                <c:pt idx="776">
                  <c:v>18474.265256624727</c:v>
                </c:pt>
                <c:pt idx="777">
                  <c:v>26814.22496755511</c:v>
                </c:pt>
                <c:pt idx="778">
                  <c:v>32486.467685800821</c:v>
                </c:pt>
                <c:pt idx="779">
                  <c:v>36637.939111533517</c:v>
                </c:pt>
                <c:pt idx="780">
                  <c:v>39721.410398601896</c:v>
                </c:pt>
                <c:pt idx="781">
                  <c:v>41941.56472043386</c:v>
                </c:pt>
                <c:pt idx="782">
                  <c:v>43408.629121908394</c:v>
                </c:pt>
                <c:pt idx="783">
                  <c:v>44189.21019785307</c:v>
                </c:pt>
                <c:pt idx="784">
                  <c:v>44326.116916360246</c:v>
                </c:pt>
                <c:pt idx="785">
                  <c:v>43847.010010101716</c:v>
                </c:pt>
                <c:pt idx="786">
                  <c:v>42768.360219719631</c:v>
                </c:pt>
                <c:pt idx="787">
                  <c:v>41097.112553217463</c:v>
                </c:pt>
                <c:pt idx="788">
                  <c:v>38830.975646235551</c:v>
                </c:pt>
                <c:pt idx="789">
                  <c:v>35957.612279177847</c:v>
                </c:pt>
                <c:pt idx="790">
                  <c:v>32452.628298806147</c:v>
                </c:pt>
                <c:pt idx="791">
                  <c:v>28275.904589672144</c:v>
                </c:pt>
                <c:pt idx="792">
                  <c:v>23365.35030878376</c:v>
                </c:pt>
                <c:pt idx="793">
                  <c:v>17626.581639706044</c:v>
                </c:pt>
                <c:pt idx="794">
                  <c:v>10917.614735992183</c:v>
                </c:pt>
                <c:pt idx="795">
                  <c:v>3041.956845244546</c:v>
                </c:pt>
                <c:pt idx="796">
                  <c:v>-6085.2402094277222</c:v>
                </c:pt>
                <c:pt idx="797">
                  <c:v>-14733.679600664365</c:v>
                </c:pt>
                <c:pt idx="798">
                  <c:v>-19574.769507827983</c:v>
                </c:pt>
                <c:pt idx="799">
                  <c:v>-22128.460564773592</c:v>
                </c:pt>
                <c:pt idx="800">
                  <c:v>-23370.019753737946</c:v>
                </c:pt>
                <c:pt idx="801">
                  <c:v>-23679.639553125045</c:v>
                </c:pt>
                <c:pt idx="802">
                  <c:v>-23153.246566617498</c:v>
                </c:pt>
                <c:pt idx="803">
                  <c:v>-21638.604937776065</c:v>
                </c:pt>
                <c:pt idx="804">
                  <c:v>-18497.738432650509</c:v>
                </c:pt>
                <c:pt idx="805">
                  <c:v>-15324.962672648344</c:v>
                </c:pt>
                <c:pt idx="806">
                  <c:v>-11938.751165928612</c:v>
                </c:pt>
                <c:pt idx="807">
                  <c:v>-8292.714632681982</c:v>
                </c:pt>
                <c:pt idx="808">
                  <c:v>-4421.4274638241222</c:v>
                </c:pt>
                <c:pt idx="809">
                  <c:v>-381.22215508912609</c:v>
                </c:pt>
                <c:pt idx="810">
                  <c:v>3769.6818014399219</c:v>
                </c:pt>
                <c:pt idx="811">
                  <c:v>7977.3039997441965</c:v>
                </c:pt>
                <c:pt idx="812">
                  <c:v>12193.018858839716</c:v>
                </c:pt>
                <c:pt idx="813">
                  <c:v>16372.862984093726</c:v>
                </c:pt>
                <c:pt idx="814">
                  <c:v>20476.248108220367</c:v>
                </c:pt>
                <c:pt idx="815">
                  <c:v>24464.515606731962</c:v>
                </c:pt>
                <c:pt idx="816">
                  <c:v>28299.449789114064</c:v>
                </c:pt>
                <c:pt idx="817">
                  <c:v>31941.728329672256</c:v>
                </c:pt>
                <c:pt idx="818">
                  <c:v>35349.215532067596</c:v>
                </c:pt>
                <c:pt idx="819">
                  <c:v>38474.946434919708</c:v>
                </c:pt>
                <c:pt idx="820">
                  <c:v>41264.578735094721</c:v>
                </c:pt>
                <c:pt idx="821">
                  <c:v>43652.982727544033</c:v>
                </c:pt>
                <c:pt idx="822">
                  <c:v>45559.474346549323</c:v>
                </c:pt>
                <c:pt idx="823">
                  <c:v>46880.958990523126</c:v>
                </c:pt>
                <c:pt idx="824">
                  <c:v>47481.999951964572</c:v>
                </c:pt>
                <c:pt idx="825">
                  <c:v>47180.949828519086</c:v>
                </c:pt>
                <c:pt idx="826">
                  <c:v>45733.575007317202</c:v>
                </c:pt>
                <c:pt idx="827">
                  <c:v>42826.758087096394</c:v>
                </c:pt>
                <c:pt idx="828">
                  <c:v>38132.494756364875</c:v>
                </c:pt>
                <c:pt idx="829">
                  <c:v>31530.397289626908</c:v>
                </c:pt>
                <c:pt idx="830">
                  <c:v>23425.463893081509</c:v>
                </c:pt>
                <c:pt idx="831">
                  <c:v>14534.499245494506</c:v>
                </c:pt>
                <c:pt idx="832">
                  <c:v>5291.2901668119275</c:v>
                </c:pt>
                <c:pt idx="833">
                  <c:v>-4143.1792084021999</c:v>
                </c:pt>
                <c:pt idx="834">
                  <c:v>-13433.77404224402</c:v>
                </c:pt>
                <c:pt idx="835">
                  <c:v>-21902.427359889774</c:v>
                </c:pt>
                <c:pt idx="836">
                  <c:v>-29081.770734845293</c:v>
                </c:pt>
                <c:pt idx="837">
                  <c:v>-34957.728593561005</c:v>
                </c:pt>
                <c:pt idx="838">
                  <c:v>-39703.615530597795</c:v>
                </c:pt>
                <c:pt idx="839">
                  <c:v>-43503.955367924042</c:v>
                </c:pt>
                <c:pt idx="840">
                  <c:v>-46508.946857043004</c:v>
                </c:pt>
                <c:pt idx="841">
                  <c:v>-48833.209501475721</c:v>
                </c:pt>
                <c:pt idx="842">
                  <c:v>-50563.308558232966</c:v>
                </c:pt>
                <c:pt idx="843">
                  <c:v>-51765.006822798947</c:v>
                </c:pt>
                <c:pt idx="844">
                  <c:v>-52488.730631137609</c:v>
                </c:pt>
                <c:pt idx="845">
                  <c:v>-52773.438065088383</c:v>
                </c:pt>
                <c:pt idx="846">
                  <c:v>-52649.313409364848</c:v>
                </c:pt>
                <c:pt idx="847">
                  <c:v>-52139.639431598378</c:v>
                </c:pt>
                <c:pt idx="848">
                  <c:v>-51262.093844649564</c:v>
                </c:pt>
                <c:pt idx="849">
                  <c:v>-50029.632662244177</c:v>
                </c:pt>
                <c:pt idx="850">
                  <c:v>-48451.063727332235</c:v>
                </c:pt>
                <c:pt idx="851">
                  <c:v>-46531.371535889426</c:v>
                </c:pt>
                <c:pt idx="852">
                  <c:v>-44271.822499828872</c:v>
                </c:pt>
                <c:pt idx="853">
                  <c:v>-41669.852062945538</c:v>
                </c:pt>
                <c:pt idx="854">
                  <c:v>-38718.70632947269</c:v>
                </c:pt>
                <c:pt idx="855">
                  <c:v>-35406.775872122715</c:v>
                </c:pt>
                <c:pt idx="856">
                  <c:v>-31716.513958280957</c:v>
                </c:pt>
                <c:pt idx="857">
                  <c:v>-27622.781547025694</c:v>
                </c:pt>
                <c:pt idx="858">
                  <c:v>-23090.47466506315</c:v>
                </c:pt>
                <c:pt idx="859">
                  <c:v>-18071.78238620863</c:v>
                </c:pt>
                <c:pt idx="860">
                  <c:v>-12506.966497438443</c:v>
                </c:pt>
                <c:pt idx="861">
                  <c:v>-6357.8507984354701</c:v>
                </c:pt>
                <c:pt idx="862">
                  <c:v>76.69707757891166</c:v>
                </c:pt>
                <c:pt idx="863">
                  <c:v>3956.5389760756257</c:v>
                </c:pt>
                <c:pt idx="864">
                  <c:v>5036.5654428450871</c:v>
                </c:pt>
                <c:pt idx="865">
                  <c:v>5257.2204806427344</c:v>
                </c:pt>
                <c:pt idx="866">
                  <c:v>5306.3915767663293</c:v>
                </c:pt>
                <c:pt idx="867">
                  <c:v>5757.9787575976688</c:v>
                </c:pt>
                <c:pt idx="868">
                  <c:v>7802.4784131952065</c:v>
                </c:pt>
                <c:pt idx="869">
                  <c:v>11974.097644591162</c:v>
                </c:pt>
                <c:pt idx="870">
                  <c:v>16769.312501471846</c:v>
                </c:pt>
                <c:pt idx="871">
                  <c:v>21495.934037776333</c:v>
                </c:pt>
                <c:pt idx="872">
                  <c:v>25971.016376100182</c:v>
                </c:pt>
                <c:pt idx="873">
                  <c:v>30154.18406899376</c:v>
                </c:pt>
                <c:pt idx="874">
                  <c:v>34044.236978124565</c:v>
                </c:pt>
                <c:pt idx="875">
                  <c:v>37650.372654897219</c:v>
                </c:pt>
                <c:pt idx="876">
                  <c:v>40983.4882785718</c:v>
                </c:pt>
                <c:pt idx="877">
                  <c:v>44053.44548833384</c:v>
                </c:pt>
                <c:pt idx="878">
                  <c:v>46868.259777600426</c:v>
                </c:pt>
                <c:pt idx="879">
                  <c:v>49433.931890133288</c:v>
                </c:pt>
                <c:pt idx="880">
                  <c:v>51754.479541237401</c:v>
                </c:pt>
                <c:pt idx="881">
                  <c:v>53832.00852150008</c:v>
                </c:pt>
                <c:pt idx="882">
                  <c:v>55666.761870339782</c:v>
                </c:pt>
                <c:pt idx="883">
                  <c:v>57257.121728401959</c:v>
                </c:pt>
                <c:pt idx="884">
                  <c:v>58599.550148994924</c:v>
                </c:pt>
                <c:pt idx="885">
                  <c:v>59688.456526688948</c:v>
                </c:pt>
                <c:pt idx="886">
                  <c:v>60515.975182511043</c:v>
                </c:pt>
                <c:pt idx="887">
                  <c:v>61071.628036163624</c:v>
                </c:pt>
                <c:pt idx="888">
                  <c:v>61341.833043386687</c:v>
                </c:pt>
                <c:pt idx="889">
                  <c:v>61309.195882091459</c:v>
                </c:pt>
                <c:pt idx="890">
                  <c:v>60951.483549480276</c:v>
                </c:pt>
                <c:pt idx="891">
                  <c:v>60240.110824625328</c:v>
                </c:pt>
                <c:pt idx="892">
                  <c:v>59137.846681606738</c:v>
                </c:pt>
                <c:pt idx="893">
                  <c:v>57595.208438899863</c:v>
                </c:pt>
                <c:pt idx="894">
                  <c:v>55544.519153261419</c:v>
                </c:pt>
                <c:pt idx="895">
                  <c:v>52889.514201607024</c:v>
                </c:pt>
                <c:pt idx="896">
                  <c:v>49485.759150319042</c:v>
                </c:pt>
                <c:pt idx="897">
                  <c:v>45100.222885112962</c:v>
                </c:pt>
                <c:pt idx="898">
                  <c:v>39318.971726432108</c:v>
                </c:pt>
                <c:pt idx="899">
                  <c:v>31331.403956519069</c:v>
                </c:pt>
                <c:pt idx="900">
                  <c:v>19920.812138880625</c:v>
                </c:pt>
                <c:pt idx="901">
                  <c:v>8072.0705417299605</c:v>
                </c:pt>
                <c:pt idx="902">
                  <c:v>-2640.2503763841401</c:v>
                </c:pt>
                <c:pt idx="903">
                  <c:v>-13052.162775446872</c:v>
                </c:pt>
                <c:pt idx="904">
                  <c:v>-23650.494267514834</c:v>
                </c:pt>
                <c:pt idx="905">
                  <c:v>-32740.826815369608</c:v>
                </c:pt>
                <c:pt idx="906">
                  <c:v>-39712.641080796093</c:v>
                </c:pt>
                <c:pt idx="907">
                  <c:v>-45179.699849068005</c:v>
                </c:pt>
                <c:pt idx="908">
                  <c:v>-49567.560229048337</c:v>
                </c:pt>
                <c:pt idx="909">
                  <c:v>-53125.149014083196</c:v>
                </c:pt>
                <c:pt idx="910">
                  <c:v>-56006.506260886992</c:v>
                </c:pt>
                <c:pt idx="911">
                  <c:v>-58313.458897323559</c:v>
                </c:pt>
                <c:pt idx="912">
                  <c:v>-60116.919819894334</c:v>
                </c:pt>
                <c:pt idx="913">
                  <c:v>-61468.177335929904</c:v>
                </c:pt>
                <c:pt idx="914">
                  <c:v>-62405.29068336069</c:v>
                </c:pt>
                <c:pt idx="915">
                  <c:v>-62956.92521860516</c:v>
                </c:pt>
                <c:pt idx="916">
                  <c:v>-63144.756822170217</c:v>
                </c:pt>
                <c:pt idx="917">
                  <c:v>-62985.02673753284</c:v>
                </c:pt>
                <c:pt idx="918">
                  <c:v>-62489.562007581</c:v>
                </c:pt>
                <c:pt idx="919">
                  <c:v>-61666.439145931625</c:v>
                </c:pt>
                <c:pt idx="920">
                  <c:v>-60520.39286852529</c:v>
                </c:pt>
                <c:pt idx="921">
                  <c:v>-59053.026716124106</c:v>
                </c:pt>
                <c:pt idx="922">
                  <c:v>-57262.852898481091</c:v>
                </c:pt>
                <c:pt idx="923">
                  <c:v>-55145.166372940745</c:v>
                </c:pt>
                <c:pt idx="924">
                  <c:v>-52691.737910844735</c:v>
                </c:pt>
                <c:pt idx="925">
                  <c:v>-49890.289112254548</c:v>
                </c:pt>
                <c:pt idx="926">
                  <c:v>-46723.686948369294</c:v>
                </c:pt>
                <c:pt idx="927">
                  <c:v>-43168.7695995541</c:v>
                </c:pt>
                <c:pt idx="928">
                  <c:v>-39194.714819348643</c:v>
                </c:pt>
                <c:pt idx="929">
                  <c:v>-34761.010617915614</c:v>
                </c:pt>
                <c:pt idx="930">
                  <c:v>-29815.955688194997</c:v>
                </c:pt>
                <c:pt idx="931">
                  <c:v>-24300.979998752842</c:v>
                </c:pt>
                <c:pt idx="932">
                  <c:v>-18188.525357645241</c:v>
                </c:pt>
                <c:pt idx="933">
                  <c:v>-11688.956525804795</c:v>
                </c:pt>
                <c:pt idx="934">
                  <c:v>-5745.3430147077279</c:v>
                </c:pt>
                <c:pt idx="935">
                  <c:v>-267.18838102844006</c:v>
                </c:pt>
                <c:pt idx="936">
                  <c:v>5779.5729662989997</c:v>
                </c:pt>
                <c:pt idx="937">
                  <c:v>12206.671511594774</c:v>
                </c:pt>
                <c:pt idx="938">
                  <c:v>18343.763776969437</c:v>
                </c:pt>
                <c:pt idx="939">
                  <c:v>23730.718800451003</c:v>
                </c:pt>
                <c:pt idx="940">
                  <c:v>28189.222674413508</c:v>
                </c:pt>
                <c:pt idx="941">
                  <c:v>31725.107002149944</c:v>
                </c:pt>
                <c:pt idx="942">
                  <c:v>34424.828931692427</c:v>
                </c:pt>
                <c:pt idx="943">
                  <c:v>36393.208725972334</c:v>
                </c:pt>
                <c:pt idx="944">
                  <c:v>37727.481697904106</c:v>
                </c:pt>
                <c:pt idx="945">
                  <c:v>38510.013789618235</c:v>
                </c:pt>
                <c:pt idx="946">
                  <c:v>38808.277074274411</c:v>
                </c:pt>
                <c:pt idx="947">
                  <c:v>38676.994100567143</c:v>
                </c:pt>
                <c:pt idx="948">
                  <c:v>38160.56241044301</c:v>
                </c:pt>
                <c:pt idx="949">
                  <c:v>37295.175422690634</c:v>
                </c:pt>
                <c:pt idx="950">
                  <c:v>36110.528254197743</c:v>
                </c:pt>
                <c:pt idx="951">
                  <c:v>34631.147385824574</c:v>
                </c:pt>
                <c:pt idx="952">
                  <c:v>32877.418135579879</c:v>
                </c:pt>
                <c:pt idx="953">
                  <c:v>30866.381735770632</c:v>
                </c:pt>
                <c:pt idx="954">
                  <c:v>28612.362621641842</c:v>
                </c:pt>
                <c:pt idx="955">
                  <c:v>26127.476141712505</c:v>
                </c:pt>
                <c:pt idx="956">
                  <c:v>23422.060893956412</c:v>
                </c:pt>
                <c:pt idx="957">
                  <c:v>20505.080631504818</c:v>
                </c:pt>
                <c:pt idx="958">
                  <c:v>17384.552117257725</c:v>
                </c:pt>
                <c:pt idx="959">
                  <c:v>14068.08651587142</c:v>
                </c:pt>
                <c:pt idx="960">
                  <c:v>10563.704901517052</c:v>
                </c:pt>
                <c:pt idx="961">
                  <c:v>6881.2592647651654</c:v>
                </c:pt>
                <c:pt idx="962">
                  <c:v>3035.2123170554987</c:v>
                </c:pt>
                <c:pt idx="963">
                  <c:v>-949.33742505400494</c:v>
                </c:pt>
                <c:pt idx="964">
                  <c:v>-5022.1087310674566</c:v>
                </c:pt>
                <c:pt idx="965">
                  <c:v>-9067.7471603415725</c:v>
                </c:pt>
                <c:pt idx="966">
                  <c:v>-12778.981016527736</c:v>
                </c:pt>
                <c:pt idx="967">
                  <c:v>-15215.862454210301</c:v>
                </c:pt>
                <c:pt idx="968">
                  <c:v>-14224.654488757078</c:v>
                </c:pt>
                <c:pt idx="969">
                  <c:v>-10676.022510761108</c:v>
                </c:pt>
                <c:pt idx="970">
                  <c:v>-6355.3064871442975</c:v>
                </c:pt>
                <c:pt idx="971">
                  <c:v>-1755.3380924695571</c:v>
                </c:pt>
                <c:pt idx="972">
                  <c:v>3111.230802229943</c:v>
                </c:pt>
                <c:pt idx="973">
                  <c:v>8904.683389299109</c:v>
                </c:pt>
                <c:pt idx="974">
                  <c:v>17532.44959984225</c:v>
                </c:pt>
                <c:pt idx="975">
                  <c:v>26644.504499278555</c:v>
                </c:pt>
                <c:pt idx="976">
                  <c:v>34588.457836647074</c:v>
                </c:pt>
                <c:pt idx="977">
                  <c:v>41455.553793874838</c:v>
                </c:pt>
                <c:pt idx="978">
                  <c:v>47441.436819218434</c:v>
                </c:pt>
                <c:pt idx="979">
                  <c:v>52690.571863979538</c:v>
                </c:pt>
                <c:pt idx="980">
                  <c:v>57303.397531053422</c:v>
                </c:pt>
                <c:pt idx="981">
                  <c:v>61350.776125363322</c:v>
                </c:pt>
                <c:pt idx="982">
                  <c:v>64883.767603660119</c:v>
                </c:pt>
                <c:pt idx="983">
                  <c:v>67939.697943026011</c:v>
                </c:pt>
                <c:pt idx="984">
                  <c:v>70545.948630026323</c:v>
                </c:pt>
                <c:pt idx="985">
                  <c:v>72722.371161886447</c:v>
                </c:pt>
                <c:pt idx="986">
                  <c:v>74482.848397929585</c:v>
                </c:pt>
                <c:pt idx="987">
                  <c:v>75836.302528757064</c:v>
                </c:pt>
                <c:pt idx="988">
                  <c:v>76787.32331522723</c:v>
                </c:pt>
                <c:pt idx="989">
                  <c:v>77336.516455202887</c:v>
                </c:pt>
                <c:pt idx="990">
                  <c:v>77480.625994559057</c:v>
                </c:pt>
                <c:pt idx="991">
                  <c:v>77212.453014186045</c:v>
                </c:pt>
                <c:pt idx="992">
                  <c:v>76520.567283471595</c:v>
                </c:pt>
                <c:pt idx="993">
                  <c:v>75388.783480737678</c:v>
                </c:pt>
                <c:pt idx="994">
                  <c:v>73795.343793472057</c:v>
                </c:pt>
                <c:pt idx="995">
                  <c:v>71711.708210987577</c:v>
                </c:pt>
                <c:pt idx="996">
                  <c:v>69100.794516181297</c:v>
                </c:pt>
                <c:pt idx="997">
                  <c:v>65914.42132240154</c:v>
                </c:pt>
                <c:pt idx="998">
                  <c:v>62089.581055909919</c:v>
                </c:pt>
                <c:pt idx="999">
                  <c:v>57543.027914478873</c:v>
                </c:pt>
                <c:pt idx="1000">
                  <c:v>52163.700803635016</c:v>
                </c:pt>
              </c:numCache>
            </c:numRef>
          </c:xVal>
          <c:yVal>
            <c:numRef>
              <c:f>Feuille1!$C$309:$C$1309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459.02291936492315</c:v>
                </c:pt>
                <c:pt idx="3">
                  <c:v>1410.7150805173958</c:v>
                </c:pt>
                <c:pt idx="4">
                  <c:v>2922.6553180301021</c:v>
                </c:pt>
                <c:pt idx="5">
                  <c:v>5096.6070725219888</c:v>
                </c:pt>
                <c:pt idx="6">
                  <c:v>8068.4169091557578</c:v>
                </c:pt>
                <c:pt idx="7">
                  <c:v>12007.228632738332</c:v>
                </c:pt>
                <c:pt idx="8">
                  <c:v>17094.103817012205</c:v>
                </c:pt>
                <c:pt idx="9">
                  <c:v>23099.680449054587</c:v>
                </c:pt>
                <c:pt idx="10">
                  <c:v>26117.268637125748</c:v>
                </c:pt>
                <c:pt idx="11">
                  <c:v>26259.175328144051</c:v>
                </c:pt>
                <c:pt idx="12">
                  <c:v>24753.2354965454</c:v>
                </c:pt>
                <c:pt idx="13">
                  <c:v>22144.717379249552</c:v>
                </c:pt>
                <c:pt idx="14">
                  <c:v>18836.79403767296</c:v>
                </c:pt>
                <c:pt idx="15">
                  <c:v>15847.543364559029</c:v>
                </c:pt>
                <c:pt idx="16">
                  <c:v>16036.057731265179</c:v>
                </c:pt>
                <c:pt idx="17">
                  <c:v>17489.744657370418</c:v>
                </c:pt>
                <c:pt idx="18">
                  <c:v>19108.882437530901</c:v>
                </c:pt>
                <c:pt idx="19">
                  <c:v>20526.816435753954</c:v>
                </c:pt>
                <c:pt idx="20">
                  <c:v>21544.453492582681</c:v>
                </c:pt>
                <c:pt idx="21">
                  <c:v>21975.668910246874</c:v>
                </c:pt>
                <c:pt idx="22">
                  <c:v>21546.411499887698</c:v>
                </c:pt>
                <c:pt idx="23">
                  <c:v>19779.744036034845</c:v>
                </c:pt>
                <c:pt idx="24">
                  <c:v>17920.477744519852</c:v>
                </c:pt>
                <c:pt idx="25">
                  <c:v>16631.912867023377</c:v>
                </c:pt>
                <c:pt idx="26">
                  <c:v>16144.689957838047</c:v>
                </c:pt>
                <c:pt idx="27">
                  <c:v>17068.520131127832</c:v>
                </c:pt>
                <c:pt idx="28">
                  <c:v>20232.398396676766</c:v>
                </c:pt>
                <c:pt idx="29">
                  <c:v>22951.217532144914</c:v>
                </c:pt>
                <c:pt idx="30">
                  <c:v>24605.921059293963</c:v>
                </c:pt>
                <c:pt idx="31">
                  <c:v>25186.386399239804</c:v>
                </c:pt>
                <c:pt idx="32">
                  <c:v>24753.088972779427</c:v>
                </c:pt>
                <c:pt idx="33">
                  <c:v>23399.392814939623</c:v>
                </c:pt>
                <c:pt idx="34">
                  <c:v>21262.603066345022</c:v>
                </c:pt>
                <c:pt idx="35">
                  <c:v>18581.851036650874</c:v>
                </c:pt>
                <c:pt idx="36">
                  <c:v>16083.562975688666</c:v>
                </c:pt>
                <c:pt idx="37">
                  <c:v>16375.37585907739</c:v>
                </c:pt>
                <c:pt idx="38">
                  <c:v>18279.436224886824</c:v>
                </c:pt>
                <c:pt idx="39">
                  <c:v>20413.569215224117</c:v>
                </c:pt>
                <c:pt idx="40">
                  <c:v>22296.426954407198</c:v>
                </c:pt>
                <c:pt idx="41">
                  <c:v>23556.63145471325</c:v>
                </c:pt>
                <c:pt idx="42">
                  <c:v>23504.635804299083</c:v>
                </c:pt>
                <c:pt idx="43">
                  <c:v>20503.114791004009</c:v>
                </c:pt>
                <c:pt idx="44">
                  <c:v>16926.324990982474</c:v>
                </c:pt>
                <c:pt idx="45">
                  <c:v>13708.852749640904</c:v>
                </c:pt>
                <c:pt idx="46">
                  <c:v>10965.014053227898</c:v>
                </c:pt>
                <c:pt idx="47">
                  <c:v>8788.3695273801695</c:v>
                </c:pt>
                <c:pt idx="48">
                  <c:v>7310.683763690723</c:v>
                </c:pt>
                <c:pt idx="49">
                  <c:v>6708.1273839362466</c:v>
                </c:pt>
                <c:pt idx="50">
                  <c:v>7226.1729664799859</c:v>
                </c:pt>
                <c:pt idx="51">
                  <c:v>9234.34290320746</c:v>
                </c:pt>
                <c:pt idx="52">
                  <c:v>13326.630199583191</c:v>
                </c:pt>
                <c:pt idx="53">
                  <c:v>20211.276282200055</c:v>
                </c:pt>
                <c:pt idx="54">
                  <c:v>26628.057087696172</c:v>
                </c:pt>
                <c:pt idx="55">
                  <c:v>29610.658167728972</c:v>
                </c:pt>
                <c:pt idx="56">
                  <c:v>29653.227909637721</c:v>
                </c:pt>
                <c:pt idx="57">
                  <c:v>27138.917741833673</c:v>
                </c:pt>
                <c:pt idx="58">
                  <c:v>22496.586821125777</c:v>
                </c:pt>
                <c:pt idx="59">
                  <c:v>16804.671450415557</c:v>
                </c:pt>
                <c:pt idx="60">
                  <c:v>11644.076239818411</c:v>
                </c:pt>
                <c:pt idx="61">
                  <c:v>7782.9215716800909</c:v>
                </c:pt>
                <c:pt idx="62">
                  <c:v>5255.2941265066493</c:v>
                </c:pt>
                <c:pt idx="63">
                  <c:v>3923.8321857605088</c:v>
                </c:pt>
                <c:pt idx="64">
                  <c:v>3694.4602568520168</c:v>
                </c:pt>
                <c:pt idx="65">
                  <c:v>4572.8750171397651</c:v>
                </c:pt>
                <c:pt idx="66">
                  <c:v>6698.762145417536</c:v>
                </c:pt>
                <c:pt idx="67">
                  <c:v>10420.076880065339</c:v>
                </c:pt>
                <c:pt idx="68">
                  <c:v>16440.487619362473</c:v>
                </c:pt>
                <c:pt idx="69">
                  <c:v>24737.436427703338</c:v>
                </c:pt>
                <c:pt idx="70">
                  <c:v>29753.84059195804</c:v>
                </c:pt>
                <c:pt idx="71">
                  <c:v>31829.155350049015</c:v>
                </c:pt>
                <c:pt idx="72">
                  <c:v>31357.242383065422</c:v>
                </c:pt>
                <c:pt idx="73">
                  <c:v>28246.890603059925</c:v>
                </c:pt>
                <c:pt idx="74">
                  <c:v>21891.87748487719</c:v>
                </c:pt>
                <c:pt idx="75">
                  <c:v>13498.296268596529</c:v>
                </c:pt>
                <c:pt idx="76">
                  <c:v>7909.1518055358956</c:v>
                </c:pt>
                <c:pt idx="77">
                  <c:v>4132.6198158253646</c:v>
                </c:pt>
                <c:pt idx="78">
                  <c:v>1530.7208186824014</c:v>
                </c:pt>
                <c:pt idx="79">
                  <c:v>-247.43465067857471</c:v>
                </c:pt>
                <c:pt idx="80">
                  <c:v>-1424.1521334206882</c:v>
                </c:pt>
                <c:pt idx="81">
                  <c:v>-2158.6219060891176</c:v>
                </c:pt>
                <c:pt idx="82">
                  <c:v>-2571.7089366545083</c:v>
                </c:pt>
                <c:pt idx="83">
                  <c:v>-2748.6064490730491</c:v>
                </c:pt>
                <c:pt idx="84">
                  <c:v>-2727.2220147438557</c:v>
                </c:pt>
                <c:pt idx="85">
                  <c:v>-2479.6434368532887</c:v>
                </c:pt>
                <c:pt idx="86">
                  <c:v>-1894.1975815617811</c:v>
                </c:pt>
                <c:pt idx="87">
                  <c:v>-760.97958969629497</c:v>
                </c:pt>
                <c:pt idx="88">
                  <c:v>1247.7359282504349</c:v>
                </c:pt>
                <c:pt idx="89">
                  <c:v>4631.3016956644515</c:v>
                </c:pt>
                <c:pt idx="90">
                  <c:v>10211.651208191844</c:v>
                </c:pt>
                <c:pt idx="91">
                  <c:v>19262.890447357953</c:v>
                </c:pt>
                <c:pt idx="92">
                  <c:v>28689.466807424025</c:v>
                </c:pt>
                <c:pt idx="93">
                  <c:v>34371.277973731325</c:v>
                </c:pt>
                <c:pt idx="94">
                  <c:v>37014.214875742698</c:v>
                </c:pt>
                <c:pt idx="95">
                  <c:v>37074.106825686831</c:v>
                </c:pt>
                <c:pt idx="96">
                  <c:v>34677.823121001762</c:v>
                </c:pt>
                <c:pt idx="97">
                  <c:v>29755.80951080555</c:v>
                </c:pt>
                <c:pt idx="98">
                  <c:v>22317.499997150549</c:v>
                </c:pt>
                <c:pt idx="99">
                  <c:v>13723.627800557888</c:v>
                </c:pt>
                <c:pt idx="100">
                  <c:v>7283.178122799326</c:v>
                </c:pt>
                <c:pt idx="101">
                  <c:v>3584.9774630661709</c:v>
                </c:pt>
                <c:pt idx="102">
                  <c:v>1992.7522107824921</c:v>
                </c:pt>
                <c:pt idx="103">
                  <c:v>2047.6058891246555</c:v>
                </c:pt>
                <c:pt idx="104">
                  <c:v>3529.2755442687344</c:v>
                </c:pt>
                <c:pt idx="105">
                  <c:v>6398.4256466219476</c:v>
                </c:pt>
                <c:pt idx="106">
                  <c:v>10798.467850383175</c:v>
                </c:pt>
                <c:pt idx="107">
                  <c:v>17116.094192158998</c:v>
                </c:pt>
                <c:pt idx="108">
                  <c:v>25109.629852175924</c:v>
                </c:pt>
                <c:pt idx="109">
                  <c:v>29363.173343348437</c:v>
                </c:pt>
                <c:pt idx="110">
                  <c:v>31107.177838533215</c:v>
                </c:pt>
                <c:pt idx="111">
                  <c:v>31076.820324006945</c:v>
                </c:pt>
                <c:pt idx="112">
                  <c:v>29580.620497313037</c:v>
                </c:pt>
                <c:pt idx="113">
                  <c:v>26779.906511101319</c:v>
                </c:pt>
                <c:pt idx="114">
                  <c:v>22829.649924196867</c:v>
                </c:pt>
                <c:pt idx="115">
                  <c:v>18071.63900618958</c:v>
                </c:pt>
                <c:pt idx="116">
                  <c:v>13491.147613339681</c:v>
                </c:pt>
                <c:pt idx="117">
                  <c:v>10825.074365058616</c:v>
                </c:pt>
                <c:pt idx="118">
                  <c:v>10611.544577889807</c:v>
                </c:pt>
                <c:pt idx="119">
                  <c:v>12259.666554068141</c:v>
                </c:pt>
                <c:pt idx="120">
                  <c:v>15221.950103014195</c:v>
                </c:pt>
                <c:pt idx="121">
                  <c:v>19083.354277867173</c:v>
                </c:pt>
                <c:pt idx="122">
                  <c:v>23061.166160168603</c:v>
                </c:pt>
                <c:pt idx="123">
                  <c:v>24320.004907802526</c:v>
                </c:pt>
                <c:pt idx="124">
                  <c:v>23300.512795700055</c:v>
                </c:pt>
                <c:pt idx="125">
                  <c:v>21270.010846185833</c:v>
                </c:pt>
                <c:pt idx="126">
                  <c:v>18734.257916987666</c:v>
                </c:pt>
                <c:pt idx="127">
                  <c:v>16056.847211382616</c:v>
                </c:pt>
                <c:pt idx="128">
                  <c:v>14019.550426271162</c:v>
                </c:pt>
                <c:pt idx="129">
                  <c:v>14939.555238224799</c:v>
                </c:pt>
                <c:pt idx="130">
                  <c:v>18333.614773041652</c:v>
                </c:pt>
                <c:pt idx="131">
                  <c:v>21969.235189049501</c:v>
                </c:pt>
                <c:pt idx="132">
                  <c:v>25105.911353533556</c:v>
                </c:pt>
                <c:pt idx="133">
                  <c:v>27338.638128399969</c:v>
                </c:pt>
                <c:pt idx="134">
                  <c:v>28165.41471507254</c:v>
                </c:pt>
                <c:pt idx="135">
                  <c:v>26577.296720295319</c:v>
                </c:pt>
                <c:pt idx="136">
                  <c:v>20813.409070668738</c:v>
                </c:pt>
                <c:pt idx="137">
                  <c:v>14308.148755989376</c:v>
                </c:pt>
                <c:pt idx="138">
                  <c:v>8774.966186847385</c:v>
                </c:pt>
                <c:pt idx="139">
                  <c:v>4183.2865390485731</c:v>
                </c:pt>
                <c:pt idx="140">
                  <c:v>314.71971401015674</c:v>
                </c:pt>
                <c:pt idx="141">
                  <c:v>-3078.0509791404288</c:v>
                </c:pt>
                <c:pt idx="142">
                  <c:v>-6256.4905122665932</c:v>
                </c:pt>
                <c:pt idx="143">
                  <c:v>-9506.2392248494816</c:v>
                </c:pt>
                <c:pt idx="144">
                  <c:v>-13166.225852266898</c:v>
                </c:pt>
                <c:pt idx="145">
                  <c:v>-17690.872558054121</c:v>
                </c:pt>
                <c:pt idx="146">
                  <c:v>-23791.023199787731</c:v>
                </c:pt>
                <c:pt idx="147">
                  <c:v>-32701.875037991551</c:v>
                </c:pt>
                <c:pt idx="148">
                  <c:v>-43305.75633967304</c:v>
                </c:pt>
                <c:pt idx="149">
                  <c:v>-49626.575408024743</c:v>
                </c:pt>
                <c:pt idx="150">
                  <c:v>-52974.912908806116</c:v>
                </c:pt>
                <c:pt idx="151">
                  <c:v>-54008.146588328687</c:v>
                </c:pt>
                <c:pt idx="152">
                  <c:v>-52934.639800904333</c:v>
                </c:pt>
                <c:pt idx="153">
                  <c:v>-49668.899068689461</c:v>
                </c:pt>
                <c:pt idx="154">
                  <c:v>-43785.240010768779</c:v>
                </c:pt>
                <c:pt idx="155">
                  <c:v>-34427.525543142794</c:v>
                </c:pt>
                <c:pt idx="156">
                  <c:v>-25190.657179893602</c:v>
                </c:pt>
                <c:pt idx="157">
                  <c:v>-19003.226175315995</c:v>
                </c:pt>
                <c:pt idx="158">
                  <c:v>-14316.2082911665</c:v>
                </c:pt>
                <c:pt idx="159">
                  <c:v>-10344.837363210516</c:v>
                </c:pt>
                <c:pt idx="160">
                  <c:v>-6637.2079209132289</c:v>
                </c:pt>
                <c:pt idx="161">
                  <c:v>-2857.1739248303029</c:v>
                </c:pt>
                <c:pt idx="162">
                  <c:v>1323.6494242923927</c:v>
                </c:pt>
                <c:pt idx="163">
                  <c:v>6325.9572191491716</c:v>
                </c:pt>
                <c:pt idx="164">
                  <c:v>12831.358766293346</c:v>
                </c:pt>
                <c:pt idx="165">
                  <c:v>21810.557700138652</c:v>
                </c:pt>
                <c:pt idx="166">
                  <c:v>29138.218957929934</c:v>
                </c:pt>
                <c:pt idx="167">
                  <c:v>33499.426046588393</c:v>
                </c:pt>
                <c:pt idx="168">
                  <c:v>35610.520608143939</c:v>
                </c:pt>
                <c:pt idx="169">
                  <c:v>35788.321235762953</c:v>
                </c:pt>
                <c:pt idx="170">
                  <c:v>34062.978790053057</c:v>
                </c:pt>
                <c:pt idx="171">
                  <c:v>30183.797634837349</c:v>
                </c:pt>
                <c:pt idx="172">
                  <c:v>23430.322354358676</c:v>
                </c:pt>
                <c:pt idx="173">
                  <c:v>13707.289431034425</c:v>
                </c:pt>
                <c:pt idx="174">
                  <c:v>6685.1140460306815</c:v>
                </c:pt>
                <c:pt idx="175">
                  <c:v>1204.7816340869754</c:v>
                </c:pt>
                <c:pt idx="176">
                  <c:v>-3500.2078628911777</c:v>
                </c:pt>
                <c:pt idx="177">
                  <c:v>-7913.7329756881354</c:v>
                </c:pt>
                <c:pt idx="178">
                  <c:v>-12460.891586218309</c:v>
                </c:pt>
                <c:pt idx="179">
                  <c:v>-17659.517567793177</c:v>
                </c:pt>
                <c:pt idx="180">
                  <c:v>-24349.649706885393</c:v>
                </c:pt>
                <c:pt idx="181">
                  <c:v>-34062.447270827899</c:v>
                </c:pt>
                <c:pt idx="182">
                  <c:v>-44156.619940567631</c:v>
                </c:pt>
                <c:pt idx="183">
                  <c:v>-50593.957884321724</c:v>
                </c:pt>
                <c:pt idx="184">
                  <c:v>-54316.38717643667</c:v>
                </c:pt>
                <c:pt idx="185">
                  <c:v>-55850.615348469866</c:v>
                </c:pt>
                <c:pt idx="186">
                  <c:v>-55381.178242113463</c:v>
                </c:pt>
                <c:pt idx="187">
                  <c:v>-52852.36712443034</c:v>
                </c:pt>
                <c:pt idx="188">
                  <c:v>-47933.19090931688</c:v>
                </c:pt>
                <c:pt idx="189">
                  <c:v>-39833.773497229951</c:v>
                </c:pt>
                <c:pt idx="190">
                  <c:v>-28248.838716283219</c:v>
                </c:pt>
                <c:pt idx="191">
                  <c:v>-20110.751966654228</c:v>
                </c:pt>
                <c:pt idx="192">
                  <c:v>-13994.823985271245</c:v>
                </c:pt>
                <c:pt idx="193">
                  <c:v>-8714.5124644873486</c:v>
                </c:pt>
                <c:pt idx="194">
                  <c:v>-3553.7155443701695</c:v>
                </c:pt>
                <c:pt idx="195">
                  <c:v>2052.3480085874912</c:v>
                </c:pt>
                <c:pt idx="196">
                  <c:v>8713.1952753505866</c:v>
                </c:pt>
                <c:pt idx="197">
                  <c:v>17307.043523187946</c:v>
                </c:pt>
                <c:pt idx="198">
                  <c:v>27561.48960684285</c:v>
                </c:pt>
                <c:pt idx="199">
                  <c:v>33761.458709296363</c:v>
                </c:pt>
                <c:pt idx="200">
                  <c:v>37560.307077420141</c:v>
                </c:pt>
                <c:pt idx="201">
                  <c:v>39735.771041994725</c:v>
                </c:pt>
                <c:pt idx="202">
                  <c:v>40623.678180354269</c:v>
                </c:pt>
                <c:pt idx="203">
                  <c:v>40372.564219108353</c:v>
                </c:pt>
                <c:pt idx="204">
                  <c:v>39024.052622511692</c:v>
                </c:pt>
                <c:pt idx="205">
                  <c:v>36530.344718693923</c:v>
                </c:pt>
                <c:pt idx="206">
                  <c:v>32729.319625489756</c:v>
                </c:pt>
                <c:pt idx="207">
                  <c:v>27250.756232211548</c:v>
                </c:pt>
                <c:pt idx="208">
                  <c:v>19346.520620250609</c:v>
                </c:pt>
                <c:pt idx="209">
                  <c:v>11861.086753350779</c:v>
                </c:pt>
                <c:pt idx="210">
                  <c:v>6618.3344957744512</c:v>
                </c:pt>
                <c:pt idx="211">
                  <c:v>2380.3935140928415</c:v>
                </c:pt>
                <c:pt idx="212">
                  <c:v>-1317.5453861210021</c:v>
                </c:pt>
                <c:pt idx="213">
                  <c:v>-4696.6908128266805</c:v>
                </c:pt>
                <c:pt idx="214">
                  <c:v>-7931.922574654961</c:v>
                </c:pt>
                <c:pt idx="215">
                  <c:v>-11164.988045719645</c:v>
                </c:pt>
                <c:pt idx="216">
                  <c:v>-14472.159680390065</c:v>
                </c:pt>
                <c:pt idx="217">
                  <c:v>-17870.824311102901</c:v>
                </c:pt>
                <c:pt idx="218">
                  <c:v>-21344.420886046191</c:v>
                </c:pt>
                <c:pt idx="219">
                  <c:v>-24859.970770271677</c:v>
                </c:pt>
                <c:pt idx="220">
                  <c:v>-28374.240635746282</c:v>
                </c:pt>
                <c:pt idx="221">
                  <c:v>-31829.821386970398</c:v>
                </c:pt>
                <c:pt idx="222">
                  <c:v>-35136.41323969431</c:v>
                </c:pt>
                <c:pt idx="223">
                  <c:v>-38110.004661731196</c:v>
                </c:pt>
                <c:pt idx="224">
                  <c:v>-40235.781788916545</c:v>
                </c:pt>
                <c:pt idx="225">
                  <c:v>-39646.185173968253</c:v>
                </c:pt>
                <c:pt idx="226">
                  <c:v>-35834.727900106889</c:v>
                </c:pt>
                <c:pt idx="227">
                  <c:v>-31412.836351094116</c:v>
                </c:pt>
                <c:pt idx="228">
                  <c:v>-26877.655044267107</c:v>
                </c:pt>
                <c:pt idx="229">
                  <c:v>-22270.842595035436</c:v>
                </c:pt>
                <c:pt idx="230">
                  <c:v>-17524.390468614682</c:v>
                </c:pt>
                <c:pt idx="231">
                  <c:v>-12510.167642560273</c:v>
                </c:pt>
                <c:pt idx="232">
                  <c:v>-7023.1460525992097</c:v>
                </c:pt>
                <c:pt idx="233">
                  <c:v>-718.77296062668461</c:v>
                </c:pt>
                <c:pt idx="234">
                  <c:v>7043.1665696586833</c:v>
                </c:pt>
                <c:pt idx="235">
                  <c:v>17542.217270356534</c:v>
                </c:pt>
                <c:pt idx="236">
                  <c:v>29708.477107625207</c:v>
                </c:pt>
                <c:pt idx="237">
                  <c:v>38073.807611422038</c:v>
                </c:pt>
                <c:pt idx="238">
                  <c:v>44023.115352542707</c:v>
                </c:pt>
                <c:pt idx="239">
                  <c:v>48280.893241632883</c:v>
                </c:pt>
                <c:pt idx="240">
                  <c:v>51198.208040118901</c:v>
                </c:pt>
                <c:pt idx="241">
                  <c:v>52959.569094256287</c:v>
                </c:pt>
                <c:pt idx="242">
                  <c:v>53660.305848090007</c:v>
                </c:pt>
                <c:pt idx="243">
                  <c:v>53337.048414143028</c:v>
                </c:pt>
                <c:pt idx="244">
                  <c:v>51977.585243498455</c:v>
                </c:pt>
                <c:pt idx="245">
                  <c:v>49517.054261983525</c:v>
                </c:pt>
                <c:pt idx="246">
                  <c:v>45817.532932605252</c:v>
                </c:pt>
                <c:pt idx="247">
                  <c:v>40613.816087072337</c:v>
                </c:pt>
                <c:pt idx="248">
                  <c:v>33365.442174049829</c:v>
                </c:pt>
                <c:pt idx="249">
                  <c:v>22836.218021116449</c:v>
                </c:pt>
                <c:pt idx="250">
                  <c:v>9506.1790053908298</c:v>
                </c:pt>
                <c:pt idx="251">
                  <c:v>-613.55753290823259</c:v>
                </c:pt>
                <c:pt idx="252">
                  <c:v>-9315.4369460863927</c:v>
                </c:pt>
                <c:pt idx="253">
                  <c:v>-17476.25450241776</c:v>
                </c:pt>
                <c:pt idx="254">
                  <c:v>-25603.933602299494</c:v>
                </c:pt>
                <c:pt idx="255">
                  <c:v>-33958.113074167755</c:v>
                </c:pt>
                <c:pt idx="256">
                  <c:v>-42062.579507371585</c:v>
                </c:pt>
                <c:pt idx="257">
                  <c:v>-47473.230625876917</c:v>
                </c:pt>
                <c:pt idx="258">
                  <c:v>-49421.055187187842</c:v>
                </c:pt>
                <c:pt idx="259">
                  <c:v>-49275.829337490104</c:v>
                </c:pt>
                <c:pt idx="260">
                  <c:v>-47898.37025833167</c:v>
                </c:pt>
                <c:pt idx="261">
                  <c:v>-45725.547322833001</c:v>
                </c:pt>
                <c:pt idx="262">
                  <c:v>-42996.750719142881</c:v>
                </c:pt>
                <c:pt idx="263">
                  <c:v>-39856.830277634057</c:v>
                </c:pt>
                <c:pt idx="264">
                  <c:v>-36401.392133971749</c:v>
                </c:pt>
                <c:pt idx="265">
                  <c:v>-32698.260850932504</c:v>
                </c:pt>
                <c:pt idx="266">
                  <c:v>-28798.388993554738</c:v>
                </c:pt>
                <c:pt idx="267">
                  <c:v>-24741.542253159136</c:v>
                </c:pt>
                <c:pt idx="268">
                  <c:v>-20558.890039586386</c:v>
                </c:pt>
                <c:pt idx="269">
                  <c:v>-16273.063899997396</c:v>
                </c:pt>
                <c:pt idx="270">
                  <c:v>-11895.021527102552</c:v>
                </c:pt>
                <c:pt idx="271">
                  <c:v>-7415.2366334954831</c:v>
                </c:pt>
                <c:pt idx="272">
                  <c:v>-2782.5747022413066</c:v>
                </c:pt>
                <c:pt idx="273">
                  <c:v>2147.9605983509286</c:v>
                </c:pt>
                <c:pt idx="274">
                  <c:v>7760.2256916089982</c:v>
                </c:pt>
                <c:pt idx="275">
                  <c:v>15091.721782537943</c:v>
                </c:pt>
                <c:pt idx="276">
                  <c:v>24455.980770889448</c:v>
                </c:pt>
                <c:pt idx="277">
                  <c:v>32495.359477380622</c:v>
                </c:pt>
                <c:pt idx="278">
                  <c:v>39103.087026172841</c:v>
                </c:pt>
                <c:pt idx="279">
                  <c:v>44309.771062426953</c:v>
                </c:pt>
                <c:pt idx="280">
                  <c:v>48146.332304239368</c:v>
                </c:pt>
                <c:pt idx="281">
                  <c:v>50679.984291662033</c:v>
                </c:pt>
                <c:pt idx="282">
                  <c:v>52001.018827649023</c:v>
                </c:pt>
                <c:pt idx="283">
                  <c:v>52205.06056386065</c:v>
                </c:pt>
                <c:pt idx="284">
                  <c:v>51383.049268852352</c:v>
                </c:pt>
                <c:pt idx="285">
                  <c:v>49617.762274564317</c:v>
                </c:pt>
                <c:pt idx="286">
                  <c:v>46984.177335037231</c:v>
                </c:pt>
                <c:pt idx="287">
                  <c:v>43552.068445148172</c:v>
                </c:pt>
                <c:pt idx="288">
                  <c:v>39390.35387220751</c:v>
                </c:pt>
                <c:pt idx="289">
                  <c:v>34573.613689097452</c:v>
                </c:pt>
                <c:pt idx="290">
                  <c:v>29192.06911489087</c:v>
                </c:pt>
                <c:pt idx="291">
                  <c:v>23367.320890026407</c:v>
                </c:pt>
                <c:pt idx="292">
                  <c:v>17276.869097571409</c:v>
                </c:pt>
                <c:pt idx="293">
                  <c:v>11188.146810771197</c:v>
                </c:pt>
                <c:pt idx="294">
                  <c:v>5487.7932789974584</c:v>
                </c:pt>
                <c:pt idx="295">
                  <c:v>647.64596985327057</c:v>
                </c:pt>
                <c:pt idx="296">
                  <c:v>-2967.5744911009087</c:v>
                </c:pt>
                <c:pt idx="297">
                  <c:v>-5381.4376095095595</c:v>
                </c:pt>
                <c:pt idx="298">
                  <c:v>-7042.1945639995411</c:v>
                </c:pt>
                <c:pt idx="299">
                  <c:v>-8558.11640184319</c:v>
                </c:pt>
                <c:pt idx="300">
                  <c:v>-10378.720035966919</c:v>
                </c:pt>
                <c:pt idx="301">
                  <c:v>-12590.719263967492</c:v>
                </c:pt>
                <c:pt idx="302">
                  <c:v>-15040.214800277663</c:v>
                </c:pt>
                <c:pt idx="303">
                  <c:v>-17565.544763602622</c:v>
                </c:pt>
                <c:pt idx="304">
                  <c:v>-20065.704674061493</c:v>
                </c:pt>
                <c:pt idx="305">
                  <c:v>-22485.332962842214</c:v>
                </c:pt>
                <c:pt idx="306">
                  <c:v>-24794.397274661285</c:v>
                </c:pt>
                <c:pt idx="307">
                  <c:v>-26975.910283731944</c:v>
                </c:pt>
                <c:pt idx="308">
                  <c:v>-29019.423316994416</c:v>
                </c:pt>
                <c:pt idx="309">
                  <c:v>-30917.607510367121</c:v>
                </c:pt>
                <c:pt idx="310">
                  <c:v>-32664.388773800401</c:v>
                </c:pt>
                <c:pt idx="311">
                  <c:v>-34253.856966167084</c:v>
                </c:pt>
                <c:pt idx="312">
                  <c:v>-35679.553241104928</c:v>
                </c:pt>
                <c:pt idx="313">
                  <c:v>-36933.923430295778</c:v>
                </c:pt>
                <c:pt idx="314">
                  <c:v>-38007.809889186261</c:v>
                </c:pt>
                <c:pt idx="315">
                  <c:v>-38889.886805316091</c:v>
                </c:pt>
                <c:pt idx="316">
                  <c:v>-39565.943248757962</c:v>
                </c:pt>
                <c:pt idx="317">
                  <c:v>-40017.885192637135</c:v>
                </c:pt>
                <c:pt idx="318">
                  <c:v>-40222.244625896361</c:v>
                </c:pt>
                <c:pt idx="319">
                  <c:v>-40147.796347687297</c:v>
                </c:pt>
                <c:pt idx="320">
                  <c:v>-39751.437197897991</c:v>
                </c:pt>
                <c:pt idx="321">
                  <c:v>-38970.311042807632</c:v>
                </c:pt>
                <c:pt idx="322">
                  <c:v>-37704.794609132325</c:v>
                </c:pt>
                <c:pt idx="323">
                  <c:v>-35780.056197162048</c:v>
                </c:pt>
                <c:pt idx="324">
                  <c:v>-33069.661002828849</c:v>
                </c:pt>
                <c:pt idx="325">
                  <c:v>-31079.201839808782</c:v>
                </c:pt>
                <c:pt idx="326">
                  <c:v>-29139.907724710334</c:v>
                </c:pt>
                <c:pt idx="327">
                  <c:v>-27003.639657007137</c:v>
                </c:pt>
                <c:pt idx="328">
                  <c:v>-24572.361295827581</c:v>
                </c:pt>
                <c:pt idx="329">
                  <c:v>-21802.078386077403</c:v>
                </c:pt>
                <c:pt idx="330">
                  <c:v>-18672.9820690538</c:v>
                </c:pt>
                <c:pt idx="331">
                  <c:v>-15177.155117546525</c:v>
                </c:pt>
                <c:pt idx="332">
                  <c:v>-11312.555042034506</c:v>
                </c:pt>
                <c:pt idx="333">
                  <c:v>-7079.9386847129445</c:v>
                </c:pt>
                <c:pt idx="334">
                  <c:v>-2481.6787439327341</c:v>
                </c:pt>
                <c:pt idx="335">
                  <c:v>2477.41005921858</c:v>
                </c:pt>
                <c:pt idx="336">
                  <c:v>7785.5471880174564</c:v>
                </c:pt>
                <c:pt idx="337">
                  <c:v>13409.970032510331</c:v>
                </c:pt>
                <c:pt idx="338">
                  <c:v>19253.767318553317</c:v>
                </c:pt>
                <c:pt idx="339">
                  <c:v>25011.26502925665</c:v>
                </c:pt>
                <c:pt idx="340">
                  <c:v>29679.642895906185</c:v>
                </c:pt>
                <c:pt idx="341">
                  <c:v>31018.151266324647</c:v>
                </c:pt>
                <c:pt idx="342">
                  <c:v>29179.113802046944</c:v>
                </c:pt>
                <c:pt idx="343">
                  <c:v>25762.695744083019</c:v>
                </c:pt>
                <c:pt idx="344">
                  <c:v>21285.042709286448</c:v>
                </c:pt>
                <c:pt idx="345">
                  <c:v>15932.28498098335</c:v>
                </c:pt>
                <c:pt idx="346">
                  <c:v>12754.558045951662</c:v>
                </c:pt>
                <c:pt idx="347">
                  <c:v>10325.517283917514</c:v>
                </c:pt>
                <c:pt idx="348">
                  <c:v>8207.2419473952759</c:v>
                </c:pt>
                <c:pt idx="349">
                  <c:v>6254.1041803205489</c:v>
                </c:pt>
                <c:pt idx="350">
                  <c:v>4407.701159694042</c:v>
                </c:pt>
                <c:pt idx="351">
                  <c:v>2643.144202811613</c:v>
                </c:pt>
                <c:pt idx="352">
                  <c:v>950.99791834074051</c:v>
                </c:pt>
                <c:pt idx="353">
                  <c:v>-669.83955169428555</c:v>
                </c:pt>
                <c:pt idx="354">
                  <c:v>-2215.1757330861037</c:v>
                </c:pt>
                <c:pt idx="355">
                  <c:v>-3676.817950397749</c:v>
                </c:pt>
                <c:pt idx="356">
                  <c:v>-5043.0915943430264</c:v>
                </c:pt>
                <c:pt idx="357">
                  <c:v>-6299.1914183179033</c:v>
                </c:pt>
                <c:pt idx="358">
                  <c:v>-7428.2007424597168</c:v>
                </c:pt>
                <c:pt idx="359">
                  <c:v>-8414.6966313677949</c:v>
                </c:pt>
                <c:pt idx="360">
                  <c:v>-9255.7235447944859</c:v>
                </c:pt>
                <c:pt idx="361">
                  <c:v>-9989.3809354036948</c:v>
                </c:pt>
                <c:pt idx="362">
                  <c:v>-10752.561054533222</c:v>
                </c:pt>
                <c:pt idx="363">
                  <c:v>-11838.82588089041</c:v>
                </c:pt>
                <c:pt idx="364">
                  <c:v>-13604.081744764115</c:v>
                </c:pt>
                <c:pt idx="365">
                  <c:v>-16109.093465111837</c:v>
                </c:pt>
                <c:pt idx="366">
                  <c:v>-18992.0008536797</c:v>
                </c:pt>
                <c:pt idx="367">
                  <c:v>-21856.924026715235</c:v>
                </c:pt>
                <c:pt idx="368">
                  <c:v>-24488.857635202497</c:v>
                </c:pt>
                <c:pt idx="369">
                  <c:v>-26805.087814298968</c:v>
                </c:pt>
                <c:pt idx="370">
                  <c:v>-28783.65606481543</c:v>
                </c:pt>
                <c:pt idx="371">
                  <c:v>-30425.710643343053</c:v>
                </c:pt>
                <c:pt idx="372">
                  <c:v>-31739.468667441961</c:v>
                </c:pt>
                <c:pt idx="373">
                  <c:v>-32733.790643777655</c:v>
                </c:pt>
                <c:pt idx="374">
                  <c:v>-33415.677466997971</c:v>
                </c:pt>
                <c:pt idx="375">
                  <c:v>-33789.330039532506</c:v>
                </c:pt>
                <c:pt idx="376">
                  <c:v>-33855.821703822432</c:v>
                </c:pt>
                <c:pt idx="377">
                  <c:v>-33613.019097705255</c:v>
                </c:pt>
                <c:pt idx="378">
                  <c:v>-33055.661619293882</c:v>
                </c:pt>
                <c:pt idx="379">
                  <c:v>-32175.71063456278</c:v>
                </c:pt>
                <c:pt idx="380">
                  <c:v>-30963.379155569208</c:v>
                </c:pt>
                <c:pt idx="381">
                  <c:v>-29409.930411467845</c:v>
                </c:pt>
                <c:pt idx="382">
                  <c:v>-27515.087416400056</c:v>
                </c:pt>
                <c:pt idx="383">
                  <c:v>-25306.635010215348</c:v>
                </c:pt>
                <c:pt idx="384">
                  <c:v>-22892.242596806311</c:v>
                </c:pt>
                <c:pt idx="385">
                  <c:v>-20587.739684854252</c:v>
                </c:pt>
                <c:pt idx="386">
                  <c:v>-19127.708540782533</c:v>
                </c:pt>
                <c:pt idx="387">
                  <c:v>-19410.160332838841</c:v>
                </c:pt>
                <c:pt idx="388">
                  <c:v>-21258.134524505949</c:v>
                </c:pt>
                <c:pt idx="389">
                  <c:v>-23844.900241494444</c:v>
                </c:pt>
                <c:pt idx="390">
                  <c:v>-26643.429841069272</c:v>
                </c:pt>
                <c:pt idx="391">
                  <c:v>-29409.943616617657</c:v>
                </c:pt>
                <c:pt idx="392">
                  <c:v>-32032.9669696479</c:v>
                </c:pt>
                <c:pt idx="393">
                  <c:v>-34456.875654366959</c:v>
                </c:pt>
                <c:pt idx="394">
                  <c:v>-36649.361541949489</c:v>
                </c:pt>
                <c:pt idx="395">
                  <c:v>-38587.099672146011</c:v>
                </c:pt>
                <c:pt idx="396">
                  <c:v>-40248.651798809078</c:v>
                </c:pt>
                <c:pt idx="397">
                  <c:v>-41610.09994708321</c:v>
                </c:pt>
                <c:pt idx="398">
                  <c:v>-42641.25838576402</c:v>
                </c:pt>
                <c:pt idx="399">
                  <c:v>-43300.899416640059</c:v>
                </c:pt>
                <c:pt idx="400">
                  <c:v>-43528.805826368451</c:v>
                </c:pt>
                <c:pt idx="401">
                  <c:v>-43229.667378153295</c:v>
                </c:pt>
                <c:pt idx="402">
                  <c:v>-42233.730016222129</c:v>
                </c:pt>
                <c:pt idx="403">
                  <c:v>-40175.621977571973</c:v>
                </c:pt>
                <c:pt idx="404">
                  <c:v>-36040.321588036633</c:v>
                </c:pt>
                <c:pt idx="405">
                  <c:v>-30502.08324566876</c:v>
                </c:pt>
                <c:pt idx="406">
                  <c:v>-25642.181829448753</c:v>
                </c:pt>
                <c:pt idx="407">
                  <c:v>-21049.573911954183</c:v>
                </c:pt>
                <c:pt idx="408">
                  <c:v>-16401.318373659353</c:v>
                </c:pt>
                <c:pt idx="409">
                  <c:v>-11439.717698827399</c:v>
                </c:pt>
                <c:pt idx="410">
                  <c:v>-5903.5748548985594</c:v>
                </c:pt>
                <c:pt idx="411">
                  <c:v>540.72277697516711</c:v>
                </c:pt>
                <c:pt idx="412">
                  <c:v>8411.8304458582588</c:v>
                </c:pt>
                <c:pt idx="413">
                  <c:v>18556.963749649363</c:v>
                </c:pt>
                <c:pt idx="414">
                  <c:v>29490.289839655321</c:v>
                </c:pt>
                <c:pt idx="415">
                  <c:v>36372.668998027555</c:v>
                </c:pt>
                <c:pt idx="416">
                  <c:v>40881.614634441568</c:v>
                </c:pt>
                <c:pt idx="417">
                  <c:v>43768.6266868975</c:v>
                </c:pt>
                <c:pt idx="418">
                  <c:v>45344.993558166876</c:v>
                </c:pt>
                <c:pt idx="419">
                  <c:v>45743.367690607964</c:v>
                </c:pt>
                <c:pt idx="420">
                  <c:v>45003.897416369044</c:v>
                </c:pt>
                <c:pt idx="421">
                  <c:v>43099.801052092844</c:v>
                </c:pt>
                <c:pt idx="422">
                  <c:v>39933.49479765947</c:v>
                </c:pt>
                <c:pt idx="423">
                  <c:v>35307.012434049269</c:v>
                </c:pt>
                <c:pt idx="424">
                  <c:v>28869.884261922241</c:v>
                </c:pt>
                <c:pt idx="425">
                  <c:v>20257.785440556709</c:v>
                </c:pt>
                <c:pt idx="426">
                  <c:v>11271.444891911797</c:v>
                </c:pt>
                <c:pt idx="427">
                  <c:v>4344.5709039090198</c:v>
                </c:pt>
                <c:pt idx="428">
                  <c:v>-1355.7049166697657</c:v>
                </c:pt>
                <c:pt idx="429">
                  <c:v>-6599.5836990951939</c:v>
                </c:pt>
                <c:pt idx="430">
                  <c:v>-11958.923299817816</c:v>
                </c:pt>
                <c:pt idx="431">
                  <c:v>-17974.646896136808</c:v>
                </c:pt>
                <c:pt idx="432">
                  <c:v>-25017.186248808997</c:v>
                </c:pt>
                <c:pt idx="433">
                  <c:v>-32767.594683472205</c:v>
                </c:pt>
                <c:pt idx="434">
                  <c:v>-40329.173686736533</c:v>
                </c:pt>
                <c:pt idx="435">
                  <c:v>-47007.93419378101</c:v>
                </c:pt>
                <c:pt idx="436">
                  <c:v>-52491.272038949843</c:v>
                </c:pt>
                <c:pt idx="437">
                  <c:v>-56672.070636244382</c:v>
                </c:pt>
                <c:pt idx="438">
                  <c:v>-59516.091649463917</c:v>
                </c:pt>
                <c:pt idx="439">
                  <c:v>-61000.996503760041</c:v>
                </c:pt>
                <c:pt idx="440">
                  <c:v>-61089.962894978067</c:v>
                </c:pt>
                <c:pt idx="441">
                  <c:v>-59718.589207248231</c:v>
                </c:pt>
                <c:pt idx="442">
                  <c:v>-56787.596100313574</c:v>
                </c:pt>
                <c:pt idx="443">
                  <c:v>-52165.229063876788</c:v>
                </c:pt>
                <c:pt idx="444">
                  <c:v>-45729.601088925614</c:v>
                </c:pt>
                <c:pt idx="445">
                  <c:v>-37568.12594503197</c:v>
                </c:pt>
                <c:pt idx="446">
                  <c:v>-28566.38537080813</c:v>
                </c:pt>
                <c:pt idx="447">
                  <c:v>-20550.960191284357</c:v>
                </c:pt>
                <c:pt idx="448">
                  <c:v>-14192.755562795486</c:v>
                </c:pt>
                <c:pt idx="449">
                  <c:v>-8844.3186252344367</c:v>
                </c:pt>
                <c:pt idx="450">
                  <c:v>-3711.0720802705882</c:v>
                </c:pt>
                <c:pt idx="451">
                  <c:v>1945.2243600993504</c:v>
                </c:pt>
                <c:pt idx="452">
                  <c:v>9112.9685582014536</c:v>
                </c:pt>
                <c:pt idx="453">
                  <c:v>19550.768347477388</c:v>
                </c:pt>
                <c:pt idx="454">
                  <c:v>30069.48743885908</c:v>
                </c:pt>
                <c:pt idx="455">
                  <c:v>37845.781491515227</c:v>
                </c:pt>
                <c:pt idx="456">
                  <c:v>43567.499107514144</c:v>
                </c:pt>
                <c:pt idx="457">
                  <c:v>47698.689708937272</c:v>
                </c:pt>
                <c:pt idx="458">
                  <c:v>50491.108595217498</c:v>
                </c:pt>
                <c:pt idx="459">
                  <c:v>52081.088023301985</c:v>
                </c:pt>
                <c:pt idx="460">
                  <c:v>52535.827363218123</c:v>
                </c:pt>
                <c:pt idx="461">
                  <c:v>51874.095138161814</c:v>
                </c:pt>
                <c:pt idx="462">
                  <c:v>50074.514886032026</c:v>
                </c:pt>
                <c:pt idx="463">
                  <c:v>47077.280618158009</c:v>
                </c:pt>
                <c:pt idx="464">
                  <c:v>42783.72631870491</c:v>
                </c:pt>
                <c:pt idx="465">
                  <c:v>37064.553972928428</c:v>
                </c:pt>
                <c:pt idx="466">
                  <c:v>29817.704523442186</c:v>
                </c:pt>
                <c:pt idx="467">
                  <c:v>21206.242212392772</c:v>
                </c:pt>
                <c:pt idx="468">
                  <c:v>12106.477634171331</c:v>
                </c:pt>
                <c:pt idx="469">
                  <c:v>3522.1469346010413</c:v>
                </c:pt>
                <c:pt idx="470">
                  <c:v>-4463.7704612294883</c:v>
                </c:pt>
                <c:pt idx="471">
                  <c:v>-12311.621087768775</c:v>
                </c:pt>
                <c:pt idx="472">
                  <c:v>-20774.154923205155</c:v>
                </c:pt>
                <c:pt idx="473">
                  <c:v>-31062.632951167823</c:v>
                </c:pt>
                <c:pt idx="474">
                  <c:v>-43399.507513363416</c:v>
                </c:pt>
                <c:pt idx="475">
                  <c:v>-51520.230097722022</c:v>
                </c:pt>
                <c:pt idx="476">
                  <c:v>-57051.350956140224</c:v>
                </c:pt>
                <c:pt idx="477">
                  <c:v>-60889.784399141805</c:v>
                </c:pt>
                <c:pt idx="478">
                  <c:v>-63456.117085427744</c:v>
                </c:pt>
                <c:pt idx="479">
                  <c:v>-64973.62961410205</c:v>
                </c:pt>
                <c:pt idx="480">
                  <c:v>-65569.192840371907</c:v>
                </c:pt>
                <c:pt idx="481">
                  <c:v>-65314.081158996654</c:v>
                </c:pt>
                <c:pt idx="482">
                  <c:v>-64241.872702042492</c:v>
                </c:pt>
                <c:pt idx="483">
                  <c:v>-62355.68981036394</c:v>
                </c:pt>
                <c:pt idx="484">
                  <c:v>-59628.887085891743</c:v>
                </c:pt>
                <c:pt idx="485">
                  <c:v>-55999.768123849346</c:v>
                </c:pt>
                <c:pt idx="486">
                  <c:v>-51358.478307690501</c:v>
                </c:pt>
                <c:pt idx="487">
                  <c:v>-45523.271969384732</c:v>
                </c:pt>
                <c:pt idx="488">
                  <c:v>-38229.612123190629</c:v>
                </c:pt>
                <c:pt idx="489">
                  <c:v>-29617.372115098464</c:v>
                </c:pt>
                <c:pt idx="490">
                  <c:v>-23994.653037776035</c:v>
                </c:pt>
                <c:pt idx="491">
                  <c:v>-20433.748939279416</c:v>
                </c:pt>
                <c:pt idx="492">
                  <c:v>-17395.217683037063</c:v>
                </c:pt>
                <c:pt idx="493">
                  <c:v>-14242.122320930219</c:v>
                </c:pt>
                <c:pt idx="494">
                  <c:v>-10653.500281508046</c:v>
                </c:pt>
                <c:pt idx="495">
                  <c:v>-6443.862683407292</c:v>
                </c:pt>
                <c:pt idx="496">
                  <c:v>-1506.3006264034989</c:v>
                </c:pt>
                <c:pt idx="497">
                  <c:v>4201.1960995498448</c:v>
                </c:pt>
                <c:pt idx="498">
                  <c:v>10639.199507345054</c:v>
                </c:pt>
                <c:pt idx="499">
                  <c:v>17626.095381057898</c:v>
                </c:pt>
                <c:pt idx="500">
                  <c:v>24700.694268327199</c:v>
                </c:pt>
                <c:pt idx="501">
                  <c:v>30923.590795032891</c:v>
                </c:pt>
                <c:pt idx="502">
                  <c:v>34989.089120500292</c:v>
                </c:pt>
                <c:pt idx="503">
                  <c:v>36196.128143327929</c:v>
                </c:pt>
                <c:pt idx="504">
                  <c:v>34934.933962776864</c:v>
                </c:pt>
                <c:pt idx="505">
                  <c:v>31887.862597431475</c:v>
                </c:pt>
                <c:pt idx="506">
                  <c:v>27449.605485766097</c:v>
                </c:pt>
                <c:pt idx="507">
                  <c:v>21517.383754964212</c:v>
                </c:pt>
                <c:pt idx="508">
                  <c:v>14212.429216355809</c:v>
                </c:pt>
                <c:pt idx="509">
                  <c:v>8849.3265227785396</c:v>
                </c:pt>
                <c:pt idx="510">
                  <c:v>4203.1015948264467</c:v>
                </c:pt>
                <c:pt idx="511">
                  <c:v>-117.9967578855647</c:v>
                </c:pt>
                <c:pt idx="512">
                  <c:v>-4259.0312231395501</c:v>
                </c:pt>
                <c:pt idx="513">
                  <c:v>-8279.9985716000119</c:v>
                </c:pt>
                <c:pt idx="514">
                  <c:v>-12204.706799648444</c:v>
                </c:pt>
                <c:pt idx="515">
                  <c:v>-16039.223463911238</c:v>
                </c:pt>
                <c:pt idx="516">
                  <c:v>-19779.790381185583</c:v>
                </c:pt>
                <c:pt idx="517">
                  <c:v>-23416.340443147637</c:v>
                </c:pt>
                <c:pt idx="518">
                  <c:v>-26933.843377992172</c:v>
                </c:pt>
                <c:pt idx="519">
                  <c:v>-30312.312612604037</c:v>
                </c:pt>
                <c:pt idx="520">
                  <c:v>-33525.646555615247</c:v>
                </c:pt>
                <c:pt idx="521">
                  <c:v>-36538.960965374012</c:v>
                </c:pt>
                <c:pt idx="522">
                  <c:v>-39303.29704396287</c:v>
                </c:pt>
                <c:pt idx="523">
                  <c:v>-41744.846480826003</c:v>
                </c:pt>
                <c:pt idx="524">
                  <c:v>-43740.971659839175</c:v>
                </c:pt>
                <c:pt idx="525">
                  <c:v>-45059.37178911081</c:v>
                </c:pt>
                <c:pt idx="526">
                  <c:v>-45176.741848987054</c:v>
                </c:pt>
                <c:pt idx="527">
                  <c:v>-42706.893312604319</c:v>
                </c:pt>
                <c:pt idx="528">
                  <c:v>-36055.441709925166</c:v>
                </c:pt>
                <c:pt idx="529">
                  <c:v>-28693.101165413595</c:v>
                </c:pt>
                <c:pt idx="530">
                  <c:v>-21442.611224934506</c:v>
                </c:pt>
                <c:pt idx="531">
                  <c:v>-14133.063095421205</c:v>
                </c:pt>
                <c:pt idx="532">
                  <c:v>-6424.6483790857201</c:v>
                </c:pt>
                <c:pt idx="533">
                  <c:v>2169.903810347846</c:v>
                </c:pt>
                <c:pt idx="534">
                  <c:v>12466.037441078168</c:v>
                </c:pt>
                <c:pt idx="535">
                  <c:v>25347.95864271907</c:v>
                </c:pt>
                <c:pt idx="536">
                  <c:v>34901.131143099417</c:v>
                </c:pt>
                <c:pt idx="537">
                  <c:v>41481.510069276694</c:v>
                </c:pt>
                <c:pt idx="538">
                  <c:v>46186.515479083384</c:v>
                </c:pt>
                <c:pt idx="539">
                  <c:v>49514.133437376375</c:v>
                </c:pt>
                <c:pt idx="540">
                  <c:v>51709.668275076037</c:v>
                </c:pt>
                <c:pt idx="541">
                  <c:v>52905.41530512421</c:v>
                </c:pt>
                <c:pt idx="542">
                  <c:v>53174.715825075327</c:v>
                </c:pt>
                <c:pt idx="543">
                  <c:v>52554.500128419924</c:v>
                </c:pt>
                <c:pt idx="544">
                  <c:v>51054.500675770993</c:v>
                </c:pt>
                <c:pt idx="545">
                  <c:v>48659.526648965999</c:v>
                </c:pt>
                <c:pt idx="546">
                  <c:v>45326.807246507728</c:v>
                </c:pt>
                <c:pt idx="547">
                  <c:v>40978.565000874099</c:v>
                </c:pt>
                <c:pt idx="548">
                  <c:v>35490.80449129131</c:v>
                </c:pt>
                <c:pt idx="549">
                  <c:v>28694.913091017806</c:v>
                </c:pt>
                <c:pt idx="550">
                  <c:v>20527.616830520667</c:v>
                </c:pt>
                <c:pt idx="551">
                  <c:v>11979.939623294324</c:v>
                </c:pt>
                <c:pt idx="552">
                  <c:v>5124.1970997810804</c:v>
                </c:pt>
                <c:pt idx="553">
                  <c:v>-386.61569283295194</c:v>
                </c:pt>
                <c:pt idx="554">
                  <c:v>-5365.7596921099775</c:v>
                </c:pt>
                <c:pt idx="555">
                  <c:v>-10359.714845547256</c:v>
                </c:pt>
                <c:pt idx="556">
                  <c:v>-15718.779224074715</c:v>
                </c:pt>
                <c:pt idx="557">
                  <c:v>-21496.654707930531</c:v>
                </c:pt>
                <c:pt idx="558">
                  <c:v>-27423.197318388658</c:v>
                </c:pt>
                <c:pt idx="559">
                  <c:v>-33181.074294414902</c:v>
                </c:pt>
                <c:pt idx="560">
                  <c:v>-38571.810432611426</c:v>
                </c:pt>
                <c:pt idx="561">
                  <c:v>-43499.204083190787</c:v>
                </c:pt>
                <c:pt idx="562">
                  <c:v>-47921.42588965052</c:v>
                </c:pt>
                <c:pt idx="563">
                  <c:v>-51820.366482735466</c:v>
                </c:pt>
                <c:pt idx="564">
                  <c:v>-55185.947362550891</c:v>
                </c:pt>
                <c:pt idx="565">
                  <c:v>-58008.24586962485</c:v>
                </c:pt>
                <c:pt idx="566">
                  <c:v>-60273.105234219503</c:v>
                </c:pt>
                <c:pt idx="567">
                  <c:v>-61958.987174924252</c:v>
                </c:pt>
                <c:pt idx="568">
                  <c:v>-63033.778762608374</c:v>
                </c:pt>
                <c:pt idx="569">
                  <c:v>-63450.500810491409</c:v>
                </c:pt>
                <c:pt idx="570">
                  <c:v>-63140.531667141855</c:v>
                </c:pt>
                <c:pt idx="571">
                  <c:v>-62001.800868499005</c:v>
                </c:pt>
                <c:pt idx="572">
                  <c:v>-59876.367242159751</c:v>
                </c:pt>
                <c:pt idx="573">
                  <c:v>-56503.544340797642</c:v>
                </c:pt>
                <c:pt idx="574">
                  <c:v>-51411.219273267612</c:v>
                </c:pt>
                <c:pt idx="575">
                  <c:v>-43662.971157261076</c:v>
                </c:pt>
                <c:pt idx="576">
                  <c:v>-32119.881880445158</c:v>
                </c:pt>
                <c:pt idx="577">
                  <c:v>-21534.851057070413</c:v>
                </c:pt>
                <c:pt idx="578">
                  <c:v>-12585.151886027732</c:v>
                </c:pt>
                <c:pt idx="579">
                  <c:v>-4297.4655318163504</c:v>
                </c:pt>
                <c:pt idx="580">
                  <c:v>4095.8647537049019</c:v>
                </c:pt>
                <c:pt idx="581">
                  <c:v>13149.653928974316</c:v>
                </c:pt>
                <c:pt idx="582">
                  <c:v>22712.626751938078</c:v>
                </c:pt>
                <c:pt idx="583">
                  <c:v>31589.21306992989</c:v>
                </c:pt>
                <c:pt idx="584">
                  <c:v>39056.621965718383</c:v>
                </c:pt>
                <c:pt idx="585">
                  <c:v>45024.111611468441</c:v>
                </c:pt>
                <c:pt idx="586">
                  <c:v>49615.998982869831</c:v>
                </c:pt>
                <c:pt idx="587">
                  <c:v>52985.869496864725</c:v>
                </c:pt>
                <c:pt idx="588">
                  <c:v>55264.263638734359</c:v>
                </c:pt>
                <c:pt idx="589">
                  <c:v>56550.769851693047</c:v>
                </c:pt>
                <c:pt idx="590">
                  <c:v>56917.140944914245</c:v>
                </c:pt>
                <c:pt idx="591">
                  <c:v>56411.715668255296</c:v>
                </c:pt>
                <c:pt idx="592">
                  <c:v>55062.751459711413</c:v>
                </c:pt>
                <c:pt idx="593">
                  <c:v>52880.237432179696</c:v>
                </c:pt>
                <c:pt idx="594">
                  <c:v>49856.182521159542</c:v>
                </c:pt>
                <c:pt idx="595">
                  <c:v>45963.45110679372</c:v>
                </c:pt>
                <c:pt idx="596">
                  <c:v>41153.565163081184</c:v>
                </c:pt>
                <c:pt idx="597">
                  <c:v>35356.04067466563</c:v>
                </c:pt>
                <c:pt idx="598">
                  <c:v>28493.322292715467</c:v>
                </c:pt>
                <c:pt idx="599">
                  <c:v>20589.373457340906</c:v>
                </c:pt>
                <c:pt idx="600">
                  <c:v>12379.998861111349</c:v>
                </c:pt>
                <c:pt idx="601">
                  <c:v>6549.7107391741883</c:v>
                </c:pt>
                <c:pt idx="602">
                  <c:v>3361.1386820475859</c:v>
                </c:pt>
                <c:pt idx="603">
                  <c:v>1355.3918470658175</c:v>
                </c:pt>
                <c:pt idx="604">
                  <c:v>-138.28508679074855</c:v>
                </c:pt>
                <c:pt idx="605">
                  <c:v>-1194.8090450515328</c:v>
                </c:pt>
                <c:pt idx="606">
                  <c:v>-1705.0076330928414</c:v>
                </c:pt>
                <c:pt idx="607">
                  <c:v>-1715.6887081083185</c:v>
                </c:pt>
                <c:pt idx="608">
                  <c:v>-1372.4210074593746</c:v>
                </c:pt>
                <c:pt idx="609">
                  <c:v>-798.95573888543481</c:v>
                </c:pt>
                <c:pt idx="610">
                  <c:v>-76.656265783240372</c:v>
                </c:pt>
                <c:pt idx="611">
                  <c:v>743.31698375673352</c:v>
                </c:pt>
                <c:pt idx="612">
                  <c:v>1628.103876199149</c:v>
                </c:pt>
                <c:pt idx="613">
                  <c:v>2555.7299349134196</c:v>
                </c:pt>
                <c:pt idx="614">
                  <c:v>3510.8566681942248</c:v>
                </c:pt>
                <c:pt idx="615">
                  <c:v>4482.3652308506043</c:v>
                </c:pt>
                <c:pt idx="616">
                  <c:v>5461.9891003127286</c:v>
                </c:pt>
                <c:pt idx="617">
                  <c:v>6443.5950597561396</c:v>
                </c:pt>
                <c:pt idx="618">
                  <c:v>7422.9517318766793</c:v>
                </c:pt>
                <c:pt idx="619">
                  <c:v>8398.0179878642757</c:v>
                </c:pt>
                <c:pt idx="620">
                  <c:v>9370.0478730451359</c:v>
                </c:pt>
                <c:pt idx="621">
                  <c:v>10346.385471196763</c:v>
                </c:pt>
                <c:pt idx="622">
                  <c:v>11347.462422498313</c:v>
                </c:pt>
                <c:pt idx="623">
                  <c:v>12426.209505322813</c:v>
                </c:pt>
                <c:pt idx="624">
                  <c:v>13733.250480018454</c:v>
                </c:pt>
                <c:pt idx="625">
                  <c:v>15810.691291466035</c:v>
                </c:pt>
                <c:pt idx="626">
                  <c:v>20519.798827115876</c:v>
                </c:pt>
                <c:pt idx="627">
                  <c:v>24746.684259043002</c:v>
                </c:pt>
                <c:pt idx="628">
                  <c:v>28054.441277846254</c:v>
                </c:pt>
                <c:pt idx="629">
                  <c:v>29281.766772269119</c:v>
                </c:pt>
                <c:pt idx="630">
                  <c:v>26425.811233955152</c:v>
                </c:pt>
                <c:pt idx="631">
                  <c:v>21911.987556417524</c:v>
                </c:pt>
                <c:pt idx="632">
                  <c:v>17060.708942338057</c:v>
                </c:pt>
                <c:pt idx="633">
                  <c:v>12218.714774283886</c:v>
                </c:pt>
                <c:pt idx="634">
                  <c:v>7490.2086604824408</c:v>
                </c:pt>
                <c:pt idx="635">
                  <c:v>2912.5211660806112</c:v>
                </c:pt>
                <c:pt idx="636">
                  <c:v>-1498.1784986408729</c:v>
                </c:pt>
                <c:pt idx="637">
                  <c:v>-5732.7743202458332</c:v>
                </c:pt>
                <c:pt idx="638">
                  <c:v>-9784.2151429925525</c:v>
                </c:pt>
                <c:pt idx="639">
                  <c:v>-13645.547186123145</c:v>
                </c:pt>
                <c:pt idx="640">
                  <c:v>-17309.043753220045</c:v>
                </c:pt>
                <c:pt idx="641">
                  <c:v>-20765.747208676923</c:v>
                </c:pt>
                <c:pt idx="642">
                  <c:v>-24005.150909334789</c:v>
                </c:pt>
                <c:pt idx="643">
                  <c:v>-27014.895308783074</c:v>
                </c:pt>
                <c:pt idx="644">
                  <c:v>-29780.39971500542</c:v>
                </c:pt>
                <c:pt idx="645">
                  <c:v>-32284.348917981661</c:v>
                </c:pt>
                <c:pt idx="646">
                  <c:v>-34505.904944785485</c:v>
                </c:pt>
                <c:pt idx="647">
                  <c:v>-36419.379663759144</c:v>
                </c:pt>
                <c:pt idx="648">
                  <c:v>-37991.753160539673</c:v>
                </c:pt>
                <c:pt idx="649">
                  <c:v>-39177.427288224288</c:v>
                </c:pt>
                <c:pt idx="650">
                  <c:v>-39905.349573422143</c:v>
                </c:pt>
                <c:pt idx="651">
                  <c:v>-40040.615316713331</c:v>
                </c:pt>
                <c:pt idx="652">
                  <c:v>-39233.461348836143</c:v>
                </c:pt>
                <c:pt idx="653">
                  <c:v>-36149.257576397351</c:v>
                </c:pt>
                <c:pt idx="654">
                  <c:v>-31935.621687961404</c:v>
                </c:pt>
                <c:pt idx="655">
                  <c:v>-27838.629557246779</c:v>
                </c:pt>
                <c:pt idx="656">
                  <c:v>-23815.63457987782</c:v>
                </c:pt>
                <c:pt idx="657">
                  <c:v>-19792.649342322769</c:v>
                </c:pt>
                <c:pt idx="658">
                  <c:v>-15719.886565480987</c:v>
                </c:pt>
                <c:pt idx="659">
                  <c:v>-11565.267791087794</c:v>
                </c:pt>
                <c:pt idx="660">
                  <c:v>-7307.5634687617157</c:v>
                </c:pt>
                <c:pt idx="661">
                  <c:v>-2931.9660906264371</c:v>
                </c:pt>
                <c:pt idx="662">
                  <c:v>1572.4959276937579</c:v>
                </c:pt>
                <c:pt idx="663">
                  <c:v>6213.7892827623846</c:v>
                </c:pt>
                <c:pt idx="664">
                  <c:v>10994.520113055243</c:v>
                </c:pt>
                <c:pt idx="665">
                  <c:v>15899.96264701671</c:v>
                </c:pt>
                <c:pt idx="666">
                  <c:v>20848.012336674608</c:v>
                </c:pt>
                <c:pt idx="667">
                  <c:v>25455.537719834465</c:v>
                </c:pt>
                <c:pt idx="668">
                  <c:v>28070.582967020218</c:v>
                </c:pt>
                <c:pt idx="669">
                  <c:v>27585.331317069969</c:v>
                </c:pt>
                <c:pt idx="670">
                  <c:v>25638.97189289541</c:v>
                </c:pt>
                <c:pt idx="671">
                  <c:v>22636.581213554306</c:v>
                </c:pt>
                <c:pt idx="672">
                  <c:v>18247.9272945503</c:v>
                </c:pt>
                <c:pt idx="673">
                  <c:v>15041.678273904088</c:v>
                </c:pt>
                <c:pt idx="674">
                  <c:v>12633.458570452463</c:v>
                </c:pt>
                <c:pt idx="675">
                  <c:v>10677.206962092323</c:v>
                </c:pt>
                <c:pt idx="676">
                  <c:v>9040.0412140209901</c:v>
                </c:pt>
                <c:pt idx="677">
                  <c:v>7666.7530075612449</c:v>
                </c:pt>
                <c:pt idx="678">
                  <c:v>6538.0215157273387</c:v>
                </c:pt>
                <c:pt idx="679">
                  <c:v>5656.9694108089143</c:v>
                </c:pt>
                <c:pt idx="680">
                  <c:v>5046.7264525396395</c:v>
                </c:pt>
                <c:pt idx="681">
                  <c:v>4755.5201486359238</c:v>
                </c:pt>
                <c:pt idx="682">
                  <c:v>4872.3997751717816</c:v>
                </c:pt>
                <c:pt idx="683">
                  <c:v>5566.9183032647861</c:v>
                </c:pt>
                <c:pt idx="684">
                  <c:v>7197.1014157362079</c:v>
                </c:pt>
                <c:pt idx="685">
                  <c:v>10630.777651588372</c:v>
                </c:pt>
                <c:pt idx="686">
                  <c:v>17605.335383977443</c:v>
                </c:pt>
                <c:pt idx="687">
                  <c:v>25350.000086053307</c:v>
                </c:pt>
                <c:pt idx="688">
                  <c:v>31823.166948622802</c:v>
                </c:pt>
                <c:pt idx="689">
                  <c:v>36862.014294645553</c:v>
                </c:pt>
                <c:pt idx="690">
                  <c:v>40503.091500816263</c:v>
                </c:pt>
                <c:pt idx="691">
                  <c:v>42819.11743070888</c:v>
                </c:pt>
                <c:pt idx="692">
                  <c:v>43877.217632553373</c:v>
                </c:pt>
                <c:pt idx="693">
                  <c:v>43715.652736345066</c:v>
                </c:pt>
                <c:pt idx="694">
                  <c:v>42329.516925417025</c:v>
                </c:pt>
                <c:pt idx="695">
                  <c:v>39652.955106618567</c:v>
                </c:pt>
                <c:pt idx="696">
                  <c:v>35521.173548301944</c:v>
                </c:pt>
                <c:pt idx="697">
                  <c:v>29576.240918237505</c:v>
                </c:pt>
                <c:pt idx="698">
                  <c:v>21089.60974866134</c:v>
                </c:pt>
                <c:pt idx="699">
                  <c:v>11476.265819855462</c:v>
                </c:pt>
                <c:pt idx="700">
                  <c:v>4444.2479979352875</c:v>
                </c:pt>
                <c:pt idx="701">
                  <c:v>-1507.4841030948846</c:v>
                </c:pt>
                <c:pt idx="702">
                  <c:v>-7118.7254307925368</c:v>
                </c:pt>
                <c:pt idx="703">
                  <c:v>-12898.95904065496</c:v>
                </c:pt>
                <c:pt idx="704">
                  <c:v>-19327.041731577938</c:v>
                </c:pt>
                <c:pt idx="705">
                  <c:v>-26668.670117618716</c:v>
                </c:pt>
                <c:pt idx="706">
                  <c:v>-34540.181248444198</c:v>
                </c:pt>
                <c:pt idx="707">
                  <c:v>-42034.170555406992</c:v>
                </c:pt>
                <c:pt idx="708">
                  <c:v>-48392.185831958595</c:v>
                </c:pt>
                <c:pt idx="709">
                  <c:v>-53229.591651325776</c:v>
                </c:pt>
                <c:pt idx="710">
                  <c:v>-56396.690340109926</c:v>
                </c:pt>
                <c:pt idx="711">
                  <c:v>-57840.057665825741</c:v>
                </c:pt>
                <c:pt idx="712">
                  <c:v>-57532.280408098137</c:v>
                </c:pt>
                <c:pt idx="713">
                  <c:v>-55446.297923568796</c:v>
                </c:pt>
                <c:pt idx="714">
                  <c:v>-51560.033584431694</c:v>
                </c:pt>
                <c:pt idx="715">
                  <c:v>-45902.68419864621</c:v>
                </c:pt>
                <c:pt idx="716">
                  <c:v>-38690.097934084508</c:v>
                </c:pt>
                <c:pt idx="717">
                  <c:v>-30599.444120636839</c:v>
                </c:pt>
                <c:pt idx="718">
                  <c:v>-22887.174374415219</c:v>
                </c:pt>
                <c:pt idx="719">
                  <c:v>-16534.131448388198</c:v>
                </c:pt>
                <c:pt idx="720">
                  <c:v>-11441.002685783573</c:v>
                </c:pt>
                <c:pt idx="721">
                  <c:v>-6962.9217646110628</c:v>
                </c:pt>
                <c:pt idx="722">
                  <c:v>-2417.870953562604</c:v>
                </c:pt>
                <c:pt idx="723">
                  <c:v>2922.1843304774166</c:v>
                </c:pt>
                <c:pt idx="724">
                  <c:v>10129.66571790238</c:v>
                </c:pt>
                <c:pt idx="725">
                  <c:v>20646.286888349197</c:v>
                </c:pt>
                <c:pt idx="726">
                  <c:v>30608.273361109739</c:v>
                </c:pt>
                <c:pt idx="727">
                  <c:v>37994.501638973969</c:v>
                </c:pt>
                <c:pt idx="728">
                  <c:v>43310.998893402786</c:v>
                </c:pt>
                <c:pt idx="729">
                  <c:v>46964.628420175788</c:v>
                </c:pt>
                <c:pt idx="730">
                  <c:v>49189.754713305294</c:v>
                </c:pt>
                <c:pt idx="731">
                  <c:v>50114.822953829454</c:v>
                </c:pt>
                <c:pt idx="732">
                  <c:v>49800.927309720973</c:v>
                </c:pt>
                <c:pt idx="733">
                  <c:v>48260.828359275532</c:v>
                </c:pt>
                <c:pt idx="734">
                  <c:v>45468.293750743149</c:v>
                </c:pt>
                <c:pt idx="735">
                  <c:v>41364.68624450011</c:v>
                </c:pt>
                <c:pt idx="736">
                  <c:v>35872.929731966236</c:v>
                </c:pt>
                <c:pt idx="737">
                  <c:v>28946.65051148949</c:v>
                </c:pt>
                <c:pt idx="738">
                  <c:v>20745.37081766146</c:v>
                </c:pt>
                <c:pt idx="739">
                  <c:v>12101.65359572435</c:v>
                </c:pt>
                <c:pt idx="740">
                  <c:v>4189.2445419672185</c:v>
                </c:pt>
                <c:pt idx="741">
                  <c:v>-2950.8416301917705</c:v>
                </c:pt>
                <c:pt idx="742">
                  <c:v>-9820.7775103974654</c:v>
                </c:pt>
                <c:pt idx="743">
                  <c:v>-16980.055173148332</c:v>
                </c:pt>
                <c:pt idx="744">
                  <c:v>-25004.632038166281</c:v>
                </c:pt>
                <c:pt idx="745">
                  <c:v>-34345.27540688654</c:v>
                </c:pt>
                <c:pt idx="746">
                  <c:v>-43578.352730361163</c:v>
                </c:pt>
                <c:pt idx="747">
                  <c:v>-48917.419663896013</c:v>
                </c:pt>
                <c:pt idx="748">
                  <c:v>-51293.440231028384</c:v>
                </c:pt>
                <c:pt idx="749">
                  <c:v>-51755.943324314649</c:v>
                </c:pt>
                <c:pt idx="750">
                  <c:v>-50860.310509033829</c:v>
                </c:pt>
                <c:pt idx="751">
                  <c:v>-48916.485319924526</c:v>
                </c:pt>
                <c:pt idx="752">
                  <c:v>-46117.039473147328</c:v>
                </c:pt>
                <c:pt idx="753">
                  <c:v>-42596.466424159611</c:v>
                </c:pt>
                <c:pt idx="754">
                  <c:v>-38463.415682269493</c:v>
                </c:pt>
                <c:pt idx="755">
                  <c:v>-33823.83431394193</c:v>
                </c:pt>
                <c:pt idx="756">
                  <c:v>-28803.587905414093</c:v>
                </c:pt>
                <c:pt idx="757">
                  <c:v>-23572.658227660486</c:v>
                </c:pt>
                <c:pt idx="758">
                  <c:v>-18357.056801351329</c:v>
                </c:pt>
                <c:pt idx="759">
                  <c:v>-13391.387720259658</c:v>
                </c:pt>
                <c:pt idx="760">
                  <c:v>-8780.9780034991436</c:v>
                </c:pt>
                <c:pt idx="761">
                  <c:v>-4404.6739979650556</c:v>
                </c:pt>
                <c:pt idx="762">
                  <c:v>38.585255079614512</c:v>
                </c:pt>
                <c:pt idx="763">
                  <c:v>5014.9824454126374</c:v>
                </c:pt>
                <c:pt idx="764">
                  <c:v>11294.036680667868</c:v>
                </c:pt>
                <c:pt idx="765">
                  <c:v>19821.447484015483</c:v>
                </c:pt>
                <c:pt idx="766">
                  <c:v>28164.252412426147</c:v>
                </c:pt>
                <c:pt idx="767">
                  <c:v>34356.102709124003</c:v>
                </c:pt>
                <c:pt idx="768">
                  <c:v>38677.233973760209</c:v>
                </c:pt>
                <c:pt idx="769">
                  <c:v>41446.296822940094</c:v>
                </c:pt>
                <c:pt idx="770">
                  <c:v>42848.786693946538</c:v>
                </c:pt>
                <c:pt idx="771">
                  <c:v>42978.316882188774</c:v>
                </c:pt>
                <c:pt idx="772">
                  <c:v>41864.284915332188</c:v>
                </c:pt>
                <c:pt idx="773">
                  <c:v>39476.380972978572</c:v>
                </c:pt>
                <c:pt idx="774">
                  <c:v>35695.561367003938</c:v>
                </c:pt>
                <c:pt idx="775">
                  <c:v>30199.564133055261</c:v>
                </c:pt>
                <c:pt idx="776">
                  <c:v>22092.978085828905</c:v>
                </c:pt>
                <c:pt idx="777">
                  <c:v>11735.140630854619</c:v>
                </c:pt>
                <c:pt idx="778">
                  <c:v>3908.6217332617766</c:v>
                </c:pt>
                <c:pt idx="779">
                  <c:v>-2670.5093525720818</c:v>
                </c:pt>
                <c:pt idx="780">
                  <c:v>-8523.6549404335929</c:v>
                </c:pt>
                <c:pt idx="781">
                  <c:v>-13876.80904864148</c:v>
                </c:pt>
                <c:pt idx="782">
                  <c:v>-18839.323430600693</c:v>
                </c:pt>
                <c:pt idx="783">
                  <c:v>-23466.223117232959</c:v>
                </c:pt>
                <c:pt idx="784">
                  <c:v>-27783.82976374399</c:v>
                </c:pt>
                <c:pt idx="785">
                  <c:v>-31801.505273233241</c:v>
                </c:pt>
                <c:pt idx="786">
                  <c:v>-35517.253041810065</c:v>
                </c:pt>
                <c:pt idx="787">
                  <c:v>-38920.180736121554</c:v>
                </c:pt>
                <c:pt idx="788">
                  <c:v>-41991.0363892838</c:v>
                </c:pt>
                <c:pt idx="789">
                  <c:v>-44701.177423538473</c:v>
                </c:pt>
                <c:pt idx="790">
                  <c:v>-47009.726825175458</c:v>
                </c:pt>
                <c:pt idx="791">
                  <c:v>-48857.904426741152</c:v>
                </c:pt>
                <c:pt idx="792">
                  <c:v>-50158.011020981707</c:v>
                </c:pt>
                <c:pt idx="793">
                  <c:v>-50770.800973175385</c:v>
                </c:pt>
                <c:pt idx="794">
                  <c:v>-50454.284742443837</c:v>
                </c:pt>
                <c:pt idx="795">
                  <c:v>-48733.339644095999</c:v>
                </c:pt>
                <c:pt idx="796">
                  <c:v>-44554.602259655076</c:v>
                </c:pt>
                <c:pt idx="797">
                  <c:v>-36316.866917315143</c:v>
                </c:pt>
                <c:pt idx="798">
                  <c:v>-27219.628116558375</c:v>
                </c:pt>
                <c:pt idx="799">
                  <c:v>-18819.792077871956</c:v>
                </c:pt>
                <c:pt idx="800">
                  <c:v>-10890.758250236655</c:v>
                </c:pt>
                <c:pt idx="801">
                  <c:v>-3033.4543896456926</c:v>
                </c:pt>
                <c:pt idx="802">
                  <c:v>5242.5772724366561</c:v>
                </c:pt>
                <c:pt idx="803">
                  <c:v>14804.077134091947</c:v>
                </c:pt>
                <c:pt idx="804">
                  <c:v>27164.250714459693</c:v>
                </c:pt>
                <c:pt idx="805">
                  <c:v>36154.31066253272</c:v>
                </c:pt>
                <c:pt idx="806">
                  <c:v>43346.40444497412</c:v>
                </c:pt>
                <c:pt idx="807">
                  <c:v>49298.773279499219</c:v>
                </c:pt>
                <c:pt idx="808">
                  <c:v>54235.711567284867</c:v>
                </c:pt>
                <c:pt idx="809">
                  <c:v>58276.909506948912</c:v>
                </c:pt>
                <c:pt idx="810">
                  <c:v>61500.361266902168</c:v>
                </c:pt>
                <c:pt idx="811">
                  <c:v>63963.079611051777</c:v>
                </c:pt>
                <c:pt idx="812">
                  <c:v>65709.116675624784</c:v>
                </c:pt>
                <c:pt idx="813">
                  <c:v>66773.206786609066</c:v>
                </c:pt>
                <c:pt idx="814">
                  <c:v>67182.700086353536</c:v>
                </c:pt>
                <c:pt idx="815">
                  <c:v>66958.733067633395</c:v>
                </c:pt>
                <c:pt idx="816">
                  <c:v>66117.005720815025</c:v>
                </c:pt>
                <c:pt idx="817">
                  <c:v>64668.330223290381</c:v>
                </c:pt>
                <c:pt idx="818">
                  <c:v>62619.044473803355</c:v>
                </c:pt>
                <c:pt idx="819">
                  <c:v>59971.369832659533</c:v>
                </c:pt>
                <c:pt idx="820">
                  <c:v>56723.818777272143</c:v>
                </c:pt>
                <c:pt idx="821">
                  <c:v>52871.838799324039</c:v>
                </c:pt>
                <c:pt idx="822">
                  <c:v>48409.064942059013</c:v>
                </c:pt>
                <c:pt idx="823">
                  <c:v>43329.970274329789</c:v>
                </c:pt>
                <c:pt idx="824">
                  <c:v>37635.644825421405</c:v>
                </c:pt>
                <c:pt idx="825">
                  <c:v>31346.556830567137</c:v>
                </c:pt>
                <c:pt idx="826">
                  <c:v>24530.678654855354</c:v>
                </c:pt>
                <c:pt idx="827">
                  <c:v>17362.691514175684</c:v>
                </c:pt>
                <c:pt idx="828">
                  <c:v>10226.469194594949</c:v>
                </c:pt>
                <c:pt idx="829">
                  <c:v>3780.8454029095537</c:v>
                </c:pt>
                <c:pt idx="830">
                  <c:v>-1328.831970402221</c:v>
                </c:pt>
                <c:pt idx="831">
                  <c:v>-5067.876031006047</c:v>
                </c:pt>
                <c:pt idx="832">
                  <c:v>-7998.5554846070763</c:v>
                </c:pt>
                <c:pt idx="833">
                  <c:v>-10853.233780515644</c:v>
                </c:pt>
                <c:pt idx="834">
                  <c:v>-14266.613535446026</c:v>
                </c:pt>
                <c:pt idx="835">
                  <c:v>-18446.307876935636</c:v>
                </c:pt>
                <c:pt idx="836">
                  <c:v>-23100.689127994945</c:v>
                </c:pt>
                <c:pt idx="837">
                  <c:v>-27870.286500194812</c:v>
                </c:pt>
                <c:pt idx="838">
                  <c:v>-32538.011485178085</c:v>
                </c:pt>
                <c:pt idx="839">
                  <c:v>-36998.543853125004</c:v>
                </c:pt>
                <c:pt idx="840">
                  <c:v>-41204.6691020859</c:v>
                </c:pt>
                <c:pt idx="841">
                  <c:v>-45136.413013035999</c:v>
                </c:pt>
                <c:pt idx="842">
                  <c:v>-48786.076652542062</c:v>
                </c:pt>
                <c:pt idx="843">
                  <c:v>-52151.138272300042</c:v>
                </c:pt>
                <c:pt idx="844">
                  <c:v>-55230.812830476723</c:v>
                </c:pt>
                <c:pt idx="845">
                  <c:v>-58024.313188600659</c:v>
                </c:pt>
                <c:pt idx="846">
                  <c:v>-60529.90899333499</c:v>
                </c:pt>
                <c:pt idx="847">
                  <c:v>-62744.351456514953</c:v>
                </c:pt>
                <c:pt idx="848">
                  <c:v>-64662.445056499331</c:v>
                </c:pt>
                <c:pt idx="849">
                  <c:v>-66276.642649965434</c:v>
                </c:pt>
                <c:pt idx="850">
                  <c:v>-67576.579581724305</c:v>
                </c:pt>
                <c:pt idx="851">
                  <c:v>-68548.470286557436</c:v>
                </c:pt>
                <c:pt idx="852">
                  <c:v>-69174.275554952575</c:v>
                </c:pt>
                <c:pt idx="853">
                  <c:v>-69430.507012242655</c:v>
                </c:pt>
                <c:pt idx="854">
                  <c:v>-69286.452152951242</c:v>
                </c:pt>
                <c:pt idx="855">
                  <c:v>-68701.441341547834</c:v>
                </c:pt>
                <c:pt idx="856">
                  <c:v>-67620.451045284542</c:v>
                </c:pt>
                <c:pt idx="857">
                  <c:v>-65966.633073057426</c:v>
                </c:pt>
                <c:pt idx="858">
                  <c:v>-63627.712836759332</c:v>
                </c:pt>
                <c:pt idx="859">
                  <c:v>-60428.949892907804</c:v>
                </c:pt>
                <c:pt idx="860">
                  <c:v>-56073.104084264145</c:v>
                </c:pt>
                <c:pt idx="861">
                  <c:v>-49989.841748907522</c:v>
                </c:pt>
                <c:pt idx="862">
                  <c:v>-40974.136994157852</c:v>
                </c:pt>
                <c:pt idx="863">
                  <c:v>-28555.068967298179</c:v>
                </c:pt>
                <c:pt idx="864">
                  <c:v>-17661.550374663329</c:v>
                </c:pt>
                <c:pt idx="865">
                  <c:v>-7634.6865005224245</c:v>
                </c:pt>
                <c:pt idx="866">
                  <c:v>2498.0204559222707</c:v>
                </c:pt>
                <c:pt idx="867">
                  <c:v>13497.080728138973</c:v>
                </c:pt>
                <c:pt idx="868">
                  <c:v>25331.197897073569</c:v>
                </c:pt>
                <c:pt idx="869">
                  <c:v>35584.355412225304</c:v>
                </c:pt>
                <c:pt idx="870">
                  <c:v>43491.786432099696</c:v>
                </c:pt>
                <c:pt idx="871">
                  <c:v>49662.898394277989</c:v>
                </c:pt>
                <c:pt idx="872">
                  <c:v>54584.617880615158</c:v>
                </c:pt>
                <c:pt idx="873">
                  <c:v>58558.145007504201</c:v>
                </c:pt>
                <c:pt idx="874">
                  <c:v>61773.989424036328</c:v>
                </c:pt>
                <c:pt idx="875">
                  <c:v>64359.041386418518</c:v>
                </c:pt>
                <c:pt idx="876">
                  <c:v>66401.876256352989</c:v>
                </c:pt>
                <c:pt idx="877">
                  <c:v>67966.684106703411</c:v>
                </c:pt>
                <c:pt idx="878">
                  <c:v>69101.327421371694</c:v>
                </c:pt>
                <c:pt idx="879">
                  <c:v>69842.235701656813</c:v>
                </c:pt>
                <c:pt idx="880">
                  <c:v>70217.507124104275</c:v>
                </c:pt>
                <c:pt idx="881">
                  <c:v>70248.942662156871</c:v>
                </c:pt>
                <c:pt idx="882">
                  <c:v>69953.414733947589</c:v>
                </c:pt>
                <c:pt idx="883">
                  <c:v>69343.802387466814</c:v>
                </c:pt>
                <c:pt idx="884">
                  <c:v>68429.631228687169</c:v>
                </c:pt>
                <c:pt idx="885">
                  <c:v>67217.501991866447</c:v>
                </c:pt>
                <c:pt idx="886">
                  <c:v>65711.358488740938</c:v>
                </c:pt>
                <c:pt idx="887">
                  <c:v>63912.624002241544</c:v>
                </c:pt>
                <c:pt idx="888">
                  <c:v>61820.219603525948</c:v>
                </c:pt>
                <c:pt idx="889">
                  <c:v>59430.465057682035</c:v>
                </c:pt>
                <c:pt idx="890">
                  <c:v>56736.850660489414</c:v>
                </c:pt>
                <c:pt idx="891">
                  <c:v>53729.654823104473</c:v>
                </c:pt>
                <c:pt idx="892">
                  <c:v>50395.366734962961</c:v>
                </c:pt>
                <c:pt idx="893">
                  <c:v>46715.858723035512</c:v>
                </c:pt>
                <c:pt idx="894">
                  <c:v>42667.256088243936</c:v>
                </c:pt>
                <c:pt idx="895">
                  <c:v>38218.550157747079</c:v>
                </c:pt>
                <c:pt idx="896">
                  <c:v>33330.535154853176</c:v>
                </c:pt>
                <c:pt idx="897">
                  <c:v>27958.284953070852</c:v>
                </c:pt>
                <c:pt idx="898">
                  <c:v>22074.597451099464</c:v>
                </c:pt>
                <c:pt idx="899">
                  <c:v>15823.582817142631</c:v>
                </c:pt>
                <c:pt idx="900">
                  <c:v>10512.848900996611</c:v>
                </c:pt>
                <c:pt idx="901">
                  <c:v>8741.8311399780996</c:v>
                </c:pt>
                <c:pt idx="902">
                  <c:v>8382.3105460467996</c:v>
                </c:pt>
                <c:pt idx="903">
                  <c:v>8661.9229816932402</c:v>
                </c:pt>
                <c:pt idx="904">
                  <c:v>10330.391199287871</c:v>
                </c:pt>
                <c:pt idx="905">
                  <c:v>14047.066260552199</c:v>
                </c:pt>
                <c:pt idx="906">
                  <c:v>18282.916380177852</c:v>
                </c:pt>
                <c:pt idx="907">
                  <c:v>22412.387895542874</c:v>
                </c:pt>
                <c:pt idx="908">
                  <c:v>26294.285973514823</c:v>
                </c:pt>
                <c:pt idx="909">
                  <c:v>29903.3562981697</c:v>
                </c:pt>
                <c:pt idx="910">
                  <c:v>33242.557261093221</c:v>
                </c:pt>
                <c:pt idx="911">
                  <c:v>36321.131924663743</c:v>
                </c:pt>
                <c:pt idx="912">
                  <c:v>39148.523669094189</c:v>
                </c:pt>
                <c:pt idx="913">
                  <c:v>41732.63994782931</c:v>
                </c:pt>
                <c:pt idx="914">
                  <c:v>44079.419116077996</c:v>
                </c:pt>
                <c:pt idx="915">
                  <c:v>46192.788945348293</c:v>
                </c:pt>
                <c:pt idx="916">
                  <c:v>48074.718873336911</c:v>
                </c:pt>
                <c:pt idx="917">
                  <c:v>49725.262009094266</c:v>
                </c:pt>
                <c:pt idx="918">
                  <c:v>51142.547169148369</c:v>
                </c:pt>
                <c:pt idx="919">
                  <c:v>52322.701169654581</c:v>
                </c:pt>
                <c:pt idx="920">
                  <c:v>53259.684442539256</c:v>
                </c:pt>
                <c:pt idx="921">
                  <c:v>53945.017385075596</c:v>
                </c:pt>
                <c:pt idx="922">
                  <c:v>54367.362327556715</c:v>
                </c:pt>
                <c:pt idx="923">
                  <c:v>54511.90447442919</c:v>
                </c:pt>
                <c:pt idx="924">
                  <c:v>54359.438597762659</c:v>
                </c:pt>
                <c:pt idx="925">
                  <c:v>53885.00395639996</c:v>
                </c:pt>
                <c:pt idx="926">
                  <c:v>53055.791425665979</c:v>
                </c:pt>
                <c:pt idx="927">
                  <c:v>51827.816554688252</c:v>
                </c:pt>
                <c:pt idx="928">
                  <c:v>50140.377752936976</c:v>
                </c:pt>
                <c:pt idx="929">
                  <c:v>47906.278510960779</c:v>
                </c:pt>
                <c:pt idx="930">
                  <c:v>44993.383022736271</c:v>
                </c:pt>
                <c:pt idx="931">
                  <c:v>41187.483515873253</c:v>
                </c:pt>
                <c:pt idx="932">
                  <c:v>36117.539815391603</c:v>
                </c:pt>
                <c:pt idx="933">
                  <c:v>29177.538985022202</c:v>
                </c:pt>
                <c:pt idx="934">
                  <c:v>20225.389861621603</c:v>
                </c:pt>
                <c:pt idx="935">
                  <c:v>10907.324483530698</c:v>
                </c:pt>
                <c:pt idx="936">
                  <c:v>2184.1656373222031</c:v>
                </c:pt>
                <c:pt idx="937">
                  <c:v>-5656.1008293438499</c:v>
                </c:pt>
                <c:pt idx="938">
                  <c:v>-12853.042999724441</c:v>
                </c:pt>
                <c:pt idx="939">
                  <c:v>-19677.812735273252</c:v>
                </c:pt>
                <c:pt idx="940">
                  <c:v>-26209.050515867697</c:v>
                </c:pt>
                <c:pt idx="941">
                  <c:v>-32422.076962603569</c:v>
                </c:pt>
                <c:pt idx="942">
                  <c:v>-38278.06720712869</c:v>
                </c:pt>
                <c:pt idx="943">
                  <c:v>-43752.143893693974</c:v>
                </c:pt>
                <c:pt idx="944">
                  <c:v>-48833.781451053139</c:v>
                </c:pt>
                <c:pt idx="945">
                  <c:v>-53521.485566059557</c:v>
                </c:pt>
                <c:pt idx="946">
                  <c:v>-57818.254652918069</c:v>
                </c:pt>
                <c:pt idx="947">
                  <c:v>-61728.665916336424</c:v>
                </c:pt>
                <c:pt idx="948">
                  <c:v>-65257.167413692616</c:v>
                </c:pt>
                <c:pt idx="949">
                  <c:v>-68407.09962784352</c:v>
                </c:pt>
                <c:pt idx="950">
                  <c:v>-71180.117653654786</c:v>
                </c:pt>
                <c:pt idx="951">
                  <c:v>-73575.81194098515</c:v>
                </c:pt>
                <c:pt idx="952">
                  <c:v>-75591.404950629425</c:v>
                </c:pt>
                <c:pt idx="953">
                  <c:v>-77221.444474954667</c:v>
                </c:pt>
                <c:pt idx="954">
                  <c:v>-78457.434127241489</c:v>
                </c:pt>
                <c:pt idx="955">
                  <c:v>-79287.344984260781</c:v>
                </c:pt>
                <c:pt idx="956">
                  <c:v>-79694.942137101782</c:v>
                </c:pt>
                <c:pt idx="957">
                  <c:v>-79658.834073839724</c:v>
                </c:pt>
                <c:pt idx="958">
                  <c:v>-79151.104000843945</c:v>
                </c:pt>
                <c:pt idx="959">
                  <c:v>-78135.293898822216</c:v>
                </c:pt>
                <c:pt idx="960">
                  <c:v>-76563.349779600045</c:v>
                </c:pt>
                <c:pt idx="961">
                  <c:v>-74370.826909284224</c:v>
                </c:pt>
                <c:pt idx="962">
                  <c:v>-71469.035389834418</c:v>
                </c:pt>
                <c:pt idx="963">
                  <c:v>-67731.516062707335</c:v>
                </c:pt>
                <c:pt idx="964">
                  <c:v>-62969.491697741374</c:v>
                </c:pt>
                <c:pt idx="965">
                  <c:v>-56885.732691374134</c:v>
                </c:pt>
                <c:pt idx="966">
                  <c:v>-48996.518086737102</c:v>
                </c:pt>
                <c:pt idx="967">
                  <c:v>-38662.365904233244</c:v>
                </c:pt>
                <c:pt idx="968">
                  <c:v>-26798.962615794753</c:v>
                </c:pt>
                <c:pt idx="969">
                  <c:v>-16607.912348780814</c:v>
                </c:pt>
                <c:pt idx="970">
                  <c:v>-7633.3282108134181</c:v>
                </c:pt>
                <c:pt idx="971">
                  <c:v>1115.8591789159934</c:v>
                </c:pt>
                <c:pt idx="972">
                  <c:v>10341.331521886004</c:v>
                </c:pt>
                <c:pt idx="973">
                  <c:v>20364.472741958096</c:v>
                </c:pt>
                <c:pt idx="974">
                  <c:v>29968.070249189121</c:v>
                </c:pt>
                <c:pt idx="975">
                  <c:v>35738.476706643822</c:v>
                </c:pt>
                <c:pt idx="976">
                  <c:v>39160.804369110389</c:v>
                </c:pt>
                <c:pt idx="977">
                  <c:v>41271.904789557659</c:v>
                </c:pt>
                <c:pt idx="978">
                  <c:v>42541.321635327062</c:v>
                </c:pt>
                <c:pt idx="979">
                  <c:v>43210.373576296734</c:v>
                </c:pt>
                <c:pt idx="980">
                  <c:v>43419.529238490577</c:v>
                </c:pt>
                <c:pt idx="981">
                  <c:v>43258.506754370406</c:v>
                </c:pt>
                <c:pt idx="982">
                  <c:v>42788.67501191378</c:v>
                </c:pt>
                <c:pt idx="983">
                  <c:v>42054.248334993674</c:v>
                </c:pt>
                <c:pt idx="984">
                  <c:v>41088.402570042716</c:v>
                </c:pt>
                <c:pt idx="985">
                  <c:v>39916.865703877258</c:v>
                </c:pt>
                <c:pt idx="986">
                  <c:v>38560.155837417238</c:v>
                </c:pt>
                <c:pt idx="987">
                  <c:v>37035.051246641429</c:v>
                </c:pt>
                <c:pt idx="988">
                  <c:v>35355.605484303589</c:v>
                </c:pt>
                <c:pt idx="989">
                  <c:v>33533.886592788229</c:v>
                </c:pt>
                <c:pt idx="990">
                  <c:v>31580.550736341913</c:v>
                </c:pt>
                <c:pt idx="991">
                  <c:v>29505.325300113091</c:v>
                </c:pt>
                <c:pt idx="992">
                  <c:v>27317.46072887471</c:v>
                </c:pt>
                <c:pt idx="993">
                  <c:v>25026.208680658041</c:v>
                </c:pt>
                <c:pt idx="994">
                  <c:v>22641.396566495576</c:v>
                </c:pt>
                <c:pt idx="995">
                  <c:v>20174.201077984377</c:v>
                </c:pt>
                <c:pt idx="996">
                  <c:v>17638.291044928308</c:v>
                </c:pt>
                <c:pt idx="997">
                  <c:v>15051.647365928466</c:v>
                </c:pt>
                <c:pt idx="998">
                  <c:v>12439.653374987261</c:v>
                </c:pt>
                <c:pt idx="999">
                  <c:v>9840.6679254349383</c:v>
                </c:pt>
                <c:pt idx="1000">
                  <c:v>7316.6929880664238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680482782915121E-2"/>
          <c:y val="9.3088142988360753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v>Crème pour le visage, soulage la peau sèche</c:v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30000</c:v>
                </c:pt>
                <c:pt idx="1">
                  <c:v>29510.565162951534</c:v>
                </c:pt>
                <c:pt idx="2">
                  <c:v>28090.169943749475</c:v>
                </c:pt>
                <c:pt idx="3">
                  <c:v>25877.852522924732</c:v>
                </c:pt>
                <c:pt idx="4">
                  <c:v>23090.169943749475</c:v>
                </c:pt>
                <c:pt idx="5">
                  <c:v>20000</c:v>
                </c:pt>
                <c:pt idx="6">
                  <c:v>16909.830056250525</c:v>
                </c:pt>
                <c:pt idx="7">
                  <c:v>14122.147477075268</c:v>
                </c:pt>
                <c:pt idx="8">
                  <c:v>11909.830056250526</c:v>
                </c:pt>
                <c:pt idx="9">
                  <c:v>10489.434837048464</c:v>
                </c:pt>
                <c:pt idx="10">
                  <c:v>10000</c:v>
                </c:pt>
                <c:pt idx="11">
                  <c:v>10489.434837048462</c:v>
                </c:pt>
                <c:pt idx="12">
                  <c:v>11909.830056250525</c:v>
                </c:pt>
                <c:pt idx="13">
                  <c:v>14122.147477075268</c:v>
                </c:pt>
                <c:pt idx="14">
                  <c:v>16909.830056250525</c:v>
                </c:pt>
                <c:pt idx="15">
                  <c:v>19999.999999999996</c:v>
                </c:pt>
                <c:pt idx="16">
                  <c:v>23090.169943749472</c:v>
                </c:pt>
                <c:pt idx="17">
                  <c:v>25877.852522924728</c:v>
                </c:pt>
                <c:pt idx="18">
                  <c:v>28090.169943749475</c:v>
                </c:pt>
                <c:pt idx="19">
                  <c:v>29510.565162951534</c:v>
                </c:pt>
                <c:pt idx="20">
                  <c:v>30000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23090.169943749475</c:v>
                </c:pt>
                <c:pt idx="2">
                  <c:v>25877.852522924732</c:v>
                </c:pt>
                <c:pt idx="3">
                  <c:v>28090.169943749475</c:v>
                </c:pt>
                <c:pt idx="4">
                  <c:v>29510.565162951534</c:v>
                </c:pt>
                <c:pt idx="5">
                  <c:v>30000</c:v>
                </c:pt>
                <c:pt idx="6">
                  <c:v>29510.565162951534</c:v>
                </c:pt>
                <c:pt idx="7">
                  <c:v>28090.169943749475</c:v>
                </c:pt>
                <c:pt idx="8">
                  <c:v>25877.852522924732</c:v>
                </c:pt>
                <c:pt idx="9">
                  <c:v>23090.169943749475</c:v>
                </c:pt>
                <c:pt idx="10">
                  <c:v>20000</c:v>
                </c:pt>
                <c:pt idx="11">
                  <c:v>16909.830056250532</c:v>
                </c:pt>
                <c:pt idx="12">
                  <c:v>14122.147477075268</c:v>
                </c:pt>
                <c:pt idx="13">
                  <c:v>11909.830056250526</c:v>
                </c:pt>
                <c:pt idx="14">
                  <c:v>10489.434837048464</c:v>
                </c:pt>
                <c:pt idx="15">
                  <c:v>10000</c:v>
                </c:pt>
                <c:pt idx="16">
                  <c:v>10489.434837048464</c:v>
                </c:pt>
                <c:pt idx="17">
                  <c:v>11909.830056250525</c:v>
                </c:pt>
                <c:pt idx="18">
                  <c:v>14122.147477075267</c:v>
                </c:pt>
                <c:pt idx="19">
                  <c:v>16909.830056250525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v>Abitibi 2</c:v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-12000</c:v>
                </c:pt>
                <c:pt idx="1">
                  <c:v>-12391.547869638773</c:v>
                </c:pt>
                <c:pt idx="2">
                  <c:v>-13527.86404500042</c:v>
                </c:pt>
                <c:pt idx="3">
                  <c:v>-15297.717981660215</c:v>
                </c:pt>
                <c:pt idx="4">
                  <c:v>-17527.86404500042</c:v>
                </c:pt>
                <c:pt idx="5">
                  <c:v>-20000</c:v>
                </c:pt>
                <c:pt idx="6">
                  <c:v>-22472.13595499958</c:v>
                </c:pt>
                <c:pt idx="7">
                  <c:v>-24702.282018339785</c:v>
                </c:pt>
                <c:pt idx="8">
                  <c:v>-26472.13595499958</c:v>
                </c:pt>
                <c:pt idx="9">
                  <c:v>-27608.452130361227</c:v>
                </c:pt>
                <c:pt idx="10">
                  <c:v>-28000</c:v>
                </c:pt>
                <c:pt idx="11">
                  <c:v>-27608.452130361231</c:v>
                </c:pt>
                <c:pt idx="12">
                  <c:v>-26472.13595499958</c:v>
                </c:pt>
                <c:pt idx="13">
                  <c:v>-24702.282018339785</c:v>
                </c:pt>
                <c:pt idx="14">
                  <c:v>-22472.13595499958</c:v>
                </c:pt>
                <c:pt idx="15">
                  <c:v>-20000</c:v>
                </c:pt>
                <c:pt idx="16">
                  <c:v>-17527.864045000424</c:v>
                </c:pt>
                <c:pt idx="17">
                  <c:v>-15297.717981660217</c:v>
                </c:pt>
                <c:pt idx="18">
                  <c:v>-13527.86404500042</c:v>
                </c:pt>
                <c:pt idx="19">
                  <c:v>-12391.547869638773</c:v>
                </c:pt>
                <c:pt idx="20">
                  <c:v>-12000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22472.13595499958</c:v>
                </c:pt>
                <c:pt idx="2">
                  <c:v>24702.282018339785</c:v>
                </c:pt>
                <c:pt idx="3">
                  <c:v>26472.13595499958</c:v>
                </c:pt>
                <c:pt idx="4">
                  <c:v>27608.452130361227</c:v>
                </c:pt>
                <c:pt idx="5">
                  <c:v>28000</c:v>
                </c:pt>
                <c:pt idx="6">
                  <c:v>27608.452130361227</c:v>
                </c:pt>
                <c:pt idx="7">
                  <c:v>26472.13595499958</c:v>
                </c:pt>
                <c:pt idx="8">
                  <c:v>24702.282018339785</c:v>
                </c:pt>
                <c:pt idx="9">
                  <c:v>22472.13595499958</c:v>
                </c:pt>
                <c:pt idx="10">
                  <c:v>20000</c:v>
                </c:pt>
                <c:pt idx="11">
                  <c:v>17527.864045000424</c:v>
                </c:pt>
                <c:pt idx="12">
                  <c:v>15297.717981660215</c:v>
                </c:pt>
                <c:pt idx="13">
                  <c:v>13527.86404500042</c:v>
                </c:pt>
                <c:pt idx="14">
                  <c:v>12391.547869638773</c:v>
                </c:pt>
                <c:pt idx="15">
                  <c:v>12000</c:v>
                </c:pt>
                <c:pt idx="16">
                  <c:v>12391.547869638771</c:v>
                </c:pt>
                <c:pt idx="17">
                  <c:v>13527.86404500042</c:v>
                </c:pt>
                <c:pt idx="18">
                  <c:v>15297.717981660213</c:v>
                </c:pt>
                <c:pt idx="19">
                  <c:v>17527.86404500042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v>Sonia Champoux</c:v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5000</c:v>
                </c:pt>
                <c:pt idx="1">
                  <c:v>4510.565162951536</c:v>
                </c:pt>
                <c:pt idx="2">
                  <c:v>3090.1699437494744</c:v>
                </c:pt>
                <c:pt idx="3">
                  <c:v>877.8525229247316</c:v>
                </c:pt>
                <c:pt idx="4">
                  <c:v>-1909.8300562505256</c:v>
                </c:pt>
                <c:pt idx="5">
                  <c:v>-4999.9999999999991</c:v>
                </c:pt>
                <c:pt idx="6">
                  <c:v>-8090.1699437494735</c:v>
                </c:pt>
                <c:pt idx="7">
                  <c:v>-10877.852522924732</c:v>
                </c:pt>
                <c:pt idx="8">
                  <c:v>-13090.169943749474</c:v>
                </c:pt>
                <c:pt idx="9">
                  <c:v>-14510.565162951536</c:v>
                </c:pt>
                <c:pt idx="10">
                  <c:v>-15000</c:v>
                </c:pt>
                <c:pt idx="11">
                  <c:v>-14510.565162951538</c:v>
                </c:pt>
                <c:pt idx="12">
                  <c:v>-13090.169943749475</c:v>
                </c:pt>
                <c:pt idx="13">
                  <c:v>-10877.852522924732</c:v>
                </c:pt>
                <c:pt idx="14">
                  <c:v>-8090.1699437494754</c:v>
                </c:pt>
                <c:pt idx="15">
                  <c:v>-5000.0000000000018</c:v>
                </c:pt>
                <c:pt idx="16">
                  <c:v>-1909.8300562505278</c:v>
                </c:pt>
                <c:pt idx="17">
                  <c:v>877.85252292472887</c:v>
                </c:pt>
                <c:pt idx="18">
                  <c:v>3090.1699437494735</c:v>
                </c:pt>
                <c:pt idx="19">
                  <c:v>4510.565162951536</c:v>
                </c:pt>
                <c:pt idx="20">
                  <c:v>5000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-31909.830056250525</c:v>
                </c:pt>
                <c:pt idx="2">
                  <c:v>-29122.147477075268</c:v>
                </c:pt>
                <c:pt idx="3">
                  <c:v>-26909.830056250525</c:v>
                </c:pt>
                <c:pt idx="4">
                  <c:v>-25489.434837048466</c:v>
                </c:pt>
                <c:pt idx="5">
                  <c:v>-25000</c:v>
                </c:pt>
                <c:pt idx="6">
                  <c:v>-25489.434837048466</c:v>
                </c:pt>
                <c:pt idx="7">
                  <c:v>-26909.830056250525</c:v>
                </c:pt>
                <c:pt idx="8">
                  <c:v>-29122.147477075268</c:v>
                </c:pt>
                <c:pt idx="9">
                  <c:v>-31909.830056250525</c:v>
                </c:pt>
                <c:pt idx="10">
                  <c:v>-35000</c:v>
                </c:pt>
                <c:pt idx="11">
                  <c:v>-38090.169943749468</c:v>
                </c:pt>
                <c:pt idx="12">
                  <c:v>-40877.852522924732</c:v>
                </c:pt>
                <c:pt idx="13">
                  <c:v>-43090.169943749475</c:v>
                </c:pt>
                <c:pt idx="14">
                  <c:v>-44510.565162951534</c:v>
                </c:pt>
                <c:pt idx="15">
                  <c:v>-45000</c:v>
                </c:pt>
                <c:pt idx="16">
                  <c:v>-44510.565162951534</c:v>
                </c:pt>
                <c:pt idx="17">
                  <c:v>-43090.169943749475</c:v>
                </c:pt>
                <c:pt idx="18">
                  <c:v>-40877.852522924732</c:v>
                </c:pt>
                <c:pt idx="19">
                  <c:v>-38090.169943749475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Feuil2!$BA$12</c:f>
              <c:numCache>
                <c:formatCode>General</c:formatCode>
                <c:ptCount val="1"/>
                <c:pt idx="0">
                  <c:v>20657.198715108709</c:v>
                </c:pt>
              </c:numCache>
            </c:numRef>
          </c:xVal>
          <c:yVal>
            <c:numRef>
              <c:f>Feuil2!$BB$12</c:f>
              <c:numCache>
                <c:formatCode>General</c:formatCode>
                <c:ptCount val="1"/>
                <c:pt idx="0">
                  <c:v>-7023.1460525992097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ysDot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Feuil2!$BA$16:$BA$27</c:f>
              <c:numCache>
                <c:formatCode>General</c:formatCode>
                <c:ptCount val="12"/>
                <c:pt idx="0">
                  <c:v>21188.901311574173</c:v>
                </c:pt>
                <c:pt idx="1">
                  <c:v>20950.567777737688</c:v>
                </c:pt>
                <c:pt idx="2">
                  <c:v>19804.089281218512</c:v>
                </c:pt>
                <c:pt idx="3">
                  <c:v>17554.463352608065</c:v>
                </c:pt>
                <c:pt idx="4">
                  <c:v>13889.728593262003</c:v>
                </c:pt>
                <c:pt idx="5">
                  <c:v>8249.449703110351</c:v>
                </c:pt>
                <c:pt idx="6">
                  <c:v>-409.79636375853033</c:v>
                </c:pt>
                <c:pt idx="7">
                  <c:v>-11849.406380909606</c:v>
                </c:pt>
                <c:pt idx="8">
                  <c:v>-20089.620036467884</c:v>
                </c:pt>
                <c:pt idx="9">
                  <c:v>-25663.726833323628</c:v>
                </c:pt>
                <c:pt idx="10">
                  <c:v>-29305.347721150953</c:v>
                </c:pt>
                <c:pt idx="11">
                  <c:v>-31404.987837581088</c:v>
                </c:pt>
              </c:numCache>
            </c:numRef>
          </c:xVal>
          <c:yVal>
            <c:numRef>
              <c:f>Feuil2!$BB$16:$BB$27</c:f>
              <c:numCache>
                <c:formatCode>General</c:formatCode>
                <c:ptCount val="12"/>
                <c:pt idx="0">
                  <c:v>-12510.167642560273</c:v>
                </c:pt>
                <c:pt idx="1">
                  <c:v>-17524.390468614682</c:v>
                </c:pt>
                <c:pt idx="2">
                  <c:v>-22270.842595035436</c:v>
                </c:pt>
                <c:pt idx="3">
                  <c:v>-26877.655044267107</c:v>
                </c:pt>
                <c:pt idx="4">
                  <c:v>-31412.836351094116</c:v>
                </c:pt>
                <c:pt idx="5">
                  <c:v>-35834.727900106889</c:v>
                </c:pt>
                <c:pt idx="6">
                  <c:v>-39646.185173968253</c:v>
                </c:pt>
                <c:pt idx="7">
                  <c:v>-40235.781788916545</c:v>
                </c:pt>
                <c:pt idx="8">
                  <c:v>-38110.004661731196</c:v>
                </c:pt>
                <c:pt idx="9">
                  <c:v>-35136.41323969431</c:v>
                </c:pt>
                <c:pt idx="10">
                  <c:v>-31829.821386970398</c:v>
                </c:pt>
                <c:pt idx="11">
                  <c:v>-28374.240635746282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Feuil2!$C$300:$C$1300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247.90360575802839</c:v>
                      </c:pt>
                      <c:pt idx="3">
                        <c:v>758.8503348282859</c:v>
                      </c:pt>
                      <c:pt idx="4">
                        <c:v>1569.5618499450648</c:v>
                      </c:pt>
                      <c:pt idx="5">
                        <c:v>2755.0455838415651</c:v>
                      </c:pt>
                      <c:pt idx="6">
                        <c:v>4467.2037194457562</c:v>
                      </c:pt>
                      <c:pt idx="7">
                        <c:v>7027.1140034927021</c:v>
                      </c:pt>
                      <c:pt idx="8">
                        <c:v>11151.108544382034</c:v>
                      </c:pt>
                      <c:pt idx="9">
                        <c:v>18311.022534216521</c:v>
                      </c:pt>
                      <c:pt idx="10">
                        <c:v>26518.712323723368</c:v>
                      </c:pt>
                      <c:pt idx="11">
                        <c:v>31567.994210569883</c:v>
                      </c:pt>
                      <c:pt idx="12">
                        <c:v>33638.751365539814</c:v>
                      </c:pt>
                      <c:pt idx="13">
                        <c:v>32787.75018519607</c:v>
                      </c:pt>
                      <c:pt idx="14">
                        <c:v>28581.89728526607</c:v>
                      </c:pt>
                      <c:pt idx="15">
                        <c:v>20143.383363127232</c:v>
                      </c:pt>
                      <c:pt idx="16">
                        <c:v>11139.788133438758</c:v>
                      </c:pt>
                      <c:pt idx="17">
                        <c:v>4968.4079582571931</c:v>
                      </c:pt>
                      <c:pt idx="18">
                        <c:v>598.53029424353872</c:v>
                      </c:pt>
                      <c:pt idx="19">
                        <c:v>-2878.1123373572618</c:v>
                      </c:pt>
                      <c:pt idx="20">
                        <c:v>-6187.4207175964184</c:v>
                      </c:pt>
                      <c:pt idx="21">
                        <c:v>-10046.523862348025</c:v>
                      </c:pt>
                      <c:pt idx="22">
                        <c:v>-15366.958117334745</c:v>
                      </c:pt>
                      <c:pt idx="23">
                        <c:v>-22905.25159175706</c:v>
                      </c:pt>
                      <c:pt idx="24">
                        <c:v>-27300.492047161628</c:v>
                      </c:pt>
                      <c:pt idx="25">
                        <c:v>-28222.36893006321</c:v>
                      </c:pt>
                      <c:pt idx="26">
                        <c:v>-26017.076231431223</c:v>
                      </c:pt>
                      <c:pt idx="27">
                        <c:v>-20617.222498779684</c:v>
                      </c:pt>
                      <c:pt idx="28">
                        <c:v>-14012.779831379557</c:v>
                      </c:pt>
                      <c:pt idx="29">
                        <c:v>-9772.5917110434766</c:v>
                      </c:pt>
                      <c:pt idx="30">
                        <c:v>-6837.4306339858904</c:v>
                      </c:pt>
                      <c:pt idx="31">
                        <c:v>-4440.548862157927</c:v>
                      </c:pt>
                      <c:pt idx="32">
                        <c:v>-2105.9802478575502</c:v>
                      </c:pt>
                      <c:pt idx="33">
                        <c:v>577.39633340058435</c:v>
                      </c:pt>
                      <c:pt idx="34">
                        <c:v>4125.3613917362909</c:v>
                      </c:pt>
                      <c:pt idx="35">
                        <c:v>9339.3241475112136</c:v>
                      </c:pt>
                      <c:pt idx="36">
                        <c:v>17436.861702489245</c:v>
                      </c:pt>
                      <c:pt idx="37">
                        <c:v>27047.274892384699</c:v>
                      </c:pt>
                      <c:pt idx="38">
                        <c:v>32729.690769326215</c:v>
                      </c:pt>
                      <c:pt idx="39">
                        <c:v>34998.854789290694</c:v>
                      </c:pt>
                      <c:pt idx="40">
                        <c:v>34290.046504536054</c:v>
                      </c:pt>
                      <c:pt idx="41">
                        <c:v>30537.947668897636</c:v>
                      </c:pt>
                      <c:pt idx="42">
                        <c:v>23174.526744141407</c:v>
                      </c:pt>
                      <c:pt idx="43">
                        <c:v>12980.120171354978</c:v>
                      </c:pt>
                      <c:pt idx="44">
                        <c:v>6262.948175551338</c:v>
                      </c:pt>
                      <c:pt idx="45">
                        <c:v>1597.5006399541371</c:v>
                      </c:pt>
                      <c:pt idx="46">
                        <c:v>-2130.8644270131626</c:v>
                      </c:pt>
                      <c:pt idx="47">
                        <c:v>-5511.4733920331319</c:v>
                      </c:pt>
                      <c:pt idx="48">
                        <c:v>-8829.135148117417</c:v>
                      </c:pt>
                      <c:pt idx="49">
                        <c:v>-12177.573921510126</c:v>
                      </c:pt>
                      <c:pt idx="50">
                        <c:v>-15525.305596479109</c:v>
                      </c:pt>
                      <c:pt idx="51">
                        <c:v>-18741.996701746008</c:v>
                      </c:pt>
                      <c:pt idx="52">
                        <c:v>-21529.019182971238</c:v>
                      </c:pt>
                      <c:pt idx="53">
                        <c:v>-22952.882134696676</c:v>
                      </c:pt>
                      <c:pt idx="54">
                        <c:v>-21209.663729463769</c:v>
                      </c:pt>
                      <c:pt idx="55">
                        <c:v>-18290.544443871626</c:v>
                      </c:pt>
                      <c:pt idx="56">
                        <c:v>-15186.82005058219</c:v>
                      </c:pt>
                      <c:pt idx="57">
                        <c:v>-12431.359148574629</c:v>
                      </c:pt>
                      <c:pt idx="58">
                        <c:v>-10626.212203806455</c:v>
                      </c:pt>
                      <c:pt idx="59">
                        <c:v>-10369.547285677832</c:v>
                      </c:pt>
                      <c:pt idx="60">
                        <c:v>-11510.178228008752</c:v>
                      </c:pt>
                      <c:pt idx="61">
                        <c:v>-13298.138406041324</c:v>
                      </c:pt>
                      <c:pt idx="62">
                        <c:v>-15158.345165047986</c:v>
                      </c:pt>
                      <c:pt idx="63">
                        <c:v>-16768.385927091105</c:v>
                      </c:pt>
                      <c:pt idx="64">
                        <c:v>-17951.536889422849</c:v>
                      </c:pt>
                      <c:pt idx="65">
                        <c:v>-18613.916352230914</c:v>
                      </c:pt>
                      <c:pt idx="66">
                        <c:v>-18720.652265641733</c:v>
                      </c:pt>
                      <c:pt idx="67">
                        <c:v>-18309.863818860798</c:v>
                      </c:pt>
                      <c:pt idx="68">
                        <c:v>-17636.035618288945</c:v>
                      </c:pt>
                      <c:pt idx="69">
                        <c:v>-17917.518228287325</c:v>
                      </c:pt>
                      <c:pt idx="70">
                        <c:v>-18788.630331805267</c:v>
                      </c:pt>
                      <c:pt idx="71">
                        <c:v>-19351.083316965367</c:v>
                      </c:pt>
                      <c:pt idx="72">
                        <c:v>-19442.204592617731</c:v>
                      </c:pt>
                      <c:pt idx="73">
                        <c:v>-19050.012933495193</c:v>
                      </c:pt>
                      <c:pt idx="74">
                        <c:v>-18350.917921847697</c:v>
                      </c:pt>
                      <c:pt idx="75">
                        <c:v>-18441.931954352254</c:v>
                      </c:pt>
                      <c:pt idx="76">
                        <c:v>-18548.510827491551</c:v>
                      </c:pt>
                      <c:pt idx="77">
                        <c:v>-18201.873299589322</c:v>
                      </c:pt>
                      <c:pt idx="78">
                        <c:v>-17325.245933069924</c:v>
                      </c:pt>
                      <c:pt idx="79">
                        <c:v>-15918.128699442388</c:v>
                      </c:pt>
                      <c:pt idx="80">
                        <c:v>-14007.788184008485</c:v>
                      </c:pt>
                      <c:pt idx="81">
                        <c:v>-11640.106582381834</c:v>
                      </c:pt>
                      <c:pt idx="82">
                        <c:v>-8875.1483470124167</c:v>
                      </c:pt>
                      <c:pt idx="83">
                        <c:v>-5780.8356504987469</c:v>
                      </c:pt>
                      <c:pt idx="84">
                        <c:v>-2424.7519824636379</c:v>
                      </c:pt>
                      <c:pt idx="85">
                        <c:v>1133.7761660597903</c:v>
                      </c:pt>
                      <c:pt idx="86">
                        <c:v>4849.8414323729476</c:v>
                      </c:pt>
                      <c:pt idx="87">
                        <c:v>8696.8335951259905</c:v>
                      </c:pt>
                      <c:pt idx="88">
                        <c:v>12665.359788215726</c:v>
                      </c:pt>
                      <c:pt idx="89">
                        <c:v>16745.045193405611</c:v>
                      </c:pt>
                      <c:pt idx="90">
                        <c:v>20829.228796352389</c:v>
                      </c:pt>
                      <c:pt idx="91">
                        <c:v>24136.330673879605</c:v>
                      </c:pt>
                      <c:pt idx="92">
                        <c:v>23661.500648298923</c:v>
                      </c:pt>
                      <c:pt idx="93">
                        <c:v>21371.522218876482</c:v>
                      </c:pt>
                      <c:pt idx="94">
                        <c:v>18499.247539455017</c:v>
                      </c:pt>
                      <c:pt idx="95">
                        <c:v>15512.049661263754</c:v>
                      </c:pt>
                      <c:pt idx="96">
                        <c:v>12744.888541006892</c:v>
                      </c:pt>
                      <c:pt idx="97">
                        <c:v>10651.74871896454</c:v>
                      </c:pt>
                      <c:pt idx="98">
                        <c:v>10114.74239045562</c:v>
                      </c:pt>
                      <c:pt idx="99">
                        <c:v>12552.282603865731</c:v>
                      </c:pt>
                      <c:pt idx="100">
                        <c:v>17291.765064492847</c:v>
                      </c:pt>
                      <c:pt idx="101">
                        <c:v>22165.756287990273</c:v>
                      </c:pt>
                      <c:pt idx="102">
                        <c:v>26239.871219308305</c:v>
                      </c:pt>
                      <c:pt idx="103">
                        <c:v>29192.577699985348</c:v>
                      </c:pt>
                      <c:pt idx="104">
                        <c:v>30860.370438969876</c:v>
                      </c:pt>
                      <c:pt idx="105">
                        <c:v>31060.345747841948</c:v>
                      </c:pt>
                      <c:pt idx="106">
                        <c:v>29454.805535754225</c:v>
                      </c:pt>
                      <c:pt idx="107">
                        <c:v>25283.105825351107</c:v>
                      </c:pt>
                      <c:pt idx="108">
                        <c:v>17244.640191922816</c:v>
                      </c:pt>
                      <c:pt idx="109">
                        <c:v>10635.552230758005</c:v>
                      </c:pt>
                      <c:pt idx="110">
                        <c:v>5661.8031273297693</c:v>
                      </c:pt>
                      <c:pt idx="111">
                        <c:v>1782.9072179225145</c:v>
                      </c:pt>
                      <c:pt idx="112">
                        <c:v>-1345.585683455316</c:v>
                      </c:pt>
                      <c:pt idx="113">
                        <c:v>-4015.3583335673243</c:v>
                      </c:pt>
                      <c:pt idx="114">
                        <c:v>-6621.5414708548351</c:v>
                      </c:pt>
                      <c:pt idx="115">
                        <c:v>-9828.8436211866319</c:v>
                      </c:pt>
                      <c:pt idx="116">
                        <c:v>-14442.028317890603</c:v>
                      </c:pt>
                      <c:pt idx="117">
                        <c:v>-20086.413672942101</c:v>
                      </c:pt>
                      <c:pt idx="118">
                        <c:v>-25019.234729555261</c:v>
                      </c:pt>
                      <c:pt idx="119">
                        <c:v>-28200.346275965854</c:v>
                      </c:pt>
                      <c:pt idx="120">
                        <c:v>-29152.106613580774</c:v>
                      </c:pt>
                      <c:pt idx="121">
                        <c:v>-27359.779732754832</c:v>
                      </c:pt>
                      <c:pt idx="122">
                        <c:v>-21978.957651168199</c:v>
                      </c:pt>
                      <c:pt idx="123">
                        <c:v>-14416.4539241436</c:v>
                      </c:pt>
                      <c:pt idx="124">
                        <c:v>-8508.906622331524</c:v>
                      </c:pt>
                      <c:pt idx="125">
                        <c:v>-3589.8283639246501</c:v>
                      </c:pt>
                      <c:pt idx="126">
                        <c:v>1349.034552627131</c:v>
                      </c:pt>
                      <c:pt idx="127">
                        <c:v>7336.2169364103356</c:v>
                      </c:pt>
                      <c:pt idx="128">
                        <c:v>15515.868053357131</c:v>
                      </c:pt>
                      <c:pt idx="129">
                        <c:v>25593.38777952789</c:v>
                      </c:pt>
                      <c:pt idx="130">
                        <c:v>32295.512252824738</c:v>
                      </c:pt>
                      <c:pt idx="131">
                        <c:v>35490.204506725946</c:v>
                      </c:pt>
                      <c:pt idx="132">
                        <c:v>35851.527012708721</c:v>
                      </c:pt>
                      <c:pt idx="133">
                        <c:v>33675.156089258657</c:v>
                      </c:pt>
                      <c:pt idx="134">
                        <c:v>28948.209805296574</c:v>
                      </c:pt>
                      <c:pt idx="135">
                        <c:v>21503.304104893043</c:v>
                      </c:pt>
                      <c:pt idx="136">
                        <c:v>12788.18294310382</c:v>
                      </c:pt>
                      <c:pt idx="137">
                        <c:v>7530.8603256751358</c:v>
                      </c:pt>
                      <c:pt idx="138">
                        <c:v>4261.6329589454272</c:v>
                      </c:pt>
                      <c:pt idx="139">
                        <c:v>1891.6366999649854</c:v>
                      </c:pt>
                      <c:pt idx="140">
                        <c:v>-34.153755057807928</c:v>
                      </c:pt>
                      <c:pt idx="141">
                        <c:v>-1702.5021668727172</c:v>
                      </c:pt>
                      <c:pt idx="142">
                        <c:v>-3187.0034524994962</c:v>
                      </c:pt>
                      <c:pt idx="143">
                        <c:v>-4506.5271473726134</c:v>
                      </c:pt>
                      <c:pt idx="144">
                        <c:v>-5645.4705026413994</c:v>
                      </c:pt>
                      <c:pt idx="145">
                        <c:v>-6552.0174396094953</c:v>
                      </c:pt>
                      <c:pt idx="146">
                        <c:v>-7098.1962544886428</c:v>
                      </c:pt>
                      <c:pt idx="147">
                        <c:v>-6887.5541122352615</c:v>
                      </c:pt>
                      <c:pt idx="148">
                        <c:v>-4848.3972943751087</c:v>
                      </c:pt>
                      <c:pt idx="149">
                        <c:v>-2830.1796668927645</c:v>
                      </c:pt>
                      <c:pt idx="150">
                        <c:v>-1176.8318439018674</c:v>
                      </c:pt>
                      <c:pt idx="151">
                        <c:v>65.406819317407781</c:v>
                      </c:pt>
                      <c:pt idx="152">
                        <c:v>835.75233321961082</c:v>
                      </c:pt>
                      <c:pt idx="153">
                        <c:v>998.31368474516796</c:v>
                      </c:pt>
                      <c:pt idx="154">
                        <c:v>228.96152538753825</c:v>
                      </c:pt>
                      <c:pt idx="155">
                        <c:v>-2380.6911325080591</c:v>
                      </c:pt>
                      <c:pt idx="156">
                        <c:v>-7400.8515194719348</c:v>
                      </c:pt>
                      <c:pt idx="157">
                        <c:v>-11423.471924943135</c:v>
                      </c:pt>
                      <c:pt idx="158">
                        <c:v>-14417.310083297689</c:v>
                      </c:pt>
                      <c:pt idx="159">
                        <c:v>-16537.816619635134</c:v>
                      </c:pt>
                      <c:pt idx="160">
                        <c:v>-17887.279245130725</c:v>
                      </c:pt>
                      <c:pt idx="161">
                        <c:v>-18530.654484919403</c:v>
                      </c:pt>
                      <c:pt idx="162">
                        <c:v>-18515.302563676214</c:v>
                      </c:pt>
                      <c:pt idx="163">
                        <c:v>-17898.524515139969</c:v>
                      </c:pt>
                      <c:pt idx="164">
                        <c:v>-16849.043992097173</c:v>
                      </c:pt>
                      <c:pt idx="165">
                        <c:v>-16248.080098190943</c:v>
                      </c:pt>
                      <c:pt idx="166">
                        <c:v>-17619.023275527852</c:v>
                      </c:pt>
                      <c:pt idx="167">
                        <c:v>-19001.367876094104</c:v>
                      </c:pt>
                      <c:pt idx="168">
                        <c:v>-19946.505889976168</c:v>
                      </c:pt>
                      <c:pt idx="169">
                        <c:v>-20366.717112711856</c:v>
                      </c:pt>
                      <c:pt idx="170">
                        <c:v>-20230.08396687992</c:v>
                      </c:pt>
                      <c:pt idx="171">
                        <c:v>-19518.325290977136</c:v>
                      </c:pt>
                      <c:pt idx="172">
                        <c:v>-18317.946537872933</c:v>
                      </c:pt>
                      <c:pt idx="173">
                        <c:v>-17710.78479635992</c:v>
                      </c:pt>
                      <c:pt idx="174">
                        <c:v>-17446.240321067064</c:v>
                      </c:pt>
                      <c:pt idx="175">
                        <c:v>-16816.433412729133</c:v>
                      </c:pt>
                      <c:pt idx="176">
                        <c:v>-15675.907117530214</c:v>
                      </c:pt>
                      <c:pt idx="177">
                        <c:v>-13971.083660096274</c:v>
                      </c:pt>
                      <c:pt idx="178">
                        <c:v>-11662.258983532598</c:v>
                      </c:pt>
                      <c:pt idx="179">
                        <c:v>-8712.8783640420188</c:v>
                      </c:pt>
                      <c:pt idx="180">
                        <c:v>-5131.2560826823419</c:v>
                      </c:pt>
                      <c:pt idx="181">
                        <c:v>-1392.4110192892938</c:v>
                      </c:pt>
                      <c:pt idx="182">
                        <c:v>-704.41682490271978</c:v>
                      </c:pt>
                      <c:pt idx="183">
                        <c:v>-1545.0132757626709</c:v>
                      </c:pt>
                      <c:pt idx="184">
                        <c:v>-2896.697884090323</c:v>
                      </c:pt>
                      <c:pt idx="185">
                        <c:v>-4430.0345203191382</c:v>
                      </c:pt>
                      <c:pt idx="186">
                        <c:v>-5979.9063407286549</c:v>
                      </c:pt>
                      <c:pt idx="187">
                        <c:v>-7406.2978126976741</c:v>
                      </c:pt>
                      <c:pt idx="188">
                        <c:v>-8501.6112486928396</c:v>
                      </c:pt>
                      <c:pt idx="189">
                        <c:v>-8758.1504183670113</c:v>
                      </c:pt>
                      <c:pt idx="190">
                        <c:v>-6500.0123116955729</c:v>
                      </c:pt>
                      <c:pt idx="191">
                        <c:v>-3264.8839504215075</c:v>
                      </c:pt>
                      <c:pt idx="192">
                        <c:v>-216.01931184347245</c:v>
                      </c:pt>
                      <c:pt idx="193">
                        <c:v>2606.6762688428626</c:v>
                      </c:pt>
                      <c:pt idx="194">
                        <c:v>5299.5120805771649</c:v>
                      </c:pt>
                      <c:pt idx="195">
                        <c:v>8026.5257868238459</c:v>
                      </c:pt>
                      <c:pt idx="196">
                        <c:v>11106.352758318071</c:v>
                      </c:pt>
                      <c:pt idx="197">
                        <c:v>15343.310314642753</c:v>
                      </c:pt>
                      <c:pt idx="198">
                        <c:v>22401.066273561995</c:v>
                      </c:pt>
                      <c:pt idx="199">
                        <c:v>27892.260575297303</c:v>
                      </c:pt>
                      <c:pt idx="200">
                        <c:v>31854.639858214705</c:v>
                      </c:pt>
                      <c:pt idx="201">
                        <c:v>34617.52198068818</c:v>
                      </c:pt>
                      <c:pt idx="202">
                        <c:v>36346.971899888602</c:v>
                      </c:pt>
                      <c:pt idx="203">
                        <c:v>37106.720386601781</c:v>
                      </c:pt>
                      <c:pt idx="204">
                        <c:v>36885.018976828003</c:v>
                      </c:pt>
                      <c:pt idx="205">
                        <c:v>35589.808396470617</c:v>
                      </c:pt>
                      <c:pt idx="206">
                        <c:v>33004.263729817394</c:v>
                      </c:pt>
                      <c:pt idx="207">
                        <c:v>28644.732508879053</c:v>
                      </c:pt>
                      <c:pt idx="208">
                        <c:v>21336.252781328458</c:v>
                      </c:pt>
                      <c:pt idx="209">
                        <c:v>12256.565253374905</c:v>
                      </c:pt>
                      <c:pt idx="210">
                        <c:v>4991.8283877349832</c:v>
                      </c:pt>
                      <c:pt idx="211">
                        <c:v>-1532.6922211975661</c:v>
                      </c:pt>
                      <c:pt idx="212">
                        <c:v>-7763.9693989183543</c:v>
                      </c:pt>
                      <c:pt idx="213">
                        <c:v>-13706.35821390582</c:v>
                      </c:pt>
                      <c:pt idx="214">
                        <c:v>-19128.838774137184</c:v>
                      </c:pt>
                      <c:pt idx="215">
                        <c:v>-23778.179212131559</c:v>
                      </c:pt>
                      <c:pt idx="216">
                        <c:v>-27484.228742353276</c:v>
                      </c:pt>
                      <c:pt idx="217">
                        <c:v>-30154.231516098247</c:v>
                      </c:pt>
                      <c:pt idx="218">
                        <c:v>-31734.108456509108</c:v>
                      </c:pt>
                      <c:pt idx="219">
                        <c:v>-32174.622105218466</c:v>
                      </c:pt>
                      <c:pt idx="220">
                        <c:v>-31404.987837581088</c:v>
                      </c:pt>
                      <c:pt idx="221">
                        <c:v>-29305.347721150953</c:v>
                      </c:pt>
                      <c:pt idx="222">
                        <c:v>-25663.726833323628</c:v>
                      </c:pt>
                      <c:pt idx="223">
                        <c:v>-20089.620036467884</c:v>
                      </c:pt>
                      <c:pt idx="224">
                        <c:v>-11849.406380909606</c:v>
                      </c:pt>
                      <c:pt idx="225">
                        <c:v>-409.79636375853033</c:v>
                      </c:pt>
                      <c:pt idx="226">
                        <c:v>8249.449703110351</c:v>
                      </c:pt>
                      <c:pt idx="227">
                        <c:v>13889.728593262003</c:v>
                      </c:pt>
                      <c:pt idx="228">
                        <c:v>17554.463352608065</c:v>
                      </c:pt>
                      <c:pt idx="229">
                        <c:v>19804.089281218512</c:v>
                      </c:pt>
                      <c:pt idx="230">
                        <c:v>20950.567777737688</c:v>
                      </c:pt>
                      <c:pt idx="231">
                        <c:v>21188.901311574173</c:v>
                      </c:pt>
                      <c:pt idx="232">
                        <c:v>20657.198715108709</c:v>
                      </c:pt>
                      <c:pt idx="233">
                        <c:v>19472.534829024757</c:v>
                      </c:pt>
                      <c:pt idx="234">
                        <c:v>17789.533717961251</c:v>
                      </c:pt>
                      <c:pt idx="235">
                        <c:v>16116.137743367623</c:v>
                      </c:pt>
                      <c:pt idx="236">
                        <c:v>16997.402568321504</c:v>
                      </c:pt>
                      <c:pt idx="237">
                        <c:v>18561.313697588874</c:v>
                      </c:pt>
                      <c:pt idx="238">
                        <c:v>19987.665332416604</c:v>
                      </c:pt>
                      <c:pt idx="239">
                        <c:v>21167.556032027078</c:v>
                      </c:pt>
                      <c:pt idx="240">
                        <c:v>22091.304550711287</c:v>
                      </c:pt>
                      <c:pt idx="241">
                        <c:v>22763.801930362446</c:v>
                      </c:pt>
                      <c:pt idx="242">
                        <c:v>23188.729519550925</c:v>
                      </c:pt>
                      <c:pt idx="243">
                        <c:v>23364.79637168027</c:v>
                      </c:pt>
                      <c:pt idx="244">
                        <c:v>23284.255489510902</c:v>
                      </c:pt>
                      <c:pt idx="245">
                        <c:v>22931.442391644439</c:v>
                      </c:pt>
                      <c:pt idx="246">
                        <c:v>22280.666689376299</c:v>
                      </c:pt>
                      <c:pt idx="247">
                        <c:v>21293.999707137478</c:v>
                      </c:pt>
                      <c:pt idx="248">
                        <c:v>19927.338759990929</c:v>
                      </c:pt>
                      <c:pt idx="249">
                        <c:v>18239.230592223816</c:v>
                      </c:pt>
                      <c:pt idx="250">
                        <c:v>17686.850610802743</c:v>
                      </c:pt>
                      <c:pt idx="251">
                        <c:v>17403.27765047771</c:v>
                      </c:pt>
                      <c:pt idx="252">
                        <c:v>16785.789707899643</c:v>
                      </c:pt>
                      <c:pt idx="253">
                        <c:v>15572.099314384055</c:v>
                      </c:pt>
                      <c:pt idx="254">
                        <c:v>13402.461605908851</c:v>
                      </c:pt>
                      <c:pt idx="255">
                        <c:v>9609.3015296031172</c:v>
                      </c:pt>
                      <c:pt idx="256">
                        <c:v>3069.4125816530359</c:v>
                      </c:pt>
                      <c:pt idx="257">
                        <c:v>-6128.4856751486295</c:v>
                      </c:pt>
                      <c:pt idx="258">
                        <c:v>-14991.401886716714</c:v>
                      </c:pt>
                      <c:pt idx="259">
                        <c:v>-22515.482397410076</c:v>
                      </c:pt>
                      <c:pt idx="260">
                        <c:v>-28738.837692688932</c:v>
                      </c:pt>
                      <c:pt idx="261">
                        <c:v>-33822.512483940394</c:v>
                      </c:pt>
                      <c:pt idx="262">
                        <c:v>-37899.6897248323</c:v>
                      </c:pt>
                      <c:pt idx="263">
                        <c:v>-41065.596152972728</c:v>
                      </c:pt>
                      <c:pt idx="264">
                        <c:v>-43385.509408544691</c:v>
                      </c:pt>
                      <c:pt idx="265">
                        <c:v>-44902.43528871172</c:v>
                      </c:pt>
                      <c:pt idx="266">
                        <c:v>-45642.467695732361</c:v>
                      </c:pt>
                      <c:pt idx="267">
                        <c:v>-45618.235942528649</c:v>
                      </c:pt>
                      <c:pt idx="268">
                        <c:v>-44830.955934934209</c:v>
                      </c:pt>
                      <c:pt idx="269">
                        <c:v>-43271.357759993814</c:v>
                      </c:pt>
                      <c:pt idx="270">
                        <c:v>-40919.408702273329</c:v>
                      </c:pt>
                      <c:pt idx="271">
                        <c:v>-37742.155126284692</c:v>
                      </c:pt>
                      <c:pt idx="272">
                        <c:v>-33687.852532961617</c:v>
                      </c:pt>
                      <c:pt idx="273">
                        <c:v>-28673.028929790369</c:v>
                      </c:pt>
                      <c:pt idx="274">
                        <c:v>-22568.384846662379</c:v>
                      </c:pt>
                      <c:pt idx="275">
                        <c:v>-15392.902371295455</c:v>
                      </c:pt>
                      <c:pt idx="276">
                        <c:v>-9576.2489476534211</c:v>
                      </c:pt>
                      <c:pt idx="277">
                        <c:v>-4842.9029449769951</c:v>
                      </c:pt>
                      <c:pt idx="278">
                        <c:v>46.286734325831787</c:v>
                      </c:pt>
                      <c:pt idx="279">
                        <c:v>5298.1656844919444</c:v>
                      </c:pt>
                      <c:pt idx="280">
                        <c:v>10801.896447573192</c:v>
                      </c:pt>
                      <c:pt idx="281">
                        <c:v>16379.034437470773</c:v>
                      </c:pt>
                      <c:pt idx="282">
                        <c:v>21861.45900258957</c:v>
                      </c:pt>
                      <c:pt idx="283">
                        <c:v>27107.536245092324</c:v>
                      </c:pt>
                      <c:pt idx="284">
                        <c:v>31998.573763906574</c:v>
                      </c:pt>
                      <c:pt idx="285">
                        <c:v>36430.753726494993</c:v>
                      </c:pt>
                      <c:pt idx="286">
                        <c:v>40307.090973586608</c:v>
                      </c:pt>
                      <c:pt idx="287">
                        <c:v>43530.267723509336</c:v>
                      </c:pt>
                      <c:pt idx="288">
                        <c:v>45996.132018723118</c:v>
                      </c:pt>
                      <c:pt idx="289">
                        <c:v>47587.540334143159</c:v>
                      </c:pt>
                      <c:pt idx="290">
                        <c:v>48168.654887702723</c:v>
                      </c:pt>
                      <c:pt idx="291">
                        <c:v>47581.085364243627</c:v>
                      </c:pt>
                      <c:pt idx="292">
                        <c:v>45646.53688818778</c:v>
                      </c:pt>
                      <c:pt idx="293">
                        <c:v>42187.966593479403</c:v>
                      </c:pt>
                      <c:pt idx="294">
                        <c:v>37092.220626556111</c:v>
                      </c:pt>
                      <c:pt idx="295">
                        <c:v>30429.352840272655</c:v>
                      </c:pt>
                      <c:pt idx="296">
                        <c:v>22549.411172266875</c:v>
                      </c:pt>
                      <c:pt idx="297">
                        <c:v>13955.941007843932</c:v>
                      </c:pt>
                      <c:pt idx="298">
                        <c:v>5019.6299851179392</c:v>
                      </c:pt>
                      <c:pt idx="299">
                        <c:v>-4050.6472661277667</c:v>
                      </c:pt>
                      <c:pt idx="300">
                        <c:v>-12952.661201230423</c:v>
                      </c:pt>
                      <c:pt idx="301">
                        <c:v>-21221.363636639679</c:v>
                      </c:pt>
                      <c:pt idx="302">
                        <c:v>-28523.38491263389</c:v>
                      </c:pt>
                      <c:pt idx="303">
                        <c:v>-34785.122074283587</c:v>
                      </c:pt>
                      <c:pt idx="304">
                        <c:v>-40071.551985214879</c:v>
                      </c:pt>
                      <c:pt idx="305">
                        <c:v>-44481.414396890163</c:v>
                      </c:pt>
                      <c:pt idx="306">
                        <c:v>-48106.685889451437</c:v>
                      </c:pt>
                      <c:pt idx="307">
                        <c:v>-51022.724756884811</c:v>
                      </c:pt>
                      <c:pt idx="308">
                        <c:v>-53288.310183883856</c:v>
                      </c:pt>
                      <c:pt idx="309">
                        <c:v>-54948.006540981609</c:v>
                      </c:pt>
                      <c:pt idx="310">
                        <c:v>-56034.56126030608</c:v>
                      </c:pt>
                      <c:pt idx="311">
                        <c:v>-56570.761742578317</c:v>
                      </c:pt>
                      <c:pt idx="312">
                        <c:v>-56570.672786972798</c:v>
                      </c:pt>
                      <c:pt idx="313">
                        <c:v>-56040.281879998765</c:v>
                      </c:pt>
                      <c:pt idx="314">
                        <c:v>-54977.559049912968</c:v>
                      </c:pt>
                      <c:pt idx="315">
                        <c:v>-53371.863103556345</c:v>
                      </c:pt>
                      <c:pt idx="316">
                        <c:v>-51202.496856183454</c:v>
                      </c:pt>
                      <c:pt idx="317">
                        <c:v>-48435.980922736286</c:v>
                      </c:pt>
                      <c:pt idx="318">
                        <c:v>-45021.144917732228</c:v>
                      </c:pt>
                      <c:pt idx="319">
                        <c:v>-40880.07082446594</c:v>
                      </c:pt>
                      <c:pt idx="320">
                        <c:v>-35890.219032829955</c:v>
                      </c:pt>
                      <c:pt idx="321">
                        <c:v>-29845.192130959957</c:v>
                      </c:pt>
                      <c:pt idx="322">
                        <c:v>-22354.609905317069</c:v>
                      </c:pt>
                      <c:pt idx="323">
                        <c:v>-12538.988396076053</c:v>
                      </c:pt>
                      <c:pt idx="324">
                        <c:v>1373.1818983388666</c:v>
                      </c:pt>
                      <c:pt idx="325">
                        <c:v>11482.071561800427</c:v>
                      </c:pt>
                      <c:pt idx="326">
                        <c:v>19308.81919635868</c:v>
                      </c:pt>
                      <c:pt idx="327">
                        <c:v>25755.411898220133</c:v>
                      </c:pt>
                      <c:pt idx="328">
                        <c:v>31192.744701045041</c:v>
                      </c:pt>
                      <c:pt idx="329">
                        <c:v>35791.024864163555</c:v>
                      </c:pt>
                      <c:pt idx="330">
                        <c:v>39629.854482201299</c:v>
                      </c:pt>
                      <c:pt idx="331">
                        <c:v>42740.077587388492</c:v>
                      </c:pt>
                      <c:pt idx="332">
                        <c:v>45120.85125912982</c:v>
                      </c:pt>
                      <c:pt idx="333">
                        <c:v>46745.60032226253</c:v>
                      </c:pt>
                      <c:pt idx="334">
                        <c:v>47561.34733190015</c:v>
                      </c:pt>
                      <c:pt idx="335">
                        <c:v>47482.090989335426</c:v>
                      </c:pt>
                      <c:pt idx="336">
                        <c:v>46374.140666080391</c:v>
                      </c:pt>
                      <c:pt idx="337">
                        <c:v>44027.616141988205</c:v>
                      </c:pt>
                      <c:pt idx="338">
                        <c:v>40102.804402665417</c:v>
                      </c:pt>
                      <c:pt idx="339">
                        <c:v>34046.138591873321</c:v>
                      </c:pt>
                      <c:pt idx="340">
                        <c:v>25164.922723729826</c:v>
                      </c:pt>
                      <c:pt idx="341">
                        <c:v>14310.915328600886</c:v>
                      </c:pt>
                      <c:pt idx="342">
                        <c:v>4504.7051264892252</c:v>
                      </c:pt>
                      <c:pt idx="343">
                        <c:v>-4121.7731643314946</c:v>
                      </c:pt>
                      <c:pt idx="344">
                        <c:v>-12735.073263376011</c:v>
                      </c:pt>
                      <c:pt idx="345">
                        <c:v>-23475.429320187883</c:v>
                      </c:pt>
                      <c:pt idx="346">
                        <c:v>-31503.284796807668</c:v>
                      </c:pt>
                      <c:pt idx="347">
                        <c:v>-37434.56863119387</c:v>
                      </c:pt>
                      <c:pt idx="348">
                        <c:v>-41944.665420783625</c:v>
                      </c:pt>
                      <c:pt idx="349">
                        <c:v>-45347.528181531343</c:v>
                      </c:pt>
                      <c:pt idx="350">
                        <c:v>-47810.55988755617</c:v>
                      </c:pt>
                      <c:pt idx="351">
                        <c:v>-49431.515333067175</c:v>
                      </c:pt>
                      <c:pt idx="352">
                        <c:v>-50269.081037430726</c:v>
                      </c:pt>
                      <c:pt idx="353">
                        <c:v>-50356.74074676419</c:v>
                      </c:pt>
                      <c:pt idx="354">
                        <c:v>-49709.605784739084</c:v>
                      </c:pt>
                      <c:pt idx="355">
                        <c:v>-48327.869285499575</c:v>
                      </c:pt>
                      <c:pt idx="356">
                        <c:v>-46198.50663710168</c:v>
                      </c:pt>
                      <c:pt idx="357">
                        <c:v>-43296.172455122891</c:v>
                      </c:pt>
                      <c:pt idx="358">
                        <c:v>-39584.252784997378</c:v>
                      </c:pt>
                      <c:pt idx="359">
                        <c:v>-35017.681472736214</c:v>
                      </c:pt>
                      <c:pt idx="360">
                        <c:v>-29550.626315641744</c:v>
                      </c:pt>
                      <c:pt idx="361">
                        <c:v>-23154.341560260433</c:v>
                      </c:pt>
                      <c:pt idx="362">
                        <c:v>-15852.449021720786</c:v>
                      </c:pt>
                      <c:pt idx="363">
                        <c:v>-7787.6320089738092</c:v>
                      </c:pt>
                      <c:pt idx="364">
                        <c:v>658.66186776296627</c:v>
                      </c:pt>
                      <c:pt idx="365">
                        <c:v>8836.8788352012652</c:v>
                      </c:pt>
                      <c:pt idx="366">
                        <c:v>16183.065166183023</c:v>
                      </c:pt>
                      <c:pt idx="367">
                        <c:v>22493.804272270281</c:v>
                      </c:pt>
                      <c:pt idx="368">
                        <c:v>27794.714541016452</c:v>
                      </c:pt>
                      <c:pt idx="369">
                        <c:v>32178.456773224789</c:v>
                      </c:pt>
                      <c:pt idx="370">
                        <c:v>35738.276281644161</c:v>
                      </c:pt>
                      <c:pt idx="371">
                        <c:v>38550.686102800239</c:v>
                      </c:pt>
                      <c:pt idx="372">
                        <c:v>40673.890579303996</c:v>
                      </c:pt>
                      <c:pt idx="373">
                        <c:v>42149.987398440695</c:v>
                      </c:pt>
                      <c:pt idx="374">
                        <c:v>43007.431968181714</c:v>
                      </c:pt>
                      <c:pt idx="375">
                        <c:v>43262.879380887913</c:v>
                      </c:pt>
                      <c:pt idx="376">
                        <c:v>42922.249152968863</c:v>
                      </c:pt>
                      <c:pt idx="377">
                        <c:v>41981.008337199695</c:v>
                      </c:pt>
                      <c:pt idx="378">
                        <c:v>40423.639401041313</c:v>
                      </c:pt>
                      <c:pt idx="379">
                        <c:v>38222.160095972387</c:v>
                      </c:pt>
                      <c:pt idx="380">
                        <c:v>35333.411928883615</c:v>
                      </c:pt>
                      <c:pt idx="381">
                        <c:v>31694.631783444394</c:v>
                      </c:pt>
                      <c:pt idx="382">
                        <c:v>27216.649177216557</c:v>
                      </c:pt>
                      <c:pt idx="383">
                        <c:v>21774.544156774085</c:v>
                      </c:pt>
                      <c:pt idx="384">
                        <c:v>15200.569003081811</c:v>
                      </c:pt>
                      <c:pt idx="385">
                        <c:v>7314.3758240077968</c:v>
                      </c:pt>
                      <c:pt idx="386">
                        <c:v>-1842.5075350853492</c:v>
                      </c:pt>
                      <c:pt idx="387">
                        <c:v>-11358.6411039287</c:v>
                      </c:pt>
                      <c:pt idx="388">
                        <c:v>-19812.063941748132</c:v>
                      </c:pt>
                      <c:pt idx="389">
                        <c:v>-26701.587973976184</c:v>
                      </c:pt>
                      <c:pt idx="390">
                        <c:v>-32133.119113050248</c:v>
                      </c:pt>
                      <c:pt idx="391">
                        <c:v>-36312.287351565297</c:v>
                      </c:pt>
                      <c:pt idx="392">
                        <c:v>-39410.304309470972</c:v>
                      </c:pt>
                      <c:pt idx="393">
                        <c:v>-41550.929630403902</c:v>
                      </c:pt>
                      <c:pt idx="394">
                        <c:v>-42818.823518646052</c:v>
                      </c:pt>
                      <c:pt idx="395">
                        <c:v>-43268.087194247775</c:v>
                      </c:pt>
                      <c:pt idx="396">
                        <c:v>-42927.722216450173</c:v>
                      </c:pt>
                      <c:pt idx="397">
                        <c:v>-41803.910716612503</c:v>
                      </c:pt>
                      <c:pt idx="398">
                        <c:v>-39879.047441093084</c:v>
                      </c:pt>
                      <c:pt idx="399">
                        <c:v>-37106.565745393716</c:v>
                      </c:pt>
                      <c:pt idx="400">
                        <c:v>-33398.627723561425</c:v>
                      </c:pt>
                      <c:pt idx="401">
                        <c:v>-28598.769993735103</c:v>
                      </c:pt>
                      <c:pt idx="402">
                        <c:v>-22416.652422214542</c:v>
                      </c:pt>
                      <c:pt idx="403">
                        <c:v>-14252.923278548382</c:v>
                      </c:pt>
                      <c:pt idx="404">
                        <c:v>-2867.882656675572</c:v>
                      </c:pt>
                      <c:pt idx="405">
                        <c:v>6519.7863008696586</c:v>
                      </c:pt>
                      <c:pt idx="406">
                        <c:v>12927.855347124623</c:v>
                      </c:pt>
                      <c:pt idx="407">
                        <c:v>17675.019013178746</c:v>
                      </c:pt>
                      <c:pt idx="408">
                        <c:v>21308.682679395923</c:v>
                      </c:pt>
                      <c:pt idx="409">
                        <c:v>24070.715955799118</c:v>
                      </c:pt>
                      <c:pt idx="410">
                        <c:v>26048.596643863108</c:v>
                      </c:pt>
                      <c:pt idx="411">
                        <c:v>27199.349769712946</c:v>
                      </c:pt>
                      <c:pt idx="412">
                        <c:v>27262.899846348362</c:v>
                      </c:pt>
                      <c:pt idx="413">
                        <c:v>25348.155122361066</c:v>
                      </c:pt>
                      <c:pt idx="414">
                        <c:v>19304.936234956171</c:v>
                      </c:pt>
                      <c:pt idx="415">
                        <c:v>13162.140477389763</c:v>
                      </c:pt>
                      <c:pt idx="416">
                        <c:v>7492.3680942621731</c:v>
                      </c:pt>
                      <c:pt idx="417">
                        <c:v>2182.115475616642</c:v>
                      </c:pt>
                      <c:pt idx="418">
                        <c:v>-2853.9118999539282</c:v>
                      </c:pt>
                      <c:pt idx="419">
                        <c:v>-7652.5891142804767</c:v>
                      </c:pt>
                      <c:pt idx="420">
                        <c:v>-12214.961786425949</c:v>
                      </c:pt>
                      <c:pt idx="421">
                        <c:v>-16510.660782104675</c:v>
                      </c:pt>
                      <c:pt idx="422">
                        <c:v>-20468.29011195472</c:v>
                      </c:pt>
                      <c:pt idx="423">
                        <c:v>-23935.769413062153</c:v>
                      </c:pt>
                      <c:pt idx="424">
                        <c:v>-26546.754217265887</c:v>
                      </c:pt>
                      <c:pt idx="425">
                        <c:v>-27268.315888908553</c:v>
                      </c:pt>
                      <c:pt idx="426">
                        <c:v>-24361.750632330361</c:v>
                      </c:pt>
                      <c:pt idx="427">
                        <c:v>-19671.633129776681</c:v>
                      </c:pt>
                      <c:pt idx="428">
                        <c:v>-14328.648778951061</c:v>
                      </c:pt>
                      <c:pt idx="429">
                        <c:v>-8518.4033543800542</c:v>
                      </c:pt>
                      <c:pt idx="430">
                        <c:v>-2344.9648689517949</c:v>
                      </c:pt>
                      <c:pt idx="431">
                        <c:v>3833.289178638518</c:v>
                      </c:pt>
                      <c:pt idx="432">
                        <c:v>9183.3377811649752</c:v>
                      </c:pt>
                      <c:pt idx="433">
                        <c:v>12691.057857750984</c:v>
                      </c:pt>
                      <c:pt idx="434">
                        <c:v>14007.221897762924</c:v>
                      </c:pt>
                      <c:pt idx="435">
                        <c:v>13459.720858338975</c:v>
                      </c:pt>
                      <c:pt idx="436">
                        <c:v>11525.573870287537</c:v>
                      </c:pt>
                      <c:pt idx="437">
                        <c:v>8601.9167050991764</c:v>
                      </c:pt>
                      <c:pt idx="438">
                        <c:v>4988.6440695883193</c:v>
                      </c:pt>
                      <c:pt idx="439">
                        <c:v>919.97760401096195</c:v>
                      </c:pt>
                      <c:pt idx="440">
                        <c:v>-3402.026123088393</c:v>
                      </c:pt>
                      <c:pt idx="441">
                        <c:v>-7775.9271330009296</c:v>
                      </c:pt>
                      <c:pt idx="442">
                        <c:v>-11963.922237493505</c:v>
                      </c:pt>
                      <c:pt idx="443">
                        <c:v>-15635.442298722979</c:v>
                      </c:pt>
                      <c:pt idx="444">
                        <c:v>-18269.673148010083</c:v>
                      </c:pt>
                      <c:pt idx="445">
                        <c:v>-19022.449910576393</c:v>
                      </c:pt>
                      <c:pt idx="446">
                        <c:v>-16879.054113968439</c:v>
                      </c:pt>
                      <c:pt idx="447">
                        <c:v>-11966.111033947485</c:v>
                      </c:pt>
                      <c:pt idx="448">
                        <c:v>-5800.6766735104266</c:v>
                      </c:pt>
                      <c:pt idx="449">
                        <c:v>610.16629160792752</c:v>
                      </c:pt>
                      <c:pt idx="450">
                        <c:v>6967.8145465345724</c:v>
                      </c:pt>
                      <c:pt idx="451">
                        <c:v>13310.39591088246</c:v>
                      </c:pt>
                      <c:pt idx="452">
                        <c:v>19780.303219411828</c:v>
                      </c:pt>
                      <c:pt idx="453">
                        <c:v>25844.61435462442</c:v>
                      </c:pt>
                      <c:pt idx="454">
                        <c:v>27608.865039355194</c:v>
                      </c:pt>
                      <c:pt idx="455">
                        <c:v>27165.755742963534</c:v>
                      </c:pt>
                      <c:pt idx="456">
                        <c:v>25730.638821423559</c:v>
                      </c:pt>
                      <c:pt idx="457">
                        <c:v>23736.953698954123</c:v>
                      </c:pt>
                      <c:pt idx="458">
                        <c:v>21386.550262624904</c:v>
                      </c:pt>
                      <c:pt idx="459">
                        <c:v>18796.865818477909</c:v>
                      </c:pt>
                      <c:pt idx="460">
                        <c:v>16050.012088816778</c:v>
                      </c:pt>
                      <c:pt idx="461">
                        <c:v>13214.167668493064</c:v>
                      </c:pt>
                      <c:pt idx="462">
                        <c:v>10356.37737297262</c:v>
                      </c:pt>
                      <c:pt idx="463">
                        <c:v>7553.8631397969275</c:v>
                      </c:pt>
                      <c:pt idx="464">
                        <c:v>4907.9057887822219</c:v>
                      </c:pt>
                      <c:pt idx="465">
                        <c:v>2562.3663871823223</c:v>
                      </c:pt>
                      <c:pt idx="466">
                        <c:v>716.53244649931491</c:v>
                      </c:pt>
                      <c:pt idx="467">
                        <c:v>-435.41965685064372</c:v>
                      </c:pt>
                      <c:pt idx="468">
                        <c:v>-908.61540989961497</c:v>
                      </c:pt>
                      <c:pt idx="469">
                        <c:v>-869.46508075329587</c:v>
                      </c:pt>
                      <c:pt idx="470">
                        <c:v>-496.6929040989811</c:v>
                      </c:pt>
                      <c:pt idx="471">
                        <c:v>1.2370377304762883</c:v>
                      </c:pt>
                      <c:pt idx="472">
                        <c:v>337.60867480513537</c:v>
                      </c:pt>
                      <c:pt idx="473">
                        <c:v>-158.24285829260248</c:v>
                      </c:pt>
                      <c:pt idx="474">
                        <c:v>-3691.0362007335707</c:v>
                      </c:pt>
                      <c:pt idx="475">
                        <c:v>-7783.1044587845217</c:v>
                      </c:pt>
                      <c:pt idx="476">
                        <c:v>-11436.793765899265</c:v>
                      </c:pt>
                      <c:pt idx="477">
                        <c:v>-14615.649211591248</c:v>
                      </c:pt>
                      <c:pt idx="478">
                        <c:v>-17350.278260747975</c:v>
                      </c:pt>
                      <c:pt idx="479">
                        <c:v>-19663.500697596446</c:v>
                      </c:pt>
                      <c:pt idx="480">
                        <c:v>-21564.212423650442</c:v>
                      </c:pt>
                      <c:pt idx="481">
                        <c:v>-23047.547232747474</c:v>
                      </c:pt>
                      <c:pt idx="482">
                        <c:v>-24094.175012087107</c:v>
                      </c:pt>
                      <c:pt idx="483">
                        <c:v>-24667.268522832775</c:v>
                      </c:pt>
                      <c:pt idx="484">
                        <c:v>-24705.583519666299</c:v>
                      </c:pt>
                      <c:pt idx="485">
                        <c:v>-24109.028904947219</c:v>
                      </c:pt>
                      <c:pt idx="486">
                        <c:v>-22707.164999279714</c:v>
                      </c:pt>
                      <c:pt idx="487">
                        <c:v>-20182.201019581418</c:v>
                      </c:pt>
                      <c:pt idx="488">
                        <c:v>-15851.185035606439</c:v>
                      </c:pt>
                      <c:pt idx="489">
                        <c:v>-8120.4905902268911</c:v>
                      </c:pt>
                      <c:pt idx="490">
                        <c:v>1715.9263049789033</c:v>
                      </c:pt>
                      <c:pt idx="491">
                        <c:v>10004.438934669908</c:v>
                      </c:pt>
                      <c:pt idx="492">
                        <c:v>17043.15802953524</c:v>
                      </c:pt>
                      <c:pt idx="493">
                        <c:v>23142.269918386177</c:v>
                      </c:pt>
                      <c:pt idx="494">
                        <c:v>28423.06363975798</c:v>
                      </c:pt>
                      <c:pt idx="495">
                        <c:v>32876.957015194799</c:v>
                      </c:pt>
                      <c:pt idx="496">
                        <c:v>36399.416849460271</c:v>
                      </c:pt>
                      <c:pt idx="497">
                        <c:v>38799.071496581731</c:v>
                      </c:pt>
                      <c:pt idx="498">
                        <c:v>39790.053764195582</c:v>
                      </c:pt>
                      <c:pt idx="499">
                        <c:v>38980.659812670456</c:v>
                      </c:pt>
                      <c:pt idx="500">
                        <c:v>35906.811792588378</c:v>
                      </c:pt>
                      <c:pt idx="501">
                        <c:v>30265.701249347218</c:v>
                      </c:pt>
                      <c:pt idx="502">
                        <c:v>22510.220975904587</c:v>
                      </c:pt>
                      <c:pt idx="503">
                        <c:v>14014.63525854689</c:v>
                      </c:pt>
                      <c:pt idx="504">
                        <c:v>5940.377142243392</c:v>
                      </c:pt>
                      <c:pt idx="505">
                        <c:v>-1393.8135852626283</c:v>
                      </c:pt>
                      <c:pt idx="506">
                        <c:v>-8298.1650074860081</c:v>
                      </c:pt>
                      <c:pt idx="507">
                        <c:v>-15714.74694951608</c:v>
                      </c:pt>
                      <c:pt idx="508">
                        <c:v>-25292.947882499291</c:v>
                      </c:pt>
                      <c:pt idx="509">
                        <c:v>-32254.767299979369</c:v>
                      </c:pt>
                      <c:pt idx="510">
                        <c:v>-37624.716760139861</c:v>
                      </c:pt>
                      <c:pt idx="511">
                        <c:v>-41873.930088213041</c:v>
                      </c:pt>
                      <c:pt idx="512">
                        <c:v>-45214.794914242571</c:v>
                      </c:pt>
                      <c:pt idx="513">
                        <c:v>-47760.104439132221</c:v>
                      </c:pt>
                      <c:pt idx="514">
                        <c:v>-49576.103364857503</c:v>
                      </c:pt>
                      <c:pt idx="515">
                        <c:v>-50703.159984588463</c:v>
                      </c:pt>
                      <c:pt idx="516">
                        <c:v>-51164.773824691671</c:v>
                      </c:pt>
                      <c:pt idx="517">
                        <c:v>-50971.613943253869</c:v>
                      </c:pt>
                      <c:pt idx="518">
                        <c:v>-50123.021737498464</c:v>
                      </c:pt>
                      <c:pt idx="519">
                        <c:v>-48606.85574357216</c:v>
                      </c:pt>
                      <c:pt idx="520">
                        <c:v>-46397.828020918365</c:v>
                      </c:pt>
                      <c:pt idx="521">
                        <c:v>-43453.952188295087</c:v>
                      </c:pt>
                      <c:pt idx="522">
                        <c:v>-39710.052859105708</c:v>
                      </c:pt>
                      <c:pt idx="523">
                        <c:v>-35066.086358280983</c:v>
                      </c:pt>
                      <c:pt idx="524">
                        <c:v>-29365.654670164477</c:v>
                      </c:pt>
                      <c:pt idx="525">
                        <c:v>-22356.480684974718</c:v>
                      </c:pt>
                      <c:pt idx="526">
                        <c:v>-13636.477782991873</c:v>
                      </c:pt>
                      <c:pt idx="527">
                        <c:v>-2891.9588278348383</c:v>
                      </c:pt>
                      <c:pt idx="528">
                        <c:v>6845.216116716354</c:v>
                      </c:pt>
                      <c:pt idx="529">
                        <c:v>13286.154322939909</c:v>
                      </c:pt>
                      <c:pt idx="530">
                        <c:v>17843.518023196055</c:v>
                      </c:pt>
                      <c:pt idx="531">
                        <c:v>21272.399985918717</c:v>
                      </c:pt>
                      <c:pt idx="532">
                        <c:v>23891.211985465503</c:v>
                      </c:pt>
                      <c:pt idx="533">
                        <c:v>25752.745469729707</c:v>
                      </c:pt>
                      <c:pt idx="534">
                        <c:v>26516.818505071264</c:v>
                      </c:pt>
                      <c:pt idx="535">
                        <c:v>24455.193620038335</c:v>
                      </c:pt>
                      <c:pt idx="536">
                        <c:v>19462.261186022439</c:v>
                      </c:pt>
                      <c:pt idx="537">
                        <c:v>14237.902702107436</c:v>
                      </c:pt>
                      <c:pt idx="538">
                        <c:v>9127.1209028295289</c:v>
                      </c:pt>
                      <c:pt idx="539">
                        <c:v>4164.9738594583887</c:v>
                      </c:pt>
                      <c:pt idx="540">
                        <c:v>-643.0548244753187</c:v>
                      </c:pt>
                      <c:pt idx="541">
                        <c:v>-5286.3863514430259</c:v>
                      </c:pt>
                      <c:pt idx="542">
                        <c:v>-9745.580601987047</c:v>
                      </c:pt>
                      <c:pt idx="543">
                        <c:v>-13992.115579574098</c:v>
                      </c:pt>
                      <c:pt idx="544">
                        <c:v>-17987.120605995813</c:v>
                      </c:pt>
                      <c:pt idx="545">
                        <c:v>-21677.596373462791</c:v>
                      </c:pt>
                      <c:pt idx="546">
                        <c:v>-24988.105706652925</c:v>
                      </c:pt>
                      <c:pt idx="547">
                        <c:v>-27803.035648419882</c:v>
                      </c:pt>
                      <c:pt idx="548">
                        <c:v>-29926.361662497922</c:v>
                      </c:pt>
                      <c:pt idx="549">
                        <c:v>-30982.987601620771</c:v>
                      </c:pt>
                      <c:pt idx="550">
                        <c:v>-30190.580313816336</c:v>
                      </c:pt>
                      <c:pt idx="551">
                        <c:v>-26387.924310956827</c:v>
                      </c:pt>
                      <c:pt idx="552">
                        <c:v>-20438.209547612612</c:v>
                      </c:pt>
                      <c:pt idx="553">
                        <c:v>-13762.476336441974</c:v>
                      </c:pt>
                      <c:pt idx="554">
                        <c:v>-6665.1090379787765</c:v>
                      </c:pt>
                      <c:pt idx="555">
                        <c:v>720.97061163005355</c:v>
                      </c:pt>
                      <c:pt idx="556">
                        <c:v>7988.8056636811107</c:v>
                      </c:pt>
                      <c:pt idx="557">
                        <c:v>14476.320782276473</c:v>
                      </c:pt>
                      <c:pt idx="558">
                        <c:v>19724.114584343766</c:v>
                      </c:pt>
                      <c:pt idx="559">
                        <c:v>23671.841873464091</c:v>
                      </c:pt>
                      <c:pt idx="560">
                        <c:v>26458.445932259605</c:v>
                      </c:pt>
                      <c:pt idx="561">
                        <c:v>28254.728490413967</c:v>
                      </c:pt>
                      <c:pt idx="562">
                        <c:v>29206.886522029305</c:v>
                      </c:pt>
                      <c:pt idx="563">
                        <c:v>29428.380868412598</c:v>
                      </c:pt>
                      <c:pt idx="564">
                        <c:v>29004.600746480297</c:v>
                      </c:pt>
                      <c:pt idx="565">
                        <c:v>27999.028489374676</c:v>
                      </c:pt>
                      <c:pt idx="566">
                        <c:v>26458.237790170231</c:v>
                      </c:pt>
                      <c:pt idx="567">
                        <c:v>24415.441413960973</c:v>
                      </c:pt>
                      <c:pt idx="568">
                        <c:v>21892.820145210815</c:v>
                      </c:pt>
                      <c:pt idx="569">
                        <c:v>18902.899879769648</c:v>
                      </c:pt>
                      <c:pt idx="570">
                        <c:v>15449.208849791012</c:v>
                      </c:pt>
                      <c:pt idx="571">
                        <c:v>11526.53942683206</c:v>
                      </c:pt>
                      <c:pt idx="572">
                        <c:v>7121.8031241227718</c:v>
                      </c:pt>
                      <c:pt idx="573">
                        <c:v>2219.7549377292085</c:v>
                      </c:pt>
                      <c:pt idx="574">
                        <c:v>-3164.2863404140789</c:v>
                      </c:pt>
                      <c:pt idx="575">
                        <c:v>-8782.1216010416902</c:v>
                      </c:pt>
                      <c:pt idx="576">
                        <c:v>-12815.930897340244</c:v>
                      </c:pt>
                      <c:pt idx="577">
                        <c:v>-13021.041943952692</c:v>
                      </c:pt>
                      <c:pt idx="578">
                        <c:v>-11746.8874813005</c:v>
                      </c:pt>
                      <c:pt idx="579">
                        <c:v>-9822.6638986097933</c:v>
                      </c:pt>
                      <c:pt idx="580">
                        <c:v>-7517.4382347103374</c:v>
                      </c:pt>
                      <c:pt idx="581">
                        <c:v>-5044.3821763711157</c:v>
                      </c:pt>
                      <c:pt idx="582">
                        <c:v>-2663.4829835747851</c:v>
                      </c:pt>
                      <c:pt idx="583">
                        <c:v>-57.059722298663189</c:v>
                      </c:pt>
                      <c:pt idx="584">
                        <c:v>3105.3962651126112</c:v>
                      </c:pt>
                      <c:pt idx="585">
                        <c:v>6695.8428992772242</c:v>
                      </c:pt>
                      <c:pt idx="586">
                        <c:v>10504.509415787681</c:v>
                      </c:pt>
                      <c:pt idx="587">
                        <c:v>14371.378430164237</c:v>
                      </c:pt>
                      <c:pt idx="588">
                        <c:v>18185.884869419027</c:v>
                      </c:pt>
                      <c:pt idx="589">
                        <c:v>21868.575903852998</c:v>
                      </c:pt>
                      <c:pt idx="590">
                        <c:v>25356.771316450329</c:v>
                      </c:pt>
                      <c:pt idx="591">
                        <c:v>28594.843526255423</c:v>
                      </c:pt>
                      <c:pt idx="592">
                        <c:v>31527.045369471358</c:v>
                      </c:pt>
                      <c:pt idx="593">
                        <c:v>34091.003886431572</c:v>
                      </c:pt>
                      <c:pt idx="594">
                        <c:v>36210.091379444326</c:v>
                      </c:pt>
                      <c:pt idx="595">
                        <c:v>37782.256945410903</c:v>
                      </c:pt>
                      <c:pt idx="596">
                        <c:v>38660.852574164936</c:v>
                      </c:pt>
                      <c:pt idx="597">
                        <c:v>38617.599710942486</c:v>
                      </c:pt>
                      <c:pt idx="598">
                        <c:v>37264.280993229026</c:v>
                      </c:pt>
                      <c:pt idx="599">
                        <c:v>33886.683623615943</c:v>
                      </c:pt>
                      <c:pt idx="600">
                        <c:v>27307.388663750324</c:v>
                      </c:pt>
                      <c:pt idx="601">
                        <c:v>17846.830853317228</c:v>
                      </c:pt>
                      <c:pt idx="602">
                        <c:v>8347.9289962564308</c:v>
                      </c:pt>
                      <c:pt idx="603">
                        <c:v>-683.20216404198743</c:v>
                      </c:pt>
                      <c:pt idx="604">
                        <c:v>-9431.919081484788</c:v>
                      </c:pt>
                      <c:pt idx="605">
                        <c:v>-17883.225619445548</c:v>
                      </c:pt>
                      <c:pt idx="606">
                        <c:v>-25726.941740999246</c:v>
                      </c:pt>
                      <c:pt idx="607">
                        <c:v>-32667.772571100795</c:v>
                      </c:pt>
                      <c:pt idx="608">
                        <c:v>-38623.189897285549</c:v>
                      </c:pt>
                      <c:pt idx="609">
                        <c:v>-43637.766803885919</c:v>
                      </c:pt>
                      <c:pt idx="610">
                        <c:v>-47789.180252805723</c:v>
                      </c:pt>
                      <c:pt idx="611">
                        <c:v>-51150.698457350969</c:v>
                      </c:pt>
                      <c:pt idx="612">
                        <c:v>-53781.457310650949</c:v>
                      </c:pt>
                      <c:pt idx="613">
                        <c:v>-55725.7341923684</c:v>
                      </c:pt>
                      <c:pt idx="614">
                        <c:v>-57014.374543250495</c:v>
                      </c:pt>
                      <c:pt idx="615">
                        <c:v>-57666.249476845107</c:v>
                      </c:pt>
                      <c:pt idx="616">
                        <c:v>-57689.132140557296</c:v>
                      </c:pt>
                      <c:pt idx="617">
                        <c:v>-57079.784665043087</c:v>
                      </c:pt>
                      <c:pt idx="618">
                        <c:v>-55823.063653452649</c:v>
                      </c:pt>
                      <c:pt idx="619">
                        <c:v>-53889.664998975364</c:v>
                      </c:pt>
                      <c:pt idx="620">
                        <c:v>-51231.683955888984</c:v>
                      </c:pt>
                      <c:pt idx="621">
                        <c:v>-47774.14298776762</c:v>
                      </c:pt>
                      <c:pt idx="622">
                        <c:v>-43398.024748428172</c:v>
                      </c:pt>
                      <c:pt idx="623">
                        <c:v>-37902.732463616288</c:v>
                      </c:pt>
                      <c:pt idx="624">
                        <c:v>-30911.062958938586</c:v>
                      </c:pt>
                      <c:pt idx="625">
                        <c:v>-21627.361011218571</c:v>
                      </c:pt>
                      <c:pt idx="626">
                        <c:v>-10558.433957566293</c:v>
                      </c:pt>
                      <c:pt idx="627">
                        <c:v>-1159.3063350099192</c:v>
                      </c:pt>
                      <c:pt idx="628">
                        <c:v>8760.0975582920819</c:v>
                      </c:pt>
                      <c:pt idx="629">
                        <c:v>20474.660742443579</c:v>
                      </c:pt>
                      <c:pt idx="630">
                        <c:v>31628.692996362985</c:v>
                      </c:pt>
                      <c:pt idx="631">
                        <c:v>39842.724388554736</c:v>
                      </c:pt>
                      <c:pt idx="632">
                        <c:v>45917.970047873117</c:v>
                      </c:pt>
                      <c:pt idx="633">
                        <c:v>50493.589996251889</c:v>
                      </c:pt>
                      <c:pt idx="634">
                        <c:v>53932.314652476009</c:v>
                      </c:pt>
                      <c:pt idx="635">
                        <c:v>56449.494699186922</c:v>
                      </c:pt>
                      <c:pt idx="636">
                        <c:v>58181.741795891074</c:v>
                      </c:pt>
                      <c:pt idx="637">
                        <c:v>59220.364031281213</c:v>
                      </c:pt>
                      <c:pt idx="638">
                        <c:v>59628.550640490401</c:v>
                      </c:pt>
                      <c:pt idx="639">
                        <c:v>59450.76530012369</c:v>
                      </c:pt>
                      <c:pt idx="640">
                        <c:v>58718.123565345253</c:v>
                      </c:pt>
                      <c:pt idx="641">
                        <c:v>57451.527094752186</c:v>
                      </c:pt>
                      <c:pt idx="642">
                        <c:v>55663.418448274417</c:v>
                      </c:pt>
                      <c:pt idx="643">
                        <c:v>53358.565292190426</c:v>
                      </c:pt>
                      <c:pt idx="644">
                        <c:v>50534.012891784871</c:v>
                      </c:pt>
                      <c:pt idx="645">
                        <c:v>47178.12462457113</c:v>
                      </c:pt>
                      <c:pt idx="646">
                        <c:v>43268.358719719021</c:v>
                      </c:pt>
                      <c:pt idx="647">
                        <c:v>38766.95558070371</c:v>
                      </c:pt>
                      <c:pt idx="648">
                        <c:v>33612.697588284798</c:v>
                      </c:pt>
                      <c:pt idx="649">
                        <c:v>27704.421125980971</c:v>
                      </c:pt>
                      <c:pt idx="650">
                        <c:v>20865.022392181869</c:v>
                      </c:pt>
                      <c:pt idx="651">
                        <c:v>12752.380487784745</c:v>
                      </c:pt>
                      <c:pt idx="652">
                        <c:v>2608.4941427622043</c:v>
                      </c:pt>
                      <c:pt idx="653">
                        <c:v>-10925.262230849341</c:v>
                      </c:pt>
                      <c:pt idx="654">
                        <c:v>-20472.303150655716</c:v>
                      </c:pt>
                      <c:pt idx="655">
                        <c:v>-27386.683247172608</c:v>
                      </c:pt>
                      <c:pt idx="656">
                        <c:v>-32703.530262330289</c:v>
                      </c:pt>
                      <c:pt idx="657">
                        <c:v>-36858.009215819817</c:v>
                      </c:pt>
                      <c:pt idx="658">
                        <c:v>-40057.856297346392</c:v>
                      </c:pt>
                      <c:pt idx="659">
                        <c:v>-42407.600839644787</c:v>
                      </c:pt>
                      <c:pt idx="660">
                        <c:v>-43954.973967349557</c:v>
                      </c:pt>
                      <c:pt idx="661">
                        <c:v>-44709.265382730882</c:v>
                      </c:pt>
                      <c:pt idx="662">
                        <c:v>-44646.544550036393</c:v>
                      </c:pt>
                      <c:pt idx="663">
                        <c:v>-43705.602023724241</c:v>
                      </c:pt>
                      <c:pt idx="664">
                        <c:v>-41772.618722021158</c:v>
                      </c:pt>
                      <c:pt idx="665">
                        <c:v>-38645.197531964957</c:v>
                      </c:pt>
                      <c:pt idx="666">
                        <c:v>-33951.882943101322</c:v>
                      </c:pt>
                      <c:pt idx="667">
                        <c:v>-27008.608552435977</c:v>
                      </c:pt>
                      <c:pt idx="668">
                        <c:v>-17346.646330454281</c:v>
                      </c:pt>
                      <c:pt idx="669">
                        <c:v>-7898.16041904349</c:v>
                      </c:pt>
                      <c:pt idx="670">
                        <c:v>1103.6765680365957</c:v>
                      </c:pt>
                      <c:pt idx="671">
                        <c:v>11010.278070694041</c:v>
                      </c:pt>
                      <c:pt idx="672">
                        <c:v>23999.509446058662</c:v>
                      </c:pt>
                      <c:pt idx="673">
                        <c:v>33371.019965005093</c:v>
                      </c:pt>
                      <c:pt idx="674">
                        <c:v>39758.428908313785</c:v>
                      </c:pt>
                      <c:pt idx="675">
                        <c:v>44212.972396704266</c:v>
                      </c:pt>
                      <c:pt idx="676">
                        <c:v>47200.190896965134</c:v>
                      </c:pt>
                      <c:pt idx="677">
                        <c:v>48951.701052685734</c:v>
                      </c:pt>
                      <c:pt idx="678">
                        <c:v>49587.337885608453</c:v>
                      </c:pt>
                      <c:pt idx="679">
                        <c:v>49160.88287133316</c:v>
                      </c:pt>
                      <c:pt idx="680">
                        <c:v>47677.531023245145</c:v>
                      </c:pt>
                      <c:pt idx="681">
                        <c:v>45097.48920262327</c:v>
                      </c:pt>
                      <c:pt idx="682">
                        <c:v>41329.256962560852</c:v>
                      </c:pt>
                      <c:pt idx="683">
                        <c:v>36211.534932322924</c:v>
                      </c:pt>
                      <c:pt idx="684">
                        <c:v>29486.588107522653</c:v>
                      </c:pt>
                      <c:pt idx="685">
                        <c:v>20865.633377494523</c:v>
                      </c:pt>
                      <c:pt idx="686">
                        <c:v>11434.80738769655</c:v>
                      </c:pt>
                      <c:pt idx="687">
                        <c:v>5158.4638842290224</c:v>
                      </c:pt>
                      <c:pt idx="688">
                        <c:v>532.21359186658856</c:v>
                      </c:pt>
                      <c:pt idx="689">
                        <c:v>-3492.1181906399752</c:v>
                      </c:pt>
                      <c:pt idx="690">
                        <c:v>-7233.9469821848179</c:v>
                      </c:pt>
                      <c:pt idx="691">
                        <c:v>-10749.973306032156</c:v>
                      </c:pt>
                      <c:pt idx="692">
                        <c:v>-14019.948078854844</c:v>
                      </c:pt>
                      <c:pt idx="693">
                        <c:v>-17000.39636106414</c:v>
                      </c:pt>
                      <c:pt idx="694">
                        <c:v>-19633.75867326614</c:v>
                      </c:pt>
                      <c:pt idx="695">
                        <c:v>-21840.396316975701</c:v>
                      </c:pt>
                      <c:pt idx="696">
                        <c:v>-23492.382912588491</c:v>
                      </c:pt>
                      <c:pt idx="697">
                        <c:v>-24332.396601926372</c:v>
                      </c:pt>
                      <c:pt idx="698">
                        <c:v>-23637.107907280704</c:v>
                      </c:pt>
                      <c:pt idx="699">
                        <c:v>-19534.028372406363</c:v>
                      </c:pt>
                      <c:pt idx="700">
                        <c:v>-14890.514942335803</c:v>
                      </c:pt>
                      <c:pt idx="701">
                        <c:v>-9965.2764143615477</c:v>
                      </c:pt>
                      <c:pt idx="702">
                        <c:v>-4702.1350318778368</c:v>
                      </c:pt>
                      <c:pt idx="703">
                        <c:v>772.75232413236904</c:v>
                      </c:pt>
                      <c:pt idx="704">
                        <c:v>6009.337909985732</c:v>
                      </c:pt>
                      <c:pt idx="705">
                        <c:v>10160.745998083939</c:v>
                      </c:pt>
                      <c:pt idx="706">
                        <c:v>12319.728020122519</c:v>
                      </c:pt>
                      <c:pt idx="707">
                        <c:v>12192.564581556659</c:v>
                      </c:pt>
                      <c:pt idx="708">
                        <c:v>10130.523455010818</c:v>
                      </c:pt>
                      <c:pt idx="709">
                        <c:v>6678.1149898638369</c:v>
                      </c:pt>
                      <c:pt idx="710">
                        <c:v>2327.1610556804471</c:v>
                      </c:pt>
                      <c:pt idx="711">
                        <c:v>-2517.1285732412116</c:v>
                      </c:pt>
                      <c:pt idx="712">
                        <c:v>-7501.5577270327176</c:v>
                      </c:pt>
                      <c:pt idx="713">
                        <c:v>-12276.808650847797</c:v>
                      </c:pt>
                      <c:pt idx="714">
                        <c:v>-16443.081336208954</c:v>
                      </c:pt>
                      <c:pt idx="715">
                        <c:v>-19487.066535365462</c:v>
                      </c:pt>
                      <c:pt idx="716">
                        <c:v>-20734.188213509042</c:v>
                      </c:pt>
                      <c:pt idx="717">
                        <c:v>-19465.376572254969</c:v>
                      </c:pt>
                      <c:pt idx="718">
                        <c:v>-15504.900300410767</c:v>
                      </c:pt>
                      <c:pt idx="719">
                        <c:v>-9737.2256438773475</c:v>
                      </c:pt>
                      <c:pt idx="720">
                        <c:v>-3287.7846691180139</c:v>
                      </c:pt>
                      <c:pt idx="721">
                        <c:v>3241.3421157602083</c:v>
                      </c:pt>
                      <c:pt idx="722">
                        <c:v>9696.9353332747851</c:v>
                      </c:pt>
                      <c:pt idx="723">
                        <c:v>16134.549584881555</c:v>
                      </c:pt>
                      <c:pt idx="724">
                        <c:v>22529.48740082419</c:v>
                      </c:pt>
                      <c:pt idx="725">
                        <c:v>27568.250849723398</c:v>
                      </c:pt>
                      <c:pt idx="726">
                        <c:v>28254.904137340563</c:v>
                      </c:pt>
                      <c:pt idx="727">
                        <c:v>26811.727376275572</c:v>
                      </c:pt>
                      <c:pt idx="728">
                        <c:v>24412.858104542265</c:v>
                      </c:pt>
                      <c:pt idx="729">
                        <c:v>21509.990026754156</c:v>
                      </c:pt>
                      <c:pt idx="730">
                        <c:v>18321.809762095836</c:v>
                      </c:pt>
                      <c:pt idx="731">
                        <c:v>14980.818283829933</c:v>
                      </c:pt>
                      <c:pt idx="732">
                        <c:v>11585.206171166261</c:v>
                      </c:pt>
                      <c:pt idx="733">
                        <c:v>8222.2292758535659</c:v>
                      </c:pt>
                      <c:pt idx="734">
                        <c:v>4981.8516340535471</c:v>
                      </c:pt>
                      <c:pt idx="735">
                        <c:v>1965.4710907249009</c:v>
                      </c:pt>
                      <c:pt idx="736">
                        <c:v>-716.10856329142405</c:v>
                      </c:pt>
                      <c:pt idx="737">
                        <c:v>-2989.2902407278766</c:v>
                      </c:pt>
                      <c:pt idx="738">
                        <c:v>-5004.6207305762637</c:v>
                      </c:pt>
                      <c:pt idx="739">
                        <c:v>-7313.6946776272825</c:v>
                      </c:pt>
                      <c:pt idx="740">
                        <c:v>-9953.0707665518876</c:v>
                      </c:pt>
                      <c:pt idx="741">
                        <c:v>-12440.968879116133</c:v>
                      </c:pt>
                      <c:pt idx="742">
                        <c:v>-14489.285560557557</c:v>
                      </c:pt>
                      <c:pt idx="743">
                        <c:v>-15858.156609236428</c:v>
                      </c:pt>
                      <c:pt idx="744">
                        <c:v>-16107.80147795142</c:v>
                      </c:pt>
                      <c:pt idx="745">
                        <c:v>-14189.672612201341</c:v>
                      </c:pt>
                      <c:pt idx="746">
                        <c:v>-8331.3017318920938</c:v>
                      </c:pt>
                      <c:pt idx="747">
                        <c:v>-1020.3210391885111</c:v>
                      </c:pt>
                      <c:pt idx="748">
                        <c:v>5555.2282969775524</c:v>
                      </c:pt>
                      <c:pt idx="749">
                        <c:v>11076.589038533652</c:v>
                      </c:pt>
                      <c:pt idx="750">
                        <c:v>15545.951915476087</c:v>
                      </c:pt>
                      <c:pt idx="751">
                        <c:v>18990.504052186785</c:v>
                      </c:pt>
                      <c:pt idx="752">
                        <c:v>21416.367736523451</c:v>
                      </c:pt>
                      <c:pt idx="753">
                        <c:v>22802.186144735795</c:v>
                      </c:pt>
                      <c:pt idx="754">
                        <c:v>23099.303414334972</c:v>
                      </c:pt>
                      <c:pt idx="755">
                        <c:v>22234.707664269561</c:v>
                      </c:pt>
                      <c:pt idx="756">
                        <c:v>20121.606480898088</c:v>
                      </c:pt>
                      <c:pt idx="757">
                        <c:v>16691.728146073878</c:v>
                      </c:pt>
                      <c:pt idx="758">
                        <c:v>11973.351154524193</c:v>
                      </c:pt>
                      <c:pt idx="759">
                        <c:v>6213.1998454421437</c:v>
                      </c:pt>
                      <c:pt idx="760">
                        <c:v>-91.296840816937561</c:v>
                      </c:pt>
                      <c:pt idx="761">
                        <c:v>-6416.0874485175609</c:v>
                      </c:pt>
                      <c:pt idx="762">
                        <c:v>-12461.674169882099</c:v>
                      </c:pt>
                      <c:pt idx="763">
                        <c:v>-18141.090082576782</c:v>
                      </c:pt>
                      <c:pt idx="764">
                        <c:v>-23318.431207131347</c:v>
                      </c:pt>
                      <c:pt idx="765">
                        <c:v>-26900.625795746451</c:v>
                      </c:pt>
                      <c:pt idx="766">
                        <c:v>-26794.48487610152</c:v>
                      </c:pt>
                      <c:pt idx="767">
                        <c:v>-24636.554373662977</c:v>
                      </c:pt>
                      <c:pt idx="768">
                        <c:v>-21501.834576595626</c:v>
                      </c:pt>
                      <c:pt idx="769">
                        <c:v>-17803.21584193311</c:v>
                      </c:pt>
                      <c:pt idx="770">
                        <c:v>-13727.11087665093</c:v>
                      </c:pt>
                      <c:pt idx="771">
                        <c:v>-9368.9753810984203</c:v>
                      </c:pt>
                      <c:pt idx="772">
                        <c:v>-4771.5114784685147</c:v>
                      </c:pt>
                      <c:pt idx="773">
                        <c:v>76.812290756662435</c:v>
                      </c:pt>
                      <c:pt idx="774">
                        <c:v>5279.8817732627685</c:v>
                      </c:pt>
                      <c:pt idx="775">
                        <c:v>11144.77317699832</c:v>
                      </c:pt>
                      <c:pt idx="776">
                        <c:v>18474.265256624727</c:v>
                      </c:pt>
                      <c:pt idx="777">
                        <c:v>26814.22496755511</c:v>
                      </c:pt>
                      <c:pt idx="778">
                        <c:v>32486.467685800821</c:v>
                      </c:pt>
                      <c:pt idx="779">
                        <c:v>36637.939111533517</c:v>
                      </c:pt>
                      <c:pt idx="780">
                        <c:v>39721.410398601896</c:v>
                      </c:pt>
                      <c:pt idx="781">
                        <c:v>41941.56472043386</c:v>
                      </c:pt>
                      <c:pt idx="782">
                        <c:v>43408.629121908394</c:v>
                      </c:pt>
                      <c:pt idx="783">
                        <c:v>44189.21019785307</c:v>
                      </c:pt>
                      <c:pt idx="784">
                        <c:v>44326.116916360246</c:v>
                      </c:pt>
                      <c:pt idx="785">
                        <c:v>43847.010010101716</c:v>
                      </c:pt>
                      <c:pt idx="786">
                        <c:v>42768.360219719631</c:v>
                      </c:pt>
                      <c:pt idx="787">
                        <c:v>41097.112553217463</c:v>
                      </c:pt>
                      <c:pt idx="788">
                        <c:v>38830.975646235551</c:v>
                      </c:pt>
                      <c:pt idx="789">
                        <c:v>35957.612279177847</c:v>
                      </c:pt>
                      <c:pt idx="790">
                        <c:v>32452.628298806147</c:v>
                      </c:pt>
                      <c:pt idx="791">
                        <c:v>28275.904589672144</c:v>
                      </c:pt>
                      <c:pt idx="792">
                        <c:v>23365.35030878376</c:v>
                      </c:pt>
                      <c:pt idx="793">
                        <c:v>17626.581639706044</c:v>
                      </c:pt>
                      <c:pt idx="794">
                        <c:v>10917.614735992183</c:v>
                      </c:pt>
                      <c:pt idx="795">
                        <c:v>3041.956845244546</c:v>
                      </c:pt>
                      <c:pt idx="796">
                        <c:v>-6085.2402094277222</c:v>
                      </c:pt>
                      <c:pt idx="797">
                        <c:v>-14733.679600664365</c:v>
                      </c:pt>
                      <c:pt idx="798">
                        <c:v>-19574.769507827983</c:v>
                      </c:pt>
                      <c:pt idx="799">
                        <c:v>-22128.460564773592</c:v>
                      </c:pt>
                      <c:pt idx="800">
                        <c:v>-23370.019753737946</c:v>
                      </c:pt>
                      <c:pt idx="801">
                        <c:v>-23679.639553125045</c:v>
                      </c:pt>
                      <c:pt idx="802">
                        <c:v>-23153.246566617498</c:v>
                      </c:pt>
                      <c:pt idx="803">
                        <c:v>-21638.604937776065</c:v>
                      </c:pt>
                      <c:pt idx="804">
                        <c:v>-18497.738432650509</c:v>
                      </c:pt>
                      <c:pt idx="805">
                        <c:v>-15324.962672648344</c:v>
                      </c:pt>
                      <c:pt idx="806">
                        <c:v>-11938.751165928612</c:v>
                      </c:pt>
                      <c:pt idx="807">
                        <c:v>-8292.714632681982</c:v>
                      </c:pt>
                      <c:pt idx="808">
                        <c:v>-4421.4274638241222</c:v>
                      </c:pt>
                      <c:pt idx="809">
                        <c:v>-381.22215508912609</c:v>
                      </c:pt>
                      <c:pt idx="810">
                        <c:v>3769.6818014399219</c:v>
                      </c:pt>
                      <c:pt idx="811">
                        <c:v>7977.3039997441965</c:v>
                      </c:pt>
                      <c:pt idx="812">
                        <c:v>12193.018858839716</c:v>
                      </c:pt>
                      <c:pt idx="813">
                        <c:v>16372.862984093726</c:v>
                      </c:pt>
                      <c:pt idx="814">
                        <c:v>20476.248108220367</c:v>
                      </c:pt>
                      <c:pt idx="815">
                        <c:v>24464.515606731962</c:v>
                      </c:pt>
                      <c:pt idx="816">
                        <c:v>28299.449789114064</c:v>
                      </c:pt>
                      <c:pt idx="817">
                        <c:v>31941.728329672256</c:v>
                      </c:pt>
                      <c:pt idx="818">
                        <c:v>35349.215532067596</c:v>
                      </c:pt>
                      <c:pt idx="819">
                        <c:v>38474.946434919708</c:v>
                      </c:pt>
                      <c:pt idx="820">
                        <c:v>41264.578735094721</c:v>
                      </c:pt>
                      <c:pt idx="821">
                        <c:v>43652.982727544033</c:v>
                      </c:pt>
                      <c:pt idx="822">
                        <c:v>45559.474346549323</c:v>
                      </c:pt>
                      <c:pt idx="823">
                        <c:v>46880.958990523126</c:v>
                      </c:pt>
                      <c:pt idx="824">
                        <c:v>47481.999951964572</c:v>
                      </c:pt>
                      <c:pt idx="825">
                        <c:v>47180.949828519086</c:v>
                      </c:pt>
                      <c:pt idx="826">
                        <c:v>45733.575007317202</c:v>
                      </c:pt>
                      <c:pt idx="827">
                        <c:v>42826.758087096394</c:v>
                      </c:pt>
                      <c:pt idx="828">
                        <c:v>38132.494756364875</c:v>
                      </c:pt>
                      <c:pt idx="829">
                        <c:v>31530.397289626908</c:v>
                      </c:pt>
                      <c:pt idx="830">
                        <c:v>23425.463893081509</c:v>
                      </c:pt>
                      <c:pt idx="831">
                        <c:v>14534.499245494506</c:v>
                      </c:pt>
                      <c:pt idx="832">
                        <c:v>5291.2901668119275</c:v>
                      </c:pt>
                      <c:pt idx="833">
                        <c:v>-4143.1792084021999</c:v>
                      </c:pt>
                      <c:pt idx="834">
                        <c:v>-13433.77404224402</c:v>
                      </c:pt>
                      <c:pt idx="835">
                        <c:v>-21902.427359889774</c:v>
                      </c:pt>
                      <c:pt idx="836">
                        <c:v>-29081.770734845293</c:v>
                      </c:pt>
                      <c:pt idx="837">
                        <c:v>-34957.728593561005</c:v>
                      </c:pt>
                      <c:pt idx="838">
                        <c:v>-39703.615530597795</c:v>
                      </c:pt>
                      <c:pt idx="839">
                        <c:v>-43503.955367924042</c:v>
                      </c:pt>
                      <c:pt idx="840">
                        <c:v>-46508.946857043004</c:v>
                      </c:pt>
                      <c:pt idx="841">
                        <c:v>-48833.209501475721</c:v>
                      </c:pt>
                      <c:pt idx="842">
                        <c:v>-50563.308558232966</c:v>
                      </c:pt>
                      <c:pt idx="843">
                        <c:v>-51765.006822798947</c:v>
                      </c:pt>
                      <c:pt idx="844">
                        <c:v>-52488.730631137609</c:v>
                      </c:pt>
                      <c:pt idx="845">
                        <c:v>-52773.438065088383</c:v>
                      </c:pt>
                      <c:pt idx="846">
                        <c:v>-52649.313409364848</c:v>
                      </c:pt>
                      <c:pt idx="847">
                        <c:v>-52139.639431598378</c:v>
                      </c:pt>
                      <c:pt idx="848">
                        <c:v>-51262.093844649564</c:v>
                      </c:pt>
                      <c:pt idx="849">
                        <c:v>-50029.632662244177</c:v>
                      </c:pt>
                      <c:pt idx="850">
                        <c:v>-48451.063727332235</c:v>
                      </c:pt>
                      <c:pt idx="851">
                        <c:v>-46531.371535889426</c:v>
                      </c:pt>
                      <c:pt idx="852">
                        <c:v>-44271.822499828872</c:v>
                      </c:pt>
                      <c:pt idx="853">
                        <c:v>-41669.852062945538</c:v>
                      </c:pt>
                      <c:pt idx="854">
                        <c:v>-38718.70632947269</c:v>
                      </c:pt>
                      <c:pt idx="855">
                        <c:v>-35406.775872122715</c:v>
                      </c:pt>
                      <c:pt idx="856">
                        <c:v>-31716.513958280957</c:v>
                      </c:pt>
                      <c:pt idx="857">
                        <c:v>-27622.781547025694</c:v>
                      </c:pt>
                      <c:pt idx="858">
                        <c:v>-23090.47466506315</c:v>
                      </c:pt>
                      <c:pt idx="859">
                        <c:v>-18071.78238620863</c:v>
                      </c:pt>
                      <c:pt idx="860">
                        <c:v>-12506.966497438443</c:v>
                      </c:pt>
                      <c:pt idx="861">
                        <c:v>-6357.8507984354701</c:v>
                      </c:pt>
                      <c:pt idx="862">
                        <c:v>76.69707757891166</c:v>
                      </c:pt>
                      <c:pt idx="863">
                        <c:v>3956.5389760756257</c:v>
                      </c:pt>
                      <c:pt idx="864">
                        <c:v>5036.5654428450871</c:v>
                      </c:pt>
                      <c:pt idx="865">
                        <c:v>5257.2204806427344</c:v>
                      </c:pt>
                      <c:pt idx="866">
                        <c:v>5306.3915767663293</c:v>
                      </c:pt>
                      <c:pt idx="867">
                        <c:v>5757.9787575976688</c:v>
                      </c:pt>
                      <c:pt idx="868">
                        <c:v>7802.4784131952065</c:v>
                      </c:pt>
                      <c:pt idx="869">
                        <c:v>11974.097644591162</c:v>
                      </c:pt>
                      <c:pt idx="870">
                        <c:v>16769.312501471846</c:v>
                      </c:pt>
                      <c:pt idx="871">
                        <c:v>21495.934037776333</c:v>
                      </c:pt>
                      <c:pt idx="872">
                        <c:v>25971.016376100182</c:v>
                      </c:pt>
                      <c:pt idx="873">
                        <c:v>30154.18406899376</c:v>
                      </c:pt>
                      <c:pt idx="874">
                        <c:v>34044.236978124565</c:v>
                      </c:pt>
                      <c:pt idx="875">
                        <c:v>37650.372654897219</c:v>
                      </c:pt>
                      <c:pt idx="876">
                        <c:v>40983.4882785718</c:v>
                      </c:pt>
                      <c:pt idx="877">
                        <c:v>44053.44548833384</c:v>
                      </c:pt>
                      <c:pt idx="878">
                        <c:v>46868.259777600426</c:v>
                      </c:pt>
                      <c:pt idx="879">
                        <c:v>49433.931890133288</c:v>
                      </c:pt>
                      <c:pt idx="880">
                        <c:v>51754.479541237401</c:v>
                      </c:pt>
                      <c:pt idx="881">
                        <c:v>53832.00852150008</c:v>
                      </c:pt>
                      <c:pt idx="882">
                        <c:v>55666.761870339782</c:v>
                      </c:pt>
                      <c:pt idx="883">
                        <c:v>57257.121728401959</c:v>
                      </c:pt>
                      <c:pt idx="884">
                        <c:v>58599.550148994924</c:v>
                      </c:pt>
                      <c:pt idx="885">
                        <c:v>59688.456526688948</c:v>
                      </c:pt>
                      <c:pt idx="886">
                        <c:v>60515.975182511043</c:v>
                      </c:pt>
                      <c:pt idx="887">
                        <c:v>61071.628036163624</c:v>
                      </c:pt>
                      <c:pt idx="888">
                        <c:v>61341.833043386687</c:v>
                      </c:pt>
                      <c:pt idx="889">
                        <c:v>61309.195882091459</c:v>
                      </c:pt>
                      <c:pt idx="890">
                        <c:v>60951.483549480276</c:v>
                      </c:pt>
                      <c:pt idx="891">
                        <c:v>60240.110824625328</c:v>
                      </c:pt>
                      <c:pt idx="892">
                        <c:v>59137.846681606738</c:v>
                      </c:pt>
                      <c:pt idx="893">
                        <c:v>57595.208438899863</c:v>
                      </c:pt>
                      <c:pt idx="894">
                        <c:v>55544.519153261419</c:v>
                      </c:pt>
                      <c:pt idx="895">
                        <c:v>52889.514201607024</c:v>
                      </c:pt>
                      <c:pt idx="896">
                        <c:v>49485.759150319042</c:v>
                      </c:pt>
                      <c:pt idx="897">
                        <c:v>45100.222885112962</c:v>
                      </c:pt>
                      <c:pt idx="898">
                        <c:v>39318.971726432108</c:v>
                      </c:pt>
                      <c:pt idx="899">
                        <c:v>31331.403956519069</c:v>
                      </c:pt>
                      <c:pt idx="900">
                        <c:v>19920.812138880625</c:v>
                      </c:pt>
                      <c:pt idx="901">
                        <c:v>8072.0705417299605</c:v>
                      </c:pt>
                      <c:pt idx="902">
                        <c:v>-2640.2503763841401</c:v>
                      </c:pt>
                      <c:pt idx="903">
                        <c:v>-13052.162775446872</c:v>
                      </c:pt>
                      <c:pt idx="904">
                        <c:v>-23650.494267514834</c:v>
                      </c:pt>
                      <c:pt idx="905">
                        <c:v>-32740.826815369608</c:v>
                      </c:pt>
                      <c:pt idx="906">
                        <c:v>-39712.641080796093</c:v>
                      </c:pt>
                      <c:pt idx="907">
                        <c:v>-45179.699849068005</c:v>
                      </c:pt>
                      <c:pt idx="908">
                        <c:v>-49567.560229048337</c:v>
                      </c:pt>
                      <c:pt idx="909">
                        <c:v>-53125.149014083196</c:v>
                      </c:pt>
                      <c:pt idx="910">
                        <c:v>-56006.506260886992</c:v>
                      </c:pt>
                      <c:pt idx="911">
                        <c:v>-58313.458897323559</c:v>
                      </c:pt>
                      <c:pt idx="912">
                        <c:v>-60116.919819894334</c:v>
                      </c:pt>
                      <c:pt idx="913">
                        <c:v>-61468.177335929904</c:v>
                      </c:pt>
                      <c:pt idx="914">
                        <c:v>-62405.29068336069</c:v>
                      </c:pt>
                      <c:pt idx="915">
                        <c:v>-62956.92521860516</c:v>
                      </c:pt>
                      <c:pt idx="916">
                        <c:v>-63144.756822170217</c:v>
                      </c:pt>
                      <c:pt idx="917">
                        <c:v>-62985.02673753284</c:v>
                      </c:pt>
                      <c:pt idx="918">
                        <c:v>-62489.562007581</c:v>
                      </c:pt>
                      <c:pt idx="919">
                        <c:v>-61666.439145931625</c:v>
                      </c:pt>
                      <c:pt idx="920">
                        <c:v>-60520.39286852529</c:v>
                      </c:pt>
                      <c:pt idx="921">
                        <c:v>-59053.026716124106</c:v>
                      </c:pt>
                      <c:pt idx="922">
                        <c:v>-57262.852898481091</c:v>
                      </c:pt>
                      <c:pt idx="923">
                        <c:v>-55145.166372940745</c:v>
                      </c:pt>
                      <c:pt idx="924">
                        <c:v>-52691.737910844735</c:v>
                      </c:pt>
                      <c:pt idx="925">
                        <c:v>-49890.289112254548</c:v>
                      </c:pt>
                      <c:pt idx="926">
                        <c:v>-46723.686948369294</c:v>
                      </c:pt>
                      <c:pt idx="927">
                        <c:v>-43168.7695995541</c:v>
                      </c:pt>
                      <c:pt idx="928">
                        <c:v>-39194.714819348643</c:v>
                      </c:pt>
                      <c:pt idx="929">
                        <c:v>-34761.010617915614</c:v>
                      </c:pt>
                      <c:pt idx="930">
                        <c:v>-29815.955688194997</c:v>
                      </c:pt>
                      <c:pt idx="931">
                        <c:v>-24300.979998752842</c:v>
                      </c:pt>
                      <c:pt idx="932">
                        <c:v>-18188.525357645241</c:v>
                      </c:pt>
                      <c:pt idx="933">
                        <c:v>-11688.956525804795</c:v>
                      </c:pt>
                      <c:pt idx="934">
                        <c:v>-5745.3430147077279</c:v>
                      </c:pt>
                      <c:pt idx="935">
                        <c:v>-267.18838102844006</c:v>
                      </c:pt>
                      <c:pt idx="936">
                        <c:v>5779.5729662989997</c:v>
                      </c:pt>
                      <c:pt idx="937">
                        <c:v>12206.671511594774</c:v>
                      </c:pt>
                      <c:pt idx="938">
                        <c:v>18343.763776969437</c:v>
                      </c:pt>
                      <c:pt idx="939">
                        <c:v>23730.718800451003</c:v>
                      </c:pt>
                      <c:pt idx="940">
                        <c:v>28189.222674413508</c:v>
                      </c:pt>
                      <c:pt idx="941">
                        <c:v>31725.107002149944</c:v>
                      </c:pt>
                      <c:pt idx="942">
                        <c:v>34424.828931692427</c:v>
                      </c:pt>
                      <c:pt idx="943">
                        <c:v>36393.208725972334</c:v>
                      </c:pt>
                      <c:pt idx="944">
                        <c:v>37727.481697904106</c:v>
                      </c:pt>
                      <c:pt idx="945">
                        <c:v>38510.013789618235</c:v>
                      </c:pt>
                      <c:pt idx="946">
                        <c:v>38808.277074274411</c:v>
                      </c:pt>
                      <c:pt idx="947">
                        <c:v>38676.994100567143</c:v>
                      </c:pt>
                      <c:pt idx="948">
                        <c:v>38160.56241044301</c:v>
                      </c:pt>
                      <c:pt idx="949">
                        <c:v>37295.175422690634</c:v>
                      </c:pt>
                      <c:pt idx="950">
                        <c:v>36110.528254197743</c:v>
                      </c:pt>
                      <c:pt idx="951">
                        <c:v>34631.147385824574</c:v>
                      </c:pt>
                      <c:pt idx="952">
                        <c:v>32877.418135579879</c:v>
                      </c:pt>
                      <c:pt idx="953">
                        <c:v>30866.381735770632</c:v>
                      </c:pt>
                      <c:pt idx="954">
                        <c:v>28612.362621641842</c:v>
                      </c:pt>
                      <c:pt idx="955">
                        <c:v>26127.476141712505</c:v>
                      </c:pt>
                      <c:pt idx="956">
                        <c:v>23422.060893956412</c:v>
                      </c:pt>
                      <c:pt idx="957">
                        <c:v>20505.080631504818</c:v>
                      </c:pt>
                      <c:pt idx="958">
                        <c:v>17384.552117257725</c:v>
                      </c:pt>
                      <c:pt idx="959">
                        <c:v>14068.08651587142</c:v>
                      </c:pt>
                      <c:pt idx="960">
                        <c:v>10563.704901517052</c:v>
                      </c:pt>
                      <c:pt idx="961">
                        <c:v>6881.2592647651654</c:v>
                      </c:pt>
                      <c:pt idx="962">
                        <c:v>3035.2123170554987</c:v>
                      </c:pt>
                      <c:pt idx="963">
                        <c:v>-949.33742505400494</c:v>
                      </c:pt>
                      <c:pt idx="964">
                        <c:v>-5022.1087310674566</c:v>
                      </c:pt>
                      <c:pt idx="965">
                        <c:v>-9067.7471603415725</c:v>
                      </c:pt>
                      <c:pt idx="966">
                        <c:v>-12778.981016527736</c:v>
                      </c:pt>
                      <c:pt idx="967">
                        <c:v>-15215.862454210301</c:v>
                      </c:pt>
                      <c:pt idx="968">
                        <c:v>-14224.654488757078</c:v>
                      </c:pt>
                      <c:pt idx="969">
                        <c:v>-10676.022510761108</c:v>
                      </c:pt>
                      <c:pt idx="970">
                        <c:v>-6355.3064871442975</c:v>
                      </c:pt>
                      <c:pt idx="971">
                        <c:v>-1755.3380924695571</c:v>
                      </c:pt>
                      <c:pt idx="972">
                        <c:v>3111.230802229943</c:v>
                      </c:pt>
                      <c:pt idx="973">
                        <c:v>8904.683389299109</c:v>
                      </c:pt>
                      <c:pt idx="974">
                        <c:v>17532.44959984225</c:v>
                      </c:pt>
                      <c:pt idx="975">
                        <c:v>26644.504499278555</c:v>
                      </c:pt>
                      <c:pt idx="976">
                        <c:v>34588.457836647074</c:v>
                      </c:pt>
                      <c:pt idx="977">
                        <c:v>41455.553793874838</c:v>
                      </c:pt>
                      <c:pt idx="978">
                        <c:v>47441.436819218434</c:v>
                      </c:pt>
                      <c:pt idx="979">
                        <c:v>52690.571863979538</c:v>
                      </c:pt>
                      <c:pt idx="980">
                        <c:v>57303.397531053422</c:v>
                      </c:pt>
                      <c:pt idx="981">
                        <c:v>61350.776125363322</c:v>
                      </c:pt>
                      <c:pt idx="982">
                        <c:v>64883.767603660119</c:v>
                      </c:pt>
                      <c:pt idx="983">
                        <c:v>67939.697943026011</c:v>
                      </c:pt>
                      <c:pt idx="984">
                        <c:v>70545.948630026323</c:v>
                      </c:pt>
                      <c:pt idx="985">
                        <c:v>72722.371161886447</c:v>
                      </c:pt>
                      <c:pt idx="986">
                        <c:v>74482.848397929585</c:v>
                      </c:pt>
                      <c:pt idx="987">
                        <c:v>75836.302528757064</c:v>
                      </c:pt>
                      <c:pt idx="988">
                        <c:v>76787.32331522723</c:v>
                      </c:pt>
                      <c:pt idx="989">
                        <c:v>77336.516455202887</c:v>
                      </c:pt>
                      <c:pt idx="990">
                        <c:v>77480.625994559057</c:v>
                      </c:pt>
                      <c:pt idx="991">
                        <c:v>77212.453014186045</c:v>
                      </c:pt>
                      <c:pt idx="992">
                        <c:v>76520.567283471595</c:v>
                      </c:pt>
                      <c:pt idx="993">
                        <c:v>75388.783480737678</c:v>
                      </c:pt>
                      <c:pt idx="994">
                        <c:v>73795.343793472057</c:v>
                      </c:pt>
                      <c:pt idx="995">
                        <c:v>71711.708210987577</c:v>
                      </c:pt>
                      <c:pt idx="996">
                        <c:v>69100.794516181297</c:v>
                      </c:pt>
                      <c:pt idx="997">
                        <c:v>65914.42132240154</c:v>
                      </c:pt>
                      <c:pt idx="998">
                        <c:v>62089.581055909919</c:v>
                      </c:pt>
                      <c:pt idx="999">
                        <c:v>57543.027914478873</c:v>
                      </c:pt>
                      <c:pt idx="1000">
                        <c:v>52163.700803635016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Feuil2!$D$300:$D$1300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459.02291936492315</c:v>
                      </c:pt>
                      <c:pt idx="3">
                        <c:v>1410.7150805173958</c:v>
                      </c:pt>
                      <c:pt idx="4">
                        <c:v>2922.6553180301021</c:v>
                      </c:pt>
                      <c:pt idx="5">
                        <c:v>5096.6070725219888</c:v>
                      </c:pt>
                      <c:pt idx="6">
                        <c:v>8068.4169091557578</c:v>
                      </c:pt>
                      <c:pt idx="7">
                        <c:v>12007.228632738332</c:v>
                      </c:pt>
                      <c:pt idx="8">
                        <c:v>17094.103817012205</c:v>
                      </c:pt>
                      <c:pt idx="9">
                        <c:v>23099.680449054587</c:v>
                      </c:pt>
                      <c:pt idx="10">
                        <c:v>26117.268637125748</c:v>
                      </c:pt>
                      <c:pt idx="11">
                        <c:v>26259.175328144051</c:v>
                      </c:pt>
                      <c:pt idx="12">
                        <c:v>24753.2354965454</c:v>
                      </c:pt>
                      <c:pt idx="13">
                        <c:v>22144.717379249552</c:v>
                      </c:pt>
                      <c:pt idx="14">
                        <c:v>18836.79403767296</c:v>
                      </c:pt>
                      <c:pt idx="15">
                        <c:v>15847.543364559029</c:v>
                      </c:pt>
                      <c:pt idx="16">
                        <c:v>16036.057731265179</c:v>
                      </c:pt>
                      <c:pt idx="17">
                        <c:v>17489.744657370418</c:v>
                      </c:pt>
                      <c:pt idx="18">
                        <c:v>19108.882437530901</c:v>
                      </c:pt>
                      <c:pt idx="19">
                        <c:v>20526.816435753954</c:v>
                      </c:pt>
                      <c:pt idx="20">
                        <c:v>21544.453492582681</c:v>
                      </c:pt>
                      <c:pt idx="21">
                        <c:v>21975.668910246874</c:v>
                      </c:pt>
                      <c:pt idx="22">
                        <c:v>21546.411499887698</c:v>
                      </c:pt>
                      <c:pt idx="23">
                        <c:v>19779.744036034845</c:v>
                      </c:pt>
                      <c:pt idx="24">
                        <c:v>17920.477744519852</c:v>
                      </c:pt>
                      <c:pt idx="25">
                        <c:v>16631.912867023377</c:v>
                      </c:pt>
                      <c:pt idx="26">
                        <c:v>16144.689957838047</c:v>
                      </c:pt>
                      <c:pt idx="27">
                        <c:v>17068.520131127832</c:v>
                      </c:pt>
                      <c:pt idx="28">
                        <c:v>20232.398396676766</c:v>
                      </c:pt>
                      <c:pt idx="29">
                        <c:v>22951.217532144914</c:v>
                      </c:pt>
                      <c:pt idx="30">
                        <c:v>24605.921059293963</c:v>
                      </c:pt>
                      <c:pt idx="31">
                        <c:v>25186.386399239804</c:v>
                      </c:pt>
                      <c:pt idx="32">
                        <c:v>24753.088972779427</c:v>
                      </c:pt>
                      <c:pt idx="33">
                        <c:v>23399.392814939623</c:v>
                      </c:pt>
                      <c:pt idx="34">
                        <c:v>21262.603066345022</c:v>
                      </c:pt>
                      <c:pt idx="35">
                        <c:v>18581.851036650874</c:v>
                      </c:pt>
                      <c:pt idx="36">
                        <c:v>16083.562975688666</c:v>
                      </c:pt>
                      <c:pt idx="37">
                        <c:v>16375.37585907739</c:v>
                      </c:pt>
                      <c:pt idx="38">
                        <c:v>18279.436224886824</c:v>
                      </c:pt>
                      <c:pt idx="39">
                        <c:v>20413.569215224117</c:v>
                      </c:pt>
                      <c:pt idx="40">
                        <c:v>22296.426954407198</c:v>
                      </c:pt>
                      <c:pt idx="41">
                        <c:v>23556.63145471325</c:v>
                      </c:pt>
                      <c:pt idx="42">
                        <c:v>23504.635804299083</c:v>
                      </c:pt>
                      <c:pt idx="43">
                        <c:v>20503.114791004009</c:v>
                      </c:pt>
                      <c:pt idx="44">
                        <c:v>16926.324990982474</c:v>
                      </c:pt>
                      <c:pt idx="45">
                        <c:v>13708.852749640904</c:v>
                      </c:pt>
                      <c:pt idx="46">
                        <c:v>10965.014053227898</c:v>
                      </c:pt>
                      <c:pt idx="47">
                        <c:v>8788.3695273801695</c:v>
                      </c:pt>
                      <c:pt idx="48">
                        <c:v>7310.683763690723</c:v>
                      </c:pt>
                      <c:pt idx="49">
                        <c:v>6708.1273839362466</c:v>
                      </c:pt>
                      <c:pt idx="50">
                        <c:v>7226.1729664799859</c:v>
                      </c:pt>
                      <c:pt idx="51">
                        <c:v>9234.34290320746</c:v>
                      </c:pt>
                      <c:pt idx="52">
                        <c:v>13326.630199583191</c:v>
                      </c:pt>
                      <c:pt idx="53">
                        <c:v>20211.276282200055</c:v>
                      </c:pt>
                      <c:pt idx="54">
                        <c:v>26628.057087696172</c:v>
                      </c:pt>
                      <c:pt idx="55">
                        <c:v>29610.658167728972</c:v>
                      </c:pt>
                      <c:pt idx="56">
                        <c:v>29653.227909637721</c:v>
                      </c:pt>
                      <c:pt idx="57">
                        <c:v>27138.917741833673</c:v>
                      </c:pt>
                      <c:pt idx="58">
                        <c:v>22496.586821125777</c:v>
                      </c:pt>
                      <c:pt idx="59">
                        <c:v>16804.671450415557</c:v>
                      </c:pt>
                      <c:pt idx="60">
                        <c:v>11644.076239818411</c:v>
                      </c:pt>
                      <c:pt idx="61">
                        <c:v>7782.9215716800909</c:v>
                      </c:pt>
                      <c:pt idx="62">
                        <c:v>5255.2941265066493</c:v>
                      </c:pt>
                      <c:pt idx="63">
                        <c:v>3923.8321857605088</c:v>
                      </c:pt>
                      <c:pt idx="64">
                        <c:v>3694.4602568520168</c:v>
                      </c:pt>
                      <c:pt idx="65">
                        <c:v>4572.8750171397651</c:v>
                      </c:pt>
                      <c:pt idx="66">
                        <c:v>6698.762145417536</c:v>
                      </c:pt>
                      <c:pt idx="67">
                        <c:v>10420.076880065339</c:v>
                      </c:pt>
                      <c:pt idx="68">
                        <c:v>16440.487619362473</c:v>
                      </c:pt>
                      <c:pt idx="69">
                        <c:v>24737.436427703338</c:v>
                      </c:pt>
                      <c:pt idx="70">
                        <c:v>29753.84059195804</c:v>
                      </c:pt>
                      <c:pt idx="71">
                        <c:v>31829.155350049015</c:v>
                      </c:pt>
                      <c:pt idx="72">
                        <c:v>31357.242383065422</c:v>
                      </c:pt>
                      <c:pt idx="73">
                        <c:v>28246.890603059925</c:v>
                      </c:pt>
                      <c:pt idx="74">
                        <c:v>21891.87748487719</c:v>
                      </c:pt>
                      <c:pt idx="75">
                        <c:v>13498.296268596529</c:v>
                      </c:pt>
                      <c:pt idx="76">
                        <c:v>7909.1518055358956</c:v>
                      </c:pt>
                      <c:pt idx="77">
                        <c:v>4132.6198158253646</c:v>
                      </c:pt>
                      <c:pt idx="78">
                        <c:v>1530.7208186824014</c:v>
                      </c:pt>
                      <c:pt idx="79">
                        <c:v>-247.43465067857471</c:v>
                      </c:pt>
                      <c:pt idx="80">
                        <c:v>-1424.1521334206882</c:v>
                      </c:pt>
                      <c:pt idx="81">
                        <c:v>-2158.6219060891176</c:v>
                      </c:pt>
                      <c:pt idx="82">
                        <c:v>-2571.7089366545083</c:v>
                      </c:pt>
                      <c:pt idx="83">
                        <c:v>-2748.6064490730491</c:v>
                      </c:pt>
                      <c:pt idx="84">
                        <c:v>-2727.2220147438557</c:v>
                      </c:pt>
                      <c:pt idx="85">
                        <c:v>-2479.6434368532887</c:v>
                      </c:pt>
                      <c:pt idx="86">
                        <c:v>-1894.1975815617811</c:v>
                      </c:pt>
                      <c:pt idx="87">
                        <c:v>-760.97958969629497</c:v>
                      </c:pt>
                      <c:pt idx="88">
                        <c:v>1247.7359282504349</c:v>
                      </c:pt>
                      <c:pt idx="89">
                        <c:v>4631.3016956644515</c:v>
                      </c:pt>
                      <c:pt idx="90">
                        <c:v>10211.651208191844</c:v>
                      </c:pt>
                      <c:pt idx="91">
                        <c:v>19262.890447357953</c:v>
                      </c:pt>
                      <c:pt idx="92">
                        <c:v>28689.466807424025</c:v>
                      </c:pt>
                      <c:pt idx="93">
                        <c:v>34371.277973731325</c:v>
                      </c:pt>
                      <c:pt idx="94">
                        <c:v>37014.214875742698</c:v>
                      </c:pt>
                      <c:pt idx="95">
                        <c:v>37074.106825686831</c:v>
                      </c:pt>
                      <c:pt idx="96">
                        <c:v>34677.823121001762</c:v>
                      </c:pt>
                      <c:pt idx="97">
                        <c:v>29755.80951080555</c:v>
                      </c:pt>
                      <c:pt idx="98">
                        <c:v>22317.499997150549</c:v>
                      </c:pt>
                      <c:pt idx="99">
                        <c:v>13723.627800557888</c:v>
                      </c:pt>
                      <c:pt idx="100">
                        <c:v>7283.178122799326</c:v>
                      </c:pt>
                      <c:pt idx="101">
                        <c:v>3584.9774630661709</c:v>
                      </c:pt>
                      <c:pt idx="102">
                        <c:v>1992.7522107824921</c:v>
                      </c:pt>
                      <c:pt idx="103">
                        <c:v>2047.6058891246555</c:v>
                      </c:pt>
                      <c:pt idx="104">
                        <c:v>3529.2755442687344</c:v>
                      </c:pt>
                      <c:pt idx="105">
                        <c:v>6398.4256466219476</c:v>
                      </c:pt>
                      <c:pt idx="106">
                        <c:v>10798.467850383175</c:v>
                      </c:pt>
                      <c:pt idx="107">
                        <c:v>17116.094192158998</c:v>
                      </c:pt>
                      <c:pt idx="108">
                        <c:v>25109.629852175924</c:v>
                      </c:pt>
                      <c:pt idx="109">
                        <c:v>29363.173343348437</c:v>
                      </c:pt>
                      <c:pt idx="110">
                        <c:v>31107.177838533215</c:v>
                      </c:pt>
                      <c:pt idx="111">
                        <c:v>31076.820324006945</c:v>
                      </c:pt>
                      <c:pt idx="112">
                        <c:v>29580.620497313037</c:v>
                      </c:pt>
                      <c:pt idx="113">
                        <c:v>26779.906511101319</c:v>
                      </c:pt>
                      <c:pt idx="114">
                        <c:v>22829.649924196867</c:v>
                      </c:pt>
                      <c:pt idx="115">
                        <c:v>18071.63900618958</c:v>
                      </c:pt>
                      <c:pt idx="116">
                        <c:v>13491.147613339681</c:v>
                      </c:pt>
                      <c:pt idx="117">
                        <c:v>10825.074365058616</c:v>
                      </c:pt>
                      <c:pt idx="118">
                        <c:v>10611.544577889807</c:v>
                      </c:pt>
                      <c:pt idx="119">
                        <c:v>12259.666554068141</c:v>
                      </c:pt>
                      <c:pt idx="120">
                        <c:v>15221.950103014195</c:v>
                      </c:pt>
                      <c:pt idx="121">
                        <c:v>19083.354277867173</c:v>
                      </c:pt>
                      <c:pt idx="122">
                        <c:v>23061.166160168603</c:v>
                      </c:pt>
                      <c:pt idx="123">
                        <c:v>24320.004907802526</c:v>
                      </c:pt>
                      <c:pt idx="124">
                        <c:v>23300.512795700055</c:v>
                      </c:pt>
                      <c:pt idx="125">
                        <c:v>21270.010846185833</c:v>
                      </c:pt>
                      <c:pt idx="126">
                        <c:v>18734.257916987666</c:v>
                      </c:pt>
                      <c:pt idx="127">
                        <c:v>16056.847211382616</c:v>
                      </c:pt>
                      <c:pt idx="128">
                        <c:v>14019.550426271162</c:v>
                      </c:pt>
                      <c:pt idx="129">
                        <c:v>14939.555238224799</c:v>
                      </c:pt>
                      <c:pt idx="130">
                        <c:v>18333.614773041652</c:v>
                      </c:pt>
                      <c:pt idx="131">
                        <c:v>21969.235189049501</c:v>
                      </c:pt>
                      <c:pt idx="132">
                        <c:v>25105.911353533556</c:v>
                      </c:pt>
                      <c:pt idx="133">
                        <c:v>27338.638128399969</c:v>
                      </c:pt>
                      <c:pt idx="134">
                        <c:v>28165.41471507254</c:v>
                      </c:pt>
                      <c:pt idx="135">
                        <c:v>26577.296720295319</c:v>
                      </c:pt>
                      <c:pt idx="136">
                        <c:v>20813.409070668738</c:v>
                      </c:pt>
                      <c:pt idx="137">
                        <c:v>14308.148755989376</c:v>
                      </c:pt>
                      <c:pt idx="138">
                        <c:v>8774.966186847385</c:v>
                      </c:pt>
                      <c:pt idx="139">
                        <c:v>4183.2865390485731</c:v>
                      </c:pt>
                      <c:pt idx="140">
                        <c:v>314.71971401015674</c:v>
                      </c:pt>
                      <c:pt idx="141">
                        <c:v>-3078.0509791404288</c:v>
                      </c:pt>
                      <c:pt idx="142">
                        <c:v>-6256.4905122665932</c:v>
                      </c:pt>
                      <c:pt idx="143">
                        <c:v>-9506.2392248494816</c:v>
                      </c:pt>
                      <c:pt idx="144">
                        <c:v>-13166.225852266898</c:v>
                      </c:pt>
                      <c:pt idx="145">
                        <c:v>-17690.872558054121</c:v>
                      </c:pt>
                      <c:pt idx="146">
                        <c:v>-23791.023199787731</c:v>
                      </c:pt>
                      <c:pt idx="147">
                        <c:v>-32701.875037991551</c:v>
                      </c:pt>
                      <c:pt idx="148">
                        <c:v>-43305.75633967304</c:v>
                      </c:pt>
                      <c:pt idx="149">
                        <c:v>-49626.575408024743</c:v>
                      </c:pt>
                      <c:pt idx="150">
                        <c:v>-52974.912908806116</c:v>
                      </c:pt>
                      <c:pt idx="151">
                        <c:v>-54008.146588328687</c:v>
                      </c:pt>
                      <c:pt idx="152">
                        <c:v>-52934.639800904333</c:v>
                      </c:pt>
                      <c:pt idx="153">
                        <c:v>-49668.899068689461</c:v>
                      </c:pt>
                      <c:pt idx="154">
                        <c:v>-43785.240010768779</c:v>
                      </c:pt>
                      <c:pt idx="155">
                        <c:v>-34427.525543142794</c:v>
                      </c:pt>
                      <c:pt idx="156">
                        <c:v>-25190.657179893602</c:v>
                      </c:pt>
                      <c:pt idx="157">
                        <c:v>-19003.226175315995</c:v>
                      </c:pt>
                      <c:pt idx="158">
                        <c:v>-14316.2082911665</c:v>
                      </c:pt>
                      <c:pt idx="159">
                        <c:v>-10344.837363210516</c:v>
                      </c:pt>
                      <c:pt idx="160">
                        <c:v>-6637.2079209132289</c:v>
                      </c:pt>
                      <c:pt idx="161">
                        <c:v>-2857.1739248303029</c:v>
                      </c:pt>
                      <c:pt idx="162">
                        <c:v>1323.6494242923927</c:v>
                      </c:pt>
                      <c:pt idx="163">
                        <c:v>6325.9572191491716</c:v>
                      </c:pt>
                      <c:pt idx="164">
                        <c:v>12831.358766293346</c:v>
                      </c:pt>
                      <c:pt idx="165">
                        <c:v>21810.557700138652</c:v>
                      </c:pt>
                      <c:pt idx="166">
                        <c:v>29138.218957929934</c:v>
                      </c:pt>
                      <c:pt idx="167">
                        <c:v>33499.426046588393</c:v>
                      </c:pt>
                      <c:pt idx="168">
                        <c:v>35610.520608143939</c:v>
                      </c:pt>
                      <c:pt idx="169">
                        <c:v>35788.321235762953</c:v>
                      </c:pt>
                      <c:pt idx="170">
                        <c:v>34062.978790053057</c:v>
                      </c:pt>
                      <c:pt idx="171">
                        <c:v>30183.797634837349</c:v>
                      </c:pt>
                      <c:pt idx="172">
                        <c:v>23430.322354358676</c:v>
                      </c:pt>
                      <c:pt idx="173">
                        <c:v>13707.289431034425</c:v>
                      </c:pt>
                      <c:pt idx="174">
                        <c:v>6685.1140460306815</c:v>
                      </c:pt>
                      <c:pt idx="175">
                        <c:v>1204.7816340869754</c:v>
                      </c:pt>
                      <c:pt idx="176">
                        <c:v>-3500.2078628911777</c:v>
                      </c:pt>
                      <c:pt idx="177">
                        <c:v>-7913.7329756881354</c:v>
                      </c:pt>
                      <c:pt idx="178">
                        <c:v>-12460.891586218309</c:v>
                      </c:pt>
                      <c:pt idx="179">
                        <c:v>-17659.517567793177</c:v>
                      </c:pt>
                      <c:pt idx="180">
                        <c:v>-24349.649706885393</c:v>
                      </c:pt>
                      <c:pt idx="181">
                        <c:v>-34062.447270827899</c:v>
                      </c:pt>
                      <c:pt idx="182">
                        <c:v>-44156.619940567631</c:v>
                      </c:pt>
                      <c:pt idx="183">
                        <c:v>-50593.957884321724</c:v>
                      </c:pt>
                      <c:pt idx="184">
                        <c:v>-54316.38717643667</c:v>
                      </c:pt>
                      <c:pt idx="185">
                        <c:v>-55850.615348469866</c:v>
                      </c:pt>
                      <c:pt idx="186">
                        <c:v>-55381.178242113463</c:v>
                      </c:pt>
                      <c:pt idx="187">
                        <c:v>-52852.36712443034</c:v>
                      </c:pt>
                      <c:pt idx="188">
                        <c:v>-47933.19090931688</c:v>
                      </c:pt>
                      <c:pt idx="189">
                        <c:v>-39833.773497229951</c:v>
                      </c:pt>
                      <c:pt idx="190">
                        <c:v>-28248.838716283219</c:v>
                      </c:pt>
                      <c:pt idx="191">
                        <c:v>-20110.751966654228</c:v>
                      </c:pt>
                      <c:pt idx="192">
                        <c:v>-13994.823985271245</c:v>
                      </c:pt>
                      <c:pt idx="193">
                        <c:v>-8714.5124644873486</c:v>
                      </c:pt>
                      <c:pt idx="194">
                        <c:v>-3553.7155443701695</c:v>
                      </c:pt>
                      <c:pt idx="195">
                        <c:v>2052.3480085874912</c:v>
                      </c:pt>
                      <c:pt idx="196">
                        <c:v>8713.1952753505866</c:v>
                      </c:pt>
                      <c:pt idx="197">
                        <c:v>17307.043523187946</c:v>
                      </c:pt>
                      <c:pt idx="198">
                        <c:v>27561.48960684285</c:v>
                      </c:pt>
                      <c:pt idx="199">
                        <c:v>33761.458709296363</c:v>
                      </c:pt>
                      <c:pt idx="200">
                        <c:v>37560.307077420141</c:v>
                      </c:pt>
                      <c:pt idx="201">
                        <c:v>39735.771041994725</c:v>
                      </c:pt>
                      <c:pt idx="202">
                        <c:v>40623.678180354269</c:v>
                      </c:pt>
                      <c:pt idx="203">
                        <c:v>40372.564219108353</c:v>
                      </c:pt>
                      <c:pt idx="204">
                        <c:v>39024.052622511692</c:v>
                      </c:pt>
                      <c:pt idx="205">
                        <c:v>36530.344718693923</c:v>
                      </c:pt>
                      <c:pt idx="206">
                        <c:v>32729.319625489756</c:v>
                      </c:pt>
                      <c:pt idx="207">
                        <c:v>27250.756232211548</c:v>
                      </c:pt>
                      <c:pt idx="208">
                        <c:v>19346.520620250609</c:v>
                      </c:pt>
                      <c:pt idx="209">
                        <c:v>11861.086753350779</c:v>
                      </c:pt>
                      <c:pt idx="210">
                        <c:v>6618.3344957744512</c:v>
                      </c:pt>
                      <c:pt idx="211">
                        <c:v>2380.3935140928415</c:v>
                      </c:pt>
                      <c:pt idx="212">
                        <c:v>-1317.5453861210021</c:v>
                      </c:pt>
                      <c:pt idx="213">
                        <c:v>-4696.6908128266805</c:v>
                      </c:pt>
                      <c:pt idx="214">
                        <c:v>-7931.922574654961</c:v>
                      </c:pt>
                      <c:pt idx="215">
                        <c:v>-11164.988045719645</c:v>
                      </c:pt>
                      <c:pt idx="216">
                        <c:v>-14472.159680390065</c:v>
                      </c:pt>
                      <c:pt idx="217">
                        <c:v>-17870.824311102901</c:v>
                      </c:pt>
                      <c:pt idx="218">
                        <c:v>-21344.420886046191</c:v>
                      </c:pt>
                      <c:pt idx="219">
                        <c:v>-24859.970770271677</c:v>
                      </c:pt>
                      <c:pt idx="220">
                        <c:v>-28374.240635746282</c:v>
                      </c:pt>
                      <c:pt idx="221">
                        <c:v>-31829.821386970398</c:v>
                      </c:pt>
                      <c:pt idx="222">
                        <c:v>-35136.41323969431</c:v>
                      </c:pt>
                      <c:pt idx="223">
                        <c:v>-38110.004661731196</c:v>
                      </c:pt>
                      <c:pt idx="224">
                        <c:v>-40235.781788916545</c:v>
                      </c:pt>
                      <c:pt idx="225">
                        <c:v>-39646.185173968253</c:v>
                      </c:pt>
                      <c:pt idx="226">
                        <c:v>-35834.727900106889</c:v>
                      </c:pt>
                      <c:pt idx="227">
                        <c:v>-31412.836351094116</c:v>
                      </c:pt>
                      <c:pt idx="228">
                        <c:v>-26877.655044267107</c:v>
                      </c:pt>
                      <c:pt idx="229">
                        <c:v>-22270.842595035436</c:v>
                      </c:pt>
                      <c:pt idx="230">
                        <c:v>-17524.390468614682</c:v>
                      </c:pt>
                      <c:pt idx="231">
                        <c:v>-12510.167642560273</c:v>
                      </c:pt>
                      <c:pt idx="232">
                        <c:v>-7023.1460525992097</c:v>
                      </c:pt>
                      <c:pt idx="233">
                        <c:v>-718.77296062668461</c:v>
                      </c:pt>
                      <c:pt idx="234">
                        <c:v>7043.1665696586833</c:v>
                      </c:pt>
                      <c:pt idx="235">
                        <c:v>17542.217270356534</c:v>
                      </c:pt>
                      <c:pt idx="236">
                        <c:v>29708.477107625207</c:v>
                      </c:pt>
                      <c:pt idx="237">
                        <c:v>38073.807611422038</c:v>
                      </c:pt>
                      <c:pt idx="238">
                        <c:v>44023.115352542707</c:v>
                      </c:pt>
                      <c:pt idx="239">
                        <c:v>48280.893241632883</c:v>
                      </c:pt>
                      <c:pt idx="240">
                        <c:v>51198.208040118901</c:v>
                      </c:pt>
                      <c:pt idx="241">
                        <c:v>52959.569094256287</c:v>
                      </c:pt>
                      <c:pt idx="242">
                        <c:v>53660.305848090007</c:v>
                      </c:pt>
                      <c:pt idx="243">
                        <c:v>53337.048414143028</c:v>
                      </c:pt>
                      <c:pt idx="244">
                        <c:v>51977.585243498455</c:v>
                      </c:pt>
                      <c:pt idx="245">
                        <c:v>49517.054261983525</c:v>
                      </c:pt>
                      <c:pt idx="246">
                        <c:v>45817.532932605252</c:v>
                      </c:pt>
                      <c:pt idx="247">
                        <c:v>40613.816087072337</c:v>
                      </c:pt>
                      <c:pt idx="248">
                        <c:v>33365.442174049829</c:v>
                      </c:pt>
                      <c:pt idx="249">
                        <c:v>22836.218021116449</c:v>
                      </c:pt>
                      <c:pt idx="250">
                        <c:v>9506.1790053908298</c:v>
                      </c:pt>
                      <c:pt idx="251">
                        <c:v>-613.55753290823259</c:v>
                      </c:pt>
                      <c:pt idx="252">
                        <c:v>-9315.4369460863927</c:v>
                      </c:pt>
                      <c:pt idx="253">
                        <c:v>-17476.25450241776</c:v>
                      </c:pt>
                      <c:pt idx="254">
                        <c:v>-25603.933602299494</c:v>
                      </c:pt>
                      <c:pt idx="255">
                        <c:v>-33958.113074167755</c:v>
                      </c:pt>
                      <c:pt idx="256">
                        <c:v>-42062.579507371585</c:v>
                      </c:pt>
                      <c:pt idx="257">
                        <c:v>-47473.230625876917</c:v>
                      </c:pt>
                      <c:pt idx="258">
                        <c:v>-49421.055187187842</c:v>
                      </c:pt>
                      <c:pt idx="259">
                        <c:v>-49275.829337490104</c:v>
                      </c:pt>
                      <c:pt idx="260">
                        <c:v>-47898.37025833167</c:v>
                      </c:pt>
                      <c:pt idx="261">
                        <c:v>-45725.547322833001</c:v>
                      </c:pt>
                      <c:pt idx="262">
                        <c:v>-42996.750719142881</c:v>
                      </c:pt>
                      <c:pt idx="263">
                        <c:v>-39856.830277634057</c:v>
                      </c:pt>
                      <c:pt idx="264">
                        <c:v>-36401.392133971749</c:v>
                      </c:pt>
                      <c:pt idx="265">
                        <c:v>-32698.260850932504</c:v>
                      </c:pt>
                      <c:pt idx="266">
                        <c:v>-28798.388993554738</c:v>
                      </c:pt>
                      <c:pt idx="267">
                        <c:v>-24741.542253159136</c:v>
                      </c:pt>
                      <c:pt idx="268">
                        <c:v>-20558.890039586386</c:v>
                      </c:pt>
                      <c:pt idx="269">
                        <c:v>-16273.063899997396</c:v>
                      </c:pt>
                      <c:pt idx="270">
                        <c:v>-11895.021527102552</c:v>
                      </c:pt>
                      <c:pt idx="271">
                        <c:v>-7415.2366334954831</c:v>
                      </c:pt>
                      <c:pt idx="272">
                        <c:v>-2782.5747022413066</c:v>
                      </c:pt>
                      <c:pt idx="273">
                        <c:v>2147.9605983509286</c:v>
                      </c:pt>
                      <c:pt idx="274">
                        <c:v>7760.2256916089982</c:v>
                      </c:pt>
                      <c:pt idx="275">
                        <c:v>15091.721782537943</c:v>
                      </c:pt>
                      <c:pt idx="276">
                        <c:v>24455.980770889448</c:v>
                      </c:pt>
                      <c:pt idx="277">
                        <c:v>32495.359477380622</c:v>
                      </c:pt>
                      <c:pt idx="278">
                        <c:v>39103.087026172841</c:v>
                      </c:pt>
                      <c:pt idx="279">
                        <c:v>44309.771062426953</c:v>
                      </c:pt>
                      <c:pt idx="280">
                        <c:v>48146.332304239368</c:v>
                      </c:pt>
                      <c:pt idx="281">
                        <c:v>50679.984291662033</c:v>
                      </c:pt>
                      <c:pt idx="282">
                        <c:v>52001.018827649023</c:v>
                      </c:pt>
                      <c:pt idx="283">
                        <c:v>52205.06056386065</c:v>
                      </c:pt>
                      <c:pt idx="284">
                        <c:v>51383.049268852352</c:v>
                      </c:pt>
                      <c:pt idx="285">
                        <c:v>49617.762274564317</c:v>
                      </c:pt>
                      <c:pt idx="286">
                        <c:v>46984.177335037231</c:v>
                      </c:pt>
                      <c:pt idx="287">
                        <c:v>43552.068445148172</c:v>
                      </c:pt>
                      <c:pt idx="288">
                        <c:v>39390.35387220751</c:v>
                      </c:pt>
                      <c:pt idx="289">
                        <c:v>34573.613689097452</c:v>
                      </c:pt>
                      <c:pt idx="290">
                        <c:v>29192.06911489087</c:v>
                      </c:pt>
                      <c:pt idx="291">
                        <c:v>23367.320890026407</c:v>
                      </c:pt>
                      <c:pt idx="292">
                        <c:v>17276.869097571409</c:v>
                      </c:pt>
                      <c:pt idx="293">
                        <c:v>11188.146810771197</c:v>
                      </c:pt>
                      <c:pt idx="294">
                        <c:v>5487.7932789974584</c:v>
                      </c:pt>
                      <c:pt idx="295">
                        <c:v>647.64596985327057</c:v>
                      </c:pt>
                      <c:pt idx="296">
                        <c:v>-2967.5744911009087</c:v>
                      </c:pt>
                      <c:pt idx="297">
                        <c:v>-5381.4376095095595</c:v>
                      </c:pt>
                      <c:pt idx="298">
                        <c:v>-7042.1945639995411</c:v>
                      </c:pt>
                      <c:pt idx="299">
                        <c:v>-8558.11640184319</c:v>
                      </c:pt>
                      <c:pt idx="300">
                        <c:v>-10378.720035966919</c:v>
                      </c:pt>
                      <c:pt idx="301">
                        <c:v>-12590.719263967492</c:v>
                      </c:pt>
                      <c:pt idx="302">
                        <c:v>-15040.214800277663</c:v>
                      </c:pt>
                      <c:pt idx="303">
                        <c:v>-17565.544763602622</c:v>
                      </c:pt>
                      <c:pt idx="304">
                        <c:v>-20065.704674061493</c:v>
                      </c:pt>
                      <c:pt idx="305">
                        <c:v>-22485.332962842214</c:v>
                      </c:pt>
                      <c:pt idx="306">
                        <c:v>-24794.397274661285</c:v>
                      </c:pt>
                      <c:pt idx="307">
                        <c:v>-26975.910283731944</c:v>
                      </c:pt>
                      <c:pt idx="308">
                        <c:v>-29019.423316994416</c:v>
                      </c:pt>
                      <c:pt idx="309">
                        <c:v>-30917.607510367121</c:v>
                      </c:pt>
                      <c:pt idx="310">
                        <c:v>-32664.388773800401</c:v>
                      </c:pt>
                      <c:pt idx="311">
                        <c:v>-34253.856966167084</c:v>
                      </c:pt>
                      <c:pt idx="312">
                        <c:v>-35679.553241104928</c:v>
                      </c:pt>
                      <c:pt idx="313">
                        <c:v>-36933.923430295778</c:v>
                      </c:pt>
                      <c:pt idx="314">
                        <c:v>-38007.809889186261</c:v>
                      </c:pt>
                      <c:pt idx="315">
                        <c:v>-38889.886805316091</c:v>
                      </c:pt>
                      <c:pt idx="316">
                        <c:v>-39565.943248757962</c:v>
                      </c:pt>
                      <c:pt idx="317">
                        <c:v>-40017.885192637135</c:v>
                      </c:pt>
                      <c:pt idx="318">
                        <c:v>-40222.244625896361</c:v>
                      </c:pt>
                      <c:pt idx="319">
                        <c:v>-40147.796347687297</c:v>
                      </c:pt>
                      <c:pt idx="320">
                        <c:v>-39751.437197897991</c:v>
                      </c:pt>
                      <c:pt idx="321">
                        <c:v>-38970.311042807632</c:v>
                      </c:pt>
                      <c:pt idx="322">
                        <c:v>-37704.794609132325</c:v>
                      </c:pt>
                      <c:pt idx="323">
                        <c:v>-35780.056197162048</c:v>
                      </c:pt>
                      <c:pt idx="324">
                        <c:v>-33069.661002828849</c:v>
                      </c:pt>
                      <c:pt idx="325">
                        <c:v>-31079.201839808782</c:v>
                      </c:pt>
                      <c:pt idx="326">
                        <c:v>-29139.907724710334</c:v>
                      </c:pt>
                      <c:pt idx="327">
                        <c:v>-27003.639657007137</c:v>
                      </c:pt>
                      <c:pt idx="328">
                        <c:v>-24572.361295827581</c:v>
                      </c:pt>
                      <c:pt idx="329">
                        <c:v>-21802.078386077403</c:v>
                      </c:pt>
                      <c:pt idx="330">
                        <c:v>-18672.9820690538</c:v>
                      </c:pt>
                      <c:pt idx="331">
                        <c:v>-15177.155117546525</c:v>
                      </c:pt>
                      <c:pt idx="332">
                        <c:v>-11312.555042034506</c:v>
                      </c:pt>
                      <c:pt idx="333">
                        <c:v>-7079.9386847129445</c:v>
                      </c:pt>
                      <c:pt idx="334">
                        <c:v>-2481.6787439327341</c:v>
                      </c:pt>
                      <c:pt idx="335">
                        <c:v>2477.41005921858</c:v>
                      </c:pt>
                      <c:pt idx="336">
                        <c:v>7785.5471880174564</c:v>
                      </c:pt>
                      <c:pt idx="337">
                        <c:v>13409.970032510331</c:v>
                      </c:pt>
                      <c:pt idx="338">
                        <c:v>19253.767318553317</c:v>
                      </c:pt>
                      <c:pt idx="339">
                        <c:v>25011.26502925665</c:v>
                      </c:pt>
                      <c:pt idx="340">
                        <c:v>29679.642895906185</c:v>
                      </c:pt>
                      <c:pt idx="341">
                        <c:v>31018.151266324647</c:v>
                      </c:pt>
                      <c:pt idx="342">
                        <c:v>29179.113802046944</c:v>
                      </c:pt>
                      <c:pt idx="343">
                        <c:v>25762.695744083019</c:v>
                      </c:pt>
                      <c:pt idx="344">
                        <c:v>21285.042709286448</c:v>
                      </c:pt>
                      <c:pt idx="345">
                        <c:v>15932.28498098335</c:v>
                      </c:pt>
                      <c:pt idx="346">
                        <c:v>12754.558045951662</c:v>
                      </c:pt>
                      <c:pt idx="347">
                        <c:v>10325.517283917514</c:v>
                      </c:pt>
                      <c:pt idx="348">
                        <c:v>8207.2419473952759</c:v>
                      </c:pt>
                      <c:pt idx="349">
                        <c:v>6254.1041803205489</c:v>
                      </c:pt>
                      <c:pt idx="350">
                        <c:v>4407.701159694042</c:v>
                      </c:pt>
                      <c:pt idx="351">
                        <c:v>2643.144202811613</c:v>
                      </c:pt>
                      <c:pt idx="352">
                        <c:v>950.99791834074051</c:v>
                      </c:pt>
                      <c:pt idx="353">
                        <c:v>-669.83955169428555</c:v>
                      </c:pt>
                      <c:pt idx="354">
                        <c:v>-2215.1757330861037</c:v>
                      </c:pt>
                      <c:pt idx="355">
                        <c:v>-3676.817950397749</c:v>
                      </c:pt>
                      <c:pt idx="356">
                        <c:v>-5043.0915943430264</c:v>
                      </c:pt>
                      <c:pt idx="357">
                        <c:v>-6299.1914183179033</c:v>
                      </c:pt>
                      <c:pt idx="358">
                        <c:v>-7428.2007424597168</c:v>
                      </c:pt>
                      <c:pt idx="359">
                        <c:v>-8414.6966313677949</c:v>
                      </c:pt>
                      <c:pt idx="360">
                        <c:v>-9255.7235447944859</c:v>
                      </c:pt>
                      <c:pt idx="361">
                        <c:v>-9989.3809354036948</c:v>
                      </c:pt>
                      <c:pt idx="362">
                        <c:v>-10752.561054533222</c:v>
                      </c:pt>
                      <c:pt idx="363">
                        <c:v>-11838.82588089041</c:v>
                      </c:pt>
                      <c:pt idx="364">
                        <c:v>-13604.081744764115</c:v>
                      </c:pt>
                      <c:pt idx="365">
                        <c:v>-16109.093465111837</c:v>
                      </c:pt>
                      <c:pt idx="366">
                        <c:v>-18992.0008536797</c:v>
                      </c:pt>
                      <c:pt idx="367">
                        <c:v>-21856.924026715235</c:v>
                      </c:pt>
                      <c:pt idx="368">
                        <c:v>-24488.857635202497</c:v>
                      </c:pt>
                      <c:pt idx="369">
                        <c:v>-26805.087814298968</c:v>
                      </c:pt>
                      <c:pt idx="370">
                        <c:v>-28783.65606481543</c:v>
                      </c:pt>
                      <c:pt idx="371">
                        <c:v>-30425.710643343053</c:v>
                      </c:pt>
                      <c:pt idx="372">
                        <c:v>-31739.468667441961</c:v>
                      </c:pt>
                      <c:pt idx="373">
                        <c:v>-32733.790643777655</c:v>
                      </c:pt>
                      <c:pt idx="374">
                        <c:v>-33415.677466997971</c:v>
                      </c:pt>
                      <c:pt idx="375">
                        <c:v>-33789.330039532506</c:v>
                      </c:pt>
                      <c:pt idx="376">
                        <c:v>-33855.821703822432</c:v>
                      </c:pt>
                      <c:pt idx="377">
                        <c:v>-33613.019097705255</c:v>
                      </c:pt>
                      <c:pt idx="378">
                        <c:v>-33055.661619293882</c:v>
                      </c:pt>
                      <c:pt idx="379">
                        <c:v>-32175.71063456278</c:v>
                      </c:pt>
                      <c:pt idx="380">
                        <c:v>-30963.379155569208</c:v>
                      </c:pt>
                      <c:pt idx="381">
                        <c:v>-29409.930411467845</c:v>
                      </c:pt>
                      <c:pt idx="382">
                        <c:v>-27515.087416400056</c:v>
                      </c:pt>
                      <c:pt idx="383">
                        <c:v>-25306.635010215348</c:v>
                      </c:pt>
                      <c:pt idx="384">
                        <c:v>-22892.242596806311</c:v>
                      </c:pt>
                      <c:pt idx="385">
                        <c:v>-20587.739684854252</c:v>
                      </c:pt>
                      <c:pt idx="386">
                        <c:v>-19127.708540782533</c:v>
                      </c:pt>
                      <c:pt idx="387">
                        <c:v>-19410.160332838841</c:v>
                      </c:pt>
                      <c:pt idx="388">
                        <c:v>-21258.134524505949</c:v>
                      </c:pt>
                      <c:pt idx="389">
                        <c:v>-23844.900241494444</c:v>
                      </c:pt>
                      <c:pt idx="390">
                        <c:v>-26643.429841069272</c:v>
                      </c:pt>
                      <c:pt idx="391">
                        <c:v>-29409.943616617657</c:v>
                      </c:pt>
                      <c:pt idx="392">
                        <c:v>-32032.9669696479</c:v>
                      </c:pt>
                      <c:pt idx="393">
                        <c:v>-34456.875654366959</c:v>
                      </c:pt>
                      <c:pt idx="394">
                        <c:v>-36649.361541949489</c:v>
                      </c:pt>
                      <c:pt idx="395">
                        <c:v>-38587.099672146011</c:v>
                      </c:pt>
                      <c:pt idx="396">
                        <c:v>-40248.651798809078</c:v>
                      </c:pt>
                      <c:pt idx="397">
                        <c:v>-41610.09994708321</c:v>
                      </c:pt>
                      <c:pt idx="398">
                        <c:v>-42641.25838576402</c:v>
                      </c:pt>
                      <c:pt idx="399">
                        <c:v>-43300.899416640059</c:v>
                      </c:pt>
                      <c:pt idx="400">
                        <c:v>-43528.805826368451</c:v>
                      </c:pt>
                      <c:pt idx="401">
                        <c:v>-43229.667378153295</c:v>
                      </c:pt>
                      <c:pt idx="402">
                        <c:v>-42233.730016222129</c:v>
                      </c:pt>
                      <c:pt idx="403">
                        <c:v>-40175.621977571973</c:v>
                      </c:pt>
                      <c:pt idx="404">
                        <c:v>-36040.321588036633</c:v>
                      </c:pt>
                      <c:pt idx="405">
                        <c:v>-30502.08324566876</c:v>
                      </c:pt>
                      <c:pt idx="406">
                        <c:v>-25642.181829448753</c:v>
                      </c:pt>
                      <c:pt idx="407">
                        <c:v>-21049.573911954183</c:v>
                      </c:pt>
                      <c:pt idx="408">
                        <c:v>-16401.318373659353</c:v>
                      </c:pt>
                      <c:pt idx="409">
                        <c:v>-11439.717698827399</c:v>
                      </c:pt>
                      <c:pt idx="410">
                        <c:v>-5903.5748548985594</c:v>
                      </c:pt>
                      <c:pt idx="411">
                        <c:v>540.72277697516711</c:v>
                      </c:pt>
                      <c:pt idx="412">
                        <c:v>8411.8304458582588</c:v>
                      </c:pt>
                      <c:pt idx="413">
                        <c:v>18556.963749649363</c:v>
                      </c:pt>
                      <c:pt idx="414">
                        <c:v>29490.289839655321</c:v>
                      </c:pt>
                      <c:pt idx="415">
                        <c:v>36372.668998027555</c:v>
                      </c:pt>
                      <c:pt idx="416">
                        <c:v>40881.614634441568</c:v>
                      </c:pt>
                      <c:pt idx="417">
                        <c:v>43768.6266868975</c:v>
                      </c:pt>
                      <c:pt idx="418">
                        <c:v>45344.993558166876</c:v>
                      </c:pt>
                      <c:pt idx="419">
                        <c:v>45743.367690607964</c:v>
                      </c:pt>
                      <c:pt idx="420">
                        <c:v>45003.897416369044</c:v>
                      </c:pt>
                      <c:pt idx="421">
                        <c:v>43099.801052092844</c:v>
                      </c:pt>
                      <c:pt idx="422">
                        <c:v>39933.49479765947</c:v>
                      </c:pt>
                      <c:pt idx="423">
                        <c:v>35307.012434049269</c:v>
                      </c:pt>
                      <c:pt idx="424">
                        <c:v>28869.884261922241</c:v>
                      </c:pt>
                      <c:pt idx="425">
                        <c:v>20257.785440556709</c:v>
                      </c:pt>
                      <c:pt idx="426">
                        <c:v>11271.444891911797</c:v>
                      </c:pt>
                      <c:pt idx="427">
                        <c:v>4344.5709039090198</c:v>
                      </c:pt>
                      <c:pt idx="428">
                        <c:v>-1355.7049166697657</c:v>
                      </c:pt>
                      <c:pt idx="429">
                        <c:v>-6599.5836990951939</c:v>
                      </c:pt>
                      <c:pt idx="430">
                        <c:v>-11958.923299817816</c:v>
                      </c:pt>
                      <c:pt idx="431">
                        <c:v>-17974.646896136808</c:v>
                      </c:pt>
                      <c:pt idx="432">
                        <c:v>-25017.186248808997</c:v>
                      </c:pt>
                      <c:pt idx="433">
                        <c:v>-32767.594683472205</c:v>
                      </c:pt>
                      <c:pt idx="434">
                        <c:v>-40329.173686736533</c:v>
                      </c:pt>
                      <c:pt idx="435">
                        <c:v>-47007.93419378101</c:v>
                      </c:pt>
                      <c:pt idx="436">
                        <c:v>-52491.272038949843</c:v>
                      </c:pt>
                      <c:pt idx="437">
                        <c:v>-56672.070636244382</c:v>
                      </c:pt>
                      <c:pt idx="438">
                        <c:v>-59516.091649463917</c:v>
                      </c:pt>
                      <c:pt idx="439">
                        <c:v>-61000.996503760041</c:v>
                      </c:pt>
                      <c:pt idx="440">
                        <c:v>-61089.962894978067</c:v>
                      </c:pt>
                      <c:pt idx="441">
                        <c:v>-59718.589207248231</c:v>
                      </c:pt>
                      <c:pt idx="442">
                        <c:v>-56787.596100313574</c:v>
                      </c:pt>
                      <c:pt idx="443">
                        <c:v>-52165.229063876788</c:v>
                      </c:pt>
                      <c:pt idx="444">
                        <c:v>-45729.601088925614</c:v>
                      </c:pt>
                      <c:pt idx="445">
                        <c:v>-37568.12594503197</c:v>
                      </c:pt>
                      <c:pt idx="446">
                        <c:v>-28566.38537080813</c:v>
                      </c:pt>
                      <c:pt idx="447">
                        <c:v>-20550.960191284357</c:v>
                      </c:pt>
                      <c:pt idx="448">
                        <c:v>-14192.755562795486</c:v>
                      </c:pt>
                      <c:pt idx="449">
                        <c:v>-8844.3186252344367</c:v>
                      </c:pt>
                      <c:pt idx="450">
                        <c:v>-3711.0720802705882</c:v>
                      </c:pt>
                      <c:pt idx="451">
                        <c:v>1945.2243600993504</c:v>
                      </c:pt>
                      <c:pt idx="452">
                        <c:v>9112.9685582014536</c:v>
                      </c:pt>
                      <c:pt idx="453">
                        <c:v>19550.768347477388</c:v>
                      </c:pt>
                      <c:pt idx="454">
                        <c:v>30069.48743885908</c:v>
                      </c:pt>
                      <c:pt idx="455">
                        <c:v>37845.781491515227</c:v>
                      </c:pt>
                      <c:pt idx="456">
                        <c:v>43567.499107514144</c:v>
                      </c:pt>
                      <c:pt idx="457">
                        <c:v>47698.689708937272</c:v>
                      </c:pt>
                      <c:pt idx="458">
                        <c:v>50491.108595217498</c:v>
                      </c:pt>
                      <c:pt idx="459">
                        <c:v>52081.088023301985</c:v>
                      </c:pt>
                      <c:pt idx="460">
                        <c:v>52535.827363218123</c:v>
                      </c:pt>
                      <c:pt idx="461">
                        <c:v>51874.095138161814</c:v>
                      </c:pt>
                      <c:pt idx="462">
                        <c:v>50074.514886032026</c:v>
                      </c:pt>
                      <c:pt idx="463">
                        <c:v>47077.280618158009</c:v>
                      </c:pt>
                      <c:pt idx="464">
                        <c:v>42783.72631870491</c:v>
                      </c:pt>
                      <c:pt idx="465">
                        <c:v>37064.553972928428</c:v>
                      </c:pt>
                      <c:pt idx="466">
                        <c:v>29817.704523442186</c:v>
                      </c:pt>
                      <c:pt idx="467">
                        <c:v>21206.242212392772</c:v>
                      </c:pt>
                      <c:pt idx="468">
                        <c:v>12106.477634171331</c:v>
                      </c:pt>
                      <c:pt idx="469">
                        <c:v>3522.1469346010413</c:v>
                      </c:pt>
                      <c:pt idx="470">
                        <c:v>-4463.7704612294883</c:v>
                      </c:pt>
                      <c:pt idx="471">
                        <c:v>-12311.621087768775</c:v>
                      </c:pt>
                      <c:pt idx="472">
                        <c:v>-20774.154923205155</c:v>
                      </c:pt>
                      <c:pt idx="473">
                        <c:v>-31062.632951167823</c:v>
                      </c:pt>
                      <c:pt idx="474">
                        <c:v>-43399.507513363416</c:v>
                      </c:pt>
                      <c:pt idx="475">
                        <c:v>-51520.230097722022</c:v>
                      </c:pt>
                      <c:pt idx="476">
                        <c:v>-57051.350956140224</c:v>
                      </c:pt>
                      <c:pt idx="477">
                        <c:v>-60889.784399141805</c:v>
                      </c:pt>
                      <c:pt idx="478">
                        <c:v>-63456.117085427744</c:v>
                      </c:pt>
                      <c:pt idx="479">
                        <c:v>-64973.62961410205</c:v>
                      </c:pt>
                      <c:pt idx="480">
                        <c:v>-65569.192840371907</c:v>
                      </c:pt>
                      <c:pt idx="481">
                        <c:v>-65314.081158996654</c:v>
                      </c:pt>
                      <c:pt idx="482">
                        <c:v>-64241.872702042492</c:v>
                      </c:pt>
                      <c:pt idx="483">
                        <c:v>-62355.68981036394</c:v>
                      </c:pt>
                      <c:pt idx="484">
                        <c:v>-59628.887085891743</c:v>
                      </c:pt>
                      <c:pt idx="485">
                        <c:v>-55999.768123849346</c:v>
                      </c:pt>
                      <c:pt idx="486">
                        <c:v>-51358.478307690501</c:v>
                      </c:pt>
                      <c:pt idx="487">
                        <c:v>-45523.271969384732</c:v>
                      </c:pt>
                      <c:pt idx="488">
                        <c:v>-38229.612123190629</c:v>
                      </c:pt>
                      <c:pt idx="489">
                        <c:v>-29617.372115098464</c:v>
                      </c:pt>
                      <c:pt idx="490">
                        <c:v>-23994.653037776035</c:v>
                      </c:pt>
                      <c:pt idx="491">
                        <c:v>-20433.748939279416</c:v>
                      </c:pt>
                      <c:pt idx="492">
                        <c:v>-17395.217683037063</c:v>
                      </c:pt>
                      <c:pt idx="493">
                        <c:v>-14242.122320930219</c:v>
                      </c:pt>
                      <c:pt idx="494">
                        <c:v>-10653.500281508046</c:v>
                      </c:pt>
                      <c:pt idx="495">
                        <c:v>-6443.862683407292</c:v>
                      </c:pt>
                      <c:pt idx="496">
                        <c:v>-1506.3006264034989</c:v>
                      </c:pt>
                      <c:pt idx="497">
                        <c:v>4201.1960995498448</c:v>
                      </c:pt>
                      <c:pt idx="498">
                        <c:v>10639.199507345054</c:v>
                      </c:pt>
                      <c:pt idx="499">
                        <c:v>17626.095381057898</c:v>
                      </c:pt>
                      <c:pt idx="500">
                        <c:v>24700.694268327199</c:v>
                      </c:pt>
                      <c:pt idx="501">
                        <c:v>30923.590795032891</c:v>
                      </c:pt>
                      <c:pt idx="502">
                        <c:v>34989.089120500292</c:v>
                      </c:pt>
                      <c:pt idx="503">
                        <c:v>36196.128143327929</c:v>
                      </c:pt>
                      <c:pt idx="504">
                        <c:v>34934.933962776864</c:v>
                      </c:pt>
                      <c:pt idx="505">
                        <c:v>31887.862597431475</c:v>
                      </c:pt>
                      <c:pt idx="506">
                        <c:v>27449.605485766097</c:v>
                      </c:pt>
                      <c:pt idx="507">
                        <c:v>21517.383754964212</c:v>
                      </c:pt>
                      <c:pt idx="508">
                        <c:v>14212.429216355809</c:v>
                      </c:pt>
                      <c:pt idx="509">
                        <c:v>8849.3265227785396</c:v>
                      </c:pt>
                      <c:pt idx="510">
                        <c:v>4203.1015948264467</c:v>
                      </c:pt>
                      <c:pt idx="511">
                        <c:v>-117.9967578855647</c:v>
                      </c:pt>
                      <c:pt idx="512">
                        <c:v>-4259.0312231395501</c:v>
                      </c:pt>
                      <c:pt idx="513">
                        <c:v>-8279.9985716000119</c:v>
                      </c:pt>
                      <c:pt idx="514">
                        <c:v>-12204.706799648444</c:v>
                      </c:pt>
                      <c:pt idx="515">
                        <c:v>-16039.223463911238</c:v>
                      </c:pt>
                      <c:pt idx="516">
                        <c:v>-19779.790381185583</c:v>
                      </c:pt>
                      <c:pt idx="517">
                        <c:v>-23416.340443147637</c:v>
                      </c:pt>
                      <c:pt idx="518">
                        <c:v>-26933.843377992172</c:v>
                      </c:pt>
                      <c:pt idx="519">
                        <c:v>-30312.312612604037</c:v>
                      </c:pt>
                      <c:pt idx="520">
                        <c:v>-33525.646555615247</c:v>
                      </c:pt>
                      <c:pt idx="521">
                        <c:v>-36538.960965374012</c:v>
                      </c:pt>
                      <c:pt idx="522">
                        <c:v>-39303.29704396287</c:v>
                      </c:pt>
                      <c:pt idx="523">
                        <c:v>-41744.846480826003</c:v>
                      </c:pt>
                      <c:pt idx="524">
                        <c:v>-43740.971659839175</c:v>
                      </c:pt>
                      <c:pt idx="525">
                        <c:v>-45059.37178911081</c:v>
                      </c:pt>
                      <c:pt idx="526">
                        <c:v>-45176.741848987054</c:v>
                      </c:pt>
                      <c:pt idx="527">
                        <c:v>-42706.893312604319</c:v>
                      </c:pt>
                      <c:pt idx="528">
                        <c:v>-36055.441709925166</c:v>
                      </c:pt>
                      <c:pt idx="529">
                        <c:v>-28693.101165413595</c:v>
                      </c:pt>
                      <c:pt idx="530">
                        <c:v>-21442.611224934506</c:v>
                      </c:pt>
                      <c:pt idx="531">
                        <c:v>-14133.063095421205</c:v>
                      </c:pt>
                      <c:pt idx="532">
                        <c:v>-6424.6483790857201</c:v>
                      </c:pt>
                      <c:pt idx="533">
                        <c:v>2169.903810347846</c:v>
                      </c:pt>
                      <c:pt idx="534">
                        <c:v>12466.037441078168</c:v>
                      </c:pt>
                      <c:pt idx="535">
                        <c:v>25347.95864271907</c:v>
                      </c:pt>
                      <c:pt idx="536">
                        <c:v>34901.131143099417</c:v>
                      </c:pt>
                      <c:pt idx="537">
                        <c:v>41481.510069276694</c:v>
                      </c:pt>
                      <c:pt idx="538">
                        <c:v>46186.515479083384</c:v>
                      </c:pt>
                      <c:pt idx="539">
                        <c:v>49514.133437376375</c:v>
                      </c:pt>
                      <c:pt idx="540">
                        <c:v>51709.668275076037</c:v>
                      </c:pt>
                      <c:pt idx="541">
                        <c:v>52905.41530512421</c:v>
                      </c:pt>
                      <c:pt idx="542">
                        <c:v>53174.715825075327</c:v>
                      </c:pt>
                      <c:pt idx="543">
                        <c:v>52554.500128419924</c:v>
                      </c:pt>
                      <c:pt idx="544">
                        <c:v>51054.500675770993</c:v>
                      </c:pt>
                      <c:pt idx="545">
                        <c:v>48659.526648965999</c:v>
                      </c:pt>
                      <c:pt idx="546">
                        <c:v>45326.807246507728</c:v>
                      </c:pt>
                      <c:pt idx="547">
                        <c:v>40978.565000874099</c:v>
                      </c:pt>
                      <c:pt idx="548">
                        <c:v>35490.80449129131</c:v>
                      </c:pt>
                      <c:pt idx="549">
                        <c:v>28694.913091017806</c:v>
                      </c:pt>
                      <c:pt idx="550">
                        <c:v>20527.616830520667</c:v>
                      </c:pt>
                      <c:pt idx="551">
                        <c:v>11979.939623294324</c:v>
                      </c:pt>
                      <c:pt idx="552">
                        <c:v>5124.1970997810804</c:v>
                      </c:pt>
                      <c:pt idx="553">
                        <c:v>-386.61569283295194</c:v>
                      </c:pt>
                      <c:pt idx="554">
                        <c:v>-5365.7596921099775</c:v>
                      </c:pt>
                      <c:pt idx="555">
                        <c:v>-10359.714845547256</c:v>
                      </c:pt>
                      <c:pt idx="556">
                        <c:v>-15718.779224074715</c:v>
                      </c:pt>
                      <c:pt idx="557">
                        <c:v>-21496.654707930531</c:v>
                      </c:pt>
                      <c:pt idx="558">
                        <c:v>-27423.197318388658</c:v>
                      </c:pt>
                      <c:pt idx="559">
                        <c:v>-33181.074294414902</c:v>
                      </c:pt>
                      <c:pt idx="560">
                        <c:v>-38571.810432611426</c:v>
                      </c:pt>
                      <c:pt idx="561">
                        <c:v>-43499.204083190787</c:v>
                      </c:pt>
                      <c:pt idx="562">
                        <c:v>-47921.42588965052</c:v>
                      </c:pt>
                      <c:pt idx="563">
                        <c:v>-51820.366482735466</c:v>
                      </c:pt>
                      <c:pt idx="564">
                        <c:v>-55185.947362550891</c:v>
                      </c:pt>
                      <c:pt idx="565">
                        <c:v>-58008.24586962485</c:v>
                      </c:pt>
                      <c:pt idx="566">
                        <c:v>-60273.105234219503</c:v>
                      </c:pt>
                      <c:pt idx="567">
                        <c:v>-61958.987174924252</c:v>
                      </c:pt>
                      <c:pt idx="568">
                        <c:v>-63033.778762608374</c:v>
                      </c:pt>
                      <c:pt idx="569">
                        <c:v>-63450.500810491409</c:v>
                      </c:pt>
                      <c:pt idx="570">
                        <c:v>-63140.531667141855</c:v>
                      </c:pt>
                      <c:pt idx="571">
                        <c:v>-62001.800868499005</c:v>
                      </c:pt>
                      <c:pt idx="572">
                        <c:v>-59876.367242159751</c:v>
                      </c:pt>
                      <c:pt idx="573">
                        <c:v>-56503.544340797642</c:v>
                      </c:pt>
                      <c:pt idx="574">
                        <c:v>-51411.219273267612</c:v>
                      </c:pt>
                      <c:pt idx="575">
                        <c:v>-43662.971157261076</c:v>
                      </c:pt>
                      <c:pt idx="576">
                        <c:v>-32119.881880445158</c:v>
                      </c:pt>
                      <c:pt idx="577">
                        <c:v>-21534.851057070413</c:v>
                      </c:pt>
                      <c:pt idx="578">
                        <c:v>-12585.151886027732</c:v>
                      </c:pt>
                      <c:pt idx="579">
                        <c:v>-4297.4655318163504</c:v>
                      </c:pt>
                      <c:pt idx="580">
                        <c:v>4095.8647537049019</c:v>
                      </c:pt>
                      <c:pt idx="581">
                        <c:v>13149.653928974316</c:v>
                      </c:pt>
                      <c:pt idx="582">
                        <c:v>22712.626751938078</c:v>
                      </c:pt>
                      <c:pt idx="583">
                        <c:v>31589.21306992989</c:v>
                      </c:pt>
                      <c:pt idx="584">
                        <c:v>39056.621965718383</c:v>
                      </c:pt>
                      <c:pt idx="585">
                        <c:v>45024.111611468441</c:v>
                      </c:pt>
                      <c:pt idx="586">
                        <c:v>49615.998982869831</c:v>
                      </c:pt>
                      <c:pt idx="587">
                        <c:v>52985.869496864725</c:v>
                      </c:pt>
                      <c:pt idx="588">
                        <c:v>55264.263638734359</c:v>
                      </c:pt>
                      <c:pt idx="589">
                        <c:v>56550.769851693047</c:v>
                      </c:pt>
                      <c:pt idx="590">
                        <c:v>56917.140944914245</c:v>
                      </c:pt>
                      <c:pt idx="591">
                        <c:v>56411.715668255296</c:v>
                      </c:pt>
                      <c:pt idx="592">
                        <c:v>55062.751459711413</c:v>
                      </c:pt>
                      <c:pt idx="593">
                        <c:v>52880.237432179696</c:v>
                      </c:pt>
                      <c:pt idx="594">
                        <c:v>49856.182521159542</c:v>
                      </c:pt>
                      <c:pt idx="595">
                        <c:v>45963.45110679372</c:v>
                      </c:pt>
                      <c:pt idx="596">
                        <c:v>41153.565163081184</c:v>
                      </c:pt>
                      <c:pt idx="597">
                        <c:v>35356.04067466563</c:v>
                      </c:pt>
                      <c:pt idx="598">
                        <c:v>28493.322292715467</c:v>
                      </c:pt>
                      <c:pt idx="599">
                        <c:v>20589.373457340906</c:v>
                      </c:pt>
                      <c:pt idx="600">
                        <c:v>12379.998861111349</c:v>
                      </c:pt>
                      <c:pt idx="601">
                        <c:v>6549.7107391741883</c:v>
                      </c:pt>
                      <c:pt idx="602">
                        <c:v>3361.1386820475859</c:v>
                      </c:pt>
                      <c:pt idx="603">
                        <c:v>1355.3918470658175</c:v>
                      </c:pt>
                      <c:pt idx="604">
                        <c:v>-138.28508679074855</c:v>
                      </c:pt>
                      <c:pt idx="605">
                        <c:v>-1194.8090450515328</c:v>
                      </c:pt>
                      <c:pt idx="606">
                        <c:v>-1705.0076330928414</c:v>
                      </c:pt>
                      <c:pt idx="607">
                        <c:v>-1715.6887081083185</c:v>
                      </c:pt>
                      <c:pt idx="608">
                        <c:v>-1372.4210074593746</c:v>
                      </c:pt>
                      <c:pt idx="609">
                        <c:v>-798.95573888543481</c:v>
                      </c:pt>
                      <c:pt idx="610">
                        <c:v>-76.656265783240372</c:v>
                      </c:pt>
                      <c:pt idx="611">
                        <c:v>743.31698375673352</c:v>
                      </c:pt>
                      <c:pt idx="612">
                        <c:v>1628.103876199149</c:v>
                      </c:pt>
                      <c:pt idx="613">
                        <c:v>2555.7299349134196</c:v>
                      </c:pt>
                      <c:pt idx="614">
                        <c:v>3510.8566681942248</c:v>
                      </c:pt>
                      <c:pt idx="615">
                        <c:v>4482.3652308506043</c:v>
                      </c:pt>
                      <c:pt idx="616">
                        <c:v>5461.9891003127286</c:v>
                      </c:pt>
                      <c:pt idx="617">
                        <c:v>6443.5950597561396</c:v>
                      </c:pt>
                      <c:pt idx="618">
                        <c:v>7422.9517318766793</c:v>
                      </c:pt>
                      <c:pt idx="619">
                        <c:v>8398.0179878642757</c:v>
                      </c:pt>
                      <c:pt idx="620">
                        <c:v>9370.0478730451359</c:v>
                      </c:pt>
                      <c:pt idx="621">
                        <c:v>10346.385471196763</c:v>
                      </c:pt>
                      <c:pt idx="622">
                        <c:v>11347.462422498313</c:v>
                      </c:pt>
                      <c:pt idx="623">
                        <c:v>12426.209505322813</c:v>
                      </c:pt>
                      <c:pt idx="624">
                        <c:v>13733.250480018454</c:v>
                      </c:pt>
                      <c:pt idx="625">
                        <c:v>15810.691291466035</c:v>
                      </c:pt>
                      <c:pt idx="626">
                        <c:v>20519.798827115876</c:v>
                      </c:pt>
                      <c:pt idx="627">
                        <c:v>24746.684259043002</c:v>
                      </c:pt>
                      <c:pt idx="628">
                        <c:v>28054.441277846254</c:v>
                      </c:pt>
                      <c:pt idx="629">
                        <c:v>29281.766772269119</c:v>
                      </c:pt>
                      <c:pt idx="630">
                        <c:v>26425.811233955152</c:v>
                      </c:pt>
                      <c:pt idx="631">
                        <c:v>21911.987556417524</c:v>
                      </c:pt>
                      <c:pt idx="632">
                        <c:v>17060.708942338057</c:v>
                      </c:pt>
                      <c:pt idx="633">
                        <c:v>12218.714774283886</c:v>
                      </c:pt>
                      <c:pt idx="634">
                        <c:v>7490.2086604824408</c:v>
                      </c:pt>
                      <c:pt idx="635">
                        <c:v>2912.5211660806112</c:v>
                      </c:pt>
                      <c:pt idx="636">
                        <c:v>-1498.1784986408729</c:v>
                      </c:pt>
                      <c:pt idx="637">
                        <c:v>-5732.7743202458332</c:v>
                      </c:pt>
                      <c:pt idx="638">
                        <c:v>-9784.2151429925525</c:v>
                      </c:pt>
                      <c:pt idx="639">
                        <c:v>-13645.547186123145</c:v>
                      </c:pt>
                      <c:pt idx="640">
                        <c:v>-17309.043753220045</c:v>
                      </c:pt>
                      <c:pt idx="641">
                        <c:v>-20765.747208676923</c:v>
                      </c:pt>
                      <c:pt idx="642">
                        <c:v>-24005.150909334789</c:v>
                      </c:pt>
                      <c:pt idx="643">
                        <c:v>-27014.895308783074</c:v>
                      </c:pt>
                      <c:pt idx="644">
                        <c:v>-29780.39971500542</c:v>
                      </c:pt>
                      <c:pt idx="645">
                        <c:v>-32284.348917981661</c:v>
                      </c:pt>
                      <c:pt idx="646">
                        <c:v>-34505.904944785485</c:v>
                      </c:pt>
                      <c:pt idx="647">
                        <c:v>-36419.379663759144</c:v>
                      </c:pt>
                      <c:pt idx="648">
                        <c:v>-37991.753160539673</c:v>
                      </c:pt>
                      <c:pt idx="649">
                        <c:v>-39177.427288224288</c:v>
                      </c:pt>
                      <c:pt idx="650">
                        <c:v>-39905.349573422143</c:v>
                      </c:pt>
                      <c:pt idx="651">
                        <c:v>-40040.615316713331</c:v>
                      </c:pt>
                      <c:pt idx="652">
                        <c:v>-39233.461348836143</c:v>
                      </c:pt>
                      <c:pt idx="653">
                        <c:v>-36149.257576397351</c:v>
                      </c:pt>
                      <c:pt idx="654">
                        <c:v>-31935.621687961404</c:v>
                      </c:pt>
                      <c:pt idx="655">
                        <c:v>-27838.629557246779</c:v>
                      </c:pt>
                      <c:pt idx="656">
                        <c:v>-23815.63457987782</c:v>
                      </c:pt>
                      <c:pt idx="657">
                        <c:v>-19792.649342322769</c:v>
                      </c:pt>
                      <c:pt idx="658">
                        <c:v>-15719.886565480987</c:v>
                      </c:pt>
                      <c:pt idx="659">
                        <c:v>-11565.267791087794</c:v>
                      </c:pt>
                      <c:pt idx="660">
                        <c:v>-7307.5634687617157</c:v>
                      </c:pt>
                      <c:pt idx="661">
                        <c:v>-2931.9660906264371</c:v>
                      </c:pt>
                      <c:pt idx="662">
                        <c:v>1572.4959276937579</c:v>
                      </c:pt>
                      <c:pt idx="663">
                        <c:v>6213.7892827623846</c:v>
                      </c:pt>
                      <c:pt idx="664">
                        <c:v>10994.520113055243</c:v>
                      </c:pt>
                      <c:pt idx="665">
                        <c:v>15899.96264701671</c:v>
                      </c:pt>
                      <c:pt idx="666">
                        <c:v>20848.012336674608</c:v>
                      </c:pt>
                      <c:pt idx="667">
                        <c:v>25455.537719834465</c:v>
                      </c:pt>
                      <c:pt idx="668">
                        <c:v>28070.582967020218</c:v>
                      </c:pt>
                      <c:pt idx="669">
                        <c:v>27585.331317069969</c:v>
                      </c:pt>
                      <c:pt idx="670">
                        <c:v>25638.97189289541</c:v>
                      </c:pt>
                      <c:pt idx="671">
                        <c:v>22636.581213554306</c:v>
                      </c:pt>
                      <c:pt idx="672">
                        <c:v>18247.9272945503</c:v>
                      </c:pt>
                      <c:pt idx="673">
                        <c:v>15041.678273904088</c:v>
                      </c:pt>
                      <c:pt idx="674">
                        <c:v>12633.458570452463</c:v>
                      </c:pt>
                      <c:pt idx="675">
                        <c:v>10677.206962092323</c:v>
                      </c:pt>
                      <c:pt idx="676">
                        <c:v>9040.0412140209901</c:v>
                      </c:pt>
                      <c:pt idx="677">
                        <c:v>7666.7530075612449</c:v>
                      </c:pt>
                      <c:pt idx="678">
                        <c:v>6538.0215157273387</c:v>
                      </c:pt>
                      <c:pt idx="679">
                        <c:v>5656.9694108089143</c:v>
                      </c:pt>
                      <c:pt idx="680">
                        <c:v>5046.7264525396395</c:v>
                      </c:pt>
                      <c:pt idx="681">
                        <c:v>4755.5201486359238</c:v>
                      </c:pt>
                      <c:pt idx="682">
                        <c:v>4872.3997751717816</c:v>
                      </c:pt>
                      <c:pt idx="683">
                        <c:v>5566.9183032647861</c:v>
                      </c:pt>
                      <c:pt idx="684">
                        <c:v>7197.1014157362079</c:v>
                      </c:pt>
                      <c:pt idx="685">
                        <c:v>10630.777651588372</c:v>
                      </c:pt>
                      <c:pt idx="686">
                        <c:v>17605.335383977443</c:v>
                      </c:pt>
                      <c:pt idx="687">
                        <c:v>25350.000086053307</c:v>
                      </c:pt>
                      <c:pt idx="688">
                        <c:v>31823.166948622802</c:v>
                      </c:pt>
                      <c:pt idx="689">
                        <c:v>36862.014294645553</c:v>
                      </c:pt>
                      <c:pt idx="690">
                        <c:v>40503.091500816263</c:v>
                      </c:pt>
                      <c:pt idx="691">
                        <c:v>42819.11743070888</c:v>
                      </c:pt>
                      <c:pt idx="692">
                        <c:v>43877.217632553373</c:v>
                      </c:pt>
                      <c:pt idx="693">
                        <c:v>43715.652736345066</c:v>
                      </c:pt>
                      <c:pt idx="694">
                        <c:v>42329.516925417025</c:v>
                      </c:pt>
                      <c:pt idx="695">
                        <c:v>39652.955106618567</c:v>
                      </c:pt>
                      <c:pt idx="696">
                        <c:v>35521.173548301944</c:v>
                      </c:pt>
                      <c:pt idx="697">
                        <c:v>29576.240918237505</c:v>
                      </c:pt>
                      <c:pt idx="698">
                        <c:v>21089.60974866134</c:v>
                      </c:pt>
                      <c:pt idx="699">
                        <c:v>11476.265819855462</c:v>
                      </c:pt>
                      <c:pt idx="700">
                        <c:v>4444.2479979352875</c:v>
                      </c:pt>
                      <c:pt idx="701">
                        <c:v>-1507.4841030948846</c:v>
                      </c:pt>
                      <c:pt idx="702">
                        <c:v>-7118.7254307925368</c:v>
                      </c:pt>
                      <c:pt idx="703">
                        <c:v>-12898.95904065496</c:v>
                      </c:pt>
                      <c:pt idx="704">
                        <c:v>-19327.041731577938</c:v>
                      </c:pt>
                      <c:pt idx="705">
                        <c:v>-26668.670117618716</c:v>
                      </c:pt>
                      <c:pt idx="706">
                        <c:v>-34540.181248444198</c:v>
                      </c:pt>
                      <c:pt idx="707">
                        <c:v>-42034.170555406992</c:v>
                      </c:pt>
                      <c:pt idx="708">
                        <c:v>-48392.185831958595</c:v>
                      </c:pt>
                      <c:pt idx="709">
                        <c:v>-53229.591651325776</c:v>
                      </c:pt>
                      <c:pt idx="710">
                        <c:v>-56396.690340109926</c:v>
                      </c:pt>
                      <c:pt idx="711">
                        <c:v>-57840.057665825741</c:v>
                      </c:pt>
                      <c:pt idx="712">
                        <c:v>-57532.280408098137</c:v>
                      </c:pt>
                      <c:pt idx="713">
                        <c:v>-55446.297923568796</c:v>
                      </c:pt>
                      <c:pt idx="714">
                        <c:v>-51560.033584431694</c:v>
                      </c:pt>
                      <c:pt idx="715">
                        <c:v>-45902.68419864621</c:v>
                      </c:pt>
                      <c:pt idx="716">
                        <c:v>-38690.097934084508</c:v>
                      </c:pt>
                      <c:pt idx="717">
                        <c:v>-30599.444120636839</c:v>
                      </c:pt>
                      <c:pt idx="718">
                        <c:v>-22887.174374415219</c:v>
                      </c:pt>
                      <c:pt idx="719">
                        <c:v>-16534.131448388198</c:v>
                      </c:pt>
                      <c:pt idx="720">
                        <c:v>-11441.002685783573</c:v>
                      </c:pt>
                      <c:pt idx="721">
                        <c:v>-6962.9217646110628</c:v>
                      </c:pt>
                      <c:pt idx="722">
                        <c:v>-2417.870953562604</c:v>
                      </c:pt>
                      <c:pt idx="723">
                        <c:v>2922.1843304774166</c:v>
                      </c:pt>
                      <c:pt idx="724">
                        <c:v>10129.66571790238</c:v>
                      </c:pt>
                      <c:pt idx="725">
                        <c:v>20646.286888349197</c:v>
                      </c:pt>
                      <c:pt idx="726">
                        <c:v>30608.273361109739</c:v>
                      </c:pt>
                      <c:pt idx="727">
                        <c:v>37994.501638973969</c:v>
                      </c:pt>
                      <c:pt idx="728">
                        <c:v>43310.998893402786</c:v>
                      </c:pt>
                      <c:pt idx="729">
                        <c:v>46964.628420175788</c:v>
                      </c:pt>
                      <c:pt idx="730">
                        <c:v>49189.754713305294</c:v>
                      </c:pt>
                      <c:pt idx="731">
                        <c:v>50114.822953829454</c:v>
                      </c:pt>
                      <c:pt idx="732">
                        <c:v>49800.927309720973</c:v>
                      </c:pt>
                      <c:pt idx="733">
                        <c:v>48260.828359275532</c:v>
                      </c:pt>
                      <c:pt idx="734">
                        <c:v>45468.293750743149</c:v>
                      </c:pt>
                      <c:pt idx="735">
                        <c:v>41364.68624450011</c:v>
                      </c:pt>
                      <c:pt idx="736">
                        <c:v>35872.929731966236</c:v>
                      </c:pt>
                      <c:pt idx="737">
                        <c:v>28946.65051148949</c:v>
                      </c:pt>
                      <c:pt idx="738">
                        <c:v>20745.37081766146</c:v>
                      </c:pt>
                      <c:pt idx="739">
                        <c:v>12101.65359572435</c:v>
                      </c:pt>
                      <c:pt idx="740">
                        <c:v>4189.2445419672185</c:v>
                      </c:pt>
                      <c:pt idx="741">
                        <c:v>-2950.8416301917705</c:v>
                      </c:pt>
                      <c:pt idx="742">
                        <c:v>-9820.7775103974654</c:v>
                      </c:pt>
                      <c:pt idx="743">
                        <c:v>-16980.055173148332</c:v>
                      </c:pt>
                      <c:pt idx="744">
                        <c:v>-25004.632038166281</c:v>
                      </c:pt>
                      <c:pt idx="745">
                        <c:v>-34345.27540688654</c:v>
                      </c:pt>
                      <c:pt idx="746">
                        <c:v>-43578.352730361163</c:v>
                      </c:pt>
                      <c:pt idx="747">
                        <c:v>-48917.419663896013</c:v>
                      </c:pt>
                      <c:pt idx="748">
                        <c:v>-51293.440231028384</c:v>
                      </c:pt>
                      <c:pt idx="749">
                        <c:v>-51755.943324314649</c:v>
                      </c:pt>
                      <c:pt idx="750">
                        <c:v>-50860.310509033829</c:v>
                      </c:pt>
                      <c:pt idx="751">
                        <c:v>-48916.485319924526</c:v>
                      </c:pt>
                      <c:pt idx="752">
                        <c:v>-46117.039473147328</c:v>
                      </c:pt>
                      <c:pt idx="753">
                        <c:v>-42596.466424159611</c:v>
                      </c:pt>
                      <c:pt idx="754">
                        <c:v>-38463.415682269493</c:v>
                      </c:pt>
                      <c:pt idx="755">
                        <c:v>-33823.83431394193</c:v>
                      </c:pt>
                      <c:pt idx="756">
                        <c:v>-28803.587905414093</c:v>
                      </c:pt>
                      <c:pt idx="757">
                        <c:v>-23572.658227660486</c:v>
                      </c:pt>
                      <c:pt idx="758">
                        <c:v>-18357.056801351329</c:v>
                      </c:pt>
                      <c:pt idx="759">
                        <c:v>-13391.387720259658</c:v>
                      </c:pt>
                      <c:pt idx="760">
                        <c:v>-8780.9780034991436</c:v>
                      </c:pt>
                      <c:pt idx="761">
                        <c:v>-4404.6739979650556</c:v>
                      </c:pt>
                      <c:pt idx="762">
                        <c:v>38.585255079614512</c:v>
                      </c:pt>
                      <c:pt idx="763">
                        <c:v>5014.9824454126374</c:v>
                      </c:pt>
                      <c:pt idx="764">
                        <c:v>11294.036680667868</c:v>
                      </c:pt>
                      <c:pt idx="765">
                        <c:v>19821.447484015483</c:v>
                      </c:pt>
                      <c:pt idx="766">
                        <c:v>28164.252412426147</c:v>
                      </c:pt>
                      <c:pt idx="767">
                        <c:v>34356.102709124003</c:v>
                      </c:pt>
                      <c:pt idx="768">
                        <c:v>38677.233973760209</c:v>
                      </c:pt>
                      <c:pt idx="769">
                        <c:v>41446.296822940094</c:v>
                      </c:pt>
                      <c:pt idx="770">
                        <c:v>42848.786693946538</c:v>
                      </c:pt>
                      <c:pt idx="771">
                        <c:v>42978.316882188774</c:v>
                      </c:pt>
                      <c:pt idx="772">
                        <c:v>41864.284915332188</c:v>
                      </c:pt>
                      <c:pt idx="773">
                        <c:v>39476.380972978572</c:v>
                      </c:pt>
                      <c:pt idx="774">
                        <c:v>35695.561367003938</c:v>
                      </c:pt>
                      <c:pt idx="775">
                        <c:v>30199.564133055261</c:v>
                      </c:pt>
                      <c:pt idx="776">
                        <c:v>22092.978085828905</c:v>
                      </c:pt>
                      <c:pt idx="777">
                        <c:v>11735.140630854619</c:v>
                      </c:pt>
                      <c:pt idx="778">
                        <c:v>3908.6217332617766</c:v>
                      </c:pt>
                      <c:pt idx="779">
                        <c:v>-2670.5093525720818</c:v>
                      </c:pt>
                      <c:pt idx="780">
                        <c:v>-8523.6549404335929</c:v>
                      </c:pt>
                      <c:pt idx="781">
                        <c:v>-13876.80904864148</c:v>
                      </c:pt>
                      <c:pt idx="782">
                        <c:v>-18839.323430600693</c:v>
                      </c:pt>
                      <c:pt idx="783">
                        <c:v>-23466.223117232959</c:v>
                      </c:pt>
                      <c:pt idx="784">
                        <c:v>-27783.82976374399</c:v>
                      </c:pt>
                      <c:pt idx="785">
                        <c:v>-31801.505273233241</c:v>
                      </c:pt>
                      <c:pt idx="786">
                        <c:v>-35517.253041810065</c:v>
                      </c:pt>
                      <c:pt idx="787">
                        <c:v>-38920.180736121554</c:v>
                      </c:pt>
                      <c:pt idx="788">
                        <c:v>-41991.0363892838</c:v>
                      </c:pt>
                      <c:pt idx="789">
                        <c:v>-44701.177423538473</c:v>
                      </c:pt>
                      <c:pt idx="790">
                        <c:v>-47009.726825175458</c:v>
                      </c:pt>
                      <c:pt idx="791">
                        <c:v>-48857.904426741152</c:v>
                      </c:pt>
                      <c:pt idx="792">
                        <c:v>-50158.011020981707</c:v>
                      </c:pt>
                      <c:pt idx="793">
                        <c:v>-50770.800973175385</c:v>
                      </c:pt>
                      <c:pt idx="794">
                        <c:v>-50454.284742443837</c:v>
                      </c:pt>
                      <c:pt idx="795">
                        <c:v>-48733.339644095999</c:v>
                      </c:pt>
                      <c:pt idx="796">
                        <c:v>-44554.602259655076</c:v>
                      </c:pt>
                      <c:pt idx="797">
                        <c:v>-36316.866917315143</c:v>
                      </c:pt>
                      <c:pt idx="798">
                        <c:v>-27219.628116558375</c:v>
                      </c:pt>
                      <c:pt idx="799">
                        <c:v>-18819.792077871956</c:v>
                      </c:pt>
                      <c:pt idx="800">
                        <c:v>-10890.758250236655</c:v>
                      </c:pt>
                      <c:pt idx="801">
                        <c:v>-3033.4543896456926</c:v>
                      </c:pt>
                      <c:pt idx="802">
                        <c:v>5242.5772724366561</c:v>
                      </c:pt>
                      <c:pt idx="803">
                        <c:v>14804.077134091947</c:v>
                      </c:pt>
                      <c:pt idx="804">
                        <c:v>27164.250714459693</c:v>
                      </c:pt>
                      <c:pt idx="805">
                        <c:v>36154.31066253272</c:v>
                      </c:pt>
                      <c:pt idx="806">
                        <c:v>43346.40444497412</c:v>
                      </c:pt>
                      <c:pt idx="807">
                        <c:v>49298.773279499219</c:v>
                      </c:pt>
                      <c:pt idx="808">
                        <c:v>54235.711567284867</c:v>
                      </c:pt>
                      <c:pt idx="809">
                        <c:v>58276.909506948912</c:v>
                      </c:pt>
                      <c:pt idx="810">
                        <c:v>61500.361266902168</c:v>
                      </c:pt>
                      <c:pt idx="811">
                        <c:v>63963.079611051777</c:v>
                      </c:pt>
                      <c:pt idx="812">
                        <c:v>65709.116675624784</c:v>
                      </c:pt>
                      <c:pt idx="813">
                        <c:v>66773.206786609066</c:v>
                      </c:pt>
                      <c:pt idx="814">
                        <c:v>67182.700086353536</c:v>
                      </c:pt>
                      <c:pt idx="815">
                        <c:v>66958.733067633395</c:v>
                      </c:pt>
                      <c:pt idx="816">
                        <c:v>66117.005720815025</c:v>
                      </c:pt>
                      <c:pt idx="817">
                        <c:v>64668.330223290381</c:v>
                      </c:pt>
                      <c:pt idx="818">
                        <c:v>62619.044473803355</c:v>
                      </c:pt>
                      <c:pt idx="819">
                        <c:v>59971.369832659533</c:v>
                      </c:pt>
                      <c:pt idx="820">
                        <c:v>56723.818777272143</c:v>
                      </c:pt>
                      <c:pt idx="821">
                        <c:v>52871.838799324039</c:v>
                      </c:pt>
                      <c:pt idx="822">
                        <c:v>48409.064942059013</c:v>
                      </c:pt>
                      <c:pt idx="823">
                        <c:v>43329.970274329789</c:v>
                      </c:pt>
                      <c:pt idx="824">
                        <c:v>37635.644825421405</c:v>
                      </c:pt>
                      <c:pt idx="825">
                        <c:v>31346.556830567137</c:v>
                      </c:pt>
                      <c:pt idx="826">
                        <c:v>24530.678654855354</c:v>
                      </c:pt>
                      <c:pt idx="827">
                        <c:v>17362.691514175684</c:v>
                      </c:pt>
                      <c:pt idx="828">
                        <c:v>10226.469194594949</c:v>
                      </c:pt>
                      <c:pt idx="829">
                        <c:v>3780.8454029095537</c:v>
                      </c:pt>
                      <c:pt idx="830">
                        <c:v>-1328.831970402221</c:v>
                      </c:pt>
                      <c:pt idx="831">
                        <c:v>-5067.876031006047</c:v>
                      </c:pt>
                      <c:pt idx="832">
                        <c:v>-7998.5554846070763</c:v>
                      </c:pt>
                      <c:pt idx="833">
                        <c:v>-10853.233780515644</c:v>
                      </c:pt>
                      <c:pt idx="834">
                        <c:v>-14266.613535446026</c:v>
                      </c:pt>
                      <c:pt idx="835">
                        <c:v>-18446.307876935636</c:v>
                      </c:pt>
                      <c:pt idx="836">
                        <c:v>-23100.689127994945</c:v>
                      </c:pt>
                      <c:pt idx="837">
                        <c:v>-27870.286500194812</c:v>
                      </c:pt>
                      <c:pt idx="838">
                        <c:v>-32538.011485178085</c:v>
                      </c:pt>
                      <c:pt idx="839">
                        <c:v>-36998.543853125004</c:v>
                      </c:pt>
                      <c:pt idx="840">
                        <c:v>-41204.6691020859</c:v>
                      </c:pt>
                      <c:pt idx="841">
                        <c:v>-45136.413013035999</c:v>
                      </c:pt>
                      <c:pt idx="842">
                        <c:v>-48786.076652542062</c:v>
                      </c:pt>
                      <c:pt idx="843">
                        <c:v>-52151.138272300042</c:v>
                      </c:pt>
                      <c:pt idx="844">
                        <c:v>-55230.812830476723</c:v>
                      </c:pt>
                      <c:pt idx="845">
                        <c:v>-58024.313188600659</c:v>
                      </c:pt>
                      <c:pt idx="846">
                        <c:v>-60529.90899333499</c:v>
                      </c:pt>
                      <c:pt idx="847">
                        <c:v>-62744.351456514953</c:v>
                      </c:pt>
                      <c:pt idx="848">
                        <c:v>-64662.445056499331</c:v>
                      </c:pt>
                      <c:pt idx="849">
                        <c:v>-66276.642649965434</c:v>
                      </c:pt>
                      <c:pt idx="850">
                        <c:v>-67576.579581724305</c:v>
                      </c:pt>
                      <c:pt idx="851">
                        <c:v>-68548.470286557436</c:v>
                      </c:pt>
                      <c:pt idx="852">
                        <c:v>-69174.275554952575</c:v>
                      </c:pt>
                      <c:pt idx="853">
                        <c:v>-69430.507012242655</c:v>
                      </c:pt>
                      <c:pt idx="854">
                        <c:v>-69286.452152951242</c:v>
                      </c:pt>
                      <c:pt idx="855">
                        <c:v>-68701.441341547834</c:v>
                      </c:pt>
                      <c:pt idx="856">
                        <c:v>-67620.451045284542</c:v>
                      </c:pt>
                      <c:pt idx="857">
                        <c:v>-65966.633073057426</c:v>
                      </c:pt>
                      <c:pt idx="858">
                        <c:v>-63627.712836759332</c:v>
                      </c:pt>
                      <c:pt idx="859">
                        <c:v>-60428.949892907804</c:v>
                      </c:pt>
                      <c:pt idx="860">
                        <c:v>-56073.104084264145</c:v>
                      </c:pt>
                      <c:pt idx="861">
                        <c:v>-49989.841748907522</c:v>
                      </c:pt>
                      <c:pt idx="862">
                        <c:v>-40974.136994157852</c:v>
                      </c:pt>
                      <c:pt idx="863">
                        <c:v>-28555.068967298179</c:v>
                      </c:pt>
                      <c:pt idx="864">
                        <c:v>-17661.550374663329</c:v>
                      </c:pt>
                      <c:pt idx="865">
                        <c:v>-7634.6865005224245</c:v>
                      </c:pt>
                      <c:pt idx="866">
                        <c:v>2498.0204559222707</c:v>
                      </c:pt>
                      <c:pt idx="867">
                        <c:v>13497.080728138973</c:v>
                      </c:pt>
                      <c:pt idx="868">
                        <c:v>25331.197897073569</c:v>
                      </c:pt>
                      <c:pt idx="869">
                        <c:v>35584.355412225304</c:v>
                      </c:pt>
                      <c:pt idx="870">
                        <c:v>43491.786432099696</c:v>
                      </c:pt>
                      <c:pt idx="871">
                        <c:v>49662.898394277989</c:v>
                      </c:pt>
                      <c:pt idx="872">
                        <c:v>54584.617880615158</c:v>
                      </c:pt>
                      <c:pt idx="873">
                        <c:v>58558.145007504201</c:v>
                      </c:pt>
                      <c:pt idx="874">
                        <c:v>61773.989424036328</c:v>
                      </c:pt>
                      <c:pt idx="875">
                        <c:v>64359.041386418518</c:v>
                      </c:pt>
                      <c:pt idx="876">
                        <c:v>66401.876256352989</c:v>
                      </c:pt>
                      <c:pt idx="877">
                        <c:v>67966.684106703411</c:v>
                      </c:pt>
                      <c:pt idx="878">
                        <c:v>69101.327421371694</c:v>
                      </c:pt>
                      <c:pt idx="879">
                        <c:v>69842.235701656813</c:v>
                      </c:pt>
                      <c:pt idx="880">
                        <c:v>70217.507124104275</c:v>
                      </c:pt>
                      <c:pt idx="881">
                        <c:v>70248.942662156871</c:v>
                      </c:pt>
                      <c:pt idx="882">
                        <c:v>69953.414733947589</c:v>
                      </c:pt>
                      <c:pt idx="883">
                        <c:v>69343.802387466814</c:v>
                      </c:pt>
                      <c:pt idx="884">
                        <c:v>68429.631228687169</c:v>
                      </c:pt>
                      <c:pt idx="885">
                        <c:v>67217.501991866447</c:v>
                      </c:pt>
                      <c:pt idx="886">
                        <c:v>65711.358488740938</c:v>
                      </c:pt>
                      <c:pt idx="887">
                        <c:v>63912.624002241544</c:v>
                      </c:pt>
                      <c:pt idx="888">
                        <c:v>61820.219603525948</c:v>
                      </c:pt>
                      <c:pt idx="889">
                        <c:v>59430.465057682035</c:v>
                      </c:pt>
                      <c:pt idx="890">
                        <c:v>56736.850660489414</c:v>
                      </c:pt>
                      <c:pt idx="891">
                        <c:v>53729.654823104473</c:v>
                      </c:pt>
                      <c:pt idx="892">
                        <c:v>50395.366734962961</c:v>
                      </c:pt>
                      <c:pt idx="893">
                        <c:v>46715.858723035512</c:v>
                      </c:pt>
                      <c:pt idx="894">
                        <c:v>42667.256088243936</c:v>
                      </c:pt>
                      <c:pt idx="895">
                        <c:v>38218.550157747079</c:v>
                      </c:pt>
                      <c:pt idx="896">
                        <c:v>33330.535154853176</c:v>
                      </c:pt>
                      <c:pt idx="897">
                        <c:v>27958.284953070852</c:v>
                      </c:pt>
                      <c:pt idx="898">
                        <c:v>22074.597451099464</c:v>
                      </c:pt>
                      <c:pt idx="899">
                        <c:v>15823.582817142631</c:v>
                      </c:pt>
                      <c:pt idx="900">
                        <c:v>10512.848900996611</c:v>
                      </c:pt>
                      <c:pt idx="901">
                        <c:v>8741.8311399780996</c:v>
                      </c:pt>
                      <c:pt idx="902">
                        <c:v>8382.3105460467996</c:v>
                      </c:pt>
                      <c:pt idx="903">
                        <c:v>8661.9229816932402</c:v>
                      </c:pt>
                      <c:pt idx="904">
                        <c:v>10330.391199287871</c:v>
                      </c:pt>
                      <c:pt idx="905">
                        <c:v>14047.066260552199</c:v>
                      </c:pt>
                      <c:pt idx="906">
                        <c:v>18282.916380177852</c:v>
                      </c:pt>
                      <c:pt idx="907">
                        <c:v>22412.387895542874</c:v>
                      </c:pt>
                      <c:pt idx="908">
                        <c:v>26294.285973514823</c:v>
                      </c:pt>
                      <c:pt idx="909">
                        <c:v>29903.3562981697</c:v>
                      </c:pt>
                      <c:pt idx="910">
                        <c:v>33242.557261093221</c:v>
                      </c:pt>
                      <c:pt idx="911">
                        <c:v>36321.131924663743</c:v>
                      </c:pt>
                      <c:pt idx="912">
                        <c:v>39148.523669094189</c:v>
                      </c:pt>
                      <c:pt idx="913">
                        <c:v>41732.63994782931</c:v>
                      </c:pt>
                      <c:pt idx="914">
                        <c:v>44079.419116077996</c:v>
                      </c:pt>
                      <c:pt idx="915">
                        <c:v>46192.788945348293</c:v>
                      </c:pt>
                      <c:pt idx="916">
                        <c:v>48074.718873336911</c:v>
                      </c:pt>
                      <c:pt idx="917">
                        <c:v>49725.262009094266</c:v>
                      </c:pt>
                      <c:pt idx="918">
                        <c:v>51142.547169148369</c:v>
                      </c:pt>
                      <c:pt idx="919">
                        <c:v>52322.701169654581</c:v>
                      </c:pt>
                      <c:pt idx="920">
                        <c:v>53259.684442539256</c:v>
                      </c:pt>
                      <c:pt idx="921">
                        <c:v>53945.017385075596</c:v>
                      </c:pt>
                      <c:pt idx="922">
                        <c:v>54367.362327556715</c:v>
                      </c:pt>
                      <c:pt idx="923">
                        <c:v>54511.90447442919</c:v>
                      </c:pt>
                      <c:pt idx="924">
                        <c:v>54359.438597762659</c:v>
                      </c:pt>
                      <c:pt idx="925">
                        <c:v>53885.00395639996</c:v>
                      </c:pt>
                      <c:pt idx="926">
                        <c:v>53055.791425665979</c:v>
                      </c:pt>
                      <c:pt idx="927">
                        <c:v>51827.816554688252</c:v>
                      </c:pt>
                      <c:pt idx="928">
                        <c:v>50140.377752936976</c:v>
                      </c:pt>
                      <c:pt idx="929">
                        <c:v>47906.278510960779</c:v>
                      </c:pt>
                      <c:pt idx="930">
                        <c:v>44993.383022736271</c:v>
                      </c:pt>
                      <c:pt idx="931">
                        <c:v>41187.483515873253</c:v>
                      </c:pt>
                      <c:pt idx="932">
                        <c:v>36117.539815391603</c:v>
                      </c:pt>
                      <c:pt idx="933">
                        <c:v>29177.538985022202</c:v>
                      </c:pt>
                      <c:pt idx="934">
                        <c:v>20225.389861621603</c:v>
                      </c:pt>
                      <c:pt idx="935">
                        <c:v>10907.324483530698</c:v>
                      </c:pt>
                      <c:pt idx="936">
                        <c:v>2184.1656373222031</c:v>
                      </c:pt>
                      <c:pt idx="937">
                        <c:v>-5656.1008293438499</c:v>
                      </c:pt>
                      <c:pt idx="938">
                        <c:v>-12853.042999724441</c:v>
                      </c:pt>
                      <c:pt idx="939">
                        <c:v>-19677.812735273252</c:v>
                      </c:pt>
                      <c:pt idx="940">
                        <c:v>-26209.050515867697</c:v>
                      </c:pt>
                      <c:pt idx="941">
                        <c:v>-32422.076962603569</c:v>
                      </c:pt>
                      <c:pt idx="942">
                        <c:v>-38278.06720712869</c:v>
                      </c:pt>
                      <c:pt idx="943">
                        <c:v>-43752.143893693974</c:v>
                      </c:pt>
                      <c:pt idx="944">
                        <c:v>-48833.781451053139</c:v>
                      </c:pt>
                      <c:pt idx="945">
                        <c:v>-53521.485566059557</c:v>
                      </c:pt>
                      <c:pt idx="946">
                        <c:v>-57818.254652918069</c:v>
                      </c:pt>
                      <c:pt idx="947">
                        <c:v>-61728.665916336424</c:v>
                      </c:pt>
                      <c:pt idx="948">
                        <c:v>-65257.167413692616</c:v>
                      </c:pt>
                      <c:pt idx="949">
                        <c:v>-68407.09962784352</c:v>
                      </c:pt>
                      <c:pt idx="950">
                        <c:v>-71180.117653654786</c:v>
                      </c:pt>
                      <c:pt idx="951">
                        <c:v>-73575.81194098515</c:v>
                      </c:pt>
                      <c:pt idx="952">
                        <c:v>-75591.404950629425</c:v>
                      </c:pt>
                      <c:pt idx="953">
                        <c:v>-77221.444474954667</c:v>
                      </c:pt>
                      <c:pt idx="954">
                        <c:v>-78457.434127241489</c:v>
                      </c:pt>
                      <c:pt idx="955">
                        <c:v>-79287.344984260781</c:v>
                      </c:pt>
                      <c:pt idx="956">
                        <c:v>-79694.942137101782</c:v>
                      </c:pt>
                      <c:pt idx="957">
                        <c:v>-79658.834073839724</c:v>
                      </c:pt>
                      <c:pt idx="958">
                        <c:v>-79151.104000843945</c:v>
                      </c:pt>
                      <c:pt idx="959">
                        <c:v>-78135.293898822216</c:v>
                      </c:pt>
                      <c:pt idx="960">
                        <c:v>-76563.349779600045</c:v>
                      </c:pt>
                      <c:pt idx="961">
                        <c:v>-74370.826909284224</c:v>
                      </c:pt>
                      <c:pt idx="962">
                        <c:v>-71469.035389834418</c:v>
                      </c:pt>
                      <c:pt idx="963">
                        <c:v>-67731.516062707335</c:v>
                      </c:pt>
                      <c:pt idx="964">
                        <c:v>-62969.491697741374</c:v>
                      </c:pt>
                      <c:pt idx="965">
                        <c:v>-56885.732691374134</c:v>
                      </c:pt>
                      <c:pt idx="966">
                        <c:v>-48996.518086737102</c:v>
                      </c:pt>
                      <c:pt idx="967">
                        <c:v>-38662.365904233244</c:v>
                      </c:pt>
                      <c:pt idx="968">
                        <c:v>-26798.962615794753</c:v>
                      </c:pt>
                      <c:pt idx="969">
                        <c:v>-16607.912348780814</c:v>
                      </c:pt>
                      <c:pt idx="970">
                        <c:v>-7633.3282108134181</c:v>
                      </c:pt>
                      <c:pt idx="971">
                        <c:v>1115.8591789159934</c:v>
                      </c:pt>
                      <c:pt idx="972">
                        <c:v>10341.331521886004</c:v>
                      </c:pt>
                      <c:pt idx="973">
                        <c:v>20364.472741958096</c:v>
                      </c:pt>
                      <c:pt idx="974">
                        <c:v>29968.070249189121</c:v>
                      </c:pt>
                      <c:pt idx="975">
                        <c:v>35738.476706643822</c:v>
                      </c:pt>
                      <c:pt idx="976">
                        <c:v>39160.804369110389</c:v>
                      </c:pt>
                      <c:pt idx="977">
                        <c:v>41271.904789557659</c:v>
                      </c:pt>
                      <c:pt idx="978">
                        <c:v>42541.321635327062</c:v>
                      </c:pt>
                      <c:pt idx="979">
                        <c:v>43210.373576296734</c:v>
                      </c:pt>
                      <c:pt idx="980">
                        <c:v>43419.529238490577</c:v>
                      </c:pt>
                      <c:pt idx="981">
                        <c:v>43258.506754370406</c:v>
                      </c:pt>
                      <c:pt idx="982">
                        <c:v>42788.67501191378</c:v>
                      </c:pt>
                      <c:pt idx="983">
                        <c:v>42054.248334993674</c:v>
                      </c:pt>
                      <c:pt idx="984">
                        <c:v>41088.402570042716</c:v>
                      </c:pt>
                      <c:pt idx="985">
                        <c:v>39916.865703877258</c:v>
                      </c:pt>
                      <c:pt idx="986">
                        <c:v>38560.155837417238</c:v>
                      </c:pt>
                      <c:pt idx="987">
                        <c:v>37035.051246641429</c:v>
                      </c:pt>
                      <c:pt idx="988">
                        <c:v>35355.605484303589</c:v>
                      </c:pt>
                      <c:pt idx="989">
                        <c:v>33533.886592788229</c:v>
                      </c:pt>
                      <c:pt idx="990">
                        <c:v>31580.550736341913</c:v>
                      </c:pt>
                      <c:pt idx="991">
                        <c:v>29505.325300113091</c:v>
                      </c:pt>
                      <c:pt idx="992">
                        <c:v>27317.46072887471</c:v>
                      </c:pt>
                      <c:pt idx="993">
                        <c:v>25026.208680658041</c:v>
                      </c:pt>
                      <c:pt idx="994">
                        <c:v>22641.396566495576</c:v>
                      </c:pt>
                      <c:pt idx="995">
                        <c:v>20174.201077984377</c:v>
                      </c:pt>
                      <c:pt idx="996">
                        <c:v>17638.291044928308</c:v>
                      </c:pt>
                      <c:pt idx="997">
                        <c:v>15051.647365928466</c:v>
                      </c:pt>
                      <c:pt idx="998">
                        <c:v>12439.653374987261</c:v>
                      </c:pt>
                      <c:pt idx="999">
                        <c:v>9840.6679254349383</c:v>
                      </c:pt>
                      <c:pt idx="1000">
                        <c:v>7316.6929880664238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59848380433031"/>
          <c:y val="8.2006874995134926E-2"/>
          <c:w val="0.69208750479380499"/>
          <c:h val="8.26651146726454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</xdr:row>
          <xdr:rowOff>38100</xdr:rowOff>
        </xdr:from>
        <xdr:to>
          <xdr:col>13</xdr:col>
          <xdr:colOff>2308860</xdr:colOff>
          <xdr:row>3</xdr:row>
          <xdr:rowOff>106680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P1309"/>
  <sheetViews>
    <sheetView topLeftCell="A13" zoomScale="70" zoomScaleNormal="70" workbookViewId="0">
      <selection activeCell="G21" sqref="G21"/>
    </sheetView>
  </sheetViews>
  <sheetFormatPr baseColWidth="10" defaultRowHeight="14.4" x14ac:dyDescent="0.3"/>
  <cols>
    <col min="1" max="1" width="30.5546875" bestFit="1" customWidth="1"/>
    <col min="3" max="3" width="12" bestFit="1" customWidth="1"/>
    <col min="5" max="5" width="16.88671875" bestFit="1" customWidth="1"/>
  </cols>
  <sheetData>
    <row r="2" spans="1:5" ht="11.4" customHeight="1" x14ac:dyDescent="0.3"/>
    <row r="3" spans="1:5" hidden="1" x14ac:dyDescent="0.3"/>
    <row r="4" spans="1:5" ht="22.95" customHeight="1" thickBot="1" x14ac:dyDescent="0.35">
      <c r="A4" s="86" t="s">
        <v>5</v>
      </c>
      <c r="B4" s="87"/>
      <c r="C4" s="87"/>
      <c r="D4" s="87"/>
      <c r="E4" s="88"/>
    </row>
    <row r="5" spans="1:5" ht="15.6" x14ac:dyDescent="0.3">
      <c r="A5" s="26" t="s">
        <v>6</v>
      </c>
      <c r="B5" s="22" t="s">
        <v>23</v>
      </c>
      <c r="C5" s="94">
        <v>0.5</v>
      </c>
      <c r="D5" s="94"/>
      <c r="E5" s="95"/>
    </row>
    <row r="6" spans="1:5" ht="15.6" x14ac:dyDescent="0.3">
      <c r="A6" s="27" t="s">
        <v>7</v>
      </c>
      <c r="B6" s="11" t="s">
        <v>24</v>
      </c>
      <c r="C6" s="84">
        <v>0</v>
      </c>
      <c r="D6" s="84"/>
      <c r="E6" s="96"/>
    </row>
    <row r="7" spans="1:5" ht="15.6" x14ac:dyDescent="0.3">
      <c r="A7" s="28" t="s">
        <v>8</v>
      </c>
      <c r="B7" s="29" t="s">
        <v>25</v>
      </c>
      <c r="C7" s="97">
        <v>1</v>
      </c>
      <c r="D7" s="97"/>
      <c r="E7" s="98"/>
    </row>
    <row r="8" spans="1:5" ht="15.6" x14ac:dyDescent="0.3">
      <c r="A8" s="78"/>
      <c r="B8" s="78"/>
      <c r="C8" s="78"/>
      <c r="D8" s="78"/>
      <c r="E8" s="78"/>
    </row>
    <row r="9" spans="1:5" ht="21.6" thickBot="1" x14ac:dyDescent="0.45">
      <c r="A9" s="89" t="s">
        <v>9</v>
      </c>
      <c r="B9" s="90"/>
      <c r="C9" s="90"/>
      <c r="D9" s="90"/>
      <c r="E9" s="91"/>
    </row>
    <row r="10" spans="1:5" ht="15.6" x14ac:dyDescent="0.3">
      <c r="A10" s="27" t="s">
        <v>10</v>
      </c>
      <c r="B10" s="9" t="s">
        <v>26</v>
      </c>
      <c r="C10" s="84">
        <v>1</v>
      </c>
      <c r="D10" s="84"/>
      <c r="E10" s="30" t="s">
        <v>31</v>
      </c>
    </row>
    <row r="11" spans="1:5" ht="18" x14ac:dyDescent="0.4">
      <c r="A11" s="26" t="s">
        <v>11</v>
      </c>
      <c r="B11" s="23" t="s">
        <v>53</v>
      </c>
      <c r="C11" s="24">
        <v>0</v>
      </c>
      <c r="D11" s="24">
        <v>0</v>
      </c>
      <c r="E11" s="31" t="s">
        <v>30</v>
      </c>
    </row>
    <row r="12" spans="1:5" ht="18" x14ac:dyDescent="0.4">
      <c r="A12" s="27" t="s">
        <v>12</v>
      </c>
      <c r="B12" s="9" t="s">
        <v>54</v>
      </c>
      <c r="C12" s="12">
        <v>0</v>
      </c>
      <c r="D12" s="12">
        <v>0</v>
      </c>
      <c r="E12" s="30" t="s">
        <v>32</v>
      </c>
    </row>
    <row r="13" spans="1:5" ht="18.600000000000001" x14ac:dyDescent="0.4">
      <c r="A13" s="26" t="s">
        <v>27</v>
      </c>
      <c r="B13" s="23" t="s">
        <v>55</v>
      </c>
      <c r="C13" s="24">
        <v>0</v>
      </c>
      <c r="D13" s="24">
        <v>0</v>
      </c>
      <c r="E13" s="31" t="s">
        <v>43</v>
      </c>
    </row>
    <row r="14" spans="1:5" ht="15.6" x14ac:dyDescent="0.3">
      <c r="A14" s="32" t="s">
        <v>28</v>
      </c>
      <c r="B14" s="33" t="s">
        <v>29</v>
      </c>
      <c r="C14" s="83">
        <v>2500</v>
      </c>
      <c r="D14" s="83"/>
      <c r="E14" s="34" t="s">
        <v>30</v>
      </c>
    </row>
    <row r="15" spans="1:5" ht="15.6" x14ac:dyDescent="0.3">
      <c r="A15" s="1"/>
      <c r="B15" s="1"/>
      <c r="C15" s="1"/>
      <c r="D15" s="1"/>
      <c r="E15" s="1"/>
    </row>
    <row r="16" spans="1:5" ht="21.6" thickBot="1" x14ac:dyDescent="0.45">
      <c r="A16" s="89" t="s">
        <v>13</v>
      </c>
      <c r="B16" s="90"/>
      <c r="C16" s="90"/>
      <c r="D16" s="90"/>
      <c r="E16" s="91"/>
    </row>
    <row r="17" spans="1:5" ht="18" x14ac:dyDescent="0.35">
      <c r="A17" s="106"/>
      <c r="B17" s="107"/>
      <c r="C17" s="107"/>
      <c r="D17" s="107"/>
      <c r="E17" s="108"/>
    </row>
    <row r="18" spans="1:5" ht="18" customHeight="1" x14ac:dyDescent="0.35">
      <c r="A18" s="115" t="s">
        <v>14</v>
      </c>
      <c r="B18" s="116"/>
      <c r="C18" s="116"/>
      <c r="D18" s="116"/>
      <c r="E18" s="117"/>
    </row>
    <row r="19" spans="1:5" ht="17.399999999999999" customHeight="1" x14ac:dyDescent="0.4">
      <c r="A19" s="35" t="s">
        <v>15</v>
      </c>
      <c r="B19" s="7" t="s">
        <v>49</v>
      </c>
      <c r="C19" s="8">
        <v>20000</v>
      </c>
      <c r="D19" s="8">
        <v>20000</v>
      </c>
      <c r="E19" s="36" t="s">
        <v>30</v>
      </c>
    </row>
    <row r="20" spans="1:5" ht="18" x14ac:dyDescent="0.4">
      <c r="A20" s="27" t="s">
        <v>4</v>
      </c>
      <c r="B20" s="9" t="s">
        <v>50</v>
      </c>
      <c r="C20" s="84">
        <v>10000</v>
      </c>
      <c r="D20" s="84"/>
      <c r="E20" s="30" t="s">
        <v>30</v>
      </c>
    </row>
    <row r="21" spans="1:5" ht="18.600000000000001" x14ac:dyDescent="0.4">
      <c r="A21" s="35" t="s">
        <v>16</v>
      </c>
      <c r="B21" s="5" t="s">
        <v>51</v>
      </c>
      <c r="C21" s="85">
        <v>1</v>
      </c>
      <c r="D21" s="85"/>
      <c r="E21" s="36" t="s">
        <v>44</v>
      </c>
    </row>
    <row r="22" spans="1:5" ht="18.600000000000001" x14ac:dyDescent="0.4">
      <c r="A22" s="37" t="s">
        <v>17</v>
      </c>
      <c r="B22" s="10" t="s">
        <v>60</v>
      </c>
      <c r="C22" s="92">
        <f>4/3*PI()*C20^3</f>
        <v>4188790204786.3906</v>
      </c>
      <c r="D22" s="92"/>
      <c r="E22" s="38" t="s">
        <v>61</v>
      </c>
    </row>
    <row r="23" spans="1:5" ht="18" x14ac:dyDescent="0.4">
      <c r="A23" s="39" t="s">
        <v>18</v>
      </c>
      <c r="B23" s="6" t="s">
        <v>62</v>
      </c>
      <c r="C23" s="93">
        <f>IF(C25="Attraction",C22*C21,(C22*C21)*-1)</f>
        <v>4188790204786.3906</v>
      </c>
      <c r="D23" s="93"/>
      <c r="E23" s="40" t="s">
        <v>31</v>
      </c>
    </row>
    <row r="24" spans="1:5" ht="18" x14ac:dyDescent="0.4">
      <c r="A24" s="37" t="s">
        <v>19</v>
      </c>
      <c r="B24" s="10" t="s">
        <v>63</v>
      </c>
      <c r="C24" s="92">
        <f>C20*$C$7</f>
        <v>10000</v>
      </c>
      <c r="D24" s="92"/>
      <c r="E24" s="38" t="s">
        <v>30</v>
      </c>
    </row>
    <row r="25" spans="1:5" ht="18" x14ac:dyDescent="0.4">
      <c r="A25" s="35" t="s">
        <v>20</v>
      </c>
      <c r="B25" s="5" t="s">
        <v>52</v>
      </c>
      <c r="C25" s="85" t="s">
        <v>33</v>
      </c>
      <c r="D25" s="85"/>
      <c r="E25" s="36" t="s">
        <v>42</v>
      </c>
    </row>
    <row r="26" spans="1:5" ht="18.600000000000001" customHeight="1" x14ac:dyDescent="0.3">
      <c r="A26" s="99"/>
      <c r="B26" s="100"/>
      <c r="C26" s="100"/>
      <c r="D26" s="100"/>
      <c r="E26" s="101"/>
    </row>
    <row r="27" spans="1:5" ht="15" customHeight="1" x14ac:dyDescent="0.35">
      <c r="A27" s="109" t="s">
        <v>21</v>
      </c>
      <c r="B27" s="110"/>
      <c r="C27" s="110"/>
      <c r="D27" s="110"/>
      <c r="E27" s="111"/>
    </row>
    <row r="28" spans="1:5" ht="18" x14ac:dyDescent="0.4">
      <c r="A28" s="41" t="s">
        <v>15</v>
      </c>
      <c r="B28" s="17" t="s">
        <v>45</v>
      </c>
      <c r="C28" s="18">
        <v>-20000</v>
      </c>
      <c r="D28" s="19">
        <v>20000</v>
      </c>
      <c r="E28" s="42" t="s">
        <v>30</v>
      </c>
    </row>
    <row r="29" spans="1:5" ht="18" x14ac:dyDescent="0.4">
      <c r="A29" s="27" t="s">
        <v>4</v>
      </c>
      <c r="B29" s="9" t="s">
        <v>46</v>
      </c>
      <c r="C29" s="84">
        <v>8000</v>
      </c>
      <c r="D29" s="84"/>
      <c r="E29" s="30" t="s">
        <v>30</v>
      </c>
    </row>
    <row r="30" spans="1:5" ht="18.600000000000001" x14ac:dyDescent="0.4">
      <c r="A30" s="41" t="s">
        <v>16</v>
      </c>
      <c r="B30" s="20" t="s">
        <v>47</v>
      </c>
      <c r="C30" s="112">
        <v>1</v>
      </c>
      <c r="D30" s="112"/>
      <c r="E30" s="42" t="s">
        <v>44</v>
      </c>
    </row>
    <row r="31" spans="1:5" ht="18.600000000000001" x14ac:dyDescent="0.4">
      <c r="A31" s="43" t="s">
        <v>17</v>
      </c>
      <c r="B31" s="13" t="s">
        <v>68</v>
      </c>
      <c r="C31" s="113">
        <f>4/3*PI()*C29^3</f>
        <v>2144660584850.6318</v>
      </c>
      <c r="D31" s="113"/>
      <c r="E31" s="44" t="s">
        <v>65</v>
      </c>
    </row>
    <row r="32" spans="1:5" ht="18" x14ac:dyDescent="0.4">
      <c r="A32" s="45" t="s">
        <v>18</v>
      </c>
      <c r="B32" s="21" t="s">
        <v>69</v>
      </c>
      <c r="C32" s="114">
        <f>IF(C34="Attraction",C30*C31,(C31*C30)*-1)</f>
        <v>2144660584850.6318</v>
      </c>
      <c r="D32" s="114"/>
      <c r="E32" s="46" t="s">
        <v>31</v>
      </c>
    </row>
    <row r="33" spans="1:5" ht="18" x14ac:dyDescent="0.4">
      <c r="A33" s="43" t="s">
        <v>19</v>
      </c>
      <c r="B33" s="13" t="s">
        <v>70</v>
      </c>
      <c r="C33" s="113">
        <f>C29*$C$7</f>
        <v>8000</v>
      </c>
      <c r="D33" s="113"/>
      <c r="E33" s="44" t="s">
        <v>30</v>
      </c>
    </row>
    <row r="34" spans="1:5" ht="18" x14ac:dyDescent="0.4">
      <c r="A34" s="41" t="s">
        <v>20</v>
      </c>
      <c r="B34" s="20" t="s">
        <v>48</v>
      </c>
      <c r="C34" s="112" t="s">
        <v>33</v>
      </c>
      <c r="D34" s="112"/>
      <c r="E34" s="42" t="s">
        <v>42</v>
      </c>
    </row>
    <row r="35" spans="1:5" ht="18.600000000000001" customHeight="1" x14ac:dyDescent="0.3">
      <c r="A35" s="99"/>
      <c r="B35" s="100"/>
      <c r="C35" s="100"/>
      <c r="D35" s="100"/>
      <c r="E35" s="101"/>
    </row>
    <row r="36" spans="1:5" ht="15" customHeight="1" x14ac:dyDescent="0.35">
      <c r="A36" s="47" t="s">
        <v>22</v>
      </c>
      <c r="B36" s="25"/>
      <c r="C36" s="25"/>
      <c r="D36" s="25"/>
      <c r="E36" s="48"/>
    </row>
    <row r="37" spans="1:5" ht="18" x14ac:dyDescent="0.4">
      <c r="A37" s="49" t="s">
        <v>15</v>
      </c>
      <c r="B37" s="4" t="s">
        <v>56</v>
      </c>
      <c r="C37" s="14">
        <v>-5000</v>
      </c>
      <c r="D37" s="14">
        <v>-35000</v>
      </c>
      <c r="E37" s="50" t="s">
        <v>30</v>
      </c>
    </row>
    <row r="38" spans="1:5" ht="18" x14ac:dyDescent="0.4">
      <c r="A38" s="51" t="s">
        <v>4</v>
      </c>
      <c r="B38" s="2" t="s">
        <v>57</v>
      </c>
      <c r="C38" s="78">
        <v>10000</v>
      </c>
      <c r="D38" s="78"/>
      <c r="E38" s="52" t="s">
        <v>30</v>
      </c>
    </row>
    <row r="39" spans="1:5" ht="18.600000000000001" x14ac:dyDescent="0.4">
      <c r="A39" s="49" t="s">
        <v>16</v>
      </c>
      <c r="B39" s="15" t="s">
        <v>58</v>
      </c>
      <c r="C39" s="79">
        <v>1</v>
      </c>
      <c r="D39" s="79"/>
      <c r="E39" s="50" t="s">
        <v>44</v>
      </c>
    </row>
    <row r="40" spans="1:5" ht="18.600000000000001" x14ac:dyDescent="0.4">
      <c r="A40" s="53" t="s">
        <v>17</v>
      </c>
      <c r="B40" s="3" t="s">
        <v>64</v>
      </c>
      <c r="C40" s="80">
        <f>4/3*PI()*C38^3</f>
        <v>4188790204786.3906</v>
      </c>
      <c r="D40" s="80"/>
      <c r="E40" s="54" t="s">
        <v>65</v>
      </c>
    </row>
    <row r="41" spans="1:5" ht="18" x14ac:dyDescent="0.4">
      <c r="A41" s="55" t="s">
        <v>18</v>
      </c>
      <c r="B41" s="16" t="s">
        <v>66</v>
      </c>
      <c r="C41" s="81">
        <f>IF(C43="Attraction",C39*C40,(C40*C39)*-1)</f>
        <v>4188790204786.3906</v>
      </c>
      <c r="D41" s="81"/>
      <c r="E41" s="56" t="s">
        <v>31</v>
      </c>
    </row>
    <row r="42" spans="1:5" ht="18" x14ac:dyDescent="0.4">
      <c r="A42" s="53" t="s">
        <v>19</v>
      </c>
      <c r="B42" s="3" t="s">
        <v>67</v>
      </c>
      <c r="C42" s="80">
        <f>C38*$C$7</f>
        <v>10000</v>
      </c>
      <c r="D42" s="80"/>
      <c r="E42" s="54" t="s">
        <v>30</v>
      </c>
    </row>
    <row r="43" spans="1:5" ht="18" x14ac:dyDescent="0.4">
      <c r="A43" s="57" t="s">
        <v>20</v>
      </c>
      <c r="B43" s="58" t="s">
        <v>59</v>
      </c>
      <c r="C43" s="82" t="s">
        <v>33</v>
      </c>
      <c r="D43" s="82"/>
      <c r="E43" s="59" t="s">
        <v>42</v>
      </c>
    </row>
    <row r="277" spans="1:11" x14ac:dyDescent="0.3">
      <c r="B277" t="s">
        <v>33</v>
      </c>
    </row>
    <row r="278" spans="1:11" x14ac:dyDescent="0.3">
      <c r="B278" t="s">
        <v>82</v>
      </c>
    </row>
    <row r="281" spans="1:11" x14ac:dyDescent="0.3">
      <c r="A281" s="102" t="s">
        <v>71</v>
      </c>
      <c r="B281" s="103"/>
      <c r="C281" s="103"/>
      <c r="D281" s="103"/>
      <c r="E281" s="103"/>
      <c r="F281" s="103"/>
      <c r="G281" s="103"/>
      <c r="H281" s="103"/>
      <c r="I281" s="103"/>
      <c r="J281" s="103"/>
      <c r="K281" s="104"/>
    </row>
    <row r="282" spans="1:11" x14ac:dyDescent="0.3">
      <c r="A282" s="65" t="s">
        <v>0</v>
      </c>
      <c r="B282" s="66" t="s">
        <v>1</v>
      </c>
      <c r="C282" s="66"/>
      <c r="D282" s="66" t="s">
        <v>2</v>
      </c>
      <c r="E282" s="66" t="s">
        <v>3</v>
      </c>
      <c r="F282" s="66"/>
      <c r="G282" s="66" t="s">
        <v>2</v>
      </c>
      <c r="H282" s="66" t="s">
        <v>3</v>
      </c>
      <c r="I282" s="66"/>
      <c r="J282" s="66" t="s">
        <v>2</v>
      </c>
      <c r="K282" s="67" t="s">
        <v>3</v>
      </c>
    </row>
    <row r="283" spans="1:11" x14ac:dyDescent="0.3">
      <c r="A283" s="68"/>
      <c r="B283" s="68"/>
      <c r="C283" s="63"/>
      <c r="D283" s="68"/>
      <c r="E283" s="68"/>
      <c r="F283" s="63"/>
      <c r="G283" s="68"/>
      <c r="H283" s="68"/>
      <c r="I283" s="63"/>
      <c r="J283" s="68"/>
      <c r="K283" s="68"/>
    </row>
    <row r="284" spans="1:11" x14ac:dyDescent="0.3">
      <c r="A284" s="69">
        <v>0</v>
      </c>
      <c r="B284" s="69">
        <f>A284*2*PI()/20</f>
        <v>0</v>
      </c>
      <c r="C284" s="63"/>
      <c r="D284" s="69">
        <f>$C$20*COS(B284)+$C$19</f>
        <v>30000</v>
      </c>
      <c r="E284" s="69">
        <f>$C$20*SIN(B284)+$D$19</f>
        <v>20000</v>
      </c>
      <c r="F284" s="63"/>
      <c r="G284" s="69">
        <f>$C$29*COS(B284)+$C$28</f>
        <v>-12000</v>
      </c>
      <c r="H284" s="69">
        <f>$C$29*SIN(B284)+$D$28</f>
        <v>20000</v>
      </c>
      <c r="I284" s="63"/>
      <c r="J284" s="69">
        <f>$C$38*COS(B284)+$C$37</f>
        <v>5000</v>
      </c>
      <c r="K284" s="69">
        <f>$C$38*SIN(B284)+$D$37</f>
        <v>-35000</v>
      </c>
    </row>
    <row r="285" spans="1:11" x14ac:dyDescent="0.3">
      <c r="A285" s="69">
        <v>1</v>
      </c>
      <c r="B285" s="69">
        <f>A285*2*PI()/20</f>
        <v>0.31415926535897931</v>
      </c>
      <c r="C285" s="63"/>
      <c r="D285" s="69">
        <f t="shared" ref="D285:D304" si="0">$C$20*COS(B285)+$C$19</f>
        <v>29510.565162951534</v>
      </c>
      <c r="E285" s="69">
        <f t="shared" ref="E285:E304" si="1">$C$20*SIN(B285)+$D$19</f>
        <v>23090.169943749475</v>
      </c>
      <c r="F285" s="63"/>
      <c r="G285" s="69">
        <f t="shared" ref="G285:G304" si="2">$C$29*COS(B285)+$C$28</f>
        <v>-12391.547869638773</v>
      </c>
      <c r="H285" s="69">
        <f t="shared" ref="H285:H304" si="3">$C$29*SIN(B285)+$D$28</f>
        <v>22472.13595499958</v>
      </c>
      <c r="I285" s="63"/>
      <c r="J285" s="69">
        <f t="shared" ref="J285:J304" si="4">$C$38*COS(B285)+$C$37</f>
        <v>4510.565162951536</v>
      </c>
      <c r="K285" s="69">
        <f t="shared" ref="K285:K304" si="5">$C$38*SIN(B285)+$D$37</f>
        <v>-31909.830056250525</v>
      </c>
    </row>
    <row r="286" spans="1:11" x14ac:dyDescent="0.3">
      <c r="A286" s="69">
        <v>2</v>
      </c>
      <c r="B286" s="69">
        <f t="shared" ref="B286:B304" si="6">A286*2*PI()/20</f>
        <v>0.62831853071795862</v>
      </c>
      <c r="C286" s="63"/>
      <c r="D286" s="69">
        <f t="shared" si="0"/>
        <v>28090.169943749475</v>
      </c>
      <c r="E286" s="69">
        <f t="shared" si="1"/>
        <v>25877.852522924732</v>
      </c>
      <c r="F286" s="63"/>
      <c r="G286" s="69">
        <f t="shared" si="2"/>
        <v>-13527.86404500042</v>
      </c>
      <c r="H286" s="69">
        <f t="shared" si="3"/>
        <v>24702.282018339785</v>
      </c>
      <c r="I286" s="63"/>
      <c r="J286" s="69">
        <f t="shared" si="4"/>
        <v>3090.1699437494744</v>
      </c>
      <c r="K286" s="69">
        <f t="shared" si="5"/>
        <v>-29122.147477075268</v>
      </c>
    </row>
    <row r="287" spans="1:11" x14ac:dyDescent="0.3">
      <c r="A287" s="69">
        <v>3</v>
      </c>
      <c r="B287" s="69">
        <f t="shared" si="6"/>
        <v>0.94247779607693793</v>
      </c>
      <c r="C287" s="63"/>
      <c r="D287" s="69">
        <f>$C$20*COS(B287)+$C$19</f>
        <v>25877.852522924732</v>
      </c>
      <c r="E287" s="69">
        <f t="shared" si="1"/>
        <v>28090.169943749475</v>
      </c>
      <c r="F287" s="63"/>
      <c r="G287" s="69">
        <f t="shared" si="2"/>
        <v>-15297.717981660215</v>
      </c>
      <c r="H287" s="69">
        <f t="shared" si="3"/>
        <v>26472.13595499958</v>
      </c>
      <c r="I287" s="63"/>
      <c r="J287" s="69">
        <f t="shared" si="4"/>
        <v>877.8525229247316</v>
      </c>
      <c r="K287" s="69">
        <f t="shared" si="5"/>
        <v>-26909.830056250525</v>
      </c>
    </row>
    <row r="288" spans="1:11" x14ac:dyDescent="0.3">
      <c r="A288" s="69">
        <v>4</v>
      </c>
      <c r="B288" s="69">
        <f t="shared" si="6"/>
        <v>1.2566370614359172</v>
      </c>
      <c r="C288" s="63"/>
      <c r="D288" s="69">
        <f t="shared" si="0"/>
        <v>23090.169943749475</v>
      </c>
      <c r="E288" s="69">
        <f t="shared" si="1"/>
        <v>29510.565162951534</v>
      </c>
      <c r="F288" s="63"/>
      <c r="G288" s="69">
        <f t="shared" si="2"/>
        <v>-17527.86404500042</v>
      </c>
      <c r="H288" s="69">
        <f t="shared" si="3"/>
        <v>27608.452130361227</v>
      </c>
      <c r="I288" s="63"/>
      <c r="J288" s="69">
        <f t="shared" si="4"/>
        <v>-1909.8300562505256</v>
      </c>
      <c r="K288" s="69">
        <f t="shared" si="5"/>
        <v>-25489.434837048466</v>
      </c>
    </row>
    <row r="289" spans="1:11" x14ac:dyDescent="0.3">
      <c r="A289" s="69">
        <v>5</v>
      </c>
      <c r="B289" s="69">
        <f t="shared" si="6"/>
        <v>1.5707963267948966</v>
      </c>
      <c r="C289" s="63"/>
      <c r="D289" s="69">
        <f t="shared" si="0"/>
        <v>20000</v>
      </c>
      <c r="E289" s="69">
        <f t="shared" si="1"/>
        <v>30000</v>
      </c>
      <c r="F289" s="63"/>
      <c r="G289" s="69">
        <f t="shared" si="2"/>
        <v>-20000</v>
      </c>
      <c r="H289" s="69">
        <f t="shared" si="3"/>
        <v>28000</v>
      </c>
      <c r="I289" s="63"/>
      <c r="J289" s="69">
        <f t="shared" si="4"/>
        <v>-4999.9999999999991</v>
      </c>
      <c r="K289" s="69">
        <f t="shared" si="5"/>
        <v>-25000</v>
      </c>
    </row>
    <row r="290" spans="1:11" x14ac:dyDescent="0.3">
      <c r="A290" s="69">
        <v>6</v>
      </c>
      <c r="B290" s="69">
        <f t="shared" si="6"/>
        <v>1.8849555921538759</v>
      </c>
      <c r="C290" s="63"/>
      <c r="D290" s="69">
        <f t="shared" si="0"/>
        <v>16909.830056250525</v>
      </c>
      <c r="E290" s="69">
        <f t="shared" si="1"/>
        <v>29510.565162951534</v>
      </c>
      <c r="F290" s="63"/>
      <c r="G290" s="69">
        <f t="shared" si="2"/>
        <v>-22472.13595499958</v>
      </c>
      <c r="H290" s="69">
        <f t="shared" si="3"/>
        <v>27608.452130361227</v>
      </c>
      <c r="I290" s="63"/>
      <c r="J290" s="69">
        <f t="shared" si="4"/>
        <v>-8090.1699437494735</v>
      </c>
      <c r="K290" s="69">
        <f t="shared" si="5"/>
        <v>-25489.434837048466</v>
      </c>
    </row>
    <row r="291" spans="1:11" x14ac:dyDescent="0.3">
      <c r="A291" s="69">
        <v>7</v>
      </c>
      <c r="B291" s="69">
        <f t="shared" si="6"/>
        <v>2.1991148575128552</v>
      </c>
      <c r="C291" s="63"/>
      <c r="D291" s="69">
        <f t="shared" si="0"/>
        <v>14122.147477075268</v>
      </c>
      <c r="E291" s="69">
        <f t="shared" si="1"/>
        <v>28090.169943749475</v>
      </c>
      <c r="F291" s="63"/>
      <c r="G291" s="69">
        <f t="shared" si="2"/>
        <v>-24702.282018339785</v>
      </c>
      <c r="H291" s="69">
        <f t="shared" si="3"/>
        <v>26472.13595499958</v>
      </c>
      <c r="I291" s="63"/>
      <c r="J291" s="69">
        <f t="shared" si="4"/>
        <v>-10877.852522924732</v>
      </c>
      <c r="K291" s="69">
        <f t="shared" si="5"/>
        <v>-26909.830056250525</v>
      </c>
    </row>
    <row r="292" spans="1:11" x14ac:dyDescent="0.3">
      <c r="A292" s="69">
        <v>8</v>
      </c>
      <c r="B292" s="69">
        <f t="shared" si="6"/>
        <v>2.5132741228718345</v>
      </c>
      <c r="C292" s="63"/>
      <c r="D292" s="69">
        <f t="shared" si="0"/>
        <v>11909.830056250526</v>
      </c>
      <c r="E292" s="69">
        <f t="shared" si="1"/>
        <v>25877.852522924732</v>
      </c>
      <c r="F292" s="63"/>
      <c r="G292" s="69">
        <f t="shared" si="2"/>
        <v>-26472.13595499958</v>
      </c>
      <c r="H292" s="69">
        <f t="shared" si="3"/>
        <v>24702.282018339785</v>
      </c>
      <c r="I292" s="63"/>
      <c r="J292" s="69">
        <f t="shared" si="4"/>
        <v>-13090.169943749474</v>
      </c>
      <c r="K292" s="69">
        <f t="shared" si="5"/>
        <v>-29122.147477075268</v>
      </c>
    </row>
    <row r="293" spans="1:11" x14ac:dyDescent="0.3">
      <c r="A293" s="69">
        <v>9</v>
      </c>
      <c r="B293" s="69">
        <f t="shared" si="6"/>
        <v>2.8274333882308138</v>
      </c>
      <c r="C293" s="63"/>
      <c r="D293" s="69">
        <f t="shared" si="0"/>
        <v>10489.434837048464</v>
      </c>
      <c r="E293" s="69">
        <f t="shared" si="1"/>
        <v>23090.169943749475</v>
      </c>
      <c r="F293" s="63"/>
      <c r="G293" s="69">
        <f t="shared" si="2"/>
        <v>-27608.452130361227</v>
      </c>
      <c r="H293" s="69">
        <f t="shared" si="3"/>
        <v>22472.13595499958</v>
      </c>
      <c r="I293" s="63"/>
      <c r="J293" s="69">
        <f t="shared" si="4"/>
        <v>-14510.565162951536</v>
      </c>
      <c r="K293" s="69">
        <f t="shared" si="5"/>
        <v>-31909.830056250525</v>
      </c>
    </row>
    <row r="294" spans="1:11" x14ac:dyDescent="0.3">
      <c r="A294" s="69">
        <v>10</v>
      </c>
      <c r="B294" s="69">
        <f t="shared" si="6"/>
        <v>3.1415926535897931</v>
      </c>
      <c r="C294" s="63"/>
      <c r="D294" s="69">
        <f t="shared" si="0"/>
        <v>10000</v>
      </c>
      <c r="E294" s="69">
        <f t="shared" si="1"/>
        <v>20000</v>
      </c>
      <c r="F294" s="63"/>
      <c r="G294" s="69">
        <f t="shared" si="2"/>
        <v>-28000</v>
      </c>
      <c r="H294" s="69">
        <f t="shared" si="3"/>
        <v>20000</v>
      </c>
      <c r="I294" s="63"/>
      <c r="J294" s="69">
        <f t="shared" si="4"/>
        <v>-15000</v>
      </c>
      <c r="K294" s="69">
        <f t="shared" si="5"/>
        <v>-35000</v>
      </c>
    </row>
    <row r="295" spans="1:11" x14ac:dyDescent="0.3">
      <c r="A295" s="69">
        <v>11</v>
      </c>
      <c r="B295" s="69">
        <f t="shared" si="6"/>
        <v>3.455751918948772</v>
      </c>
      <c r="C295" s="63"/>
      <c r="D295" s="69">
        <f t="shared" si="0"/>
        <v>10489.434837048462</v>
      </c>
      <c r="E295" s="69">
        <f t="shared" si="1"/>
        <v>16909.830056250532</v>
      </c>
      <c r="F295" s="63"/>
      <c r="G295" s="69">
        <f t="shared" si="2"/>
        <v>-27608.452130361231</v>
      </c>
      <c r="H295" s="69">
        <f t="shared" si="3"/>
        <v>17527.864045000424</v>
      </c>
      <c r="I295" s="63"/>
      <c r="J295" s="69">
        <f t="shared" si="4"/>
        <v>-14510.565162951538</v>
      </c>
      <c r="K295" s="69">
        <f t="shared" si="5"/>
        <v>-38090.169943749468</v>
      </c>
    </row>
    <row r="296" spans="1:11" x14ac:dyDescent="0.3">
      <c r="A296" s="69">
        <v>12</v>
      </c>
      <c r="B296" s="69">
        <f t="shared" si="6"/>
        <v>3.7699111843077517</v>
      </c>
      <c r="C296" s="63"/>
      <c r="D296" s="69">
        <f t="shared" si="0"/>
        <v>11909.830056250525</v>
      </c>
      <c r="E296" s="69">
        <f t="shared" si="1"/>
        <v>14122.147477075268</v>
      </c>
      <c r="F296" s="63"/>
      <c r="G296" s="69">
        <f t="shared" si="2"/>
        <v>-26472.13595499958</v>
      </c>
      <c r="H296" s="69">
        <f t="shared" si="3"/>
        <v>15297.717981660215</v>
      </c>
      <c r="I296" s="63"/>
      <c r="J296" s="69">
        <f t="shared" si="4"/>
        <v>-13090.169943749475</v>
      </c>
      <c r="K296" s="69">
        <f t="shared" si="5"/>
        <v>-40877.852522924732</v>
      </c>
    </row>
    <row r="297" spans="1:11" x14ac:dyDescent="0.3">
      <c r="A297" s="69">
        <v>13</v>
      </c>
      <c r="B297" s="69">
        <f t="shared" si="6"/>
        <v>4.0840704496667311</v>
      </c>
      <c r="C297" s="63"/>
      <c r="D297" s="69">
        <f t="shared" si="0"/>
        <v>14122.147477075268</v>
      </c>
      <c r="E297" s="69">
        <f t="shared" si="1"/>
        <v>11909.830056250526</v>
      </c>
      <c r="F297" s="63"/>
      <c r="G297" s="69">
        <f t="shared" si="2"/>
        <v>-24702.282018339785</v>
      </c>
      <c r="H297" s="69">
        <f t="shared" si="3"/>
        <v>13527.86404500042</v>
      </c>
      <c r="I297" s="63"/>
      <c r="J297" s="69">
        <f t="shared" si="4"/>
        <v>-10877.852522924732</v>
      </c>
      <c r="K297" s="69">
        <f t="shared" si="5"/>
        <v>-43090.169943749475</v>
      </c>
    </row>
    <row r="298" spans="1:11" x14ac:dyDescent="0.3">
      <c r="A298" s="69">
        <v>14</v>
      </c>
      <c r="B298" s="69">
        <f t="shared" si="6"/>
        <v>4.3982297150257104</v>
      </c>
      <c r="C298" s="63"/>
      <c r="D298" s="69">
        <f t="shared" si="0"/>
        <v>16909.830056250525</v>
      </c>
      <c r="E298" s="69">
        <f t="shared" si="1"/>
        <v>10489.434837048464</v>
      </c>
      <c r="F298" s="63"/>
      <c r="G298" s="69">
        <f t="shared" si="2"/>
        <v>-22472.13595499958</v>
      </c>
      <c r="H298" s="69">
        <f t="shared" si="3"/>
        <v>12391.547869638773</v>
      </c>
      <c r="I298" s="63"/>
      <c r="J298" s="69">
        <f t="shared" si="4"/>
        <v>-8090.1699437494754</v>
      </c>
      <c r="K298" s="69">
        <f t="shared" si="5"/>
        <v>-44510.565162951534</v>
      </c>
    </row>
    <row r="299" spans="1:11" x14ac:dyDescent="0.3">
      <c r="A299" s="69">
        <v>15</v>
      </c>
      <c r="B299" s="69">
        <f t="shared" si="6"/>
        <v>4.7123889803846897</v>
      </c>
      <c r="C299" s="63"/>
      <c r="D299" s="69">
        <f t="shared" si="0"/>
        <v>19999.999999999996</v>
      </c>
      <c r="E299" s="69">
        <f t="shared" si="1"/>
        <v>10000</v>
      </c>
      <c r="F299" s="63"/>
      <c r="G299" s="69">
        <f t="shared" si="2"/>
        <v>-20000</v>
      </c>
      <c r="H299" s="69">
        <f t="shared" si="3"/>
        <v>12000</v>
      </c>
      <c r="I299" s="63"/>
      <c r="J299" s="69">
        <f t="shared" si="4"/>
        <v>-5000.0000000000018</v>
      </c>
      <c r="K299" s="69">
        <f t="shared" si="5"/>
        <v>-45000</v>
      </c>
    </row>
    <row r="300" spans="1:11" x14ac:dyDescent="0.3">
      <c r="A300" s="69">
        <v>16</v>
      </c>
      <c r="B300" s="69">
        <f t="shared" si="6"/>
        <v>5.026548245743669</v>
      </c>
      <c r="C300" s="63"/>
      <c r="D300" s="69">
        <f t="shared" si="0"/>
        <v>23090.169943749472</v>
      </c>
      <c r="E300" s="69">
        <f t="shared" si="1"/>
        <v>10489.434837048464</v>
      </c>
      <c r="F300" s="63"/>
      <c r="G300" s="69">
        <f t="shared" si="2"/>
        <v>-17527.864045000424</v>
      </c>
      <c r="H300" s="69">
        <f t="shared" si="3"/>
        <v>12391.547869638771</v>
      </c>
      <c r="I300" s="63"/>
      <c r="J300" s="69">
        <f t="shared" si="4"/>
        <v>-1909.8300562505278</v>
      </c>
      <c r="K300" s="69">
        <f t="shared" si="5"/>
        <v>-44510.565162951534</v>
      </c>
    </row>
    <row r="301" spans="1:11" x14ac:dyDescent="0.3">
      <c r="A301" s="69">
        <v>17</v>
      </c>
      <c r="B301" s="69">
        <f t="shared" si="6"/>
        <v>5.3407075111026483</v>
      </c>
      <c r="C301" s="63"/>
      <c r="D301" s="69">
        <f t="shared" si="0"/>
        <v>25877.852522924728</v>
      </c>
      <c r="E301" s="69">
        <f t="shared" si="1"/>
        <v>11909.830056250525</v>
      </c>
      <c r="F301" s="63"/>
      <c r="G301" s="69">
        <f t="shared" si="2"/>
        <v>-15297.717981660217</v>
      </c>
      <c r="H301" s="69">
        <f t="shared" si="3"/>
        <v>13527.86404500042</v>
      </c>
      <c r="I301" s="63"/>
      <c r="J301" s="69">
        <f t="shared" si="4"/>
        <v>877.85252292472887</v>
      </c>
      <c r="K301" s="69">
        <f t="shared" si="5"/>
        <v>-43090.169943749475</v>
      </c>
    </row>
    <row r="302" spans="1:11" x14ac:dyDescent="0.3">
      <c r="A302" s="69">
        <v>18</v>
      </c>
      <c r="B302" s="69">
        <f t="shared" si="6"/>
        <v>5.6548667764616276</v>
      </c>
      <c r="C302" s="63"/>
      <c r="D302" s="69">
        <f t="shared" si="0"/>
        <v>28090.169943749475</v>
      </c>
      <c r="E302" s="69">
        <f t="shared" si="1"/>
        <v>14122.147477075267</v>
      </c>
      <c r="F302" s="63"/>
      <c r="G302" s="69">
        <f t="shared" si="2"/>
        <v>-13527.86404500042</v>
      </c>
      <c r="H302" s="69">
        <f t="shared" si="3"/>
        <v>15297.717981660213</v>
      </c>
      <c r="I302" s="63"/>
      <c r="J302" s="69">
        <f t="shared" si="4"/>
        <v>3090.1699437494735</v>
      </c>
      <c r="K302" s="69">
        <f t="shared" si="5"/>
        <v>-40877.852522924732</v>
      </c>
    </row>
    <row r="303" spans="1:11" x14ac:dyDescent="0.3">
      <c r="A303" s="69">
        <v>19</v>
      </c>
      <c r="B303" s="69">
        <f t="shared" si="6"/>
        <v>5.9690260418206069</v>
      </c>
      <c r="C303" s="63"/>
      <c r="D303" s="69">
        <f t="shared" si="0"/>
        <v>29510.565162951534</v>
      </c>
      <c r="E303" s="69">
        <f t="shared" si="1"/>
        <v>16909.830056250525</v>
      </c>
      <c r="F303" s="63"/>
      <c r="G303" s="69">
        <f t="shared" si="2"/>
        <v>-12391.547869638773</v>
      </c>
      <c r="H303" s="69">
        <f t="shared" si="3"/>
        <v>17527.86404500042</v>
      </c>
      <c r="I303" s="63"/>
      <c r="J303" s="69">
        <f t="shared" si="4"/>
        <v>4510.565162951536</v>
      </c>
      <c r="K303" s="69">
        <f t="shared" si="5"/>
        <v>-38090.169943749475</v>
      </c>
    </row>
    <row r="304" spans="1:11" x14ac:dyDescent="0.3">
      <c r="A304" s="70">
        <v>20</v>
      </c>
      <c r="B304" s="70">
        <f t="shared" si="6"/>
        <v>6.2831853071795862</v>
      </c>
      <c r="C304" s="64"/>
      <c r="D304" s="70">
        <f t="shared" si="0"/>
        <v>30000</v>
      </c>
      <c r="E304" s="70">
        <f t="shared" si="1"/>
        <v>19999.999999999996</v>
      </c>
      <c r="F304" s="64"/>
      <c r="G304" s="70">
        <f t="shared" si="2"/>
        <v>-12000</v>
      </c>
      <c r="H304" s="70">
        <f t="shared" si="3"/>
        <v>19999.999999999996</v>
      </c>
      <c r="I304" s="64"/>
      <c r="J304" s="70">
        <f t="shared" si="4"/>
        <v>5000</v>
      </c>
      <c r="K304" s="70">
        <f t="shared" si="5"/>
        <v>-35000</v>
      </c>
    </row>
    <row r="306" spans="1:16" x14ac:dyDescent="0.3">
      <c r="A306" s="105" t="s">
        <v>74</v>
      </c>
      <c r="B306" s="105"/>
      <c r="C306" s="105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</row>
    <row r="307" spans="1:16" x14ac:dyDescent="0.3">
      <c r="A307" s="60"/>
      <c r="B307" s="77" t="s">
        <v>38</v>
      </c>
      <c r="C307" s="77"/>
      <c r="D307" s="77" t="s">
        <v>36</v>
      </c>
      <c r="E307" s="77"/>
      <c r="F307" s="77" t="s">
        <v>35</v>
      </c>
      <c r="G307" s="77"/>
      <c r="H307" s="77" t="s">
        <v>39</v>
      </c>
      <c r="I307" s="77"/>
      <c r="J307" s="77"/>
      <c r="K307" s="77" t="s">
        <v>40</v>
      </c>
      <c r="L307" s="77"/>
      <c r="M307" s="77"/>
      <c r="N307" s="77" t="s">
        <v>41</v>
      </c>
      <c r="O307" s="77"/>
      <c r="P307" s="77"/>
    </row>
    <row r="308" spans="1:16" ht="18" x14ac:dyDescent="0.35">
      <c r="A308" s="61" t="s">
        <v>34</v>
      </c>
      <c r="B308" s="62" t="s">
        <v>2</v>
      </c>
      <c r="C308" s="62" t="s">
        <v>3</v>
      </c>
      <c r="D308" s="62" t="s">
        <v>2</v>
      </c>
      <c r="E308" s="62" t="s">
        <v>3</v>
      </c>
      <c r="F308" s="62" t="s">
        <v>2</v>
      </c>
      <c r="G308" s="62" t="s">
        <v>3</v>
      </c>
      <c r="H308" s="62" t="s">
        <v>37</v>
      </c>
      <c r="I308" s="62" t="s">
        <v>72</v>
      </c>
      <c r="J308" s="62" t="s">
        <v>73</v>
      </c>
      <c r="K308" s="62" t="s">
        <v>75</v>
      </c>
      <c r="L308" s="62" t="s">
        <v>76</v>
      </c>
      <c r="M308" s="62" t="s">
        <v>77</v>
      </c>
      <c r="N308" s="62" t="s">
        <v>78</v>
      </c>
      <c r="O308" s="62" t="s">
        <v>79</v>
      </c>
      <c r="P308" s="62" t="s">
        <v>80</v>
      </c>
    </row>
    <row r="309" spans="1:16" ht="18" x14ac:dyDescent="0.35">
      <c r="A309" s="71">
        <v>0</v>
      </c>
      <c r="B309" s="73">
        <f>$D$11</f>
        <v>0</v>
      </c>
      <c r="C309" s="73">
        <f>$C$11</f>
        <v>0</v>
      </c>
      <c r="D309" s="73">
        <f>$C$12</f>
        <v>0</v>
      </c>
      <c r="E309" s="73">
        <f>$D$12</f>
        <v>0</v>
      </c>
      <c r="F309" s="73">
        <f>$C$13</f>
        <v>0</v>
      </c>
      <c r="G309" s="73">
        <f>$D$13</f>
        <v>0</v>
      </c>
      <c r="H309" s="73"/>
      <c r="I309" s="73"/>
      <c r="J309" s="73"/>
      <c r="K309" s="73"/>
      <c r="L309" s="73"/>
      <c r="M309" s="73"/>
      <c r="N309" s="73"/>
      <c r="O309" s="73"/>
      <c r="P309" s="73"/>
    </row>
    <row r="310" spans="1:16" x14ac:dyDescent="0.3">
      <c r="A310" s="72">
        <f>A309+$C$5</f>
        <v>0.5</v>
      </c>
      <c r="B310" s="74">
        <f>B309+D309*(A310-A309)+F309*(A310-A309)^2</f>
        <v>0</v>
      </c>
      <c r="C310" s="74">
        <f>C309+E309*(A310-A309)+G309*(A310-A309)^2</f>
        <v>0</v>
      </c>
      <c r="D310" s="74">
        <f>D309+F309*(A310-A309)</f>
        <v>0</v>
      </c>
      <c r="E310" s="74">
        <f>E309+G309*(A310-A309)</f>
        <v>0</v>
      </c>
      <c r="F310" s="74">
        <f t="shared" ref="F310:F373" si="7">$C$23*(H310/(J310^2+$C$24^2)^1.5)+$C$32*(K310/(M310^2+$C$33^2)^1.5)+C$41*(N310/(P310^2+$C$42^2)^1.5)</f>
        <v>991.61442303211356</v>
      </c>
      <c r="G310" s="74">
        <f t="shared" ref="G310:G373" si="8">$C$23*(I310/(J310^2+$C$24^2)^1.5)+$C$32*(L310/(M310^2+$C$33^2)^1.5)+C$41*(O310/(P310^2+$C$42^2)^1.5)</f>
        <v>1836.0916774596926</v>
      </c>
      <c r="H310" s="74">
        <f>$C$19-B310</f>
        <v>20000</v>
      </c>
      <c r="I310" s="74">
        <f>$D$19-C310</f>
        <v>20000</v>
      </c>
      <c r="J310" s="74">
        <f>SQRT(H310^2+I310^2)</f>
        <v>28284.2712474619</v>
      </c>
      <c r="K310" s="74">
        <f>$C$28-B310</f>
        <v>-20000</v>
      </c>
      <c r="L310" s="74">
        <f>$D$28-C310</f>
        <v>20000</v>
      </c>
      <c r="M310" s="74">
        <f>SQRT(K310^2+L310^2)</f>
        <v>28284.2712474619</v>
      </c>
      <c r="N310" s="74">
        <f>$C$37-B310</f>
        <v>-5000</v>
      </c>
      <c r="O310" s="74">
        <f>$D$37-C310</f>
        <v>-35000</v>
      </c>
      <c r="P310" s="74">
        <f>SQRT(N310^2+O310^2)</f>
        <v>35355.33905932738</v>
      </c>
    </row>
    <row r="311" spans="1:16" x14ac:dyDescent="0.3">
      <c r="A311" s="72">
        <f>A310+$C$5</f>
        <v>1</v>
      </c>
      <c r="B311" s="74">
        <f t="shared" ref="B311:B374" si="9">B310+D310*(A311-A310)+F310*(A311-A310)^2</f>
        <v>247.90360575802839</v>
      </c>
      <c r="C311" s="74">
        <f t="shared" ref="C311:C374" si="10">C310+E310*(A311-A310)+G310*(A311-A310)^2</f>
        <v>459.02291936492315</v>
      </c>
      <c r="D311" s="74">
        <f t="shared" ref="D311:D374" si="11">D310+F310*(A311-A310)</f>
        <v>495.80721151605678</v>
      </c>
      <c r="E311" s="74">
        <f t="shared" ref="E311:E374" si="12">E310+G310*(A311-A310)</f>
        <v>918.04583872984631</v>
      </c>
      <c r="F311" s="74">
        <f t="shared" si="7"/>
        <v>1052.1724932489167</v>
      </c>
      <c r="G311" s="74">
        <f t="shared" si="8"/>
        <v>1970.6769671501979</v>
      </c>
      <c r="H311" s="74">
        <f t="shared" ref="H311:H374" si="13">$C$19-B311</f>
        <v>19752.096394241973</v>
      </c>
      <c r="I311" s="74">
        <f t="shared" ref="I311:I374" si="14">$D$19-C311</f>
        <v>19540.977080635075</v>
      </c>
      <c r="J311" s="74">
        <f t="shared" ref="J311:J374" si="15">SQRT(H311^2+I311^2)</f>
        <v>27784.799751542789</v>
      </c>
      <c r="K311" s="74">
        <f t="shared" ref="K311:K374" si="16">$C$28-B311</f>
        <v>-20247.903605758027</v>
      </c>
      <c r="L311" s="74">
        <f t="shared" ref="L311:L374" si="17">$D$28-C311</f>
        <v>19540.977080635075</v>
      </c>
      <c r="M311" s="74">
        <f t="shared" ref="M311:M374" si="18">SQRT(K311^2+L311^2)</f>
        <v>28139.427600681116</v>
      </c>
      <c r="N311" s="74">
        <f t="shared" ref="N311:N374" si="19">$C$37-B311</f>
        <v>-5247.9036057580288</v>
      </c>
      <c r="O311" s="74">
        <f t="shared" ref="O311:O374" si="20">$D$37-C311</f>
        <v>-35459.022919364921</v>
      </c>
      <c r="P311" s="74">
        <f t="shared" ref="P311:P374" si="21">SQRT(N311^2+O311^2)</f>
        <v>35845.261871708724</v>
      </c>
    </row>
    <row r="312" spans="1:16" x14ac:dyDescent="0.3">
      <c r="A312" s="72">
        <f t="shared" ref="A312:A374" si="22">A311+$C$5</f>
        <v>1.5</v>
      </c>
      <c r="B312" s="74">
        <f t="shared" si="9"/>
        <v>758.8503348282859</v>
      </c>
      <c r="C312" s="74">
        <f t="shared" si="10"/>
        <v>1410.7150805173958</v>
      </c>
      <c r="D312" s="74">
        <f t="shared" si="11"/>
        <v>1021.8934581405151</v>
      </c>
      <c r="E312" s="74">
        <f t="shared" si="12"/>
        <v>1903.3843223049453</v>
      </c>
      <c r="F312" s="74">
        <f t="shared" si="7"/>
        <v>1199.0591441860847</v>
      </c>
      <c r="G312" s="74">
        <f t="shared" si="8"/>
        <v>2240.992305440936</v>
      </c>
      <c r="H312" s="74">
        <f t="shared" si="13"/>
        <v>19241.149665171713</v>
      </c>
      <c r="I312" s="74">
        <f t="shared" si="14"/>
        <v>18589.284919482605</v>
      </c>
      <c r="J312" s="74">
        <f t="shared" si="15"/>
        <v>26754.127798439644</v>
      </c>
      <c r="K312" s="74">
        <f t="shared" si="16"/>
        <v>-20758.850334828287</v>
      </c>
      <c r="L312" s="74">
        <f t="shared" si="17"/>
        <v>18589.284919482605</v>
      </c>
      <c r="M312" s="74">
        <f t="shared" si="18"/>
        <v>27865.594934282381</v>
      </c>
      <c r="N312" s="74">
        <f t="shared" si="19"/>
        <v>-5758.8503348282857</v>
      </c>
      <c r="O312" s="74">
        <f t="shared" si="20"/>
        <v>-36410.715080517395</v>
      </c>
      <c r="P312" s="74">
        <f t="shared" si="21"/>
        <v>36863.322284536</v>
      </c>
    </row>
    <row r="313" spans="1:16" x14ac:dyDescent="0.3">
      <c r="A313" s="72">
        <f t="shared" si="22"/>
        <v>2</v>
      </c>
      <c r="B313" s="74">
        <f>B312+D312*(A313-A312)+F312*(A313-A312)^2</f>
        <v>1569.5618499450648</v>
      </c>
      <c r="C313" s="74">
        <f t="shared" si="10"/>
        <v>2922.6553180301021</v>
      </c>
      <c r="D313" s="74">
        <f t="shared" si="11"/>
        <v>1621.4230302335575</v>
      </c>
      <c r="E313" s="74">
        <f t="shared" si="12"/>
        <v>3023.880475025413</v>
      </c>
      <c r="F313" s="74">
        <f t="shared" si="7"/>
        <v>1499.0888751188861</v>
      </c>
      <c r="G313" s="74">
        <f t="shared" si="8"/>
        <v>2648.0460679167213</v>
      </c>
      <c r="H313" s="74">
        <f t="shared" si="13"/>
        <v>18430.438150054935</v>
      </c>
      <c r="I313" s="74">
        <f t="shared" si="14"/>
        <v>17077.344681969898</v>
      </c>
      <c r="J313" s="74">
        <f t="shared" si="15"/>
        <v>25126.01742795316</v>
      </c>
      <c r="K313" s="74">
        <f t="shared" si="16"/>
        <v>-21569.561849945065</v>
      </c>
      <c r="L313" s="74">
        <f t="shared" si="17"/>
        <v>17077.344681969898</v>
      </c>
      <c r="M313" s="74">
        <f t="shared" si="18"/>
        <v>27511.483053180014</v>
      </c>
      <c r="N313" s="74">
        <f t="shared" si="19"/>
        <v>-6569.5618499450648</v>
      </c>
      <c r="O313" s="74">
        <f t="shared" si="20"/>
        <v>-37922.655318030105</v>
      </c>
      <c r="P313" s="74">
        <f t="shared" si="21"/>
        <v>38487.4905556386</v>
      </c>
    </row>
    <row r="314" spans="1:16" x14ac:dyDescent="0.3">
      <c r="A314" s="72">
        <f t="shared" si="22"/>
        <v>2.5</v>
      </c>
      <c r="B314" s="74">
        <f t="shared" si="9"/>
        <v>2755.0455838415651</v>
      </c>
      <c r="C314" s="74">
        <f t="shared" si="10"/>
        <v>5096.6070725219888</v>
      </c>
      <c r="D314" s="74">
        <f t="shared" si="11"/>
        <v>2370.9674677930007</v>
      </c>
      <c r="E314" s="74">
        <f>E313+G313*(A314-A313)</f>
        <v>4347.9035089837735</v>
      </c>
      <c r="F314" s="74">
        <f t="shared" si="7"/>
        <v>2106.6976068307645</v>
      </c>
      <c r="G314" s="74">
        <f t="shared" si="8"/>
        <v>3191.4323285675282</v>
      </c>
      <c r="H314" s="74">
        <f t="shared" si="13"/>
        <v>17244.954416158434</v>
      </c>
      <c r="I314" s="74">
        <f t="shared" si="14"/>
        <v>14903.392927478011</v>
      </c>
      <c r="J314" s="74">
        <f t="shared" si="15"/>
        <v>22792.533285402566</v>
      </c>
      <c r="K314" s="74">
        <f t="shared" si="16"/>
        <v>-22755.045583841566</v>
      </c>
      <c r="L314" s="74">
        <f t="shared" si="17"/>
        <v>14903.392927478011</v>
      </c>
      <c r="M314" s="74">
        <f t="shared" si="18"/>
        <v>27201.162112555212</v>
      </c>
      <c r="N314" s="74">
        <f t="shared" si="19"/>
        <v>-7755.0455838415655</v>
      </c>
      <c r="O314" s="74">
        <f t="shared" si="20"/>
        <v>-40096.607072521991</v>
      </c>
      <c r="P314" s="74">
        <f t="shared" si="21"/>
        <v>40839.669816682908</v>
      </c>
    </row>
    <row r="315" spans="1:16" x14ac:dyDescent="0.3">
      <c r="A315" s="72">
        <f t="shared" si="22"/>
        <v>3</v>
      </c>
      <c r="B315" s="74">
        <f t="shared" si="9"/>
        <v>4467.2037194457562</v>
      </c>
      <c r="C315" s="74">
        <f t="shared" si="10"/>
        <v>8068.4169091557578</v>
      </c>
      <c r="D315" s="74">
        <f t="shared" si="11"/>
        <v>3424.3162712083831</v>
      </c>
      <c r="E315" s="74">
        <f t="shared" si="12"/>
        <v>5943.619673267538</v>
      </c>
      <c r="F315" s="74">
        <f t="shared" si="7"/>
        <v>3391.0085937710187</v>
      </c>
      <c r="G315" s="74">
        <f t="shared" si="8"/>
        <v>3868.0075477952223</v>
      </c>
      <c r="H315" s="74">
        <f t="shared" si="13"/>
        <v>15532.796280554245</v>
      </c>
      <c r="I315" s="74">
        <f t="shared" si="14"/>
        <v>11931.583090844242</v>
      </c>
      <c r="J315" s="74">
        <f t="shared" si="15"/>
        <v>19586.48603876969</v>
      </c>
      <c r="K315" s="74">
        <f t="shared" si="16"/>
        <v>-24467.203719445755</v>
      </c>
      <c r="L315" s="74">
        <f t="shared" si="17"/>
        <v>11931.583090844242</v>
      </c>
      <c r="M315" s="74">
        <f t="shared" si="18"/>
        <v>27221.438847029749</v>
      </c>
      <c r="N315" s="74">
        <f t="shared" si="19"/>
        <v>-9467.2037194457553</v>
      </c>
      <c r="O315" s="74">
        <f t="shared" si="20"/>
        <v>-43068.416909155756</v>
      </c>
      <c r="P315" s="74">
        <f t="shared" si="21"/>
        <v>44096.671998307771</v>
      </c>
    </row>
    <row r="316" spans="1:16" x14ac:dyDescent="0.3">
      <c r="A316" s="72">
        <f t="shared" si="22"/>
        <v>3.5</v>
      </c>
      <c r="B316" s="74">
        <f t="shared" si="9"/>
        <v>7027.1140034927021</v>
      </c>
      <c r="C316" s="74">
        <f t="shared" si="10"/>
        <v>12007.228632738332</v>
      </c>
      <c r="D316" s="74">
        <f t="shared" si="11"/>
        <v>5119.8205680938927</v>
      </c>
      <c r="E316" s="74">
        <f t="shared" si="12"/>
        <v>7877.6234471651496</v>
      </c>
      <c r="F316" s="74">
        <f t="shared" si="7"/>
        <v>6256.3370273695427</v>
      </c>
      <c r="G316" s="74">
        <f t="shared" si="8"/>
        <v>4592.2538427651889</v>
      </c>
      <c r="H316" s="74">
        <f t="shared" si="13"/>
        <v>12972.885996507299</v>
      </c>
      <c r="I316" s="74">
        <f t="shared" si="14"/>
        <v>7992.7713672616683</v>
      </c>
      <c r="J316" s="74">
        <f t="shared" si="15"/>
        <v>15237.459276654134</v>
      </c>
      <c r="K316" s="74">
        <f t="shared" si="16"/>
        <v>-27027.114003492701</v>
      </c>
      <c r="L316" s="74">
        <f t="shared" si="17"/>
        <v>7992.7713672616683</v>
      </c>
      <c r="M316" s="74">
        <f t="shared" si="18"/>
        <v>28184.202764795555</v>
      </c>
      <c r="N316" s="74">
        <f t="shared" si="19"/>
        <v>-12027.114003492701</v>
      </c>
      <c r="O316" s="74">
        <f t="shared" si="20"/>
        <v>-47007.228632738334</v>
      </c>
      <c r="P316" s="74">
        <f t="shared" si="21"/>
        <v>48521.449019825704</v>
      </c>
    </row>
    <row r="317" spans="1:16" x14ac:dyDescent="0.3">
      <c r="A317" s="72">
        <f t="shared" si="22"/>
        <v>4</v>
      </c>
      <c r="B317" s="74">
        <f t="shared" si="9"/>
        <v>11151.108544382034</v>
      </c>
      <c r="C317" s="74">
        <f t="shared" si="10"/>
        <v>17094.103817012205</v>
      </c>
      <c r="D317" s="74">
        <f t="shared" si="11"/>
        <v>8247.9890817786636</v>
      </c>
      <c r="E317" s="74">
        <f t="shared" si="12"/>
        <v>10173.750368547744</v>
      </c>
      <c r="F317" s="74">
        <f t="shared" si="7"/>
        <v>12143.677795780621</v>
      </c>
      <c r="G317" s="74">
        <f t="shared" si="8"/>
        <v>3674.8057910740426</v>
      </c>
      <c r="H317" s="74">
        <f t="shared" si="13"/>
        <v>8848.8914556179661</v>
      </c>
      <c r="I317" s="74">
        <f t="shared" si="14"/>
        <v>2905.8961829877953</v>
      </c>
      <c r="J317" s="74">
        <f t="shared" si="15"/>
        <v>9313.8130011081757</v>
      </c>
      <c r="K317" s="74">
        <f t="shared" si="16"/>
        <v>-31151.108544382034</v>
      </c>
      <c r="L317" s="74">
        <f t="shared" si="17"/>
        <v>2905.8961829877953</v>
      </c>
      <c r="M317" s="74">
        <f t="shared" si="18"/>
        <v>31286.351595706627</v>
      </c>
      <c r="N317" s="74">
        <f t="shared" si="19"/>
        <v>-16151.108544382034</v>
      </c>
      <c r="O317" s="74">
        <f t="shared" si="20"/>
        <v>-52094.103817012205</v>
      </c>
      <c r="P317" s="74">
        <f t="shared" si="21"/>
        <v>54540.388334793286</v>
      </c>
    </row>
    <row r="318" spans="1:16" x14ac:dyDescent="0.3">
      <c r="A318" s="72">
        <f t="shared" si="22"/>
        <v>4.5</v>
      </c>
      <c r="B318" s="74">
        <f t="shared" si="9"/>
        <v>18311.022534216521</v>
      </c>
      <c r="C318" s="74">
        <f t="shared" si="10"/>
        <v>23099.680449054587</v>
      </c>
      <c r="D318" s="74">
        <f t="shared" si="11"/>
        <v>14319.827979668975</v>
      </c>
      <c r="E318" s="74">
        <f t="shared" si="12"/>
        <v>12011.153264084765</v>
      </c>
      <c r="F318" s="74">
        <f t="shared" si="7"/>
        <v>4191.1031986894441</v>
      </c>
      <c r="G318" s="74">
        <f t="shared" si="8"/>
        <v>-11951.953775884895</v>
      </c>
      <c r="H318" s="74">
        <f t="shared" si="13"/>
        <v>1688.9774657834787</v>
      </c>
      <c r="I318" s="74">
        <f t="shared" si="14"/>
        <v>-3099.6804490545874</v>
      </c>
      <c r="J318" s="74">
        <f t="shared" si="15"/>
        <v>3529.9665389597722</v>
      </c>
      <c r="K318" s="74">
        <f t="shared" si="16"/>
        <v>-38311.022534216521</v>
      </c>
      <c r="L318" s="74">
        <f t="shared" si="17"/>
        <v>-3099.6804490545874</v>
      </c>
      <c r="M318" s="74">
        <f t="shared" si="18"/>
        <v>38436.212957359588</v>
      </c>
      <c r="N318" s="74">
        <f t="shared" si="19"/>
        <v>-23311.022534216521</v>
      </c>
      <c r="O318" s="74">
        <f t="shared" si="20"/>
        <v>-58099.680449054591</v>
      </c>
      <c r="P318" s="74">
        <f t="shared" si="21"/>
        <v>62601.730326509401</v>
      </c>
    </row>
    <row r="319" spans="1:16" x14ac:dyDescent="0.3">
      <c r="A319" s="72">
        <f t="shared" si="22"/>
        <v>5</v>
      </c>
      <c r="B319" s="74">
        <f t="shared" si="9"/>
        <v>26518.712323723368</v>
      </c>
      <c r="C319" s="74">
        <f t="shared" si="10"/>
        <v>26117.268637125748</v>
      </c>
      <c r="D319" s="74">
        <f t="shared" si="11"/>
        <v>16415.379579013697</v>
      </c>
      <c r="E319" s="74">
        <f t="shared" si="12"/>
        <v>6035.1763761423181</v>
      </c>
      <c r="F319" s="74">
        <f t="shared" si="7"/>
        <v>-12633.631610641331</v>
      </c>
      <c r="G319" s="74">
        <f t="shared" si="8"/>
        <v>-11502.725988211436</v>
      </c>
      <c r="H319" s="74">
        <f t="shared" si="13"/>
        <v>-6518.7123237233682</v>
      </c>
      <c r="I319" s="74">
        <f t="shared" si="14"/>
        <v>-6117.2686371257478</v>
      </c>
      <c r="J319" s="74">
        <f t="shared" si="15"/>
        <v>8939.4958436270445</v>
      </c>
      <c r="K319" s="74">
        <f t="shared" si="16"/>
        <v>-46518.712323723368</v>
      </c>
      <c r="L319" s="74">
        <f t="shared" si="17"/>
        <v>-6117.2686371257478</v>
      </c>
      <c r="M319" s="74">
        <f t="shared" si="18"/>
        <v>46919.202591647852</v>
      </c>
      <c r="N319" s="74">
        <f t="shared" si="19"/>
        <v>-31518.712323723368</v>
      </c>
      <c r="O319" s="74">
        <f t="shared" si="20"/>
        <v>-61117.268637125744</v>
      </c>
      <c r="P319" s="74">
        <f t="shared" si="21"/>
        <v>68765.90544890851</v>
      </c>
    </row>
    <row r="320" spans="1:16" x14ac:dyDescent="0.3">
      <c r="A320" s="72">
        <f t="shared" si="22"/>
        <v>5.5</v>
      </c>
      <c r="B320" s="74">
        <f t="shared" si="9"/>
        <v>31567.994210569883</v>
      </c>
      <c r="C320" s="74">
        <f t="shared" si="10"/>
        <v>26259.175328144051</v>
      </c>
      <c r="D320" s="74">
        <f t="shared" si="11"/>
        <v>10098.563773693033</v>
      </c>
      <c r="E320" s="74">
        <f t="shared" si="12"/>
        <v>283.81338203660016</v>
      </c>
      <c r="F320" s="74">
        <f t="shared" si="7"/>
        <v>-11914.098927506329</v>
      </c>
      <c r="G320" s="74">
        <f t="shared" si="8"/>
        <v>-6591.3860904678031</v>
      </c>
      <c r="H320" s="74">
        <f t="shared" si="13"/>
        <v>-11567.994210569883</v>
      </c>
      <c r="I320" s="74">
        <f t="shared" si="14"/>
        <v>-6259.1753281440506</v>
      </c>
      <c r="J320" s="74">
        <f t="shared" si="15"/>
        <v>13152.785478529844</v>
      </c>
      <c r="K320" s="74">
        <f t="shared" si="16"/>
        <v>-51567.994210569886</v>
      </c>
      <c r="L320" s="74">
        <f t="shared" si="17"/>
        <v>-6259.1753281440506</v>
      </c>
      <c r="M320" s="74">
        <f t="shared" si="18"/>
        <v>51946.465738198363</v>
      </c>
      <c r="N320" s="74">
        <f t="shared" si="19"/>
        <v>-36567.994210569886</v>
      </c>
      <c r="O320" s="74">
        <f t="shared" si="20"/>
        <v>-61259.175328144047</v>
      </c>
      <c r="P320" s="74">
        <f t="shared" si="21"/>
        <v>71343.568473048537</v>
      </c>
    </row>
    <row r="321" spans="1:16" x14ac:dyDescent="0.3">
      <c r="A321" s="72">
        <f t="shared" si="22"/>
        <v>6</v>
      </c>
      <c r="B321" s="74">
        <f t="shared" si="9"/>
        <v>33638.751365539814</v>
      </c>
      <c r="C321" s="74">
        <f t="shared" si="10"/>
        <v>24753.2354965454</v>
      </c>
      <c r="D321" s="74">
        <f t="shared" si="11"/>
        <v>4141.5143099398683</v>
      </c>
      <c r="E321" s="74">
        <f t="shared" si="12"/>
        <v>-3011.8796631973014</v>
      </c>
      <c r="F321" s="74">
        <f t="shared" si="7"/>
        <v>-11687.033341254713</v>
      </c>
      <c r="G321" s="74">
        <f t="shared" si="8"/>
        <v>-4410.3131427887856</v>
      </c>
      <c r="H321" s="74">
        <f t="shared" si="13"/>
        <v>-13638.751365539814</v>
      </c>
      <c r="I321" s="74">
        <f t="shared" si="14"/>
        <v>-4753.2354965453997</v>
      </c>
      <c r="J321" s="74">
        <f t="shared" si="15"/>
        <v>14443.295555261388</v>
      </c>
      <c r="K321" s="74">
        <f t="shared" si="16"/>
        <v>-53638.751365539814</v>
      </c>
      <c r="L321" s="74">
        <f t="shared" si="17"/>
        <v>-4753.2354965453997</v>
      </c>
      <c r="M321" s="74">
        <f t="shared" si="18"/>
        <v>53848.945168311504</v>
      </c>
      <c r="N321" s="74">
        <f t="shared" si="19"/>
        <v>-38638.751365539814</v>
      </c>
      <c r="O321" s="74">
        <f t="shared" si="20"/>
        <v>-59753.2354965454</v>
      </c>
      <c r="P321" s="74">
        <f t="shared" si="21"/>
        <v>71157.587504029521</v>
      </c>
    </row>
    <row r="322" spans="1:16" x14ac:dyDescent="0.3">
      <c r="A322" s="72">
        <f t="shared" si="22"/>
        <v>6.5</v>
      </c>
      <c r="B322" s="74">
        <f t="shared" si="9"/>
        <v>32787.75018519607</v>
      </c>
      <c r="C322" s="74">
        <f t="shared" si="10"/>
        <v>22144.717379249552</v>
      </c>
      <c r="D322" s="74">
        <f t="shared" si="11"/>
        <v>-1702.0023606874884</v>
      </c>
      <c r="E322" s="74">
        <f t="shared" si="12"/>
        <v>-5217.0362345916947</v>
      </c>
      <c r="F322" s="74">
        <f t="shared" si="7"/>
        <v>-13419.406878345015</v>
      </c>
      <c r="G322" s="74">
        <f t="shared" si="8"/>
        <v>-2797.6208971229862</v>
      </c>
      <c r="H322" s="74">
        <f t="shared" si="13"/>
        <v>-12787.75018519607</v>
      </c>
      <c r="I322" s="74">
        <f t="shared" si="14"/>
        <v>-2144.7173792495523</v>
      </c>
      <c r="J322" s="74">
        <f t="shared" si="15"/>
        <v>12966.355210152049</v>
      </c>
      <c r="K322" s="74">
        <f t="shared" si="16"/>
        <v>-52787.75018519607</v>
      </c>
      <c r="L322" s="74">
        <f t="shared" si="17"/>
        <v>-2144.7173792495523</v>
      </c>
      <c r="M322" s="74">
        <f t="shared" si="18"/>
        <v>52831.30115993286</v>
      </c>
      <c r="N322" s="74">
        <f t="shared" si="19"/>
        <v>-37787.75018519607</v>
      </c>
      <c r="O322" s="74">
        <f t="shared" si="20"/>
        <v>-57144.717379249552</v>
      </c>
      <c r="P322" s="74">
        <f t="shared" si="21"/>
        <v>68508.632948067883</v>
      </c>
    </row>
    <row r="323" spans="1:16" x14ac:dyDescent="0.3">
      <c r="A323" s="72">
        <f t="shared" si="22"/>
        <v>7</v>
      </c>
      <c r="B323" s="74">
        <f t="shared" si="9"/>
        <v>28581.89728526607</v>
      </c>
      <c r="C323" s="74">
        <f t="shared" si="10"/>
        <v>18836.79403767296</v>
      </c>
      <c r="D323" s="74">
        <f t="shared" si="11"/>
        <v>-8411.7057998599958</v>
      </c>
      <c r="E323" s="74">
        <f t="shared" si="12"/>
        <v>-6615.8466831531878</v>
      </c>
      <c r="F323" s="74">
        <f t="shared" si="7"/>
        <v>-16930.64408883535</v>
      </c>
      <c r="G323" s="74">
        <f t="shared" si="8"/>
        <v>1274.6906738506498</v>
      </c>
      <c r="H323" s="74">
        <f t="shared" si="13"/>
        <v>-8581.89728526607</v>
      </c>
      <c r="I323" s="74">
        <f t="shared" si="14"/>
        <v>1163.2059623270397</v>
      </c>
      <c r="J323" s="74">
        <f t="shared" si="15"/>
        <v>8660.3700339910611</v>
      </c>
      <c r="K323" s="74">
        <f t="shared" si="16"/>
        <v>-48581.897285266066</v>
      </c>
      <c r="L323" s="74">
        <f t="shared" si="17"/>
        <v>1163.2059623270397</v>
      </c>
      <c r="M323" s="74">
        <f t="shared" si="18"/>
        <v>48595.820725109021</v>
      </c>
      <c r="N323" s="74">
        <f t="shared" si="19"/>
        <v>-33581.897285266066</v>
      </c>
      <c r="O323" s="74">
        <f t="shared" si="20"/>
        <v>-53836.79403767296</v>
      </c>
      <c r="P323" s="74">
        <f t="shared" si="21"/>
        <v>63451.904758903642</v>
      </c>
    </row>
    <row r="324" spans="1:16" x14ac:dyDescent="0.3">
      <c r="A324" s="72">
        <f t="shared" si="22"/>
        <v>7.5</v>
      </c>
      <c r="B324" s="74">
        <f t="shared" si="9"/>
        <v>20143.383363127232</v>
      </c>
      <c r="C324" s="74">
        <f t="shared" si="10"/>
        <v>15847.543364559029</v>
      </c>
      <c r="D324" s="74">
        <f t="shared" si="11"/>
        <v>-16877.027844277669</v>
      </c>
      <c r="E324" s="74">
        <f t="shared" si="12"/>
        <v>-5978.501346227863</v>
      </c>
      <c r="F324" s="74">
        <f t="shared" si="7"/>
        <v>-2260.3252301985572</v>
      </c>
      <c r="G324" s="74">
        <f t="shared" si="8"/>
        <v>12711.060159280323</v>
      </c>
      <c r="H324" s="74">
        <f t="shared" si="13"/>
        <v>-143.38336312723186</v>
      </c>
      <c r="I324" s="74">
        <f t="shared" si="14"/>
        <v>4152.4566354409708</v>
      </c>
      <c r="J324" s="74">
        <f t="shared" si="15"/>
        <v>4154.9313951062322</v>
      </c>
      <c r="K324" s="74">
        <f t="shared" si="16"/>
        <v>-40143.383363127228</v>
      </c>
      <c r="L324" s="74">
        <f t="shared" si="17"/>
        <v>4152.4566354409708</v>
      </c>
      <c r="M324" s="74">
        <f t="shared" si="18"/>
        <v>40357.57827159873</v>
      </c>
      <c r="N324" s="74">
        <f t="shared" si="19"/>
        <v>-25143.383363127232</v>
      </c>
      <c r="O324" s="74">
        <f t="shared" si="20"/>
        <v>-50847.543364559031</v>
      </c>
      <c r="P324" s="74">
        <f t="shared" si="21"/>
        <v>56724.442642972652</v>
      </c>
    </row>
    <row r="325" spans="1:16" x14ac:dyDescent="0.3">
      <c r="A325" s="72">
        <f t="shared" si="22"/>
        <v>8</v>
      </c>
      <c r="B325" s="74">
        <f t="shared" si="9"/>
        <v>11139.788133438758</v>
      </c>
      <c r="C325" s="74">
        <f t="shared" si="10"/>
        <v>16036.057731265179</v>
      </c>
      <c r="D325" s="74">
        <f t="shared" si="11"/>
        <v>-18007.190459376947</v>
      </c>
      <c r="E325" s="74">
        <f t="shared" si="12"/>
        <v>377.02873341229861</v>
      </c>
      <c r="F325" s="74">
        <f t="shared" si="7"/>
        <v>11328.860218027632</v>
      </c>
      <c r="G325" s="74">
        <f t="shared" si="8"/>
        <v>5060.6902375963646</v>
      </c>
      <c r="H325" s="74">
        <f t="shared" si="13"/>
        <v>8860.2118665612415</v>
      </c>
      <c r="I325" s="74">
        <f t="shared" si="14"/>
        <v>3963.9422687348215</v>
      </c>
      <c r="J325" s="74">
        <f t="shared" si="15"/>
        <v>9706.5025951789248</v>
      </c>
      <c r="K325" s="74">
        <f t="shared" si="16"/>
        <v>-31139.788133438757</v>
      </c>
      <c r="L325" s="74">
        <f t="shared" si="17"/>
        <v>3963.9422687348215</v>
      </c>
      <c r="M325" s="74">
        <f t="shared" si="18"/>
        <v>31391.069483299161</v>
      </c>
      <c r="N325" s="74">
        <f t="shared" si="19"/>
        <v>-16139.788133438758</v>
      </c>
      <c r="O325" s="74">
        <f t="shared" si="20"/>
        <v>-51036.05773126518</v>
      </c>
      <c r="P325" s="74">
        <f t="shared" si="21"/>
        <v>53527.300975682709</v>
      </c>
    </row>
    <row r="326" spans="1:16" x14ac:dyDescent="0.3">
      <c r="A326" s="72">
        <f t="shared" si="22"/>
        <v>8.5</v>
      </c>
      <c r="B326" s="74">
        <f t="shared" si="9"/>
        <v>4968.4079582571931</v>
      </c>
      <c r="C326" s="74">
        <f t="shared" si="10"/>
        <v>17489.744657370418</v>
      </c>
      <c r="D326" s="74">
        <f t="shared" si="11"/>
        <v>-12342.760350363131</v>
      </c>
      <c r="E326" s="74">
        <f t="shared" si="12"/>
        <v>2907.3738522104809</v>
      </c>
      <c r="F326" s="74">
        <f t="shared" si="7"/>
        <v>7206.0100446716442</v>
      </c>
      <c r="G326" s="74">
        <f t="shared" si="8"/>
        <v>661.80341622096853</v>
      </c>
      <c r="H326" s="74">
        <f t="shared" si="13"/>
        <v>15031.592041742806</v>
      </c>
      <c r="I326" s="74">
        <f t="shared" si="14"/>
        <v>2510.2553426295817</v>
      </c>
      <c r="J326" s="74">
        <f t="shared" si="15"/>
        <v>15239.755286571566</v>
      </c>
      <c r="K326" s="74">
        <f t="shared" si="16"/>
        <v>-24968.407958257194</v>
      </c>
      <c r="L326" s="74">
        <f t="shared" si="17"/>
        <v>2510.2553426295817</v>
      </c>
      <c r="M326" s="74">
        <f t="shared" si="18"/>
        <v>25094.277791065466</v>
      </c>
      <c r="N326" s="74">
        <f t="shared" si="19"/>
        <v>-9968.407958257194</v>
      </c>
      <c r="O326" s="74">
        <f t="shared" si="20"/>
        <v>-52489.744657370422</v>
      </c>
      <c r="P326" s="74">
        <f t="shared" si="21"/>
        <v>53427.918277041186</v>
      </c>
    </row>
    <row r="327" spans="1:16" x14ac:dyDescent="0.3">
      <c r="A327" s="72">
        <f t="shared" si="22"/>
        <v>9</v>
      </c>
      <c r="B327" s="74">
        <f t="shared" si="9"/>
        <v>598.53029424353872</v>
      </c>
      <c r="C327" s="74">
        <f t="shared" si="10"/>
        <v>19108.882437530901</v>
      </c>
      <c r="D327" s="74">
        <f t="shared" si="11"/>
        <v>-8739.7553280273096</v>
      </c>
      <c r="E327" s="74">
        <f t="shared" si="12"/>
        <v>3238.2755603209653</v>
      </c>
      <c r="F327" s="74">
        <f t="shared" si="7"/>
        <v>3572.9401296514175</v>
      </c>
      <c r="G327" s="74">
        <f t="shared" si="8"/>
        <v>-804.81512774972873</v>
      </c>
      <c r="H327" s="74">
        <f t="shared" si="13"/>
        <v>19401.469705756463</v>
      </c>
      <c r="I327" s="74">
        <f t="shared" si="14"/>
        <v>891.11756246909863</v>
      </c>
      <c r="J327" s="74">
        <f t="shared" si="15"/>
        <v>19421.923623923729</v>
      </c>
      <c r="K327" s="74">
        <f t="shared" si="16"/>
        <v>-20598.530294243537</v>
      </c>
      <c r="L327" s="74">
        <f t="shared" si="17"/>
        <v>891.11756246909863</v>
      </c>
      <c r="M327" s="74">
        <f t="shared" si="18"/>
        <v>20617.796700739138</v>
      </c>
      <c r="N327" s="74">
        <f t="shared" si="19"/>
        <v>-5598.5302942435392</v>
      </c>
      <c r="O327" s="74">
        <f t="shared" si="20"/>
        <v>-54108.882437530905</v>
      </c>
      <c r="P327" s="74">
        <f t="shared" si="21"/>
        <v>54397.745358554181</v>
      </c>
    </row>
    <row r="328" spans="1:16" x14ac:dyDescent="0.3">
      <c r="A328" s="72">
        <f t="shared" si="22"/>
        <v>9.5</v>
      </c>
      <c r="B328" s="74">
        <f t="shared" si="9"/>
        <v>-2878.1123373572618</v>
      </c>
      <c r="C328" s="74">
        <f t="shared" si="10"/>
        <v>20526.816435753954</v>
      </c>
      <c r="D328" s="74">
        <f t="shared" si="11"/>
        <v>-6953.2852632016011</v>
      </c>
      <c r="E328" s="74">
        <f t="shared" si="12"/>
        <v>2835.8679964461007</v>
      </c>
      <c r="F328" s="74">
        <f t="shared" si="7"/>
        <v>669.33700544657597</v>
      </c>
      <c r="G328" s="74">
        <f t="shared" si="8"/>
        <v>-1601.1877655772792</v>
      </c>
      <c r="H328" s="74">
        <f t="shared" si="13"/>
        <v>22878.112337357263</v>
      </c>
      <c r="I328" s="74">
        <f t="shared" si="14"/>
        <v>-526.81643575395356</v>
      </c>
      <c r="J328" s="74">
        <f t="shared" si="15"/>
        <v>22884.177059219739</v>
      </c>
      <c r="K328" s="74">
        <f t="shared" si="16"/>
        <v>-17121.887662642737</v>
      </c>
      <c r="L328" s="74">
        <f t="shared" si="17"/>
        <v>-526.81643575395356</v>
      </c>
      <c r="M328" s="74">
        <f t="shared" si="18"/>
        <v>17129.99044626523</v>
      </c>
      <c r="N328" s="74">
        <f t="shared" si="19"/>
        <v>-2121.8876626427382</v>
      </c>
      <c r="O328" s="74">
        <f t="shared" si="20"/>
        <v>-55526.81643575395</v>
      </c>
      <c r="P328" s="74">
        <f t="shared" si="21"/>
        <v>55567.344283695886</v>
      </c>
    </row>
    <row r="329" spans="1:16" x14ac:dyDescent="0.3">
      <c r="A329" s="72">
        <f t="shared" si="22"/>
        <v>10</v>
      </c>
      <c r="B329" s="74">
        <f t="shared" si="9"/>
        <v>-6187.4207175964184</v>
      </c>
      <c r="C329" s="74">
        <f t="shared" si="10"/>
        <v>21544.453492582681</v>
      </c>
      <c r="D329" s="74">
        <f t="shared" si="11"/>
        <v>-6618.6167604783132</v>
      </c>
      <c r="E329" s="74">
        <f t="shared" si="12"/>
        <v>2035.2741136574612</v>
      </c>
      <c r="F329" s="74">
        <f t="shared" si="7"/>
        <v>-2199.1790580498023</v>
      </c>
      <c r="G329" s="74">
        <f t="shared" si="8"/>
        <v>-2345.68655665815</v>
      </c>
      <c r="H329" s="74">
        <f t="shared" si="13"/>
        <v>26187.420717596418</v>
      </c>
      <c r="I329" s="74">
        <f t="shared" si="14"/>
        <v>-1544.4534925826811</v>
      </c>
      <c r="J329" s="74">
        <f t="shared" si="15"/>
        <v>26232.924740317252</v>
      </c>
      <c r="K329" s="74">
        <f t="shared" si="16"/>
        <v>-13812.579282403582</v>
      </c>
      <c r="L329" s="74">
        <f t="shared" si="17"/>
        <v>-1544.4534925826811</v>
      </c>
      <c r="M329" s="74">
        <f t="shared" si="18"/>
        <v>13898.657597891801</v>
      </c>
      <c r="N329" s="74">
        <f t="shared" si="19"/>
        <v>1187.4207175964184</v>
      </c>
      <c r="O329" s="74">
        <f t="shared" si="20"/>
        <v>-56544.453492582681</v>
      </c>
      <c r="P329" s="74">
        <f t="shared" si="21"/>
        <v>56556.919901418099</v>
      </c>
    </row>
    <row r="330" spans="1:16" x14ac:dyDescent="0.3">
      <c r="A330" s="72">
        <f t="shared" si="22"/>
        <v>10.5</v>
      </c>
      <c r="B330" s="74">
        <f t="shared" si="9"/>
        <v>-10046.523862348025</v>
      </c>
      <c r="C330" s="74">
        <f t="shared" si="10"/>
        <v>21975.668910246874</v>
      </c>
      <c r="D330" s="74">
        <f t="shared" si="11"/>
        <v>-7718.2062895032141</v>
      </c>
      <c r="E330" s="74">
        <f t="shared" si="12"/>
        <v>862.43083532838614</v>
      </c>
      <c r="F330" s="74">
        <f t="shared" si="7"/>
        <v>-5845.3244409404479</v>
      </c>
      <c r="G330" s="74">
        <f t="shared" si="8"/>
        <v>-3441.8913120934717</v>
      </c>
      <c r="H330" s="74">
        <f t="shared" si="13"/>
        <v>30046.523862348025</v>
      </c>
      <c r="I330" s="74">
        <f t="shared" si="14"/>
        <v>-1975.6689102468736</v>
      </c>
      <c r="J330" s="74">
        <f t="shared" si="15"/>
        <v>30111.407536904768</v>
      </c>
      <c r="K330" s="74">
        <f t="shared" si="16"/>
        <v>-9953.4761376519746</v>
      </c>
      <c r="L330" s="74">
        <f t="shared" si="17"/>
        <v>-1975.6689102468736</v>
      </c>
      <c r="M330" s="74">
        <f t="shared" si="18"/>
        <v>10147.657604872335</v>
      </c>
      <c r="N330" s="74">
        <f t="shared" si="19"/>
        <v>5046.5238623480254</v>
      </c>
      <c r="O330" s="74">
        <f t="shared" si="20"/>
        <v>-56975.668910246874</v>
      </c>
      <c r="P330" s="74">
        <f t="shared" si="21"/>
        <v>57198.725954896232</v>
      </c>
    </row>
    <row r="331" spans="1:16" x14ac:dyDescent="0.3">
      <c r="A331" s="72">
        <f t="shared" si="22"/>
        <v>11</v>
      </c>
      <c r="B331" s="74">
        <f t="shared" si="9"/>
        <v>-15366.958117334745</v>
      </c>
      <c r="C331" s="74">
        <f t="shared" si="10"/>
        <v>21546.411499887698</v>
      </c>
      <c r="D331" s="74">
        <f t="shared" si="11"/>
        <v>-10640.868509973438</v>
      </c>
      <c r="E331" s="74">
        <f t="shared" si="12"/>
        <v>-858.51482071834971</v>
      </c>
      <c r="F331" s="74">
        <f t="shared" si="7"/>
        <v>-8871.4368777423861</v>
      </c>
      <c r="G331" s="74">
        <f t="shared" si="8"/>
        <v>-5349.6402139747097</v>
      </c>
      <c r="H331" s="74">
        <f t="shared" si="13"/>
        <v>35366.958117334747</v>
      </c>
      <c r="I331" s="74">
        <f t="shared" si="14"/>
        <v>-1546.4114998876976</v>
      </c>
      <c r="J331" s="74">
        <f t="shared" si="15"/>
        <v>35400.750203919342</v>
      </c>
      <c r="K331" s="74">
        <f t="shared" si="16"/>
        <v>-4633.0418826652549</v>
      </c>
      <c r="L331" s="74">
        <f t="shared" si="17"/>
        <v>-1546.4114998876976</v>
      </c>
      <c r="M331" s="74">
        <f t="shared" si="18"/>
        <v>4884.3080997737361</v>
      </c>
      <c r="N331" s="74">
        <f t="shared" si="19"/>
        <v>10366.958117334745</v>
      </c>
      <c r="O331" s="74">
        <f t="shared" si="20"/>
        <v>-56546.411499887698</v>
      </c>
      <c r="P331" s="74">
        <f t="shared" si="21"/>
        <v>57488.872611325438</v>
      </c>
    </row>
    <row r="332" spans="1:16" x14ac:dyDescent="0.3">
      <c r="A332" s="72">
        <f t="shared" si="22"/>
        <v>11.5</v>
      </c>
      <c r="B332" s="74">
        <f t="shared" si="9"/>
        <v>-22905.25159175706</v>
      </c>
      <c r="C332" s="74">
        <f t="shared" si="10"/>
        <v>19779.744036034845</v>
      </c>
      <c r="D332" s="74">
        <f t="shared" si="11"/>
        <v>-15076.58694884463</v>
      </c>
      <c r="E332" s="74">
        <f t="shared" si="12"/>
        <v>-3533.3349277057046</v>
      </c>
      <c r="F332" s="74">
        <f t="shared" si="7"/>
        <v>12572.212076070975</v>
      </c>
      <c r="G332" s="74">
        <f t="shared" si="8"/>
        <v>-370.39531064856328</v>
      </c>
      <c r="H332" s="74">
        <f t="shared" si="13"/>
        <v>42905.251591757056</v>
      </c>
      <c r="I332" s="74">
        <f t="shared" si="14"/>
        <v>220.25596396515539</v>
      </c>
      <c r="J332" s="74">
        <f t="shared" si="15"/>
        <v>42905.81693478908</v>
      </c>
      <c r="K332" s="74">
        <f t="shared" si="16"/>
        <v>2905.2515917570599</v>
      </c>
      <c r="L332" s="74">
        <f t="shared" si="17"/>
        <v>220.25596396515539</v>
      </c>
      <c r="M332" s="74">
        <f t="shared" si="18"/>
        <v>2913.5887666362855</v>
      </c>
      <c r="N332" s="74">
        <f t="shared" si="19"/>
        <v>17905.25159175706</v>
      </c>
      <c r="O332" s="74">
        <f t="shared" si="20"/>
        <v>-54779.744036034841</v>
      </c>
      <c r="P332" s="74">
        <f t="shared" si="21"/>
        <v>57631.74811870289</v>
      </c>
    </row>
    <row r="333" spans="1:16" x14ac:dyDescent="0.3">
      <c r="A333" s="72">
        <f t="shared" si="22"/>
        <v>12</v>
      </c>
      <c r="B333" s="74">
        <f t="shared" si="9"/>
        <v>-27300.492047161628</v>
      </c>
      <c r="C333" s="74">
        <f t="shared" si="10"/>
        <v>17920.477744519852</v>
      </c>
      <c r="D333" s="74">
        <f t="shared" si="11"/>
        <v>-8790.4809108091431</v>
      </c>
      <c r="E333" s="74">
        <f t="shared" si="12"/>
        <v>-3718.5325830299862</v>
      </c>
      <c r="F333" s="74">
        <f t="shared" si="7"/>
        <v>13893.454290011963</v>
      </c>
      <c r="G333" s="74">
        <f t="shared" si="8"/>
        <v>2282.8056560740706</v>
      </c>
      <c r="H333" s="74">
        <f t="shared" si="13"/>
        <v>47300.492047161628</v>
      </c>
      <c r="I333" s="74">
        <f t="shared" si="14"/>
        <v>2079.5222554801476</v>
      </c>
      <c r="J333" s="74">
        <f t="shared" si="15"/>
        <v>47346.182113393654</v>
      </c>
      <c r="K333" s="74">
        <f t="shared" si="16"/>
        <v>7300.4920471616279</v>
      </c>
      <c r="L333" s="74">
        <f t="shared" si="17"/>
        <v>2079.5222554801476</v>
      </c>
      <c r="M333" s="74">
        <f t="shared" si="18"/>
        <v>7590.8890745226554</v>
      </c>
      <c r="N333" s="74">
        <f t="shared" si="19"/>
        <v>22300.492047161628</v>
      </c>
      <c r="O333" s="74">
        <f t="shared" si="20"/>
        <v>-52920.477744519856</v>
      </c>
      <c r="P333" s="74">
        <f t="shared" si="21"/>
        <v>57427.248848031544</v>
      </c>
    </row>
    <row r="334" spans="1:16" x14ac:dyDescent="0.3">
      <c r="A334" s="72">
        <f t="shared" si="22"/>
        <v>12.5</v>
      </c>
      <c r="B334" s="74">
        <f t="shared" si="9"/>
        <v>-28222.36893006321</v>
      </c>
      <c r="C334" s="74">
        <f t="shared" si="10"/>
        <v>16631.912867023377</v>
      </c>
      <c r="D334" s="74">
        <f t="shared" si="11"/>
        <v>-1843.7537658031615</v>
      </c>
      <c r="E334" s="74">
        <f t="shared" si="12"/>
        <v>-2577.1297549929509</v>
      </c>
      <c r="F334" s="74">
        <f t="shared" si="7"/>
        <v>12508.678326134286</v>
      </c>
      <c r="G334" s="74">
        <f t="shared" si="8"/>
        <v>3205.3678732445815</v>
      </c>
      <c r="H334" s="74">
        <f t="shared" si="13"/>
        <v>48222.36893006321</v>
      </c>
      <c r="I334" s="74">
        <f t="shared" si="14"/>
        <v>3368.0871329766233</v>
      </c>
      <c r="J334" s="74">
        <f t="shared" si="15"/>
        <v>48339.847705205364</v>
      </c>
      <c r="K334" s="74">
        <f t="shared" si="16"/>
        <v>8222.3689300632104</v>
      </c>
      <c r="L334" s="74">
        <f t="shared" si="17"/>
        <v>3368.0871329766233</v>
      </c>
      <c r="M334" s="74">
        <f t="shared" si="18"/>
        <v>8885.4578811331667</v>
      </c>
      <c r="N334" s="74">
        <f t="shared" si="19"/>
        <v>23222.36893006321</v>
      </c>
      <c r="O334" s="74">
        <f t="shared" si="20"/>
        <v>-51631.912867023377</v>
      </c>
      <c r="P334" s="74">
        <f t="shared" si="21"/>
        <v>56613.892685734478</v>
      </c>
    </row>
    <row r="335" spans="1:16" x14ac:dyDescent="0.3">
      <c r="A335" s="72">
        <f t="shared" si="22"/>
        <v>13</v>
      </c>
      <c r="B335" s="74">
        <f t="shared" si="9"/>
        <v>-26017.076231431223</v>
      </c>
      <c r="C335" s="74">
        <f t="shared" si="10"/>
        <v>16144.689957838047</v>
      </c>
      <c r="D335" s="74">
        <f t="shared" si="11"/>
        <v>4410.5853972639816</v>
      </c>
      <c r="E335" s="74">
        <f t="shared" si="12"/>
        <v>-974.44581837066016</v>
      </c>
      <c r="F335" s="74">
        <f t="shared" si="7"/>
        <v>12778.244136078192</v>
      </c>
      <c r="G335" s="74">
        <f t="shared" si="8"/>
        <v>5644.2123299004634</v>
      </c>
      <c r="H335" s="74">
        <f t="shared" si="13"/>
        <v>46017.076231431223</v>
      </c>
      <c r="I335" s="74">
        <f t="shared" si="14"/>
        <v>3855.3100421619529</v>
      </c>
      <c r="J335" s="74">
        <f t="shared" si="15"/>
        <v>46178.292740318444</v>
      </c>
      <c r="K335" s="74">
        <f t="shared" si="16"/>
        <v>6017.0762314312233</v>
      </c>
      <c r="L335" s="74">
        <f t="shared" si="17"/>
        <v>3855.3100421619529</v>
      </c>
      <c r="M335" s="74">
        <f t="shared" si="18"/>
        <v>7146.2313072030756</v>
      </c>
      <c r="N335" s="74">
        <f t="shared" si="19"/>
        <v>21017.076231431223</v>
      </c>
      <c r="O335" s="74">
        <f t="shared" si="20"/>
        <v>-51144.689957838047</v>
      </c>
      <c r="P335" s="74">
        <f t="shared" si="21"/>
        <v>55294.636305894732</v>
      </c>
    </row>
    <row r="336" spans="1:16" x14ac:dyDescent="0.3">
      <c r="A336" s="72">
        <f t="shared" si="22"/>
        <v>13.5</v>
      </c>
      <c r="B336" s="74">
        <f t="shared" si="9"/>
        <v>-20617.222498779684</v>
      </c>
      <c r="C336" s="74">
        <f t="shared" si="10"/>
        <v>17068.520131127832</v>
      </c>
      <c r="D336" s="74">
        <f t="shared" si="11"/>
        <v>10799.707465303078</v>
      </c>
      <c r="E336" s="74">
        <f t="shared" si="12"/>
        <v>1847.6603465795715</v>
      </c>
      <c r="F336" s="74">
        <f t="shared" si="7"/>
        <v>4818.3557389943462</v>
      </c>
      <c r="G336" s="74">
        <f t="shared" si="8"/>
        <v>8960.1923690365893</v>
      </c>
      <c r="H336" s="74">
        <f t="shared" si="13"/>
        <v>40617.22249877968</v>
      </c>
      <c r="I336" s="74">
        <f t="shared" si="14"/>
        <v>2931.4798688721676</v>
      </c>
      <c r="J336" s="74">
        <f t="shared" si="15"/>
        <v>40722.872415105703</v>
      </c>
      <c r="K336" s="74">
        <f t="shared" si="16"/>
        <v>617.22249877968352</v>
      </c>
      <c r="L336" s="74">
        <f t="shared" si="17"/>
        <v>2931.4798688721676</v>
      </c>
      <c r="M336" s="74">
        <f t="shared" si="18"/>
        <v>2995.7533000236544</v>
      </c>
      <c r="N336" s="74">
        <f t="shared" si="19"/>
        <v>15617.222498779684</v>
      </c>
      <c r="O336" s="74">
        <f t="shared" si="20"/>
        <v>-52068.520131127836</v>
      </c>
      <c r="P336" s="74">
        <f t="shared" si="21"/>
        <v>54360.173171376628</v>
      </c>
    </row>
    <row r="337" spans="1:16" x14ac:dyDescent="0.3">
      <c r="A337" s="72">
        <f t="shared" si="22"/>
        <v>14</v>
      </c>
      <c r="B337" s="74">
        <f t="shared" si="9"/>
        <v>-14012.779831379557</v>
      </c>
      <c r="C337" s="74">
        <f t="shared" si="10"/>
        <v>20232.398396676766</v>
      </c>
      <c r="D337" s="74">
        <f t="shared" si="11"/>
        <v>13208.88533480025</v>
      </c>
      <c r="E337" s="74">
        <f t="shared" si="12"/>
        <v>6327.7565310978662</v>
      </c>
      <c r="F337" s="74">
        <f t="shared" si="7"/>
        <v>-9457.0181882561756</v>
      </c>
      <c r="G337" s="74">
        <f t="shared" si="8"/>
        <v>-1780.2365203231434</v>
      </c>
      <c r="H337" s="74">
        <f t="shared" si="13"/>
        <v>34012.779831379557</v>
      </c>
      <c r="I337" s="74">
        <f t="shared" si="14"/>
        <v>-232.39839667676642</v>
      </c>
      <c r="J337" s="74">
        <f t="shared" si="15"/>
        <v>34013.573773902055</v>
      </c>
      <c r="K337" s="74">
        <f t="shared" si="16"/>
        <v>-5987.2201686204426</v>
      </c>
      <c r="L337" s="74">
        <f t="shared" si="17"/>
        <v>-232.39839667676642</v>
      </c>
      <c r="M337" s="74">
        <f t="shared" si="18"/>
        <v>5991.7288291705363</v>
      </c>
      <c r="N337" s="74">
        <f t="shared" si="19"/>
        <v>9012.7798313795574</v>
      </c>
      <c r="O337" s="74">
        <f t="shared" si="20"/>
        <v>-55232.39839667677</v>
      </c>
      <c r="P337" s="74">
        <f t="shared" si="21"/>
        <v>55962.916587130669</v>
      </c>
    </row>
    <row r="338" spans="1:16" x14ac:dyDescent="0.3">
      <c r="A338" s="72">
        <f t="shared" si="22"/>
        <v>14.5</v>
      </c>
      <c r="B338" s="74">
        <f t="shared" si="9"/>
        <v>-9772.5917110434766</v>
      </c>
      <c r="C338" s="74">
        <f t="shared" si="10"/>
        <v>22951.217532144914</v>
      </c>
      <c r="D338" s="74">
        <f t="shared" si="11"/>
        <v>8480.3762406721617</v>
      </c>
      <c r="E338" s="74">
        <f t="shared" si="12"/>
        <v>5437.6382709362942</v>
      </c>
      <c r="F338" s="74">
        <f t="shared" si="7"/>
        <v>-5220.1081731139775</v>
      </c>
      <c r="G338" s="74">
        <f t="shared" si="8"/>
        <v>-4256.462433276397</v>
      </c>
      <c r="H338" s="74">
        <f t="shared" si="13"/>
        <v>29772.591711043475</v>
      </c>
      <c r="I338" s="74">
        <f t="shared" si="14"/>
        <v>-2951.217532144914</v>
      </c>
      <c r="J338" s="74">
        <f t="shared" si="15"/>
        <v>29918.504342873395</v>
      </c>
      <c r="K338" s="74">
        <f t="shared" si="16"/>
        <v>-10227.408288956523</v>
      </c>
      <c r="L338" s="74">
        <f t="shared" si="17"/>
        <v>-2951.217532144914</v>
      </c>
      <c r="M338" s="74">
        <f t="shared" si="18"/>
        <v>10644.696577688634</v>
      </c>
      <c r="N338" s="74">
        <f t="shared" si="19"/>
        <v>4772.5917110434766</v>
      </c>
      <c r="O338" s="74">
        <f t="shared" si="20"/>
        <v>-57951.217532144918</v>
      </c>
      <c r="P338" s="74">
        <f t="shared" si="21"/>
        <v>58147.409616407691</v>
      </c>
    </row>
    <row r="339" spans="1:16" x14ac:dyDescent="0.3">
      <c r="A339" s="72">
        <f t="shared" si="22"/>
        <v>15</v>
      </c>
      <c r="B339" s="74">
        <f>B338+D338*(A339-A338)+F338*(A339-A338)^2</f>
        <v>-6837.4306339858904</v>
      </c>
      <c r="C339" s="74">
        <f t="shared" si="10"/>
        <v>24605.921059293963</v>
      </c>
      <c r="D339" s="74">
        <f t="shared" si="11"/>
        <v>5870.3221541151725</v>
      </c>
      <c r="E339" s="74">
        <f t="shared" si="12"/>
        <v>3309.4070542980958</v>
      </c>
      <c r="F339" s="74">
        <f t="shared" si="7"/>
        <v>-2153.1172209184924</v>
      </c>
      <c r="G339" s="74">
        <f t="shared" si="8"/>
        <v>-4296.9527488128297</v>
      </c>
      <c r="H339" s="74">
        <f t="shared" si="13"/>
        <v>26837.430633985889</v>
      </c>
      <c r="I339" s="74">
        <f t="shared" si="14"/>
        <v>-4605.9210592939635</v>
      </c>
      <c r="J339" s="74">
        <f t="shared" si="15"/>
        <v>27229.803374950247</v>
      </c>
      <c r="K339" s="74">
        <f t="shared" si="16"/>
        <v>-13162.56936601411</v>
      </c>
      <c r="L339" s="74">
        <f t="shared" si="17"/>
        <v>-4605.9210592939635</v>
      </c>
      <c r="M339" s="74">
        <f t="shared" si="18"/>
        <v>13945.169096127185</v>
      </c>
      <c r="N339" s="74">
        <f t="shared" si="19"/>
        <v>1837.4306339858904</v>
      </c>
      <c r="O339" s="74">
        <f t="shared" si="20"/>
        <v>-59605.921059293963</v>
      </c>
      <c r="P339" s="74">
        <f t="shared" si="21"/>
        <v>59634.234938175345</v>
      </c>
    </row>
    <row r="340" spans="1:16" x14ac:dyDescent="0.3">
      <c r="A340" s="72">
        <f t="shared" si="22"/>
        <v>15.5</v>
      </c>
      <c r="B340" s="74">
        <f t="shared" si="9"/>
        <v>-4440.548862157927</v>
      </c>
      <c r="C340" s="74">
        <f t="shared" si="10"/>
        <v>25186.386399239804</v>
      </c>
      <c r="D340" s="74">
        <f t="shared" si="11"/>
        <v>4793.7635436559267</v>
      </c>
      <c r="E340" s="74">
        <f t="shared" si="12"/>
        <v>1160.9306798916809</v>
      </c>
      <c r="F340" s="74">
        <f t="shared" si="7"/>
        <v>-249.25263011034542</v>
      </c>
      <c r="G340" s="74">
        <f t="shared" si="8"/>
        <v>-4055.0510656248694</v>
      </c>
      <c r="H340" s="74">
        <f t="shared" si="13"/>
        <v>24440.548862157928</v>
      </c>
      <c r="I340" s="74">
        <f t="shared" si="14"/>
        <v>-5186.3863992398037</v>
      </c>
      <c r="J340" s="74">
        <f t="shared" si="15"/>
        <v>24984.77601592115</v>
      </c>
      <c r="K340" s="74">
        <f t="shared" si="16"/>
        <v>-15559.451137842072</v>
      </c>
      <c r="L340" s="74">
        <f t="shared" si="17"/>
        <v>-5186.3863992398037</v>
      </c>
      <c r="M340" s="74">
        <f t="shared" si="18"/>
        <v>16401.070806295378</v>
      </c>
      <c r="N340" s="74">
        <f t="shared" si="19"/>
        <v>-559.45113784207297</v>
      </c>
      <c r="O340" s="74">
        <f t="shared" si="20"/>
        <v>-60186.386399239804</v>
      </c>
      <c r="P340" s="74">
        <f t="shared" si="21"/>
        <v>60188.986479041414</v>
      </c>
    </row>
    <row r="341" spans="1:16" x14ac:dyDescent="0.3">
      <c r="A341" s="72">
        <f t="shared" si="22"/>
        <v>16</v>
      </c>
      <c r="B341" s="74">
        <f t="shared" si="9"/>
        <v>-2105.9802478575502</v>
      </c>
      <c r="C341" s="74">
        <f t="shared" si="10"/>
        <v>24753.088972779427</v>
      </c>
      <c r="D341" s="74">
        <f t="shared" si="11"/>
        <v>4669.1372286007536</v>
      </c>
      <c r="E341" s="74">
        <f t="shared" si="12"/>
        <v>-866.59485292075374</v>
      </c>
      <c r="F341" s="74">
        <f t="shared" si="7"/>
        <v>1395.231867831031</v>
      </c>
      <c r="G341" s="74">
        <f t="shared" si="8"/>
        <v>-3681.5949255177138</v>
      </c>
      <c r="H341" s="74">
        <f t="shared" si="13"/>
        <v>22105.980247857551</v>
      </c>
      <c r="I341" s="74">
        <f t="shared" si="14"/>
        <v>-4753.0889727794274</v>
      </c>
      <c r="J341" s="74">
        <f t="shared" si="15"/>
        <v>22611.196728652503</v>
      </c>
      <c r="K341" s="74">
        <f t="shared" si="16"/>
        <v>-17894.019752142449</v>
      </c>
      <c r="L341" s="74">
        <f t="shared" si="17"/>
        <v>-4753.0889727794274</v>
      </c>
      <c r="M341" s="74">
        <f t="shared" si="18"/>
        <v>18514.529366776285</v>
      </c>
      <c r="N341" s="74">
        <f t="shared" si="19"/>
        <v>-2894.0197521424498</v>
      </c>
      <c r="O341" s="74">
        <f t="shared" si="20"/>
        <v>-59753.088972779427</v>
      </c>
      <c r="P341" s="74">
        <f t="shared" si="21"/>
        <v>59823.130912003304</v>
      </c>
    </row>
    <row r="342" spans="1:16" x14ac:dyDescent="0.3">
      <c r="A342" s="72">
        <f t="shared" si="22"/>
        <v>16.5</v>
      </c>
      <c r="B342" s="74">
        <f t="shared" si="9"/>
        <v>577.39633340058435</v>
      </c>
      <c r="C342" s="74">
        <f t="shared" si="10"/>
        <v>23399.392814939623</v>
      </c>
      <c r="D342" s="74">
        <f t="shared" si="11"/>
        <v>5366.7531625162692</v>
      </c>
      <c r="E342" s="74">
        <f t="shared" si="12"/>
        <v>-2707.3923156796109</v>
      </c>
      <c r="F342" s="74">
        <f t="shared" si="7"/>
        <v>3458.3539083102874</v>
      </c>
      <c r="G342" s="74">
        <f t="shared" si="8"/>
        <v>-3132.3743630191866</v>
      </c>
      <c r="H342" s="74">
        <f t="shared" si="13"/>
        <v>19422.603666599414</v>
      </c>
      <c r="I342" s="74">
        <f t="shared" si="14"/>
        <v>-3399.3928149396233</v>
      </c>
      <c r="J342" s="74">
        <f t="shared" si="15"/>
        <v>19717.844828988389</v>
      </c>
      <c r="K342" s="74">
        <f t="shared" si="16"/>
        <v>-20577.396333400586</v>
      </c>
      <c r="L342" s="74">
        <f t="shared" si="17"/>
        <v>-3399.3928149396233</v>
      </c>
      <c r="M342" s="74">
        <f t="shared" si="18"/>
        <v>20856.296684025929</v>
      </c>
      <c r="N342" s="74">
        <f t="shared" si="19"/>
        <v>-5577.3963334005839</v>
      </c>
      <c r="O342" s="74">
        <f t="shared" si="20"/>
        <v>-58399.392814939623</v>
      </c>
      <c r="P342" s="74">
        <f t="shared" si="21"/>
        <v>58665.121077293043</v>
      </c>
    </row>
    <row r="343" spans="1:16" x14ac:dyDescent="0.3">
      <c r="A343" s="72">
        <f t="shared" si="22"/>
        <v>17</v>
      </c>
      <c r="B343" s="74">
        <f t="shared" si="9"/>
        <v>4125.3613917362909</v>
      </c>
      <c r="C343" s="74">
        <f t="shared" si="10"/>
        <v>21262.603066345022</v>
      </c>
      <c r="D343" s="74">
        <f t="shared" si="11"/>
        <v>7095.9301166714131</v>
      </c>
      <c r="E343" s="74">
        <f t="shared" si="12"/>
        <v>-4273.5794971892046</v>
      </c>
      <c r="F343" s="74">
        <f t="shared" si="7"/>
        <v>6663.990789756861</v>
      </c>
      <c r="G343" s="74">
        <f t="shared" si="8"/>
        <v>-2175.8491243981912</v>
      </c>
      <c r="H343" s="74">
        <f t="shared" si="13"/>
        <v>15874.638608263709</v>
      </c>
      <c r="I343" s="74">
        <f t="shared" si="14"/>
        <v>-1262.6030663450219</v>
      </c>
      <c r="J343" s="74">
        <f t="shared" si="15"/>
        <v>15924.770561804669</v>
      </c>
      <c r="K343" s="74">
        <f t="shared" si="16"/>
        <v>-24125.361391736289</v>
      </c>
      <c r="L343" s="74">
        <f t="shared" si="17"/>
        <v>-1262.6030663450219</v>
      </c>
      <c r="M343" s="74">
        <f t="shared" si="18"/>
        <v>24158.378024714817</v>
      </c>
      <c r="N343" s="74">
        <f t="shared" si="19"/>
        <v>-9125.3613917362909</v>
      </c>
      <c r="O343" s="74">
        <f t="shared" si="20"/>
        <v>-56262.603066345022</v>
      </c>
      <c r="P343" s="74">
        <f t="shared" si="21"/>
        <v>56997.830873910352</v>
      </c>
    </row>
    <row r="344" spans="1:16" x14ac:dyDescent="0.3">
      <c r="A344" s="72">
        <f t="shared" si="22"/>
        <v>17.5</v>
      </c>
      <c r="B344" s="74">
        <f t="shared" si="9"/>
        <v>9339.3241475112136</v>
      </c>
      <c r="C344" s="74">
        <f t="shared" si="10"/>
        <v>18581.851036650874</v>
      </c>
      <c r="D344" s="74">
        <f t="shared" si="11"/>
        <v>10427.925511549844</v>
      </c>
      <c r="E344" s="74">
        <f t="shared" si="12"/>
        <v>-5361.5040593883004</v>
      </c>
      <c r="F344" s="74">
        <f t="shared" si="7"/>
        <v>11534.299196812446</v>
      </c>
      <c r="G344" s="74">
        <f t="shared" si="8"/>
        <v>729.85587492776995</v>
      </c>
      <c r="H344" s="74">
        <f t="shared" si="13"/>
        <v>10660.675852488786</v>
      </c>
      <c r="I344" s="74">
        <f t="shared" si="14"/>
        <v>1418.1489633491256</v>
      </c>
      <c r="J344" s="74">
        <f t="shared" si="15"/>
        <v>10754.587677548858</v>
      </c>
      <c r="K344" s="74">
        <f t="shared" si="16"/>
        <v>-29339.324147511215</v>
      </c>
      <c r="L344" s="74">
        <f t="shared" si="17"/>
        <v>1418.1489633491256</v>
      </c>
      <c r="M344" s="74">
        <f t="shared" si="18"/>
        <v>29373.578057754268</v>
      </c>
      <c r="N344" s="74">
        <f t="shared" si="19"/>
        <v>-14339.324147511214</v>
      </c>
      <c r="O344" s="74">
        <f t="shared" si="20"/>
        <v>-53581.851036650871</v>
      </c>
      <c r="P344" s="74">
        <f t="shared" si="21"/>
        <v>55467.386611604859</v>
      </c>
    </row>
    <row r="345" spans="1:16" x14ac:dyDescent="0.3">
      <c r="A345" s="72">
        <f t="shared" si="22"/>
        <v>18</v>
      </c>
      <c r="B345" s="74">
        <f t="shared" si="9"/>
        <v>17436.861702489245</v>
      </c>
      <c r="C345" s="74">
        <f t="shared" si="10"/>
        <v>16083.562975688666</v>
      </c>
      <c r="D345" s="74">
        <f t="shared" si="11"/>
        <v>16195.075109956066</v>
      </c>
      <c r="E345" s="74">
        <f t="shared" si="12"/>
        <v>-4996.5761219244159</v>
      </c>
      <c r="F345" s="74">
        <f t="shared" si="7"/>
        <v>6051.502539669691</v>
      </c>
      <c r="G345" s="74">
        <f t="shared" si="8"/>
        <v>11160.403777403732</v>
      </c>
      <c r="H345" s="74">
        <f t="shared" si="13"/>
        <v>2563.1382975107554</v>
      </c>
      <c r="I345" s="74">
        <f t="shared" si="14"/>
        <v>3916.4370243113335</v>
      </c>
      <c r="J345" s="74">
        <f t="shared" si="15"/>
        <v>4680.6150127481051</v>
      </c>
      <c r="K345" s="74">
        <f t="shared" si="16"/>
        <v>-37436.861702489245</v>
      </c>
      <c r="L345" s="74">
        <f t="shared" si="17"/>
        <v>3916.4370243113335</v>
      </c>
      <c r="M345" s="74">
        <f t="shared" si="18"/>
        <v>37641.162217666744</v>
      </c>
      <c r="N345" s="74">
        <f t="shared" si="19"/>
        <v>-22436.861702489245</v>
      </c>
      <c r="O345" s="74">
        <f t="shared" si="20"/>
        <v>-51083.562975688663</v>
      </c>
      <c r="P345" s="74">
        <f t="shared" si="21"/>
        <v>55793.755648349921</v>
      </c>
    </row>
    <row r="346" spans="1:16" x14ac:dyDescent="0.3">
      <c r="A346" s="72">
        <f t="shared" si="22"/>
        <v>18.5</v>
      </c>
      <c r="B346" s="74">
        <f t="shared" si="9"/>
        <v>27047.274892384699</v>
      </c>
      <c r="C346" s="74">
        <f t="shared" si="10"/>
        <v>16375.37585907739</v>
      </c>
      <c r="D346" s="74">
        <f t="shared" si="11"/>
        <v>19220.826379790909</v>
      </c>
      <c r="E346" s="74">
        <f t="shared" si="12"/>
        <v>583.62576677744983</v>
      </c>
      <c r="F346" s="74">
        <f t="shared" si="7"/>
        <v>-15711.989251815754</v>
      </c>
      <c r="G346" s="74">
        <f t="shared" si="8"/>
        <v>6448.9899296828426</v>
      </c>
      <c r="H346" s="74">
        <f t="shared" si="13"/>
        <v>-7047.2748923846993</v>
      </c>
      <c r="I346" s="74">
        <f t="shared" si="14"/>
        <v>3624.6241409226095</v>
      </c>
      <c r="J346" s="74">
        <f t="shared" si="15"/>
        <v>7924.7702535653825</v>
      </c>
      <c r="K346" s="74">
        <f t="shared" si="16"/>
        <v>-47047.274892384696</v>
      </c>
      <c r="L346" s="74">
        <f t="shared" si="17"/>
        <v>3624.6241409226095</v>
      </c>
      <c r="M346" s="74">
        <f t="shared" si="18"/>
        <v>47186.692774155839</v>
      </c>
      <c r="N346" s="74">
        <f t="shared" si="19"/>
        <v>-32047.274892384699</v>
      </c>
      <c r="O346" s="74">
        <f t="shared" si="20"/>
        <v>-51375.375859077394</v>
      </c>
      <c r="P346" s="74">
        <f t="shared" si="21"/>
        <v>60551.276391910542</v>
      </c>
    </row>
    <row r="347" spans="1:16" x14ac:dyDescent="0.3">
      <c r="A347" s="72">
        <f t="shared" si="22"/>
        <v>19</v>
      </c>
      <c r="B347" s="74">
        <f t="shared" si="9"/>
        <v>32729.690769326215</v>
      </c>
      <c r="C347" s="74">
        <f t="shared" si="10"/>
        <v>18279.436224886824</v>
      </c>
      <c r="D347" s="74">
        <f t="shared" si="11"/>
        <v>11364.831753883032</v>
      </c>
      <c r="E347" s="74">
        <f t="shared" si="12"/>
        <v>3808.1207316188711</v>
      </c>
      <c r="F347" s="74">
        <f t="shared" si="7"/>
        <v>-13653.007427908153</v>
      </c>
      <c r="G347" s="74">
        <f t="shared" si="8"/>
        <v>920.29049811142556</v>
      </c>
      <c r="H347" s="74">
        <f t="shared" si="13"/>
        <v>-12729.690769326215</v>
      </c>
      <c r="I347" s="74">
        <f t="shared" si="14"/>
        <v>1720.5637751131762</v>
      </c>
      <c r="J347" s="74">
        <f t="shared" si="15"/>
        <v>12845.44147886326</v>
      </c>
      <c r="K347" s="74">
        <f t="shared" si="16"/>
        <v>-52729.690769326218</v>
      </c>
      <c r="L347" s="74">
        <f t="shared" si="17"/>
        <v>1720.5637751131762</v>
      </c>
      <c r="M347" s="74">
        <f t="shared" si="18"/>
        <v>52757.754200998723</v>
      </c>
      <c r="N347" s="74">
        <f t="shared" si="19"/>
        <v>-37729.690769326218</v>
      </c>
      <c r="O347" s="74">
        <f t="shared" si="20"/>
        <v>-53279.436224886827</v>
      </c>
      <c r="P347" s="74">
        <f t="shared" si="21"/>
        <v>65285.740326588646</v>
      </c>
    </row>
    <row r="348" spans="1:16" x14ac:dyDescent="0.3">
      <c r="A348" s="72">
        <f t="shared" si="22"/>
        <v>19.5</v>
      </c>
      <c r="B348" s="74">
        <f t="shared" si="9"/>
        <v>34998.854789290694</v>
      </c>
      <c r="C348" s="74">
        <f t="shared" si="10"/>
        <v>20413.569215224117</v>
      </c>
      <c r="D348" s="74">
        <f t="shared" si="11"/>
        <v>4538.3280399289561</v>
      </c>
      <c r="E348" s="74">
        <f t="shared" si="12"/>
        <v>4268.2659806745842</v>
      </c>
      <c r="F348" s="74">
        <f t="shared" si="7"/>
        <v>-11911.889218876469</v>
      </c>
      <c r="G348" s="74">
        <f t="shared" si="8"/>
        <v>-1005.1010046168541</v>
      </c>
      <c r="H348" s="74">
        <f t="shared" si="13"/>
        <v>-14998.854789290694</v>
      </c>
      <c r="I348" s="74">
        <f t="shared" si="14"/>
        <v>-413.56921522411722</v>
      </c>
      <c r="J348" s="74">
        <f t="shared" si="15"/>
        <v>15004.555457793793</v>
      </c>
      <c r="K348" s="74">
        <f t="shared" si="16"/>
        <v>-54998.854789290694</v>
      </c>
      <c r="L348" s="74">
        <f t="shared" si="17"/>
        <v>-413.56921522411722</v>
      </c>
      <c r="M348" s="74">
        <f t="shared" si="18"/>
        <v>55000.409704194615</v>
      </c>
      <c r="N348" s="74">
        <f t="shared" si="19"/>
        <v>-39998.854789290694</v>
      </c>
      <c r="O348" s="74">
        <f t="shared" si="20"/>
        <v>-55413.569215224117</v>
      </c>
      <c r="P348" s="74">
        <f t="shared" si="21"/>
        <v>68341.583517103238</v>
      </c>
    </row>
    <row r="349" spans="1:16" x14ac:dyDescent="0.3">
      <c r="A349" s="72">
        <f t="shared" si="22"/>
        <v>20</v>
      </c>
      <c r="B349" s="74">
        <f t="shared" si="9"/>
        <v>34290.046504536054</v>
      </c>
      <c r="C349" s="74">
        <f t="shared" si="10"/>
        <v>22296.426954407198</v>
      </c>
      <c r="D349" s="74">
        <f t="shared" si="11"/>
        <v>-1417.6165695092786</v>
      </c>
      <c r="E349" s="74">
        <f t="shared" si="12"/>
        <v>3765.7154783661572</v>
      </c>
      <c r="F349" s="74">
        <f t="shared" si="7"/>
        <v>-12173.162203535123</v>
      </c>
      <c r="G349" s="74">
        <f t="shared" si="8"/>
        <v>-2490.6129555081193</v>
      </c>
      <c r="H349" s="74">
        <f t="shared" si="13"/>
        <v>-14290.046504536054</v>
      </c>
      <c r="I349" s="74">
        <f t="shared" si="14"/>
        <v>-2296.4269544071976</v>
      </c>
      <c r="J349" s="74">
        <f t="shared" si="15"/>
        <v>14473.38957738411</v>
      </c>
      <c r="K349" s="74">
        <f t="shared" si="16"/>
        <v>-54290.046504536054</v>
      </c>
      <c r="L349" s="74">
        <f t="shared" si="17"/>
        <v>-2296.4269544071976</v>
      </c>
      <c r="M349" s="74">
        <f t="shared" si="18"/>
        <v>54338.593340475934</v>
      </c>
      <c r="N349" s="74">
        <f t="shared" si="19"/>
        <v>-39290.046504536054</v>
      </c>
      <c r="O349" s="74">
        <f t="shared" si="20"/>
        <v>-57296.426954407201</v>
      </c>
      <c r="P349" s="74">
        <f t="shared" si="21"/>
        <v>69473.651811822347</v>
      </c>
    </row>
    <row r="350" spans="1:16" x14ac:dyDescent="0.3">
      <c r="A350" s="72">
        <f t="shared" si="22"/>
        <v>20.5</v>
      </c>
      <c r="B350" s="74">
        <f t="shared" si="9"/>
        <v>30537.947668897636</v>
      </c>
      <c r="C350" s="74">
        <f t="shared" si="10"/>
        <v>23556.63145471325</v>
      </c>
      <c r="D350" s="74">
        <f t="shared" si="11"/>
        <v>-7504.1976712768401</v>
      </c>
      <c r="E350" s="74">
        <f t="shared" si="12"/>
        <v>2520.4090006120978</v>
      </c>
      <c r="F350" s="74">
        <f t="shared" si="7"/>
        <v>-14445.288356471237</v>
      </c>
      <c r="G350" s="74">
        <f t="shared" si="8"/>
        <v>-5248.8006028808586</v>
      </c>
      <c r="H350" s="74">
        <f t="shared" si="13"/>
        <v>-10537.947668897636</v>
      </c>
      <c r="I350" s="74">
        <f t="shared" si="14"/>
        <v>-3556.6314547132497</v>
      </c>
      <c r="J350" s="74">
        <f t="shared" si="15"/>
        <v>11121.958837231901</v>
      </c>
      <c r="K350" s="74">
        <f t="shared" si="16"/>
        <v>-50537.947668897636</v>
      </c>
      <c r="L350" s="74">
        <f t="shared" si="17"/>
        <v>-3556.6314547132497</v>
      </c>
      <c r="M350" s="74">
        <f t="shared" si="18"/>
        <v>50662.942886185476</v>
      </c>
      <c r="N350" s="74">
        <f t="shared" si="19"/>
        <v>-35537.947668897636</v>
      </c>
      <c r="O350" s="74">
        <f t="shared" si="20"/>
        <v>-58556.63145471325</v>
      </c>
      <c r="P350" s="74">
        <f t="shared" si="21"/>
        <v>68496.896366480869</v>
      </c>
    </row>
    <row r="351" spans="1:16" x14ac:dyDescent="0.3">
      <c r="A351" s="72">
        <f t="shared" si="22"/>
        <v>21</v>
      </c>
      <c r="B351" s="74">
        <f t="shared" si="9"/>
        <v>23174.526744141407</v>
      </c>
      <c r="C351" s="74">
        <f t="shared" si="10"/>
        <v>23504.635804299083</v>
      </c>
      <c r="D351" s="74">
        <f t="shared" si="11"/>
        <v>-14726.841849512459</v>
      </c>
      <c r="E351" s="74">
        <f t="shared" si="12"/>
        <v>-103.99130082833153</v>
      </c>
      <c r="F351" s="74">
        <f t="shared" si="7"/>
        <v>-11323.942592120802</v>
      </c>
      <c r="G351" s="74">
        <f t="shared" si="8"/>
        <v>-11798.101451523635</v>
      </c>
      <c r="H351" s="74">
        <f t="shared" si="13"/>
        <v>-3174.5267441414071</v>
      </c>
      <c r="I351" s="74">
        <f t="shared" si="14"/>
        <v>-3504.6358042990832</v>
      </c>
      <c r="J351" s="74">
        <f t="shared" si="15"/>
        <v>4728.6459129484547</v>
      </c>
      <c r="K351" s="74">
        <f t="shared" si="16"/>
        <v>-43174.526744141403</v>
      </c>
      <c r="L351" s="74">
        <f t="shared" si="17"/>
        <v>-3504.6358042990832</v>
      </c>
      <c r="M351" s="74">
        <f t="shared" si="18"/>
        <v>43316.535315065958</v>
      </c>
      <c r="N351" s="74">
        <f t="shared" si="19"/>
        <v>-28174.526744141407</v>
      </c>
      <c r="O351" s="74">
        <f t="shared" si="20"/>
        <v>-58504.635804299083</v>
      </c>
      <c r="P351" s="74">
        <f t="shared" si="21"/>
        <v>64935.324499458795</v>
      </c>
    </row>
    <row r="352" spans="1:16" x14ac:dyDescent="0.3">
      <c r="A352" s="72">
        <f t="shared" si="22"/>
        <v>21.5</v>
      </c>
      <c r="B352" s="74">
        <f t="shared" si="9"/>
        <v>12980.120171354978</v>
      </c>
      <c r="C352" s="74">
        <f t="shared" si="10"/>
        <v>20503.114791004009</v>
      </c>
      <c r="D352" s="74">
        <f t="shared" si="11"/>
        <v>-20388.813145572858</v>
      </c>
      <c r="E352" s="74">
        <f t="shared" si="12"/>
        <v>-6003.0420265901485</v>
      </c>
      <c r="F352" s="74">
        <f t="shared" si="7"/>
        <v>13908.938307931156</v>
      </c>
      <c r="G352" s="74">
        <f t="shared" si="8"/>
        <v>-2301.0751469058491</v>
      </c>
      <c r="H352" s="74">
        <f t="shared" si="13"/>
        <v>7019.8798286450219</v>
      </c>
      <c r="I352" s="74">
        <f t="shared" si="14"/>
        <v>-503.11479100400902</v>
      </c>
      <c r="J352" s="74">
        <f t="shared" si="15"/>
        <v>7037.8858545407138</v>
      </c>
      <c r="K352" s="74">
        <f t="shared" si="16"/>
        <v>-32980.120171354982</v>
      </c>
      <c r="L352" s="74">
        <f t="shared" si="17"/>
        <v>-503.11479100400902</v>
      </c>
      <c r="M352" s="74">
        <f t="shared" si="18"/>
        <v>32983.957479507255</v>
      </c>
      <c r="N352" s="74">
        <f t="shared" si="19"/>
        <v>-17980.120171354978</v>
      </c>
      <c r="O352" s="74">
        <f t="shared" si="20"/>
        <v>-55503.114791004009</v>
      </c>
      <c r="P352" s="74">
        <f t="shared" si="21"/>
        <v>58342.78424003892</v>
      </c>
    </row>
    <row r="353" spans="1:16" x14ac:dyDescent="0.3">
      <c r="A353" s="72">
        <f t="shared" si="22"/>
        <v>22</v>
      </c>
      <c r="B353" s="74">
        <f t="shared" si="9"/>
        <v>6262.948175551338</v>
      </c>
      <c r="C353" s="74">
        <f t="shared" si="10"/>
        <v>16926.324990982474</v>
      </c>
      <c r="D353" s="74">
        <f t="shared" si="11"/>
        <v>-13434.34399160728</v>
      </c>
      <c r="E353" s="74">
        <f t="shared" si="12"/>
        <v>-7153.5796000430728</v>
      </c>
      <c r="F353" s="74">
        <f t="shared" si="7"/>
        <v>8206.8978408257572</v>
      </c>
      <c r="G353" s="74">
        <f t="shared" si="8"/>
        <v>1437.2702347198631</v>
      </c>
      <c r="H353" s="74">
        <f t="shared" si="13"/>
        <v>13737.051824448663</v>
      </c>
      <c r="I353" s="74">
        <f t="shared" si="14"/>
        <v>3073.6750090175265</v>
      </c>
      <c r="J353" s="74">
        <f t="shared" si="15"/>
        <v>14076.720885513332</v>
      </c>
      <c r="K353" s="74">
        <f t="shared" si="16"/>
        <v>-26262.948175551337</v>
      </c>
      <c r="L353" s="74">
        <f t="shared" si="17"/>
        <v>3073.6750090175265</v>
      </c>
      <c r="M353" s="74">
        <f t="shared" si="18"/>
        <v>26442.199699207216</v>
      </c>
      <c r="N353" s="74">
        <f t="shared" si="19"/>
        <v>-11262.948175551337</v>
      </c>
      <c r="O353" s="74">
        <f t="shared" si="20"/>
        <v>-51926.324990982474</v>
      </c>
      <c r="P353" s="74">
        <f t="shared" si="21"/>
        <v>53133.767311139214</v>
      </c>
    </row>
    <row r="354" spans="1:16" x14ac:dyDescent="0.3">
      <c r="A354" s="72">
        <f t="shared" si="22"/>
        <v>22.5</v>
      </c>
      <c r="B354" s="74">
        <f t="shared" si="9"/>
        <v>1597.5006399541371</v>
      </c>
      <c r="C354" s="74">
        <f t="shared" si="10"/>
        <v>13708.852749640904</v>
      </c>
      <c r="D354" s="74">
        <f t="shared" si="11"/>
        <v>-9330.8950711944017</v>
      </c>
      <c r="E354" s="74">
        <f t="shared" si="12"/>
        <v>-6434.9444826831414</v>
      </c>
      <c r="F354" s="74">
        <f t="shared" si="7"/>
        <v>3748.3298745196048</v>
      </c>
      <c r="G354" s="74">
        <f t="shared" si="8"/>
        <v>1894.5341797142642</v>
      </c>
      <c r="H354" s="74">
        <f t="shared" si="13"/>
        <v>18402.499360045862</v>
      </c>
      <c r="I354" s="74">
        <f t="shared" si="14"/>
        <v>6291.1472503590958</v>
      </c>
      <c r="J354" s="74">
        <f t="shared" si="15"/>
        <v>19448.149434385505</v>
      </c>
      <c r="K354" s="74">
        <f t="shared" si="16"/>
        <v>-21597.500639954138</v>
      </c>
      <c r="L354" s="74">
        <f t="shared" si="17"/>
        <v>6291.1472503590958</v>
      </c>
      <c r="M354" s="74">
        <f t="shared" si="18"/>
        <v>22495.123196340141</v>
      </c>
      <c r="N354" s="74">
        <f t="shared" si="19"/>
        <v>-6597.5006399541371</v>
      </c>
      <c r="O354" s="74">
        <f t="shared" si="20"/>
        <v>-48708.852749640908</v>
      </c>
      <c r="P354" s="74">
        <f t="shared" si="21"/>
        <v>49153.630088533602</v>
      </c>
    </row>
    <row r="355" spans="1:16" x14ac:dyDescent="0.3">
      <c r="A355" s="72">
        <f t="shared" si="22"/>
        <v>23</v>
      </c>
      <c r="B355" s="74">
        <f t="shared" si="9"/>
        <v>-2130.8644270131626</v>
      </c>
      <c r="C355" s="74">
        <f t="shared" si="10"/>
        <v>10965.014053227898</v>
      </c>
      <c r="D355" s="74">
        <f t="shared" si="11"/>
        <v>-7456.7301339345995</v>
      </c>
      <c r="E355" s="74">
        <f t="shared" si="12"/>
        <v>-5487.6773928260091</v>
      </c>
      <c r="F355" s="74">
        <f t="shared" si="7"/>
        <v>1391.0244077893221</v>
      </c>
      <c r="G355" s="74">
        <f t="shared" si="8"/>
        <v>2268.7766822611038</v>
      </c>
      <c r="H355" s="74">
        <f t="shared" si="13"/>
        <v>22130.864427013163</v>
      </c>
      <c r="I355" s="74">
        <f t="shared" si="14"/>
        <v>9034.9859467721017</v>
      </c>
      <c r="J355" s="74">
        <f t="shared" si="15"/>
        <v>23904.102814061145</v>
      </c>
      <c r="K355" s="74">
        <f t="shared" si="16"/>
        <v>-17869.135572986837</v>
      </c>
      <c r="L355" s="74">
        <f t="shared" si="17"/>
        <v>9034.9859467721017</v>
      </c>
      <c r="M355" s="74">
        <f t="shared" si="18"/>
        <v>20023.41072804913</v>
      </c>
      <c r="N355" s="74">
        <f t="shared" si="19"/>
        <v>-2869.1355729868374</v>
      </c>
      <c r="O355" s="74">
        <f t="shared" si="20"/>
        <v>-45965.014053227897</v>
      </c>
      <c r="P355" s="74">
        <f t="shared" si="21"/>
        <v>46054.472701895269</v>
      </c>
    </row>
    <row r="356" spans="1:16" x14ac:dyDescent="0.3">
      <c r="A356" s="72">
        <f t="shared" si="22"/>
        <v>23.5</v>
      </c>
      <c r="B356" s="74">
        <f t="shared" si="9"/>
        <v>-5511.4733920331319</v>
      </c>
      <c r="C356" s="74">
        <f t="shared" si="10"/>
        <v>8788.3695273801695</v>
      </c>
      <c r="D356" s="74">
        <f t="shared" si="11"/>
        <v>-6761.2179300399384</v>
      </c>
      <c r="E356" s="74">
        <f t="shared" si="12"/>
        <v>-4353.2890516954576</v>
      </c>
      <c r="F356" s="74">
        <f t="shared" si="7"/>
        <v>251.78883574273408</v>
      </c>
      <c r="G356" s="74">
        <f t="shared" si="8"/>
        <v>2795.8350486331283</v>
      </c>
      <c r="H356" s="74">
        <f t="shared" si="13"/>
        <v>25511.473392033131</v>
      </c>
      <c r="I356" s="74">
        <f t="shared" si="14"/>
        <v>11211.63047261983</v>
      </c>
      <c r="J356" s="74">
        <f t="shared" si="15"/>
        <v>27866.394321601638</v>
      </c>
      <c r="K356" s="74">
        <f t="shared" si="16"/>
        <v>-14488.526607966869</v>
      </c>
      <c r="L356" s="74">
        <f t="shared" si="17"/>
        <v>11211.63047261983</v>
      </c>
      <c r="M356" s="74">
        <f t="shared" si="18"/>
        <v>18319.881580521789</v>
      </c>
      <c r="N356" s="74">
        <f t="shared" si="19"/>
        <v>511.47339203313186</v>
      </c>
      <c r="O356" s="74">
        <f t="shared" si="20"/>
        <v>-43788.369527380171</v>
      </c>
      <c r="P356" s="74">
        <f t="shared" si="21"/>
        <v>43791.35657749317</v>
      </c>
    </row>
    <row r="357" spans="1:16" x14ac:dyDescent="0.3">
      <c r="A357" s="72">
        <f t="shared" si="22"/>
        <v>24</v>
      </c>
      <c r="B357" s="74">
        <f t="shared" si="9"/>
        <v>-8829.135148117417</v>
      </c>
      <c r="C357" s="74">
        <f t="shared" si="10"/>
        <v>7310.683763690723</v>
      </c>
      <c r="D357" s="74">
        <f t="shared" si="11"/>
        <v>-6635.3235121685711</v>
      </c>
      <c r="E357" s="74">
        <f t="shared" si="12"/>
        <v>-2955.3715273788935</v>
      </c>
      <c r="F357" s="74">
        <f t="shared" si="7"/>
        <v>-123.10806923368801</v>
      </c>
      <c r="G357" s="74">
        <f t="shared" si="8"/>
        <v>3500.5175357398812</v>
      </c>
      <c r="H357" s="74">
        <f t="shared" si="13"/>
        <v>28829.135148117417</v>
      </c>
      <c r="I357" s="74">
        <f t="shared" si="14"/>
        <v>12689.316236309278</v>
      </c>
      <c r="J357" s="74">
        <f t="shared" si="15"/>
        <v>31498.218678736124</v>
      </c>
      <c r="K357" s="74">
        <f t="shared" si="16"/>
        <v>-11170.864851882583</v>
      </c>
      <c r="L357" s="74">
        <f t="shared" si="17"/>
        <v>12689.316236309278</v>
      </c>
      <c r="M357" s="74">
        <f t="shared" si="18"/>
        <v>16905.826453743335</v>
      </c>
      <c r="N357" s="74">
        <f t="shared" si="19"/>
        <v>3829.135148117417</v>
      </c>
      <c r="O357" s="74">
        <f t="shared" si="20"/>
        <v>-42310.683763690722</v>
      </c>
      <c r="P357" s="74">
        <f t="shared" si="21"/>
        <v>42483.599618365552</v>
      </c>
    </row>
    <row r="358" spans="1:16" x14ac:dyDescent="0.3">
      <c r="A358" s="72">
        <f t="shared" si="22"/>
        <v>24.5</v>
      </c>
      <c r="B358" s="74">
        <f t="shared" si="9"/>
        <v>-12177.573921510126</v>
      </c>
      <c r="C358" s="74">
        <f t="shared" si="10"/>
        <v>6708.1273839362466</v>
      </c>
      <c r="D358" s="74">
        <f t="shared" si="11"/>
        <v>-6696.8775467854148</v>
      </c>
      <c r="E358" s="74">
        <f t="shared" si="12"/>
        <v>-1205.1127595089529</v>
      </c>
      <c r="F358" s="74">
        <f t="shared" si="7"/>
        <v>2.8283936948957944</v>
      </c>
      <c r="G358" s="74">
        <f t="shared" si="8"/>
        <v>4482.4078491928612</v>
      </c>
      <c r="H358" s="74">
        <f t="shared" si="13"/>
        <v>32177.573921510128</v>
      </c>
      <c r="I358" s="74">
        <f t="shared" si="14"/>
        <v>13291.872616063753</v>
      </c>
      <c r="J358" s="74">
        <f t="shared" si="15"/>
        <v>34814.797731940278</v>
      </c>
      <c r="K358" s="74">
        <f t="shared" si="16"/>
        <v>-7822.4260784898743</v>
      </c>
      <c r="L358" s="74">
        <f t="shared" si="17"/>
        <v>13291.872616063753</v>
      </c>
      <c r="M358" s="74">
        <f t="shared" si="18"/>
        <v>15422.847577380253</v>
      </c>
      <c r="N358" s="74">
        <f t="shared" si="19"/>
        <v>7177.5739215101257</v>
      </c>
      <c r="O358" s="74">
        <f t="shared" si="20"/>
        <v>-41708.127383936247</v>
      </c>
      <c r="P358" s="74">
        <f t="shared" si="21"/>
        <v>42321.217577869786</v>
      </c>
    </row>
    <row r="359" spans="1:16" x14ac:dyDescent="0.3">
      <c r="A359" s="72">
        <f t="shared" si="22"/>
        <v>25</v>
      </c>
      <c r="B359" s="74">
        <f t="shared" si="9"/>
        <v>-15525.305596479109</v>
      </c>
      <c r="C359" s="74">
        <f t="shared" si="10"/>
        <v>7226.1729664799859</v>
      </c>
      <c r="D359" s="74">
        <f t="shared" si="11"/>
        <v>-6695.463349937967</v>
      </c>
      <c r="E359" s="74">
        <f t="shared" si="12"/>
        <v>1036.0911650874777</v>
      </c>
      <c r="F359" s="74">
        <f t="shared" si="7"/>
        <v>524.16227880833435</v>
      </c>
      <c r="G359" s="74">
        <f t="shared" si="8"/>
        <v>5960.497416734941</v>
      </c>
      <c r="H359" s="74">
        <f t="shared" si="13"/>
        <v>35525.305596479113</v>
      </c>
      <c r="I359" s="74">
        <f t="shared" si="14"/>
        <v>12773.827033520014</v>
      </c>
      <c r="J359" s="74">
        <f t="shared" si="15"/>
        <v>37752.059477669784</v>
      </c>
      <c r="K359" s="74">
        <f t="shared" si="16"/>
        <v>-4474.6944035208908</v>
      </c>
      <c r="L359" s="74">
        <f t="shared" si="17"/>
        <v>12773.827033520014</v>
      </c>
      <c r="M359" s="74">
        <f t="shared" si="18"/>
        <v>13534.90107415595</v>
      </c>
      <c r="N359" s="74">
        <f t="shared" si="19"/>
        <v>10525.305596479109</v>
      </c>
      <c r="O359" s="74">
        <f t="shared" si="20"/>
        <v>-42226.172966479986</v>
      </c>
      <c r="P359" s="74">
        <f t="shared" si="21"/>
        <v>43518.177136621423</v>
      </c>
    </row>
    <row r="360" spans="1:16" x14ac:dyDescent="0.3">
      <c r="A360" s="72">
        <f t="shared" si="22"/>
        <v>25.5</v>
      </c>
      <c r="B360" s="74">
        <f t="shared" si="9"/>
        <v>-18741.996701746008</v>
      </c>
      <c r="C360" s="74">
        <f t="shared" si="10"/>
        <v>9234.34290320746</v>
      </c>
      <c r="D360" s="74">
        <f t="shared" si="11"/>
        <v>-6433.3822105337995</v>
      </c>
      <c r="E360" s="74">
        <f t="shared" si="12"/>
        <v>4016.3398734549482</v>
      </c>
      <c r="F360" s="74">
        <f t="shared" si="7"/>
        <v>1718.6744961666709</v>
      </c>
      <c r="G360" s="74">
        <f t="shared" si="8"/>
        <v>8336.469438593027</v>
      </c>
      <c r="H360" s="74">
        <f t="shared" si="13"/>
        <v>38741.996701746008</v>
      </c>
      <c r="I360" s="74">
        <f t="shared" si="14"/>
        <v>10765.65709679254</v>
      </c>
      <c r="J360" s="74">
        <f t="shared" si="15"/>
        <v>40209.96992244359</v>
      </c>
      <c r="K360" s="74">
        <f t="shared" si="16"/>
        <v>-1258.0032982539924</v>
      </c>
      <c r="L360" s="74">
        <f t="shared" si="17"/>
        <v>10765.65709679254</v>
      </c>
      <c r="M360" s="74">
        <f t="shared" si="18"/>
        <v>10838.908848409857</v>
      </c>
      <c r="N360" s="74">
        <f t="shared" si="19"/>
        <v>13741.996701746008</v>
      </c>
      <c r="O360" s="74">
        <f t="shared" si="20"/>
        <v>-44234.342903207464</v>
      </c>
      <c r="P360" s="74">
        <f t="shared" si="21"/>
        <v>46319.753512182455</v>
      </c>
    </row>
    <row r="361" spans="1:16" x14ac:dyDescent="0.3">
      <c r="A361" s="72">
        <f t="shared" si="22"/>
        <v>26</v>
      </c>
      <c r="B361" s="74">
        <f t="shared" si="9"/>
        <v>-21529.019182971238</v>
      </c>
      <c r="C361" s="74">
        <f t="shared" si="10"/>
        <v>13326.630199583191</v>
      </c>
      <c r="D361" s="74">
        <f t="shared" si="11"/>
        <v>-5574.0449624504636</v>
      </c>
      <c r="E361" s="74">
        <f t="shared" si="12"/>
        <v>8184.5745927514618</v>
      </c>
      <c r="F361" s="74">
        <f t="shared" si="7"/>
        <v>5452.6381179991686</v>
      </c>
      <c r="G361" s="74">
        <f t="shared" si="8"/>
        <v>11169.435144964529</v>
      </c>
      <c r="H361" s="74">
        <f t="shared" si="13"/>
        <v>41529.019182971242</v>
      </c>
      <c r="I361" s="74">
        <f t="shared" si="14"/>
        <v>6673.3698004168091</v>
      </c>
      <c r="J361" s="74">
        <f t="shared" si="15"/>
        <v>42061.779548572464</v>
      </c>
      <c r="K361" s="74">
        <f t="shared" si="16"/>
        <v>1529.0191829712385</v>
      </c>
      <c r="L361" s="74">
        <f t="shared" si="17"/>
        <v>6673.3698004168091</v>
      </c>
      <c r="M361" s="74">
        <f t="shared" si="18"/>
        <v>6846.2956520303087</v>
      </c>
      <c r="N361" s="74">
        <f t="shared" si="19"/>
        <v>16529.019182971238</v>
      </c>
      <c r="O361" s="74">
        <f t="shared" si="20"/>
        <v>-48326.630199583189</v>
      </c>
      <c r="P361" s="74">
        <f t="shared" si="21"/>
        <v>51075.15699044201</v>
      </c>
    </row>
    <row r="362" spans="1:16" x14ac:dyDescent="0.3">
      <c r="A362" s="72">
        <f t="shared" si="22"/>
        <v>26.5</v>
      </c>
      <c r="B362" s="74">
        <f t="shared" si="9"/>
        <v>-22952.882134696676</v>
      </c>
      <c r="C362" s="74">
        <f t="shared" si="10"/>
        <v>20211.276282200055</v>
      </c>
      <c r="D362" s="74">
        <f t="shared" si="11"/>
        <v>-2847.7259034508793</v>
      </c>
      <c r="E362" s="74">
        <f t="shared" si="12"/>
        <v>13769.292165233726</v>
      </c>
      <c r="F362" s="74">
        <f t="shared" si="7"/>
        <v>12668.32542783339</v>
      </c>
      <c r="G362" s="74">
        <f t="shared" si="8"/>
        <v>-1871.4611084829839</v>
      </c>
      <c r="H362" s="74">
        <f t="shared" si="13"/>
        <v>42952.882134696672</v>
      </c>
      <c r="I362" s="74">
        <f t="shared" si="14"/>
        <v>-211.27628220005499</v>
      </c>
      <c r="J362" s="74">
        <f t="shared" si="15"/>
        <v>42953.401743570495</v>
      </c>
      <c r="K362" s="74">
        <f t="shared" si="16"/>
        <v>2952.8821346966761</v>
      </c>
      <c r="L362" s="74">
        <f t="shared" si="17"/>
        <v>-211.27628220005499</v>
      </c>
      <c r="M362" s="74">
        <f t="shared" si="18"/>
        <v>2960.4308079789803</v>
      </c>
      <c r="N362" s="74">
        <f t="shared" si="19"/>
        <v>17952.882134696676</v>
      </c>
      <c r="O362" s="74">
        <f t="shared" si="20"/>
        <v>-55211.276282200051</v>
      </c>
      <c r="P362" s="74">
        <f t="shared" si="21"/>
        <v>58056.79121043237</v>
      </c>
    </row>
    <row r="363" spans="1:16" x14ac:dyDescent="0.3">
      <c r="A363" s="72">
        <f t="shared" si="22"/>
        <v>27</v>
      </c>
      <c r="B363" s="74">
        <f t="shared" si="9"/>
        <v>-21209.663729463769</v>
      </c>
      <c r="C363" s="74">
        <f t="shared" si="10"/>
        <v>26628.057087696172</v>
      </c>
      <c r="D363" s="74">
        <f t="shared" si="11"/>
        <v>3486.4368104658156</v>
      </c>
      <c r="E363" s="74">
        <f t="shared" si="12"/>
        <v>12833.561610992234</v>
      </c>
      <c r="F363" s="74">
        <f t="shared" si="7"/>
        <v>4703.6035214369476</v>
      </c>
      <c r="G363" s="74">
        <f t="shared" si="8"/>
        <v>-13736.718901853275</v>
      </c>
      <c r="H363" s="74">
        <f t="shared" si="13"/>
        <v>41209.663729463769</v>
      </c>
      <c r="I363" s="74">
        <f t="shared" si="14"/>
        <v>-6628.0570876961719</v>
      </c>
      <c r="J363" s="74">
        <f t="shared" si="15"/>
        <v>41739.280365780643</v>
      </c>
      <c r="K363" s="74">
        <f t="shared" si="16"/>
        <v>1209.6637294637694</v>
      </c>
      <c r="L363" s="74">
        <f t="shared" si="17"/>
        <v>-6628.0570876961719</v>
      </c>
      <c r="M363" s="74">
        <f t="shared" si="18"/>
        <v>6737.5386526638686</v>
      </c>
      <c r="N363" s="74">
        <f t="shared" si="19"/>
        <v>16209.663729463769</v>
      </c>
      <c r="O363" s="74">
        <f t="shared" si="20"/>
        <v>-61628.057087696172</v>
      </c>
      <c r="P363" s="74">
        <f t="shared" si="21"/>
        <v>63724.176092175818</v>
      </c>
    </row>
    <row r="364" spans="1:16" x14ac:dyDescent="0.3">
      <c r="A364" s="72">
        <f t="shared" si="22"/>
        <v>27.5</v>
      </c>
      <c r="B364" s="74">
        <f t="shared" si="9"/>
        <v>-18290.544443871626</v>
      </c>
      <c r="C364" s="74">
        <f t="shared" si="10"/>
        <v>29610.658167728972</v>
      </c>
      <c r="D364" s="74">
        <f t="shared" si="11"/>
        <v>5838.238571184289</v>
      </c>
      <c r="E364" s="74">
        <f t="shared" si="12"/>
        <v>5965.2021600655962</v>
      </c>
      <c r="F364" s="74">
        <f t="shared" si="7"/>
        <v>738.42043078917072</v>
      </c>
      <c r="G364" s="74">
        <f t="shared" si="8"/>
        <v>-11760.125352496188</v>
      </c>
      <c r="H364" s="74">
        <f t="shared" si="13"/>
        <v>38290.544443871622</v>
      </c>
      <c r="I364" s="74">
        <f t="shared" si="14"/>
        <v>-9610.6581677289723</v>
      </c>
      <c r="J364" s="74">
        <f t="shared" si="15"/>
        <v>39478.228737179226</v>
      </c>
      <c r="K364" s="74">
        <f t="shared" si="16"/>
        <v>-1709.4555561283742</v>
      </c>
      <c r="L364" s="74">
        <f t="shared" si="17"/>
        <v>-9610.6581677289723</v>
      </c>
      <c r="M364" s="74">
        <f t="shared" si="18"/>
        <v>9761.5054533260281</v>
      </c>
      <c r="N364" s="74">
        <f t="shared" si="19"/>
        <v>13290.544443871626</v>
      </c>
      <c r="O364" s="74">
        <f t="shared" si="20"/>
        <v>-64610.658167728972</v>
      </c>
      <c r="P364" s="74">
        <f t="shared" si="21"/>
        <v>65963.442303154923</v>
      </c>
    </row>
    <row r="365" spans="1:16" x14ac:dyDescent="0.3">
      <c r="A365" s="72">
        <f t="shared" si="22"/>
        <v>28</v>
      </c>
      <c r="B365" s="74">
        <f t="shared" si="9"/>
        <v>-15186.82005058219</v>
      </c>
      <c r="C365" s="74">
        <f t="shared" si="10"/>
        <v>29653.227909637721</v>
      </c>
      <c r="D365" s="74">
        <f t="shared" si="11"/>
        <v>6207.4487865788742</v>
      </c>
      <c r="E365" s="74">
        <f t="shared" si="12"/>
        <v>85.139483817501969</v>
      </c>
      <c r="F365" s="74">
        <f t="shared" si="7"/>
        <v>-1393.0539651275053</v>
      </c>
      <c r="G365" s="74">
        <f t="shared" si="8"/>
        <v>-10227.519638851203</v>
      </c>
      <c r="H365" s="74">
        <f t="shared" si="13"/>
        <v>35186.820050582188</v>
      </c>
      <c r="I365" s="74">
        <f t="shared" si="14"/>
        <v>-9653.2279096377206</v>
      </c>
      <c r="J365" s="74">
        <f t="shared" si="15"/>
        <v>36486.944436982682</v>
      </c>
      <c r="K365" s="74">
        <f t="shared" si="16"/>
        <v>-4813.1799494178103</v>
      </c>
      <c r="L365" s="74">
        <f t="shared" si="17"/>
        <v>-9653.2279096377206</v>
      </c>
      <c r="M365" s="74">
        <f t="shared" si="18"/>
        <v>10786.635726716939</v>
      </c>
      <c r="N365" s="74">
        <f t="shared" si="19"/>
        <v>10186.82005058219</v>
      </c>
      <c r="O365" s="74">
        <f t="shared" si="20"/>
        <v>-64653.227909637717</v>
      </c>
      <c r="P365" s="74">
        <f t="shared" si="21"/>
        <v>65450.830261185387</v>
      </c>
    </row>
    <row r="366" spans="1:16" x14ac:dyDescent="0.3">
      <c r="A366" s="72">
        <f t="shared" si="22"/>
        <v>28.5</v>
      </c>
      <c r="B366" s="74">
        <f t="shared" si="9"/>
        <v>-12431.359148574629</v>
      </c>
      <c r="C366" s="74">
        <f t="shared" si="10"/>
        <v>27138.917741833673</v>
      </c>
      <c r="D366" s="74">
        <f t="shared" si="11"/>
        <v>5510.9218040151218</v>
      </c>
      <c r="E366" s="74">
        <f t="shared" si="12"/>
        <v>-5028.6203356080996</v>
      </c>
      <c r="F366" s="74">
        <f t="shared" si="7"/>
        <v>-3801.2558289575463</v>
      </c>
      <c r="G366" s="74">
        <f t="shared" si="8"/>
        <v>-8512.0830116153738</v>
      </c>
      <c r="H366" s="74">
        <f t="shared" si="13"/>
        <v>32431.359148574629</v>
      </c>
      <c r="I366" s="74">
        <f t="shared" si="14"/>
        <v>-7138.9177418336731</v>
      </c>
      <c r="J366" s="74">
        <f t="shared" si="15"/>
        <v>33207.788284504932</v>
      </c>
      <c r="K366" s="74">
        <f t="shared" si="16"/>
        <v>-7568.6408514253708</v>
      </c>
      <c r="L366" s="74">
        <f t="shared" si="17"/>
        <v>-7138.9177418336731</v>
      </c>
      <c r="M366" s="74">
        <f t="shared" si="18"/>
        <v>10404.252537425866</v>
      </c>
      <c r="N366" s="74">
        <f t="shared" si="19"/>
        <v>7431.3591485746292</v>
      </c>
      <c r="O366" s="74">
        <f t="shared" si="20"/>
        <v>-62138.917741833677</v>
      </c>
      <c r="P366" s="74">
        <f t="shared" si="21"/>
        <v>62581.708165577234</v>
      </c>
    </row>
    <row r="367" spans="1:16" x14ac:dyDescent="0.3">
      <c r="A367" s="72">
        <f t="shared" si="22"/>
        <v>29</v>
      </c>
      <c r="B367" s="74">
        <f t="shared" si="9"/>
        <v>-10626.212203806455</v>
      </c>
      <c r="C367" s="74">
        <f t="shared" si="10"/>
        <v>22496.586821125777</v>
      </c>
      <c r="D367" s="74">
        <f t="shared" si="11"/>
        <v>3610.2938895363486</v>
      </c>
      <c r="E367" s="74">
        <f t="shared" si="12"/>
        <v>-9284.6618414157856</v>
      </c>
      <c r="F367" s="74">
        <f t="shared" si="7"/>
        <v>-6193.9281065582063</v>
      </c>
      <c r="G367" s="74">
        <f t="shared" si="8"/>
        <v>-4198.3378000093071</v>
      </c>
      <c r="H367" s="74">
        <f t="shared" si="13"/>
        <v>30626.212203806455</v>
      </c>
      <c r="I367" s="74">
        <f t="shared" si="14"/>
        <v>-2496.5868211257766</v>
      </c>
      <c r="J367" s="74">
        <f t="shared" si="15"/>
        <v>30727.802064384661</v>
      </c>
      <c r="K367" s="74">
        <f t="shared" si="16"/>
        <v>-9373.7877961935446</v>
      </c>
      <c r="L367" s="74">
        <f t="shared" si="17"/>
        <v>-2496.5868211257766</v>
      </c>
      <c r="M367" s="74">
        <f t="shared" si="18"/>
        <v>9700.5589222212311</v>
      </c>
      <c r="N367" s="74">
        <f t="shared" si="19"/>
        <v>5626.2122038064554</v>
      </c>
      <c r="O367" s="74">
        <f t="shared" si="20"/>
        <v>-57496.586821125777</v>
      </c>
      <c r="P367" s="74">
        <f t="shared" si="21"/>
        <v>57771.201820989627</v>
      </c>
    </row>
    <row r="368" spans="1:16" x14ac:dyDescent="0.3">
      <c r="A368" s="72">
        <f t="shared" si="22"/>
        <v>29.5</v>
      </c>
      <c r="B368" s="74">
        <f t="shared" si="9"/>
        <v>-10369.547285677832</v>
      </c>
      <c r="C368" s="74">
        <f t="shared" si="10"/>
        <v>16804.671450415557</v>
      </c>
      <c r="D368" s="74">
        <f t="shared" si="11"/>
        <v>513.32983625724546</v>
      </c>
      <c r="E368" s="74">
        <f t="shared" si="12"/>
        <v>-11383.830741420439</v>
      </c>
      <c r="F368" s="74">
        <f t="shared" si="7"/>
        <v>-5589.1834418381686</v>
      </c>
      <c r="G368" s="74">
        <f t="shared" si="8"/>
        <v>2125.2806404522898</v>
      </c>
      <c r="H368" s="74">
        <f t="shared" si="13"/>
        <v>30369.547285677832</v>
      </c>
      <c r="I368" s="74">
        <f t="shared" si="14"/>
        <v>3195.328549584443</v>
      </c>
      <c r="J368" s="74">
        <f t="shared" si="15"/>
        <v>30537.182693837545</v>
      </c>
      <c r="K368" s="74">
        <f t="shared" si="16"/>
        <v>-9630.4527143221676</v>
      </c>
      <c r="L368" s="74">
        <f t="shared" si="17"/>
        <v>3195.328549584443</v>
      </c>
      <c r="M368" s="74">
        <f t="shared" si="18"/>
        <v>10146.710995321815</v>
      </c>
      <c r="N368" s="74">
        <f t="shared" si="19"/>
        <v>5369.5472856778324</v>
      </c>
      <c r="O368" s="74">
        <f t="shared" si="20"/>
        <v>-51804.671450415553</v>
      </c>
      <c r="P368" s="74">
        <f t="shared" si="21"/>
        <v>52082.204466963864</v>
      </c>
    </row>
    <row r="369" spans="1:16" x14ac:dyDescent="0.3">
      <c r="A369" s="72">
        <f t="shared" si="22"/>
        <v>30</v>
      </c>
      <c r="B369" s="74">
        <f t="shared" si="9"/>
        <v>-11510.178228008752</v>
      </c>
      <c r="C369" s="74">
        <f t="shared" si="10"/>
        <v>11644.076239818411</v>
      </c>
      <c r="D369" s="74">
        <f t="shared" si="11"/>
        <v>-2281.2618846618388</v>
      </c>
      <c r="E369" s="74">
        <f t="shared" si="12"/>
        <v>-10321.190421194295</v>
      </c>
      <c r="F369" s="74">
        <f t="shared" si="7"/>
        <v>-2589.3169428066071</v>
      </c>
      <c r="G369" s="74">
        <f t="shared" si="8"/>
        <v>5197.7621698353105</v>
      </c>
      <c r="H369" s="74">
        <f t="shared" si="13"/>
        <v>31510.17822800875</v>
      </c>
      <c r="I369" s="74">
        <f t="shared" si="14"/>
        <v>8355.9237601815894</v>
      </c>
      <c r="J369" s="74">
        <f t="shared" si="15"/>
        <v>32599.275971205923</v>
      </c>
      <c r="K369" s="74">
        <f t="shared" si="16"/>
        <v>-8489.8217719912482</v>
      </c>
      <c r="L369" s="74">
        <f t="shared" si="17"/>
        <v>8355.9237601815894</v>
      </c>
      <c r="M369" s="74">
        <f t="shared" si="18"/>
        <v>11912.117175638587</v>
      </c>
      <c r="N369" s="74">
        <f t="shared" si="19"/>
        <v>6510.1782280087518</v>
      </c>
      <c r="O369" s="74">
        <f t="shared" si="20"/>
        <v>-46644.076239818409</v>
      </c>
      <c r="P369" s="74">
        <f t="shared" si="21"/>
        <v>47096.202276048025</v>
      </c>
    </row>
    <row r="370" spans="1:16" x14ac:dyDescent="0.3">
      <c r="A370" s="72">
        <f t="shared" si="22"/>
        <v>30.5</v>
      </c>
      <c r="B370" s="74">
        <f t="shared" si="9"/>
        <v>-13298.138406041324</v>
      </c>
      <c r="C370" s="74">
        <f t="shared" si="10"/>
        <v>7782.9215716800909</v>
      </c>
      <c r="D370" s="74">
        <f t="shared" si="11"/>
        <v>-3575.9203560651422</v>
      </c>
      <c r="E370" s="74">
        <f t="shared" si="12"/>
        <v>-7722.3093362766394</v>
      </c>
      <c r="F370" s="74">
        <f t="shared" si="7"/>
        <v>-288.98632389636299</v>
      </c>
      <c r="G370" s="74">
        <f t="shared" si="8"/>
        <v>5334.1088918595133</v>
      </c>
      <c r="H370" s="74">
        <f t="shared" si="13"/>
        <v>33298.138406041326</v>
      </c>
      <c r="I370" s="74">
        <f t="shared" si="14"/>
        <v>12217.07842831991</v>
      </c>
      <c r="J370" s="74">
        <f t="shared" si="15"/>
        <v>35468.620309107093</v>
      </c>
      <c r="K370" s="74">
        <f t="shared" si="16"/>
        <v>-6701.8615939586762</v>
      </c>
      <c r="L370" s="74">
        <f t="shared" si="17"/>
        <v>12217.07842831991</v>
      </c>
      <c r="M370" s="74">
        <f t="shared" si="18"/>
        <v>13934.559704142002</v>
      </c>
      <c r="N370" s="74">
        <f t="shared" si="19"/>
        <v>8298.1384060413238</v>
      </c>
      <c r="O370" s="74">
        <f t="shared" si="20"/>
        <v>-42782.92157168009</v>
      </c>
      <c r="P370" s="74">
        <f t="shared" si="21"/>
        <v>43580.241844376535</v>
      </c>
    </row>
    <row r="371" spans="1:16" x14ac:dyDescent="0.3">
      <c r="A371" s="72">
        <f t="shared" si="22"/>
        <v>31</v>
      </c>
      <c r="B371" s="74">
        <f t="shared" si="9"/>
        <v>-15158.345165047986</v>
      </c>
      <c r="C371" s="74">
        <f t="shared" si="10"/>
        <v>5255.2941265066493</v>
      </c>
      <c r="D371" s="74">
        <f t="shared" si="11"/>
        <v>-3720.4135180133235</v>
      </c>
      <c r="E371" s="74">
        <f t="shared" si="12"/>
        <v>-5055.2548903468833</v>
      </c>
      <c r="F371" s="74">
        <f t="shared" si="7"/>
        <v>1000.6639878541719</v>
      </c>
      <c r="G371" s="74">
        <f t="shared" si="8"/>
        <v>4784.6620177092036</v>
      </c>
      <c r="H371" s="74">
        <f t="shared" si="13"/>
        <v>35158.345165047984</v>
      </c>
      <c r="I371" s="74">
        <f t="shared" si="14"/>
        <v>14744.705873493351</v>
      </c>
      <c r="J371" s="74">
        <f t="shared" si="15"/>
        <v>38124.999489055503</v>
      </c>
      <c r="K371" s="74">
        <f t="shared" si="16"/>
        <v>-4841.6548349520144</v>
      </c>
      <c r="L371" s="74">
        <f t="shared" si="17"/>
        <v>14744.705873493351</v>
      </c>
      <c r="M371" s="74">
        <f t="shared" si="18"/>
        <v>15519.277458588191</v>
      </c>
      <c r="N371" s="74">
        <f t="shared" si="19"/>
        <v>10158.345165047986</v>
      </c>
      <c r="O371" s="74">
        <f t="shared" si="20"/>
        <v>-40255.294126506647</v>
      </c>
      <c r="P371" s="74">
        <f t="shared" si="21"/>
        <v>41517.23355070535</v>
      </c>
    </row>
    <row r="372" spans="1:16" x14ac:dyDescent="0.3">
      <c r="A372" s="72">
        <f t="shared" si="22"/>
        <v>31.5</v>
      </c>
      <c r="B372" s="74">
        <f t="shared" si="9"/>
        <v>-16768.385927091105</v>
      </c>
      <c r="C372" s="74">
        <f t="shared" si="10"/>
        <v>3923.8321857605088</v>
      </c>
      <c r="D372" s="74">
        <f t="shared" si="11"/>
        <v>-3220.0815240862376</v>
      </c>
      <c r="E372" s="74">
        <f t="shared" si="12"/>
        <v>-2662.9238814922815</v>
      </c>
      <c r="F372" s="74">
        <f t="shared" si="7"/>
        <v>1707.5591988454958</v>
      </c>
      <c r="G372" s="74">
        <f t="shared" si="8"/>
        <v>4408.360047350594</v>
      </c>
      <c r="H372" s="74">
        <f t="shared" si="13"/>
        <v>36768.385927091105</v>
      </c>
      <c r="I372" s="74">
        <f t="shared" si="14"/>
        <v>16076.167814239492</v>
      </c>
      <c r="J372" s="74">
        <f t="shared" si="15"/>
        <v>40129.25834444366</v>
      </c>
      <c r="K372" s="74">
        <f t="shared" si="16"/>
        <v>-3231.6140729088947</v>
      </c>
      <c r="L372" s="74">
        <f t="shared" si="17"/>
        <v>16076.167814239492</v>
      </c>
      <c r="M372" s="74">
        <f t="shared" si="18"/>
        <v>16397.759027007702</v>
      </c>
      <c r="N372" s="74">
        <f t="shared" si="19"/>
        <v>11768.385927091105</v>
      </c>
      <c r="O372" s="74">
        <f t="shared" si="20"/>
        <v>-38923.832185760511</v>
      </c>
      <c r="P372" s="74">
        <f t="shared" si="21"/>
        <v>40663.984302502897</v>
      </c>
    </row>
    <row r="373" spans="1:16" x14ac:dyDescent="0.3">
      <c r="A373" s="72">
        <f t="shared" si="22"/>
        <v>32</v>
      </c>
      <c r="B373" s="74">
        <f t="shared" si="9"/>
        <v>-17951.536889422849</v>
      </c>
      <c r="C373" s="74">
        <f t="shared" si="10"/>
        <v>3694.4602568520168</v>
      </c>
      <c r="D373" s="74">
        <f t="shared" si="11"/>
        <v>-2366.3019246634894</v>
      </c>
      <c r="E373" s="74">
        <f t="shared" si="12"/>
        <v>-458.74385781698447</v>
      </c>
      <c r="F373" s="74">
        <f t="shared" si="7"/>
        <v>2083.0859980947093</v>
      </c>
      <c r="G373" s="74">
        <f t="shared" si="8"/>
        <v>4431.1467567849604</v>
      </c>
      <c r="H373" s="74">
        <f t="shared" si="13"/>
        <v>37951.536889422845</v>
      </c>
      <c r="I373" s="74">
        <f t="shared" si="14"/>
        <v>16305.539743147983</v>
      </c>
      <c r="J373" s="74">
        <f t="shared" si="15"/>
        <v>41306.050145040514</v>
      </c>
      <c r="K373" s="74">
        <f t="shared" si="16"/>
        <v>-2048.4631105771514</v>
      </c>
      <c r="L373" s="74">
        <f t="shared" si="17"/>
        <v>16305.539743147983</v>
      </c>
      <c r="M373" s="74">
        <f t="shared" si="18"/>
        <v>16433.710093304366</v>
      </c>
      <c r="N373" s="74">
        <f t="shared" si="19"/>
        <v>12951.536889422849</v>
      </c>
      <c r="O373" s="74">
        <f t="shared" si="20"/>
        <v>-38694.46025685202</v>
      </c>
      <c r="P373" s="74">
        <f t="shared" si="21"/>
        <v>40804.455177923664</v>
      </c>
    </row>
    <row r="374" spans="1:16" x14ac:dyDescent="0.3">
      <c r="A374" s="72">
        <f t="shared" si="22"/>
        <v>32.5</v>
      </c>
      <c r="B374" s="74">
        <f t="shared" si="9"/>
        <v>-18613.916352230914</v>
      </c>
      <c r="C374" s="74">
        <f t="shared" si="10"/>
        <v>4572.8750171397651</v>
      </c>
      <c r="D374" s="74">
        <f t="shared" si="11"/>
        <v>-1324.7589256161348</v>
      </c>
      <c r="E374" s="74">
        <f t="shared" si="12"/>
        <v>1756.8295205754957</v>
      </c>
      <c r="F374" s="74">
        <f t="shared" ref="F374:F437" si="23">$C$23*(H374/(J374^2+$C$24^2)^1.5)+$C$32*(K374/(M374^2+$C$33^2)^1.5)+C$41*(N374/(P374^2+$C$42^2)^1.5)</f>
        <v>2222.5741975890019</v>
      </c>
      <c r="G374" s="74">
        <f t="shared" ref="G374:G437" si="24">$C$23*(I374/(J374^2+$C$24^2)^1.5)+$C$32*(L374/(M374^2+$C$33^2)^1.5)+C$41*(O374/(P374^2+$C$42^2)^1.5)</f>
        <v>4989.8894719600903</v>
      </c>
      <c r="H374" s="74">
        <f t="shared" si="13"/>
        <v>38613.91635223091</v>
      </c>
      <c r="I374" s="74">
        <f t="shared" si="14"/>
        <v>15427.124982860234</v>
      </c>
      <c r="J374" s="74">
        <f t="shared" si="15"/>
        <v>41581.615183802998</v>
      </c>
      <c r="K374" s="74">
        <f t="shared" si="16"/>
        <v>-1386.0836477690864</v>
      </c>
      <c r="L374" s="74">
        <f t="shared" si="17"/>
        <v>15427.124982860234</v>
      </c>
      <c r="M374" s="74">
        <f t="shared" si="18"/>
        <v>15489.267675245439</v>
      </c>
      <c r="N374" s="74">
        <f t="shared" si="19"/>
        <v>13613.916352230914</v>
      </c>
      <c r="O374" s="74">
        <f t="shared" si="20"/>
        <v>-39572.875017139762</v>
      </c>
      <c r="P374" s="74">
        <f t="shared" si="21"/>
        <v>41849.147608615691</v>
      </c>
    </row>
    <row r="375" spans="1:16" x14ac:dyDescent="0.3">
      <c r="A375" s="72">
        <f t="shared" ref="A375:A438" si="25">A374+$C$5</f>
        <v>33</v>
      </c>
      <c r="B375" s="74">
        <f t="shared" ref="B375:B438" si="26">B374+D374*(A375-A374)+F374*(A375-A374)^2</f>
        <v>-18720.652265641733</v>
      </c>
      <c r="C375" s="74">
        <f t="shared" ref="C375:C438" si="27">C374+E374*(A375-A374)+G374*(A375-A374)^2</f>
        <v>6698.762145417536</v>
      </c>
      <c r="D375" s="74">
        <f t="shared" ref="D375:D438" si="28">D374+F374*(A375-A374)</f>
        <v>-213.47182682163384</v>
      </c>
      <c r="E375" s="74">
        <f t="shared" ref="E375:E438" si="29">E374+G374*(A375-A374)</f>
        <v>4251.7742565555409</v>
      </c>
      <c r="F375" s="74">
        <f t="shared" si="23"/>
        <v>2070.0974407669951</v>
      </c>
      <c r="G375" s="74">
        <f t="shared" si="24"/>
        <v>6381.7104254801316</v>
      </c>
      <c r="H375" s="74">
        <f t="shared" ref="H375:H438" si="30">$C$19-B375</f>
        <v>38720.652265641736</v>
      </c>
      <c r="I375" s="74">
        <f t="shared" ref="I375:I438" si="31">$D$19-C375</f>
        <v>13301.237854582465</v>
      </c>
      <c r="J375" s="74">
        <f t="shared" ref="J375:J438" si="32">SQRT(H375^2+I375^2)</f>
        <v>40941.566168637517</v>
      </c>
      <c r="K375" s="74">
        <f t="shared" ref="K375:K438" si="33">$C$28-B375</f>
        <v>-1279.3477343582672</v>
      </c>
      <c r="L375" s="74">
        <f t="shared" ref="L375:L438" si="34">$D$28-C375</f>
        <v>13301.237854582465</v>
      </c>
      <c r="M375" s="74">
        <f t="shared" ref="M375:M438" si="35">SQRT(K375^2+L375^2)</f>
        <v>13362.621714678044</v>
      </c>
      <c r="N375" s="74">
        <f t="shared" ref="N375:N438" si="36">$C$37-B375</f>
        <v>13720.652265641733</v>
      </c>
      <c r="O375" s="74">
        <f t="shared" ref="O375:O438" si="37">$D$37-C375</f>
        <v>-41698.762145417539</v>
      </c>
      <c r="P375" s="74">
        <f t="shared" ref="P375:P438" si="38">SQRT(N375^2+O375^2)</f>
        <v>43898.098626874104</v>
      </c>
    </row>
    <row r="376" spans="1:16" x14ac:dyDescent="0.3">
      <c r="A376" s="72">
        <f t="shared" si="25"/>
        <v>33.5</v>
      </c>
      <c r="B376" s="74">
        <f t="shared" si="26"/>
        <v>-18309.863818860798</v>
      </c>
      <c r="C376" s="74">
        <f t="shared" si="27"/>
        <v>10420.076880065339</v>
      </c>
      <c r="D376" s="74">
        <f t="shared" si="28"/>
        <v>821.5768935618637</v>
      </c>
      <c r="E376" s="74">
        <f t="shared" si="29"/>
        <v>7442.6294692956071</v>
      </c>
      <c r="F376" s="74">
        <f t="shared" si="23"/>
        <v>1052.1590151636922</v>
      </c>
      <c r="G376" s="74">
        <f t="shared" si="24"/>
        <v>9196.3840185973277</v>
      </c>
      <c r="H376" s="74">
        <f t="shared" si="30"/>
        <v>38309.863818860802</v>
      </c>
      <c r="I376" s="74">
        <f t="shared" si="31"/>
        <v>9579.9231199346614</v>
      </c>
      <c r="J376" s="74">
        <f t="shared" si="32"/>
        <v>39489.499779099744</v>
      </c>
      <c r="K376" s="74">
        <f t="shared" si="33"/>
        <v>-1690.1361811392017</v>
      </c>
      <c r="L376" s="74">
        <f t="shared" si="34"/>
        <v>9579.9231199346614</v>
      </c>
      <c r="M376" s="74">
        <f t="shared" si="35"/>
        <v>9727.8716734265399</v>
      </c>
      <c r="N376" s="74">
        <f t="shared" si="36"/>
        <v>13309.863818860798</v>
      </c>
      <c r="O376" s="74">
        <f t="shared" si="37"/>
        <v>-45420.076880065339</v>
      </c>
      <c r="P376" s="74">
        <f t="shared" si="38"/>
        <v>47330.073512172632</v>
      </c>
    </row>
    <row r="377" spans="1:16" x14ac:dyDescent="0.3">
      <c r="A377" s="72">
        <f t="shared" si="25"/>
        <v>34</v>
      </c>
      <c r="B377" s="74">
        <f t="shared" si="26"/>
        <v>-17636.035618288945</v>
      </c>
      <c r="C377" s="74">
        <f t="shared" si="27"/>
        <v>16440.487619362473</v>
      </c>
      <c r="D377" s="74">
        <f t="shared" si="28"/>
        <v>1347.6564011437099</v>
      </c>
      <c r="E377" s="74">
        <f t="shared" si="29"/>
        <v>12040.821478594271</v>
      </c>
      <c r="F377" s="74">
        <f t="shared" si="23"/>
        <v>-3821.2432422809334</v>
      </c>
      <c r="G377" s="74">
        <f t="shared" si="24"/>
        <v>9106.1522761749293</v>
      </c>
      <c r="H377" s="74">
        <f t="shared" si="30"/>
        <v>37636.035618288945</v>
      </c>
      <c r="I377" s="74">
        <f t="shared" si="31"/>
        <v>3559.5123806375268</v>
      </c>
      <c r="J377" s="74">
        <f t="shared" si="32"/>
        <v>37803.985311723758</v>
      </c>
      <c r="K377" s="74">
        <f t="shared" si="33"/>
        <v>-2363.9643817110555</v>
      </c>
      <c r="L377" s="74">
        <f t="shared" si="34"/>
        <v>3559.5123806375268</v>
      </c>
      <c r="M377" s="74">
        <f t="shared" si="35"/>
        <v>4272.9914563348202</v>
      </c>
      <c r="N377" s="74">
        <f t="shared" si="36"/>
        <v>12636.035618288945</v>
      </c>
      <c r="O377" s="74">
        <f t="shared" si="37"/>
        <v>-51440.487619362473</v>
      </c>
      <c r="P377" s="74">
        <f t="shared" si="38"/>
        <v>52969.738178175387</v>
      </c>
    </row>
    <row r="378" spans="1:16" x14ac:dyDescent="0.3">
      <c r="A378" s="72">
        <f t="shared" si="25"/>
        <v>34.5</v>
      </c>
      <c r="B378" s="74">
        <f t="shared" si="26"/>
        <v>-17917.518228287325</v>
      </c>
      <c r="C378" s="74">
        <f t="shared" si="27"/>
        <v>24737.436427703338</v>
      </c>
      <c r="D378" s="74">
        <f t="shared" si="28"/>
        <v>-562.96521999675679</v>
      </c>
      <c r="E378" s="74">
        <f t="shared" si="29"/>
        <v>16593.897616681737</v>
      </c>
      <c r="F378" s="74">
        <f t="shared" si="23"/>
        <v>-2358.5179740782455</v>
      </c>
      <c r="G378" s="74">
        <f t="shared" si="24"/>
        <v>-13122.178576344677</v>
      </c>
      <c r="H378" s="74">
        <f t="shared" si="30"/>
        <v>37917.518228287328</v>
      </c>
      <c r="I378" s="74">
        <f t="shared" si="31"/>
        <v>-4737.4364277033383</v>
      </c>
      <c r="J378" s="74">
        <f t="shared" si="32"/>
        <v>38212.321213177202</v>
      </c>
      <c r="K378" s="74">
        <f t="shared" si="33"/>
        <v>-2082.4817717126753</v>
      </c>
      <c r="L378" s="74">
        <f t="shared" si="34"/>
        <v>-4737.4364277033383</v>
      </c>
      <c r="M378" s="74">
        <f t="shared" si="35"/>
        <v>5174.9429210423305</v>
      </c>
      <c r="N378" s="74">
        <f t="shared" si="36"/>
        <v>12917.518228287325</v>
      </c>
      <c r="O378" s="74">
        <f t="shared" si="37"/>
        <v>-59737.436427703338</v>
      </c>
      <c r="P378" s="74">
        <f t="shared" si="38"/>
        <v>61118.111784740482</v>
      </c>
    </row>
    <row r="379" spans="1:16" x14ac:dyDescent="0.3">
      <c r="A379" s="72">
        <f t="shared" si="25"/>
        <v>35</v>
      </c>
      <c r="B379" s="74">
        <f t="shared" si="26"/>
        <v>-18788.630331805267</v>
      </c>
      <c r="C379" s="74">
        <f t="shared" si="27"/>
        <v>29753.84059195804</v>
      </c>
      <c r="D379" s="74">
        <f t="shared" si="28"/>
        <v>-1742.2242070358795</v>
      </c>
      <c r="E379" s="74">
        <f t="shared" si="29"/>
        <v>10032.8083285094</v>
      </c>
      <c r="F379" s="74">
        <f t="shared" si="23"/>
        <v>1234.6364734313595</v>
      </c>
      <c r="G379" s="74">
        <f t="shared" si="24"/>
        <v>-11764.357624654911</v>
      </c>
      <c r="H379" s="74">
        <f t="shared" si="30"/>
        <v>38788.630331805267</v>
      </c>
      <c r="I379" s="74">
        <f t="shared" si="31"/>
        <v>-9753.84059195804</v>
      </c>
      <c r="J379" s="74">
        <f t="shared" si="32"/>
        <v>39996.190434974829</v>
      </c>
      <c r="K379" s="74">
        <f t="shared" si="33"/>
        <v>-1211.3696681947331</v>
      </c>
      <c r="L379" s="74">
        <f t="shared" si="34"/>
        <v>-9753.84059195804</v>
      </c>
      <c r="M379" s="74">
        <f t="shared" si="35"/>
        <v>9828.7752424374121</v>
      </c>
      <c r="N379" s="74">
        <f t="shared" si="36"/>
        <v>13788.630331805267</v>
      </c>
      <c r="O379" s="74">
        <f t="shared" si="37"/>
        <v>-64753.84059195804</v>
      </c>
      <c r="P379" s="74">
        <f t="shared" si="38"/>
        <v>66205.635695429228</v>
      </c>
    </row>
    <row r="380" spans="1:16" x14ac:dyDescent="0.3">
      <c r="A380" s="72">
        <f t="shared" si="25"/>
        <v>35.5</v>
      </c>
      <c r="B380" s="74">
        <f t="shared" si="26"/>
        <v>-19351.083316965367</v>
      </c>
      <c r="C380" s="74">
        <f t="shared" si="27"/>
        <v>31829.155350049015</v>
      </c>
      <c r="D380" s="74">
        <f t="shared" si="28"/>
        <v>-1124.9059703201997</v>
      </c>
      <c r="E380" s="74">
        <f t="shared" si="29"/>
        <v>4150.6295161819444</v>
      </c>
      <c r="F380" s="74">
        <f t="shared" si="23"/>
        <v>1885.326838030948</v>
      </c>
      <c r="G380" s="74">
        <f t="shared" si="24"/>
        <v>-10188.910900298271</v>
      </c>
      <c r="H380" s="74">
        <f t="shared" si="30"/>
        <v>39351.083316965363</v>
      </c>
      <c r="I380" s="74">
        <f t="shared" si="31"/>
        <v>-11829.155350049015</v>
      </c>
      <c r="J380" s="74">
        <f t="shared" si="32"/>
        <v>41090.591070393995</v>
      </c>
      <c r="K380" s="74">
        <f t="shared" si="33"/>
        <v>-648.91668303463302</v>
      </c>
      <c r="L380" s="74">
        <f t="shared" si="34"/>
        <v>-11829.155350049015</v>
      </c>
      <c r="M380" s="74">
        <f t="shared" si="35"/>
        <v>11846.94091979503</v>
      </c>
      <c r="N380" s="74">
        <f t="shared" si="36"/>
        <v>14351.083316965367</v>
      </c>
      <c r="O380" s="74">
        <f t="shared" si="37"/>
        <v>-66829.155350049012</v>
      </c>
      <c r="P380" s="74">
        <f t="shared" si="38"/>
        <v>68352.685369131374</v>
      </c>
    </row>
    <row r="381" spans="1:16" x14ac:dyDescent="0.3">
      <c r="A381" s="72">
        <f t="shared" si="25"/>
        <v>36</v>
      </c>
      <c r="B381" s="74">
        <f t="shared" si="26"/>
        <v>-19442.204592617731</v>
      </c>
      <c r="C381" s="74">
        <f t="shared" si="27"/>
        <v>31357.242383065422</v>
      </c>
      <c r="D381" s="74">
        <f t="shared" si="28"/>
        <v>-182.24255130472568</v>
      </c>
      <c r="E381" s="74">
        <f t="shared" si="29"/>
        <v>-943.8259339671913</v>
      </c>
      <c r="F381" s="74">
        <f t="shared" si="23"/>
        <v>1933.2517390996109</v>
      </c>
      <c r="G381" s="74">
        <f t="shared" si="24"/>
        <v>-10553.755252087607</v>
      </c>
      <c r="H381" s="74">
        <f t="shared" si="30"/>
        <v>39442.204592617731</v>
      </c>
      <c r="I381" s="74">
        <f t="shared" si="31"/>
        <v>-11357.242383065422</v>
      </c>
      <c r="J381" s="74">
        <f t="shared" si="32"/>
        <v>41044.785998633408</v>
      </c>
      <c r="K381" s="74">
        <f t="shared" si="33"/>
        <v>-557.79540738226933</v>
      </c>
      <c r="L381" s="74">
        <f t="shared" si="34"/>
        <v>-11357.242383065422</v>
      </c>
      <c r="M381" s="74">
        <f t="shared" si="35"/>
        <v>11370.931811606044</v>
      </c>
      <c r="N381" s="74">
        <f t="shared" si="36"/>
        <v>14442.204592617731</v>
      </c>
      <c r="O381" s="74">
        <f t="shared" si="37"/>
        <v>-66357.24238306543</v>
      </c>
      <c r="P381" s="74">
        <f t="shared" si="38"/>
        <v>67910.683181513668</v>
      </c>
    </row>
    <row r="382" spans="1:16" x14ac:dyDescent="0.3">
      <c r="A382" s="72">
        <f t="shared" si="25"/>
        <v>36.5</v>
      </c>
      <c r="B382" s="74">
        <f t="shared" si="26"/>
        <v>-19050.012933495193</v>
      </c>
      <c r="C382" s="74">
        <f t="shared" si="27"/>
        <v>28246.890603059925</v>
      </c>
      <c r="D382" s="74">
        <f t="shared" si="28"/>
        <v>784.38331824507975</v>
      </c>
      <c r="E382" s="74">
        <f t="shared" si="29"/>
        <v>-6220.7035600109948</v>
      </c>
      <c r="F382" s="74">
        <f t="shared" si="23"/>
        <v>1227.6134100998352</v>
      </c>
      <c r="G382" s="74">
        <f t="shared" si="24"/>
        <v>-12978.645352708949</v>
      </c>
      <c r="H382" s="74">
        <f t="shared" si="30"/>
        <v>39050.012933495193</v>
      </c>
      <c r="I382" s="74">
        <f t="shared" si="31"/>
        <v>-8246.8906030599246</v>
      </c>
      <c r="J382" s="74">
        <f t="shared" si="32"/>
        <v>39911.335667012951</v>
      </c>
      <c r="K382" s="74">
        <f t="shared" si="33"/>
        <v>-949.98706650480744</v>
      </c>
      <c r="L382" s="74">
        <f t="shared" si="34"/>
        <v>-8246.8906030599246</v>
      </c>
      <c r="M382" s="74">
        <f t="shared" si="35"/>
        <v>8301.4263861919844</v>
      </c>
      <c r="N382" s="74">
        <f t="shared" si="36"/>
        <v>14050.012933495193</v>
      </c>
      <c r="O382" s="74">
        <f t="shared" si="37"/>
        <v>-63246.890603059925</v>
      </c>
      <c r="P382" s="74">
        <f t="shared" si="38"/>
        <v>64788.672114705456</v>
      </c>
    </row>
    <row r="383" spans="1:16" x14ac:dyDescent="0.3">
      <c r="A383" s="72">
        <f t="shared" si="25"/>
        <v>37</v>
      </c>
      <c r="B383" s="74">
        <f t="shared" si="26"/>
        <v>-18350.917921847697</v>
      </c>
      <c r="C383" s="74">
        <f t="shared" si="27"/>
        <v>21891.87748487719</v>
      </c>
      <c r="D383" s="74">
        <f t="shared" si="28"/>
        <v>1398.1900232949974</v>
      </c>
      <c r="E383" s="74">
        <f t="shared" si="29"/>
        <v>-12710.026236365469</v>
      </c>
      <c r="F383" s="74">
        <f t="shared" si="23"/>
        <v>-3160.4361766082225</v>
      </c>
      <c r="G383" s="74">
        <f t="shared" si="24"/>
        <v>-8154.272392391711</v>
      </c>
      <c r="H383" s="74">
        <f t="shared" si="30"/>
        <v>38350.917921847693</v>
      </c>
      <c r="I383" s="74">
        <f t="shared" si="31"/>
        <v>-1891.87748487719</v>
      </c>
      <c r="J383" s="74">
        <f t="shared" si="32"/>
        <v>38397.553383856161</v>
      </c>
      <c r="K383" s="74">
        <f t="shared" si="33"/>
        <v>-1649.0820781523034</v>
      </c>
      <c r="L383" s="74">
        <f t="shared" si="34"/>
        <v>-1891.87748487719</v>
      </c>
      <c r="M383" s="74">
        <f t="shared" si="35"/>
        <v>2509.7155452896177</v>
      </c>
      <c r="N383" s="74">
        <f t="shared" si="36"/>
        <v>13350.917921847697</v>
      </c>
      <c r="O383" s="74">
        <f t="shared" si="37"/>
        <v>-56891.877484877186</v>
      </c>
      <c r="P383" s="74">
        <f t="shared" si="38"/>
        <v>58437.425791270012</v>
      </c>
    </row>
    <row r="384" spans="1:16" x14ac:dyDescent="0.3">
      <c r="A384" s="72">
        <f t="shared" si="25"/>
        <v>37.5</v>
      </c>
      <c r="B384" s="74">
        <f t="shared" si="26"/>
        <v>-18441.931954352254</v>
      </c>
      <c r="C384" s="74">
        <f t="shared" si="27"/>
        <v>13498.296268596529</v>
      </c>
      <c r="D384" s="74">
        <f t="shared" si="28"/>
        <v>-182.02806500911379</v>
      </c>
      <c r="E384" s="74">
        <f t="shared" si="29"/>
        <v>-16787.162432561323</v>
      </c>
      <c r="F384" s="74">
        <f t="shared" si="23"/>
        <v>-62.25936253895361</v>
      </c>
      <c r="G384" s="74">
        <f t="shared" si="24"/>
        <v>11217.747012880114</v>
      </c>
      <c r="H384" s="74">
        <f t="shared" si="30"/>
        <v>38441.931954352258</v>
      </c>
      <c r="I384" s="74">
        <f t="shared" si="31"/>
        <v>6501.7037314034715</v>
      </c>
      <c r="J384" s="74">
        <f t="shared" si="32"/>
        <v>38987.873547989191</v>
      </c>
      <c r="K384" s="74">
        <f t="shared" si="33"/>
        <v>-1558.0680456477457</v>
      </c>
      <c r="L384" s="74">
        <f t="shared" si="34"/>
        <v>6501.7037314034715</v>
      </c>
      <c r="M384" s="74">
        <f t="shared" si="35"/>
        <v>6685.7854771009825</v>
      </c>
      <c r="N384" s="74">
        <f t="shared" si="36"/>
        <v>13441.931954352254</v>
      </c>
      <c r="O384" s="74">
        <f t="shared" si="37"/>
        <v>-48498.296268596532</v>
      </c>
      <c r="P384" s="74">
        <f t="shared" si="38"/>
        <v>50326.635846458092</v>
      </c>
    </row>
    <row r="385" spans="1:16" x14ac:dyDescent="0.3">
      <c r="A385" s="72">
        <f t="shared" si="25"/>
        <v>38</v>
      </c>
      <c r="B385" s="74">
        <f t="shared" si="26"/>
        <v>-18548.510827491551</v>
      </c>
      <c r="C385" s="74">
        <f t="shared" si="27"/>
        <v>7909.1518055358956</v>
      </c>
      <c r="D385" s="74">
        <f t="shared" si="28"/>
        <v>-213.15774627859059</v>
      </c>
      <c r="E385" s="74">
        <f t="shared" si="29"/>
        <v>-11178.288926121266</v>
      </c>
      <c r="F385" s="74">
        <f t="shared" si="23"/>
        <v>1812.865604166097</v>
      </c>
      <c r="G385" s="74">
        <f t="shared" si="24"/>
        <v>7250.4498934004096</v>
      </c>
      <c r="H385" s="74">
        <f t="shared" si="30"/>
        <v>38548.510827491555</v>
      </c>
      <c r="I385" s="74">
        <f t="shared" si="31"/>
        <v>12090.848194464104</v>
      </c>
      <c r="J385" s="74">
        <f t="shared" si="32"/>
        <v>40400.20169601644</v>
      </c>
      <c r="K385" s="74">
        <f t="shared" si="33"/>
        <v>-1451.489172508449</v>
      </c>
      <c r="L385" s="74">
        <f t="shared" si="34"/>
        <v>12090.848194464104</v>
      </c>
      <c r="M385" s="74">
        <f t="shared" si="35"/>
        <v>12177.661141593864</v>
      </c>
      <c r="N385" s="74">
        <f t="shared" si="36"/>
        <v>13548.510827491551</v>
      </c>
      <c r="O385" s="74">
        <f t="shared" si="37"/>
        <v>-42909.151805535897</v>
      </c>
      <c r="P385" s="74">
        <f t="shared" si="38"/>
        <v>44997.304967221986</v>
      </c>
    </row>
    <row r="386" spans="1:16" x14ac:dyDescent="0.3">
      <c r="A386" s="72">
        <f t="shared" si="25"/>
        <v>38.5</v>
      </c>
      <c r="B386" s="74">
        <f t="shared" si="26"/>
        <v>-18201.873299589322</v>
      </c>
      <c r="C386" s="74">
        <f t="shared" si="27"/>
        <v>4132.6198158253646</v>
      </c>
      <c r="D386" s="74">
        <f t="shared" si="28"/>
        <v>693.27505580445791</v>
      </c>
      <c r="E386" s="74">
        <f t="shared" si="29"/>
        <v>-7553.063979421061</v>
      </c>
      <c r="F386" s="74">
        <f t="shared" si="23"/>
        <v>2119.9593544686759</v>
      </c>
      <c r="G386" s="74">
        <f t="shared" si="24"/>
        <v>4698.5319702702691</v>
      </c>
      <c r="H386" s="74">
        <f t="shared" si="30"/>
        <v>38201.873299589322</v>
      </c>
      <c r="I386" s="74">
        <f t="shared" si="31"/>
        <v>15867.380184174635</v>
      </c>
      <c r="J386" s="74">
        <f t="shared" si="32"/>
        <v>41366.132010462541</v>
      </c>
      <c r="K386" s="74">
        <f t="shared" si="33"/>
        <v>-1798.1267004106776</v>
      </c>
      <c r="L386" s="74">
        <f t="shared" si="34"/>
        <v>15867.380184174635</v>
      </c>
      <c r="M386" s="74">
        <f t="shared" si="35"/>
        <v>15968.939023612924</v>
      </c>
      <c r="N386" s="74">
        <f t="shared" si="36"/>
        <v>13201.873299589322</v>
      </c>
      <c r="O386" s="74">
        <f t="shared" si="37"/>
        <v>-39132.619815825368</v>
      </c>
      <c r="P386" s="74">
        <f t="shared" si="38"/>
        <v>41299.532591402749</v>
      </c>
    </row>
    <row r="387" spans="1:16" x14ac:dyDescent="0.3">
      <c r="A387" s="72">
        <f t="shared" si="25"/>
        <v>39</v>
      </c>
      <c r="B387" s="74">
        <f t="shared" si="26"/>
        <v>-17325.245933069924</v>
      </c>
      <c r="C387" s="74">
        <f t="shared" si="27"/>
        <v>1530.7208186824014</v>
      </c>
      <c r="D387" s="74">
        <f t="shared" si="28"/>
        <v>1753.2547330387958</v>
      </c>
      <c r="E387" s="74">
        <f t="shared" si="29"/>
        <v>-5203.7979942859265</v>
      </c>
      <c r="F387" s="74">
        <f t="shared" si="23"/>
        <v>2121.9594684325521</v>
      </c>
      <c r="G387" s="74">
        <f t="shared" si="24"/>
        <v>3294.9741111279486</v>
      </c>
      <c r="H387" s="74">
        <f t="shared" si="30"/>
        <v>37325.24593306992</v>
      </c>
      <c r="I387" s="74">
        <f t="shared" si="31"/>
        <v>18469.279181317597</v>
      </c>
      <c r="J387" s="74">
        <f t="shared" si="32"/>
        <v>41644.786677825643</v>
      </c>
      <c r="K387" s="74">
        <f t="shared" si="33"/>
        <v>-2674.7540669300761</v>
      </c>
      <c r="L387" s="74">
        <f t="shared" si="34"/>
        <v>18469.279181317597</v>
      </c>
      <c r="M387" s="74">
        <f t="shared" si="35"/>
        <v>18661.955492284582</v>
      </c>
      <c r="N387" s="74">
        <f t="shared" si="36"/>
        <v>12325.245933069924</v>
      </c>
      <c r="O387" s="74">
        <f t="shared" si="37"/>
        <v>-36530.720818682399</v>
      </c>
      <c r="P387" s="74">
        <f t="shared" si="38"/>
        <v>38553.926529514116</v>
      </c>
    </row>
    <row r="388" spans="1:16" x14ac:dyDescent="0.3">
      <c r="A388" s="72">
        <f t="shared" si="25"/>
        <v>39.5</v>
      </c>
      <c r="B388" s="74">
        <f t="shared" si="26"/>
        <v>-15918.128699442388</v>
      </c>
      <c r="C388" s="74">
        <f t="shared" si="27"/>
        <v>-247.43465067857471</v>
      </c>
      <c r="D388" s="74">
        <f t="shared" si="28"/>
        <v>2814.2344672550716</v>
      </c>
      <c r="E388" s="74">
        <f t="shared" si="29"/>
        <v>-3556.310938721952</v>
      </c>
      <c r="F388" s="74">
        <f t="shared" si="23"/>
        <v>2012.8931272254672</v>
      </c>
      <c r="G388" s="74">
        <f t="shared" si="24"/>
        <v>2405.75194647545</v>
      </c>
      <c r="H388" s="74">
        <f t="shared" si="30"/>
        <v>35918.128699442386</v>
      </c>
      <c r="I388" s="74">
        <f t="shared" si="31"/>
        <v>20247.434650678573</v>
      </c>
      <c r="J388" s="74">
        <f t="shared" si="32"/>
        <v>41231.912145851376</v>
      </c>
      <c r="K388" s="74">
        <f t="shared" si="33"/>
        <v>-4081.8713005576119</v>
      </c>
      <c r="L388" s="74">
        <f t="shared" si="34"/>
        <v>20247.434650678573</v>
      </c>
      <c r="M388" s="74">
        <f t="shared" si="35"/>
        <v>20654.788385452299</v>
      </c>
      <c r="N388" s="74">
        <f t="shared" si="36"/>
        <v>10918.128699442388</v>
      </c>
      <c r="O388" s="74">
        <f t="shared" si="37"/>
        <v>-34752.565349321427</v>
      </c>
      <c r="P388" s="74">
        <f t="shared" si="38"/>
        <v>36427.274570799884</v>
      </c>
    </row>
    <row r="389" spans="1:16" x14ac:dyDescent="0.3">
      <c r="A389" s="72">
        <f t="shared" si="25"/>
        <v>40</v>
      </c>
      <c r="B389" s="74">
        <f t="shared" si="26"/>
        <v>-14007.788184008485</v>
      </c>
      <c r="C389" s="74">
        <f t="shared" si="27"/>
        <v>-1424.1521334206882</v>
      </c>
      <c r="D389" s="74">
        <f t="shared" si="28"/>
        <v>3820.681030867805</v>
      </c>
      <c r="E389" s="74">
        <f t="shared" si="29"/>
        <v>-2353.4349654842272</v>
      </c>
      <c r="F389" s="74">
        <f t="shared" si="23"/>
        <v>1829.3643447709992</v>
      </c>
      <c r="G389" s="74">
        <f t="shared" si="24"/>
        <v>1768.9908402947367</v>
      </c>
      <c r="H389" s="74">
        <f t="shared" si="30"/>
        <v>34007.788184008488</v>
      </c>
      <c r="I389" s="74">
        <f t="shared" si="31"/>
        <v>21424.152133420688</v>
      </c>
      <c r="J389" s="74">
        <f t="shared" si="32"/>
        <v>40193.580977618076</v>
      </c>
      <c r="K389" s="74">
        <f t="shared" si="33"/>
        <v>-5992.2118159915153</v>
      </c>
      <c r="L389" s="74">
        <f t="shared" si="34"/>
        <v>21424.152133420688</v>
      </c>
      <c r="M389" s="74">
        <f t="shared" si="35"/>
        <v>22246.368177382628</v>
      </c>
      <c r="N389" s="74">
        <f t="shared" si="36"/>
        <v>9007.7881840084847</v>
      </c>
      <c r="O389" s="74">
        <f t="shared" si="37"/>
        <v>-33575.847866579308</v>
      </c>
      <c r="P389" s="74">
        <f t="shared" si="38"/>
        <v>34763.167403555752</v>
      </c>
    </row>
    <row r="390" spans="1:16" x14ac:dyDescent="0.3">
      <c r="A390" s="72">
        <f t="shared" si="25"/>
        <v>40.5</v>
      </c>
      <c r="B390" s="74">
        <f t="shared" si="26"/>
        <v>-11640.106582381834</v>
      </c>
      <c r="C390" s="74">
        <f t="shared" si="27"/>
        <v>-2158.6219060891176</v>
      </c>
      <c r="D390" s="74">
        <f t="shared" si="28"/>
        <v>4735.3632032533042</v>
      </c>
      <c r="E390" s="74">
        <f t="shared" si="29"/>
        <v>-1468.9395453368588</v>
      </c>
      <c r="F390" s="74">
        <f t="shared" si="23"/>
        <v>1589.1065349710634</v>
      </c>
      <c r="G390" s="74">
        <f t="shared" si="24"/>
        <v>1285.5309684121544</v>
      </c>
      <c r="H390" s="74">
        <f t="shared" si="30"/>
        <v>31640.106582381835</v>
      </c>
      <c r="I390" s="74">
        <f t="shared" si="31"/>
        <v>22158.621906089116</v>
      </c>
      <c r="J390" s="74">
        <f t="shared" si="32"/>
        <v>38627.721513460965</v>
      </c>
      <c r="K390" s="74">
        <f t="shared" si="33"/>
        <v>-8359.8934176181665</v>
      </c>
      <c r="L390" s="74">
        <f t="shared" si="34"/>
        <v>22158.621906089116</v>
      </c>
      <c r="M390" s="74">
        <f t="shared" si="35"/>
        <v>23683.165808880956</v>
      </c>
      <c r="N390" s="74">
        <f t="shared" si="36"/>
        <v>6640.1065823818335</v>
      </c>
      <c r="O390" s="74">
        <f t="shared" si="37"/>
        <v>-32841.378093910884</v>
      </c>
      <c r="P390" s="74">
        <f t="shared" si="38"/>
        <v>33505.926797099644</v>
      </c>
    </row>
    <row r="391" spans="1:16" x14ac:dyDescent="0.3">
      <c r="A391" s="72">
        <f t="shared" si="25"/>
        <v>41</v>
      </c>
      <c r="B391" s="74">
        <f t="shared" si="26"/>
        <v>-8875.1483470124167</v>
      </c>
      <c r="C391" s="74">
        <f t="shared" si="27"/>
        <v>-2571.7089366545083</v>
      </c>
      <c r="D391" s="74">
        <f t="shared" si="28"/>
        <v>5529.9164707388354</v>
      </c>
      <c r="E391" s="74">
        <f t="shared" si="29"/>
        <v>-826.17406113078164</v>
      </c>
      <c r="F391" s="74">
        <f t="shared" si="23"/>
        <v>1317.4178445770069</v>
      </c>
      <c r="G391" s="74">
        <f t="shared" si="24"/>
        <v>944.75807258739906</v>
      </c>
      <c r="H391" s="74">
        <f t="shared" si="30"/>
        <v>28875.148347012415</v>
      </c>
      <c r="I391" s="74">
        <f t="shared" si="31"/>
        <v>22571.708936654508</v>
      </c>
      <c r="J391" s="74">
        <f t="shared" si="32"/>
        <v>36650.460247901698</v>
      </c>
      <c r="K391" s="74">
        <f t="shared" si="33"/>
        <v>-11124.851652987583</v>
      </c>
      <c r="L391" s="74">
        <f t="shared" si="34"/>
        <v>22571.708936654508</v>
      </c>
      <c r="M391" s="74">
        <f t="shared" si="35"/>
        <v>25164.347172577905</v>
      </c>
      <c r="N391" s="74">
        <f t="shared" si="36"/>
        <v>3875.1483470124167</v>
      </c>
      <c r="O391" s="74">
        <f t="shared" si="37"/>
        <v>-32428.291063345492</v>
      </c>
      <c r="P391" s="74">
        <f t="shared" si="38"/>
        <v>32659.008496897241</v>
      </c>
    </row>
    <row r="392" spans="1:16" x14ac:dyDescent="0.3">
      <c r="A392" s="72">
        <f t="shared" si="25"/>
        <v>41.5</v>
      </c>
      <c r="B392" s="74">
        <f t="shared" si="26"/>
        <v>-5780.8356504987469</v>
      </c>
      <c r="C392" s="74">
        <f t="shared" si="27"/>
        <v>-2748.6064490730491</v>
      </c>
      <c r="D392" s="74">
        <f t="shared" si="28"/>
        <v>6188.6253930273388</v>
      </c>
      <c r="E392" s="74">
        <f t="shared" si="29"/>
        <v>-353.79502483708211</v>
      </c>
      <c r="F392" s="74">
        <f t="shared" si="23"/>
        <v>1047.0838860857589</v>
      </c>
      <c r="G392" s="74">
        <f t="shared" si="24"/>
        <v>793.12778699093815</v>
      </c>
      <c r="H392" s="74">
        <f t="shared" si="30"/>
        <v>25780.835650498746</v>
      </c>
      <c r="I392" s="74">
        <f t="shared" si="31"/>
        <v>22748.60644907305</v>
      </c>
      <c r="J392" s="74">
        <f t="shared" si="32"/>
        <v>34382.416759338412</v>
      </c>
      <c r="K392" s="74">
        <f t="shared" si="33"/>
        <v>-14219.164349501254</v>
      </c>
      <c r="L392" s="74">
        <f t="shared" si="34"/>
        <v>22748.60644907305</v>
      </c>
      <c r="M392" s="74">
        <f t="shared" si="35"/>
        <v>26826.921742401519</v>
      </c>
      <c r="N392" s="74">
        <f t="shared" si="36"/>
        <v>780.83565049874687</v>
      </c>
      <c r="O392" s="74">
        <f t="shared" si="37"/>
        <v>-32251.39355092695</v>
      </c>
      <c r="P392" s="74">
        <f t="shared" si="38"/>
        <v>32260.844537765319</v>
      </c>
    </row>
    <row r="393" spans="1:16" x14ac:dyDescent="0.3">
      <c r="A393" s="72">
        <f t="shared" si="25"/>
        <v>42</v>
      </c>
      <c r="B393" s="74">
        <f t="shared" si="26"/>
        <v>-2424.7519824636379</v>
      </c>
      <c r="C393" s="74">
        <f t="shared" si="27"/>
        <v>-2727.2220147438557</v>
      </c>
      <c r="D393" s="74">
        <f t="shared" si="28"/>
        <v>6712.167336070218</v>
      </c>
      <c r="E393" s="74">
        <f t="shared" si="29"/>
        <v>42.768868658386964</v>
      </c>
      <c r="F393" s="74">
        <f t="shared" si="23"/>
        <v>809.77792195327697</v>
      </c>
      <c r="G393" s="74">
        <f t="shared" si="24"/>
        <v>904.77657424549398</v>
      </c>
      <c r="H393" s="74">
        <f t="shared" si="30"/>
        <v>22424.751982463637</v>
      </c>
      <c r="I393" s="74">
        <f t="shared" si="31"/>
        <v>22727.222014743857</v>
      </c>
      <c r="J393" s="74">
        <f t="shared" si="32"/>
        <v>31927.983368550926</v>
      </c>
      <c r="K393" s="74">
        <f t="shared" si="33"/>
        <v>-17575.248017536363</v>
      </c>
      <c r="L393" s="74">
        <f t="shared" si="34"/>
        <v>22727.222014743857</v>
      </c>
      <c r="M393" s="74">
        <f t="shared" si="35"/>
        <v>28730.053313305452</v>
      </c>
      <c r="N393" s="74">
        <f t="shared" si="36"/>
        <v>-2575.2480175363621</v>
      </c>
      <c r="O393" s="74">
        <f t="shared" si="37"/>
        <v>-32272.777985256143</v>
      </c>
      <c r="P393" s="74">
        <f t="shared" si="38"/>
        <v>32375.362565343705</v>
      </c>
    </row>
    <row r="394" spans="1:16" x14ac:dyDescent="0.3">
      <c r="A394" s="72">
        <f t="shared" si="25"/>
        <v>42.5</v>
      </c>
      <c r="B394" s="74">
        <f t="shared" si="26"/>
        <v>1133.7761660597903</v>
      </c>
      <c r="C394" s="74">
        <f t="shared" si="27"/>
        <v>-2479.6434368532887</v>
      </c>
      <c r="D394" s="74">
        <f t="shared" si="28"/>
        <v>7117.0562970468563</v>
      </c>
      <c r="E394" s="74">
        <f t="shared" si="29"/>
        <v>495.15715578113395</v>
      </c>
      <c r="F394" s="74">
        <f t="shared" si="23"/>
        <v>630.14847115891769</v>
      </c>
      <c r="G394" s="74">
        <f t="shared" si="24"/>
        <v>1351.4691096037623</v>
      </c>
      <c r="H394" s="74">
        <f t="shared" si="30"/>
        <v>18866.22383394021</v>
      </c>
      <c r="I394" s="74">
        <f t="shared" si="31"/>
        <v>22479.64343685329</v>
      </c>
      <c r="J394" s="74">
        <f t="shared" si="32"/>
        <v>29347.380987072676</v>
      </c>
      <c r="K394" s="74">
        <f t="shared" si="33"/>
        <v>-21133.77616605979</v>
      </c>
      <c r="L394" s="74">
        <f t="shared" si="34"/>
        <v>22479.64343685329</v>
      </c>
      <c r="M394" s="74">
        <f t="shared" si="35"/>
        <v>30854.025087258517</v>
      </c>
      <c r="N394" s="74">
        <f t="shared" si="36"/>
        <v>-6133.7761660597898</v>
      </c>
      <c r="O394" s="74">
        <f t="shared" si="37"/>
        <v>-32520.35656314671</v>
      </c>
      <c r="P394" s="74">
        <f t="shared" si="38"/>
        <v>33093.757735402643</v>
      </c>
    </row>
    <row r="395" spans="1:16" x14ac:dyDescent="0.3">
      <c r="A395" s="72">
        <f t="shared" si="25"/>
        <v>43</v>
      </c>
      <c r="B395" s="74">
        <f t="shared" si="26"/>
        <v>4849.8414323729476</v>
      </c>
      <c r="C395" s="74">
        <f t="shared" si="27"/>
        <v>-1894.1975815617811</v>
      </c>
      <c r="D395" s="74">
        <f t="shared" si="28"/>
        <v>7432.1305326263155</v>
      </c>
      <c r="E395" s="74">
        <f t="shared" si="29"/>
        <v>1170.8917105830151</v>
      </c>
      <c r="F395" s="74">
        <f t="shared" si="23"/>
        <v>523.70758575953869</v>
      </c>
      <c r="G395" s="74">
        <f t="shared" si="24"/>
        <v>2191.0885462959145</v>
      </c>
      <c r="H395" s="74">
        <f t="shared" si="30"/>
        <v>15150.158567627052</v>
      </c>
      <c r="I395" s="74">
        <f t="shared" si="31"/>
        <v>21894.197581561781</v>
      </c>
      <c r="J395" s="74">
        <f t="shared" si="32"/>
        <v>26624.860419628665</v>
      </c>
      <c r="K395" s="74">
        <f t="shared" si="33"/>
        <v>-24849.841432372948</v>
      </c>
      <c r="L395" s="74">
        <f t="shared" si="34"/>
        <v>21894.197581561781</v>
      </c>
      <c r="M395" s="74">
        <f t="shared" si="35"/>
        <v>33119.035417030871</v>
      </c>
      <c r="N395" s="74">
        <f t="shared" si="36"/>
        <v>-9849.8414323729485</v>
      </c>
      <c r="O395" s="74">
        <f t="shared" si="37"/>
        <v>-33105.802418438216</v>
      </c>
      <c r="P395" s="74">
        <f t="shared" si="38"/>
        <v>34540.027938777937</v>
      </c>
    </row>
    <row r="396" spans="1:16" x14ac:dyDescent="0.3">
      <c r="A396" s="72">
        <f t="shared" si="25"/>
        <v>43.5</v>
      </c>
      <c r="B396" s="74">
        <f t="shared" si="26"/>
        <v>8696.8335951259905</v>
      </c>
      <c r="C396" s="74">
        <f t="shared" si="27"/>
        <v>-760.97958969629497</v>
      </c>
      <c r="D396" s="74">
        <f t="shared" si="28"/>
        <v>7693.984325506085</v>
      </c>
      <c r="E396" s="74">
        <f t="shared" si="29"/>
        <v>2266.4359837309721</v>
      </c>
      <c r="F396" s="74">
        <f t="shared" si="23"/>
        <v>486.13612134677874</v>
      </c>
      <c r="G396" s="74">
        <f t="shared" si="24"/>
        <v>3501.9901043249747</v>
      </c>
      <c r="H396" s="74">
        <f t="shared" si="30"/>
        <v>11303.166404874009</v>
      </c>
      <c r="I396" s="74">
        <f t="shared" si="31"/>
        <v>20760.979589696293</v>
      </c>
      <c r="J396" s="74">
        <f t="shared" si="32"/>
        <v>23638.524579593763</v>
      </c>
      <c r="K396" s="74">
        <f t="shared" si="33"/>
        <v>-28696.833595125991</v>
      </c>
      <c r="L396" s="74">
        <f t="shared" si="34"/>
        <v>20760.979589696293</v>
      </c>
      <c r="M396" s="74">
        <f t="shared" si="35"/>
        <v>35419.296039166809</v>
      </c>
      <c r="N396" s="74">
        <f t="shared" si="36"/>
        <v>-13696.833595125991</v>
      </c>
      <c r="O396" s="74">
        <f t="shared" si="37"/>
        <v>-34239.020410303703</v>
      </c>
      <c r="P396" s="74">
        <f t="shared" si="38"/>
        <v>36877.008680067389</v>
      </c>
    </row>
    <row r="397" spans="1:16" x14ac:dyDescent="0.3">
      <c r="A397" s="72">
        <f t="shared" si="25"/>
        <v>44</v>
      </c>
      <c r="B397" s="74">
        <f t="shared" si="26"/>
        <v>12665.359788215726</v>
      </c>
      <c r="C397" s="74">
        <f t="shared" si="27"/>
        <v>1247.7359282504349</v>
      </c>
      <c r="D397" s="74">
        <f t="shared" si="28"/>
        <v>7937.0523861794745</v>
      </c>
      <c r="E397" s="74">
        <f t="shared" si="29"/>
        <v>4017.4310358934595</v>
      </c>
      <c r="F397" s="74">
        <f t="shared" si="23"/>
        <v>444.63684840059341</v>
      </c>
      <c r="G397" s="74">
        <f t="shared" si="24"/>
        <v>5499.4009978691465</v>
      </c>
      <c r="H397" s="74">
        <f t="shared" si="30"/>
        <v>7334.6402117842736</v>
      </c>
      <c r="I397" s="74">
        <f t="shared" si="31"/>
        <v>18752.264071749567</v>
      </c>
      <c r="J397" s="74">
        <f t="shared" si="32"/>
        <v>20135.648856020322</v>
      </c>
      <c r="K397" s="74">
        <f t="shared" si="33"/>
        <v>-32665.359788215726</v>
      </c>
      <c r="L397" s="74">
        <f t="shared" si="34"/>
        <v>18752.264071749567</v>
      </c>
      <c r="M397" s="74">
        <f t="shared" si="35"/>
        <v>37665.277616263636</v>
      </c>
      <c r="N397" s="74">
        <f t="shared" si="36"/>
        <v>-17665.359788215726</v>
      </c>
      <c r="O397" s="74">
        <f t="shared" si="37"/>
        <v>-36247.735928250433</v>
      </c>
      <c r="P397" s="74">
        <f t="shared" si="38"/>
        <v>40323.235192272041</v>
      </c>
    </row>
    <row r="398" spans="1:16" x14ac:dyDescent="0.3">
      <c r="A398" s="72">
        <f t="shared" si="25"/>
        <v>44.5</v>
      </c>
      <c r="B398" s="74">
        <f t="shared" si="26"/>
        <v>16745.045193405611</v>
      </c>
      <c r="C398" s="74">
        <f t="shared" si="27"/>
        <v>4631.3016956644515</v>
      </c>
      <c r="D398" s="74">
        <f t="shared" si="28"/>
        <v>8159.3708103797708</v>
      </c>
      <c r="E398" s="74">
        <f t="shared" si="29"/>
        <v>6767.1315348280332</v>
      </c>
      <c r="F398" s="74">
        <f t="shared" si="23"/>
        <v>17.992791027568273</v>
      </c>
      <c r="G398" s="74">
        <f t="shared" si="24"/>
        <v>8787.1349804535093</v>
      </c>
      <c r="H398" s="74">
        <f t="shared" si="30"/>
        <v>3254.9548065943891</v>
      </c>
      <c r="I398" s="74">
        <f t="shared" si="31"/>
        <v>15368.698304335549</v>
      </c>
      <c r="J398" s="74">
        <f t="shared" si="32"/>
        <v>15709.602743629715</v>
      </c>
      <c r="K398" s="74">
        <f t="shared" si="33"/>
        <v>-36745.045193405611</v>
      </c>
      <c r="L398" s="74">
        <f t="shared" si="34"/>
        <v>15368.698304335549</v>
      </c>
      <c r="M398" s="74">
        <f t="shared" si="35"/>
        <v>39829.577374548011</v>
      </c>
      <c r="N398" s="74">
        <f t="shared" si="36"/>
        <v>-21745.045193405611</v>
      </c>
      <c r="O398" s="74">
        <f t="shared" si="37"/>
        <v>-39631.30169566445</v>
      </c>
      <c r="P398" s="74">
        <f t="shared" si="38"/>
        <v>45204.945133868132</v>
      </c>
    </row>
    <row r="399" spans="1:16" x14ac:dyDescent="0.3">
      <c r="A399" s="72">
        <f t="shared" si="25"/>
        <v>45</v>
      </c>
      <c r="B399" s="74">
        <f t="shared" si="26"/>
        <v>20829.228796352389</v>
      </c>
      <c r="C399" s="74">
        <f t="shared" si="27"/>
        <v>10211.651208191844</v>
      </c>
      <c r="D399" s="74">
        <f t="shared" si="28"/>
        <v>8168.3672058935554</v>
      </c>
      <c r="E399" s="74">
        <f t="shared" si="29"/>
        <v>11160.699025054788</v>
      </c>
      <c r="F399" s="74">
        <f t="shared" si="23"/>
        <v>-3108.3269016782369</v>
      </c>
      <c r="G399" s="74">
        <f t="shared" si="24"/>
        <v>13883.558906554861</v>
      </c>
      <c r="H399" s="74">
        <f t="shared" si="30"/>
        <v>-829.2287963523886</v>
      </c>
      <c r="I399" s="74">
        <f t="shared" si="31"/>
        <v>9788.3487918081555</v>
      </c>
      <c r="J399" s="74">
        <f t="shared" si="32"/>
        <v>9823.4104295194848</v>
      </c>
      <c r="K399" s="74">
        <f t="shared" si="33"/>
        <v>-40829.228796352385</v>
      </c>
      <c r="L399" s="74">
        <f t="shared" si="34"/>
        <v>9788.3487918081555</v>
      </c>
      <c r="M399" s="74">
        <f t="shared" si="35"/>
        <v>41986.160769651025</v>
      </c>
      <c r="N399" s="74">
        <f t="shared" si="36"/>
        <v>-25829.228796352389</v>
      </c>
      <c r="O399" s="74">
        <f t="shared" si="37"/>
        <v>-45211.651208191848</v>
      </c>
      <c r="P399" s="74">
        <f t="shared" si="38"/>
        <v>52069.592519872043</v>
      </c>
    </row>
    <row r="400" spans="1:16" x14ac:dyDescent="0.3">
      <c r="A400" s="72">
        <f t="shared" si="25"/>
        <v>45.5</v>
      </c>
      <c r="B400" s="74">
        <f t="shared" si="26"/>
        <v>24136.330673879605</v>
      </c>
      <c r="C400" s="74">
        <f t="shared" si="27"/>
        <v>19262.890447357953</v>
      </c>
      <c r="D400" s="74">
        <f t="shared" si="28"/>
        <v>6614.2037550544374</v>
      </c>
      <c r="E400" s="74">
        <f t="shared" si="29"/>
        <v>18102.478478332217</v>
      </c>
      <c r="F400" s="74">
        <f t="shared" si="23"/>
        <v>-15127.727612431614</v>
      </c>
      <c r="G400" s="74">
        <f t="shared" si="24"/>
        <v>1501.3484835998502</v>
      </c>
      <c r="H400" s="74">
        <f t="shared" si="30"/>
        <v>-4136.3306738796055</v>
      </c>
      <c r="I400" s="74">
        <f t="shared" si="31"/>
        <v>737.10955264204676</v>
      </c>
      <c r="J400" s="74">
        <f t="shared" si="32"/>
        <v>4201.4952024575095</v>
      </c>
      <c r="K400" s="74">
        <f t="shared" si="33"/>
        <v>-44136.330673879609</v>
      </c>
      <c r="L400" s="74">
        <f t="shared" si="34"/>
        <v>737.10955264204676</v>
      </c>
      <c r="M400" s="74">
        <f t="shared" si="35"/>
        <v>44142.48538366006</v>
      </c>
      <c r="N400" s="74">
        <f t="shared" si="36"/>
        <v>-29136.330673879605</v>
      </c>
      <c r="O400" s="74">
        <f t="shared" si="37"/>
        <v>-54262.890447357953</v>
      </c>
      <c r="P400" s="74">
        <f t="shared" si="38"/>
        <v>61590.478524197461</v>
      </c>
    </row>
    <row r="401" spans="1:16" x14ac:dyDescent="0.3">
      <c r="A401" s="72">
        <f t="shared" si="25"/>
        <v>46</v>
      </c>
      <c r="B401" s="74">
        <f t="shared" si="26"/>
        <v>23661.500648298923</v>
      </c>
      <c r="C401" s="74">
        <f t="shared" si="27"/>
        <v>28689.466807424025</v>
      </c>
      <c r="D401" s="74">
        <f t="shared" si="28"/>
        <v>-949.66005116136967</v>
      </c>
      <c r="E401" s="74">
        <f t="shared" si="29"/>
        <v>18853.152720132144</v>
      </c>
      <c r="F401" s="74">
        <f t="shared" si="23"/>
        <v>-7260.5936153670209</v>
      </c>
      <c r="G401" s="74">
        <f t="shared" si="24"/>
        <v>-14979.060775035092</v>
      </c>
      <c r="H401" s="74">
        <f t="shared" si="30"/>
        <v>-3661.5006482989229</v>
      </c>
      <c r="I401" s="74">
        <f t="shared" si="31"/>
        <v>-8689.4668074240253</v>
      </c>
      <c r="J401" s="74">
        <f t="shared" si="32"/>
        <v>9429.3913056367164</v>
      </c>
      <c r="K401" s="74">
        <f t="shared" si="33"/>
        <v>-43661.500648298927</v>
      </c>
      <c r="L401" s="74">
        <f t="shared" si="34"/>
        <v>-8689.4668074240253</v>
      </c>
      <c r="M401" s="74">
        <f t="shared" si="35"/>
        <v>44517.78826782314</v>
      </c>
      <c r="N401" s="74">
        <f t="shared" si="36"/>
        <v>-28661.500648298923</v>
      </c>
      <c r="O401" s="74">
        <f t="shared" si="37"/>
        <v>-63689.466807424025</v>
      </c>
      <c r="P401" s="74">
        <f t="shared" si="38"/>
        <v>69841.461909287143</v>
      </c>
    </row>
    <row r="402" spans="1:16" x14ac:dyDescent="0.3">
      <c r="A402" s="72">
        <f t="shared" si="25"/>
        <v>46.5</v>
      </c>
      <c r="B402" s="74">
        <f t="shared" si="26"/>
        <v>21371.522218876482</v>
      </c>
      <c r="C402" s="74">
        <f t="shared" si="27"/>
        <v>34371.277973731325</v>
      </c>
      <c r="D402" s="74">
        <f t="shared" si="28"/>
        <v>-4579.9568588448801</v>
      </c>
      <c r="E402" s="74">
        <f t="shared" si="29"/>
        <v>11363.622332614599</v>
      </c>
      <c r="F402" s="74">
        <f t="shared" si="23"/>
        <v>-2329.1849999960923</v>
      </c>
      <c r="G402" s="74">
        <f t="shared" si="24"/>
        <v>-12155.497057183693</v>
      </c>
      <c r="H402" s="74">
        <f t="shared" si="30"/>
        <v>-1371.5222188764819</v>
      </c>
      <c r="I402" s="74">
        <f t="shared" si="31"/>
        <v>-14371.277973731325</v>
      </c>
      <c r="J402" s="74">
        <f t="shared" si="32"/>
        <v>14436.575210039498</v>
      </c>
      <c r="K402" s="74">
        <f t="shared" si="33"/>
        <v>-41371.522218876482</v>
      </c>
      <c r="L402" s="74">
        <f t="shared" si="34"/>
        <v>-14371.277973731325</v>
      </c>
      <c r="M402" s="74">
        <f t="shared" si="35"/>
        <v>43796.53503766303</v>
      </c>
      <c r="N402" s="74">
        <f t="shared" si="36"/>
        <v>-26371.522218876482</v>
      </c>
      <c r="O402" s="74">
        <f t="shared" si="37"/>
        <v>-69371.277973731325</v>
      </c>
      <c r="P402" s="74">
        <f t="shared" si="38"/>
        <v>74214.765322335938</v>
      </c>
    </row>
    <row r="403" spans="1:16" x14ac:dyDescent="0.3">
      <c r="A403" s="72">
        <f t="shared" si="25"/>
        <v>47</v>
      </c>
      <c r="B403" s="74">
        <f t="shared" si="26"/>
        <v>18499.247539455017</v>
      </c>
      <c r="C403" s="74">
        <f t="shared" si="27"/>
        <v>37014.214875742698</v>
      </c>
      <c r="D403" s="74">
        <f t="shared" si="28"/>
        <v>-5744.5493588429263</v>
      </c>
      <c r="E403" s="74">
        <f t="shared" si="29"/>
        <v>5285.8738040227527</v>
      </c>
      <c r="F403" s="74">
        <f t="shared" si="23"/>
        <v>-459.692795079196</v>
      </c>
      <c r="G403" s="74">
        <f t="shared" si="24"/>
        <v>-10332.179808268975</v>
      </c>
      <c r="H403" s="74">
        <f t="shared" si="30"/>
        <v>1500.7524605449835</v>
      </c>
      <c r="I403" s="74">
        <f t="shared" si="31"/>
        <v>-17014.214875742698</v>
      </c>
      <c r="J403" s="74">
        <f t="shared" si="32"/>
        <v>17080.274171856141</v>
      </c>
      <c r="K403" s="74">
        <f t="shared" si="33"/>
        <v>-38499.247539455013</v>
      </c>
      <c r="L403" s="74">
        <f t="shared" si="34"/>
        <v>-17014.214875742698</v>
      </c>
      <c r="M403" s="74">
        <f t="shared" si="35"/>
        <v>42091.276637115399</v>
      </c>
      <c r="N403" s="74">
        <f t="shared" si="36"/>
        <v>-23499.247539455017</v>
      </c>
      <c r="O403" s="74">
        <f t="shared" si="37"/>
        <v>-72014.214875742706</v>
      </c>
      <c r="P403" s="74">
        <f t="shared" si="38"/>
        <v>75751.315362112524</v>
      </c>
    </row>
    <row r="404" spans="1:16" x14ac:dyDescent="0.3">
      <c r="A404" s="72">
        <f t="shared" si="25"/>
        <v>47.5</v>
      </c>
      <c r="B404" s="74">
        <f t="shared" si="26"/>
        <v>15512.049661263754</v>
      </c>
      <c r="C404" s="74">
        <f t="shared" si="27"/>
        <v>37074.106825686831</v>
      </c>
      <c r="D404" s="74">
        <f t="shared" si="28"/>
        <v>-5974.3957563825243</v>
      </c>
      <c r="E404" s="74">
        <f t="shared" si="29"/>
        <v>119.7838998882653</v>
      </c>
      <c r="F404" s="74">
        <f t="shared" si="23"/>
        <v>880.14703173759722</v>
      </c>
      <c r="G404" s="74">
        <f t="shared" si="24"/>
        <v>-9824.7026185168088</v>
      </c>
      <c r="H404" s="74">
        <f t="shared" si="30"/>
        <v>4487.9503387362456</v>
      </c>
      <c r="I404" s="74">
        <f t="shared" si="31"/>
        <v>-17074.106825686831</v>
      </c>
      <c r="J404" s="74">
        <f t="shared" si="32"/>
        <v>17654.087972419544</v>
      </c>
      <c r="K404" s="74">
        <f t="shared" si="33"/>
        <v>-35512.049661263751</v>
      </c>
      <c r="L404" s="74">
        <f t="shared" si="34"/>
        <v>-17074.106825686831</v>
      </c>
      <c r="M404" s="74">
        <f t="shared" si="35"/>
        <v>39403.436335414051</v>
      </c>
      <c r="N404" s="74">
        <f t="shared" si="36"/>
        <v>-20512.049661263754</v>
      </c>
      <c r="O404" s="74">
        <f t="shared" si="37"/>
        <v>-72074.106825686831</v>
      </c>
      <c r="P404" s="74">
        <f t="shared" si="38"/>
        <v>74936.113163325121</v>
      </c>
    </row>
    <row r="405" spans="1:16" x14ac:dyDescent="0.3">
      <c r="A405" s="72">
        <f t="shared" si="25"/>
        <v>48</v>
      </c>
      <c r="B405" s="74">
        <f t="shared" si="26"/>
        <v>12744.888541006892</v>
      </c>
      <c r="C405" s="74">
        <f t="shared" si="27"/>
        <v>34677.823121001762</v>
      </c>
      <c r="D405" s="74">
        <f t="shared" si="28"/>
        <v>-5534.3222405137258</v>
      </c>
      <c r="E405" s="74">
        <f t="shared" si="29"/>
        <v>-4792.5674093701391</v>
      </c>
      <c r="F405" s="74">
        <f t="shared" si="23"/>
        <v>2696.0851928580364</v>
      </c>
      <c r="G405" s="74">
        <f t="shared" si="24"/>
        <v>-10102.919622044577</v>
      </c>
      <c r="H405" s="74">
        <f t="shared" si="30"/>
        <v>7255.1114589931076</v>
      </c>
      <c r="I405" s="74">
        <f t="shared" si="31"/>
        <v>-14677.823121001762</v>
      </c>
      <c r="J405" s="74">
        <f t="shared" si="32"/>
        <v>16373.000148226562</v>
      </c>
      <c r="K405" s="74">
        <f t="shared" si="33"/>
        <v>-32744.888541006891</v>
      </c>
      <c r="L405" s="74">
        <f t="shared" si="34"/>
        <v>-14677.823121001762</v>
      </c>
      <c r="M405" s="74">
        <f t="shared" si="35"/>
        <v>35884.066340569298</v>
      </c>
      <c r="N405" s="74">
        <f t="shared" si="36"/>
        <v>-17744.888541006891</v>
      </c>
      <c r="O405" s="74">
        <f t="shared" si="37"/>
        <v>-69677.823121001769</v>
      </c>
      <c r="P405" s="74">
        <f t="shared" si="38"/>
        <v>71901.878307971667</v>
      </c>
    </row>
    <row r="406" spans="1:16" x14ac:dyDescent="0.3">
      <c r="A406" s="72">
        <f t="shared" si="25"/>
        <v>48.5</v>
      </c>
      <c r="B406" s="74">
        <f t="shared" si="26"/>
        <v>10651.74871896454</v>
      </c>
      <c r="C406" s="74">
        <f t="shared" si="27"/>
        <v>29755.80951080555</v>
      </c>
      <c r="D406" s="74">
        <f t="shared" si="28"/>
        <v>-4186.2796440847078</v>
      </c>
      <c r="E406" s="74">
        <f t="shared" si="29"/>
        <v>-9844.0272203924287</v>
      </c>
      <c r="F406" s="74">
        <f t="shared" si="23"/>
        <v>6224.5339741337402</v>
      </c>
      <c r="G406" s="74">
        <f t="shared" si="24"/>
        <v>-10065.183613835146</v>
      </c>
      <c r="H406" s="74">
        <f t="shared" si="30"/>
        <v>9348.2512810354601</v>
      </c>
      <c r="I406" s="74">
        <f t="shared" si="31"/>
        <v>-9755.8095108055495</v>
      </c>
      <c r="J406" s="74">
        <f t="shared" si="32"/>
        <v>13511.684618303712</v>
      </c>
      <c r="K406" s="74">
        <f t="shared" si="33"/>
        <v>-30651.74871896454</v>
      </c>
      <c r="L406" s="74">
        <f t="shared" si="34"/>
        <v>-9755.8095108055495</v>
      </c>
      <c r="M406" s="74">
        <f t="shared" si="35"/>
        <v>32166.838805541156</v>
      </c>
      <c r="N406" s="74">
        <f t="shared" si="36"/>
        <v>-15651.74871896454</v>
      </c>
      <c r="O406" s="74">
        <f t="shared" si="37"/>
        <v>-64755.80951080555</v>
      </c>
      <c r="P406" s="74">
        <f t="shared" si="38"/>
        <v>66620.508128963877</v>
      </c>
    </row>
    <row r="407" spans="1:16" x14ac:dyDescent="0.3">
      <c r="A407" s="72">
        <f t="shared" si="25"/>
        <v>49</v>
      </c>
      <c r="B407" s="74">
        <f t="shared" si="26"/>
        <v>10114.74239045562</v>
      </c>
      <c r="C407" s="74">
        <f t="shared" si="27"/>
        <v>22317.499997150549</v>
      </c>
      <c r="D407" s="74">
        <f t="shared" si="28"/>
        <v>-1074.0126570178377</v>
      </c>
      <c r="E407" s="74">
        <f t="shared" si="29"/>
        <v>-14876.619027310002</v>
      </c>
      <c r="F407" s="74">
        <f t="shared" si="23"/>
        <v>11898.186167676118</v>
      </c>
      <c r="G407" s="74">
        <f t="shared" si="24"/>
        <v>-4622.2507317506461</v>
      </c>
      <c r="H407" s="74">
        <f t="shared" si="30"/>
        <v>9885.2576095443801</v>
      </c>
      <c r="I407" s="74">
        <f t="shared" si="31"/>
        <v>-2317.4999971505495</v>
      </c>
      <c r="J407" s="74">
        <f t="shared" si="32"/>
        <v>10153.28145201579</v>
      </c>
      <c r="K407" s="74">
        <f t="shared" si="33"/>
        <v>-30114.74239045562</v>
      </c>
      <c r="L407" s="74">
        <f t="shared" si="34"/>
        <v>-2317.4999971505495</v>
      </c>
      <c r="M407" s="74">
        <f t="shared" si="35"/>
        <v>30203.78313192401</v>
      </c>
      <c r="N407" s="74">
        <f t="shared" si="36"/>
        <v>-15114.74239045562</v>
      </c>
      <c r="O407" s="74">
        <f t="shared" si="37"/>
        <v>-57317.499997150546</v>
      </c>
      <c r="P407" s="74">
        <f t="shared" si="38"/>
        <v>59276.903119623152</v>
      </c>
    </row>
    <row r="408" spans="1:16" x14ac:dyDescent="0.3">
      <c r="A408" s="72">
        <f t="shared" si="25"/>
        <v>49.5</v>
      </c>
      <c r="B408" s="74">
        <f t="shared" si="26"/>
        <v>12552.282603865731</v>
      </c>
      <c r="C408" s="74">
        <f t="shared" si="27"/>
        <v>13723.627800557888</v>
      </c>
      <c r="D408" s="74">
        <f t="shared" si="28"/>
        <v>4875.080426820221</v>
      </c>
      <c r="E408" s="74">
        <f t="shared" si="29"/>
        <v>-17187.744393185327</v>
      </c>
      <c r="F408" s="74">
        <f t="shared" si="23"/>
        <v>9207.7689888680216</v>
      </c>
      <c r="G408" s="74">
        <f t="shared" si="24"/>
        <v>8613.6900753364062</v>
      </c>
      <c r="H408" s="74">
        <f t="shared" si="30"/>
        <v>7447.7173961342687</v>
      </c>
      <c r="I408" s="74">
        <f t="shared" si="31"/>
        <v>6276.3721994421121</v>
      </c>
      <c r="J408" s="74">
        <f t="shared" si="32"/>
        <v>9739.6787625984271</v>
      </c>
      <c r="K408" s="74">
        <f t="shared" si="33"/>
        <v>-32552.282603865729</v>
      </c>
      <c r="L408" s="74">
        <f t="shared" si="34"/>
        <v>6276.3721994421121</v>
      </c>
      <c r="M408" s="74">
        <f t="shared" si="35"/>
        <v>33151.831785104565</v>
      </c>
      <c r="N408" s="74">
        <f t="shared" si="36"/>
        <v>-17552.282603865729</v>
      </c>
      <c r="O408" s="74">
        <f t="shared" si="37"/>
        <v>-48723.627800557886</v>
      </c>
      <c r="P408" s="74">
        <f t="shared" si="38"/>
        <v>51788.749074034073</v>
      </c>
    </row>
    <row r="409" spans="1:16" x14ac:dyDescent="0.3">
      <c r="A409" s="72">
        <f t="shared" si="25"/>
        <v>50</v>
      </c>
      <c r="B409" s="74">
        <f t="shared" si="26"/>
        <v>17291.765064492847</v>
      </c>
      <c r="C409" s="74">
        <f t="shared" si="27"/>
        <v>7283.178122799326</v>
      </c>
      <c r="D409" s="74">
        <f t="shared" si="28"/>
        <v>9478.9649212542317</v>
      </c>
      <c r="E409" s="74">
        <f t="shared" si="29"/>
        <v>-12880.899355517124</v>
      </c>
      <c r="F409" s="74">
        <f t="shared" si="23"/>
        <v>538.03505148123656</v>
      </c>
      <c r="G409" s="74">
        <f t="shared" si="24"/>
        <v>10968.996072101627</v>
      </c>
      <c r="H409" s="74">
        <f t="shared" si="30"/>
        <v>2708.2349355071528</v>
      </c>
      <c r="I409" s="74">
        <f t="shared" si="31"/>
        <v>12716.821877200673</v>
      </c>
      <c r="J409" s="74">
        <f t="shared" si="32"/>
        <v>13002.003504166236</v>
      </c>
      <c r="K409" s="74">
        <f t="shared" si="33"/>
        <v>-37291.765064492851</v>
      </c>
      <c r="L409" s="74">
        <f t="shared" si="34"/>
        <v>12716.821877200673</v>
      </c>
      <c r="M409" s="74">
        <f t="shared" si="35"/>
        <v>39400.422590142087</v>
      </c>
      <c r="N409" s="74">
        <f t="shared" si="36"/>
        <v>-22291.765064492847</v>
      </c>
      <c r="O409" s="74">
        <f t="shared" si="37"/>
        <v>-42283.178122799327</v>
      </c>
      <c r="P409" s="74">
        <f t="shared" si="38"/>
        <v>47799.476376367551</v>
      </c>
    </row>
    <row r="410" spans="1:16" x14ac:dyDescent="0.3">
      <c r="A410" s="72">
        <f t="shared" si="25"/>
        <v>50.5</v>
      </c>
      <c r="B410" s="74">
        <f t="shared" si="26"/>
        <v>22165.756287990273</v>
      </c>
      <c r="C410" s="74">
        <f t="shared" si="27"/>
        <v>3584.9774630661709</v>
      </c>
      <c r="D410" s="74">
        <f t="shared" si="28"/>
        <v>9747.9824469948508</v>
      </c>
      <c r="E410" s="74">
        <f t="shared" si="29"/>
        <v>-7396.4013194663103</v>
      </c>
      <c r="F410" s="74">
        <f t="shared" si="23"/>
        <v>-3199.5051687175796</v>
      </c>
      <c r="G410" s="74">
        <f t="shared" si="24"/>
        <v>8423.9016297979051</v>
      </c>
      <c r="H410" s="74">
        <f t="shared" si="30"/>
        <v>-2165.7562879902725</v>
      </c>
      <c r="I410" s="74">
        <f t="shared" si="31"/>
        <v>16415.02253693383</v>
      </c>
      <c r="J410" s="74">
        <f t="shared" si="32"/>
        <v>16557.278314596722</v>
      </c>
      <c r="K410" s="74">
        <f t="shared" si="33"/>
        <v>-42165.756287990269</v>
      </c>
      <c r="L410" s="74">
        <f t="shared" si="34"/>
        <v>16415.02253693383</v>
      </c>
      <c r="M410" s="74">
        <f t="shared" si="35"/>
        <v>45248.248233785096</v>
      </c>
      <c r="N410" s="74">
        <f t="shared" si="36"/>
        <v>-27165.756287990273</v>
      </c>
      <c r="O410" s="74">
        <f t="shared" si="37"/>
        <v>-38584.97746306617</v>
      </c>
      <c r="P410" s="74">
        <f t="shared" si="38"/>
        <v>47188.757141122158</v>
      </c>
    </row>
    <row r="411" spans="1:16" x14ac:dyDescent="0.3">
      <c r="A411" s="72">
        <f t="shared" si="25"/>
        <v>51</v>
      </c>
      <c r="B411" s="74">
        <f t="shared" si="26"/>
        <v>26239.871219308305</v>
      </c>
      <c r="C411" s="74">
        <f t="shared" si="27"/>
        <v>1992.7522107824921</v>
      </c>
      <c r="D411" s="74">
        <f t="shared" si="28"/>
        <v>8148.2298626360607</v>
      </c>
      <c r="E411" s="74">
        <f t="shared" si="29"/>
        <v>-3184.4505045673577</v>
      </c>
      <c r="F411" s="74">
        <f t="shared" si="23"/>
        <v>-4485.6338025639361</v>
      </c>
      <c r="G411" s="74">
        <f t="shared" si="24"/>
        <v>6588.3157225033692</v>
      </c>
      <c r="H411" s="74">
        <f t="shared" si="30"/>
        <v>-6239.8712193083047</v>
      </c>
      <c r="I411" s="74">
        <f t="shared" si="31"/>
        <v>18007.247789217508</v>
      </c>
      <c r="J411" s="74">
        <f t="shared" si="32"/>
        <v>19057.727193341576</v>
      </c>
      <c r="K411" s="74">
        <f t="shared" si="33"/>
        <v>-46239.871219308305</v>
      </c>
      <c r="L411" s="74">
        <f t="shared" si="34"/>
        <v>18007.247789217508</v>
      </c>
      <c r="M411" s="74">
        <f t="shared" si="35"/>
        <v>49622.441126172904</v>
      </c>
      <c r="N411" s="74">
        <f t="shared" si="36"/>
        <v>-31239.871219308305</v>
      </c>
      <c r="O411" s="74">
        <f t="shared" si="37"/>
        <v>-36992.752210782492</v>
      </c>
      <c r="P411" s="74">
        <f t="shared" si="38"/>
        <v>48418.935035038929</v>
      </c>
    </row>
    <row r="412" spans="1:16" x14ac:dyDescent="0.3">
      <c r="A412" s="72">
        <f t="shared" si="25"/>
        <v>51.5</v>
      </c>
      <c r="B412" s="74">
        <f t="shared" si="26"/>
        <v>29192.577699985348</v>
      </c>
      <c r="C412" s="74">
        <f t="shared" si="27"/>
        <v>2047.6058891246555</v>
      </c>
      <c r="D412" s="74">
        <f t="shared" si="28"/>
        <v>5905.4129613540927</v>
      </c>
      <c r="E412" s="74">
        <f t="shared" si="29"/>
        <v>109.7073566843269</v>
      </c>
      <c r="F412" s="74">
        <f t="shared" si="23"/>
        <v>-5139.6549667700674</v>
      </c>
      <c r="G412" s="74">
        <f t="shared" si="24"/>
        <v>5707.2639072076618</v>
      </c>
      <c r="H412" s="74">
        <f t="shared" si="30"/>
        <v>-9192.5776999853479</v>
      </c>
      <c r="I412" s="74">
        <f t="shared" si="31"/>
        <v>17952.394110875346</v>
      </c>
      <c r="J412" s="74">
        <f t="shared" si="32"/>
        <v>20169.083744247277</v>
      </c>
      <c r="K412" s="74">
        <f t="shared" si="33"/>
        <v>-49192.577699985348</v>
      </c>
      <c r="L412" s="74">
        <f t="shared" si="34"/>
        <v>17952.394110875346</v>
      </c>
      <c r="M412" s="74">
        <f t="shared" si="35"/>
        <v>52366.001900863957</v>
      </c>
      <c r="N412" s="74">
        <f t="shared" si="36"/>
        <v>-34192.577699985348</v>
      </c>
      <c r="O412" s="74">
        <f t="shared" si="37"/>
        <v>-37047.605889124658</v>
      </c>
      <c r="P412" s="74">
        <f t="shared" si="38"/>
        <v>50414.853683070818</v>
      </c>
    </row>
    <row r="413" spans="1:16" x14ac:dyDescent="0.3">
      <c r="A413" s="72">
        <f t="shared" si="25"/>
        <v>52</v>
      </c>
      <c r="B413" s="74">
        <f t="shared" si="26"/>
        <v>30860.370438969876</v>
      </c>
      <c r="C413" s="74">
        <f t="shared" si="27"/>
        <v>3529.2755442687344</v>
      </c>
      <c r="D413" s="74">
        <f t="shared" si="28"/>
        <v>3335.585477969059</v>
      </c>
      <c r="E413" s="74">
        <f t="shared" si="29"/>
        <v>2963.3393102881578</v>
      </c>
      <c r="F413" s="74">
        <f t="shared" si="23"/>
        <v>-5871.2697204498309</v>
      </c>
      <c r="G413" s="74">
        <f t="shared" si="24"/>
        <v>5549.9217888365383</v>
      </c>
      <c r="H413" s="74">
        <f t="shared" si="30"/>
        <v>-10860.370438969876</v>
      </c>
      <c r="I413" s="74">
        <f t="shared" si="31"/>
        <v>16470.724455731266</v>
      </c>
      <c r="J413" s="74">
        <f t="shared" si="32"/>
        <v>19728.97387519875</v>
      </c>
      <c r="K413" s="74">
        <f t="shared" si="33"/>
        <v>-50860.370438969876</v>
      </c>
      <c r="L413" s="74">
        <f t="shared" si="34"/>
        <v>16470.724455731266</v>
      </c>
      <c r="M413" s="74">
        <f t="shared" si="35"/>
        <v>53460.845908813164</v>
      </c>
      <c r="N413" s="74">
        <f t="shared" si="36"/>
        <v>-35860.370438969876</v>
      </c>
      <c r="O413" s="74">
        <f t="shared" si="37"/>
        <v>-38529.275544268734</v>
      </c>
      <c r="P413" s="74">
        <f t="shared" si="38"/>
        <v>52635.266143397901</v>
      </c>
    </row>
    <row r="414" spans="1:16" x14ac:dyDescent="0.3">
      <c r="A414" s="72">
        <f t="shared" si="25"/>
        <v>52.5</v>
      </c>
      <c r="B414" s="74">
        <f t="shared" si="26"/>
        <v>31060.345747841948</v>
      </c>
      <c r="C414" s="74">
        <f t="shared" si="27"/>
        <v>6398.4256466219476</v>
      </c>
      <c r="D414" s="74">
        <f t="shared" si="28"/>
        <v>399.95061774414353</v>
      </c>
      <c r="E414" s="74">
        <f t="shared" si="29"/>
        <v>5738.3002047064274</v>
      </c>
      <c r="F414" s="74">
        <f t="shared" si="23"/>
        <v>-7222.0620838391842</v>
      </c>
      <c r="G414" s="74">
        <f t="shared" si="24"/>
        <v>6123.5684056320533</v>
      </c>
      <c r="H414" s="74">
        <f t="shared" si="30"/>
        <v>-11060.345747841948</v>
      </c>
      <c r="I414" s="74">
        <f t="shared" si="31"/>
        <v>13601.574353378051</v>
      </c>
      <c r="J414" s="74">
        <f t="shared" si="32"/>
        <v>17530.946151085998</v>
      </c>
      <c r="K414" s="74">
        <f t="shared" si="33"/>
        <v>-51060.345747841944</v>
      </c>
      <c r="L414" s="74">
        <f t="shared" si="34"/>
        <v>13601.574353378051</v>
      </c>
      <c r="M414" s="74">
        <f t="shared" si="35"/>
        <v>52840.909651326336</v>
      </c>
      <c r="N414" s="74">
        <f t="shared" si="36"/>
        <v>-36060.345747841944</v>
      </c>
      <c r="O414" s="74">
        <f t="shared" si="37"/>
        <v>-41398.425646621945</v>
      </c>
      <c r="P414" s="74">
        <f t="shared" si="38"/>
        <v>54901.531686035756</v>
      </c>
    </row>
    <row r="415" spans="1:16" x14ac:dyDescent="0.3">
      <c r="A415" s="72">
        <f t="shared" si="25"/>
        <v>53</v>
      </c>
      <c r="B415" s="74">
        <f t="shared" si="26"/>
        <v>29454.805535754225</v>
      </c>
      <c r="C415" s="74">
        <f t="shared" si="27"/>
        <v>10798.467850383175</v>
      </c>
      <c r="D415" s="74">
        <f t="shared" si="28"/>
        <v>-3211.0804241754486</v>
      </c>
      <c r="E415" s="74">
        <f t="shared" si="29"/>
        <v>8800.0844075224541</v>
      </c>
      <c r="F415" s="74">
        <f t="shared" si="23"/>
        <v>-10264.637993261573</v>
      </c>
      <c r="G415" s="74">
        <f t="shared" si="24"/>
        <v>7670.3365520583966</v>
      </c>
      <c r="H415" s="74">
        <f t="shared" si="30"/>
        <v>-9454.8055357542253</v>
      </c>
      <c r="I415" s="74">
        <f t="shared" si="31"/>
        <v>9201.5321496168253</v>
      </c>
      <c r="J415" s="74">
        <f t="shared" si="32"/>
        <v>13193.238481106933</v>
      </c>
      <c r="K415" s="74">
        <f t="shared" si="33"/>
        <v>-49454.805535754225</v>
      </c>
      <c r="L415" s="74">
        <f t="shared" si="34"/>
        <v>9201.5321496168253</v>
      </c>
      <c r="M415" s="74">
        <f t="shared" si="35"/>
        <v>50303.538488656028</v>
      </c>
      <c r="N415" s="74">
        <f t="shared" si="36"/>
        <v>-34454.805535754225</v>
      </c>
      <c r="O415" s="74">
        <f t="shared" si="37"/>
        <v>-45798.467850383175</v>
      </c>
      <c r="P415" s="74">
        <f t="shared" si="38"/>
        <v>57311.720284329465</v>
      </c>
    </row>
    <row r="416" spans="1:16" x14ac:dyDescent="0.3">
      <c r="A416" s="72">
        <f t="shared" si="25"/>
        <v>53.5</v>
      </c>
      <c r="B416" s="74">
        <f t="shared" si="26"/>
        <v>25283.105825351107</v>
      </c>
      <c r="C416" s="74">
        <f t="shared" si="27"/>
        <v>17116.094192158998</v>
      </c>
      <c r="D416" s="74">
        <f t="shared" si="28"/>
        <v>-8343.3994208062359</v>
      </c>
      <c r="E416" s="74">
        <f t="shared" si="29"/>
        <v>12635.252683551653</v>
      </c>
      <c r="F416" s="74">
        <f t="shared" si="23"/>
        <v>-15467.063692100699</v>
      </c>
      <c r="G416" s="74">
        <f t="shared" si="24"/>
        <v>6703.6372729643972</v>
      </c>
      <c r="H416" s="74">
        <f t="shared" si="30"/>
        <v>-5283.1058253511073</v>
      </c>
      <c r="I416" s="74">
        <f t="shared" si="31"/>
        <v>2883.9058078410017</v>
      </c>
      <c r="J416" s="74">
        <f t="shared" si="32"/>
        <v>6018.9799692603947</v>
      </c>
      <c r="K416" s="74">
        <f t="shared" si="33"/>
        <v>-45283.105825351107</v>
      </c>
      <c r="L416" s="74">
        <f t="shared" si="34"/>
        <v>2883.9058078410017</v>
      </c>
      <c r="M416" s="74">
        <f t="shared" si="35"/>
        <v>45374.845298892717</v>
      </c>
      <c r="N416" s="74">
        <f t="shared" si="36"/>
        <v>-30283.105825351107</v>
      </c>
      <c r="O416" s="74">
        <f t="shared" si="37"/>
        <v>-52116.094192158998</v>
      </c>
      <c r="P416" s="74">
        <f t="shared" si="38"/>
        <v>60275.648252635183</v>
      </c>
    </row>
    <row r="417" spans="1:16" x14ac:dyDescent="0.3">
      <c r="A417" s="72">
        <f t="shared" si="25"/>
        <v>54</v>
      </c>
      <c r="B417" s="74">
        <f t="shared" si="26"/>
        <v>17244.640191922816</v>
      </c>
      <c r="C417" s="74">
        <f t="shared" si="27"/>
        <v>25109.629852175924</v>
      </c>
      <c r="D417" s="74">
        <f t="shared" si="28"/>
        <v>-16076.931266856585</v>
      </c>
      <c r="E417" s="74">
        <f t="shared" si="29"/>
        <v>15987.07132003385</v>
      </c>
      <c r="F417" s="74">
        <f t="shared" si="23"/>
        <v>5717.5106890539273</v>
      </c>
      <c r="G417" s="74">
        <f t="shared" si="24"/>
        <v>-14959.968675377653</v>
      </c>
      <c r="H417" s="74">
        <f t="shared" si="30"/>
        <v>2755.3598080771844</v>
      </c>
      <c r="I417" s="74">
        <f t="shared" si="31"/>
        <v>-5109.6298521759236</v>
      </c>
      <c r="J417" s="74">
        <f t="shared" si="32"/>
        <v>5805.1980929348556</v>
      </c>
      <c r="K417" s="74">
        <f t="shared" si="33"/>
        <v>-37244.640191922816</v>
      </c>
      <c r="L417" s="74">
        <f t="shared" si="34"/>
        <v>-5109.6298521759236</v>
      </c>
      <c r="M417" s="74">
        <f t="shared" si="35"/>
        <v>37593.503963478048</v>
      </c>
      <c r="N417" s="74">
        <f t="shared" si="36"/>
        <v>-22244.640191922816</v>
      </c>
      <c r="O417" s="74">
        <f t="shared" si="37"/>
        <v>-60109.629852175924</v>
      </c>
      <c r="P417" s="74">
        <f t="shared" si="38"/>
        <v>64093.616048977194</v>
      </c>
    </row>
    <row r="418" spans="1:16" x14ac:dyDescent="0.3">
      <c r="A418" s="72">
        <f t="shared" si="25"/>
        <v>54.5</v>
      </c>
      <c r="B418" s="74">
        <f t="shared" si="26"/>
        <v>10635.552230758005</v>
      </c>
      <c r="C418" s="74">
        <f t="shared" si="27"/>
        <v>29363.173343348437</v>
      </c>
      <c r="D418" s="74">
        <f t="shared" si="28"/>
        <v>-13218.175922329621</v>
      </c>
      <c r="E418" s="74">
        <f t="shared" si="29"/>
        <v>8507.086982345023</v>
      </c>
      <c r="F418" s="74">
        <f t="shared" si="23"/>
        <v>6541.3554309462979</v>
      </c>
      <c r="G418" s="74">
        <f t="shared" si="24"/>
        <v>-10038.155983950945</v>
      </c>
      <c r="H418" s="74">
        <f t="shared" si="30"/>
        <v>9364.447769241995</v>
      </c>
      <c r="I418" s="74">
        <f t="shared" si="31"/>
        <v>-9363.1733433484369</v>
      </c>
      <c r="J418" s="74">
        <f t="shared" si="32"/>
        <v>13242.427914867128</v>
      </c>
      <c r="K418" s="74">
        <f t="shared" si="33"/>
        <v>-30635.552230758003</v>
      </c>
      <c r="L418" s="74">
        <f t="shared" si="34"/>
        <v>-9363.1733433484369</v>
      </c>
      <c r="M418" s="74">
        <f t="shared" si="35"/>
        <v>32034.451385049382</v>
      </c>
      <c r="N418" s="74">
        <f t="shared" si="36"/>
        <v>-15635.552230758005</v>
      </c>
      <c r="O418" s="74">
        <f t="shared" si="37"/>
        <v>-64363.173343348433</v>
      </c>
      <c r="P418" s="74">
        <f t="shared" si="38"/>
        <v>66235.100787925723</v>
      </c>
    </row>
    <row r="419" spans="1:16" x14ac:dyDescent="0.3">
      <c r="A419" s="72">
        <f t="shared" si="25"/>
        <v>55</v>
      </c>
      <c r="B419" s="74">
        <f t="shared" si="26"/>
        <v>5661.8031273297693</v>
      </c>
      <c r="C419" s="74">
        <f t="shared" si="27"/>
        <v>31107.177838533215</v>
      </c>
      <c r="D419" s="74">
        <f t="shared" si="28"/>
        <v>-9947.4982068564714</v>
      </c>
      <c r="E419" s="74">
        <f t="shared" si="29"/>
        <v>3488.0089903695507</v>
      </c>
      <c r="F419" s="74">
        <f t="shared" si="23"/>
        <v>4379.4127760839237</v>
      </c>
      <c r="G419" s="74">
        <f t="shared" si="24"/>
        <v>-7097.4480388441716</v>
      </c>
      <c r="H419" s="74">
        <f t="shared" si="30"/>
        <v>14338.196872670231</v>
      </c>
      <c r="I419" s="74">
        <f t="shared" si="31"/>
        <v>-11107.177838533215</v>
      </c>
      <c r="J419" s="74">
        <f t="shared" si="32"/>
        <v>18137.069473767082</v>
      </c>
      <c r="K419" s="74">
        <f t="shared" si="33"/>
        <v>-25661.803127329767</v>
      </c>
      <c r="L419" s="74">
        <f t="shared" si="34"/>
        <v>-11107.177838533215</v>
      </c>
      <c r="M419" s="74">
        <f t="shared" si="35"/>
        <v>27962.430854320144</v>
      </c>
      <c r="N419" s="74">
        <f t="shared" si="36"/>
        <v>-10661.803127329769</v>
      </c>
      <c r="O419" s="74">
        <f t="shared" si="37"/>
        <v>-66107.177838533215</v>
      </c>
      <c r="P419" s="74">
        <f t="shared" si="38"/>
        <v>66961.429253723341</v>
      </c>
    </row>
    <row r="420" spans="1:16" x14ac:dyDescent="0.3">
      <c r="A420" s="72">
        <f t="shared" si="25"/>
        <v>55.5</v>
      </c>
      <c r="B420" s="74">
        <f t="shared" si="26"/>
        <v>1782.9072179225145</v>
      </c>
      <c r="C420" s="74">
        <f t="shared" si="27"/>
        <v>31076.820324006945</v>
      </c>
      <c r="D420" s="74">
        <f t="shared" si="28"/>
        <v>-7757.7918188145095</v>
      </c>
      <c r="E420" s="74">
        <f t="shared" si="29"/>
        <v>-60.715029052535101</v>
      </c>
      <c r="F420" s="74">
        <f t="shared" si="23"/>
        <v>3001.6120321176973</v>
      </c>
      <c r="G420" s="74">
        <f t="shared" si="24"/>
        <v>-5863.3692486705604</v>
      </c>
      <c r="H420" s="74">
        <f t="shared" si="30"/>
        <v>18217.092782077485</v>
      </c>
      <c r="I420" s="74">
        <f t="shared" si="31"/>
        <v>-11076.820324006945</v>
      </c>
      <c r="J420" s="74">
        <f t="shared" si="32"/>
        <v>21320.37565150185</v>
      </c>
      <c r="K420" s="74">
        <f t="shared" si="33"/>
        <v>-21782.907217922515</v>
      </c>
      <c r="L420" s="74">
        <f t="shared" si="34"/>
        <v>-11076.820324006945</v>
      </c>
      <c r="M420" s="74">
        <f t="shared" si="35"/>
        <v>24437.491592938793</v>
      </c>
      <c r="N420" s="74">
        <f t="shared" si="36"/>
        <v>-6782.907217922515</v>
      </c>
      <c r="O420" s="74">
        <f t="shared" si="37"/>
        <v>-66076.820324006942</v>
      </c>
      <c r="P420" s="74">
        <f t="shared" si="38"/>
        <v>66424.046959350817</v>
      </c>
    </row>
    <row r="421" spans="1:16" x14ac:dyDescent="0.3">
      <c r="A421" s="72">
        <f t="shared" si="25"/>
        <v>56</v>
      </c>
      <c r="B421" s="74">
        <f t="shared" si="26"/>
        <v>-1345.585683455316</v>
      </c>
      <c r="C421" s="74">
        <f t="shared" si="27"/>
        <v>29580.620497313037</v>
      </c>
      <c r="D421" s="74">
        <f t="shared" si="28"/>
        <v>-6256.9858027556611</v>
      </c>
      <c r="E421" s="74">
        <f t="shared" si="29"/>
        <v>-2992.3996533878153</v>
      </c>
      <c r="F421" s="74">
        <f t="shared" si="23"/>
        <v>1834.8810050632906</v>
      </c>
      <c r="G421" s="74">
        <f t="shared" si="24"/>
        <v>-5218.0566380712444</v>
      </c>
      <c r="H421" s="74">
        <f t="shared" si="30"/>
        <v>21345.585683455316</v>
      </c>
      <c r="I421" s="74">
        <f t="shared" si="31"/>
        <v>-9580.620497313037</v>
      </c>
      <c r="J421" s="74">
        <f t="shared" si="32"/>
        <v>23397.057876649091</v>
      </c>
      <c r="K421" s="74">
        <f t="shared" si="33"/>
        <v>-18654.414316544684</v>
      </c>
      <c r="L421" s="74">
        <f t="shared" si="34"/>
        <v>-9580.620497313037</v>
      </c>
      <c r="M421" s="74">
        <f t="shared" si="35"/>
        <v>20970.824080298848</v>
      </c>
      <c r="N421" s="74">
        <f t="shared" si="36"/>
        <v>-3654.414316544684</v>
      </c>
      <c r="O421" s="74">
        <f t="shared" si="37"/>
        <v>-64580.620497313037</v>
      </c>
      <c r="P421" s="74">
        <f t="shared" si="38"/>
        <v>64683.933768865165</v>
      </c>
    </row>
    <row r="422" spans="1:16" x14ac:dyDescent="0.3">
      <c r="A422" s="72">
        <f t="shared" si="25"/>
        <v>56.5</v>
      </c>
      <c r="B422" s="74">
        <f t="shared" si="26"/>
        <v>-4015.3583335673243</v>
      </c>
      <c r="C422" s="74">
        <f t="shared" si="27"/>
        <v>26779.906511101319</v>
      </c>
      <c r="D422" s="74">
        <f t="shared" si="28"/>
        <v>-5339.5453002240156</v>
      </c>
      <c r="E422" s="74">
        <f t="shared" si="29"/>
        <v>-5601.4279724234375</v>
      </c>
      <c r="F422" s="74">
        <f t="shared" si="23"/>
        <v>254.35805129798558</v>
      </c>
      <c r="G422" s="74">
        <f t="shared" si="24"/>
        <v>-4598.1704027709302</v>
      </c>
      <c r="H422" s="74">
        <f t="shared" si="30"/>
        <v>24015.358333567325</v>
      </c>
      <c r="I422" s="74">
        <f t="shared" si="31"/>
        <v>-6779.9065111013188</v>
      </c>
      <c r="J422" s="74">
        <f t="shared" si="32"/>
        <v>24954.04913413684</v>
      </c>
      <c r="K422" s="74">
        <f t="shared" si="33"/>
        <v>-15984.641666432675</v>
      </c>
      <c r="L422" s="74">
        <f t="shared" si="34"/>
        <v>-6779.9065111013188</v>
      </c>
      <c r="M422" s="74">
        <f t="shared" si="35"/>
        <v>17363.061409311715</v>
      </c>
      <c r="N422" s="74">
        <f t="shared" si="36"/>
        <v>-984.64166643267572</v>
      </c>
      <c r="O422" s="74">
        <f t="shared" si="37"/>
        <v>-61779.906511101319</v>
      </c>
      <c r="P422" s="74">
        <f t="shared" si="38"/>
        <v>61787.752570648612</v>
      </c>
    </row>
    <row r="423" spans="1:16" x14ac:dyDescent="0.3">
      <c r="A423" s="72">
        <f t="shared" si="25"/>
        <v>57</v>
      </c>
      <c r="B423" s="74">
        <f t="shared" si="26"/>
        <v>-6621.5414708548351</v>
      </c>
      <c r="C423" s="74">
        <f t="shared" si="27"/>
        <v>22829.649924196867</v>
      </c>
      <c r="D423" s="74">
        <f t="shared" si="28"/>
        <v>-5212.3662745750225</v>
      </c>
      <c r="E423" s="74">
        <f t="shared" si="29"/>
        <v>-7900.5131738089021</v>
      </c>
      <c r="F423" s="74">
        <f t="shared" si="23"/>
        <v>-2404.4760521771391</v>
      </c>
      <c r="G423" s="74">
        <f t="shared" si="24"/>
        <v>-3231.0173244113412</v>
      </c>
      <c r="H423" s="74">
        <f t="shared" si="30"/>
        <v>26621.541470854834</v>
      </c>
      <c r="I423" s="74">
        <f t="shared" si="31"/>
        <v>-2829.6499241968668</v>
      </c>
      <c r="J423" s="74">
        <f t="shared" si="32"/>
        <v>26771.503300673106</v>
      </c>
      <c r="K423" s="74">
        <f t="shared" si="33"/>
        <v>-13378.458529145166</v>
      </c>
      <c r="L423" s="74">
        <f t="shared" si="34"/>
        <v>-2829.6499241968668</v>
      </c>
      <c r="M423" s="74">
        <f t="shared" si="35"/>
        <v>13674.431297482333</v>
      </c>
      <c r="N423" s="74">
        <f t="shared" si="36"/>
        <v>1621.5414708548351</v>
      </c>
      <c r="O423" s="74">
        <f t="shared" si="37"/>
        <v>-57829.64992419687</v>
      </c>
      <c r="P423" s="74">
        <f t="shared" si="38"/>
        <v>57852.379441963014</v>
      </c>
    </row>
    <row r="424" spans="1:16" x14ac:dyDescent="0.3">
      <c r="A424" s="72">
        <f t="shared" si="25"/>
        <v>57.5</v>
      </c>
      <c r="B424" s="74">
        <f t="shared" si="26"/>
        <v>-9828.8436211866319</v>
      </c>
      <c r="C424" s="74">
        <f t="shared" si="27"/>
        <v>18071.63900618958</v>
      </c>
      <c r="D424" s="74">
        <f t="shared" si="28"/>
        <v>-6414.6043006635919</v>
      </c>
      <c r="E424" s="74">
        <f t="shared" si="29"/>
        <v>-9516.0218360145736</v>
      </c>
      <c r="F424" s="74">
        <f t="shared" si="23"/>
        <v>-5623.530185488702</v>
      </c>
      <c r="G424" s="74">
        <f t="shared" si="24"/>
        <v>710.07810062955059</v>
      </c>
      <c r="H424" s="74">
        <f t="shared" si="30"/>
        <v>29828.843621186632</v>
      </c>
      <c r="I424" s="74">
        <f t="shared" si="31"/>
        <v>1928.36099381042</v>
      </c>
      <c r="J424" s="74">
        <f t="shared" si="32"/>
        <v>29891.110516333378</v>
      </c>
      <c r="K424" s="74">
        <f t="shared" si="33"/>
        <v>-10171.156378813368</v>
      </c>
      <c r="L424" s="74">
        <f t="shared" si="34"/>
        <v>1928.36099381042</v>
      </c>
      <c r="M424" s="74">
        <f t="shared" si="35"/>
        <v>10352.342643321143</v>
      </c>
      <c r="N424" s="74">
        <f t="shared" si="36"/>
        <v>4828.8436211866319</v>
      </c>
      <c r="O424" s="74">
        <f t="shared" si="37"/>
        <v>-53071.63900618958</v>
      </c>
      <c r="P424" s="74">
        <f t="shared" si="38"/>
        <v>53290.867862338084</v>
      </c>
    </row>
    <row r="425" spans="1:16" x14ac:dyDescent="0.3">
      <c r="A425" s="72">
        <f t="shared" si="25"/>
        <v>58</v>
      </c>
      <c r="B425" s="74">
        <f t="shared" si="26"/>
        <v>-14442.028317890603</v>
      </c>
      <c r="C425" s="74">
        <f t="shared" si="27"/>
        <v>13491.147613339681</v>
      </c>
      <c r="D425" s="74">
        <f t="shared" si="28"/>
        <v>-9226.369393407942</v>
      </c>
      <c r="E425" s="74">
        <f t="shared" si="29"/>
        <v>-9160.9827856997981</v>
      </c>
      <c r="F425" s="74">
        <f t="shared" si="23"/>
        <v>-4124.8026333901125</v>
      </c>
      <c r="G425" s="74">
        <f t="shared" si="24"/>
        <v>7657.6725782753319</v>
      </c>
      <c r="H425" s="74">
        <f t="shared" si="30"/>
        <v>34442.028317890603</v>
      </c>
      <c r="I425" s="74">
        <f t="shared" si="31"/>
        <v>6508.8523866603191</v>
      </c>
      <c r="J425" s="74">
        <f t="shared" si="32"/>
        <v>35051.65436954028</v>
      </c>
      <c r="K425" s="74">
        <f t="shared" si="33"/>
        <v>-5557.9716821093971</v>
      </c>
      <c r="L425" s="74">
        <f t="shared" si="34"/>
        <v>6508.8523866603191</v>
      </c>
      <c r="M425" s="74">
        <f t="shared" si="35"/>
        <v>8558.98408752252</v>
      </c>
      <c r="N425" s="74">
        <f t="shared" si="36"/>
        <v>9442.0283178906029</v>
      </c>
      <c r="O425" s="74">
        <f t="shared" si="37"/>
        <v>-48491.147613339679</v>
      </c>
      <c r="P425" s="74">
        <f t="shared" si="38"/>
        <v>49401.855183935615</v>
      </c>
    </row>
    <row r="426" spans="1:16" x14ac:dyDescent="0.3">
      <c r="A426" s="72">
        <f t="shared" si="25"/>
        <v>58.5</v>
      </c>
      <c r="B426" s="74">
        <f t="shared" si="26"/>
        <v>-20086.413672942101</v>
      </c>
      <c r="C426" s="74">
        <f t="shared" si="27"/>
        <v>10825.074365058616</v>
      </c>
      <c r="D426" s="74">
        <f t="shared" si="28"/>
        <v>-11288.770710102999</v>
      </c>
      <c r="E426" s="74">
        <f t="shared" si="29"/>
        <v>-5332.1464965621326</v>
      </c>
      <c r="F426" s="74">
        <f t="shared" si="23"/>
        <v>2846.2571937533435</v>
      </c>
      <c r="G426" s="74">
        <f t="shared" si="24"/>
        <v>9810.1738444490329</v>
      </c>
      <c r="H426" s="74">
        <f t="shared" si="30"/>
        <v>40086.413672942101</v>
      </c>
      <c r="I426" s="74">
        <f t="shared" si="31"/>
        <v>9174.9256349413845</v>
      </c>
      <c r="J426" s="74">
        <f t="shared" si="32"/>
        <v>41122.984103356896</v>
      </c>
      <c r="K426" s="74">
        <f t="shared" si="33"/>
        <v>86.413672942100675</v>
      </c>
      <c r="L426" s="74">
        <f t="shared" si="34"/>
        <v>9174.9256349413845</v>
      </c>
      <c r="M426" s="74">
        <f t="shared" si="35"/>
        <v>9175.3325677915291</v>
      </c>
      <c r="N426" s="74">
        <f t="shared" si="36"/>
        <v>15086.413672942101</v>
      </c>
      <c r="O426" s="74">
        <f t="shared" si="37"/>
        <v>-45825.074365058616</v>
      </c>
      <c r="P426" s="74">
        <f t="shared" si="38"/>
        <v>48244.557393288276</v>
      </c>
    </row>
    <row r="427" spans="1:16" x14ac:dyDescent="0.3">
      <c r="A427" s="72">
        <f t="shared" si="25"/>
        <v>59</v>
      </c>
      <c r="B427" s="74">
        <f t="shared" si="26"/>
        <v>-25019.234729555261</v>
      </c>
      <c r="C427" s="74">
        <f t="shared" si="27"/>
        <v>10611.544577889807</v>
      </c>
      <c r="D427" s="74">
        <f t="shared" si="28"/>
        <v>-9865.6421132263276</v>
      </c>
      <c r="E427" s="74">
        <f t="shared" si="29"/>
        <v>-427.05957433761614</v>
      </c>
      <c r="F427" s="74">
        <f t="shared" si="23"/>
        <v>7006.8380408102821</v>
      </c>
      <c r="G427" s="74">
        <f t="shared" si="24"/>
        <v>7446.607053388575</v>
      </c>
      <c r="H427" s="74">
        <f t="shared" si="30"/>
        <v>45019.234729555261</v>
      </c>
      <c r="I427" s="74">
        <f t="shared" si="31"/>
        <v>9388.4554221101935</v>
      </c>
      <c r="J427" s="74">
        <f t="shared" si="32"/>
        <v>45987.765664878141</v>
      </c>
      <c r="K427" s="74">
        <f t="shared" si="33"/>
        <v>5019.2347295552609</v>
      </c>
      <c r="L427" s="74">
        <f t="shared" si="34"/>
        <v>9388.4554221101935</v>
      </c>
      <c r="M427" s="74">
        <f t="shared" si="35"/>
        <v>10645.929385606687</v>
      </c>
      <c r="N427" s="74">
        <f t="shared" si="36"/>
        <v>20019.234729555261</v>
      </c>
      <c r="O427" s="74">
        <f t="shared" si="37"/>
        <v>-45611.544577889807</v>
      </c>
      <c r="P427" s="74">
        <f t="shared" si="38"/>
        <v>49811.472151883449</v>
      </c>
    </row>
    <row r="428" spans="1:16" x14ac:dyDescent="0.3">
      <c r="A428" s="72">
        <f t="shared" si="25"/>
        <v>59.5</v>
      </c>
      <c r="B428" s="74">
        <f t="shared" si="26"/>
        <v>-28200.346275965854</v>
      </c>
      <c r="C428" s="74">
        <f t="shared" si="27"/>
        <v>12259.666554068141</v>
      </c>
      <c r="D428" s="74">
        <f t="shared" si="28"/>
        <v>-6362.2230928211866</v>
      </c>
      <c r="E428" s="74">
        <f t="shared" si="29"/>
        <v>3296.2439523566713</v>
      </c>
      <c r="F428" s="74">
        <f t="shared" si="23"/>
        <v>8917.4048351826932</v>
      </c>
      <c r="G428" s="74">
        <f t="shared" si="24"/>
        <v>5256.6462910708742</v>
      </c>
      <c r="H428" s="74">
        <f t="shared" si="30"/>
        <v>48200.346275965858</v>
      </c>
      <c r="I428" s="74">
        <f t="shared" si="31"/>
        <v>7740.3334459318594</v>
      </c>
      <c r="J428" s="74">
        <f t="shared" si="32"/>
        <v>48817.887530875683</v>
      </c>
      <c r="K428" s="74">
        <f t="shared" si="33"/>
        <v>8200.3462759658541</v>
      </c>
      <c r="L428" s="74">
        <f t="shared" si="34"/>
        <v>7740.3334459318594</v>
      </c>
      <c r="M428" s="74">
        <f t="shared" si="35"/>
        <v>11276.455156650889</v>
      </c>
      <c r="N428" s="74">
        <f t="shared" si="36"/>
        <v>23200.346275965854</v>
      </c>
      <c r="O428" s="74">
        <f t="shared" si="37"/>
        <v>-47259.666554068142</v>
      </c>
      <c r="P428" s="74">
        <f t="shared" si="38"/>
        <v>52647.242569069364</v>
      </c>
    </row>
    <row r="429" spans="1:16" x14ac:dyDescent="0.3">
      <c r="A429" s="72">
        <f t="shared" si="25"/>
        <v>60</v>
      </c>
      <c r="B429" s="74">
        <f t="shared" si="26"/>
        <v>-29152.106613580774</v>
      </c>
      <c r="C429" s="74">
        <f t="shared" si="27"/>
        <v>15221.950103014195</v>
      </c>
      <c r="D429" s="74">
        <f t="shared" si="28"/>
        <v>-1903.52067522984</v>
      </c>
      <c r="E429" s="74">
        <f t="shared" si="29"/>
        <v>5924.567097892108</v>
      </c>
      <c r="F429" s="74">
        <f t="shared" si="23"/>
        <v>10976.348873763449</v>
      </c>
      <c r="G429" s="74">
        <f t="shared" si="24"/>
        <v>3596.4825036277061</v>
      </c>
      <c r="H429" s="74">
        <f t="shared" si="30"/>
        <v>49152.106613580778</v>
      </c>
      <c r="I429" s="74">
        <f t="shared" si="31"/>
        <v>4778.0498969858054</v>
      </c>
      <c r="J429" s="74">
        <f t="shared" si="32"/>
        <v>49383.796384754554</v>
      </c>
      <c r="K429" s="74">
        <f t="shared" si="33"/>
        <v>9152.1066135807741</v>
      </c>
      <c r="L429" s="74">
        <f t="shared" si="34"/>
        <v>4778.0498969858054</v>
      </c>
      <c r="M429" s="74">
        <f t="shared" si="35"/>
        <v>10324.282846010903</v>
      </c>
      <c r="N429" s="74">
        <f t="shared" si="36"/>
        <v>24152.106613580774</v>
      </c>
      <c r="O429" s="74">
        <f t="shared" si="37"/>
        <v>-50221.950103014198</v>
      </c>
      <c r="P429" s="74">
        <f t="shared" si="38"/>
        <v>55727.628031555585</v>
      </c>
    </row>
    <row r="430" spans="1:16" x14ac:dyDescent="0.3">
      <c r="A430" s="72">
        <f t="shared" si="25"/>
        <v>60.5</v>
      </c>
      <c r="B430" s="74">
        <f t="shared" si="26"/>
        <v>-27359.779732754832</v>
      </c>
      <c r="C430" s="74">
        <f t="shared" si="27"/>
        <v>19083.354277867173</v>
      </c>
      <c r="D430" s="74">
        <f t="shared" si="28"/>
        <v>3584.6537616518845</v>
      </c>
      <c r="E430" s="74">
        <f t="shared" si="29"/>
        <v>7722.8083497059615</v>
      </c>
      <c r="F430" s="74">
        <f t="shared" si="23"/>
        <v>14353.980803042772</v>
      </c>
      <c r="G430" s="74">
        <f t="shared" si="24"/>
        <v>465.63082979380079</v>
      </c>
      <c r="H430" s="74">
        <f t="shared" si="30"/>
        <v>47359.779732754832</v>
      </c>
      <c r="I430" s="74">
        <f t="shared" si="31"/>
        <v>916.64572213282736</v>
      </c>
      <c r="J430" s="74">
        <f t="shared" si="32"/>
        <v>47368.649713866231</v>
      </c>
      <c r="K430" s="74">
        <f t="shared" si="33"/>
        <v>7359.7797327548324</v>
      </c>
      <c r="L430" s="74">
        <f t="shared" si="34"/>
        <v>916.64572213282736</v>
      </c>
      <c r="M430" s="74">
        <f t="shared" si="35"/>
        <v>7416.6432497844471</v>
      </c>
      <c r="N430" s="74">
        <f t="shared" si="36"/>
        <v>22359.779732754832</v>
      </c>
      <c r="O430" s="74">
        <f t="shared" si="37"/>
        <v>-54083.354277867169</v>
      </c>
      <c r="P430" s="74">
        <f t="shared" si="38"/>
        <v>58523.234357326895</v>
      </c>
    </row>
    <row r="431" spans="1:16" x14ac:dyDescent="0.3">
      <c r="A431" s="72">
        <f t="shared" si="25"/>
        <v>61</v>
      </c>
      <c r="B431" s="74">
        <f t="shared" si="26"/>
        <v>-21978.957651168199</v>
      </c>
      <c r="C431" s="74">
        <f t="shared" si="27"/>
        <v>23061.166160168603</v>
      </c>
      <c r="D431" s="74">
        <f t="shared" si="28"/>
        <v>10761.64416317327</v>
      </c>
      <c r="E431" s="74">
        <f t="shared" si="29"/>
        <v>7955.6237646028621</v>
      </c>
      <c r="F431" s="74">
        <f t="shared" si="23"/>
        <v>8726.7265817518601</v>
      </c>
      <c r="G431" s="74">
        <f t="shared" si="24"/>
        <v>-10875.892538670036</v>
      </c>
      <c r="H431" s="74">
        <f t="shared" si="30"/>
        <v>41978.957651168195</v>
      </c>
      <c r="I431" s="74">
        <f t="shared" si="31"/>
        <v>-3061.1661601686028</v>
      </c>
      <c r="J431" s="74">
        <f t="shared" si="32"/>
        <v>42090.421995256052</v>
      </c>
      <c r="K431" s="74">
        <f t="shared" si="33"/>
        <v>1978.9576511681989</v>
      </c>
      <c r="L431" s="74">
        <f t="shared" si="34"/>
        <v>-3061.1661601686028</v>
      </c>
      <c r="M431" s="74">
        <f t="shared" si="35"/>
        <v>3645.1353397752659</v>
      </c>
      <c r="N431" s="74">
        <f t="shared" si="36"/>
        <v>16978.957651168199</v>
      </c>
      <c r="O431" s="74">
        <f t="shared" si="37"/>
        <v>-58061.166160168606</v>
      </c>
      <c r="P431" s="74">
        <f t="shared" si="38"/>
        <v>60492.842707206866</v>
      </c>
    </row>
    <row r="432" spans="1:16" x14ac:dyDescent="0.3">
      <c r="A432" s="72">
        <f t="shared" si="25"/>
        <v>61.5</v>
      </c>
      <c r="B432" s="74">
        <f t="shared" si="26"/>
        <v>-14416.4539241436</v>
      </c>
      <c r="C432" s="74">
        <f t="shared" si="27"/>
        <v>24320.004907802526</v>
      </c>
      <c r="D432" s="74">
        <f t="shared" si="28"/>
        <v>15125.007454049201</v>
      </c>
      <c r="E432" s="74">
        <f t="shared" si="29"/>
        <v>2517.6774952678443</v>
      </c>
      <c r="F432" s="74">
        <f t="shared" si="23"/>
        <v>-6619.825700850095</v>
      </c>
      <c r="G432" s="74">
        <f t="shared" si="24"/>
        <v>-9113.323438945572</v>
      </c>
      <c r="H432" s="74">
        <f t="shared" si="30"/>
        <v>34416.4539241436</v>
      </c>
      <c r="I432" s="74">
        <f t="shared" si="31"/>
        <v>-4320.0049078025258</v>
      </c>
      <c r="J432" s="74">
        <f t="shared" si="32"/>
        <v>34686.521058130595</v>
      </c>
      <c r="K432" s="74">
        <f t="shared" si="33"/>
        <v>-5583.5460758564004</v>
      </c>
      <c r="L432" s="74">
        <f t="shared" si="34"/>
        <v>-4320.0049078025258</v>
      </c>
      <c r="M432" s="74">
        <f t="shared" si="35"/>
        <v>7059.633785448741</v>
      </c>
      <c r="N432" s="74">
        <f t="shared" si="36"/>
        <v>9416.4539241435996</v>
      </c>
      <c r="O432" s="74">
        <f t="shared" si="37"/>
        <v>-59320.004907802526</v>
      </c>
      <c r="P432" s="74">
        <f t="shared" si="38"/>
        <v>60062.738755131999</v>
      </c>
    </row>
    <row r="433" spans="1:16" x14ac:dyDescent="0.3">
      <c r="A433" s="72">
        <f t="shared" si="25"/>
        <v>62</v>
      </c>
      <c r="B433" s="74">
        <f t="shared" si="26"/>
        <v>-8508.906622331524</v>
      </c>
      <c r="C433" s="74">
        <f t="shared" si="27"/>
        <v>23300.512795700055</v>
      </c>
      <c r="D433" s="74">
        <f t="shared" si="28"/>
        <v>11815.094603624153</v>
      </c>
      <c r="E433" s="74">
        <f t="shared" si="29"/>
        <v>-2038.9842242049417</v>
      </c>
      <c r="F433" s="74">
        <f t="shared" si="23"/>
        <v>-3953.8761736208116</v>
      </c>
      <c r="G433" s="74">
        <f t="shared" si="24"/>
        <v>-4044.0393496470133</v>
      </c>
      <c r="H433" s="74">
        <f t="shared" si="30"/>
        <v>28508.906622331524</v>
      </c>
      <c r="I433" s="74">
        <f t="shared" si="31"/>
        <v>-3300.512795700055</v>
      </c>
      <c r="J433" s="74">
        <f t="shared" si="32"/>
        <v>28699.32301493187</v>
      </c>
      <c r="K433" s="74">
        <f t="shared" si="33"/>
        <v>-11491.093377668476</v>
      </c>
      <c r="L433" s="74">
        <f t="shared" si="34"/>
        <v>-3300.512795700055</v>
      </c>
      <c r="M433" s="74">
        <f t="shared" si="35"/>
        <v>11955.693695008922</v>
      </c>
      <c r="N433" s="74">
        <f t="shared" si="36"/>
        <v>3508.906622331524</v>
      </c>
      <c r="O433" s="74">
        <f t="shared" si="37"/>
        <v>-58300.512795700051</v>
      </c>
      <c r="P433" s="74">
        <f t="shared" si="38"/>
        <v>58406.011830340096</v>
      </c>
    </row>
    <row r="434" spans="1:16" x14ac:dyDescent="0.3">
      <c r="A434" s="72">
        <f t="shared" si="25"/>
        <v>62.5</v>
      </c>
      <c r="B434" s="74">
        <f t="shared" si="26"/>
        <v>-3589.8283639246501</v>
      </c>
      <c r="C434" s="74">
        <f t="shared" si="27"/>
        <v>21270.010846185833</v>
      </c>
      <c r="D434" s="74">
        <f t="shared" si="28"/>
        <v>9838.1565168137477</v>
      </c>
      <c r="E434" s="74">
        <f t="shared" si="29"/>
        <v>-4061.0038990284484</v>
      </c>
      <c r="F434" s="74">
        <f t="shared" si="23"/>
        <v>79.13863257962953</v>
      </c>
      <c r="G434" s="74">
        <f t="shared" si="24"/>
        <v>-2021.0039187357661</v>
      </c>
      <c r="H434" s="74">
        <f t="shared" si="30"/>
        <v>23589.828363924651</v>
      </c>
      <c r="I434" s="74">
        <f t="shared" si="31"/>
        <v>-1270.0108461858326</v>
      </c>
      <c r="J434" s="74">
        <f t="shared" si="32"/>
        <v>23623.990555976219</v>
      </c>
      <c r="K434" s="74">
        <f t="shared" si="33"/>
        <v>-16410.171636075349</v>
      </c>
      <c r="L434" s="74">
        <f t="shared" si="34"/>
        <v>-1270.0108461858326</v>
      </c>
      <c r="M434" s="74">
        <f t="shared" si="35"/>
        <v>16459.242408898459</v>
      </c>
      <c r="N434" s="74">
        <f t="shared" si="36"/>
        <v>-1410.1716360753499</v>
      </c>
      <c r="O434" s="74">
        <f t="shared" si="37"/>
        <v>-56270.010846185833</v>
      </c>
      <c r="P434" s="74">
        <f t="shared" si="38"/>
        <v>56287.678089196954</v>
      </c>
    </row>
    <row r="435" spans="1:16" x14ac:dyDescent="0.3">
      <c r="A435" s="72">
        <f t="shared" si="25"/>
        <v>63</v>
      </c>
      <c r="B435" s="74">
        <f t="shared" si="26"/>
        <v>1349.034552627131</v>
      </c>
      <c r="C435" s="74">
        <f t="shared" si="27"/>
        <v>18734.257916987666</v>
      </c>
      <c r="D435" s="74">
        <f t="shared" si="28"/>
        <v>9877.7258331035628</v>
      </c>
      <c r="E435" s="74">
        <f t="shared" si="29"/>
        <v>-5071.505858396331</v>
      </c>
      <c r="F435" s="74">
        <f t="shared" si="23"/>
        <v>4193.2778689256911</v>
      </c>
      <c r="G435" s="74">
        <f t="shared" si="24"/>
        <v>-566.63110562753786</v>
      </c>
      <c r="H435" s="74">
        <f t="shared" si="30"/>
        <v>18650.96544737287</v>
      </c>
      <c r="I435" s="74">
        <f t="shared" si="31"/>
        <v>1265.7420830123338</v>
      </c>
      <c r="J435" s="74">
        <f t="shared" si="32"/>
        <v>18693.865708830934</v>
      </c>
      <c r="K435" s="74">
        <f t="shared" si="33"/>
        <v>-21349.03455262713</v>
      </c>
      <c r="L435" s="74">
        <f t="shared" si="34"/>
        <v>1265.7420830123338</v>
      </c>
      <c r="M435" s="74">
        <f t="shared" si="35"/>
        <v>21386.523311421504</v>
      </c>
      <c r="N435" s="74">
        <f t="shared" si="36"/>
        <v>-6349.0345526271312</v>
      </c>
      <c r="O435" s="74">
        <f t="shared" si="37"/>
        <v>-53734.25791698767</v>
      </c>
      <c r="P435" s="74">
        <f t="shared" si="38"/>
        <v>54108.046662578803</v>
      </c>
    </row>
    <row r="436" spans="1:16" x14ac:dyDescent="0.3">
      <c r="A436" s="72">
        <f t="shared" si="25"/>
        <v>63.5</v>
      </c>
      <c r="B436" s="74">
        <f t="shared" si="26"/>
        <v>7336.2169364103356</v>
      </c>
      <c r="C436" s="74">
        <f t="shared" si="27"/>
        <v>16056.847211382616</v>
      </c>
      <c r="D436" s="74">
        <f t="shared" si="28"/>
        <v>11974.364767566409</v>
      </c>
      <c r="E436" s="74">
        <f t="shared" si="29"/>
        <v>-5354.8214112100995</v>
      </c>
      <c r="F436" s="74">
        <f t="shared" si="23"/>
        <v>8769.8749326543639</v>
      </c>
      <c r="G436" s="74">
        <f t="shared" si="24"/>
        <v>2560.4556819743902</v>
      </c>
      <c r="H436" s="74">
        <f t="shared" si="30"/>
        <v>12663.783063589664</v>
      </c>
      <c r="I436" s="74">
        <f t="shared" si="31"/>
        <v>3943.1527886173844</v>
      </c>
      <c r="J436" s="74">
        <f t="shared" si="32"/>
        <v>13263.478254064485</v>
      </c>
      <c r="K436" s="74">
        <f t="shared" si="33"/>
        <v>-27336.216936410336</v>
      </c>
      <c r="L436" s="74">
        <f t="shared" si="34"/>
        <v>3943.1527886173844</v>
      </c>
      <c r="M436" s="74">
        <f t="shared" si="35"/>
        <v>27619.145720113582</v>
      </c>
      <c r="N436" s="74">
        <f t="shared" si="36"/>
        <v>-12336.216936410336</v>
      </c>
      <c r="O436" s="74">
        <f t="shared" si="37"/>
        <v>-51056.847211382614</v>
      </c>
      <c r="P436" s="74">
        <f t="shared" si="38"/>
        <v>52526.030646419931</v>
      </c>
    </row>
    <row r="437" spans="1:16" x14ac:dyDescent="0.3">
      <c r="A437" s="72">
        <f t="shared" si="25"/>
        <v>64</v>
      </c>
      <c r="B437" s="74">
        <f t="shared" si="26"/>
        <v>15515.868053357131</v>
      </c>
      <c r="C437" s="74">
        <f t="shared" si="27"/>
        <v>14019.550426271162</v>
      </c>
      <c r="D437" s="74">
        <f t="shared" si="28"/>
        <v>16359.302233893592</v>
      </c>
      <c r="E437" s="74">
        <f t="shared" si="29"/>
        <v>-4074.5935702229044</v>
      </c>
      <c r="F437" s="74">
        <f t="shared" si="23"/>
        <v>7591.4744368958527</v>
      </c>
      <c r="G437" s="74">
        <f t="shared" si="24"/>
        <v>11829.206388260351</v>
      </c>
      <c r="H437" s="74">
        <f t="shared" si="30"/>
        <v>4484.1319466428686</v>
      </c>
      <c r="I437" s="74">
        <f t="shared" si="31"/>
        <v>5980.449573728838</v>
      </c>
      <c r="J437" s="74">
        <f t="shared" si="32"/>
        <v>7474.8388891545083</v>
      </c>
      <c r="K437" s="74">
        <f t="shared" si="33"/>
        <v>-35515.868053357131</v>
      </c>
      <c r="L437" s="74">
        <f t="shared" si="34"/>
        <v>5980.449573728838</v>
      </c>
      <c r="M437" s="74">
        <f t="shared" si="35"/>
        <v>36015.866790726934</v>
      </c>
      <c r="N437" s="74">
        <f t="shared" si="36"/>
        <v>-20515.868053357131</v>
      </c>
      <c r="O437" s="74">
        <f t="shared" si="37"/>
        <v>-49019.550426271162</v>
      </c>
      <c r="P437" s="74">
        <f t="shared" si="38"/>
        <v>53139.600732189363</v>
      </c>
    </row>
    <row r="438" spans="1:16" x14ac:dyDescent="0.3">
      <c r="A438" s="72">
        <f t="shared" si="25"/>
        <v>64.5</v>
      </c>
      <c r="B438" s="74">
        <f t="shared" si="26"/>
        <v>25593.38777952789</v>
      </c>
      <c r="C438" s="74">
        <f t="shared" si="27"/>
        <v>14939.555238224799</v>
      </c>
      <c r="D438" s="74">
        <f t="shared" si="28"/>
        <v>20155.039452341516</v>
      </c>
      <c r="E438" s="74">
        <f t="shared" si="29"/>
        <v>1840.0096239072709</v>
      </c>
      <c r="F438" s="74">
        <f t="shared" ref="F438:F501" si="39">$C$23*(H438/(J438^2+$C$24^2)^1.5)+$C$32*(K438/(M438^2+$C$33^2)^1.5)+C$41*(N438/(P438^2+$C$42^2)^1.5)</f>
        <v>-13501.581011495642</v>
      </c>
      <c r="G438" s="74">
        <f t="shared" ref="G438:G501" si="40">$C$23*(I438/(J438^2+$C$24^2)^1.5)+$C$32*(L438/(M438^2+$C$33^2)^1.5)+C$41*(O438/(P438^2+$C$42^2)^1.5)</f>
        <v>9896.2188914528742</v>
      </c>
      <c r="H438" s="74">
        <f t="shared" si="30"/>
        <v>-5593.3877795278895</v>
      </c>
      <c r="I438" s="74">
        <f t="shared" si="31"/>
        <v>5060.4447617752012</v>
      </c>
      <c r="J438" s="74">
        <f t="shared" si="32"/>
        <v>7542.8169830077413</v>
      </c>
      <c r="K438" s="74">
        <f t="shared" si="33"/>
        <v>-45593.38777952789</v>
      </c>
      <c r="L438" s="74">
        <f t="shared" si="34"/>
        <v>5060.4447617752012</v>
      </c>
      <c r="M438" s="74">
        <f t="shared" si="35"/>
        <v>45873.359484578643</v>
      </c>
      <c r="N438" s="74">
        <f t="shared" si="36"/>
        <v>-30593.38777952789</v>
      </c>
      <c r="O438" s="74">
        <f t="shared" si="37"/>
        <v>-49939.555238224799</v>
      </c>
      <c r="P438" s="74">
        <f t="shared" si="38"/>
        <v>58565.472364015579</v>
      </c>
    </row>
    <row r="439" spans="1:16" x14ac:dyDescent="0.3">
      <c r="A439" s="72">
        <f t="shared" ref="A439:A502" si="41">A438+$C$5</f>
        <v>65</v>
      </c>
      <c r="B439" s="74">
        <f t="shared" ref="B439:B502" si="42">B438+D438*(A439-A438)+F438*(A439-A438)^2</f>
        <v>32295.512252824738</v>
      </c>
      <c r="C439" s="74">
        <f t="shared" ref="C439:C502" si="43">C438+E438*(A439-A438)+G438*(A439-A438)^2</f>
        <v>18333.614773041652</v>
      </c>
      <c r="D439" s="74">
        <f t="shared" ref="D439:D502" si="44">D438+F438*(A439-A438)</f>
        <v>13404.248946593696</v>
      </c>
      <c r="E439" s="74">
        <f t="shared" ref="E439:E502" si="45">E438+G438*(A439-A438)</f>
        <v>6788.119069633708</v>
      </c>
      <c r="F439" s="74">
        <f t="shared" si="39"/>
        <v>-14029.728877582562</v>
      </c>
      <c r="G439" s="74">
        <f t="shared" si="40"/>
        <v>966.2435247639786</v>
      </c>
      <c r="H439" s="74">
        <f t="shared" ref="H439:H502" si="46">$C$19-B439</f>
        <v>-12295.512252824738</v>
      </c>
      <c r="I439" s="74">
        <f t="shared" ref="I439:I502" si="47">$D$19-C439</f>
        <v>1666.3852269583476</v>
      </c>
      <c r="J439" s="74">
        <f t="shared" ref="J439:J502" si="48">SQRT(H439^2+I439^2)</f>
        <v>12407.919297125858</v>
      </c>
      <c r="K439" s="74">
        <f t="shared" ref="K439:K502" si="49">$C$28-B439</f>
        <v>-52295.512252824738</v>
      </c>
      <c r="L439" s="74">
        <f t="shared" ref="L439:L502" si="50">$D$28-C439</f>
        <v>1666.3852269583476</v>
      </c>
      <c r="M439" s="74">
        <f t="shared" ref="M439:M502" si="51">SQRT(K439^2+L439^2)</f>
        <v>52322.05501994324</v>
      </c>
      <c r="N439" s="74">
        <f t="shared" ref="N439:N502" si="52">$C$37-B439</f>
        <v>-37295.512252824738</v>
      </c>
      <c r="O439" s="74">
        <f t="shared" ref="O439:O502" si="53">$D$37-C439</f>
        <v>-53333.614773041656</v>
      </c>
      <c r="P439" s="74">
        <f t="shared" ref="P439:P502" si="54">SQRT(N439^2+O439^2)</f>
        <v>65080.179002210862</v>
      </c>
    </row>
    <row r="440" spans="1:16" x14ac:dyDescent="0.3">
      <c r="A440" s="72">
        <f t="shared" si="41"/>
        <v>65.5</v>
      </c>
      <c r="B440" s="74">
        <f t="shared" si="42"/>
        <v>35490.204506725946</v>
      </c>
      <c r="C440" s="74">
        <f t="shared" si="43"/>
        <v>21969.235189049501</v>
      </c>
      <c r="D440" s="74">
        <f t="shared" si="44"/>
        <v>6389.3845078024151</v>
      </c>
      <c r="E440" s="74">
        <f t="shared" si="45"/>
        <v>7271.2408320156974</v>
      </c>
      <c r="F440" s="74">
        <f t="shared" si="39"/>
        <v>-11333.478991673746</v>
      </c>
      <c r="G440" s="74">
        <f t="shared" si="40"/>
        <v>-1995.7770060951698</v>
      </c>
      <c r="H440" s="74">
        <f t="shared" si="46"/>
        <v>-15490.204506725946</v>
      </c>
      <c r="I440" s="74">
        <f t="shared" si="47"/>
        <v>-1969.2351890495011</v>
      </c>
      <c r="J440" s="74">
        <f t="shared" si="48"/>
        <v>15614.875052013182</v>
      </c>
      <c r="K440" s="74">
        <f t="shared" si="49"/>
        <v>-55490.204506725946</v>
      </c>
      <c r="L440" s="74">
        <f t="shared" si="50"/>
        <v>-1969.2351890495011</v>
      </c>
      <c r="M440" s="74">
        <f t="shared" si="51"/>
        <v>55525.135600267189</v>
      </c>
      <c r="N440" s="74">
        <f t="shared" si="52"/>
        <v>-40490.204506725946</v>
      </c>
      <c r="O440" s="74">
        <f t="shared" si="53"/>
        <v>-56969.235189049505</v>
      </c>
      <c r="P440" s="74">
        <f t="shared" si="54"/>
        <v>69892.420325967585</v>
      </c>
    </row>
    <row r="441" spans="1:16" x14ac:dyDescent="0.3">
      <c r="A441" s="72">
        <f t="shared" si="41"/>
        <v>66</v>
      </c>
      <c r="B441" s="74">
        <f t="shared" si="42"/>
        <v>35851.527012708721</v>
      </c>
      <c r="C441" s="74">
        <f t="shared" si="43"/>
        <v>25105.911353533556</v>
      </c>
      <c r="D441" s="74">
        <f t="shared" si="44"/>
        <v>722.64501196554193</v>
      </c>
      <c r="E441" s="74">
        <f t="shared" si="45"/>
        <v>6273.3523289681125</v>
      </c>
      <c r="F441" s="74">
        <f t="shared" si="39"/>
        <v>-10150.773717731361</v>
      </c>
      <c r="G441" s="74">
        <f t="shared" si="40"/>
        <v>-3615.7975584705678</v>
      </c>
      <c r="H441" s="74">
        <f t="shared" si="46"/>
        <v>-15851.527012708721</v>
      </c>
      <c r="I441" s="74">
        <f t="shared" si="47"/>
        <v>-5105.9113535335564</v>
      </c>
      <c r="J441" s="74">
        <f t="shared" si="48"/>
        <v>16653.565365553921</v>
      </c>
      <c r="K441" s="74">
        <f t="shared" si="49"/>
        <v>-55851.527012708721</v>
      </c>
      <c r="L441" s="74">
        <f t="shared" si="50"/>
        <v>-5105.9113535335564</v>
      </c>
      <c r="M441" s="74">
        <f t="shared" si="51"/>
        <v>56084.430998285745</v>
      </c>
      <c r="N441" s="74">
        <f t="shared" si="52"/>
        <v>-40851.527012708721</v>
      </c>
      <c r="O441" s="74">
        <f t="shared" si="53"/>
        <v>-60105.911353533556</v>
      </c>
      <c r="P441" s="74">
        <f t="shared" si="54"/>
        <v>72674.396034015343</v>
      </c>
    </row>
    <row r="442" spans="1:16" x14ac:dyDescent="0.3">
      <c r="A442" s="72">
        <f t="shared" si="41"/>
        <v>66.5</v>
      </c>
      <c r="B442" s="74">
        <f t="shared" si="42"/>
        <v>33675.156089258657</v>
      </c>
      <c r="C442" s="74">
        <f t="shared" si="43"/>
        <v>27338.638128399969</v>
      </c>
      <c r="D442" s="74">
        <f t="shared" si="44"/>
        <v>-4352.7418469001386</v>
      </c>
      <c r="E442" s="74">
        <f t="shared" si="45"/>
        <v>4465.4535497328288</v>
      </c>
      <c r="F442" s="74">
        <f t="shared" si="39"/>
        <v>-10202.301442048052</v>
      </c>
      <c r="G442" s="74">
        <f t="shared" si="40"/>
        <v>-5623.8007527753671</v>
      </c>
      <c r="H442" s="74">
        <f t="shared" si="46"/>
        <v>-13675.156089258657</v>
      </c>
      <c r="I442" s="74">
        <f t="shared" si="47"/>
        <v>-7338.638128399969</v>
      </c>
      <c r="J442" s="74">
        <f t="shared" si="48"/>
        <v>15519.842255808979</v>
      </c>
      <c r="K442" s="74">
        <f t="shared" si="49"/>
        <v>-53675.156089258657</v>
      </c>
      <c r="L442" s="74">
        <f t="shared" si="50"/>
        <v>-7338.638128399969</v>
      </c>
      <c r="M442" s="74">
        <f t="shared" si="51"/>
        <v>54174.514218273209</v>
      </c>
      <c r="N442" s="74">
        <f t="shared" si="52"/>
        <v>-38675.156089258657</v>
      </c>
      <c r="O442" s="74">
        <f t="shared" si="53"/>
        <v>-62338.638128399965</v>
      </c>
      <c r="P442" s="74">
        <f t="shared" si="54"/>
        <v>73361.253412357415</v>
      </c>
    </row>
    <row r="443" spans="1:16" x14ac:dyDescent="0.3">
      <c r="A443" s="72">
        <f t="shared" si="41"/>
        <v>67</v>
      </c>
      <c r="B443" s="74">
        <f t="shared" si="42"/>
        <v>28948.209805296574</v>
      </c>
      <c r="C443" s="74">
        <f t="shared" si="43"/>
        <v>28165.41471507254</v>
      </c>
      <c r="D443" s="74">
        <f t="shared" si="44"/>
        <v>-9453.8925679241656</v>
      </c>
      <c r="E443" s="74">
        <f t="shared" si="45"/>
        <v>1653.5531733451453</v>
      </c>
      <c r="F443" s="74">
        <f t="shared" si="39"/>
        <v>-10871.837665765797</v>
      </c>
      <c r="G443" s="74">
        <f t="shared" si="40"/>
        <v>-9659.5783257991734</v>
      </c>
      <c r="H443" s="74">
        <f t="shared" si="46"/>
        <v>-8948.2098052965739</v>
      </c>
      <c r="I443" s="74">
        <f t="shared" si="47"/>
        <v>-8165.4147150725403</v>
      </c>
      <c r="J443" s="74">
        <f t="shared" si="48"/>
        <v>12113.812619845534</v>
      </c>
      <c r="K443" s="74">
        <f t="shared" si="49"/>
        <v>-48948.209805296574</v>
      </c>
      <c r="L443" s="74">
        <f t="shared" si="50"/>
        <v>-8165.4147150725403</v>
      </c>
      <c r="M443" s="74">
        <f t="shared" si="51"/>
        <v>49624.603178387784</v>
      </c>
      <c r="N443" s="74">
        <f t="shared" si="52"/>
        <v>-33948.209805296574</v>
      </c>
      <c r="O443" s="74">
        <f t="shared" si="53"/>
        <v>-63165.41471507254</v>
      </c>
      <c r="P443" s="74">
        <f t="shared" si="54"/>
        <v>71710.184528500118</v>
      </c>
    </row>
    <row r="444" spans="1:16" x14ac:dyDescent="0.3">
      <c r="A444" s="72">
        <f t="shared" si="41"/>
        <v>67.5</v>
      </c>
      <c r="B444" s="74">
        <f t="shared" si="42"/>
        <v>21503.304104893043</v>
      </c>
      <c r="C444" s="74">
        <f t="shared" si="43"/>
        <v>26577.296720295319</v>
      </c>
      <c r="D444" s="74">
        <f t="shared" si="44"/>
        <v>-14889.811400807064</v>
      </c>
      <c r="E444" s="74">
        <f t="shared" si="45"/>
        <v>-3176.2359895544414</v>
      </c>
      <c r="F444" s="74">
        <f t="shared" si="39"/>
        <v>-5080.8618455427604</v>
      </c>
      <c r="G444" s="74">
        <f t="shared" si="40"/>
        <v>-16703.078619397435</v>
      </c>
      <c r="H444" s="74">
        <f t="shared" si="46"/>
        <v>-1503.3041048930427</v>
      </c>
      <c r="I444" s="74">
        <f t="shared" si="47"/>
        <v>-6577.2967202953187</v>
      </c>
      <c r="J444" s="74">
        <f t="shared" si="48"/>
        <v>6746.9070972257969</v>
      </c>
      <c r="K444" s="74">
        <f t="shared" si="49"/>
        <v>-41503.304104893046</v>
      </c>
      <c r="L444" s="74">
        <f t="shared" si="50"/>
        <v>-6577.2967202953187</v>
      </c>
      <c r="M444" s="74">
        <f t="shared" si="51"/>
        <v>42021.245623732284</v>
      </c>
      <c r="N444" s="74">
        <f t="shared" si="52"/>
        <v>-26503.304104893043</v>
      </c>
      <c r="O444" s="74">
        <f t="shared" si="53"/>
        <v>-61577.296720295315</v>
      </c>
      <c r="P444" s="74">
        <f t="shared" si="54"/>
        <v>67038.709712044219</v>
      </c>
    </row>
    <row r="445" spans="1:16" x14ac:dyDescent="0.3">
      <c r="A445" s="72">
        <f t="shared" si="41"/>
        <v>68</v>
      </c>
      <c r="B445" s="74">
        <f t="shared" si="42"/>
        <v>12788.18294310382</v>
      </c>
      <c r="C445" s="74">
        <f t="shared" si="43"/>
        <v>20813.409070668738</v>
      </c>
      <c r="D445" s="74">
        <f t="shared" si="44"/>
        <v>-17430.242323578444</v>
      </c>
      <c r="E445" s="74">
        <f t="shared" si="45"/>
        <v>-11527.775299253159</v>
      </c>
      <c r="F445" s="74">
        <f t="shared" si="39"/>
        <v>13831.19417744215</v>
      </c>
      <c r="G445" s="74">
        <f t="shared" si="40"/>
        <v>-2965.4906602111332</v>
      </c>
      <c r="H445" s="74">
        <f t="shared" si="46"/>
        <v>7211.8170568961796</v>
      </c>
      <c r="I445" s="74">
        <f t="shared" si="47"/>
        <v>-813.40907066873842</v>
      </c>
      <c r="J445" s="74">
        <f t="shared" si="48"/>
        <v>7257.5436325512264</v>
      </c>
      <c r="K445" s="74">
        <f t="shared" si="49"/>
        <v>-32788.18294310382</v>
      </c>
      <c r="L445" s="74">
        <f t="shared" si="50"/>
        <v>-813.40907066873842</v>
      </c>
      <c r="M445" s="74">
        <f t="shared" si="51"/>
        <v>32798.270915197507</v>
      </c>
      <c r="N445" s="74">
        <f t="shared" si="52"/>
        <v>-17788.18294310382</v>
      </c>
      <c r="O445" s="74">
        <f t="shared" si="53"/>
        <v>-55813.409070668742</v>
      </c>
      <c r="P445" s="74">
        <f t="shared" si="54"/>
        <v>58579.485184722624</v>
      </c>
    </row>
    <row r="446" spans="1:16" x14ac:dyDescent="0.3">
      <c r="A446" s="72">
        <f t="shared" si="41"/>
        <v>68.5</v>
      </c>
      <c r="B446" s="74">
        <f t="shared" si="42"/>
        <v>7530.8603256751358</v>
      </c>
      <c r="C446" s="74">
        <f t="shared" si="43"/>
        <v>14308.148755989376</v>
      </c>
      <c r="D446" s="74">
        <f t="shared" si="44"/>
        <v>-10514.645234857369</v>
      </c>
      <c r="E446" s="74">
        <f t="shared" si="45"/>
        <v>-13010.520629358725</v>
      </c>
      <c r="F446" s="74">
        <f t="shared" si="39"/>
        <v>7952.3810027959025</v>
      </c>
      <c r="G446" s="74">
        <f t="shared" si="40"/>
        <v>3888.3109821494845</v>
      </c>
      <c r="H446" s="74">
        <f t="shared" si="46"/>
        <v>12469.139674324864</v>
      </c>
      <c r="I446" s="74">
        <f t="shared" si="47"/>
        <v>5691.8512440106242</v>
      </c>
      <c r="J446" s="74">
        <f t="shared" si="48"/>
        <v>13706.809067093904</v>
      </c>
      <c r="K446" s="74">
        <f t="shared" si="49"/>
        <v>-27530.860325675138</v>
      </c>
      <c r="L446" s="74">
        <f t="shared" si="50"/>
        <v>5691.8512440106242</v>
      </c>
      <c r="M446" s="74">
        <f t="shared" si="51"/>
        <v>28113.083090543067</v>
      </c>
      <c r="N446" s="74">
        <f t="shared" si="52"/>
        <v>-12530.860325675136</v>
      </c>
      <c r="O446" s="74">
        <f t="shared" si="53"/>
        <v>-49308.148755989372</v>
      </c>
      <c r="P446" s="74">
        <f t="shared" si="54"/>
        <v>50875.495027020188</v>
      </c>
    </row>
    <row r="447" spans="1:16" x14ac:dyDescent="0.3">
      <c r="A447" s="72">
        <f t="shared" si="41"/>
        <v>69</v>
      </c>
      <c r="B447" s="74">
        <f t="shared" si="42"/>
        <v>4261.6329589454272</v>
      </c>
      <c r="C447" s="74">
        <f t="shared" si="43"/>
        <v>8774.966186847385</v>
      </c>
      <c r="D447" s="74">
        <f t="shared" si="44"/>
        <v>-6538.4547334594181</v>
      </c>
      <c r="E447" s="74">
        <f t="shared" si="45"/>
        <v>-11066.365138283983</v>
      </c>
      <c r="F447" s="74">
        <f t="shared" si="39"/>
        <v>3596.9244309970695</v>
      </c>
      <c r="G447" s="74">
        <f t="shared" si="40"/>
        <v>3766.0116853727177</v>
      </c>
      <c r="H447" s="74">
        <f t="shared" si="46"/>
        <v>15738.367041054573</v>
      </c>
      <c r="I447" s="74">
        <f t="shared" si="47"/>
        <v>11225.033813152615</v>
      </c>
      <c r="J447" s="74">
        <f t="shared" si="48"/>
        <v>19331.259173301991</v>
      </c>
      <c r="K447" s="74">
        <f t="shared" si="49"/>
        <v>-24261.632958945425</v>
      </c>
      <c r="L447" s="74">
        <f t="shared" si="50"/>
        <v>11225.033813152615</v>
      </c>
      <c r="M447" s="74">
        <f t="shared" si="51"/>
        <v>26732.531079959612</v>
      </c>
      <c r="N447" s="74">
        <f t="shared" si="52"/>
        <v>-9261.6329589454272</v>
      </c>
      <c r="O447" s="74">
        <f t="shared" si="53"/>
        <v>-43774.966186847385</v>
      </c>
      <c r="P447" s="74">
        <f t="shared" si="54"/>
        <v>44743.999706394781</v>
      </c>
    </row>
    <row r="448" spans="1:16" x14ac:dyDescent="0.3">
      <c r="A448" s="72">
        <f t="shared" si="41"/>
        <v>69.5</v>
      </c>
      <c r="B448" s="74">
        <f t="shared" si="42"/>
        <v>1891.6366999649854</v>
      </c>
      <c r="C448" s="74">
        <f t="shared" si="43"/>
        <v>4183.2865390485731</v>
      </c>
      <c r="D448" s="74">
        <f t="shared" si="44"/>
        <v>-4739.9925179608836</v>
      </c>
      <c r="E448" s="74">
        <f t="shared" si="45"/>
        <v>-9183.3592955976237</v>
      </c>
      <c r="F448" s="74">
        <f t="shared" si="39"/>
        <v>1776.8232158305939</v>
      </c>
      <c r="G448" s="74">
        <f t="shared" si="40"/>
        <v>2892.451291041582</v>
      </c>
      <c r="H448" s="74">
        <f t="shared" si="46"/>
        <v>18108.363300035016</v>
      </c>
      <c r="I448" s="74">
        <f t="shared" si="47"/>
        <v>15816.713460951427</v>
      </c>
      <c r="J448" s="74">
        <f t="shared" si="48"/>
        <v>24043.320197341658</v>
      </c>
      <c r="K448" s="74">
        <f t="shared" si="49"/>
        <v>-21891.636699964984</v>
      </c>
      <c r="L448" s="74">
        <f t="shared" si="50"/>
        <v>15816.713460951427</v>
      </c>
      <c r="M448" s="74">
        <f t="shared" si="51"/>
        <v>27007.63192338595</v>
      </c>
      <c r="N448" s="74">
        <f t="shared" si="52"/>
        <v>-6891.6366999649854</v>
      </c>
      <c r="O448" s="74">
        <f t="shared" si="53"/>
        <v>-39183.286539048575</v>
      </c>
      <c r="P448" s="74">
        <f t="shared" si="54"/>
        <v>39784.728230886401</v>
      </c>
    </row>
    <row r="449" spans="1:16" x14ac:dyDescent="0.3">
      <c r="A449" s="72">
        <f t="shared" si="41"/>
        <v>70</v>
      </c>
      <c r="B449" s="74">
        <f t="shared" si="42"/>
        <v>-34.153755057807928</v>
      </c>
      <c r="C449" s="74">
        <f t="shared" si="43"/>
        <v>314.71971401015674</v>
      </c>
      <c r="D449" s="74">
        <f t="shared" si="44"/>
        <v>-3851.5809100455867</v>
      </c>
      <c r="E449" s="74">
        <f t="shared" si="45"/>
        <v>-7737.133650076833</v>
      </c>
      <c r="F449" s="74">
        <f t="shared" si="39"/>
        <v>1029.768172831536</v>
      </c>
      <c r="G449" s="74">
        <f t="shared" si="40"/>
        <v>1903.1845275513238</v>
      </c>
      <c r="H449" s="74">
        <f t="shared" si="46"/>
        <v>20034.153755057807</v>
      </c>
      <c r="I449" s="74">
        <f t="shared" si="47"/>
        <v>19685.280285989844</v>
      </c>
      <c r="J449" s="74">
        <f t="shared" si="48"/>
        <v>28086.964531954629</v>
      </c>
      <c r="K449" s="74">
        <f t="shared" si="49"/>
        <v>-19965.846244942193</v>
      </c>
      <c r="L449" s="74">
        <f t="shared" si="50"/>
        <v>19685.280285989844</v>
      </c>
      <c r="M449" s="74">
        <f t="shared" si="51"/>
        <v>28038.282333528434</v>
      </c>
      <c r="N449" s="74">
        <f t="shared" si="52"/>
        <v>-4965.8462449421922</v>
      </c>
      <c r="O449" s="74">
        <f t="shared" si="53"/>
        <v>-35314.719714010156</v>
      </c>
      <c r="P449" s="74">
        <f t="shared" si="54"/>
        <v>35662.151609339337</v>
      </c>
    </row>
    <row r="450" spans="1:16" x14ac:dyDescent="0.3">
      <c r="A450" s="72">
        <f t="shared" si="41"/>
        <v>70.5</v>
      </c>
      <c r="B450" s="74">
        <f t="shared" si="42"/>
        <v>-1702.5021668727172</v>
      </c>
      <c r="C450" s="74">
        <f t="shared" si="43"/>
        <v>-3078.0509791404288</v>
      </c>
      <c r="D450" s="74">
        <f t="shared" si="44"/>
        <v>-3336.6968236298189</v>
      </c>
      <c r="E450" s="74">
        <f t="shared" si="45"/>
        <v>-6785.5413863011709</v>
      </c>
      <c r="F450" s="74">
        <f t="shared" si="39"/>
        <v>735.38850475252218</v>
      </c>
      <c r="G450" s="74">
        <f t="shared" si="40"/>
        <v>857.32464009768455</v>
      </c>
      <c r="H450" s="74">
        <f t="shared" si="46"/>
        <v>21702.502166872717</v>
      </c>
      <c r="I450" s="74">
        <f t="shared" si="47"/>
        <v>23078.050979140429</v>
      </c>
      <c r="J450" s="74">
        <f t="shared" si="48"/>
        <v>31679.568136243895</v>
      </c>
      <c r="K450" s="74">
        <f t="shared" si="49"/>
        <v>-18297.497833127283</v>
      </c>
      <c r="L450" s="74">
        <f t="shared" si="50"/>
        <v>23078.050979140429</v>
      </c>
      <c r="M450" s="74">
        <f t="shared" si="51"/>
        <v>29451.568106793602</v>
      </c>
      <c r="N450" s="74">
        <f t="shared" si="52"/>
        <v>-3297.4978331272828</v>
      </c>
      <c r="O450" s="74">
        <f t="shared" si="53"/>
        <v>-31921.949020859571</v>
      </c>
      <c r="P450" s="74">
        <f t="shared" si="54"/>
        <v>32091.81081288241</v>
      </c>
    </row>
    <row r="451" spans="1:16" x14ac:dyDescent="0.3">
      <c r="A451" s="72">
        <f t="shared" si="41"/>
        <v>71</v>
      </c>
      <c r="B451" s="74">
        <f t="shared" si="42"/>
        <v>-3187.0034524994962</v>
      </c>
      <c r="C451" s="74">
        <f t="shared" si="43"/>
        <v>-6256.4905122665932</v>
      </c>
      <c r="D451" s="74">
        <f t="shared" si="44"/>
        <v>-2969.002571253558</v>
      </c>
      <c r="E451" s="74">
        <f t="shared" si="45"/>
        <v>-6356.8790662523288</v>
      </c>
      <c r="F451" s="74">
        <f t="shared" si="39"/>
        <v>659.91036301464851</v>
      </c>
      <c r="G451" s="74">
        <f t="shared" si="40"/>
        <v>-285.23671782689553</v>
      </c>
      <c r="H451" s="74">
        <f t="shared" si="46"/>
        <v>23187.003452499495</v>
      </c>
      <c r="I451" s="74">
        <f t="shared" si="47"/>
        <v>26256.490512266595</v>
      </c>
      <c r="J451" s="74">
        <f t="shared" si="48"/>
        <v>35029.136773933918</v>
      </c>
      <c r="K451" s="74">
        <f t="shared" si="49"/>
        <v>-16812.996547500505</v>
      </c>
      <c r="L451" s="74">
        <f t="shared" si="50"/>
        <v>26256.490512266595</v>
      </c>
      <c r="M451" s="74">
        <f t="shared" si="51"/>
        <v>31178.199866685849</v>
      </c>
      <c r="N451" s="74">
        <f t="shared" si="52"/>
        <v>-1812.9965475005038</v>
      </c>
      <c r="O451" s="74">
        <f t="shared" si="53"/>
        <v>-28743.509487733405</v>
      </c>
      <c r="P451" s="74">
        <f t="shared" si="54"/>
        <v>28800.630099924358</v>
      </c>
    </row>
    <row r="452" spans="1:16" x14ac:dyDescent="0.3">
      <c r="A452" s="72">
        <f t="shared" si="41"/>
        <v>71.5</v>
      </c>
      <c r="B452" s="74">
        <f t="shared" si="42"/>
        <v>-4506.5271473726134</v>
      </c>
      <c r="C452" s="74">
        <f t="shared" si="43"/>
        <v>-9506.2392248494816</v>
      </c>
      <c r="D452" s="74">
        <f t="shared" si="44"/>
        <v>-2639.0473897462339</v>
      </c>
      <c r="E452" s="74">
        <f t="shared" si="45"/>
        <v>-6499.4974251657768</v>
      </c>
      <c r="F452" s="74">
        <f t="shared" si="39"/>
        <v>722.32135841732577</v>
      </c>
      <c r="G452" s="74">
        <f t="shared" si="40"/>
        <v>-1640.9516593381104</v>
      </c>
      <c r="H452" s="74">
        <f t="shared" si="46"/>
        <v>24506.527147372613</v>
      </c>
      <c r="I452" s="74">
        <f t="shared" si="47"/>
        <v>29506.23922484948</v>
      </c>
      <c r="J452" s="74">
        <f t="shared" si="48"/>
        <v>38356.06895940924</v>
      </c>
      <c r="K452" s="74">
        <f t="shared" si="49"/>
        <v>-15493.472852627387</v>
      </c>
      <c r="L452" s="74">
        <f t="shared" si="50"/>
        <v>29506.23922484948</v>
      </c>
      <c r="M452" s="74">
        <f t="shared" si="51"/>
        <v>33326.65381086358</v>
      </c>
      <c r="N452" s="74">
        <f t="shared" si="52"/>
        <v>-493.4728526273866</v>
      </c>
      <c r="O452" s="74">
        <f t="shared" si="53"/>
        <v>-25493.76077515052</v>
      </c>
      <c r="P452" s="74">
        <f t="shared" si="54"/>
        <v>25498.536309303785</v>
      </c>
    </row>
    <row r="453" spans="1:16" x14ac:dyDescent="0.3">
      <c r="A453" s="72">
        <f t="shared" si="41"/>
        <v>72</v>
      </c>
      <c r="B453" s="74">
        <f t="shared" si="42"/>
        <v>-5645.4705026413994</v>
      </c>
      <c r="C453" s="74">
        <f t="shared" si="43"/>
        <v>-13166.225852266898</v>
      </c>
      <c r="D453" s="74">
        <f t="shared" si="44"/>
        <v>-2277.8867105375712</v>
      </c>
      <c r="E453" s="74">
        <f t="shared" si="45"/>
        <v>-7319.973254834832</v>
      </c>
      <c r="F453" s="74">
        <f t="shared" si="39"/>
        <v>929.58567320276165</v>
      </c>
      <c r="G453" s="74">
        <f t="shared" si="40"/>
        <v>-3458.6403134792349</v>
      </c>
      <c r="H453" s="74">
        <f t="shared" si="46"/>
        <v>25645.470502641401</v>
      </c>
      <c r="I453" s="74">
        <f t="shared" si="47"/>
        <v>33166.2258522669</v>
      </c>
      <c r="J453" s="74">
        <f t="shared" si="48"/>
        <v>41924.798086400217</v>
      </c>
      <c r="K453" s="74">
        <f t="shared" si="49"/>
        <v>-14354.529497358601</v>
      </c>
      <c r="L453" s="74">
        <f t="shared" si="50"/>
        <v>33166.2258522669</v>
      </c>
      <c r="M453" s="74">
        <f t="shared" si="51"/>
        <v>36139.328360860767</v>
      </c>
      <c r="N453" s="74">
        <f t="shared" si="52"/>
        <v>645.47050264139943</v>
      </c>
      <c r="O453" s="74">
        <f t="shared" si="53"/>
        <v>-21833.7741477331</v>
      </c>
      <c r="P453" s="74">
        <f t="shared" si="54"/>
        <v>21843.313066107861</v>
      </c>
    </row>
    <row r="454" spans="1:16" x14ac:dyDescent="0.3">
      <c r="A454" s="72">
        <f t="shared" si="41"/>
        <v>72.5</v>
      </c>
      <c r="B454" s="74">
        <f t="shared" si="42"/>
        <v>-6552.0174396094953</v>
      </c>
      <c r="C454" s="74">
        <f t="shared" si="43"/>
        <v>-17690.872558054121</v>
      </c>
      <c r="D454" s="74">
        <f t="shared" si="44"/>
        <v>-1813.0938739361904</v>
      </c>
      <c r="E454" s="74">
        <f t="shared" si="45"/>
        <v>-9049.2934115744501</v>
      </c>
      <c r="F454" s="74">
        <f t="shared" si="39"/>
        <v>1441.472488355789</v>
      </c>
      <c r="G454" s="74">
        <f t="shared" si="40"/>
        <v>-6302.0157437855423</v>
      </c>
      <c r="H454" s="74">
        <f t="shared" si="46"/>
        <v>26552.017439609495</v>
      </c>
      <c r="I454" s="74">
        <f t="shared" si="47"/>
        <v>37690.872558054121</v>
      </c>
      <c r="J454" s="74">
        <f t="shared" si="48"/>
        <v>46104.354504762385</v>
      </c>
      <c r="K454" s="74">
        <f t="shared" si="49"/>
        <v>-13447.982560390505</v>
      </c>
      <c r="L454" s="74">
        <f t="shared" si="50"/>
        <v>37690.872558054121</v>
      </c>
      <c r="M454" s="74">
        <f t="shared" si="51"/>
        <v>40018.122258947187</v>
      </c>
      <c r="N454" s="74">
        <f t="shared" si="52"/>
        <v>1552.0174396094953</v>
      </c>
      <c r="O454" s="74">
        <f t="shared" si="53"/>
        <v>-17309.127441945879</v>
      </c>
      <c r="P454" s="74">
        <f t="shared" si="54"/>
        <v>17378.568725138899</v>
      </c>
    </row>
    <row r="455" spans="1:16" x14ac:dyDescent="0.3">
      <c r="A455" s="72">
        <f t="shared" si="41"/>
        <v>73</v>
      </c>
      <c r="B455" s="74">
        <f t="shared" si="42"/>
        <v>-7098.1962544886428</v>
      </c>
      <c r="C455" s="74">
        <f t="shared" si="43"/>
        <v>-23791.023199787731</v>
      </c>
      <c r="D455" s="74">
        <f t="shared" si="44"/>
        <v>-1092.3576297582958</v>
      </c>
      <c r="E455" s="74">
        <f t="shared" si="45"/>
        <v>-12200.301283467221</v>
      </c>
      <c r="F455" s="74">
        <f t="shared" si="39"/>
        <v>3027.2838285301141</v>
      </c>
      <c r="G455" s="74">
        <f t="shared" si="40"/>
        <v>-11242.804785880839</v>
      </c>
      <c r="H455" s="74">
        <f t="shared" si="46"/>
        <v>27098.196254488641</v>
      </c>
      <c r="I455" s="74">
        <f t="shared" si="47"/>
        <v>43791.023199787727</v>
      </c>
      <c r="J455" s="74">
        <f t="shared" si="48"/>
        <v>51497.242189569035</v>
      </c>
      <c r="K455" s="74">
        <f t="shared" si="49"/>
        <v>-12901.803745511357</v>
      </c>
      <c r="L455" s="74">
        <f t="shared" si="50"/>
        <v>43791.023199787727</v>
      </c>
      <c r="M455" s="74">
        <f t="shared" si="51"/>
        <v>45652.056391492792</v>
      </c>
      <c r="N455" s="74">
        <f t="shared" si="52"/>
        <v>2098.1962544886428</v>
      </c>
      <c r="O455" s="74">
        <f t="shared" si="53"/>
        <v>-11208.976800212269</v>
      </c>
      <c r="P455" s="74">
        <f t="shared" si="54"/>
        <v>11403.665569896682</v>
      </c>
    </row>
    <row r="456" spans="1:16" x14ac:dyDescent="0.3">
      <c r="A456" s="72">
        <f t="shared" si="41"/>
        <v>73.5</v>
      </c>
      <c r="B456" s="74">
        <f t="shared" si="42"/>
        <v>-6887.5541122352615</v>
      </c>
      <c r="C456" s="74">
        <f t="shared" si="43"/>
        <v>-32701.875037991551</v>
      </c>
      <c r="D456" s="74">
        <f t="shared" si="44"/>
        <v>421.2842845067612</v>
      </c>
      <c r="E456" s="74">
        <f t="shared" si="45"/>
        <v>-17821.70367640764</v>
      </c>
      <c r="F456" s="74">
        <f t="shared" si="39"/>
        <v>7314.0587024270917</v>
      </c>
      <c r="G456" s="74">
        <f t="shared" si="40"/>
        <v>-6772.1178539106713</v>
      </c>
      <c r="H456" s="74">
        <f t="shared" si="46"/>
        <v>26887.554112235262</v>
      </c>
      <c r="I456" s="74">
        <f t="shared" si="47"/>
        <v>52701.875037991551</v>
      </c>
      <c r="J456" s="74">
        <f t="shared" si="48"/>
        <v>59164.41665949607</v>
      </c>
      <c r="K456" s="74">
        <f t="shared" si="49"/>
        <v>-13112.445887764738</v>
      </c>
      <c r="L456" s="74">
        <f t="shared" si="50"/>
        <v>52701.875037991551</v>
      </c>
      <c r="M456" s="74">
        <f t="shared" si="51"/>
        <v>54308.59848752898</v>
      </c>
      <c r="N456" s="74">
        <f t="shared" si="52"/>
        <v>1887.5541122352615</v>
      </c>
      <c r="O456" s="74">
        <f t="shared" si="53"/>
        <v>-2298.1249620084491</v>
      </c>
      <c r="P456" s="74">
        <f t="shared" si="54"/>
        <v>2973.9265067621595</v>
      </c>
    </row>
    <row r="457" spans="1:16" x14ac:dyDescent="0.3">
      <c r="A457" s="72">
        <f t="shared" si="41"/>
        <v>74</v>
      </c>
      <c r="B457" s="74">
        <f t="shared" si="42"/>
        <v>-4848.3972943751087</v>
      </c>
      <c r="C457" s="74">
        <f t="shared" si="43"/>
        <v>-43305.75633967304</v>
      </c>
      <c r="D457" s="74">
        <f t="shared" si="44"/>
        <v>4078.313635720307</v>
      </c>
      <c r="E457" s="74">
        <f t="shared" si="45"/>
        <v>-21207.762603362975</v>
      </c>
      <c r="F457" s="74">
        <f t="shared" si="39"/>
        <v>-83.756761511237869</v>
      </c>
      <c r="G457" s="74">
        <f t="shared" si="40"/>
        <v>17132.248933319144</v>
      </c>
      <c r="H457" s="74">
        <f t="shared" si="46"/>
        <v>24848.397294375107</v>
      </c>
      <c r="I457" s="74">
        <f t="shared" si="47"/>
        <v>63305.75633967304</v>
      </c>
      <c r="J457" s="74">
        <f t="shared" si="48"/>
        <v>68007.805683150524</v>
      </c>
      <c r="K457" s="74">
        <f t="shared" si="49"/>
        <v>-15151.602705624891</v>
      </c>
      <c r="L457" s="74">
        <f t="shared" si="50"/>
        <v>63305.75633967304</v>
      </c>
      <c r="M457" s="74">
        <f t="shared" si="51"/>
        <v>65093.700542273313</v>
      </c>
      <c r="N457" s="74">
        <f t="shared" si="52"/>
        <v>-151.60270562489131</v>
      </c>
      <c r="O457" s="74">
        <f t="shared" si="53"/>
        <v>8305.7563396730402</v>
      </c>
      <c r="P457" s="74">
        <f t="shared" si="54"/>
        <v>8307.1398058761279</v>
      </c>
    </row>
    <row r="458" spans="1:16" x14ac:dyDescent="0.3">
      <c r="A458" s="72">
        <f t="shared" si="41"/>
        <v>74.5</v>
      </c>
      <c r="B458" s="74">
        <f t="shared" si="42"/>
        <v>-2830.1796668927645</v>
      </c>
      <c r="C458" s="74">
        <f t="shared" si="43"/>
        <v>-49626.575408024743</v>
      </c>
      <c r="D458" s="74">
        <f t="shared" si="44"/>
        <v>4036.4352549646883</v>
      </c>
      <c r="E458" s="74">
        <f t="shared" si="45"/>
        <v>-12641.638136703403</v>
      </c>
      <c r="F458" s="74">
        <f t="shared" si="39"/>
        <v>-1459.4792179657879</v>
      </c>
      <c r="G458" s="74">
        <f t="shared" si="40"/>
        <v>11889.926270281312</v>
      </c>
      <c r="H458" s="74">
        <f t="shared" si="46"/>
        <v>22830.179666892764</v>
      </c>
      <c r="I458" s="74">
        <f t="shared" si="47"/>
        <v>69626.575408024743</v>
      </c>
      <c r="J458" s="74">
        <f t="shared" si="48"/>
        <v>73273.986561889469</v>
      </c>
      <c r="K458" s="74">
        <f t="shared" si="49"/>
        <v>-17169.820333107236</v>
      </c>
      <c r="L458" s="74">
        <f t="shared" si="50"/>
        <v>69626.575408024743</v>
      </c>
      <c r="M458" s="74">
        <f t="shared" si="51"/>
        <v>71712.36109151991</v>
      </c>
      <c r="N458" s="74">
        <f t="shared" si="52"/>
        <v>-2169.8203331072355</v>
      </c>
      <c r="O458" s="74">
        <f t="shared" si="53"/>
        <v>14626.575408024743</v>
      </c>
      <c r="P458" s="74">
        <f t="shared" si="54"/>
        <v>14786.643582794568</v>
      </c>
    </row>
    <row r="459" spans="1:16" x14ac:dyDescent="0.3">
      <c r="A459" s="72">
        <f t="shared" si="41"/>
        <v>75</v>
      </c>
      <c r="B459" s="74">
        <f t="shared" si="42"/>
        <v>-1176.8318439018674</v>
      </c>
      <c r="C459" s="74">
        <f t="shared" si="43"/>
        <v>-52974.912908806116</v>
      </c>
      <c r="D459" s="74">
        <f t="shared" si="44"/>
        <v>3306.6956459817943</v>
      </c>
      <c r="E459" s="74">
        <f t="shared" si="45"/>
        <v>-6696.6750015627467</v>
      </c>
      <c r="F459" s="74">
        <f t="shared" si="39"/>
        <v>-1644.436639086488</v>
      </c>
      <c r="G459" s="74">
        <f t="shared" si="40"/>
        <v>9260.4152850352002</v>
      </c>
      <c r="H459" s="74">
        <f t="shared" si="46"/>
        <v>21176.831843901866</v>
      </c>
      <c r="I459" s="74">
        <f t="shared" si="47"/>
        <v>72974.912908806116</v>
      </c>
      <c r="J459" s="74">
        <f t="shared" si="48"/>
        <v>75985.499412669073</v>
      </c>
      <c r="K459" s="74">
        <f t="shared" si="49"/>
        <v>-18823.168156098134</v>
      </c>
      <c r="L459" s="74">
        <f t="shared" si="50"/>
        <v>72974.912908806116</v>
      </c>
      <c r="M459" s="74">
        <f t="shared" si="51"/>
        <v>75363.449851241443</v>
      </c>
      <c r="N459" s="74">
        <f t="shared" si="52"/>
        <v>-3823.1681560981324</v>
      </c>
      <c r="O459" s="74">
        <f t="shared" si="53"/>
        <v>17974.912908806116</v>
      </c>
      <c r="P459" s="74">
        <f t="shared" si="54"/>
        <v>18376.999451188094</v>
      </c>
    </row>
    <row r="460" spans="1:16" x14ac:dyDescent="0.3">
      <c r="A460" s="72">
        <f t="shared" si="41"/>
        <v>75.5</v>
      </c>
      <c r="B460" s="74">
        <f t="shared" si="42"/>
        <v>65.406819317407781</v>
      </c>
      <c r="C460" s="74">
        <f t="shared" si="43"/>
        <v>-54008.146588328687</v>
      </c>
      <c r="D460" s="74">
        <f t="shared" si="44"/>
        <v>2484.4773264385503</v>
      </c>
      <c r="E460" s="74">
        <f t="shared" si="45"/>
        <v>-2066.4673590451466</v>
      </c>
      <c r="F460" s="74">
        <f t="shared" si="39"/>
        <v>-1887.5725972682883</v>
      </c>
      <c r="G460" s="74">
        <f t="shared" si="40"/>
        <v>8426.9618677877115</v>
      </c>
      <c r="H460" s="74">
        <f t="shared" si="46"/>
        <v>19934.593180682594</v>
      </c>
      <c r="I460" s="74">
        <f t="shared" si="47"/>
        <v>74008.146588328687</v>
      </c>
      <c r="J460" s="74">
        <f t="shared" si="48"/>
        <v>76645.898564234114</v>
      </c>
      <c r="K460" s="74">
        <f t="shared" si="49"/>
        <v>-20065.406819317406</v>
      </c>
      <c r="L460" s="74">
        <f t="shared" si="50"/>
        <v>74008.146588328687</v>
      </c>
      <c r="M460" s="74">
        <f t="shared" si="51"/>
        <v>76680.025510326072</v>
      </c>
      <c r="N460" s="74">
        <f t="shared" si="52"/>
        <v>-5065.406819317408</v>
      </c>
      <c r="O460" s="74">
        <f t="shared" si="53"/>
        <v>19008.146588328687</v>
      </c>
      <c r="P460" s="74">
        <f t="shared" si="54"/>
        <v>19671.501797488134</v>
      </c>
    </row>
    <row r="461" spans="1:16" x14ac:dyDescent="0.3">
      <c r="A461" s="72">
        <f t="shared" si="41"/>
        <v>76</v>
      </c>
      <c r="B461" s="74">
        <f t="shared" si="42"/>
        <v>835.75233321961082</v>
      </c>
      <c r="C461" s="74">
        <f t="shared" si="43"/>
        <v>-52934.639800904333</v>
      </c>
      <c r="D461" s="74">
        <f t="shared" si="44"/>
        <v>1540.6910278044061</v>
      </c>
      <c r="E461" s="74">
        <f t="shared" si="45"/>
        <v>2147.0135748487091</v>
      </c>
      <c r="F461" s="74">
        <f t="shared" si="39"/>
        <v>-2431.1366495065836</v>
      </c>
      <c r="G461" s="74">
        <f t="shared" si="40"/>
        <v>8768.9357791620769</v>
      </c>
      <c r="H461" s="74">
        <f t="shared" si="46"/>
        <v>19164.247666780389</v>
      </c>
      <c r="I461" s="74">
        <f t="shared" si="47"/>
        <v>72934.639800904333</v>
      </c>
      <c r="J461" s="74">
        <f t="shared" si="48"/>
        <v>75410.410896118017</v>
      </c>
      <c r="K461" s="74">
        <f t="shared" si="49"/>
        <v>-20835.752333219611</v>
      </c>
      <c r="L461" s="74">
        <f t="shared" si="50"/>
        <v>72934.639800904333</v>
      </c>
      <c r="M461" s="74">
        <f t="shared" si="51"/>
        <v>75852.424207660792</v>
      </c>
      <c r="N461" s="74">
        <f t="shared" si="52"/>
        <v>-5835.7523332196106</v>
      </c>
      <c r="O461" s="74">
        <f t="shared" si="53"/>
        <v>17934.639800904333</v>
      </c>
      <c r="P461" s="74">
        <f t="shared" si="54"/>
        <v>18860.20440193743</v>
      </c>
    </row>
    <row r="462" spans="1:16" x14ac:dyDescent="0.3">
      <c r="A462" s="72">
        <f t="shared" si="41"/>
        <v>76.5</v>
      </c>
      <c r="B462" s="74">
        <f t="shared" si="42"/>
        <v>998.31368474516796</v>
      </c>
      <c r="C462" s="74">
        <f t="shared" si="43"/>
        <v>-49668.899068689461</v>
      </c>
      <c r="D462" s="74">
        <f t="shared" si="44"/>
        <v>325.12270305111429</v>
      </c>
      <c r="E462" s="74">
        <f t="shared" si="45"/>
        <v>6531.4814644297476</v>
      </c>
      <c r="F462" s="74">
        <f t="shared" si="39"/>
        <v>-3727.6540435327474</v>
      </c>
      <c r="G462" s="74">
        <f t="shared" si="40"/>
        <v>10471.673302823252</v>
      </c>
      <c r="H462" s="74">
        <f t="shared" si="46"/>
        <v>19001.686315254832</v>
      </c>
      <c r="I462" s="74">
        <f t="shared" si="47"/>
        <v>69668.899068689469</v>
      </c>
      <c r="J462" s="74">
        <f t="shared" si="48"/>
        <v>72213.707703361855</v>
      </c>
      <c r="K462" s="74">
        <f t="shared" si="49"/>
        <v>-20998.313684745168</v>
      </c>
      <c r="L462" s="74">
        <f t="shared" si="50"/>
        <v>69668.899068689469</v>
      </c>
      <c r="M462" s="74">
        <f t="shared" si="51"/>
        <v>72764.583933711852</v>
      </c>
      <c r="N462" s="74">
        <f t="shared" si="52"/>
        <v>-5998.3136847451678</v>
      </c>
      <c r="O462" s="74">
        <f t="shared" si="53"/>
        <v>14668.899068689461</v>
      </c>
      <c r="P462" s="74">
        <f t="shared" si="54"/>
        <v>15847.913646534034</v>
      </c>
    </row>
    <row r="463" spans="1:16" x14ac:dyDescent="0.3">
      <c r="A463" s="72">
        <f t="shared" si="41"/>
        <v>77</v>
      </c>
      <c r="B463" s="74">
        <f t="shared" si="42"/>
        <v>228.96152538753825</v>
      </c>
      <c r="C463" s="74">
        <f t="shared" si="43"/>
        <v>-43785.240010768779</v>
      </c>
      <c r="D463" s="74">
        <f t="shared" si="44"/>
        <v>-1538.7043187152594</v>
      </c>
      <c r="E463" s="74">
        <f t="shared" si="45"/>
        <v>11767.318115841374</v>
      </c>
      <c r="F463" s="74">
        <f t="shared" si="39"/>
        <v>-7361.2019941518702</v>
      </c>
      <c r="G463" s="74">
        <f t="shared" si="40"/>
        <v>13896.221638821196</v>
      </c>
      <c r="H463" s="74">
        <f t="shared" si="46"/>
        <v>19771.038474612462</v>
      </c>
      <c r="I463" s="74">
        <f t="shared" si="47"/>
        <v>63785.240010768779</v>
      </c>
      <c r="J463" s="74">
        <f t="shared" si="48"/>
        <v>66779.119532949699</v>
      </c>
      <c r="K463" s="74">
        <f t="shared" si="49"/>
        <v>-20228.961525387538</v>
      </c>
      <c r="L463" s="74">
        <f t="shared" si="50"/>
        <v>63785.240010768779</v>
      </c>
      <c r="M463" s="74">
        <f t="shared" si="51"/>
        <v>66916.124571189765</v>
      </c>
      <c r="N463" s="74">
        <f t="shared" si="52"/>
        <v>-5228.9615253875381</v>
      </c>
      <c r="O463" s="74">
        <f t="shared" si="53"/>
        <v>8785.240010768779</v>
      </c>
      <c r="P463" s="74">
        <f t="shared" si="54"/>
        <v>10223.623657040383</v>
      </c>
    </row>
    <row r="464" spans="1:16" x14ac:dyDescent="0.3">
      <c r="A464" s="72">
        <f t="shared" si="41"/>
        <v>77.5</v>
      </c>
      <c r="B464" s="74">
        <f t="shared" si="42"/>
        <v>-2380.6911325080591</v>
      </c>
      <c r="C464" s="74">
        <f t="shared" si="43"/>
        <v>-34427.525543142794</v>
      </c>
      <c r="D464" s="74">
        <f t="shared" si="44"/>
        <v>-5219.3053157911945</v>
      </c>
      <c r="E464" s="74">
        <f t="shared" si="45"/>
        <v>18715.42893525197</v>
      </c>
      <c r="F464" s="74">
        <f t="shared" si="39"/>
        <v>-9642.0309162731119</v>
      </c>
      <c r="G464" s="74">
        <f t="shared" si="40"/>
        <v>-483.38441750716902</v>
      </c>
      <c r="H464" s="74">
        <f t="shared" si="46"/>
        <v>22380.691132508058</v>
      </c>
      <c r="I464" s="74">
        <f t="shared" si="47"/>
        <v>54427.525543142794</v>
      </c>
      <c r="J464" s="74">
        <f t="shared" si="48"/>
        <v>58849.39143541066</v>
      </c>
      <c r="K464" s="74">
        <f t="shared" si="49"/>
        <v>-17619.308867491942</v>
      </c>
      <c r="L464" s="74">
        <f t="shared" si="50"/>
        <v>54427.525543142794</v>
      </c>
      <c r="M464" s="74">
        <f t="shared" si="51"/>
        <v>57208.352377231953</v>
      </c>
      <c r="N464" s="74">
        <f t="shared" si="52"/>
        <v>-2619.3088674919409</v>
      </c>
      <c r="O464" s="74">
        <f t="shared" si="53"/>
        <v>-572.47445685720595</v>
      </c>
      <c r="P464" s="74">
        <f t="shared" si="54"/>
        <v>2681.1389272240008</v>
      </c>
    </row>
    <row r="465" spans="1:16" x14ac:dyDescent="0.3">
      <c r="A465" s="72">
        <f t="shared" si="41"/>
        <v>78</v>
      </c>
      <c r="B465" s="74">
        <f t="shared" si="42"/>
        <v>-7400.8515194719348</v>
      </c>
      <c r="C465" s="74">
        <f t="shared" si="43"/>
        <v>-25190.657179893602</v>
      </c>
      <c r="D465" s="74">
        <f t="shared" si="44"/>
        <v>-10040.32077392775</v>
      </c>
      <c r="E465" s="74">
        <f t="shared" si="45"/>
        <v>18473.736726498384</v>
      </c>
      <c r="F465" s="74">
        <f t="shared" si="39"/>
        <v>3990.1599259706991</v>
      </c>
      <c r="G465" s="74">
        <f t="shared" si="40"/>
        <v>-12197.749434686344</v>
      </c>
      <c r="H465" s="74">
        <f t="shared" si="46"/>
        <v>27400.851519471937</v>
      </c>
      <c r="I465" s="74">
        <f t="shared" si="47"/>
        <v>45190.657179893606</v>
      </c>
      <c r="J465" s="74">
        <f t="shared" si="48"/>
        <v>52848.861485776746</v>
      </c>
      <c r="K465" s="74">
        <f t="shared" si="49"/>
        <v>-12599.148480528065</v>
      </c>
      <c r="L465" s="74">
        <f t="shared" si="50"/>
        <v>45190.657179893606</v>
      </c>
      <c r="M465" s="74">
        <f t="shared" si="51"/>
        <v>46914.113428530887</v>
      </c>
      <c r="N465" s="74">
        <f t="shared" si="52"/>
        <v>2400.8515194719348</v>
      </c>
      <c r="O465" s="74">
        <f t="shared" si="53"/>
        <v>-9809.342820106398</v>
      </c>
      <c r="P465" s="74">
        <f t="shared" si="54"/>
        <v>10098.875906798916</v>
      </c>
    </row>
    <row r="466" spans="1:16" x14ac:dyDescent="0.3">
      <c r="A466" s="72">
        <f t="shared" si="41"/>
        <v>78.5</v>
      </c>
      <c r="B466" s="74">
        <f t="shared" si="42"/>
        <v>-11423.471924943135</v>
      </c>
      <c r="C466" s="74">
        <f t="shared" si="43"/>
        <v>-19003.226175315995</v>
      </c>
      <c r="D466" s="74">
        <f t="shared" si="44"/>
        <v>-8045.2408109423995</v>
      </c>
      <c r="E466" s="74">
        <f t="shared" si="45"/>
        <v>12374.862009155211</v>
      </c>
      <c r="F466" s="74">
        <f t="shared" si="39"/>
        <v>4115.1289884665784</v>
      </c>
      <c r="G466" s="74">
        <f t="shared" si="40"/>
        <v>-6001.6524817124473</v>
      </c>
      <c r="H466" s="74">
        <f t="shared" si="46"/>
        <v>31423.471924943136</v>
      </c>
      <c r="I466" s="74">
        <f t="shared" si="47"/>
        <v>39003.226175315998</v>
      </c>
      <c r="J466" s="74">
        <f t="shared" si="48"/>
        <v>50086.78707903457</v>
      </c>
      <c r="K466" s="74">
        <f t="shared" si="49"/>
        <v>-8576.5280750568654</v>
      </c>
      <c r="L466" s="74">
        <f t="shared" si="50"/>
        <v>39003.226175315998</v>
      </c>
      <c r="M466" s="74">
        <f t="shared" si="51"/>
        <v>39935.053347968547</v>
      </c>
      <c r="N466" s="74">
        <f t="shared" si="52"/>
        <v>6423.4719249431346</v>
      </c>
      <c r="O466" s="74">
        <f t="shared" si="53"/>
        <v>-15996.773824684005</v>
      </c>
      <c r="P466" s="74">
        <f t="shared" si="54"/>
        <v>17238.264540510685</v>
      </c>
    </row>
    <row r="467" spans="1:16" x14ac:dyDescent="0.3">
      <c r="A467" s="72">
        <f t="shared" si="41"/>
        <v>79</v>
      </c>
      <c r="B467" s="74">
        <f t="shared" si="42"/>
        <v>-14417.310083297689</v>
      </c>
      <c r="C467" s="74">
        <f t="shared" si="43"/>
        <v>-14316.2082911665</v>
      </c>
      <c r="D467" s="74">
        <f t="shared" si="44"/>
        <v>-5987.6763167091103</v>
      </c>
      <c r="E467" s="74">
        <f t="shared" si="45"/>
        <v>9374.035768298987</v>
      </c>
      <c r="F467" s="74">
        <f t="shared" si="39"/>
        <v>3493.3264880684451</v>
      </c>
      <c r="G467" s="74">
        <f t="shared" si="40"/>
        <v>-2862.5878247740425</v>
      </c>
      <c r="H467" s="74">
        <f t="shared" si="46"/>
        <v>34417.310083297692</v>
      </c>
      <c r="I467" s="74">
        <f t="shared" si="47"/>
        <v>34316.208291166498</v>
      </c>
      <c r="J467" s="74">
        <f t="shared" si="48"/>
        <v>48601.989515374669</v>
      </c>
      <c r="K467" s="74">
        <f t="shared" si="49"/>
        <v>-5582.6899167023112</v>
      </c>
      <c r="L467" s="74">
        <f t="shared" si="50"/>
        <v>34316.208291166498</v>
      </c>
      <c r="M467" s="74">
        <f t="shared" si="51"/>
        <v>34767.349312088409</v>
      </c>
      <c r="N467" s="74">
        <f t="shared" si="52"/>
        <v>9417.3100832976888</v>
      </c>
      <c r="O467" s="74">
        <f t="shared" si="53"/>
        <v>-20683.791708833502</v>
      </c>
      <c r="P467" s="74">
        <f t="shared" si="54"/>
        <v>22726.745668031526</v>
      </c>
    </row>
    <row r="468" spans="1:16" x14ac:dyDescent="0.3">
      <c r="A468" s="72">
        <f t="shared" si="41"/>
        <v>79.5</v>
      </c>
      <c r="B468" s="74">
        <f t="shared" si="42"/>
        <v>-16537.816619635134</v>
      </c>
      <c r="C468" s="74">
        <f t="shared" si="43"/>
        <v>-10344.837363210516</v>
      </c>
      <c r="D468" s="74">
        <f t="shared" si="44"/>
        <v>-4241.0130726748876</v>
      </c>
      <c r="E468" s="74">
        <f t="shared" si="45"/>
        <v>7942.741855911966</v>
      </c>
      <c r="F468" s="74">
        <f t="shared" si="39"/>
        <v>3084.1756433674236</v>
      </c>
      <c r="G468" s="74">
        <f t="shared" si="40"/>
        <v>-1054.9659426347816</v>
      </c>
      <c r="H468" s="74">
        <f t="shared" si="46"/>
        <v>36537.816619635138</v>
      </c>
      <c r="I468" s="74">
        <f t="shared" si="47"/>
        <v>30344.837363210514</v>
      </c>
      <c r="J468" s="74">
        <f t="shared" si="48"/>
        <v>47495.486079518996</v>
      </c>
      <c r="K468" s="74">
        <f t="shared" si="49"/>
        <v>-3462.183380364866</v>
      </c>
      <c r="L468" s="74">
        <f t="shared" si="50"/>
        <v>30344.837363210514</v>
      </c>
      <c r="M468" s="74">
        <f t="shared" si="51"/>
        <v>30541.707030861449</v>
      </c>
      <c r="N468" s="74">
        <f t="shared" si="52"/>
        <v>11537.816619635134</v>
      </c>
      <c r="O468" s="74">
        <f t="shared" si="53"/>
        <v>-24655.162636789486</v>
      </c>
      <c r="P468" s="74">
        <f t="shared" si="54"/>
        <v>27221.283162166859</v>
      </c>
    </row>
    <row r="469" spans="1:16" x14ac:dyDescent="0.3">
      <c r="A469" s="72">
        <f t="shared" si="41"/>
        <v>80</v>
      </c>
      <c r="B469" s="74">
        <f t="shared" si="42"/>
        <v>-17887.279245130725</v>
      </c>
      <c r="C469" s="74">
        <f t="shared" si="43"/>
        <v>-6637.2079209132289</v>
      </c>
      <c r="D469" s="74">
        <f t="shared" si="44"/>
        <v>-2698.9252509911757</v>
      </c>
      <c r="E469" s="74">
        <f t="shared" si="45"/>
        <v>7415.2588845945756</v>
      </c>
      <c r="F469" s="74">
        <f t="shared" si="39"/>
        <v>2824.3495428276365</v>
      </c>
      <c r="G469" s="74">
        <f t="shared" si="40"/>
        <v>289.61821514255189</v>
      </c>
      <c r="H469" s="74">
        <f t="shared" si="46"/>
        <v>37887.279245130725</v>
      </c>
      <c r="I469" s="74">
        <f t="shared" si="47"/>
        <v>26637.207920913228</v>
      </c>
      <c r="J469" s="74">
        <f t="shared" si="48"/>
        <v>46314.001926204517</v>
      </c>
      <c r="K469" s="74">
        <f t="shared" si="49"/>
        <v>-2112.720754869275</v>
      </c>
      <c r="L469" s="74">
        <f t="shared" si="50"/>
        <v>26637.207920913228</v>
      </c>
      <c r="M469" s="74">
        <f t="shared" si="51"/>
        <v>26720.861415942745</v>
      </c>
      <c r="N469" s="74">
        <f t="shared" si="52"/>
        <v>12887.279245130725</v>
      </c>
      <c r="O469" s="74">
        <f t="shared" si="53"/>
        <v>-28362.792079086772</v>
      </c>
      <c r="P469" s="74">
        <f t="shared" si="54"/>
        <v>31153.329530942348</v>
      </c>
    </row>
    <row r="470" spans="1:16" x14ac:dyDescent="0.3">
      <c r="A470" s="72">
        <f t="shared" si="41"/>
        <v>80.5</v>
      </c>
      <c r="B470" s="74">
        <f t="shared" si="42"/>
        <v>-18530.654484919403</v>
      </c>
      <c r="C470" s="74">
        <f t="shared" si="43"/>
        <v>-2857.1739248303029</v>
      </c>
      <c r="D470" s="74">
        <f t="shared" si="44"/>
        <v>-1286.7504795773575</v>
      </c>
      <c r="E470" s="74">
        <f t="shared" si="45"/>
        <v>7560.067992165852</v>
      </c>
      <c r="F470" s="74">
        <f t="shared" si="39"/>
        <v>2634.9086441274681</v>
      </c>
      <c r="G470" s="74">
        <f t="shared" si="40"/>
        <v>1603.1574121590779</v>
      </c>
      <c r="H470" s="74">
        <f t="shared" si="46"/>
        <v>38530.654484919403</v>
      </c>
      <c r="I470" s="74">
        <f t="shared" si="47"/>
        <v>22857.173924830302</v>
      </c>
      <c r="J470" s="74">
        <f t="shared" si="48"/>
        <v>44800.242575974764</v>
      </c>
      <c r="K470" s="74">
        <f t="shared" si="49"/>
        <v>-1469.3455150805967</v>
      </c>
      <c r="L470" s="74">
        <f t="shared" si="50"/>
        <v>22857.173924830302</v>
      </c>
      <c r="M470" s="74">
        <f t="shared" si="51"/>
        <v>22904.352775676281</v>
      </c>
      <c r="N470" s="74">
        <f t="shared" si="52"/>
        <v>13530.654484919403</v>
      </c>
      <c r="O470" s="74">
        <f t="shared" si="53"/>
        <v>-32142.826075169698</v>
      </c>
      <c r="P470" s="74">
        <f t="shared" si="54"/>
        <v>34874.63087817387</v>
      </c>
    </row>
    <row r="471" spans="1:16" x14ac:dyDescent="0.3">
      <c r="A471" s="72">
        <f t="shared" si="41"/>
        <v>81</v>
      </c>
      <c r="B471" s="74">
        <f t="shared" si="42"/>
        <v>-18515.302563676214</v>
      </c>
      <c r="C471" s="74">
        <f t="shared" si="43"/>
        <v>1323.6494242923927</v>
      </c>
      <c r="D471" s="74">
        <f t="shared" si="44"/>
        <v>30.703842486376516</v>
      </c>
      <c r="E471" s="74">
        <f t="shared" si="45"/>
        <v>8361.6466982453912</v>
      </c>
      <c r="F471" s="74">
        <f t="shared" si="39"/>
        <v>2405.7045091722289</v>
      </c>
      <c r="G471" s="74">
        <f t="shared" si="40"/>
        <v>3285.9377829363339</v>
      </c>
      <c r="H471" s="74">
        <f t="shared" si="46"/>
        <v>38515.302563676218</v>
      </c>
      <c r="I471" s="74">
        <f t="shared" si="47"/>
        <v>18676.350575707605</v>
      </c>
      <c r="J471" s="74">
        <f t="shared" si="48"/>
        <v>42804.609592872795</v>
      </c>
      <c r="K471" s="74">
        <f t="shared" si="49"/>
        <v>-1484.697436323786</v>
      </c>
      <c r="L471" s="74">
        <f t="shared" si="50"/>
        <v>18676.350575707605</v>
      </c>
      <c r="M471" s="74">
        <f t="shared" si="51"/>
        <v>18735.27147666028</v>
      </c>
      <c r="N471" s="74">
        <f t="shared" si="52"/>
        <v>13515.302563676214</v>
      </c>
      <c r="O471" s="74">
        <f t="shared" si="53"/>
        <v>-36323.649424292395</v>
      </c>
      <c r="P471" s="74">
        <f t="shared" si="54"/>
        <v>38756.559585270334</v>
      </c>
    </row>
    <row r="472" spans="1:16" x14ac:dyDescent="0.3">
      <c r="A472" s="72">
        <f t="shared" si="41"/>
        <v>81.5</v>
      </c>
      <c r="B472" s="74">
        <f t="shared" si="42"/>
        <v>-17898.524515139969</v>
      </c>
      <c r="C472" s="74">
        <f t="shared" si="43"/>
        <v>6325.9572191491716</v>
      </c>
      <c r="D472" s="74">
        <f t="shared" si="44"/>
        <v>1233.556097072491</v>
      </c>
      <c r="E472" s="74">
        <f t="shared" si="45"/>
        <v>10004.615589713558</v>
      </c>
      <c r="F472" s="74">
        <f t="shared" si="39"/>
        <v>1730.8098980261975</v>
      </c>
      <c r="G472" s="74">
        <f t="shared" si="40"/>
        <v>6012.3750091495849</v>
      </c>
      <c r="H472" s="74">
        <f t="shared" si="46"/>
        <v>37898.524515139972</v>
      </c>
      <c r="I472" s="74">
        <f t="shared" si="47"/>
        <v>13674.042780850828</v>
      </c>
      <c r="J472" s="74">
        <f t="shared" si="48"/>
        <v>40289.919414131422</v>
      </c>
      <c r="K472" s="74">
        <f t="shared" si="49"/>
        <v>-2101.4754848600314</v>
      </c>
      <c r="L472" s="74">
        <f t="shared" si="50"/>
        <v>13674.042780850828</v>
      </c>
      <c r="M472" s="74">
        <f t="shared" si="51"/>
        <v>13834.581496597804</v>
      </c>
      <c r="N472" s="74">
        <f t="shared" si="52"/>
        <v>12898.524515139969</v>
      </c>
      <c r="O472" s="74">
        <f t="shared" si="53"/>
        <v>-41325.957219149175</v>
      </c>
      <c r="P472" s="74">
        <f t="shared" si="54"/>
        <v>43292.108689074208</v>
      </c>
    </row>
    <row r="473" spans="1:16" x14ac:dyDescent="0.3">
      <c r="A473" s="72">
        <f t="shared" si="41"/>
        <v>82</v>
      </c>
      <c r="B473" s="74">
        <f t="shared" si="42"/>
        <v>-16849.043992097173</v>
      </c>
      <c r="C473" s="74">
        <f t="shared" si="43"/>
        <v>12831.358766293346</v>
      </c>
      <c r="D473" s="74">
        <f t="shared" si="44"/>
        <v>2098.9610460855897</v>
      </c>
      <c r="E473" s="74">
        <f t="shared" si="45"/>
        <v>13010.803094288351</v>
      </c>
      <c r="F473" s="74">
        <f t="shared" si="39"/>
        <v>-1794.0665165462601</v>
      </c>
      <c r="G473" s="74">
        <f t="shared" si="40"/>
        <v>9895.1895468045204</v>
      </c>
      <c r="H473" s="74">
        <f t="shared" si="46"/>
        <v>36849.043992097169</v>
      </c>
      <c r="I473" s="74">
        <f t="shared" si="47"/>
        <v>7168.641233706654</v>
      </c>
      <c r="J473" s="74">
        <f t="shared" si="48"/>
        <v>37539.864947401074</v>
      </c>
      <c r="K473" s="74">
        <f t="shared" si="49"/>
        <v>-3150.956007902827</v>
      </c>
      <c r="L473" s="74">
        <f t="shared" si="50"/>
        <v>7168.641233706654</v>
      </c>
      <c r="M473" s="74">
        <f t="shared" si="51"/>
        <v>7830.5773031966282</v>
      </c>
      <c r="N473" s="74">
        <f t="shared" si="52"/>
        <v>11849.043992097173</v>
      </c>
      <c r="O473" s="74">
        <f t="shared" si="53"/>
        <v>-47831.358766293342</v>
      </c>
      <c r="P473" s="74">
        <f t="shared" si="54"/>
        <v>49277.162306250153</v>
      </c>
    </row>
    <row r="474" spans="1:16" x14ac:dyDescent="0.3">
      <c r="A474" s="72">
        <f t="shared" si="41"/>
        <v>82.5</v>
      </c>
      <c r="B474" s="74">
        <f t="shared" si="42"/>
        <v>-16248.080098190943</v>
      </c>
      <c r="C474" s="74">
        <f t="shared" si="43"/>
        <v>21810.557700138652</v>
      </c>
      <c r="D474" s="74">
        <f t="shared" si="44"/>
        <v>1201.9277878124597</v>
      </c>
      <c r="E474" s="74">
        <f t="shared" si="45"/>
        <v>17958.397867690612</v>
      </c>
      <c r="F474" s="74">
        <f t="shared" si="39"/>
        <v>-7887.6282849725485</v>
      </c>
      <c r="G474" s="74">
        <f t="shared" si="40"/>
        <v>-6606.1507042161002</v>
      </c>
      <c r="H474" s="74">
        <f t="shared" si="46"/>
        <v>36248.080098190941</v>
      </c>
      <c r="I474" s="74">
        <f t="shared" si="47"/>
        <v>-1810.5577001386519</v>
      </c>
      <c r="J474" s="74">
        <f t="shared" si="48"/>
        <v>36293.26976162933</v>
      </c>
      <c r="K474" s="74">
        <f t="shared" si="49"/>
        <v>-3751.9199018090567</v>
      </c>
      <c r="L474" s="74">
        <f t="shared" si="50"/>
        <v>-1810.5577001386519</v>
      </c>
      <c r="M474" s="74">
        <f t="shared" si="51"/>
        <v>4165.9359254700794</v>
      </c>
      <c r="N474" s="74">
        <f t="shared" si="52"/>
        <v>11248.080098190943</v>
      </c>
      <c r="O474" s="74">
        <f t="shared" si="53"/>
        <v>-56810.557700138655</v>
      </c>
      <c r="P474" s="74">
        <f t="shared" si="54"/>
        <v>57913.372998782434</v>
      </c>
    </row>
    <row r="475" spans="1:16" x14ac:dyDescent="0.3">
      <c r="A475" s="72">
        <f t="shared" si="41"/>
        <v>83</v>
      </c>
      <c r="B475" s="74">
        <f t="shared" si="42"/>
        <v>-17619.023275527852</v>
      </c>
      <c r="C475" s="74">
        <f t="shared" si="43"/>
        <v>29138.218957929934</v>
      </c>
      <c r="D475" s="74">
        <f t="shared" si="44"/>
        <v>-2741.8863546738148</v>
      </c>
      <c r="E475" s="74">
        <f t="shared" si="45"/>
        <v>14655.322515582562</v>
      </c>
      <c r="F475" s="74">
        <f t="shared" si="39"/>
        <v>-45.605692917385085</v>
      </c>
      <c r="G475" s="74">
        <f t="shared" si="40"/>
        <v>-11865.816676531267</v>
      </c>
      <c r="H475" s="74">
        <f t="shared" si="46"/>
        <v>37619.023275527856</v>
      </c>
      <c r="I475" s="74">
        <f t="shared" si="47"/>
        <v>-9138.2189579299338</v>
      </c>
      <c r="J475" s="74">
        <f t="shared" si="48"/>
        <v>38713.020521883547</v>
      </c>
      <c r="K475" s="74">
        <f t="shared" si="49"/>
        <v>-2380.9767244721479</v>
      </c>
      <c r="L475" s="74">
        <f t="shared" si="50"/>
        <v>-9138.2189579299338</v>
      </c>
      <c r="M475" s="74">
        <f t="shared" si="51"/>
        <v>9443.3095832736599</v>
      </c>
      <c r="N475" s="74">
        <f t="shared" si="52"/>
        <v>12619.023275527852</v>
      </c>
      <c r="O475" s="74">
        <f t="shared" si="53"/>
        <v>-64138.21895792993</v>
      </c>
      <c r="P475" s="74">
        <f t="shared" si="54"/>
        <v>65367.812258967911</v>
      </c>
    </row>
    <row r="476" spans="1:16" x14ac:dyDescent="0.3">
      <c r="A476" s="72">
        <f t="shared" si="41"/>
        <v>83.5</v>
      </c>
      <c r="B476" s="74">
        <f t="shared" si="42"/>
        <v>-19001.367876094104</v>
      </c>
      <c r="C476" s="74">
        <f t="shared" si="43"/>
        <v>33499.426046588393</v>
      </c>
      <c r="D476" s="74">
        <f t="shared" si="44"/>
        <v>-2764.6892011325072</v>
      </c>
      <c r="E476" s="74">
        <f t="shared" si="45"/>
        <v>8722.4141773169285</v>
      </c>
      <c r="F476" s="74">
        <f t="shared" si="39"/>
        <v>1748.826346736761</v>
      </c>
      <c r="G476" s="74">
        <f t="shared" si="40"/>
        <v>-9000.4501084116764</v>
      </c>
      <c r="H476" s="74">
        <f t="shared" si="46"/>
        <v>39001.367876094104</v>
      </c>
      <c r="I476" s="74">
        <f t="shared" si="47"/>
        <v>-13499.426046588393</v>
      </c>
      <c r="J476" s="74">
        <f t="shared" si="48"/>
        <v>41271.554366097414</v>
      </c>
      <c r="K476" s="74">
        <f t="shared" si="49"/>
        <v>-998.63212390589615</v>
      </c>
      <c r="L476" s="74">
        <f t="shared" si="50"/>
        <v>-13499.426046588393</v>
      </c>
      <c r="M476" s="74">
        <f t="shared" si="51"/>
        <v>13536.313002668265</v>
      </c>
      <c r="N476" s="74">
        <f t="shared" si="52"/>
        <v>14001.367876094104</v>
      </c>
      <c r="O476" s="74">
        <f t="shared" si="53"/>
        <v>-68499.4260465884</v>
      </c>
      <c r="P476" s="74">
        <f t="shared" si="54"/>
        <v>69915.732643760188</v>
      </c>
    </row>
    <row r="477" spans="1:16" x14ac:dyDescent="0.3">
      <c r="A477" s="72">
        <f t="shared" si="41"/>
        <v>84</v>
      </c>
      <c r="B477" s="74">
        <f t="shared" si="42"/>
        <v>-19946.505889976168</v>
      </c>
      <c r="C477" s="74">
        <f t="shared" si="43"/>
        <v>35610.520608143939</v>
      </c>
      <c r="D477" s="74">
        <f t="shared" si="44"/>
        <v>-1890.2760277641266</v>
      </c>
      <c r="E477" s="74">
        <f t="shared" si="45"/>
        <v>4222.1891231110903</v>
      </c>
      <c r="F477" s="74">
        <f t="shared" si="39"/>
        <v>2099.7071645854999</v>
      </c>
      <c r="G477" s="74">
        <f t="shared" si="40"/>
        <v>-7733.1757357461374</v>
      </c>
      <c r="H477" s="74">
        <f t="shared" si="46"/>
        <v>39946.505889976164</v>
      </c>
      <c r="I477" s="74">
        <f t="shared" si="47"/>
        <v>-15610.520608143939</v>
      </c>
      <c r="J477" s="74">
        <f t="shared" si="48"/>
        <v>42888.363065931851</v>
      </c>
      <c r="K477" s="74">
        <f t="shared" si="49"/>
        <v>-53.494110023832036</v>
      </c>
      <c r="L477" s="74">
        <f t="shared" si="50"/>
        <v>-15610.520608143939</v>
      </c>
      <c r="M477" s="74">
        <f t="shared" si="51"/>
        <v>15610.612264645288</v>
      </c>
      <c r="N477" s="74">
        <f t="shared" si="52"/>
        <v>14946.505889976168</v>
      </c>
      <c r="O477" s="74">
        <f t="shared" si="53"/>
        <v>-70610.520608143939</v>
      </c>
      <c r="P477" s="74">
        <f t="shared" si="54"/>
        <v>72175.090293481524</v>
      </c>
    </row>
    <row r="478" spans="1:16" x14ac:dyDescent="0.3">
      <c r="A478" s="72">
        <f t="shared" si="41"/>
        <v>84.5</v>
      </c>
      <c r="B478" s="74">
        <f t="shared" si="42"/>
        <v>-20366.717112711856</v>
      </c>
      <c r="C478" s="74">
        <f t="shared" si="43"/>
        <v>35788.321235762953</v>
      </c>
      <c r="D478" s="74">
        <f t="shared" si="44"/>
        <v>-840.4224454713767</v>
      </c>
      <c r="E478" s="74">
        <f t="shared" si="45"/>
        <v>355.60125523802162</v>
      </c>
      <c r="F478" s="74">
        <f t="shared" si="39"/>
        <v>2227.3774742705018</v>
      </c>
      <c r="G478" s="74">
        <f t="shared" si="40"/>
        <v>-7612.5722933156485</v>
      </c>
      <c r="H478" s="74">
        <f t="shared" si="46"/>
        <v>40366.717112711856</v>
      </c>
      <c r="I478" s="74">
        <f t="shared" si="47"/>
        <v>-15788.321235762953</v>
      </c>
      <c r="J478" s="74">
        <f t="shared" si="48"/>
        <v>43344.468365655928</v>
      </c>
      <c r="K478" s="74">
        <f t="shared" si="49"/>
        <v>366.71711271185632</v>
      </c>
      <c r="L478" s="74">
        <f t="shared" si="50"/>
        <v>-15788.321235762953</v>
      </c>
      <c r="M478" s="74">
        <f t="shared" si="51"/>
        <v>15792.579551308239</v>
      </c>
      <c r="N478" s="74">
        <f t="shared" si="52"/>
        <v>15366.717112711856</v>
      </c>
      <c r="O478" s="74">
        <f t="shared" si="53"/>
        <v>-70788.321235762953</v>
      </c>
      <c r="P478" s="74">
        <f t="shared" si="54"/>
        <v>72437.023808268656</v>
      </c>
    </row>
    <row r="479" spans="1:16" x14ac:dyDescent="0.3">
      <c r="A479" s="72">
        <f t="shared" si="41"/>
        <v>85</v>
      </c>
      <c r="B479" s="74">
        <f t="shared" si="42"/>
        <v>-20230.08396687992</v>
      </c>
      <c r="C479" s="74">
        <f t="shared" si="43"/>
        <v>34062.978790053057</v>
      </c>
      <c r="D479" s="74">
        <f t="shared" si="44"/>
        <v>273.2662916638742</v>
      </c>
      <c r="E479" s="74">
        <f t="shared" si="45"/>
        <v>-3450.6848914198026</v>
      </c>
      <c r="F479" s="74">
        <f t="shared" si="39"/>
        <v>2300.5021202833823</v>
      </c>
      <c r="G479" s="74">
        <f t="shared" si="40"/>
        <v>-8615.354838023226</v>
      </c>
      <c r="H479" s="74">
        <f t="shared" si="46"/>
        <v>40230.083966879916</v>
      </c>
      <c r="I479" s="74">
        <f t="shared" si="47"/>
        <v>-14062.978790053057</v>
      </c>
      <c r="J479" s="74">
        <f t="shared" si="48"/>
        <v>42617.215165138259</v>
      </c>
      <c r="K479" s="74">
        <f t="shared" si="49"/>
        <v>230.0839668799199</v>
      </c>
      <c r="L479" s="74">
        <f t="shared" si="50"/>
        <v>-14062.978790053057</v>
      </c>
      <c r="M479" s="74">
        <f t="shared" si="51"/>
        <v>14064.860862493355</v>
      </c>
      <c r="N479" s="74">
        <f t="shared" si="52"/>
        <v>15230.08396687992</v>
      </c>
      <c r="O479" s="74">
        <f t="shared" si="53"/>
        <v>-69062.97879005305</v>
      </c>
      <c r="P479" s="74">
        <f t="shared" si="54"/>
        <v>70722.347931849174</v>
      </c>
    </row>
    <row r="480" spans="1:16" x14ac:dyDescent="0.3">
      <c r="A480" s="72">
        <f t="shared" si="41"/>
        <v>85.5</v>
      </c>
      <c r="B480" s="74">
        <f t="shared" si="42"/>
        <v>-19518.325290977136</v>
      </c>
      <c r="C480" s="74">
        <f t="shared" si="43"/>
        <v>30183.797634837349</v>
      </c>
      <c r="D480" s="74">
        <f t="shared" si="44"/>
        <v>1423.5173518055653</v>
      </c>
      <c r="E480" s="74">
        <f t="shared" si="45"/>
        <v>-7758.3623104314156</v>
      </c>
      <c r="F480" s="74">
        <f t="shared" si="39"/>
        <v>1954.4803088056794</v>
      </c>
      <c r="G480" s="74">
        <f t="shared" si="40"/>
        <v>-11497.176501051863</v>
      </c>
      <c r="H480" s="74">
        <f t="shared" si="46"/>
        <v>39518.32529097714</v>
      </c>
      <c r="I480" s="74">
        <f t="shared" si="47"/>
        <v>-10183.797634837349</v>
      </c>
      <c r="J480" s="74">
        <f t="shared" si="48"/>
        <v>40809.407837786646</v>
      </c>
      <c r="K480" s="74">
        <f t="shared" si="49"/>
        <v>-481.67470902286368</v>
      </c>
      <c r="L480" s="74">
        <f t="shared" si="50"/>
        <v>-10183.797634837349</v>
      </c>
      <c r="M480" s="74">
        <f t="shared" si="51"/>
        <v>10195.182430571364</v>
      </c>
      <c r="N480" s="74">
        <f t="shared" si="52"/>
        <v>14518.325290977136</v>
      </c>
      <c r="O480" s="74">
        <f t="shared" si="53"/>
        <v>-65183.797634837349</v>
      </c>
      <c r="P480" s="74">
        <f t="shared" si="54"/>
        <v>66781.054524124236</v>
      </c>
    </row>
    <row r="481" spans="1:16" x14ac:dyDescent="0.3">
      <c r="A481" s="72">
        <f t="shared" si="41"/>
        <v>86</v>
      </c>
      <c r="B481" s="74">
        <f t="shared" si="42"/>
        <v>-18317.946537872933</v>
      </c>
      <c r="C481" s="74">
        <f t="shared" si="43"/>
        <v>23430.322354358676</v>
      </c>
      <c r="D481" s="74">
        <f t="shared" si="44"/>
        <v>2400.7575062084052</v>
      </c>
      <c r="E481" s="74">
        <f t="shared" si="45"/>
        <v>-13506.950560957346</v>
      </c>
      <c r="F481" s="74">
        <f t="shared" si="39"/>
        <v>-2372.8680463647579</v>
      </c>
      <c r="G481" s="74">
        <f t="shared" si="40"/>
        <v>-11878.230571382306</v>
      </c>
      <c r="H481" s="74">
        <f t="shared" si="46"/>
        <v>38317.946537872936</v>
      </c>
      <c r="I481" s="74">
        <f t="shared" si="47"/>
        <v>-3430.3223543586755</v>
      </c>
      <c r="J481" s="74">
        <f t="shared" si="48"/>
        <v>38471.185819182923</v>
      </c>
      <c r="K481" s="74">
        <f t="shared" si="49"/>
        <v>-1682.0534621270672</v>
      </c>
      <c r="L481" s="74">
        <f t="shared" si="50"/>
        <v>-3430.3223543586755</v>
      </c>
      <c r="M481" s="74">
        <f t="shared" si="51"/>
        <v>3820.5255272366003</v>
      </c>
      <c r="N481" s="74">
        <f t="shared" si="52"/>
        <v>13317.946537872933</v>
      </c>
      <c r="O481" s="74">
        <f t="shared" si="53"/>
        <v>-58430.322354358679</v>
      </c>
      <c r="P481" s="74">
        <f t="shared" si="54"/>
        <v>59928.876765878973</v>
      </c>
    </row>
    <row r="482" spans="1:16" x14ac:dyDescent="0.3">
      <c r="A482" s="72">
        <f t="shared" si="41"/>
        <v>86.5</v>
      </c>
      <c r="B482" s="74">
        <f t="shared" si="42"/>
        <v>-17710.78479635992</v>
      </c>
      <c r="C482" s="74">
        <f t="shared" si="43"/>
        <v>13707.289431034425</v>
      </c>
      <c r="D482" s="74">
        <f t="shared" si="44"/>
        <v>1214.3234830260262</v>
      </c>
      <c r="E482" s="74">
        <f t="shared" si="45"/>
        <v>-19446.0658466485</v>
      </c>
      <c r="F482" s="74">
        <f t="shared" si="39"/>
        <v>-1370.4690648806231</v>
      </c>
      <c r="G482" s="74">
        <f t="shared" si="40"/>
        <v>10803.430153282023</v>
      </c>
      <c r="H482" s="74">
        <f t="shared" si="46"/>
        <v>37710.78479635992</v>
      </c>
      <c r="I482" s="74">
        <f t="shared" si="47"/>
        <v>6292.7105689655746</v>
      </c>
      <c r="J482" s="74">
        <f t="shared" si="48"/>
        <v>38232.204962075382</v>
      </c>
      <c r="K482" s="74">
        <f t="shared" si="49"/>
        <v>-2289.2152036400803</v>
      </c>
      <c r="L482" s="74">
        <f t="shared" si="50"/>
        <v>6292.7105689655746</v>
      </c>
      <c r="M482" s="74">
        <f t="shared" si="51"/>
        <v>6696.1714847626126</v>
      </c>
      <c r="N482" s="74">
        <f t="shared" si="52"/>
        <v>12710.78479635992</v>
      </c>
      <c r="O482" s="74">
        <f t="shared" si="53"/>
        <v>-48707.289431034427</v>
      </c>
      <c r="P482" s="74">
        <f t="shared" si="54"/>
        <v>50338.495148920891</v>
      </c>
    </row>
    <row r="483" spans="1:16" x14ac:dyDescent="0.3">
      <c r="A483" s="72">
        <f t="shared" si="41"/>
        <v>87</v>
      </c>
      <c r="B483" s="74">
        <f t="shared" si="42"/>
        <v>-17446.240321067064</v>
      </c>
      <c r="C483" s="74">
        <f t="shared" si="43"/>
        <v>6685.1140460306815</v>
      </c>
      <c r="D483" s="74">
        <f t="shared" si="44"/>
        <v>529.08895058571466</v>
      </c>
      <c r="E483" s="74">
        <f t="shared" si="45"/>
        <v>-14044.350770007488</v>
      </c>
      <c r="F483" s="74">
        <f t="shared" si="39"/>
        <v>1461.0497321802923</v>
      </c>
      <c r="G483" s="74">
        <f t="shared" si="40"/>
        <v>6167.3718922401513</v>
      </c>
      <c r="H483" s="74">
        <f t="shared" si="46"/>
        <v>37446.24032106706</v>
      </c>
      <c r="I483" s="74">
        <f t="shared" si="47"/>
        <v>13314.885953969319</v>
      </c>
      <c r="J483" s="74">
        <f t="shared" si="48"/>
        <v>39743.013249504853</v>
      </c>
      <c r="K483" s="74">
        <f t="shared" si="49"/>
        <v>-2553.7596789329364</v>
      </c>
      <c r="L483" s="74">
        <f t="shared" si="50"/>
        <v>13314.885953969319</v>
      </c>
      <c r="M483" s="74">
        <f t="shared" si="51"/>
        <v>13557.576349220872</v>
      </c>
      <c r="N483" s="74">
        <f t="shared" si="52"/>
        <v>12446.240321067064</v>
      </c>
      <c r="O483" s="74">
        <f t="shared" si="53"/>
        <v>-41685.114046030678</v>
      </c>
      <c r="P483" s="74">
        <f t="shared" si="54"/>
        <v>43503.535846645151</v>
      </c>
    </row>
    <row r="484" spans="1:16" x14ac:dyDescent="0.3">
      <c r="A484" s="72">
        <f t="shared" si="41"/>
        <v>87.5</v>
      </c>
      <c r="B484" s="74">
        <f t="shared" si="42"/>
        <v>-16816.433412729133</v>
      </c>
      <c r="C484" s="74">
        <f t="shared" si="43"/>
        <v>1204.7816340869754</v>
      </c>
      <c r="D484" s="74">
        <f t="shared" si="44"/>
        <v>1259.6138166758608</v>
      </c>
      <c r="E484" s="74">
        <f t="shared" si="45"/>
        <v>-10960.664823887411</v>
      </c>
      <c r="F484" s="74">
        <f t="shared" si="39"/>
        <v>2042.8775474439517</v>
      </c>
      <c r="G484" s="74">
        <f t="shared" si="40"/>
        <v>3101.3716598622091</v>
      </c>
      <c r="H484" s="74">
        <f t="shared" si="46"/>
        <v>36816.433412729137</v>
      </c>
      <c r="I484" s="74">
        <f t="shared" si="47"/>
        <v>18795.218365913024</v>
      </c>
      <c r="J484" s="74">
        <f t="shared" si="48"/>
        <v>41336.545606234111</v>
      </c>
      <c r="K484" s="74">
        <f t="shared" si="49"/>
        <v>-3183.5665872708669</v>
      </c>
      <c r="L484" s="74">
        <f t="shared" si="50"/>
        <v>18795.218365913024</v>
      </c>
      <c r="M484" s="74">
        <f t="shared" si="51"/>
        <v>19062.930772521358</v>
      </c>
      <c r="N484" s="74">
        <f t="shared" si="52"/>
        <v>11816.433412729133</v>
      </c>
      <c r="O484" s="74">
        <f t="shared" si="53"/>
        <v>-36204.781634086976</v>
      </c>
      <c r="P484" s="74">
        <f t="shared" si="54"/>
        <v>38084.305320819272</v>
      </c>
    </row>
    <row r="485" spans="1:16" x14ac:dyDescent="0.3">
      <c r="A485" s="72">
        <f t="shared" si="41"/>
        <v>88</v>
      </c>
      <c r="B485" s="74">
        <f t="shared" si="42"/>
        <v>-15675.907117530214</v>
      </c>
      <c r="C485" s="74">
        <f t="shared" si="43"/>
        <v>-3500.2078628911777</v>
      </c>
      <c r="D485" s="74">
        <f t="shared" si="44"/>
        <v>2281.0525903978369</v>
      </c>
      <c r="E485" s="74">
        <f t="shared" si="45"/>
        <v>-9409.978993956307</v>
      </c>
      <c r="F485" s="74">
        <f t="shared" si="39"/>
        <v>2257.1886489400849</v>
      </c>
      <c r="G485" s="74">
        <f t="shared" si="40"/>
        <v>1165.8575367247827</v>
      </c>
      <c r="H485" s="74">
        <f t="shared" si="46"/>
        <v>35675.907117530216</v>
      </c>
      <c r="I485" s="74">
        <f t="shared" si="47"/>
        <v>23500.207862891177</v>
      </c>
      <c r="J485" s="74">
        <f t="shared" si="48"/>
        <v>42720.371232676989</v>
      </c>
      <c r="K485" s="74">
        <f t="shared" si="49"/>
        <v>-4324.0928824697858</v>
      </c>
      <c r="L485" s="74">
        <f t="shared" si="50"/>
        <v>23500.207862891177</v>
      </c>
      <c r="M485" s="74">
        <f t="shared" si="51"/>
        <v>23894.718011630062</v>
      </c>
      <c r="N485" s="74">
        <f t="shared" si="52"/>
        <v>10675.907117530214</v>
      </c>
      <c r="O485" s="74">
        <f t="shared" si="53"/>
        <v>-31499.792137108823</v>
      </c>
      <c r="P485" s="74">
        <f t="shared" si="54"/>
        <v>33259.763941783996</v>
      </c>
    </row>
    <row r="486" spans="1:16" x14ac:dyDescent="0.3">
      <c r="A486" s="72">
        <f t="shared" si="41"/>
        <v>88.5</v>
      </c>
      <c r="B486" s="74">
        <f t="shared" si="42"/>
        <v>-13971.083660096274</v>
      </c>
      <c r="C486" s="74">
        <f t="shared" si="43"/>
        <v>-7913.7329756881354</v>
      </c>
      <c r="D486" s="74">
        <f t="shared" si="44"/>
        <v>3409.6469148678793</v>
      </c>
      <c r="E486" s="74">
        <f t="shared" si="45"/>
        <v>-8827.0502255939155</v>
      </c>
      <c r="F486" s="74">
        <f t="shared" si="39"/>
        <v>2416.0048765189431</v>
      </c>
      <c r="G486" s="74">
        <f t="shared" si="40"/>
        <v>-534.53399093285952</v>
      </c>
      <c r="H486" s="74">
        <f t="shared" si="46"/>
        <v>33971.083660096272</v>
      </c>
      <c r="I486" s="74">
        <f t="shared" si="47"/>
        <v>27913.732975688137</v>
      </c>
      <c r="J486" s="74">
        <f t="shared" si="48"/>
        <v>43968.29555121826</v>
      </c>
      <c r="K486" s="74">
        <f t="shared" si="49"/>
        <v>-6028.9163399037261</v>
      </c>
      <c r="L486" s="74">
        <f t="shared" si="50"/>
        <v>27913.732975688137</v>
      </c>
      <c r="M486" s="74">
        <f t="shared" si="51"/>
        <v>28557.38645029649</v>
      </c>
      <c r="N486" s="74">
        <f t="shared" si="52"/>
        <v>8971.0836600962739</v>
      </c>
      <c r="O486" s="74">
        <f t="shared" si="53"/>
        <v>-27086.267024311863</v>
      </c>
      <c r="P486" s="74">
        <f t="shared" si="54"/>
        <v>28533.247332695424</v>
      </c>
    </row>
    <row r="487" spans="1:16" x14ac:dyDescent="0.3">
      <c r="A487" s="72">
        <f t="shared" si="41"/>
        <v>89</v>
      </c>
      <c r="B487" s="74">
        <f t="shared" si="42"/>
        <v>-11662.258983532598</v>
      </c>
      <c r="C487" s="74">
        <f t="shared" si="43"/>
        <v>-12460.891586218309</v>
      </c>
      <c r="D487" s="74">
        <f t="shared" si="44"/>
        <v>4617.6493531273509</v>
      </c>
      <c r="E487" s="74">
        <f t="shared" si="45"/>
        <v>-9094.3172210603443</v>
      </c>
      <c r="F487" s="74">
        <f t="shared" si="39"/>
        <v>2562.2237717076159</v>
      </c>
      <c r="G487" s="74">
        <f t="shared" si="40"/>
        <v>-2605.8694841787778</v>
      </c>
      <c r="H487" s="74">
        <f t="shared" si="46"/>
        <v>31662.2589835326</v>
      </c>
      <c r="I487" s="74">
        <f t="shared" si="47"/>
        <v>32460.891586218309</v>
      </c>
      <c r="J487" s="74">
        <f t="shared" si="48"/>
        <v>45345.431153673126</v>
      </c>
      <c r="K487" s="74">
        <f t="shared" si="49"/>
        <v>-8337.741016467402</v>
      </c>
      <c r="L487" s="74">
        <f t="shared" si="50"/>
        <v>32460.891586218309</v>
      </c>
      <c r="M487" s="74">
        <f t="shared" si="51"/>
        <v>33514.585001606414</v>
      </c>
      <c r="N487" s="74">
        <f t="shared" si="52"/>
        <v>6662.258983532598</v>
      </c>
      <c r="O487" s="74">
        <f t="shared" si="53"/>
        <v>-22539.108413781691</v>
      </c>
      <c r="P487" s="74">
        <f t="shared" si="54"/>
        <v>23503.129639515359</v>
      </c>
    </row>
    <row r="488" spans="1:16" x14ac:dyDescent="0.3">
      <c r="A488" s="72">
        <f t="shared" si="41"/>
        <v>89.5</v>
      </c>
      <c r="B488" s="74">
        <f t="shared" si="42"/>
        <v>-8712.8783640420188</v>
      </c>
      <c r="C488" s="74">
        <f t="shared" si="43"/>
        <v>-17659.517567793177</v>
      </c>
      <c r="D488" s="74">
        <f t="shared" si="44"/>
        <v>5898.7612389811584</v>
      </c>
      <c r="E488" s="74">
        <f t="shared" si="45"/>
        <v>-10397.251963149733</v>
      </c>
      <c r="F488" s="74">
        <f t="shared" si="39"/>
        <v>2528.9666474763908</v>
      </c>
      <c r="G488" s="74">
        <f t="shared" si="40"/>
        <v>-5966.0246300694034</v>
      </c>
      <c r="H488" s="74">
        <f t="shared" si="46"/>
        <v>28712.878364042019</v>
      </c>
      <c r="I488" s="74">
        <f t="shared" si="47"/>
        <v>37659.517567793177</v>
      </c>
      <c r="J488" s="74">
        <f t="shared" si="48"/>
        <v>47356.822606538917</v>
      </c>
      <c r="K488" s="74">
        <f t="shared" si="49"/>
        <v>-11287.121635957981</v>
      </c>
      <c r="L488" s="74">
        <f t="shared" si="50"/>
        <v>37659.517567793177</v>
      </c>
      <c r="M488" s="74">
        <f t="shared" si="51"/>
        <v>39314.607695662358</v>
      </c>
      <c r="N488" s="74">
        <f t="shared" si="52"/>
        <v>3712.8783640420188</v>
      </c>
      <c r="O488" s="74">
        <f t="shared" si="53"/>
        <v>-17340.482432206823</v>
      </c>
      <c r="P488" s="74">
        <f t="shared" si="54"/>
        <v>17733.521836562664</v>
      </c>
    </row>
    <row r="489" spans="1:16" x14ac:dyDescent="0.3">
      <c r="A489" s="72">
        <f t="shared" si="41"/>
        <v>90</v>
      </c>
      <c r="B489" s="74">
        <f t="shared" si="42"/>
        <v>-5131.2560826823419</v>
      </c>
      <c r="C489" s="74">
        <f t="shared" si="43"/>
        <v>-24349.649706885393</v>
      </c>
      <c r="D489" s="74">
        <f t="shared" si="44"/>
        <v>7163.2445627193538</v>
      </c>
      <c r="E489" s="74">
        <f t="shared" si="45"/>
        <v>-13380.264278184433</v>
      </c>
      <c r="F489" s="74">
        <f t="shared" si="39"/>
        <v>628.89112813348493</v>
      </c>
      <c r="G489" s="74">
        <f t="shared" si="40"/>
        <v>-12090.661699401157</v>
      </c>
      <c r="H489" s="74">
        <f t="shared" si="46"/>
        <v>25131.256082682343</v>
      </c>
      <c r="I489" s="74">
        <f t="shared" si="47"/>
        <v>44349.649706885393</v>
      </c>
      <c r="J489" s="74">
        <f t="shared" si="48"/>
        <v>50975.204378372015</v>
      </c>
      <c r="K489" s="74">
        <f t="shared" si="49"/>
        <v>-14868.743917317657</v>
      </c>
      <c r="L489" s="74">
        <f t="shared" si="50"/>
        <v>44349.649706885393</v>
      </c>
      <c r="M489" s="74">
        <f t="shared" si="51"/>
        <v>46775.751996116647</v>
      </c>
      <c r="N489" s="74">
        <f t="shared" si="52"/>
        <v>131.25608268234191</v>
      </c>
      <c r="O489" s="74">
        <f t="shared" si="53"/>
        <v>-10650.350293114607</v>
      </c>
      <c r="P489" s="74">
        <f t="shared" si="54"/>
        <v>10651.159069570198</v>
      </c>
    </row>
    <row r="490" spans="1:16" x14ac:dyDescent="0.3">
      <c r="A490" s="72">
        <f t="shared" si="41"/>
        <v>90.5</v>
      </c>
      <c r="B490" s="74">
        <f t="shared" si="42"/>
        <v>-1392.4110192892938</v>
      </c>
      <c r="C490" s="74">
        <f t="shared" si="43"/>
        <v>-34062.447270827899</v>
      </c>
      <c r="D490" s="74">
        <f t="shared" si="44"/>
        <v>7477.6901267860958</v>
      </c>
      <c r="E490" s="74">
        <f t="shared" si="45"/>
        <v>-19425.595127885012</v>
      </c>
      <c r="F490" s="74">
        <f t="shared" si="39"/>
        <v>-12203.403476025895</v>
      </c>
      <c r="G490" s="74">
        <f t="shared" si="40"/>
        <v>-1525.500423188907</v>
      </c>
      <c r="H490" s="74">
        <f t="shared" si="46"/>
        <v>21392.411019289295</v>
      </c>
      <c r="I490" s="74">
        <f t="shared" si="47"/>
        <v>54062.447270827899</v>
      </c>
      <c r="J490" s="74">
        <f t="shared" si="48"/>
        <v>58141.065127233931</v>
      </c>
      <c r="K490" s="74">
        <f t="shared" si="49"/>
        <v>-18607.588980710705</v>
      </c>
      <c r="L490" s="74">
        <f t="shared" si="50"/>
        <v>54062.447270827899</v>
      </c>
      <c r="M490" s="74">
        <f t="shared" si="51"/>
        <v>57175.08699237906</v>
      </c>
      <c r="N490" s="74">
        <f t="shared" si="52"/>
        <v>-3607.588980710706</v>
      </c>
      <c r="O490" s="74">
        <f t="shared" si="53"/>
        <v>-937.55272917210095</v>
      </c>
      <c r="P490" s="74">
        <f t="shared" si="54"/>
        <v>3727.4258374544979</v>
      </c>
    </row>
    <row r="491" spans="1:16" x14ac:dyDescent="0.3">
      <c r="A491" s="72">
        <f t="shared" si="41"/>
        <v>91</v>
      </c>
      <c r="B491" s="74">
        <f t="shared" si="42"/>
        <v>-704.41682490271978</v>
      </c>
      <c r="C491" s="74">
        <f t="shared" si="43"/>
        <v>-44156.619940567631</v>
      </c>
      <c r="D491" s="74">
        <f t="shared" si="44"/>
        <v>1375.9883887731485</v>
      </c>
      <c r="E491" s="74">
        <f t="shared" si="45"/>
        <v>-20188.345339479463</v>
      </c>
      <c r="F491" s="74">
        <f t="shared" si="39"/>
        <v>-6114.3625809861014</v>
      </c>
      <c r="G491" s="74">
        <f t="shared" si="40"/>
        <v>14627.338903942549</v>
      </c>
      <c r="H491" s="74">
        <f t="shared" si="46"/>
        <v>20704.416824902721</v>
      </c>
      <c r="I491" s="74">
        <f t="shared" si="47"/>
        <v>64156.619940567631</v>
      </c>
      <c r="J491" s="74">
        <f t="shared" si="48"/>
        <v>67414.7221180786</v>
      </c>
      <c r="K491" s="74">
        <f t="shared" si="49"/>
        <v>-19295.583175097279</v>
      </c>
      <c r="L491" s="74">
        <f t="shared" si="50"/>
        <v>64156.619940567631</v>
      </c>
      <c r="M491" s="74">
        <f t="shared" si="51"/>
        <v>66995.458146545556</v>
      </c>
      <c r="N491" s="74">
        <f t="shared" si="52"/>
        <v>-4295.5831750972802</v>
      </c>
      <c r="O491" s="74">
        <f t="shared" si="53"/>
        <v>9156.6199405676307</v>
      </c>
      <c r="P491" s="74">
        <f t="shared" si="54"/>
        <v>10114.13483943039</v>
      </c>
    </row>
    <row r="492" spans="1:16" x14ac:dyDescent="0.3">
      <c r="A492" s="72">
        <f t="shared" si="41"/>
        <v>91.5</v>
      </c>
      <c r="B492" s="74">
        <f t="shared" si="42"/>
        <v>-1545.0132757626709</v>
      </c>
      <c r="C492" s="74">
        <f t="shared" si="43"/>
        <v>-50593.957884321724</v>
      </c>
      <c r="D492" s="74">
        <f t="shared" si="44"/>
        <v>-1681.1929017199022</v>
      </c>
      <c r="E492" s="74">
        <f t="shared" si="45"/>
        <v>-12874.675887508189</v>
      </c>
      <c r="F492" s="74">
        <f t="shared" si="39"/>
        <v>-2044.3526298708039</v>
      </c>
      <c r="G492" s="74">
        <f t="shared" si="40"/>
        <v>10859.634606556581</v>
      </c>
      <c r="H492" s="74">
        <f t="shared" si="46"/>
        <v>21545.013275762671</v>
      </c>
      <c r="I492" s="74">
        <f t="shared" si="47"/>
        <v>70593.957884321717</v>
      </c>
      <c r="J492" s="74">
        <f t="shared" si="48"/>
        <v>73808.498743885706</v>
      </c>
      <c r="K492" s="74">
        <f t="shared" si="49"/>
        <v>-18454.986724237329</v>
      </c>
      <c r="L492" s="74">
        <f t="shared" si="50"/>
        <v>70593.957884321717</v>
      </c>
      <c r="M492" s="74">
        <f t="shared" si="51"/>
        <v>72966.38558106852</v>
      </c>
      <c r="N492" s="74">
        <f t="shared" si="52"/>
        <v>-3454.9867242373293</v>
      </c>
      <c r="O492" s="74">
        <f t="shared" si="53"/>
        <v>15593.957884321724</v>
      </c>
      <c r="P492" s="74">
        <f t="shared" si="54"/>
        <v>15972.114943320934</v>
      </c>
    </row>
    <row r="493" spans="1:16" x14ac:dyDescent="0.3">
      <c r="A493" s="72">
        <f t="shared" si="41"/>
        <v>92</v>
      </c>
      <c r="B493" s="74">
        <f t="shared" si="42"/>
        <v>-2896.697884090323</v>
      </c>
      <c r="C493" s="74">
        <f t="shared" si="43"/>
        <v>-54316.38717643667</v>
      </c>
      <c r="D493" s="74">
        <f t="shared" si="44"/>
        <v>-2703.3692166553042</v>
      </c>
      <c r="E493" s="74">
        <f t="shared" si="45"/>
        <v>-7444.858584229898</v>
      </c>
      <c r="F493" s="74">
        <f t="shared" si="39"/>
        <v>-726.60811160465266</v>
      </c>
      <c r="G493" s="74">
        <f t="shared" si="40"/>
        <v>8752.8044803269895</v>
      </c>
      <c r="H493" s="74">
        <f t="shared" si="46"/>
        <v>22896.697884090325</v>
      </c>
      <c r="I493" s="74">
        <f t="shared" si="47"/>
        <v>74316.387176436663</v>
      </c>
      <c r="J493" s="74">
        <f t="shared" si="48"/>
        <v>77763.643027788668</v>
      </c>
      <c r="K493" s="74">
        <f t="shared" si="49"/>
        <v>-17103.302115909675</v>
      </c>
      <c r="L493" s="74">
        <f t="shared" si="50"/>
        <v>74316.387176436663</v>
      </c>
      <c r="M493" s="74">
        <f t="shared" si="51"/>
        <v>76259.086974773832</v>
      </c>
      <c r="N493" s="74">
        <f t="shared" si="52"/>
        <v>-2103.302115909677</v>
      </c>
      <c r="O493" s="74">
        <f t="shared" si="53"/>
        <v>19316.38717643667</v>
      </c>
      <c r="P493" s="74">
        <f t="shared" si="54"/>
        <v>19430.560808705373</v>
      </c>
    </row>
    <row r="494" spans="1:16" x14ac:dyDescent="0.3">
      <c r="A494" s="72">
        <f t="shared" si="41"/>
        <v>92.5</v>
      </c>
      <c r="B494" s="74">
        <f t="shared" si="42"/>
        <v>-4430.0345203191382</v>
      </c>
      <c r="C494" s="74">
        <f t="shared" si="43"/>
        <v>-55850.615348469866</v>
      </c>
      <c r="D494" s="74">
        <f t="shared" si="44"/>
        <v>-3066.6732724576304</v>
      </c>
      <c r="E494" s="74">
        <f t="shared" si="45"/>
        <v>-3068.4563440664033</v>
      </c>
      <c r="F494" s="74">
        <f t="shared" si="39"/>
        <v>-66.140736722807205</v>
      </c>
      <c r="G494" s="74">
        <f t="shared" si="40"/>
        <v>8014.6611135584299</v>
      </c>
      <c r="H494" s="74">
        <f t="shared" si="46"/>
        <v>24430.034520319139</v>
      </c>
      <c r="I494" s="74">
        <f t="shared" si="47"/>
        <v>75850.615348469873</v>
      </c>
      <c r="J494" s="74">
        <f t="shared" si="48"/>
        <v>79687.780966754988</v>
      </c>
      <c r="K494" s="74">
        <f t="shared" si="49"/>
        <v>-15569.965479680861</v>
      </c>
      <c r="L494" s="74">
        <f t="shared" si="50"/>
        <v>75850.615348469873</v>
      </c>
      <c r="M494" s="74">
        <f t="shared" si="51"/>
        <v>77432.161753240405</v>
      </c>
      <c r="N494" s="74">
        <f t="shared" si="52"/>
        <v>-569.96547968086179</v>
      </c>
      <c r="O494" s="74">
        <f t="shared" si="53"/>
        <v>20850.615348469866</v>
      </c>
      <c r="P494" s="74">
        <f t="shared" si="54"/>
        <v>20858.404087031082</v>
      </c>
    </row>
    <row r="495" spans="1:16" x14ac:dyDescent="0.3">
      <c r="A495" s="72">
        <f t="shared" si="41"/>
        <v>93</v>
      </c>
      <c r="B495" s="74">
        <f t="shared" si="42"/>
        <v>-5979.9063407286549</v>
      </c>
      <c r="C495" s="74">
        <f t="shared" si="43"/>
        <v>-55381.178242113463</v>
      </c>
      <c r="D495" s="74">
        <f t="shared" si="44"/>
        <v>-3099.7436408190342</v>
      </c>
      <c r="E495" s="74">
        <f t="shared" si="45"/>
        <v>938.87421271281164</v>
      </c>
      <c r="F495" s="74">
        <f t="shared" si="39"/>
        <v>493.92139376199259</v>
      </c>
      <c r="G495" s="74">
        <f t="shared" si="40"/>
        <v>8237.4960453068907</v>
      </c>
      <c r="H495" s="74">
        <f t="shared" si="46"/>
        <v>25979.906340728656</v>
      </c>
      <c r="I495" s="74">
        <f t="shared" si="47"/>
        <v>75381.17824211347</v>
      </c>
      <c r="J495" s="74">
        <f t="shared" si="48"/>
        <v>79732.537690972269</v>
      </c>
      <c r="K495" s="74">
        <f t="shared" si="49"/>
        <v>-14020.093659271344</v>
      </c>
      <c r="L495" s="74">
        <f t="shared" si="50"/>
        <v>75381.17824211347</v>
      </c>
      <c r="M495" s="74">
        <f t="shared" si="51"/>
        <v>76673.887728378701</v>
      </c>
      <c r="N495" s="74">
        <f t="shared" si="52"/>
        <v>979.90634072865487</v>
      </c>
      <c r="O495" s="74">
        <f t="shared" si="53"/>
        <v>20381.178242113463</v>
      </c>
      <c r="P495" s="74">
        <f t="shared" si="54"/>
        <v>20404.72109521224</v>
      </c>
    </row>
    <row r="496" spans="1:16" x14ac:dyDescent="0.3">
      <c r="A496" s="72">
        <f t="shared" si="41"/>
        <v>93.5</v>
      </c>
      <c r="B496" s="74">
        <f t="shared" si="42"/>
        <v>-7406.2978126976741</v>
      </c>
      <c r="C496" s="74">
        <f t="shared" si="43"/>
        <v>-52852.36712443034</v>
      </c>
      <c r="D496" s="74">
        <f t="shared" si="44"/>
        <v>-2852.782943938038</v>
      </c>
      <c r="E496" s="74">
        <f t="shared" si="45"/>
        <v>5057.622235366257</v>
      </c>
      <c r="F496" s="74">
        <f t="shared" si="39"/>
        <v>1324.3121438954099</v>
      </c>
      <c r="G496" s="74">
        <f t="shared" si="40"/>
        <v>9561.4603897213346</v>
      </c>
      <c r="H496" s="74">
        <f t="shared" si="46"/>
        <v>27406.297812697674</v>
      </c>
      <c r="I496" s="74">
        <f t="shared" si="47"/>
        <v>72852.36712443034</v>
      </c>
      <c r="J496" s="74">
        <f t="shared" si="48"/>
        <v>77836.832896971449</v>
      </c>
      <c r="K496" s="74">
        <f t="shared" si="49"/>
        <v>-12593.702187302326</v>
      </c>
      <c r="L496" s="74">
        <f t="shared" si="50"/>
        <v>72852.36712443034</v>
      </c>
      <c r="M496" s="74">
        <f t="shared" si="51"/>
        <v>73932.866374943434</v>
      </c>
      <c r="N496" s="74">
        <f t="shared" si="52"/>
        <v>2406.2978126976741</v>
      </c>
      <c r="O496" s="74">
        <f t="shared" si="53"/>
        <v>17852.36712443034</v>
      </c>
      <c r="P496" s="74">
        <f t="shared" si="54"/>
        <v>18013.808067947066</v>
      </c>
    </row>
    <row r="497" spans="1:16" x14ac:dyDescent="0.3">
      <c r="A497" s="72">
        <f t="shared" si="41"/>
        <v>94</v>
      </c>
      <c r="B497" s="74">
        <f t="shared" si="42"/>
        <v>-8501.6112486928396</v>
      </c>
      <c r="C497" s="74">
        <f t="shared" si="43"/>
        <v>-47933.19090931688</v>
      </c>
      <c r="D497" s="74">
        <f t="shared" si="44"/>
        <v>-2190.6268719903328</v>
      </c>
      <c r="E497" s="74">
        <f t="shared" si="45"/>
        <v>9838.3524302269252</v>
      </c>
      <c r="F497" s="74">
        <f t="shared" si="39"/>
        <v>3355.0970652839756</v>
      </c>
      <c r="G497" s="74">
        <f t="shared" si="40"/>
        <v>12720.964787893881</v>
      </c>
      <c r="H497" s="74">
        <f t="shared" si="46"/>
        <v>28501.61124869284</v>
      </c>
      <c r="I497" s="74">
        <f t="shared" si="47"/>
        <v>67933.19090931688</v>
      </c>
      <c r="J497" s="74">
        <f t="shared" si="48"/>
        <v>73669.941434029301</v>
      </c>
      <c r="K497" s="74">
        <f t="shared" si="49"/>
        <v>-11498.38875130716</v>
      </c>
      <c r="L497" s="74">
        <f t="shared" si="50"/>
        <v>67933.19090931688</v>
      </c>
      <c r="M497" s="74">
        <f t="shared" si="51"/>
        <v>68899.429395299652</v>
      </c>
      <c r="N497" s="74">
        <f t="shared" si="52"/>
        <v>3501.6112486928396</v>
      </c>
      <c r="O497" s="74">
        <f t="shared" si="53"/>
        <v>12933.19090931688</v>
      </c>
      <c r="P497" s="74">
        <f t="shared" si="54"/>
        <v>13398.832353373522</v>
      </c>
    </row>
    <row r="498" spans="1:16" x14ac:dyDescent="0.3">
      <c r="A498" s="72">
        <f t="shared" si="41"/>
        <v>94.5</v>
      </c>
      <c r="B498" s="74">
        <f t="shared" si="42"/>
        <v>-8758.1504183670113</v>
      </c>
      <c r="C498" s="74">
        <f t="shared" si="43"/>
        <v>-39833.773497229951</v>
      </c>
      <c r="D498" s="74">
        <f t="shared" si="44"/>
        <v>-513.07833934834503</v>
      </c>
      <c r="E498" s="74">
        <f t="shared" si="45"/>
        <v>16198.834824173866</v>
      </c>
      <c r="F498" s="74">
        <f t="shared" si="39"/>
        <v>10058.709105382442</v>
      </c>
      <c r="G498" s="74">
        <f t="shared" si="40"/>
        <v>13942.069475439208</v>
      </c>
      <c r="H498" s="74">
        <f t="shared" si="46"/>
        <v>28758.150418367011</v>
      </c>
      <c r="I498" s="74">
        <f t="shared" si="47"/>
        <v>59833.773497229951</v>
      </c>
      <c r="J498" s="74">
        <f t="shared" si="48"/>
        <v>66386.080366318056</v>
      </c>
      <c r="K498" s="74">
        <f t="shared" si="49"/>
        <v>-11241.849581632989</v>
      </c>
      <c r="L498" s="74">
        <f t="shared" si="50"/>
        <v>59833.773497229951</v>
      </c>
      <c r="M498" s="74">
        <f t="shared" si="51"/>
        <v>60880.700003645485</v>
      </c>
      <c r="N498" s="74">
        <f t="shared" si="52"/>
        <v>3758.1504183670113</v>
      </c>
      <c r="O498" s="74">
        <f t="shared" si="53"/>
        <v>4833.7734972299513</v>
      </c>
      <c r="P498" s="74">
        <f t="shared" si="54"/>
        <v>6122.8311090209581</v>
      </c>
    </row>
    <row r="499" spans="1:16" x14ac:dyDescent="0.3">
      <c r="A499" s="72">
        <f t="shared" si="41"/>
        <v>95</v>
      </c>
      <c r="B499" s="74">
        <f t="shared" si="42"/>
        <v>-6500.0123116955729</v>
      </c>
      <c r="C499" s="74">
        <f t="shared" si="43"/>
        <v>-28248.838716283219</v>
      </c>
      <c r="D499" s="74">
        <f t="shared" si="44"/>
        <v>4516.276213342876</v>
      </c>
      <c r="E499" s="74">
        <f t="shared" si="45"/>
        <v>23169.869561893469</v>
      </c>
      <c r="F499" s="74">
        <f t="shared" si="39"/>
        <v>3907.9610184105072</v>
      </c>
      <c r="G499" s="74">
        <f t="shared" si="40"/>
        <v>-13787.392125270962</v>
      </c>
      <c r="H499" s="74">
        <f t="shared" si="46"/>
        <v>26500.012311695573</v>
      </c>
      <c r="I499" s="74">
        <f t="shared" si="47"/>
        <v>48248.838716283222</v>
      </c>
      <c r="J499" s="74">
        <f t="shared" si="48"/>
        <v>55047.262329655663</v>
      </c>
      <c r="K499" s="74">
        <f t="shared" si="49"/>
        <v>-13499.987688304427</v>
      </c>
      <c r="L499" s="74">
        <f t="shared" si="50"/>
        <v>48248.838716283222</v>
      </c>
      <c r="M499" s="74">
        <f t="shared" si="51"/>
        <v>50101.897220108156</v>
      </c>
      <c r="N499" s="74">
        <f t="shared" si="52"/>
        <v>1500.0123116955729</v>
      </c>
      <c r="O499" s="74">
        <f t="shared" si="53"/>
        <v>-6751.1612837167813</v>
      </c>
      <c r="P499" s="74">
        <f t="shared" si="54"/>
        <v>6915.7946480498331</v>
      </c>
    </row>
    <row r="500" spans="1:16" x14ac:dyDescent="0.3">
      <c r="A500" s="72">
        <f t="shared" si="41"/>
        <v>95.5</v>
      </c>
      <c r="B500" s="74">
        <f t="shared" si="42"/>
        <v>-3264.8839504215075</v>
      </c>
      <c r="C500" s="74">
        <f t="shared" si="43"/>
        <v>-20110.751966654228</v>
      </c>
      <c r="D500" s="74">
        <f t="shared" si="44"/>
        <v>6470.2567225481298</v>
      </c>
      <c r="E500" s="74">
        <f t="shared" si="45"/>
        <v>16276.173499257988</v>
      </c>
      <c r="F500" s="74">
        <f t="shared" si="39"/>
        <v>-745.05489078411938</v>
      </c>
      <c r="G500" s="74">
        <f t="shared" si="40"/>
        <v>-8088.6350729840415</v>
      </c>
      <c r="H500" s="74">
        <f t="shared" si="46"/>
        <v>23264.883950421507</v>
      </c>
      <c r="I500" s="74">
        <f t="shared" si="47"/>
        <v>40110.751966654228</v>
      </c>
      <c r="J500" s="74">
        <f t="shared" si="48"/>
        <v>46369.464613655357</v>
      </c>
      <c r="K500" s="74">
        <f t="shared" si="49"/>
        <v>-16735.116049578493</v>
      </c>
      <c r="L500" s="74">
        <f t="shared" si="50"/>
        <v>40110.751966654228</v>
      </c>
      <c r="M500" s="74">
        <f t="shared" si="51"/>
        <v>43461.897479554616</v>
      </c>
      <c r="N500" s="74">
        <f t="shared" si="52"/>
        <v>-1735.1160495784925</v>
      </c>
      <c r="O500" s="74">
        <f t="shared" si="53"/>
        <v>-14889.248033345772</v>
      </c>
      <c r="P500" s="74">
        <f t="shared" si="54"/>
        <v>14990.007828683605</v>
      </c>
    </row>
    <row r="501" spans="1:16" x14ac:dyDescent="0.3">
      <c r="A501" s="72">
        <f t="shared" si="41"/>
        <v>96</v>
      </c>
      <c r="B501" s="74">
        <f t="shared" si="42"/>
        <v>-216.01931184347245</v>
      </c>
      <c r="C501" s="74">
        <f t="shared" si="43"/>
        <v>-13994.823985271245</v>
      </c>
      <c r="D501" s="74">
        <f t="shared" si="44"/>
        <v>6097.7292771560697</v>
      </c>
      <c r="E501" s="74">
        <f t="shared" si="45"/>
        <v>12231.855962765967</v>
      </c>
      <c r="F501" s="74">
        <f t="shared" si="39"/>
        <v>-904.67623156679929</v>
      </c>
      <c r="G501" s="74">
        <f t="shared" si="40"/>
        <v>-3342.4658423963451</v>
      </c>
      <c r="H501" s="74">
        <f t="shared" si="46"/>
        <v>20216.019311843473</v>
      </c>
      <c r="I501" s="74">
        <f t="shared" si="47"/>
        <v>33994.823985271243</v>
      </c>
      <c r="J501" s="74">
        <f t="shared" si="48"/>
        <v>39551.681312004948</v>
      </c>
      <c r="K501" s="74">
        <f t="shared" si="49"/>
        <v>-19783.980688156527</v>
      </c>
      <c r="L501" s="74">
        <f t="shared" si="50"/>
        <v>33994.823985271243</v>
      </c>
      <c r="M501" s="74">
        <f t="shared" si="51"/>
        <v>39332.606697991978</v>
      </c>
      <c r="N501" s="74">
        <f t="shared" si="52"/>
        <v>-4783.9806881565273</v>
      </c>
      <c r="O501" s="74">
        <f t="shared" si="53"/>
        <v>-21005.176014728757</v>
      </c>
      <c r="P501" s="74">
        <f t="shared" si="54"/>
        <v>21543.070594378856</v>
      </c>
    </row>
    <row r="502" spans="1:16" x14ac:dyDescent="0.3">
      <c r="A502" s="72">
        <f t="shared" si="41"/>
        <v>96.5</v>
      </c>
      <c r="B502" s="74">
        <f t="shared" si="42"/>
        <v>2606.6762688428626</v>
      </c>
      <c r="C502" s="74">
        <f t="shared" si="43"/>
        <v>-8714.5124644873486</v>
      </c>
      <c r="D502" s="74">
        <f t="shared" si="44"/>
        <v>5645.3911613726705</v>
      </c>
      <c r="E502" s="74">
        <f t="shared" si="45"/>
        <v>10560.623041567795</v>
      </c>
      <c r="F502" s="74">
        <f t="shared" ref="F502:F565" si="55">$C$23*(H502/(J502^2+$C$24^2)^1.5)+$C$32*(K502/(M502^2+$C$33^2)^1.5)+C$41*(N502/(P502^2+$C$42^2)^1.5)</f>
        <v>-519.43907580813209</v>
      </c>
      <c r="G502" s="74">
        <f t="shared" ref="G502:G565" si="56">$C$23*(I502/(J502^2+$C$24^2)^1.5)+$C$32*(L502/(M502^2+$C$33^2)^1.5)+C$41*(O502/(P502^2+$C$42^2)^1.5)</f>
        <v>-478.0584026668721</v>
      </c>
      <c r="H502" s="74">
        <f t="shared" si="46"/>
        <v>17393.323731157136</v>
      </c>
      <c r="I502" s="74">
        <f t="shared" si="47"/>
        <v>28714.51246448735</v>
      </c>
      <c r="J502" s="74">
        <f t="shared" si="48"/>
        <v>33571.579296929616</v>
      </c>
      <c r="K502" s="74">
        <f t="shared" si="49"/>
        <v>-22606.676268842864</v>
      </c>
      <c r="L502" s="74">
        <f t="shared" si="50"/>
        <v>28714.51246448735</v>
      </c>
      <c r="M502" s="74">
        <f t="shared" si="51"/>
        <v>36545.65689651046</v>
      </c>
      <c r="N502" s="74">
        <f t="shared" si="52"/>
        <v>-7606.6762688428626</v>
      </c>
      <c r="O502" s="74">
        <f t="shared" si="53"/>
        <v>-26285.48753551265</v>
      </c>
      <c r="P502" s="74">
        <f t="shared" si="54"/>
        <v>27363.997859204857</v>
      </c>
    </row>
    <row r="503" spans="1:16" x14ac:dyDescent="0.3">
      <c r="A503" s="72">
        <f t="shared" ref="A503:A566" si="57">A502+$C$5</f>
        <v>97</v>
      </c>
      <c r="B503" s="74">
        <f t="shared" ref="B503:B566" si="58">B502+D502*(A503-A502)+F502*(A503-A502)^2</f>
        <v>5299.5120805771649</v>
      </c>
      <c r="C503" s="74">
        <f t="shared" ref="C503:C566" si="59">C502+E502*(A503-A502)+G502*(A503-A502)^2</f>
        <v>-3553.7155443701695</v>
      </c>
      <c r="D503" s="74">
        <f t="shared" ref="D503:D566" si="60">D502+F502*(A503-A502)</f>
        <v>5385.6716234686046</v>
      </c>
      <c r="E503" s="74">
        <f t="shared" ref="E503:E566" si="61">E502+G502*(A503-A502)</f>
        <v>10321.593840234358</v>
      </c>
      <c r="F503" s="74">
        <f t="shared" si="55"/>
        <v>136.7115780495144</v>
      </c>
      <c r="G503" s="74">
        <f t="shared" si="56"/>
        <v>1781.0665313619261</v>
      </c>
      <c r="H503" s="74">
        <f t="shared" ref="H503:H566" si="62">$C$19-B503</f>
        <v>14700.487919422834</v>
      </c>
      <c r="I503" s="74">
        <f t="shared" ref="I503:I566" si="63">$D$19-C503</f>
        <v>23553.71554437017</v>
      </c>
      <c r="J503" s="74">
        <f t="shared" ref="J503:J566" si="64">SQRT(H503^2+I503^2)</f>
        <v>27764.759336507883</v>
      </c>
      <c r="K503" s="74">
        <f t="shared" ref="K503:K566" si="65">$C$28-B503</f>
        <v>-25299.512080577166</v>
      </c>
      <c r="L503" s="74">
        <f t="shared" ref="L503:L566" si="66">$D$28-C503</f>
        <v>23553.71554437017</v>
      </c>
      <c r="M503" s="74">
        <f t="shared" ref="M503:M566" si="67">SQRT(K503^2+L503^2)</f>
        <v>34566.498628880174</v>
      </c>
      <c r="N503" s="74">
        <f t="shared" ref="N503:N566" si="68">$C$37-B503</f>
        <v>-10299.512080577166</v>
      </c>
      <c r="O503" s="74">
        <f t="shared" ref="O503:O566" si="69">$D$37-C503</f>
        <v>-31446.28445562983</v>
      </c>
      <c r="P503" s="74">
        <f t="shared" ref="P503:P566" si="70">SQRT(N503^2+O503^2)</f>
        <v>33090.009899701465</v>
      </c>
    </row>
    <row r="504" spans="1:16" x14ac:dyDescent="0.3">
      <c r="A504" s="72">
        <f t="shared" si="57"/>
        <v>97.5</v>
      </c>
      <c r="B504" s="74">
        <f t="shared" si="58"/>
        <v>8026.5257868238459</v>
      </c>
      <c r="C504" s="74">
        <f t="shared" si="59"/>
        <v>2052.3480085874912</v>
      </c>
      <c r="D504" s="74">
        <f t="shared" si="60"/>
        <v>5454.0274124933621</v>
      </c>
      <c r="E504" s="74">
        <f t="shared" si="61"/>
        <v>11212.12710591532</v>
      </c>
      <c r="F504" s="74">
        <f t="shared" si="55"/>
        <v>1411.2530609901773</v>
      </c>
      <c r="G504" s="74">
        <f t="shared" si="56"/>
        <v>4219.1348552217423</v>
      </c>
      <c r="H504" s="74">
        <f t="shared" si="62"/>
        <v>11973.474213176154</v>
      </c>
      <c r="I504" s="74">
        <f t="shared" si="63"/>
        <v>17947.651991412509</v>
      </c>
      <c r="J504" s="74">
        <f t="shared" si="64"/>
        <v>21575.038742455316</v>
      </c>
      <c r="K504" s="74">
        <f t="shared" si="65"/>
        <v>-28026.525786823848</v>
      </c>
      <c r="L504" s="74">
        <f t="shared" si="66"/>
        <v>17947.651991412509</v>
      </c>
      <c r="M504" s="74">
        <f t="shared" si="67"/>
        <v>33280.690492902271</v>
      </c>
      <c r="N504" s="74">
        <f t="shared" si="68"/>
        <v>-13026.525786823846</v>
      </c>
      <c r="O504" s="74">
        <f t="shared" si="69"/>
        <v>-37052.348008587491</v>
      </c>
      <c r="P504" s="74">
        <f t="shared" si="70"/>
        <v>39275.525038174397</v>
      </c>
    </row>
    <row r="505" spans="1:16" x14ac:dyDescent="0.3">
      <c r="A505" s="72">
        <f t="shared" si="57"/>
        <v>98</v>
      </c>
      <c r="B505" s="74">
        <f t="shared" si="58"/>
        <v>11106.352758318071</v>
      </c>
      <c r="C505" s="74">
        <f t="shared" si="59"/>
        <v>8713.1952753505866</v>
      </c>
      <c r="D505" s="74">
        <f t="shared" si="60"/>
        <v>6159.6539429884506</v>
      </c>
      <c r="E505" s="74">
        <f t="shared" si="61"/>
        <v>13321.694533526192</v>
      </c>
      <c r="F505" s="74">
        <f t="shared" si="55"/>
        <v>4628.5223393218284</v>
      </c>
      <c r="G505" s="74">
        <f t="shared" si="56"/>
        <v>7732.0039242970515</v>
      </c>
      <c r="H505" s="74">
        <f t="shared" si="62"/>
        <v>8893.6472416819288</v>
      </c>
      <c r="I505" s="74">
        <f t="shared" si="63"/>
        <v>11286.804724649413</v>
      </c>
      <c r="J505" s="74">
        <f t="shared" si="64"/>
        <v>14369.722410396274</v>
      </c>
      <c r="K505" s="74">
        <f t="shared" si="65"/>
        <v>-31106.352758318069</v>
      </c>
      <c r="L505" s="74">
        <f t="shared" si="66"/>
        <v>11286.804724649413</v>
      </c>
      <c r="M505" s="74">
        <f t="shared" si="67"/>
        <v>33090.741043640744</v>
      </c>
      <c r="N505" s="74">
        <f t="shared" si="68"/>
        <v>-16106.352758318071</v>
      </c>
      <c r="O505" s="74">
        <f t="shared" si="69"/>
        <v>-43713.19527535059</v>
      </c>
      <c r="P505" s="74">
        <f t="shared" si="70"/>
        <v>46586.028381439784</v>
      </c>
    </row>
    <row r="506" spans="1:16" x14ac:dyDescent="0.3">
      <c r="A506" s="72">
        <f t="shared" si="57"/>
        <v>98.5</v>
      </c>
      <c r="B506" s="74">
        <f t="shared" si="58"/>
        <v>15343.310314642753</v>
      </c>
      <c r="C506" s="74">
        <f t="shared" si="59"/>
        <v>17307.043523187946</v>
      </c>
      <c r="D506" s="74">
        <f t="shared" si="60"/>
        <v>8473.9151126493653</v>
      </c>
      <c r="E506" s="74">
        <f t="shared" si="61"/>
        <v>17187.696495674718</v>
      </c>
      <c r="F506" s="74">
        <f t="shared" si="55"/>
        <v>11283.193610378239</v>
      </c>
      <c r="G506" s="74">
        <f t="shared" si="56"/>
        <v>6642.3913432701775</v>
      </c>
      <c r="H506" s="74">
        <f t="shared" si="62"/>
        <v>4656.6896853572471</v>
      </c>
      <c r="I506" s="74">
        <f t="shared" si="63"/>
        <v>2692.9564768120545</v>
      </c>
      <c r="J506" s="74">
        <f t="shared" si="64"/>
        <v>5379.2911625711959</v>
      </c>
      <c r="K506" s="74">
        <f t="shared" si="65"/>
        <v>-35343.310314642753</v>
      </c>
      <c r="L506" s="74">
        <f t="shared" si="66"/>
        <v>2692.9564768120545</v>
      </c>
      <c r="M506" s="74">
        <f t="shared" si="67"/>
        <v>35445.755720299385</v>
      </c>
      <c r="N506" s="74">
        <f t="shared" si="68"/>
        <v>-20343.310314642753</v>
      </c>
      <c r="O506" s="74">
        <f t="shared" si="69"/>
        <v>-52307.043523187946</v>
      </c>
      <c r="P506" s="74">
        <f t="shared" si="70"/>
        <v>56123.765703082761</v>
      </c>
    </row>
    <row r="507" spans="1:16" x14ac:dyDescent="0.3">
      <c r="A507" s="72">
        <f t="shared" si="57"/>
        <v>99</v>
      </c>
      <c r="B507" s="74">
        <f t="shared" si="58"/>
        <v>22401.066273561995</v>
      </c>
      <c r="C507" s="74">
        <f t="shared" si="59"/>
        <v>27561.48960684285</v>
      </c>
      <c r="D507" s="74">
        <f t="shared" si="60"/>
        <v>14115.511917838485</v>
      </c>
      <c r="E507" s="74">
        <f t="shared" si="61"/>
        <v>20508.892167309808</v>
      </c>
      <c r="F507" s="74">
        <f t="shared" si="55"/>
        <v>-6266.246628735742</v>
      </c>
      <c r="G507" s="74">
        <f t="shared" si="56"/>
        <v>-16217.907924805566</v>
      </c>
      <c r="H507" s="74">
        <f t="shared" si="62"/>
        <v>-2401.0662735619953</v>
      </c>
      <c r="I507" s="74">
        <f t="shared" si="63"/>
        <v>-7561.4896068428498</v>
      </c>
      <c r="J507" s="74">
        <f t="shared" si="64"/>
        <v>7933.5518101559865</v>
      </c>
      <c r="K507" s="74">
        <f t="shared" si="65"/>
        <v>-42401.066273561999</v>
      </c>
      <c r="L507" s="74">
        <f t="shared" si="66"/>
        <v>-7561.4896068428498</v>
      </c>
      <c r="M507" s="74">
        <f t="shared" si="67"/>
        <v>43070.019110854701</v>
      </c>
      <c r="N507" s="74">
        <f t="shared" si="68"/>
        <v>-27401.066273561995</v>
      </c>
      <c r="O507" s="74">
        <f t="shared" si="69"/>
        <v>-62561.48960684285</v>
      </c>
      <c r="P507" s="74">
        <f t="shared" si="70"/>
        <v>68299.036704445854</v>
      </c>
    </row>
    <row r="508" spans="1:16" x14ac:dyDescent="0.3">
      <c r="A508" s="72">
        <f t="shared" si="57"/>
        <v>99.5</v>
      </c>
      <c r="B508" s="74">
        <f t="shared" si="58"/>
        <v>27892.260575297303</v>
      </c>
      <c r="C508" s="74">
        <f t="shared" si="59"/>
        <v>33761.458709296363</v>
      </c>
      <c r="D508" s="74">
        <f t="shared" si="60"/>
        <v>10982.388603470614</v>
      </c>
      <c r="E508" s="74">
        <f t="shared" si="61"/>
        <v>12399.938204907026</v>
      </c>
      <c r="F508" s="74">
        <f t="shared" si="55"/>
        <v>-6115.2600752716144</v>
      </c>
      <c r="G508" s="74">
        <f t="shared" si="56"/>
        <v>-9604.4829373189532</v>
      </c>
      <c r="H508" s="74">
        <f t="shared" si="62"/>
        <v>-7892.2605752973031</v>
      </c>
      <c r="I508" s="74">
        <f t="shared" si="63"/>
        <v>-13761.458709296363</v>
      </c>
      <c r="J508" s="74">
        <f t="shared" si="64"/>
        <v>15863.969326623801</v>
      </c>
      <c r="K508" s="74">
        <f t="shared" si="65"/>
        <v>-47892.260575297303</v>
      </c>
      <c r="L508" s="74">
        <f t="shared" si="66"/>
        <v>-13761.458709296363</v>
      </c>
      <c r="M508" s="74">
        <f t="shared" si="67"/>
        <v>49830.175283856319</v>
      </c>
      <c r="N508" s="74">
        <f t="shared" si="68"/>
        <v>-32892.260575297303</v>
      </c>
      <c r="O508" s="74">
        <f t="shared" si="69"/>
        <v>-68761.458709296363</v>
      </c>
      <c r="P508" s="74">
        <f t="shared" si="70"/>
        <v>76223.611890171713</v>
      </c>
    </row>
    <row r="509" spans="1:16" x14ac:dyDescent="0.3">
      <c r="A509" s="72">
        <f t="shared" si="57"/>
        <v>100</v>
      </c>
      <c r="B509" s="74">
        <f t="shared" si="58"/>
        <v>31854.639858214705</v>
      </c>
      <c r="C509" s="74">
        <f t="shared" si="59"/>
        <v>37560.307077420141</v>
      </c>
      <c r="D509" s="74">
        <f t="shared" si="60"/>
        <v>7924.7585658348071</v>
      </c>
      <c r="E509" s="74">
        <f t="shared" si="61"/>
        <v>7597.6967362475498</v>
      </c>
      <c r="F509" s="74">
        <f t="shared" si="55"/>
        <v>-4797.9886417757016</v>
      </c>
      <c r="G509" s="74">
        <f t="shared" si="56"/>
        <v>-6493.5376141967681</v>
      </c>
      <c r="H509" s="74">
        <f t="shared" si="62"/>
        <v>-11854.639858214705</v>
      </c>
      <c r="I509" s="74">
        <f t="shared" si="63"/>
        <v>-17560.307077420141</v>
      </c>
      <c r="J509" s="74">
        <f t="shared" si="64"/>
        <v>21187.186477238185</v>
      </c>
      <c r="K509" s="74">
        <f t="shared" si="65"/>
        <v>-51854.639858214709</v>
      </c>
      <c r="L509" s="74">
        <f t="shared" si="66"/>
        <v>-17560.307077420141</v>
      </c>
      <c r="M509" s="74">
        <f t="shared" si="67"/>
        <v>54747.310979430222</v>
      </c>
      <c r="N509" s="74">
        <f t="shared" si="68"/>
        <v>-36854.639858214709</v>
      </c>
      <c r="O509" s="74">
        <f t="shared" si="69"/>
        <v>-72560.307077420148</v>
      </c>
      <c r="P509" s="74">
        <f t="shared" si="70"/>
        <v>81383.429776879129</v>
      </c>
    </row>
    <row r="510" spans="1:16" x14ac:dyDescent="0.3">
      <c r="A510" s="72">
        <f t="shared" si="57"/>
        <v>100.5</v>
      </c>
      <c r="B510" s="74">
        <f t="shared" si="58"/>
        <v>34617.52198068818</v>
      </c>
      <c r="C510" s="74">
        <f t="shared" si="59"/>
        <v>39735.771041994725</v>
      </c>
      <c r="D510" s="74">
        <f t="shared" si="60"/>
        <v>5525.7642449469568</v>
      </c>
      <c r="E510" s="74">
        <f t="shared" si="61"/>
        <v>4350.9279291491657</v>
      </c>
      <c r="F510" s="74">
        <f t="shared" si="55"/>
        <v>-4133.7288130922188</v>
      </c>
      <c r="G510" s="74">
        <f t="shared" si="56"/>
        <v>-5150.2273048601701</v>
      </c>
      <c r="H510" s="74">
        <f t="shared" si="62"/>
        <v>-14617.52198068818</v>
      </c>
      <c r="I510" s="74">
        <f t="shared" si="63"/>
        <v>-19735.771041994725</v>
      </c>
      <c r="J510" s="74">
        <f t="shared" si="64"/>
        <v>24559.572624089767</v>
      </c>
      <c r="K510" s="74">
        <f t="shared" si="65"/>
        <v>-54617.52198068818</v>
      </c>
      <c r="L510" s="74">
        <f t="shared" si="66"/>
        <v>-19735.771041994725</v>
      </c>
      <c r="M510" s="74">
        <f t="shared" si="67"/>
        <v>58073.869906636959</v>
      </c>
      <c r="N510" s="74">
        <f t="shared" si="68"/>
        <v>-39617.52198068818</v>
      </c>
      <c r="O510" s="74">
        <f t="shared" si="69"/>
        <v>-74735.771041994725</v>
      </c>
      <c r="P510" s="74">
        <f t="shared" si="70"/>
        <v>84587.135671636075</v>
      </c>
    </row>
    <row r="511" spans="1:16" x14ac:dyDescent="0.3">
      <c r="A511" s="72">
        <f t="shared" si="57"/>
        <v>101</v>
      </c>
      <c r="B511" s="74">
        <f t="shared" si="58"/>
        <v>36346.971899888602</v>
      </c>
      <c r="C511" s="74">
        <f t="shared" si="59"/>
        <v>40623.678180354269</v>
      </c>
      <c r="D511" s="74">
        <f t="shared" si="60"/>
        <v>3458.8998384008473</v>
      </c>
      <c r="E511" s="74">
        <f t="shared" si="61"/>
        <v>1775.8142767190807</v>
      </c>
      <c r="F511" s="74">
        <f t="shared" si="55"/>
        <v>-3878.8057299489697</v>
      </c>
      <c r="G511" s="74">
        <f t="shared" si="56"/>
        <v>-4556.0843984218272</v>
      </c>
      <c r="H511" s="74">
        <f t="shared" si="62"/>
        <v>-16346.971899888602</v>
      </c>
      <c r="I511" s="74">
        <f t="shared" si="63"/>
        <v>-20623.678180354269</v>
      </c>
      <c r="J511" s="74">
        <f t="shared" si="64"/>
        <v>26316.526974176672</v>
      </c>
      <c r="K511" s="74">
        <f t="shared" si="65"/>
        <v>-56346.971899888602</v>
      </c>
      <c r="L511" s="74">
        <f t="shared" si="66"/>
        <v>-20623.678180354269</v>
      </c>
      <c r="M511" s="74">
        <f t="shared" si="67"/>
        <v>60002.644474836743</v>
      </c>
      <c r="N511" s="74">
        <f t="shared" si="68"/>
        <v>-41346.971899888602</v>
      </c>
      <c r="O511" s="74">
        <f t="shared" si="69"/>
        <v>-75623.678180354269</v>
      </c>
      <c r="P511" s="74">
        <f t="shared" si="70"/>
        <v>86188.820544290822</v>
      </c>
    </row>
    <row r="512" spans="1:16" x14ac:dyDescent="0.3">
      <c r="A512" s="72">
        <f t="shared" si="57"/>
        <v>101.5</v>
      </c>
      <c r="B512" s="74">
        <f t="shared" si="58"/>
        <v>37106.720386601781</v>
      </c>
      <c r="C512" s="74">
        <f t="shared" si="59"/>
        <v>40372.564219108353</v>
      </c>
      <c r="D512" s="74">
        <f t="shared" si="60"/>
        <v>1519.4969734263625</v>
      </c>
      <c r="E512" s="74">
        <f t="shared" si="61"/>
        <v>-502.22792249183294</v>
      </c>
      <c r="F512" s="74">
        <f t="shared" si="55"/>
        <v>-3925.7995859478319</v>
      </c>
      <c r="G512" s="74">
        <f t="shared" si="56"/>
        <v>-4389.5905414029858</v>
      </c>
      <c r="H512" s="74">
        <f t="shared" si="62"/>
        <v>-17106.720386601781</v>
      </c>
      <c r="I512" s="74">
        <f t="shared" si="63"/>
        <v>-20372.564219108353</v>
      </c>
      <c r="J512" s="74">
        <f t="shared" si="64"/>
        <v>26602.27913632723</v>
      </c>
      <c r="K512" s="74">
        <f t="shared" si="65"/>
        <v>-57106.720386601781</v>
      </c>
      <c r="L512" s="74">
        <f t="shared" si="66"/>
        <v>-20372.564219108353</v>
      </c>
      <c r="M512" s="74">
        <f t="shared" si="67"/>
        <v>60631.830635197002</v>
      </c>
      <c r="N512" s="74">
        <f t="shared" si="68"/>
        <v>-42106.720386601781</v>
      </c>
      <c r="O512" s="74">
        <f t="shared" si="69"/>
        <v>-75372.564219108346</v>
      </c>
      <c r="P512" s="74">
        <f t="shared" si="70"/>
        <v>86336.546946696195</v>
      </c>
    </row>
    <row r="513" spans="1:16" x14ac:dyDescent="0.3">
      <c r="A513" s="72">
        <f t="shared" si="57"/>
        <v>102</v>
      </c>
      <c r="B513" s="74">
        <f t="shared" si="58"/>
        <v>36885.018976828003</v>
      </c>
      <c r="C513" s="74">
        <f t="shared" si="59"/>
        <v>39024.052622511692</v>
      </c>
      <c r="D513" s="74">
        <f t="shared" si="60"/>
        <v>-443.40281954755346</v>
      </c>
      <c r="E513" s="74">
        <f t="shared" si="61"/>
        <v>-2697.0231931933258</v>
      </c>
      <c r="F513" s="74">
        <f t="shared" si="55"/>
        <v>-4294.0366823344284</v>
      </c>
      <c r="G513" s="74">
        <f t="shared" si="56"/>
        <v>-4580.7852288844251</v>
      </c>
      <c r="H513" s="74">
        <f t="shared" si="62"/>
        <v>-16885.018976828003</v>
      </c>
      <c r="I513" s="74">
        <f t="shared" si="63"/>
        <v>-19024.052622511692</v>
      </c>
      <c r="J513" s="74">
        <f t="shared" si="64"/>
        <v>25436.55723622864</v>
      </c>
      <c r="K513" s="74">
        <f t="shared" si="65"/>
        <v>-56885.018976828003</v>
      </c>
      <c r="L513" s="74">
        <f t="shared" si="66"/>
        <v>-19024.052622511692</v>
      </c>
      <c r="M513" s="74">
        <f t="shared" si="67"/>
        <v>59981.830266991485</v>
      </c>
      <c r="N513" s="74">
        <f t="shared" si="68"/>
        <v>-41885.018976828003</v>
      </c>
      <c r="O513" s="74">
        <f t="shared" si="69"/>
        <v>-74024.052622511692</v>
      </c>
      <c r="P513" s="74">
        <f t="shared" si="70"/>
        <v>85052.426075624811</v>
      </c>
    </row>
    <row r="514" spans="1:16" x14ac:dyDescent="0.3">
      <c r="A514" s="72">
        <f t="shared" si="57"/>
        <v>102.5</v>
      </c>
      <c r="B514" s="74">
        <f t="shared" si="58"/>
        <v>35589.808396470617</v>
      </c>
      <c r="C514" s="74">
        <f t="shared" si="59"/>
        <v>36530.344718693923</v>
      </c>
      <c r="D514" s="74">
        <f t="shared" si="60"/>
        <v>-2590.4211607147677</v>
      </c>
      <c r="E514" s="74">
        <f t="shared" si="61"/>
        <v>-4987.4158076355379</v>
      </c>
      <c r="F514" s="74">
        <f t="shared" si="55"/>
        <v>-5161.3363451833311</v>
      </c>
      <c r="G514" s="74">
        <f t="shared" si="56"/>
        <v>-5229.2687575455884</v>
      </c>
      <c r="H514" s="74">
        <f t="shared" si="62"/>
        <v>-15589.808396470617</v>
      </c>
      <c r="I514" s="74">
        <f t="shared" si="63"/>
        <v>-16530.344718693923</v>
      </c>
      <c r="J514" s="74">
        <f t="shared" si="64"/>
        <v>22722.113069816322</v>
      </c>
      <c r="K514" s="74">
        <f t="shared" si="65"/>
        <v>-55589.808396470617</v>
      </c>
      <c r="L514" s="74">
        <f t="shared" si="66"/>
        <v>-16530.344718693923</v>
      </c>
      <c r="M514" s="74">
        <f t="shared" si="67"/>
        <v>57995.50925783105</v>
      </c>
      <c r="N514" s="74">
        <f t="shared" si="68"/>
        <v>-40589.808396470617</v>
      </c>
      <c r="O514" s="74">
        <f t="shared" si="69"/>
        <v>-71530.34471869393</v>
      </c>
      <c r="P514" s="74">
        <f t="shared" si="70"/>
        <v>82244.287103952578</v>
      </c>
    </row>
    <row r="515" spans="1:16" x14ac:dyDescent="0.3">
      <c r="A515" s="72">
        <f t="shared" si="57"/>
        <v>103</v>
      </c>
      <c r="B515" s="74">
        <f t="shared" si="58"/>
        <v>33004.263729817394</v>
      </c>
      <c r="C515" s="74">
        <f t="shared" si="59"/>
        <v>32729.319625489756</v>
      </c>
      <c r="D515" s="74">
        <f t="shared" si="60"/>
        <v>-5171.0893333064332</v>
      </c>
      <c r="E515" s="74">
        <f t="shared" si="61"/>
        <v>-7602.0501864083326</v>
      </c>
      <c r="F515" s="74">
        <f t="shared" si="55"/>
        <v>-7095.9462171405075</v>
      </c>
      <c r="G515" s="74">
        <f t="shared" si="56"/>
        <v>-6710.1532002961685</v>
      </c>
      <c r="H515" s="74">
        <f t="shared" si="62"/>
        <v>-13004.263729817394</v>
      </c>
      <c r="I515" s="74">
        <f t="shared" si="63"/>
        <v>-12729.319625489756</v>
      </c>
      <c r="J515" s="74">
        <f t="shared" si="64"/>
        <v>18197.429853760197</v>
      </c>
      <c r="K515" s="74">
        <f t="shared" si="65"/>
        <v>-53004.263729817394</v>
      </c>
      <c r="L515" s="74">
        <f t="shared" si="66"/>
        <v>-12729.319625489756</v>
      </c>
      <c r="M515" s="74">
        <f t="shared" si="67"/>
        <v>54511.352502647685</v>
      </c>
      <c r="N515" s="74">
        <f t="shared" si="68"/>
        <v>-38004.263729817394</v>
      </c>
      <c r="O515" s="74">
        <f t="shared" si="69"/>
        <v>-67729.319625489763</v>
      </c>
      <c r="P515" s="74">
        <f t="shared" si="70"/>
        <v>77663.278314640222</v>
      </c>
    </row>
    <row r="516" spans="1:16" x14ac:dyDescent="0.3">
      <c r="A516" s="72">
        <f t="shared" si="57"/>
        <v>103.5</v>
      </c>
      <c r="B516" s="74">
        <f t="shared" si="58"/>
        <v>28644.732508879053</v>
      </c>
      <c r="C516" s="74">
        <f t="shared" si="59"/>
        <v>27250.756232211548</v>
      </c>
      <c r="D516" s="74">
        <f t="shared" si="60"/>
        <v>-8719.0624418766874</v>
      </c>
      <c r="E516" s="74">
        <f t="shared" si="61"/>
        <v>-10957.126786556417</v>
      </c>
      <c r="F516" s="74">
        <f t="shared" si="55"/>
        <v>-11795.794026448997</v>
      </c>
      <c r="G516" s="74">
        <f t="shared" si="56"/>
        <v>-9702.688874730924</v>
      </c>
      <c r="H516" s="74">
        <f t="shared" si="62"/>
        <v>-8644.7325088790531</v>
      </c>
      <c r="I516" s="74">
        <f t="shared" si="63"/>
        <v>-7250.7562322115482</v>
      </c>
      <c r="J516" s="74">
        <f t="shared" si="64"/>
        <v>11282.945807236023</v>
      </c>
      <c r="K516" s="74">
        <f t="shared" si="65"/>
        <v>-48644.732508879053</v>
      </c>
      <c r="L516" s="74">
        <f t="shared" si="66"/>
        <v>-7250.7562322115482</v>
      </c>
      <c r="M516" s="74">
        <f t="shared" si="67"/>
        <v>49182.145813286239</v>
      </c>
      <c r="N516" s="74">
        <f t="shared" si="68"/>
        <v>-33644.732508879053</v>
      </c>
      <c r="O516" s="74">
        <f t="shared" si="69"/>
        <v>-62250.756232211548</v>
      </c>
      <c r="P516" s="74">
        <f t="shared" si="70"/>
        <v>70761.039259441692</v>
      </c>
    </row>
    <row r="517" spans="1:16" x14ac:dyDescent="0.3">
      <c r="A517" s="72">
        <f t="shared" si="57"/>
        <v>104</v>
      </c>
      <c r="B517" s="74">
        <f t="shared" si="58"/>
        <v>21336.252781328458</v>
      </c>
      <c r="C517" s="74">
        <f t="shared" si="59"/>
        <v>19346.520620250609</v>
      </c>
      <c r="D517" s="74">
        <f t="shared" si="60"/>
        <v>-14616.959455101187</v>
      </c>
      <c r="E517" s="74">
        <f t="shared" si="61"/>
        <v>-15808.471223921879</v>
      </c>
      <c r="F517" s="74">
        <f t="shared" si="55"/>
        <v>-7084.8312016118389</v>
      </c>
      <c r="G517" s="74">
        <f t="shared" si="56"/>
        <v>1675.206980244438</v>
      </c>
      <c r="H517" s="74">
        <f t="shared" si="62"/>
        <v>-1336.2527813284578</v>
      </c>
      <c r="I517" s="74">
        <f t="shared" si="63"/>
        <v>653.47937974939123</v>
      </c>
      <c r="J517" s="74">
        <f t="shared" si="64"/>
        <v>1487.483376500621</v>
      </c>
      <c r="K517" s="74">
        <f t="shared" si="65"/>
        <v>-41336.252781328454</v>
      </c>
      <c r="L517" s="74">
        <f t="shared" si="66"/>
        <v>653.47937974939123</v>
      </c>
      <c r="M517" s="74">
        <f t="shared" si="67"/>
        <v>41341.417843388517</v>
      </c>
      <c r="N517" s="74">
        <f t="shared" si="68"/>
        <v>-26336.252781328458</v>
      </c>
      <c r="O517" s="74">
        <f t="shared" si="69"/>
        <v>-54346.520620250609</v>
      </c>
      <c r="P517" s="74">
        <f t="shared" si="70"/>
        <v>60391.576516012195</v>
      </c>
    </row>
    <row r="518" spans="1:16" x14ac:dyDescent="0.3">
      <c r="A518" s="72">
        <f t="shared" si="57"/>
        <v>104.5</v>
      </c>
      <c r="B518" s="74">
        <f t="shared" si="58"/>
        <v>12256.565253374905</v>
      </c>
      <c r="C518" s="74">
        <f t="shared" si="59"/>
        <v>11861.086753350779</v>
      </c>
      <c r="D518" s="74">
        <f t="shared" si="60"/>
        <v>-18159.375055907105</v>
      </c>
      <c r="E518" s="74">
        <f t="shared" si="61"/>
        <v>-14970.86773379966</v>
      </c>
      <c r="F518" s="74">
        <f t="shared" si="55"/>
        <v>7259.8026492545214</v>
      </c>
      <c r="G518" s="74">
        <f t="shared" si="56"/>
        <v>8970.7264372940081</v>
      </c>
      <c r="H518" s="74">
        <f t="shared" si="62"/>
        <v>7743.4347466250947</v>
      </c>
      <c r="I518" s="74">
        <f t="shared" si="63"/>
        <v>8138.913246649221</v>
      </c>
      <c r="J518" s="74">
        <f t="shared" si="64"/>
        <v>11233.997085264133</v>
      </c>
      <c r="K518" s="74">
        <f t="shared" si="65"/>
        <v>-32256.565253374905</v>
      </c>
      <c r="L518" s="74">
        <f t="shared" si="66"/>
        <v>8138.913246649221</v>
      </c>
      <c r="M518" s="74">
        <f t="shared" si="67"/>
        <v>33267.520358176916</v>
      </c>
      <c r="N518" s="74">
        <f t="shared" si="68"/>
        <v>-17256.565253374905</v>
      </c>
      <c r="O518" s="74">
        <f t="shared" si="69"/>
        <v>-46861.086753350777</v>
      </c>
      <c r="P518" s="74">
        <f t="shared" si="70"/>
        <v>49937.465855298004</v>
      </c>
    </row>
    <row r="519" spans="1:16" x14ac:dyDescent="0.3">
      <c r="A519" s="72">
        <f t="shared" si="57"/>
        <v>105</v>
      </c>
      <c r="B519" s="74">
        <f t="shared" si="58"/>
        <v>4991.8283877349832</v>
      </c>
      <c r="C519" s="74">
        <f t="shared" si="59"/>
        <v>6618.3344957744512</v>
      </c>
      <c r="D519" s="74">
        <f t="shared" si="60"/>
        <v>-14529.473731279844</v>
      </c>
      <c r="E519" s="74">
        <f t="shared" si="61"/>
        <v>-10485.504515152656</v>
      </c>
      <c r="F519" s="74">
        <f t="shared" si="55"/>
        <v>2960.8650268294919</v>
      </c>
      <c r="G519" s="74">
        <f t="shared" si="56"/>
        <v>4019.2451035788722</v>
      </c>
      <c r="H519" s="74">
        <f t="shared" si="62"/>
        <v>15008.171612265018</v>
      </c>
      <c r="I519" s="74">
        <f t="shared" si="63"/>
        <v>13381.665504225548</v>
      </c>
      <c r="J519" s="74">
        <f t="shared" si="64"/>
        <v>20107.565412306325</v>
      </c>
      <c r="K519" s="74">
        <f t="shared" si="65"/>
        <v>-24991.828387734982</v>
      </c>
      <c r="L519" s="74">
        <f t="shared" si="66"/>
        <v>13381.665504225548</v>
      </c>
      <c r="M519" s="74">
        <f t="shared" si="67"/>
        <v>28348.905760698704</v>
      </c>
      <c r="N519" s="74">
        <f t="shared" si="68"/>
        <v>-9991.8283877349822</v>
      </c>
      <c r="O519" s="74">
        <f t="shared" si="69"/>
        <v>-41618.334495774448</v>
      </c>
      <c r="P519" s="74">
        <f t="shared" si="70"/>
        <v>42800.96261455011</v>
      </c>
    </row>
    <row r="520" spans="1:16" x14ac:dyDescent="0.3">
      <c r="A520" s="72">
        <f t="shared" si="57"/>
        <v>105.5</v>
      </c>
      <c r="B520" s="74">
        <f t="shared" si="58"/>
        <v>-1532.6922211975661</v>
      </c>
      <c r="C520" s="74">
        <f t="shared" si="59"/>
        <v>2380.3935140928415</v>
      </c>
      <c r="D520" s="74">
        <f t="shared" si="60"/>
        <v>-13049.041217865099</v>
      </c>
      <c r="E520" s="74">
        <f t="shared" si="61"/>
        <v>-8475.8819633632193</v>
      </c>
      <c r="F520" s="74">
        <f t="shared" si="55"/>
        <v>1172.9737248470447</v>
      </c>
      <c r="G520" s="74">
        <f t="shared" si="56"/>
        <v>2160.0083258710638</v>
      </c>
      <c r="H520" s="74">
        <f t="shared" si="62"/>
        <v>21532.692221197565</v>
      </c>
      <c r="I520" s="74">
        <f t="shared" si="63"/>
        <v>17619.606485907159</v>
      </c>
      <c r="J520" s="74">
        <f t="shared" si="64"/>
        <v>27822.78503333273</v>
      </c>
      <c r="K520" s="74">
        <f t="shared" si="65"/>
        <v>-18467.307778802435</v>
      </c>
      <c r="L520" s="74">
        <f t="shared" si="66"/>
        <v>17619.606485907159</v>
      </c>
      <c r="M520" s="74">
        <f t="shared" si="67"/>
        <v>25524.341114223469</v>
      </c>
      <c r="N520" s="74">
        <f t="shared" si="68"/>
        <v>-3467.3077788024339</v>
      </c>
      <c r="O520" s="74">
        <f t="shared" si="69"/>
        <v>-37380.393514092844</v>
      </c>
      <c r="P520" s="74">
        <f t="shared" si="70"/>
        <v>37540.858308000606</v>
      </c>
    </row>
    <row r="521" spans="1:16" x14ac:dyDescent="0.3">
      <c r="A521" s="72">
        <f t="shared" si="57"/>
        <v>106</v>
      </c>
      <c r="B521" s="74">
        <f t="shared" si="58"/>
        <v>-7763.9693989183543</v>
      </c>
      <c r="C521" s="74">
        <f t="shared" si="59"/>
        <v>-1317.5453861210021</v>
      </c>
      <c r="D521" s="74">
        <f t="shared" si="60"/>
        <v>-12462.554355441576</v>
      </c>
      <c r="E521" s="74">
        <f t="shared" si="61"/>
        <v>-7395.8778004276874</v>
      </c>
      <c r="F521" s="74">
        <f t="shared" si="55"/>
        <v>1155.5534509332974</v>
      </c>
      <c r="G521" s="74">
        <f t="shared" si="56"/>
        <v>1275.1738940326613</v>
      </c>
      <c r="H521" s="74">
        <f t="shared" si="62"/>
        <v>27763.969398918354</v>
      </c>
      <c r="I521" s="74">
        <f t="shared" si="63"/>
        <v>21317.545386121001</v>
      </c>
      <c r="J521" s="74">
        <f t="shared" si="64"/>
        <v>35003.938893693143</v>
      </c>
      <c r="K521" s="74">
        <f t="shared" si="65"/>
        <v>-12236.030601081646</v>
      </c>
      <c r="L521" s="74">
        <f t="shared" si="66"/>
        <v>21317.545386121001</v>
      </c>
      <c r="M521" s="74">
        <f t="shared" si="67"/>
        <v>24579.629495985802</v>
      </c>
      <c r="N521" s="74">
        <f t="shared" si="68"/>
        <v>2763.9693989183543</v>
      </c>
      <c r="O521" s="74">
        <f t="shared" si="69"/>
        <v>-33682.454613878996</v>
      </c>
      <c r="P521" s="74">
        <f t="shared" si="70"/>
        <v>33795.669480780751</v>
      </c>
    </row>
    <row r="522" spans="1:16" x14ac:dyDescent="0.3">
      <c r="A522" s="72">
        <f t="shared" si="57"/>
        <v>106.5</v>
      </c>
      <c r="B522" s="74">
        <f t="shared" si="58"/>
        <v>-13706.35821390582</v>
      </c>
      <c r="C522" s="74">
        <f t="shared" si="59"/>
        <v>-4696.6908128266805</v>
      </c>
      <c r="D522" s="74">
        <f t="shared" si="60"/>
        <v>-11884.777629974928</v>
      </c>
      <c r="E522" s="74">
        <f t="shared" si="61"/>
        <v>-6758.2908534113567</v>
      </c>
      <c r="F522" s="74">
        <f t="shared" si="55"/>
        <v>2079.6330190243857</v>
      </c>
      <c r="G522" s="74">
        <f t="shared" si="56"/>
        <v>575.65465950958969</v>
      </c>
      <c r="H522" s="74">
        <f t="shared" si="62"/>
        <v>33706.35821390582</v>
      </c>
      <c r="I522" s="74">
        <f t="shared" si="63"/>
        <v>24696.69081282668</v>
      </c>
      <c r="J522" s="74">
        <f t="shared" si="64"/>
        <v>41785.704746342308</v>
      </c>
      <c r="K522" s="74">
        <f t="shared" si="65"/>
        <v>-6293.6417860941801</v>
      </c>
      <c r="L522" s="74">
        <f t="shared" si="66"/>
        <v>24696.69081282668</v>
      </c>
      <c r="M522" s="74">
        <f t="shared" si="67"/>
        <v>25486.005258494875</v>
      </c>
      <c r="N522" s="74">
        <f t="shared" si="68"/>
        <v>8706.3582139058199</v>
      </c>
      <c r="O522" s="74">
        <f t="shared" si="69"/>
        <v>-30303.30918717332</v>
      </c>
      <c r="P522" s="74">
        <f t="shared" si="70"/>
        <v>31529.212185563221</v>
      </c>
    </row>
    <row r="523" spans="1:16" x14ac:dyDescent="0.3">
      <c r="A523" s="72">
        <f t="shared" si="57"/>
        <v>107</v>
      </c>
      <c r="B523" s="74">
        <f t="shared" si="58"/>
        <v>-19128.838774137184</v>
      </c>
      <c r="C523" s="74">
        <f t="shared" si="59"/>
        <v>-7931.922574654961</v>
      </c>
      <c r="D523" s="74">
        <f t="shared" si="60"/>
        <v>-10844.961120462734</v>
      </c>
      <c r="E523" s="74">
        <f t="shared" si="61"/>
        <v>-6470.4635236565618</v>
      </c>
      <c r="F523" s="74">
        <f t="shared" si="55"/>
        <v>3092.5604889479687</v>
      </c>
      <c r="G523" s="74">
        <f t="shared" si="56"/>
        <v>8.6651630543833562</v>
      </c>
      <c r="H523" s="74">
        <f t="shared" si="62"/>
        <v>39128.838774137184</v>
      </c>
      <c r="I523" s="74">
        <f t="shared" si="63"/>
        <v>27931.92257465496</v>
      </c>
      <c r="J523" s="74">
        <f t="shared" si="64"/>
        <v>48075.548073099919</v>
      </c>
      <c r="K523" s="74">
        <f t="shared" si="65"/>
        <v>-871.16122586281563</v>
      </c>
      <c r="L523" s="74">
        <f t="shared" si="66"/>
        <v>27931.92257465496</v>
      </c>
      <c r="M523" s="74">
        <f t="shared" si="67"/>
        <v>27945.504479217514</v>
      </c>
      <c r="N523" s="74">
        <f t="shared" si="68"/>
        <v>14128.838774137184</v>
      </c>
      <c r="O523" s="74">
        <f t="shared" si="69"/>
        <v>-27068.07742534504</v>
      </c>
      <c r="P523" s="74">
        <f t="shared" si="70"/>
        <v>30533.668312373411</v>
      </c>
    </row>
    <row r="524" spans="1:16" x14ac:dyDescent="0.3">
      <c r="A524" s="72">
        <f t="shared" si="57"/>
        <v>107.5</v>
      </c>
      <c r="B524" s="74">
        <f t="shared" si="58"/>
        <v>-23778.179212131559</v>
      </c>
      <c r="C524" s="74">
        <f t="shared" si="59"/>
        <v>-11164.988045719645</v>
      </c>
      <c r="D524" s="74">
        <f t="shared" si="60"/>
        <v>-9298.6808759887499</v>
      </c>
      <c r="E524" s="74">
        <f t="shared" si="61"/>
        <v>-6466.1309421293699</v>
      </c>
      <c r="F524" s="74">
        <f t="shared" si="55"/>
        <v>3773.163631090632</v>
      </c>
      <c r="G524" s="74">
        <f t="shared" si="56"/>
        <v>-296.42465442294269</v>
      </c>
      <c r="H524" s="74">
        <f t="shared" si="62"/>
        <v>43778.179212131559</v>
      </c>
      <c r="I524" s="74">
        <f t="shared" si="63"/>
        <v>31164.988045719645</v>
      </c>
      <c r="J524" s="74">
        <f t="shared" si="64"/>
        <v>53738.119198752727</v>
      </c>
      <c r="K524" s="74">
        <f t="shared" si="65"/>
        <v>3778.1792121315593</v>
      </c>
      <c r="L524" s="74">
        <f t="shared" si="66"/>
        <v>31164.988045719645</v>
      </c>
      <c r="M524" s="74">
        <f t="shared" si="67"/>
        <v>31393.169926734561</v>
      </c>
      <c r="N524" s="74">
        <f t="shared" si="68"/>
        <v>18778.179212131559</v>
      </c>
      <c r="O524" s="74">
        <f t="shared" si="69"/>
        <v>-23835.011954280355</v>
      </c>
      <c r="P524" s="74">
        <f t="shared" si="70"/>
        <v>30343.496986728758</v>
      </c>
    </row>
    <row r="525" spans="1:16" x14ac:dyDescent="0.3">
      <c r="A525" s="72">
        <f t="shared" si="57"/>
        <v>108</v>
      </c>
      <c r="B525" s="74">
        <f t="shared" si="58"/>
        <v>-27484.228742353276</v>
      </c>
      <c r="C525" s="74">
        <f t="shared" si="59"/>
        <v>-14472.159680390065</v>
      </c>
      <c r="D525" s="74">
        <f t="shared" si="60"/>
        <v>-7412.0990604434337</v>
      </c>
      <c r="E525" s="74">
        <f t="shared" si="61"/>
        <v>-6614.3432693408413</v>
      </c>
      <c r="F525" s="74">
        <f t="shared" si="55"/>
        <v>4144.1870259069819</v>
      </c>
      <c r="G525" s="74">
        <f t="shared" si="56"/>
        <v>-365.97198416966512</v>
      </c>
      <c r="H525" s="74">
        <f t="shared" si="62"/>
        <v>47484.228742353276</v>
      </c>
      <c r="I525" s="74">
        <f t="shared" si="63"/>
        <v>34472.159680390061</v>
      </c>
      <c r="J525" s="74">
        <f t="shared" si="64"/>
        <v>58677.779203770478</v>
      </c>
      <c r="K525" s="74">
        <f t="shared" si="65"/>
        <v>7484.2287423532762</v>
      </c>
      <c r="L525" s="74">
        <f t="shared" si="66"/>
        <v>34472.159680390061</v>
      </c>
      <c r="M525" s="74">
        <f t="shared" si="67"/>
        <v>35275.252981349076</v>
      </c>
      <c r="N525" s="74">
        <f t="shared" si="68"/>
        <v>22484.228742353276</v>
      </c>
      <c r="O525" s="74">
        <f t="shared" si="69"/>
        <v>-20527.840319609935</v>
      </c>
      <c r="P525" s="74">
        <f t="shared" si="70"/>
        <v>30445.570619153594</v>
      </c>
    </row>
    <row r="526" spans="1:16" x14ac:dyDescent="0.3">
      <c r="A526" s="72">
        <f t="shared" si="57"/>
        <v>108.5</v>
      </c>
      <c r="B526" s="74">
        <f t="shared" si="58"/>
        <v>-30154.231516098247</v>
      </c>
      <c r="C526" s="74">
        <f t="shared" si="59"/>
        <v>-17870.824311102901</v>
      </c>
      <c r="D526" s="74">
        <f t="shared" si="60"/>
        <v>-5340.0055474899427</v>
      </c>
      <c r="E526" s="74">
        <f t="shared" si="61"/>
        <v>-6797.3292614256734</v>
      </c>
      <c r="F526" s="74">
        <f t="shared" si="55"/>
        <v>4360.5033333364336</v>
      </c>
      <c r="G526" s="74">
        <f t="shared" si="56"/>
        <v>-299.72777692182626</v>
      </c>
      <c r="H526" s="74">
        <f t="shared" si="62"/>
        <v>50154.231516098247</v>
      </c>
      <c r="I526" s="74">
        <f t="shared" si="63"/>
        <v>37870.824311102901</v>
      </c>
      <c r="J526" s="74">
        <f t="shared" si="64"/>
        <v>62846.211285747406</v>
      </c>
      <c r="K526" s="74">
        <f t="shared" si="65"/>
        <v>10154.231516098247</v>
      </c>
      <c r="L526" s="74">
        <f t="shared" si="66"/>
        <v>37870.824311102901</v>
      </c>
      <c r="M526" s="74">
        <f t="shared" si="67"/>
        <v>39208.516315782028</v>
      </c>
      <c r="N526" s="74">
        <f t="shared" si="68"/>
        <v>25154.231516098247</v>
      </c>
      <c r="O526" s="74">
        <f t="shared" si="69"/>
        <v>-17129.175688897099</v>
      </c>
      <c r="P526" s="74">
        <f t="shared" si="70"/>
        <v>30432.614461241639</v>
      </c>
    </row>
    <row r="527" spans="1:16" x14ac:dyDescent="0.3">
      <c r="A527" s="72">
        <f t="shared" si="57"/>
        <v>109</v>
      </c>
      <c r="B527" s="74">
        <f t="shared" si="58"/>
        <v>-31734.108456509108</v>
      </c>
      <c r="C527" s="74">
        <f t="shared" si="59"/>
        <v>-21344.420886046191</v>
      </c>
      <c r="D527" s="74">
        <f t="shared" si="60"/>
        <v>-3159.7538808217259</v>
      </c>
      <c r="E527" s="74">
        <f t="shared" si="61"/>
        <v>-6947.193149886587</v>
      </c>
      <c r="F527" s="74">
        <f t="shared" si="55"/>
        <v>4557.4531668060099</v>
      </c>
      <c r="G527" s="74">
        <f t="shared" si="56"/>
        <v>-167.8132371287611</v>
      </c>
      <c r="H527" s="74">
        <f t="shared" si="62"/>
        <v>51734.108456509108</v>
      </c>
      <c r="I527" s="74">
        <f t="shared" si="63"/>
        <v>41344.420886046195</v>
      </c>
      <c r="J527" s="74">
        <f t="shared" si="64"/>
        <v>66225.215108690885</v>
      </c>
      <c r="K527" s="74">
        <f t="shared" si="65"/>
        <v>11734.108456509108</v>
      </c>
      <c r="L527" s="74">
        <f t="shared" si="66"/>
        <v>41344.420886046195</v>
      </c>
      <c r="M527" s="74">
        <f t="shared" si="67"/>
        <v>42977.324715152427</v>
      </c>
      <c r="N527" s="74">
        <f t="shared" si="68"/>
        <v>26734.108456509108</v>
      </c>
      <c r="O527" s="74">
        <f t="shared" si="69"/>
        <v>-13655.579113953809</v>
      </c>
      <c r="P527" s="74">
        <f t="shared" si="70"/>
        <v>30019.783408643096</v>
      </c>
    </row>
    <row r="528" spans="1:16" x14ac:dyDescent="0.3">
      <c r="A528" s="72">
        <f t="shared" si="57"/>
        <v>109.5</v>
      </c>
      <c r="B528" s="74">
        <f t="shared" si="58"/>
        <v>-32174.622105218466</v>
      </c>
      <c r="C528" s="74">
        <f t="shared" si="59"/>
        <v>-24859.970770271677</v>
      </c>
      <c r="D528" s="74">
        <f t="shared" si="60"/>
        <v>-881.02729741872099</v>
      </c>
      <c r="E528" s="74">
        <f t="shared" si="61"/>
        <v>-7031.0997684509675</v>
      </c>
      <c r="F528" s="74">
        <f t="shared" si="55"/>
        <v>4840.5916653869463</v>
      </c>
      <c r="G528" s="74">
        <f t="shared" si="56"/>
        <v>5.1200750035079636</v>
      </c>
      <c r="H528" s="74">
        <f t="shared" si="62"/>
        <v>52174.62210521847</v>
      </c>
      <c r="I528" s="74">
        <f t="shared" si="63"/>
        <v>44859.970770271677</v>
      </c>
      <c r="J528" s="74">
        <f t="shared" si="64"/>
        <v>68808.489078979066</v>
      </c>
      <c r="K528" s="74">
        <f t="shared" si="65"/>
        <v>12174.622105218466</v>
      </c>
      <c r="L528" s="74">
        <f t="shared" si="66"/>
        <v>44859.970770271677</v>
      </c>
      <c r="M528" s="74">
        <f t="shared" si="67"/>
        <v>46482.667747392719</v>
      </c>
      <c r="N528" s="74">
        <f t="shared" si="68"/>
        <v>27174.622105218466</v>
      </c>
      <c r="O528" s="74">
        <f t="shared" si="69"/>
        <v>-10140.029229728323</v>
      </c>
      <c r="P528" s="74">
        <f t="shared" si="70"/>
        <v>29004.831999878446</v>
      </c>
    </row>
    <row r="529" spans="1:16" x14ac:dyDescent="0.3">
      <c r="A529" s="72">
        <f t="shared" si="57"/>
        <v>110</v>
      </c>
      <c r="B529" s="74">
        <f t="shared" si="58"/>
        <v>-31404.987837581088</v>
      </c>
      <c r="C529" s="74">
        <f t="shared" si="59"/>
        <v>-28374.240635746282</v>
      </c>
      <c r="D529" s="74">
        <f t="shared" si="60"/>
        <v>1539.2685352747521</v>
      </c>
      <c r="E529" s="74">
        <f t="shared" si="61"/>
        <v>-7028.5397309492137</v>
      </c>
      <c r="F529" s="74">
        <f t="shared" si="55"/>
        <v>5320.0233951710343</v>
      </c>
      <c r="G529" s="74">
        <f t="shared" si="56"/>
        <v>234.75645700196765</v>
      </c>
      <c r="H529" s="74">
        <f t="shared" si="62"/>
        <v>51404.987837581088</v>
      </c>
      <c r="I529" s="74">
        <f t="shared" si="63"/>
        <v>48374.240635746282</v>
      </c>
      <c r="J529" s="74">
        <f t="shared" si="64"/>
        <v>70587.10882071135</v>
      </c>
      <c r="K529" s="74">
        <f t="shared" si="65"/>
        <v>11404.987837581088</v>
      </c>
      <c r="L529" s="74">
        <f t="shared" si="66"/>
        <v>48374.240635746282</v>
      </c>
      <c r="M529" s="74">
        <f t="shared" si="67"/>
        <v>49700.512116682054</v>
      </c>
      <c r="N529" s="74">
        <f t="shared" si="68"/>
        <v>26404.987837581088</v>
      </c>
      <c r="O529" s="74">
        <f t="shared" si="69"/>
        <v>-6625.7593642537176</v>
      </c>
      <c r="P529" s="74">
        <f t="shared" si="70"/>
        <v>27223.593992267095</v>
      </c>
    </row>
    <row r="530" spans="1:16" x14ac:dyDescent="0.3">
      <c r="A530" s="72">
        <f t="shared" si="57"/>
        <v>110.5</v>
      </c>
      <c r="B530" s="74">
        <f t="shared" si="58"/>
        <v>-29305.347721150953</v>
      </c>
      <c r="C530" s="74">
        <f t="shared" si="59"/>
        <v>-31829.821386970398</v>
      </c>
      <c r="D530" s="74">
        <f t="shared" si="60"/>
        <v>4199.2802328602693</v>
      </c>
      <c r="E530" s="74">
        <f t="shared" si="61"/>
        <v>-6911.1615024482298</v>
      </c>
      <c r="F530" s="74">
        <f t="shared" si="55"/>
        <v>6167.9230855887508</v>
      </c>
      <c r="G530" s="74">
        <f t="shared" si="56"/>
        <v>595.9555940008064</v>
      </c>
      <c r="H530" s="74">
        <f t="shared" si="62"/>
        <v>49305.347721150953</v>
      </c>
      <c r="I530" s="74">
        <f t="shared" si="63"/>
        <v>51829.821386970398</v>
      </c>
      <c r="J530" s="74">
        <f t="shared" si="64"/>
        <v>71535.639361851368</v>
      </c>
      <c r="K530" s="74">
        <f t="shared" si="65"/>
        <v>9305.3477211509526</v>
      </c>
      <c r="L530" s="74">
        <f t="shared" si="66"/>
        <v>51829.821386970398</v>
      </c>
      <c r="M530" s="74">
        <f t="shared" si="67"/>
        <v>52658.521449208805</v>
      </c>
      <c r="N530" s="74">
        <f t="shared" si="68"/>
        <v>24305.347721150953</v>
      </c>
      <c r="O530" s="74">
        <f t="shared" si="69"/>
        <v>-3170.1786130296023</v>
      </c>
      <c r="P530" s="74">
        <f t="shared" si="70"/>
        <v>24511.221109617694</v>
      </c>
    </row>
    <row r="531" spans="1:16" x14ac:dyDescent="0.3">
      <c r="A531" s="72">
        <f t="shared" si="57"/>
        <v>111</v>
      </c>
      <c r="B531" s="74">
        <f t="shared" si="58"/>
        <v>-25663.726833323628</v>
      </c>
      <c r="C531" s="74">
        <f t="shared" si="59"/>
        <v>-35136.41323969431</v>
      </c>
      <c r="D531" s="74">
        <f t="shared" si="60"/>
        <v>7283.2417756546447</v>
      </c>
      <c r="E531" s="74">
        <f t="shared" si="61"/>
        <v>-6613.1837054478265</v>
      </c>
      <c r="F531" s="74">
        <f t="shared" si="55"/>
        <v>7729.9436361136968</v>
      </c>
      <c r="G531" s="74">
        <f t="shared" si="56"/>
        <v>1332.0017227480996</v>
      </c>
      <c r="H531" s="74">
        <f t="shared" si="62"/>
        <v>45663.726833323628</v>
      </c>
      <c r="I531" s="74">
        <f t="shared" si="63"/>
        <v>55136.41323969431</v>
      </c>
      <c r="J531" s="74">
        <f t="shared" si="64"/>
        <v>71590.502255863088</v>
      </c>
      <c r="K531" s="74">
        <f t="shared" si="65"/>
        <v>5663.7268333236279</v>
      </c>
      <c r="L531" s="74">
        <f t="shared" si="66"/>
        <v>55136.41323969431</v>
      </c>
      <c r="M531" s="74">
        <f t="shared" si="67"/>
        <v>55426.544782990466</v>
      </c>
      <c r="N531" s="74">
        <f t="shared" si="68"/>
        <v>20663.726833323628</v>
      </c>
      <c r="O531" s="74">
        <f t="shared" si="69"/>
        <v>136.4132396943096</v>
      </c>
      <c r="P531" s="74">
        <f t="shared" si="70"/>
        <v>20664.177099855267</v>
      </c>
    </row>
    <row r="532" spans="1:16" x14ac:dyDescent="0.3">
      <c r="A532" s="72">
        <f t="shared" si="57"/>
        <v>111.5</v>
      </c>
      <c r="B532" s="74">
        <f t="shared" si="58"/>
        <v>-20089.620036467884</v>
      </c>
      <c r="C532" s="74">
        <f t="shared" si="59"/>
        <v>-38110.004661731196</v>
      </c>
      <c r="D532" s="74">
        <f t="shared" si="60"/>
        <v>11148.213593711493</v>
      </c>
      <c r="E532" s="74">
        <f t="shared" si="61"/>
        <v>-5947.1828440737763</v>
      </c>
      <c r="F532" s="74">
        <f t="shared" si="55"/>
        <v>10664.427434810126</v>
      </c>
      <c r="G532" s="74">
        <f t="shared" si="56"/>
        <v>3391.2571794061428</v>
      </c>
      <c r="H532" s="74">
        <f t="shared" si="62"/>
        <v>40089.620036467881</v>
      </c>
      <c r="I532" s="74">
        <f t="shared" si="63"/>
        <v>58110.004661731196</v>
      </c>
      <c r="J532" s="74">
        <f t="shared" si="64"/>
        <v>70597.098215541322</v>
      </c>
      <c r="K532" s="74">
        <f t="shared" si="65"/>
        <v>89.620036467884347</v>
      </c>
      <c r="L532" s="74">
        <f t="shared" si="66"/>
        <v>58110.004661731196</v>
      </c>
      <c r="M532" s="74">
        <f t="shared" si="67"/>
        <v>58110.073769849558</v>
      </c>
      <c r="N532" s="74">
        <f t="shared" si="68"/>
        <v>15089.620036467884</v>
      </c>
      <c r="O532" s="74">
        <f t="shared" si="69"/>
        <v>3110.0046617311964</v>
      </c>
      <c r="P532" s="74">
        <f t="shared" si="70"/>
        <v>15406.776490913431</v>
      </c>
    </row>
    <row r="533" spans="1:16" x14ac:dyDescent="0.3">
      <c r="A533" s="72">
        <f t="shared" si="57"/>
        <v>112</v>
      </c>
      <c r="B533" s="74">
        <f t="shared" si="58"/>
        <v>-11849.406380909606</v>
      </c>
      <c r="C533" s="74">
        <f t="shared" si="59"/>
        <v>-40235.781788916545</v>
      </c>
      <c r="D533" s="74">
        <f t="shared" si="60"/>
        <v>16480.427311116557</v>
      </c>
      <c r="E533" s="74">
        <f t="shared" si="61"/>
        <v>-4251.5542543707052</v>
      </c>
      <c r="F533" s="74">
        <f t="shared" si="55"/>
        <v>12797.585446371189</v>
      </c>
      <c r="G533" s="74">
        <f t="shared" si="56"/>
        <v>10861.494968534585</v>
      </c>
      <c r="H533" s="74">
        <f t="shared" si="62"/>
        <v>31849.406380909604</v>
      </c>
      <c r="I533" s="74">
        <f t="shared" si="63"/>
        <v>60235.781788916545</v>
      </c>
      <c r="J533" s="74">
        <f t="shared" si="64"/>
        <v>68137.611453134276</v>
      </c>
      <c r="K533" s="74">
        <f t="shared" si="65"/>
        <v>-8150.593619090394</v>
      </c>
      <c r="L533" s="74">
        <f t="shared" si="66"/>
        <v>60235.781788916545</v>
      </c>
      <c r="M533" s="74">
        <f t="shared" si="67"/>
        <v>60784.715052926971</v>
      </c>
      <c r="N533" s="74">
        <f t="shared" si="68"/>
        <v>6849.406380909606</v>
      </c>
      <c r="O533" s="74">
        <f t="shared" si="69"/>
        <v>5235.7817889165453</v>
      </c>
      <c r="P533" s="74">
        <f t="shared" si="70"/>
        <v>8621.3559671315834</v>
      </c>
    </row>
    <row r="534" spans="1:16" x14ac:dyDescent="0.3">
      <c r="A534" s="72">
        <f t="shared" si="57"/>
        <v>112.5</v>
      </c>
      <c r="B534" s="74">
        <f t="shared" si="58"/>
        <v>-409.79636375853033</v>
      </c>
      <c r="C534" s="74">
        <f t="shared" si="59"/>
        <v>-39646.185173968253</v>
      </c>
      <c r="D534" s="74">
        <f t="shared" si="60"/>
        <v>22879.22003430215</v>
      </c>
      <c r="E534" s="74">
        <f t="shared" si="61"/>
        <v>1179.1932298965876</v>
      </c>
      <c r="F534" s="74">
        <f t="shared" si="55"/>
        <v>-11121.455801128775</v>
      </c>
      <c r="G534" s="74">
        <f t="shared" si="56"/>
        <v>12887.442635652296</v>
      </c>
      <c r="H534" s="74">
        <f t="shared" si="62"/>
        <v>20409.796363758531</v>
      </c>
      <c r="I534" s="74">
        <f t="shared" si="63"/>
        <v>59646.185173968253</v>
      </c>
      <c r="J534" s="74">
        <f t="shared" si="64"/>
        <v>63041.472011822516</v>
      </c>
      <c r="K534" s="74">
        <f t="shared" si="65"/>
        <v>-19590.203636241469</v>
      </c>
      <c r="L534" s="74">
        <f t="shared" si="66"/>
        <v>59646.185173968253</v>
      </c>
      <c r="M534" s="74">
        <f t="shared" si="67"/>
        <v>62780.916561617021</v>
      </c>
      <c r="N534" s="74">
        <f t="shared" si="68"/>
        <v>-4590.2036362414692</v>
      </c>
      <c r="O534" s="74">
        <f t="shared" si="69"/>
        <v>4646.1851739682534</v>
      </c>
      <c r="P534" s="74">
        <f t="shared" si="70"/>
        <v>6531.2331219278039</v>
      </c>
    </row>
    <row r="535" spans="1:16" x14ac:dyDescent="0.3">
      <c r="A535" s="72">
        <f t="shared" si="57"/>
        <v>113</v>
      </c>
      <c r="B535" s="74">
        <f t="shared" si="58"/>
        <v>8249.449703110351</v>
      </c>
      <c r="C535" s="74">
        <f t="shared" si="59"/>
        <v>-35834.727900106889</v>
      </c>
      <c r="D535" s="74">
        <f t="shared" si="60"/>
        <v>17318.492133737764</v>
      </c>
      <c r="E535" s="74">
        <f t="shared" si="61"/>
        <v>7622.9145477227357</v>
      </c>
      <c r="F535" s="74">
        <f t="shared" si="55"/>
        <v>-12075.868706868918</v>
      </c>
      <c r="G535" s="74">
        <f t="shared" si="56"/>
        <v>2441.7371006056173</v>
      </c>
      <c r="H535" s="74">
        <f t="shared" si="62"/>
        <v>11750.550296889649</v>
      </c>
      <c r="I535" s="74">
        <f t="shared" si="63"/>
        <v>55834.727900106889</v>
      </c>
      <c r="J535" s="74">
        <f t="shared" si="64"/>
        <v>57057.797643781414</v>
      </c>
      <c r="K535" s="74">
        <f t="shared" si="65"/>
        <v>-28249.449703110353</v>
      </c>
      <c r="L535" s="74">
        <f t="shared" si="66"/>
        <v>55834.727900106889</v>
      </c>
      <c r="M535" s="74">
        <f t="shared" si="67"/>
        <v>62574.341772067695</v>
      </c>
      <c r="N535" s="74">
        <f t="shared" si="68"/>
        <v>-13249.449703110351</v>
      </c>
      <c r="O535" s="74">
        <f t="shared" si="69"/>
        <v>834.72790010688914</v>
      </c>
      <c r="P535" s="74">
        <f t="shared" si="70"/>
        <v>13275.717988209444</v>
      </c>
    </row>
    <row r="536" spans="1:16" x14ac:dyDescent="0.3">
      <c r="A536" s="72">
        <f t="shared" si="57"/>
        <v>113.5</v>
      </c>
      <c r="B536" s="74">
        <f t="shared" si="58"/>
        <v>13889.728593262003</v>
      </c>
      <c r="C536" s="74">
        <f t="shared" si="59"/>
        <v>-31412.836351094116</v>
      </c>
      <c r="D536" s="74">
        <f t="shared" si="60"/>
        <v>11280.557780303305</v>
      </c>
      <c r="E536" s="74">
        <f t="shared" si="61"/>
        <v>8843.7830980255439</v>
      </c>
      <c r="F536" s="74">
        <f t="shared" si="55"/>
        <v>-7902.1765232223606</v>
      </c>
      <c r="G536" s="74">
        <f t="shared" si="56"/>
        <v>453.15903125694172</v>
      </c>
      <c r="H536" s="74">
        <f t="shared" si="62"/>
        <v>6110.2714067379966</v>
      </c>
      <c r="I536" s="74">
        <f t="shared" si="63"/>
        <v>51412.836351094113</v>
      </c>
      <c r="J536" s="74">
        <f t="shared" si="64"/>
        <v>51774.657491174039</v>
      </c>
      <c r="K536" s="74">
        <f t="shared" si="65"/>
        <v>-33889.728593262</v>
      </c>
      <c r="L536" s="74">
        <f t="shared" si="66"/>
        <v>51412.836351094113</v>
      </c>
      <c r="M536" s="74">
        <f t="shared" si="67"/>
        <v>61577.540108300396</v>
      </c>
      <c r="N536" s="74">
        <f t="shared" si="68"/>
        <v>-18889.728593262003</v>
      </c>
      <c r="O536" s="74">
        <f t="shared" si="69"/>
        <v>-3587.1636489058837</v>
      </c>
      <c r="P536" s="74">
        <f t="shared" si="70"/>
        <v>19227.313628563192</v>
      </c>
    </row>
    <row r="537" spans="1:16" x14ac:dyDescent="0.3">
      <c r="A537" s="72">
        <f t="shared" si="57"/>
        <v>114</v>
      </c>
      <c r="B537" s="74">
        <f t="shared" si="58"/>
        <v>17554.463352608065</v>
      </c>
      <c r="C537" s="74">
        <f t="shared" si="59"/>
        <v>-26877.655044267107</v>
      </c>
      <c r="D537" s="74">
        <f t="shared" si="60"/>
        <v>7329.4695186921244</v>
      </c>
      <c r="E537" s="74">
        <f t="shared" si="61"/>
        <v>9070.3626136540151</v>
      </c>
      <c r="F537" s="74">
        <f t="shared" si="55"/>
        <v>-5660.4353229424541</v>
      </c>
      <c r="G537" s="74">
        <f t="shared" si="56"/>
        <v>286.52456961865641</v>
      </c>
      <c r="H537" s="74">
        <f t="shared" si="62"/>
        <v>2445.5366473919348</v>
      </c>
      <c r="I537" s="74">
        <f t="shared" si="63"/>
        <v>46877.655044267107</v>
      </c>
      <c r="J537" s="74">
        <f t="shared" si="64"/>
        <v>46941.401682768679</v>
      </c>
      <c r="K537" s="74">
        <f t="shared" si="65"/>
        <v>-37554.463352608065</v>
      </c>
      <c r="L537" s="74">
        <f t="shared" si="66"/>
        <v>46877.655044267107</v>
      </c>
      <c r="M537" s="74">
        <f t="shared" si="67"/>
        <v>60065.39985841835</v>
      </c>
      <c r="N537" s="74">
        <f t="shared" si="68"/>
        <v>-22554.463352608065</v>
      </c>
      <c r="O537" s="74">
        <f t="shared" si="69"/>
        <v>-8122.3449557328931</v>
      </c>
      <c r="P537" s="74">
        <f t="shared" si="70"/>
        <v>23972.407152892672</v>
      </c>
    </row>
    <row r="538" spans="1:16" x14ac:dyDescent="0.3">
      <c r="A538" s="72">
        <f t="shared" si="57"/>
        <v>114.5</v>
      </c>
      <c r="B538" s="74">
        <f t="shared" si="58"/>
        <v>19804.089281218512</v>
      </c>
      <c r="C538" s="74">
        <f t="shared" si="59"/>
        <v>-22270.842595035436</v>
      </c>
      <c r="D538" s="74">
        <f t="shared" si="60"/>
        <v>4499.2518572208974</v>
      </c>
      <c r="E538" s="74">
        <f t="shared" si="61"/>
        <v>9213.6248984633439</v>
      </c>
      <c r="F538" s="74">
        <f t="shared" si="55"/>
        <v>-4412.5897283650793</v>
      </c>
      <c r="G538" s="74">
        <f t="shared" si="56"/>
        <v>558.55870875632718</v>
      </c>
      <c r="H538" s="74">
        <f t="shared" si="62"/>
        <v>195.91071878148796</v>
      </c>
      <c r="I538" s="74">
        <f t="shared" si="63"/>
        <v>42270.842595035436</v>
      </c>
      <c r="J538" s="74">
        <f t="shared" si="64"/>
        <v>42271.296581770417</v>
      </c>
      <c r="K538" s="74">
        <f t="shared" si="65"/>
        <v>-39804.089281218512</v>
      </c>
      <c r="L538" s="74">
        <f t="shared" si="66"/>
        <v>42270.842595035436</v>
      </c>
      <c r="M538" s="74">
        <f t="shared" si="67"/>
        <v>58061.94672245736</v>
      </c>
      <c r="N538" s="74">
        <f t="shared" si="68"/>
        <v>-24804.089281218512</v>
      </c>
      <c r="O538" s="74">
        <f t="shared" si="69"/>
        <v>-12729.157404964564</v>
      </c>
      <c r="P538" s="74">
        <f t="shared" si="70"/>
        <v>27879.639404250251</v>
      </c>
    </row>
    <row r="539" spans="1:16" x14ac:dyDescent="0.3">
      <c r="A539" s="72">
        <f t="shared" si="57"/>
        <v>115</v>
      </c>
      <c r="B539" s="74">
        <f t="shared" si="58"/>
        <v>20950.567777737688</v>
      </c>
      <c r="C539" s="74">
        <f t="shared" si="59"/>
        <v>-17524.390468614682</v>
      </c>
      <c r="D539" s="74">
        <f t="shared" si="60"/>
        <v>2292.9569930383577</v>
      </c>
      <c r="E539" s="74">
        <f t="shared" si="61"/>
        <v>9492.9042528415084</v>
      </c>
      <c r="F539" s="74">
        <f t="shared" si="55"/>
        <v>-3632.5798507307818</v>
      </c>
      <c r="G539" s="74">
        <f t="shared" si="56"/>
        <v>1071.0827985346209</v>
      </c>
      <c r="H539" s="74">
        <f t="shared" si="62"/>
        <v>-950.56777773768772</v>
      </c>
      <c r="I539" s="74">
        <f t="shared" si="63"/>
        <v>37524.390468614685</v>
      </c>
      <c r="J539" s="74">
        <f t="shared" si="64"/>
        <v>37536.428428143423</v>
      </c>
      <c r="K539" s="74">
        <f t="shared" si="65"/>
        <v>-40950.567777737684</v>
      </c>
      <c r="L539" s="74">
        <f t="shared" si="66"/>
        <v>37524.390468614685</v>
      </c>
      <c r="M539" s="74">
        <f t="shared" si="67"/>
        <v>55543.036299433152</v>
      </c>
      <c r="N539" s="74">
        <f t="shared" si="68"/>
        <v>-25950.567777737688</v>
      </c>
      <c r="O539" s="74">
        <f t="shared" si="69"/>
        <v>-17475.609531385318</v>
      </c>
      <c r="P539" s="74">
        <f t="shared" si="70"/>
        <v>31286.241328743901</v>
      </c>
    </row>
    <row r="540" spans="1:16" x14ac:dyDescent="0.3">
      <c r="A540" s="72">
        <f t="shared" si="57"/>
        <v>115.5</v>
      </c>
      <c r="B540" s="74">
        <f t="shared" si="58"/>
        <v>21188.901311574173</v>
      </c>
      <c r="C540" s="74">
        <f t="shared" si="59"/>
        <v>-12510.167642560273</v>
      </c>
      <c r="D540" s="74">
        <f t="shared" si="60"/>
        <v>476.66706767296682</v>
      </c>
      <c r="E540" s="74">
        <f t="shared" si="61"/>
        <v>10028.44565210882</v>
      </c>
      <c r="F540" s="74">
        <f t="shared" si="55"/>
        <v>-3080.144521207792</v>
      </c>
      <c r="G540" s="74">
        <f t="shared" si="56"/>
        <v>1891.1950556266136</v>
      </c>
      <c r="H540" s="74">
        <f t="shared" si="62"/>
        <v>-1188.9013115741727</v>
      </c>
      <c r="I540" s="74">
        <f t="shared" si="63"/>
        <v>32510.167642560271</v>
      </c>
      <c r="J540" s="74">
        <f t="shared" si="64"/>
        <v>32531.899521485608</v>
      </c>
      <c r="K540" s="74">
        <f t="shared" si="65"/>
        <v>-41188.901311574169</v>
      </c>
      <c r="L540" s="74">
        <f t="shared" si="66"/>
        <v>32510.167642560271</v>
      </c>
      <c r="M540" s="74">
        <f t="shared" si="67"/>
        <v>52473.198791401781</v>
      </c>
      <c r="N540" s="74">
        <f t="shared" si="68"/>
        <v>-26188.901311574173</v>
      </c>
      <c r="O540" s="74">
        <f t="shared" si="69"/>
        <v>-22489.832357439729</v>
      </c>
      <c r="P540" s="74">
        <f t="shared" si="70"/>
        <v>34520.299989616469</v>
      </c>
    </row>
    <row r="541" spans="1:16" x14ac:dyDescent="0.3">
      <c r="A541" s="72">
        <f t="shared" si="57"/>
        <v>116</v>
      </c>
      <c r="B541" s="74">
        <f t="shared" si="58"/>
        <v>20657.198715108709</v>
      </c>
      <c r="C541" s="74">
        <f t="shared" si="59"/>
        <v>-7023.1460525992097</v>
      </c>
      <c r="D541" s="74">
        <f t="shared" si="60"/>
        <v>-1063.4051929309292</v>
      </c>
      <c r="E541" s="74">
        <f t="shared" si="61"/>
        <v>10974.043179922126</v>
      </c>
      <c r="F541" s="74">
        <f t="shared" si="55"/>
        <v>-2611.8451584739478</v>
      </c>
      <c r="G541" s="74">
        <f t="shared" si="56"/>
        <v>3269.4060080458485</v>
      </c>
      <c r="H541" s="74">
        <f t="shared" si="62"/>
        <v>-657.19871510870871</v>
      </c>
      <c r="I541" s="74">
        <f t="shared" si="63"/>
        <v>27023.146052599208</v>
      </c>
      <c r="J541" s="74">
        <f t="shared" si="64"/>
        <v>27031.136356639701</v>
      </c>
      <c r="K541" s="74">
        <f t="shared" si="65"/>
        <v>-40657.198715108709</v>
      </c>
      <c r="L541" s="74">
        <f t="shared" si="66"/>
        <v>27023.146052599208</v>
      </c>
      <c r="M541" s="74">
        <f t="shared" si="67"/>
        <v>48818.625850590521</v>
      </c>
      <c r="N541" s="74">
        <f t="shared" si="68"/>
        <v>-25657.198715108709</v>
      </c>
      <c r="O541" s="74">
        <f t="shared" si="69"/>
        <v>-27976.853947400792</v>
      </c>
      <c r="P541" s="74">
        <f t="shared" si="70"/>
        <v>37960.455775724971</v>
      </c>
    </row>
    <row r="542" spans="1:16" x14ac:dyDescent="0.3">
      <c r="A542" s="72">
        <f t="shared" si="57"/>
        <v>116.5</v>
      </c>
      <c r="B542" s="74">
        <f t="shared" si="58"/>
        <v>19472.534829024757</v>
      </c>
      <c r="C542" s="74">
        <f t="shared" si="59"/>
        <v>-718.77296062668461</v>
      </c>
      <c r="D542" s="74">
        <f t="shared" si="60"/>
        <v>-2369.3277721679033</v>
      </c>
      <c r="E542" s="74">
        <f t="shared" si="61"/>
        <v>12608.74618394505</v>
      </c>
      <c r="F542" s="74">
        <f t="shared" si="55"/>
        <v>-1993.3488999182155</v>
      </c>
      <c r="G542" s="74">
        <f t="shared" si="56"/>
        <v>5830.2657532513731</v>
      </c>
      <c r="H542" s="74">
        <f t="shared" si="62"/>
        <v>527.46517097524338</v>
      </c>
      <c r="I542" s="74">
        <f t="shared" si="63"/>
        <v>20718.772960626684</v>
      </c>
      <c r="J542" s="74">
        <f t="shared" si="64"/>
        <v>20725.486061865649</v>
      </c>
      <c r="K542" s="74">
        <f t="shared" si="65"/>
        <v>-39472.534829024757</v>
      </c>
      <c r="L542" s="74">
        <f t="shared" si="66"/>
        <v>20718.772960626684</v>
      </c>
      <c r="M542" s="74">
        <f t="shared" si="67"/>
        <v>44579.687738055858</v>
      </c>
      <c r="N542" s="74">
        <f t="shared" si="68"/>
        <v>-24472.534829024757</v>
      </c>
      <c r="O542" s="74">
        <f t="shared" si="69"/>
        <v>-34281.227039373312</v>
      </c>
      <c r="P542" s="74">
        <f t="shared" si="70"/>
        <v>42120.155368693617</v>
      </c>
    </row>
    <row r="543" spans="1:16" x14ac:dyDescent="0.3">
      <c r="A543" s="72">
        <f t="shared" si="57"/>
        <v>117</v>
      </c>
      <c r="B543" s="74">
        <f t="shared" si="58"/>
        <v>17789.533717961251</v>
      </c>
      <c r="C543" s="74">
        <f t="shared" si="59"/>
        <v>7043.1665696586833</v>
      </c>
      <c r="D543" s="74">
        <f t="shared" si="60"/>
        <v>-3366.002222127011</v>
      </c>
      <c r="E543" s="74">
        <f t="shared" si="61"/>
        <v>15523.879060570736</v>
      </c>
      <c r="F543" s="74">
        <f t="shared" si="55"/>
        <v>38.420545879510655</v>
      </c>
      <c r="G543" s="74">
        <f t="shared" si="56"/>
        <v>10948.444681649931</v>
      </c>
      <c r="H543" s="74">
        <f t="shared" si="62"/>
        <v>2210.4662820387493</v>
      </c>
      <c r="I543" s="74">
        <f t="shared" si="63"/>
        <v>12956.833430341318</v>
      </c>
      <c r="J543" s="74">
        <f t="shared" si="64"/>
        <v>13144.036431996092</v>
      </c>
      <c r="K543" s="74">
        <f t="shared" si="65"/>
        <v>-37789.533717961254</v>
      </c>
      <c r="L543" s="74">
        <f t="shared" si="66"/>
        <v>12956.833430341318</v>
      </c>
      <c r="M543" s="74">
        <f t="shared" si="67"/>
        <v>39949.072469364553</v>
      </c>
      <c r="N543" s="74">
        <f t="shared" si="68"/>
        <v>-22789.533717961251</v>
      </c>
      <c r="O543" s="74">
        <f t="shared" si="69"/>
        <v>-42043.166569658686</v>
      </c>
      <c r="P543" s="74">
        <f t="shared" si="70"/>
        <v>47822.491594292311</v>
      </c>
    </row>
    <row r="544" spans="1:16" x14ac:dyDescent="0.3">
      <c r="A544" s="72">
        <f t="shared" si="57"/>
        <v>117.5</v>
      </c>
      <c r="B544" s="74">
        <f t="shared" si="58"/>
        <v>16116.137743367623</v>
      </c>
      <c r="C544" s="74">
        <f t="shared" si="59"/>
        <v>17542.217270356534</v>
      </c>
      <c r="D544" s="74">
        <f t="shared" si="60"/>
        <v>-3346.7919491872558</v>
      </c>
      <c r="E544" s="74">
        <f t="shared" si="61"/>
        <v>20998.101401395703</v>
      </c>
      <c r="F544" s="74">
        <f t="shared" si="55"/>
        <v>10218.643198190042</v>
      </c>
      <c r="G544" s="74">
        <f t="shared" si="56"/>
        <v>6668.8365462832899</v>
      </c>
      <c r="H544" s="74">
        <f t="shared" si="62"/>
        <v>3883.8622566323775</v>
      </c>
      <c r="I544" s="74">
        <f t="shared" si="63"/>
        <v>2457.7827296434662</v>
      </c>
      <c r="J544" s="74">
        <f t="shared" si="64"/>
        <v>4596.2029953677229</v>
      </c>
      <c r="K544" s="74">
        <f t="shared" si="65"/>
        <v>-36116.137743367624</v>
      </c>
      <c r="L544" s="74">
        <f t="shared" si="66"/>
        <v>2457.7827296434662</v>
      </c>
      <c r="M544" s="74">
        <f t="shared" si="67"/>
        <v>36199.669907943047</v>
      </c>
      <c r="N544" s="74">
        <f t="shared" si="68"/>
        <v>-21116.137743367624</v>
      </c>
      <c r="O544" s="74">
        <f t="shared" si="69"/>
        <v>-52542.21727035653</v>
      </c>
      <c r="P544" s="74">
        <f t="shared" si="70"/>
        <v>56626.635683944944</v>
      </c>
    </row>
    <row r="545" spans="1:16" x14ac:dyDescent="0.3">
      <c r="A545" s="72">
        <f t="shared" si="57"/>
        <v>118</v>
      </c>
      <c r="B545" s="74">
        <f t="shared" si="58"/>
        <v>16997.402568321504</v>
      </c>
      <c r="C545" s="74">
        <f t="shared" si="59"/>
        <v>29708.477107625207</v>
      </c>
      <c r="D545" s="74">
        <f t="shared" si="60"/>
        <v>1762.5296499077654</v>
      </c>
      <c r="E545" s="74">
        <f t="shared" si="61"/>
        <v>24332.519674537347</v>
      </c>
      <c r="F545" s="74">
        <f t="shared" si="55"/>
        <v>2730.5852172539489</v>
      </c>
      <c r="G545" s="74">
        <f t="shared" si="56"/>
        <v>-15203.717333887374</v>
      </c>
      <c r="H545" s="74">
        <f t="shared" si="62"/>
        <v>3002.5974316784959</v>
      </c>
      <c r="I545" s="74">
        <f t="shared" si="63"/>
        <v>-9708.4771076252073</v>
      </c>
      <c r="J545" s="74">
        <f t="shared" si="64"/>
        <v>10162.190663730189</v>
      </c>
      <c r="K545" s="74">
        <f t="shared" si="65"/>
        <v>-36997.4025683215</v>
      </c>
      <c r="L545" s="74">
        <f t="shared" si="66"/>
        <v>-9708.4771076252073</v>
      </c>
      <c r="M545" s="74">
        <f t="shared" si="67"/>
        <v>38249.997706558424</v>
      </c>
      <c r="N545" s="74">
        <f t="shared" si="68"/>
        <v>-21997.402568321504</v>
      </c>
      <c r="O545" s="74">
        <f t="shared" si="69"/>
        <v>-64708.477107625207</v>
      </c>
      <c r="P545" s="74">
        <f t="shared" si="70"/>
        <v>68345.246574585224</v>
      </c>
    </row>
    <row r="546" spans="1:16" x14ac:dyDescent="0.3">
      <c r="A546" s="72">
        <f t="shared" si="57"/>
        <v>118.5</v>
      </c>
      <c r="B546" s="74">
        <f t="shared" si="58"/>
        <v>18561.313697588874</v>
      </c>
      <c r="C546" s="74">
        <f t="shared" si="59"/>
        <v>38073.807611422038</v>
      </c>
      <c r="D546" s="74">
        <f t="shared" si="60"/>
        <v>3127.8222585347398</v>
      </c>
      <c r="E546" s="74">
        <f t="shared" si="61"/>
        <v>16730.661007593659</v>
      </c>
      <c r="F546" s="74">
        <f t="shared" si="55"/>
        <v>-550.23797775855974</v>
      </c>
      <c r="G546" s="74">
        <f t="shared" si="56"/>
        <v>-9664.0910507046647</v>
      </c>
      <c r="H546" s="74">
        <f t="shared" si="62"/>
        <v>1438.6863024111262</v>
      </c>
      <c r="I546" s="74">
        <f t="shared" si="63"/>
        <v>-18073.807611422038</v>
      </c>
      <c r="J546" s="74">
        <f t="shared" si="64"/>
        <v>18130.977355108098</v>
      </c>
      <c r="K546" s="74">
        <f t="shared" si="65"/>
        <v>-38561.313697588877</v>
      </c>
      <c r="L546" s="74">
        <f t="shared" si="66"/>
        <v>-18073.807611422038</v>
      </c>
      <c r="M546" s="74">
        <f t="shared" si="67"/>
        <v>42586.822324030618</v>
      </c>
      <c r="N546" s="74">
        <f t="shared" si="68"/>
        <v>-23561.313697588874</v>
      </c>
      <c r="O546" s="74">
        <f t="shared" si="69"/>
        <v>-73073.807611422031</v>
      </c>
      <c r="P546" s="74">
        <f t="shared" si="70"/>
        <v>76778.36193868237</v>
      </c>
    </row>
    <row r="547" spans="1:16" x14ac:dyDescent="0.3">
      <c r="A547" s="72">
        <f t="shared" si="57"/>
        <v>119</v>
      </c>
      <c r="B547" s="74">
        <f t="shared" si="58"/>
        <v>19987.665332416604</v>
      </c>
      <c r="C547" s="74">
        <f t="shared" si="59"/>
        <v>44023.115352542707</v>
      </c>
      <c r="D547" s="74">
        <f t="shared" si="60"/>
        <v>2852.7032696554597</v>
      </c>
      <c r="E547" s="74">
        <f t="shared" si="61"/>
        <v>11898.615482241326</v>
      </c>
      <c r="F547" s="74">
        <f t="shared" si="55"/>
        <v>-985.84374086902801</v>
      </c>
      <c r="G547" s="74">
        <f t="shared" si="56"/>
        <v>-6766.1194081219328</v>
      </c>
      <c r="H547" s="74">
        <f t="shared" si="62"/>
        <v>12.334667583396367</v>
      </c>
      <c r="I547" s="74">
        <f t="shared" si="63"/>
        <v>-24023.115352542707</v>
      </c>
      <c r="J547" s="74">
        <f t="shared" si="64"/>
        <v>24023.118519159776</v>
      </c>
      <c r="K547" s="74">
        <f t="shared" si="65"/>
        <v>-39987.665332416604</v>
      </c>
      <c r="L547" s="74">
        <f t="shared" si="66"/>
        <v>-24023.115352542707</v>
      </c>
      <c r="M547" s="74">
        <f t="shared" si="67"/>
        <v>46648.938358540654</v>
      </c>
      <c r="N547" s="74">
        <f t="shared" si="68"/>
        <v>-24987.665332416604</v>
      </c>
      <c r="O547" s="74">
        <f t="shared" si="69"/>
        <v>-79023.115352542707</v>
      </c>
      <c r="P547" s="74">
        <f t="shared" si="70"/>
        <v>82879.648761237666</v>
      </c>
    </row>
    <row r="548" spans="1:16" x14ac:dyDescent="0.3">
      <c r="A548" s="72">
        <f t="shared" si="57"/>
        <v>119.5</v>
      </c>
      <c r="B548" s="74">
        <f t="shared" si="58"/>
        <v>21167.556032027078</v>
      </c>
      <c r="C548" s="74">
        <f t="shared" si="59"/>
        <v>48280.893241632883</v>
      </c>
      <c r="D548" s="74">
        <f t="shared" si="60"/>
        <v>2359.7813992209458</v>
      </c>
      <c r="E548" s="74">
        <f t="shared" si="61"/>
        <v>8515.55577818036</v>
      </c>
      <c r="F548" s="74">
        <f t="shared" si="55"/>
        <v>-1024.568723705062</v>
      </c>
      <c r="G548" s="74">
        <f t="shared" si="56"/>
        <v>-5361.8523624166583</v>
      </c>
      <c r="H548" s="74">
        <f t="shared" si="62"/>
        <v>-1167.5560320270779</v>
      </c>
      <c r="I548" s="74">
        <f t="shared" si="63"/>
        <v>-28280.893241632883</v>
      </c>
      <c r="J548" s="74">
        <f t="shared" si="64"/>
        <v>28304.983830282599</v>
      </c>
      <c r="K548" s="74">
        <f t="shared" si="65"/>
        <v>-41167.556032027074</v>
      </c>
      <c r="L548" s="74">
        <f t="shared" si="66"/>
        <v>-28280.893241632883</v>
      </c>
      <c r="M548" s="74">
        <f t="shared" si="67"/>
        <v>49945.736476647588</v>
      </c>
      <c r="N548" s="74">
        <f t="shared" si="68"/>
        <v>-26167.556032027078</v>
      </c>
      <c r="O548" s="74">
        <f t="shared" si="69"/>
        <v>-83280.893241632875</v>
      </c>
      <c r="P548" s="74">
        <f t="shared" si="70"/>
        <v>87295.17837666368</v>
      </c>
    </row>
    <row r="549" spans="1:16" x14ac:dyDescent="0.3">
      <c r="A549" s="72">
        <f t="shared" si="57"/>
        <v>120</v>
      </c>
      <c r="B549" s="74">
        <f t="shared" si="58"/>
        <v>22091.304550711287</v>
      </c>
      <c r="C549" s="74">
        <f t="shared" si="59"/>
        <v>51198.208040118901</v>
      </c>
      <c r="D549" s="74">
        <f t="shared" si="60"/>
        <v>1847.4970373684148</v>
      </c>
      <c r="E549" s="74">
        <f t="shared" si="61"/>
        <v>5834.6295969720304</v>
      </c>
      <c r="F549" s="74">
        <f t="shared" si="55"/>
        <v>-1005.0045561321929</v>
      </c>
      <c r="G549" s="74">
        <f t="shared" si="56"/>
        <v>-4623.8149773944933</v>
      </c>
      <c r="H549" s="74">
        <f t="shared" si="62"/>
        <v>-2091.3045507112874</v>
      </c>
      <c r="I549" s="74">
        <f t="shared" si="63"/>
        <v>-31198.208040118901</v>
      </c>
      <c r="J549" s="74">
        <f t="shared" si="64"/>
        <v>31268.222521249354</v>
      </c>
      <c r="K549" s="74">
        <f t="shared" si="65"/>
        <v>-42091.304550711284</v>
      </c>
      <c r="L549" s="74">
        <f t="shared" si="66"/>
        <v>-31198.208040118901</v>
      </c>
      <c r="M549" s="74">
        <f t="shared" si="67"/>
        <v>52392.805839115623</v>
      </c>
      <c r="N549" s="74">
        <f t="shared" si="68"/>
        <v>-27091.304550711287</v>
      </c>
      <c r="O549" s="74">
        <f t="shared" si="69"/>
        <v>-86198.208040118901</v>
      </c>
      <c r="P549" s="74">
        <f t="shared" si="70"/>
        <v>90355.242524089379</v>
      </c>
    </row>
    <row r="550" spans="1:16" x14ac:dyDescent="0.3">
      <c r="A550" s="72">
        <f t="shared" si="57"/>
        <v>120.5</v>
      </c>
      <c r="B550" s="74">
        <f t="shared" si="58"/>
        <v>22763.801930362446</v>
      </c>
      <c r="C550" s="74">
        <f t="shared" si="59"/>
        <v>52959.569094256287</v>
      </c>
      <c r="D550" s="74">
        <f t="shared" si="60"/>
        <v>1344.9947593023185</v>
      </c>
      <c r="E550" s="74">
        <f t="shared" si="61"/>
        <v>3522.7221082747837</v>
      </c>
      <c r="F550" s="74">
        <f t="shared" si="55"/>
        <v>-990.27916185071899</v>
      </c>
      <c r="G550" s="74">
        <f t="shared" si="56"/>
        <v>-4242.4972012146891</v>
      </c>
      <c r="H550" s="74">
        <f t="shared" si="62"/>
        <v>-2763.801930362446</v>
      </c>
      <c r="I550" s="74">
        <f t="shared" si="63"/>
        <v>-32959.569094256287</v>
      </c>
      <c r="J550" s="74">
        <f t="shared" si="64"/>
        <v>33075.244458496898</v>
      </c>
      <c r="K550" s="74">
        <f t="shared" si="65"/>
        <v>-42763.801930362446</v>
      </c>
      <c r="L550" s="74">
        <f t="shared" si="66"/>
        <v>-32959.569094256287</v>
      </c>
      <c r="M550" s="74">
        <f t="shared" si="67"/>
        <v>53991.443307419795</v>
      </c>
      <c r="N550" s="74">
        <f t="shared" si="68"/>
        <v>-27763.801930362446</v>
      </c>
      <c r="O550" s="74">
        <f t="shared" si="69"/>
        <v>-87959.569094256294</v>
      </c>
      <c r="P550" s="74">
        <f t="shared" si="70"/>
        <v>92237.272796173042</v>
      </c>
    </row>
    <row r="551" spans="1:16" x14ac:dyDescent="0.3">
      <c r="A551" s="72">
        <f t="shared" si="57"/>
        <v>121</v>
      </c>
      <c r="B551" s="74">
        <f t="shared" si="58"/>
        <v>23188.729519550925</v>
      </c>
      <c r="C551" s="74">
        <f t="shared" si="59"/>
        <v>53660.305848090007</v>
      </c>
      <c r="D551" s="74">
        <f t="shared" si="60"/>
        <v>849.85517837695897</v>
      </c>
      <c r="E551" s="74">
        <f t="shared" si="61"/>
        <v>1401.4735076674392</v>
      </c>
      <c r="F551" s="74">
        <f t="shared" si="55"/>
        <v>-995.44294823653297</v>
      </c>
      <c r="G551" s="74">
        <f t="shared" si="56"/>
        <v>-4095.9767511228056</v>
      </c>
      <c r="H551" s="74">
        <f t="shared" si="62"/>
        <v>-3188.729519550925</v>
      </c>
      <c r="I551" s="74">
        <f t="shared" si="63"/>
        <v>-33660.305848090007</v>
      </c>
      <c r="J551" s="74">
        <f t="shared" si="64"/>
        <v>33811.006872552876</v>
      </c>
      <c r="K551" s="74">
        <f t="shared" si="65"/>
        <v>-43188.729519550921</v>
      </c>
      <c r="L551" s="74">
        <f t="shared" si="66"/>
        <v>-33660.305848090007</v>
      </c>
      <c r="M551" s="74">
        <f t="shared" si="67"/>
        <v>54756.57537958242</v>
      </c>
      <c r="N551" s="74">
        <f t="shared" si="68"/>
        <v>-28188.729519550925</v>
      </c>
      <c r="O551" s="74">
        <f t="shared" si="69"/>
        <v>-88660.305848090007</v>
      </c>
      <c r="P551" s="74">
        <f t="shared" si="70"/>
        <v>93033.619219093409</v>
      </c>
    </row>
    <row r="552" spans="1:16" x14ac:dyDescent="0.3">
      <c r="A552" s="72">
        <f t="shared" si="57"/>
        <v>121.5</v>
      </c>
      <c r="B552" s="74">
        <f t="shared" si="58"/>
        <v>23364.79637168027</v>
      </c>
      <c r="C552" s="74">
        <f t="shared" si="59"/>
        <v>53337.048414143028</v>
      </c>
      <c r="D552" s="74">
        <f t="shared" si="60"/>
        <v>352.13370425869249</v>
      </c>
      <c r="E552" s="74">
        <f t="shared" si="61"/>
        <v>-646.51486789396358</v>
      </c>
      <c r="F552" s="74">
        <f t="shared" si="55"/>
        <v>-1026.4309371948457</v>
      </c>
      <c r="G552" s="74">
        <f t="shared" si="56"/>
        <v>-4144.8229467903784</v>
      </c>
      <c r="H552" s="74">
        <f t="shared" si="62"/>
        <v>-3364.7963716802697</v>
      </c>
      <c r="I552" s="74">
        <f t="shared" si="63"/>
        <v>-33337.048414143028</v>
      </c>
      <c r="J552" s="74">
        <f t="shared" si="64"/>
        <v>33506.427019152441</v>
      </c>
      <c r="K552" s="74">
        <f t="shared" si="65"/>
        <v>-43364.79637168027</v>
      </c>
      <c r="L552" s="74">
        <f t="shared" si="66"/>
        <v>-33337.048414143028</v>
      </c>
      <c r="M552" s="74">
        <f t="shared" si="67"/>
        <v>54697.937450366539</v>
      </c>
      <c r="N552" s="74">
        <f t="shared" si="68"/>
        <v>-28364.79637168027</v>
      </c>
      <c r="O552" s="74">
        <f t="shared" si="69"/>
        <v>-88337.048414143035</v>
      </c>
      <c r="P552" s="74">
        <f t="shared" si="70"/>
        <v>92779.285380571542</v>
      </c>
    </row>
    <row r="553" spans="1:16" x14ac:dyDescent="0.3">
      <c r="A553" s="72">
        <f t="shared" si="57"/>
        <v>122</v>
      </c>
      <c r="B553" s="74">
        <f t="shared" si="58"/>
        <v>23284.255489510902</v>
      </c>
      <c r="C553" s="74">
        <f t="shared" si="59"/>
        <v>51977.585243498455</v>
      </c>
      <c r="D553" s="74">
        <f t="shared" si="60"/>
        <v>-161.08176433873035</v>
      </c>
      <c r="E553" s="74">
        <f t="shared" si="61"/>
        <v>-2718.9263412891528</v>
      </c>
      <c r="F553" s="74">
        <f t="shared" si="55"/>
        <v>-1089.0888627883924</v>
      </c>
      <c r="G553" s="74">
        <f t="shared" si="56"/>
        <v>-4404.271243481393</v>
      </c>
      <c r="H553" s="74">
        <f t="shared" si="62"/>
        <v>-3284.2554895109024</v>
      </c>
      <c r="I553" s="74">
        <f t="shared" si="63"/>
        <v>-31977.585243498455</v>
      </c>
      <c r="J553" s="74">
        <f t="shared" si="64"/>
        <v>32145.797425567042</v>
      </c>
      <c r="K553" s="74">
        <f t="shared" si="65"/>
        <v>-43284.255489510906</v>
      </c>
      <c r="L553" s="74">
        <f t="shared" si="66"/>
        <v>-31977.585243498455</v>
      </c>
      <c r="M553" s="74">
        <f t="shared" si="67"/>
        <v>53815.357764177927</v>
      </c>
      <c r="N553" s="74">
        <f t="shared" si="68"/>
        <v>-28284.255489510902</v>
      </c>
      <c r="O553" s="74">
        <f t="shared" si="69"/>
        <v>-86977.585243498455</v>
      </c>
      <c r="P553" s="74">
        <f t="shared" si="70"/>
        <v>91460.917573496758</v>
      </c>
    </row>
    <row r="554" spans="1:16" x14ac:dyDescent="0.3">
      <c r="A554" s="72">
        <f t="shared" si="57"/>
        <v>122.5</v>
      </c>
      <c r="B554" s="74">
        <f t="shared" si="58"/>
        <v>22931.442391644439</v>
      </c>
      <c r="C554" s="74">
        <f t="shared" si="59"/>
        <v>49517.054261983525</v>
      </c>
      <c r="D554" s="74">
        <f t="shared" si="60"/>
        <v>-705.62619573292659</v>
      </c>
      <c r="E554" s="74">
        <f t="shared" si="61"/>
        <v>-4921.0619630298497</v>
      </c>
      <c r="F554" s="74">
        <f t="shared" si="55"/>
        <v>-1191.850417606707</v>
      </c>
      <c r="G554" s="74">
        <f t="shared" si="56"/>
        <v>-4955.9613914534011</v>
      </c>
      <c r="H554" s="74">
        <f t="shared" si="62"/>
        <v>-2931.4423916444393</v>
      </c>
      <c r="I554" s="74">
        <f t="shared" si="63"/>
        <v>-29517.054261983525</v>
      </c>
      <c r="J554" s="74">
        <f t="shared" si="64"/>
        <v>29662.26300875255</v>
      </c>
      <c r="K554" s="74">
        <f t="shared" si="65"/>
        <v>-42931.442391644436</v>
      </c>
      <c r="L554" s="74">
        <f t="shared" si="66"/>
        <v>-29517.054261983525</v>
      </c>
      <c r="M554" s="74">
        <f t="shared" si="67"/>
        <v>52099.570421760342</v>
      </c>
      <c r="N554" s="74">
        <f t="shared" si="68"/>
        <v>-27931.442391644439</v>
      </c>
      <c r="O554" s="74">
        <f t="shared" si="69"/>
        <v>-84517.054261983518</v>
      </c>
      <c r="P554" s="74">
        <f t="shared" si="70"/>
        <v>89012.908812153852</v>
      </c>
    </row>
    <row r="555" spans="1:16" x14ac:dyDescent="0.3">
      <c r="A555" s="72">
        <f t="shared" si="57"/>
        <v>123</v>
      </c>
      <c r="B555" s="74">
        <f t="shared" si="58"/>
        <v>22280.666689376299</v>
      </c>
      <c r="C555" s="74">
        <f t="shared" si="59"/>
        <v>45817.532932605252</v>
      </c>
      <c r="D555" s="74">
        <f t="shared" si="60"/>
        <v>-1301.5514045362802</v>
      </c>
      <c r="E555" s="74">
        <f t="shared" si="61"/>
        <v>-7399.0426587565507</v>
      </c>
      <c r="F555" s="74">
        <f t="shared" si="55"/>
        <v>-1343.5651198827277</v>
      </c>
      <c r="G555" s="74">
        <f t="shared" si="56"/>
        <v>-6016.7820646185737</v>
      </c>
      <c r="H555" s="74">
        <f t="shared" si="62"/>
        <v>-2280.6666893762995</v>
      </c>
      <c r="I555" s="74">
        <f t="shared" si="63"/>
        <v>-25817.532932605252</v>
      </c>
      <c r="J555" s="74">
        <f t="shared" si="64"/>
        <v>25918.071827861488</v>
      </c>
      <c r="K555" s="74">
        <f t="shared" si="65"/>
        <v>-42280.666689376303</v>
      </c>
      <c r="L555" s="74">
        <f t="shared" si="66"/>
        <v>-25817.532932605252</v>
      </c>
      <c r="M555" s="74">
        <f t="shared" si="67"/>
        <v>49539.880726787094</v>
      </c>
      <c r="N555" s="74">
        <f t="shared" si="68"/>
        <v>-27280.666689376299</v>
      </c>
      <c r="O555" s="74">
        <f t="shared" si="69"/>
        <v>-80817.532932605245</v>
      </c>
      <c r="P555" s="74">
        <f t="shared" si="70"/>
        <v>85297.763184796233</v>
      </c>
    </row>
    <row r="556" spans="1:16" x14ac:dyDescent="0.3">
      <c r="A556" s="72">
        <f t="shared" si="57"/>
        <v>123.5</v>
      </c>
      <c r="B556" s="74">
        <f t="shared" si="58"/>
        <v>21293.999707137478</v>
      </c>
      <c r="C556" s="74">
        <f t="shared" si="59"/>
        <v>40613.816087072337</v>
      </c>
      <c r="D556" s="74">
        <f t="shared" si="60"/>
        <v>-1973.333964477644</v>
      </c>
      <c r="E556" s="74">
        <f t="shared" si="61"/>
        <v>-10407.433691065839</v>
      </c>
      <c r="F556" s="74">
        <f t="shared" si="55"/>
        <v>-1519.9758596309132</v>
      </c>
      <c r="G556" s="74">
        <f t="shared" si="56"/>
        <v>-8178.6282699583408</v>
      </c>
      <c r="H556" s="74">
        <f t="shared" si="62"/>
        <v>-1293.9997071374783</v>
      </c>
      <c r="I556" s="74">
        <f t="shared" si="63"/>
        <v>-20613.816087072337</v>
      </c>
      <c r="J556" s="74">
        <f t="shared" si="64"/>
        <v>20654.390548106574</v>
      </c>
      <c r="K556" s="74">
        <f t="shared" si="65"/>
        <v>-41293.999707137482</v>
      </c>
      <c r="L556" s="74">
        <f t="shared" si="66"/>
        <v>-20613.816087072337</v>
      </c>
      <c r="M556" s="74">
        <f t="shared" si="67"/>
        <v>46153.264516009185</v>
      </c>
      <c r="N556" s="74">
        <f t="shared" si="68"/>
        <v>-26293.999707137478</v>
      </c>
      <c r="O556" s="74">
        <f t="shared" si="69"/>
        <v>-75613.816087072337</v>
      </c>
      <c r="P556" s="74">
        <f t="shared" si="70"/>
        <v>80055.128529336245</v>
      </c>
    </row>
    <row r="557" spans="1:16" x14ac:dyDescent="0.3">
      <c r="A557" s="72">
        <f t="shared" si="57"/>
        <v>124</v>
      </c>
      <c r="B557" s="74">
        <f t="shared" si="58"/>
        <v>19927.338759990929</v>
      </c>
      <c r="C557" s="74">
        <f t="shared" si="59"/>
        <v>33365.442174049829</v>
      </c>
      <c r="D557" s="74">
        <f t="shared" si="60"/>
        <v>-2733.3218942931007</v>
      </c>
      <c r="E557" s="74">
        <f t="shared" si="61"/>
        <v>-14496.747826045008</v>
      </c>
      <c r="F557" s="74">
        <f t="shared" si="55"/>
        <v>-1285.7888824822617</v>
      </c>
      <c r="G557" s="74">
        <f t="shared" si="56"/>
        <v>-13123.400959643508</v>
      </c>
      <c r="H557" s="74">
        <f t="shared" si="62"/>
        <v>72.661240009070752</v>
      </c>
      <c r="I557" s="74">
        <f t="shared" si="63"/>
        <v>-13365.442174049829</v>
      </c>
      <c r="J557" s="74">
        <f t="shared" si="64"/>
        <v>13365.639684043164</v>
      </c>
      <c r="K557" s="74">
        <f t="shared" si="65"/>
        <v>-39927.338759990933</v>
      </c>
      <c r="L557" s="74">
        <f t="shared" si="66"/>
        <v>-13365.442174049829</v>
      </c>
      <c r="M557" s="74">
        <f t="shared" si="67"/>
        <v>42104.957249271065</v>
      </c>
      <c r="N557" s="74">
        <f t="shared" si="68"/>
        <v>-24927.338759990929</v>
      </c>
      <c r="O557" s="74">
        <f t="shared" si="69"/>
        <v>-68365.442174049822</v>
      </c>
      <c r="P557" s="74">
        <f t="shared" si="70"/>
        <v>72768.165438663462</v>
      </c>
    </row>
    <row r="558" spans="1:16" x14ac:dyDescent="0.3">
      <c r="A558" s="72">
        <f t="shared" si="57"/>
        <v>124.5</v>
      </c>
      <c r="B558" s="74">
        <f t="shared" si="58"/>
        <v>18239.230592223816</v>
      </c>
      <c r="C558" s="74">
        <f t="shared" si="59"/>
        <v>22836.218021116449</v>
      </c>
      <c r="D558" s="74">
        <f t="shared" si="60"/>
        <v>-3376.2163355342318</v>
      </c>
      <c r="E558" s="74">
        <f t="shared" si="61"/>
        <v>-21058.448305866761</v>
      </c>
      <c r="F558" s="74">
        <f t="shared" si="55"/>
        <v>4542.9127453841793</v>
      </c>
      <c r="G558" s="74">
        <f t="shared" si="56"/>
        <v>-11203.259451168955</v>
      </c>
      <c r="H558" s="74">
        <f t="shared" si="62"/>
        <v>1760.7694077761844</v>
      </c>
      <c r="I558" s="74">
        <f t="shared" si="63"/>
        <v>-2836.2180211164487</v>
      </c>
      <c r="J558" s="74">
        <f t="shared" si="64"/>
        <v>3338.3291585261927</v>
      </c>
      <c r="K558" s="74">
        <f t="shared" si="65"/>
        <v>-38239.230592223816</v>
      </c>
      <c r="L558" s="74">
        <f t="shared" si="66"/>
        <v>-2836.2180211164487</v>
      </c>
      <c r="M558" s="74">
        <f t="shared" si="67"/>
        <v>38344.268006425307</v>
      </c>
      <c r="N558" s="74">
        <f t="shared" si="68"/>
        <v>-23239.230592223816</v>
      </c>
      <c r="O558" s="74">
        <f t="shared" si="69"/>
        <v>-57836.218021116452</v>
      </c>
      <c r="P558" s="74">
        <f t="shared" si="70"/>
        <v>62330.489758260897</v>
      </c>
    </row>
    <row r="559" spans="1:16" x14ac:dyDescent="0.3">
      <c r="A559" s="72">
        <f t="shared" si="57"/>
        <v>125</v>
      </c>
      <c r="B559" s="74">
        <f t="shared" si="58"/>
        <v>17686.850610802743</v>
      </c>
      <c r="C559" s="74">
        <f t="shared" si="59"/>
        <v>9506.1790053908298</v>
      </c>
      <c r="D559" s="74">
        <f t="shared" si="60"/>
        <v>-1104.7599628421422</v>
      </c>
      <c r="E559" s="74">
        <f t="shared" si="61"/>
        <v>-26660.078031451238</v>
      </c>
      <c r="F559" s="74">
        <f t="shared" si="55"/>
        <v>1075.2280843841606</v>
      </c>
      <c r="G559" s="74">
        <f t="shared" si="56"/>
        <v>12841.209909706226</v>
      </c>
      <c r="H559" s="74">
        <f t="shared" si="62"/>
        <v>2313.1493891972568</v>
      </c>
      <c r="I559" s="74">
        <f t="shared" si="63"/>
        <v>10493.82099460917</v>
      </c>
      <c r="J559" s="74">
        <f t="shared" si="64"/>
        <v>10745.740512577244</v>
      </c>
      <c r="K559" s="74">
        <f t="shared" si="65"/>
        <v>-37686.850610802743</v>
      </c>
      <c r="L559" s="74">
        <f t="shared" si="66"/>
        <v>10493.82099460917</v>
      </c>
      <c r="M559" s="74">
        <f t="shared" si="67"/>
        <v>39120.569883730772</v>
      </c>
      <c r="N559" s="74">
        <f t="shared" si="68"/>
        <v>-22686.850610802743</v>
      </c>
      <c r="O559" s="74">
        <f t="shared" si="69"/>
        <v>-44506.179005390833</v>
      </c>
      <c r="P559" s="74">
        <f t="shared" si="70"/>
        <v>49954.911273034733</v>
      </c>
    </row>
    <row r="560" spans="1:16" x14ac:dyDescent="0.3">
      <c r="A560" s="72">
        <f t="shared" si="57"/>
        <v>125.5</v>
      </c>
      <c r="B560" s="74">
        <f t="shared" si="58"/>
        <v>17403.27765047771</v>
      </c>
      <c r="C560" s="74">
        <f t="shared" si="59"/>
        <v>-613.55753290823259</v>
      </c>
      <c r="D560" s="74">
        <f t="shared" si="60"/>
        <v>-567.14592065006184</v>
      </c>
      <c r="E560" s="74">
        <f t="shared" si="61"/>
        <v>-20239.473076598126</v>
      </c>
      <c r="F560" s="74">
        <f t="shared" si="55"/>
        <v>-1335.6599290121576</v>
      </c>
      <c r="G560" s="74">
        <f t="shared" si="56"/>
        <v>5671.4285004836111</v>
      </c>
      <c r="H560" s="74">
        <f t="shared" si="62"/>
        <v>2596.7223495222897</v>
      </c>
      <c r="I560" s="74">
        <f t="shared" si="63"/>
        <v>20613.557532908231</v>
      </c>
      <c r="J560" s="74">
        <f t="shared" si="64"/>
        <v>20776.470372106669</v>
      </c>
      <c r="K560" s="74">
        <f t="shared" si="65"/>
        <v>-37403.277650477714</v>
      </c>
      <c r="L560" s="74">
        <f t="shared" si="66"/>
        <v>20613.557532908231</v>
      </c>
      <c r="M560" s="74">
        <f t="shared" si="67"/>
        <v>42707.422459816553</v>
      </c>
      <c r="N560" s="74">
        <f t="shared" si="68"/>
        <v>-22403.27765047771</v>
      </c>
      <c r="O560" s="74">
        <f t="shared" si="69"/>
        <v>-34386.442467091765</v>
      </c>
      <c r="P560" s="74">
        <f t="shared" si="70"/>
        <v>41040.641747260801</v>
      </c>
    </row>
    <row r="561" spans="1:16" x14ac:dyDescent="0.3">
      <c r="A561" s="72">
        <f t="shared" si="57"/>
        <v>126</v>
      </c>
      <c r="B561" s="74">
        <f t="shared" si="58"/>
        <v>16785.789707899643</v>
      </c>
      <c r="C561" s="74">
        <f t="shared" si="59"/>
        <v>-9315.4369460863927</v>
      </c>
      <c r="D561" s="74">
        <f t="shared" si="60"/>
        <v>-1234.9758851561405</v>
      </c>
      <c r="E561" s="74">
        <f t="shared" si="61"/>
        <v>-17403.758826356319</v>
      </c>
      <c r="F561" s="74">
        <f t="shared" si="55"/>
        <v>-2384.8098037500645</v>
      </c>
      <c r="G561" s="74">
        <f t="shared" si="56"/>
        <v>2164.2474273871585</v>
      </c>
      <c r="H561" s="74">
        <f t="shared" si="62"/>
        <v>3214.210292100357</v>
      </c>
      <c r="I561" s="74">
        <f t="shared" si="63"/>
        <v>29315.436946086393</v>
      </c>
      <c r="J561" s="74">
        <f t="shared" si="64"/>
        <v>29491.117156557684</v>
      </c>
      <c r="K561" s="74">
        <f t="shared" si="65"/>
        <v>-36785.789707899647</v>
      </c>
      <c r="L561" s="74">
        <f t="shared" si="66"/>
        <v>29315.436946086393</v>
      </c>
      <c r="M561" s="74">
        <f t="shared" si="67"/>
        <v>47038.16713875853</v>
      </c>
      <c r="N561" s="74">
        <f t="shared" si="68"/>
        <v>-21785.789707899643</v>
      </c>
      <c r="O561" s="74">
        <f t="shared" si="69"/>
        <v>-25684.563053913607</v>
      </c>
      <c r="P561" s="74">
        <f t="shared" si="70"/>
        <v>33679.629042899061</v>
      </c>
    </row>
    <row r="562" spans="1:16" x14ac:dyDescent="0.3">
      <c r="A562" s="72">
        <f t="shared" si="57"/>
        <v>126.5</v>
      </c>
      <c r="B562" s="74">
        <f t="shared" si="58"/>
        <v>15572.099314384055</v>
      </c>
      <c r="C562" s="74">
        <f t="shared" si="59"/>
        <v>-17476.25450241776</v>
      </c>
      <c r="D562" s="74">
        <f t="shared" si="60"/>
        <v>-2427.380787031173</v>
      </c>
      <c r="E562" s="74">
        <f t="shared" si="61"/>
        <v>-16321.63511266274</v>
      </c>
      <c r="F562" s="74">
        <f t="shared" si="55"/>
        <v>-3823.7892598384706</v>
      </c>
      <c r="G562" s="74">
        <f t="shared" si="56"/>
        <v>132.55382579854404</v>
      </c>
      <c r="H562" s="74">
        <f t="shared" si="62"/>
        <v>4427.9006856159449</v>
      </c>
      <c r="I562" s="74">
        <f t="shared" si="63"/>
        <v>37476.25450241776</v>
      </c>
      <c r="J562" s="74">
        <f t="shared" si="64"/>
        <v>37736.930929947994</v>
      </c>
      <c r="K562" s="74">
        <f t="shared" si="65"/>
        <v>-35572.099314384053</v>
      </c>
      <c r="L562" s="74">
        <f t="shared" si="66"/>
        <v>37476.25450241776</v>
      </c>
      <c r="M562" s="74">
        <f t="shared" si="67"/>
        <v>51670.532232234553</v>
      </c>
      <c r="N562" s="74">
        <f t="shared" si="68"/>
        <v>-20572.099314384053</v>
      </c>
      <c r="O562" s="74">
        <f t="shared" si="69"/>
        <v>-17523.74549758224</v>
      </c>
      <c r="P562" s="74">
        <f t="shared" si="70"/>
        <v>27023.932475953879</v>
      </c>
    </row>
    <row r="563" spans="1:16" x14ac:dyDescent="0.3">
      <c r="A563" s="72">
        <f t="shared" si="57"/>
        <v>127</v>
      </c>
      <c r="B563" s="74">
        <f t="shared" si="58"/>
        <v>13402.461605908851</v>
      </c>
      <c r="C563" s="74">
        <f t="shared" si="59"/>
        <v>-25603.933602299494</v>
      </c>
      <c r="D563" s="74">
        <f t="shared" si="60"/>
        <v>-4339.2754169504078</v>
      </c>
      <c r="E563" s="74">
        <f t="shared" si="61"/>
        <v>-16255.358199763468</v>
      </c>
      <c r="F563" s="74">
        <f t="shared" si="55"/>
        <v>-6494.0894713221178</v>
      </c>
      <c r="G563" s="74">
        <f t="shared" si="56"/>
        <v>-906.00148794612005</v>
      </c>
      <c r="H563" s="74">
        <f t="shared" si="62"/>
        <v>6597.5383940911488</v>
      </c>
      <c r="I563" s="74">
        <f t="shared" si="63"/>
        <v>45603.933602299498</v>
      </c>
      <c r="J563" s="74">
        <f t="shared" si="64"/>
        <v>46078.696518721619</v>
      </c>
      <c r="K563" s="74">
        <f t="shared" si="65"/>
        <v>-33402.461605908851</v>
      </c>
      <c r="L563" s="74">
        <f t="shared" si="66"/>
        <v>45603.933602299498</v>
      </c>
      <c r="M563" s="74">
        <f t="shared" si="67"/>
        <v>56528.251355735003</v>
      </c>
      <c r="N563" s="74">
        <f t="shared" si="68"/>
        <v>-18402.461605908851</v>
      </c>
      <c r="O563" s="74">
        <f t="shared" si="69"/>
        <v>-9396.0663977005061</v>
      </c>
      <c r="P563" s="74">
        <f t="shared" si="70"/>
        <v>20662.445569364387</v>
      </c>
    </row>
    <row r="564" spans="1:16" x14ac:dyDescent="0.3">
      <c r="A564" s="72">
        <f t="shared" si="57"/>
        <v>127.5</v>
      </c>
      <c r="B564" s="74">
        <f t="shared" si="58"/>
        <v>9609.3015296031172</v>
      </c>
      <c r="C564" s="74">
        <f t="shared" si="59"/>
        <v>-33958.113074167755</v>
      </c>
      <c r="D564" s="74">
        <f t="shared" si="60"/>
        <v>-7586.3201526114663</v>
      </c>
      <c r="E564" s="74">
        <f t="shared" si="61"/>
        <v>-16708.35894373653</v>
      </c>
      <c r="F564" s="74">
        <f t="shared" si="55"/>
        <v>-10986.915486577393</v>
      </c>
      <c r="G564" s="74">
        <f t="shared" si="56"/>
        <v>998.85215465772706</v>
      </c>
      <c r="H564" s="74">
        <f t="shared" si="62"/>
        <v>10390.698470396883</v>
      </c>
      <c r="I564" s="74">
        <f t="shared" si="63"/>
        <v>53958.113074167755</v>
      </c>
      <c r="J564" s="74">
        <f t="shared" si="64"/>
        <v>54949.472984073123</v>
      </c>
      <c r="K564" s="74">
        <f t="shared" si="65"/>
        <v>-29609.301529603115</v>
      </c>
      <c r="L564" s="74">
        <f t="shared" si="66"/>
        <v>53958.113074167755</v>
      </c>
      <c r="M564" s="74">
        <f t="shared" si="67"/>
        <v>61548.263205354793</v>
      </c>
      <c r="N564" s="74">
        <f t="shared" si="68"/>
        <v>-14609.301529603117</v>
      </c>
      <c r="O564" s="74">
        <f t="shared" si="69"/>
        <v>-1041.8869258322447</v>
      </c>
      <c r="P564" s="74">
        <f t="shared" si="70"/>
        <v>14646.406369792017</v>
      </c>
    </row>
    <row r="565" spans="1:16" x14ac:dyDescent="0.3">
      <c r="A565" s="72">
        <f t="shared" si="57"/>
        <v>128</v>
      </c>
      <c r="B565" s="74">
        <f t="shared" si="58"/>
        <v>3069.4125816530359</v>
      </c>
      <c r="C565" s="74">
        <f t="shared" si="59"/>
        <v>-42062.579507371585</v>
      </c>
      <c r="D565" s="74">
        <f t="shared" si="60"/>
        <v>-13079.777895900163</v>
      </c>
      <c r="E565" s="74">
        <f t="shared" si="61"/>
        <v>-16208.932866407666</v>
      </c>
      <c r="F565" s="74">
        <f t="shared" si="55"/>
        <v>-10632.037235406335</v>
      </c>
      <c r="G565" s="74">
        <f t="shared" si="56"/>
        <v>10775.261258793984</v>
      </c>
      <c r="H565" s="74">
        <f t="shared" si="62"/>
        <v>16930.587418346964</v>
      </c>
      <c r="I565" s="74">
        <f t="shared" si="63"/>
        <v>62062.579507371585</v>
      </c>
      <c r="J565" s="74">
        <f t="shared" si="64"/>
        <v>64330.463743386055</v>
      </c>
      <c r="K565" s="74">
        <f t="shared" si="65"/>
        <v>-23069.412581653036</v>
      </c>
      <c r="L565" s="74">
        <f t="shared" si="66"/>
        <v>62062.579507371585</v>
      </c>
      <c r="M565" s="74">
        <f t="shared" si="67"/>
        <v>66211.49123808759</v>
      </c>
      <c r="N565" s="74">
        <f t="shared" si="68"/>
        <v>-8069.4125816530359</v>
      </c>
      <c r="O565" s="74">
        <f t="shared" si="69"/>
        <v>7062.5795073715854</v>
      </c>
      <c r="P565" s="74">
        <f t="shared" si="70"/>
        <v>10723.593087714835</v>
      </c>
    </row>
    <row r="566" spans="1:16" x14ac:dyDescent="0.3">
      <c r="A566" s="72">
        <f t="shared" si="57"/>
        <v>128.5</v>
      </c>
      <c r="B566" s="74">
        <f t="shared" si="58"/>
        <v>-6128.4856751486295</v>
      </c>
      <c r="C566" s="74">
        <f t="shared" si="59"/>
        <v>-47473.230625876917</v>
      </c>
      <c r="D566" s="74">
        <f t="shared" si="60"/>
        <v>-18395.796513603331</v>
      </c>
      <c r="E566" s="74">
        <f t="shared" si="61"/>
        <v>-10821.302237010674</v>
      </c>
      <c r="F566" s="74">
        <f t="shared" ref="F566:F629" si="71">$C$23*(H566/(J566^2+$C$24^2)^1.5)+$C$32*(K566/(M566^2+$C$33^2)^1.5)+C$41*(N566/(P566^2+$C$42^2)^1.5)</f>
        <v>1339.9281809343202</v>
      </c>
      <c r="G566" s="74">
        <f t="shared" ref="G566:G629" si="72">$C$23*(I566/(J566^2+$C$24^2)^1.5)+$C$32*(L566/(M566^2+$C$33^2)^1.5)+C$41*(O566/(P566^2+$C$42^2)^1.5)</f>
        <v>13851.306228777667</v>
      </c>
      <c r="H566" s="74">
        <f t="shared" si="62"/>
        <v>26128.48567514863</v>
      </c>
      <c r="I566" s="74">
        <f t="shared" si="63"/>
        <v>67473.230625876924</v>
      </c>
      <c r="J566" s="74">
        <f t="shared" si="64"/>
        <v>72355.612185712467</v>
      </c>
      <c r="K566" s="74">
        <f t="shared" si="65"/>
        <v>-13871.51432485137</v>
      </c>
      <c r="L566" s="74">
        <f t="shared" si="66"/>
        <v>67473.230625876924</v>
      </c>
      <c r="M566" s="74">
        <f t="shared" si="67"/>
        <v>68884.365140119655</v>
      </c>
      <c r="N566" s="74">
        <f t="shared" si="68"/>
        <v>1128.4856751486295</v>
      </c>
      <c r="O566" s="74">
        <f t="shared" si="69"/>
        <v>12473.230625876917</v>
      </c>
      <c r="P566" s="74">
        <f t="shared" si="70"/>
        <v>12524.175109177031</v>
      </c>
    </row>
    <row r="567" spans="1:16" x14ac:dyDescent="0.3">
      <c r="A567" s="72">
        <f t="shared" ref="A567:A630" si="73">A566+$C$5</f>
        <v>129</v>
      </c>
      <c r="B567" s="74">
        <f t="shared" ref="B567:B630" si="74">B566+D566*(A567-A566)+F566*(A567-A566)^2</f>
        <v>-14991.401886716714</v>
      </c>
      <c r="C567" s="74">
        <f t="shared" ref="C567:C630" si="75">C566+E566*(A567-A566)+G566*(A567-A566)^2</f>
        <v>-49421.055187187842</v>
      </c>
      <c r="D567" s="74">
        <f t="shared" ref="D567:D630" si="76">D566+F566*(A567-A566)</f>
        <v>-17725.832423136169</v>
      </c>
      <c r="E567" s="74">
        <f t="shared" ref="E567:E630" si="77">E566+G566*(A567-A566)</f>
        <v>-3895.6491226218404</v>
      </c>
      <c r="F567" s="74">
        <f t="shared" si="71"/>
        <v>5355.3428034988892</v>
      </c>
      <c r="G567" s="74">
        <f t="shared" si="72"/>
        <v>8372.2016440346142</v>
      </c>
      <c r="H567" s="74">
        <f t="shared" ref="H567:H630" si="78">$C$19-B567</f>
        <v>34991.401886716718</v>
      </c>
      <c r="I567" s="74">
        <f t="shared" ref="I567:I630" si="79">$D$19-C567</f>
        <v>69421.055187187842</v>
      </c>
      <c r="J567" s="74">
        <f t="shared" ref="J567:J630" si="80">SQRT(H567^2+I567^2)</f>
        <v>77741.115950958047</v>
      </c>
      <c r="K567" s="74">
        <f t="shared" ref="K567:K630" si="81">$C$28-B567</f>
        <v>-5008.5981132832858</v>
      </c>
      <c r="L567" s="74">
        <f t="shared" ref="L567:L630" si="82">$D$28-C567</f>
        <v>69421.055187187842</v>
      </c>
      <c r="M567" s="74">
        <f t="shared" ref="M567:M630" si="83">SQRT(K567^2+L567^2)</f>
        <v>69601.501121477006</v>
      </c>
      <c r="N567" s="74">
        <f t="shared" ref="N567:N630" si="84">$C$37-B567</f>
        <v>9991.4018867167142</v>
      </c>
      <c r="O567" s="74">
        <f t="shared" ref="O567:O630" si="85">$D$37-C567</f>
        <v>14421.055187187842</v>
      </c>
      <c r="P567" s="74">
        <f t="shared" ref="P567:P630" si="86">SQRT(N567^2+O567^2)</f>
        <v>17544.085737758</v>
      </c>
    </row>
    <row r="568" spans="1:16" x14ac:dyDescent="0.3">
      <c r="A568" s="72">
        <f t="shared" si="73"/>
        <v>129.5</v>
      </c>
      <c r="B568" s="74">
        <f t="shared" si="74"/>
        <v>-22515.482397410076</v>
      </c>
      <c r="C568" s="74">
        <f t="shared" si="75"/>
        <v>-49275.829337490104</v>
      </c>
      <c r="D568" s="74">
        <f t="shared" si="76"/>
        <v>-15048.161021386724</v>
      </c>
      <c r="E568" s="74">
        <f t="shared" si="77"/>
        <v>290.45169939546668</v>
      </c>
      <c r="F568" s="74">
        <f t="shared" si="71"/>
        <v>5202.9008616580186</v>
      </c>
      <c r="G568" s="74">
        <f t="shared" si="72"/>
        <v>4928.9329178428115</v>
      </c>
      <c r="H568" s="74">
        <f t="shared" si="78"/>
        <v>42515.482397410073</v>
      </c>
      <c r="I568" s="74">
        <f t="shared" si="79"/>
        <v>69275.829337490111</v>
      </c>
      <c r="J568" s="74">
        <f t="shared" si="80"/>
        <v>81281.650905241462</v>
      </c>
      <c r="K568" s="74">
        <f t="shared" si="81"/>
        <v>2515.4823974100764</v>
      </c>
      <c r="L568" s="74">
        <f t="shared" si="82"/>
        <v>69275.829337490111</v>
      </c>
      <c r="M568" s="74">
        <f t="shared" si="83"/>
        <v>69321.484274997565</v>
      </c>
      <c r="N568" s="74">
        <f t="shared" si="84"/>
        <v>17515.482397410076</v>
      </c>
      <c r="O568" s="74">
        <f t="shared" si="85"/>
        <v>14275.829337490104</v>
      </c>
      <c r="P568" s="74">
        <f t="shared" si="86"/>
        <v>22596.270198577582</v>
      </c>
    </row>
    <row r="569" spans="1:16" x14ac:dyDescent="0.3">
      <c r="A569" s="72">
        <f t="shared" si="73"/>
        <v>130</v>
      </c>
      <c r="B569" s="74">
        <f t="shared" si="74"/>
        <v>-28738.837692688932</v>
      </c>
      <c r="C569" s="74">
        <f t="shared" si="75"/>
        <v>-47898.37025833167</v>
      </c>
      <c r="D569" s="74">
        <f t="shared" si="76"/>
        <v>-12446.710590557715</v>
      </c>
      <c r="E569" s="74">
        <f t="shared" si="77"/>
        <v>2754.9181583168725</v>
      </c>
      <c r="F569" s="74">
        <f t="shared" si="71"/>
        <v>4558.7220161095902</v>
      </c>
      <c r="G569" s="74">
        <f t="shared" si="72"/>
        <v>3181.4554253609449</v>
      </c>
      <c r="H569" s="74">
        <f t="shared" si="78"/>
        <v>48738.837692688932</v>
      </c>
      <c r="I569" s="74">
        <f t="shared" si="79"/>
        <v>67898.370258331677</v>
      </c>
      <c r="J569" s="74">
        <f t="shared" si="80"/>
        <v>83580.278674887028</v>
      </c>
      <c r="K569" s="74">
        <f t="shared" si="81"/>
        <v>8738.8376926889323</v>
      </c>
      <c r="L569" s="74">
        <f t="shared" si="82"/>
        <v>67898.370258331677</v>
      </c>
      <c r="M569" s="74">
        <f t="shared" si="83"/>
        <v>68458.42510572866</v>
      </c>
      <c r="N569" s="74">
        <f t="shared" si="84"/>
        <v>23738.837692688932</v>
      </c>
      <c r="O569" s="74">
        <f t="shared" si="85"/>
        <v>12898.37025833167</v>
      </c>
      <c r="P569" s="74">
        <f t="shared" si="86"/>
        <v>27016.668379369872</v>
      </c>
    </row>
    <row r="570" spans="1:16" x14ac:dyDescent="0.3">
      <c r="A570" s="72">
        <f t="shared" si="73"/>
        <v>130.5</v>
      </c>
      <c r="B570" s="74">
        <f t="shared" si="74"/>
        <v>-33822.512483940394</v>
      </c>
      <c r="C570" s="74">
        <f t="shared" si="75"/>
        <v>-45725.547322833001</v>
      </c>
      <c r="D570" s="74">
        <f t="shared" si="76"/>
        <v>-10167.34958250292</v>
      </c>
      <c r="E570" s="74">
        <f t="shared" si="77"/>
        <v>4345.6458709973449</v>
      </c>
      <c r="F570" s="74">
        <f t="shared" si="71"/>
        <v>4025.9902014382114</v>
      </c>
      <c r="G570" s="74">
        <f t="shared" si="72"/>
        <v>2223.8946727657726</v>
      </c>
      <c r="H570" s="74">
        <f t="shared" si="78"/>
        <v>53822.512483940394</v>
      </c>
      <c r="I570" s="74">
        <f t="shared" si="79"/>
        <v>65725.547322833008</v>
      </c>
      <c r="J570" s="74">
        <f t="shared" si="80"/>
        <v>84951.223775587132</v>
      </c>
      <c r="K570" s="74">
        <f t="shared" si="81"/>
        <v>13822.512483940394</v>
      </c>
      <c r="L570" s="74">
        <f t="shared" si="82"/>
        <v>65725.547322833008</v>
      </c>
      <c r="M570" s="74">
        <f t="shared" si="83"/>
        <v>67163.304134435268</v>
      </c>
      <c r="N570" s="74">
        <f t="shared" si="84"/>
        <v>28822.512483940394</v>
      </c>
      <c r="O570" s="74">
        <f t="shared" si="85"/>
        <v>10725.547322833001</v>
      </c>
      <c r="P570" s="74">
        <f t="shared" si="86"/>
        <v>30753.44844503182</v>
      </c>
    </row>
    <row r="571" spans="1:16" x14ac:dyDescent="0.3">
      <c r="A571" s="72">
        <f t="shared" si="73"/>
        <v>131</v>
      </c>
      <c r="B571" s="74">
        <f t="shared" si="74"/>
        <v>-37899.6897248323</v>
      </c>
      <c r="C571" s="74">
        <f t="shared" si="75"/>
        <v>-42996.750719142881</v>
      </c>
      <c r="D571" s="74">
        <f t="shared" si="76"/>
        <v>-8154.3544817838147</v>
      </c>
      <c r="E571" s="74">
        <f t="shared" si="77"/>
        <v>5457.5932073802314</v>
      </c>
      <c r="F571" s="74">
        <f t="shared" si="71"/>
        <v>3645.0832510058976</v>
      </c>
      <c r="G571" s="74">
        <f t="shared" si="72"/>
        <v>1644.4953512748516</v>
      </c>
      <c r="H571" s="74">
        <f t="shared" si="78"/>
        <v>57899.6897248323</v>
      </c>
      <c r="I571" s="74">
        <f t="shared" si="79"/>
        <v>62996.750719142881</v>
      </c>
      <c r="J571" s="74">
        <f t="shared" si="80"/>
        <v>85562.635954028912</v>
      </c>
      <c r="K571" s="74">
        <f t="shared" si="81"/>
        <v>17899.6897248323</v>
      </c>
      <c r="L571" s="74">
        <f t="shared" si="82"/>
        <v>62996.750719142881</v>
      </c>
      <c r="M571" s="74">
        <f t="shared" si="83"/>
        <v>65490.377105457985</v>
      </c>
      <c r="N571" s="74">
        <f t="shared" si="84"/>
        <v>32899.6897248323</v>
      </c>
      <c r="O571" s="74">
        <f t="shared" si="85"/>
        <v>7996.7507191428813</v>
      </c>
      <c r="P571" s="74">
        <f t="shared" si="86"/>
        <v>33857.607801709033</v>
      </c>
    </row>
    <row r="572" spans="1:16" x14ac:dyDescent="0.3">
      <c r="A572" s="72">
        <f t="shared" si="73"/>
        <v>131.5</v>
      </c>
      <c r="B572" s="74">
        <f t="shared" si="74"/>
        <v>-41065.596152972728</v>
      </c>
      <c r="C572" s="74">
        <f t="shared" si="75"/>
        <v>-39856.830277634057</v>
      </c>
      <c r="D572" s="74">
        <f t="shared" si="76"/>
        <v>-6331.8128562808661</v>
      </c>
      <c r="E572" s="74">
        <f t="shared" si="77"/>
        <v>6279.8408830176577</v>
      </c>
      <c r="F572" s="74">
        <f t="shared" si="71"/>
        <v>3383.9726902738848</v>
      </c>
      <c r="G572" s="74">
        <f t="shared" si="72"/>
        <v>1262.0708086139189</v>
      </c>
      <c r="H572" s="74">
        <f t="shared" si="78"/>
        <v>61065.596152972728</v>
      </c>
      <c r="I572" s="74">
        <f t="shared" si="79"/>
        <v>59856.830277634057</v>
      </c>
      <c r="J572" s="74">
        <f t="shared" si="80"/>
        <v>85509.339632600633</v>
      </c>
      <c r="K572" s="74">
        <f t="shared" si="81"/>
        <v>21065.596152972728</v>
      </c>
      <c r="L572" s="74">
        <f t="shared" si="82"/>
        <v>59856.830277634057</v>
      </c>
      <c r="M572" s="74">
        <f t="shared" si="83"/>
        <v>63455.492056760762</v>
      </c>
      <c r="N572" s="74">
        <f t="shared" si="84"/>
        <v>36065.596152972728</v>
      </c>
      <c r="O572" s="74">
        <f t="shared" si="85"/>
        <v>4856.830277634057</v>
      </c>
      <c r="P572" s="74">
        <f t="shared" si="86"/>
        <v>36391.153131153515</v>
      </c>
    </row>
    <row r="573" spans="1:16" x14ac:dyDescent="0.3">
      <c r="A573" s="72">
        <f t="shared" si="73"/>
        <v>132</v>
      </c>
      <c r="B573" s="74">
        <f t="shared" si="74"/>
        <v>-43385.509408544691</v>
      </c>
      <c r="C573" s="74">
        <f t="shared" si="75"/>
        <v>-36401.392133971749</v>
      </c>
      <c r="D573" s="74">
        <f t="shared" si="76"/>
        <v>-4639.8265111439232</v>
      </c>
      <c r="E573" s="74">
        <f t="shared" si="77"/>
        <v>6910.8762873246169</v>
      </c>
      <c r="F573" s="74">
        <f t="shared" si="71"/>
        <v>3211.949501619732</v>
      </c>
      <c r="G573" s="74">
        <f t="shared" si="72"/>
        <v>990.77255750775464</v>
      </c>
      <c r="H573" s="74">
        <f t="shared" si="78"/>
        <v>63385.509408544691</v>
      </c>
      <c r="I573" s="74">
        <f t="shared" si="79"/>
        <v>56401.392133971749</v>
      </c>
      <c r="J573" s="74">
        <f t="shared" si="80"/>
        <v>84845.977144651697</v>
      </c>
      <c r="K573" s="74">
        <f t="shared" si="81"/>
        <v>23385.509408544691</v>
      </c>
      <c r="L573" s="74">
        <f t="shared" si="82"/>
        <v>56401.392133971749</v>
      </c>
      <c r="M573" s="74">
        <f t="shared" si="83"/>
        <v>61057.342596506627</v>
      </c>
      <c r="N573" s="74">
        <f t="shared" si="84"/>
        <v>38385.509408544691</v>
      </c>
      <c r="O573" s="74">
        <f t="shared" si="85"/>
        <v>1401.392133971749</v>
      </c>
      <c r="P573" s="74">
        <f t="shared" si="86"/>
        <v>38411.082156932665</v>
      </c>
    </row>
    <row r="574" spans="1:16" x14ac:dyDescent="0.3">
      <c r="A574" s="72">
        <f t="shared" si="73"/>
        <v>132.5</v>
      </c>
      <c r="B574" s="74">
        <f t="shared" si="74"/>
        <v>-44902.43528871172</v>
      </c>
      <c r="C574" s="74">
        <f t="shared" si="75"/>
        <v>-32698.260850932504</v>
      </c>
      <c r="D574" s="74">
        <f t="shared" si="76"/>
        <v>-3033.851760334057</v>
      </c>
      <c r="E574" s="74">
        <f t="shared" si="77"/>
        <v>7406.2625660784943</v>
      </c>
      <c r="F574" s="74">
        <f t="shared" si="71"/>
        <v>3107.5738925855476</v>
      </c>
      <c r="G574" s="74">
        <f t="shared" si="72"/>
        <v>786.96229735408576</v>
      </c>
      <c r="H574" s="74">
        <f t="shared" si="78"/>
        <v>64902.43528871172</v>
      </c>
      <c r="I574" s="74">
        <f t="shared" si="79"/>
        <v>52698.260850932507</v>
      </c>
      <c r="J574" s="74">
        <f t="shared" si="80"/>
        <v>83602.827722023474</v>
      </c>
      <c r="K574" s="74">
        <f t="shared" si="81"/>
        <v>24902.43528871172</v>
      </c>
      <c r="L574" s="74">
        <f t="shared" si="82"/>
        <v>52698.260850932507</v>
      </c>
      <c r="M574" s="74">
        <f t="shared" si="83"/>
        <v>58285.830010572899</v>
      </c>
      <c r="N574" s="74">
        <f t="shared" si="84"/>
        <v>39902.43528871172</v>
      </c>
      <c r="O574" s="74">
        <f t="shared" si="85"/>
        <v>-2301.7391490674963</v>
      </c>
      <c r="P574" s="74">
        <f t="shared" si="86"/>
        <v>39968.767119842167</v>
      </c>
    </row>
    <row r="575" spans="1:16" x14ac:dyDescent="0.3">
      <c r="A575" s="72">
        <f t="shared" si="73"/>
        <v>133</v>
      </c>
      <c r="B575" s="74">
        <f t="shared" si="74"/>
        <v>-45642.467695732361</v>
      </c>
      <c r="C575" s="74">
        <f t="shared" si="75"/>
        <v>-28798.388993554738</v>
      </c>
      <c r="D575" s="74">
        <f t="shared" si="76"/>
        <v>-1480.0648140412832</v>
      </c>
      <c r="E575" s="74">
        <f t="shared" si="77"/>
        <v>7799.7437147555374</v>
      </c>
      <c r="F575" s="74">
        <f t="shared" si="71"/>
        <v>3057.0566408974187</v>
      </c>
      <c r="G575" s="74">
        <f t="shared" si="72"/>
        <v>627.89953207133408</v>
      </c>
      <c r="H575" s="74">
        <f t="shared" si="78"/>
        <v>65642.467695732368</v>
      </c>
      <c r="I575" s="74">
        <f t="shared" si="79"/>
        <v>48798.388993554734</v>
      </c>
      <c r="J575" s="74">
        <f t="shared" si="80"/>
        <v>81793.74263078779</v>
      </c>
      <c r="K575" s="74">
        <f t="shared" si="81"/>
        <v>25642.467695732361</v>
      </c>
      <c r="L575" s="74">
        <f t="shared" si="82"/>
        <v>48798.388993554734</v>
      </c>
      <c r="M575" s="74">
        <f t="shared" si="83"/>
        <v>55125.48338012975</v>
      </c>
      <c r="N575" s="74">
        <f t="shared" si="84"/>
        <v>40642.467695732361</v>
      </c>
      <c r="O575" s="74">
        <f t="shared" si="85"/>
        <v>-6201.6110064452623</v>
      </c>
      <c r="P575" s="74">
        <f t="shared" si="86"/>
        <v>41112.89529422504</v>
      </c>
    </row>
    <row r="576" spans="1:16" x14ac:dyDescent="0.3">
      <c r="A576" s="72">
        <f t="shared" si="73"/>
        <v>133.5</v>
      </c>
      <c r="B576" s="74">
        <f t="shared" si="74"/>
        <v>-45618.235942528649</v>
      </c>
      <c r="C576" s="74">
        <f t="shared" si="75"/>
        <v>-24741.542253159136</v>
      </c>
      <c r="D576" s="74">
        <f t="shared" si="76"/>
        <v>48.463506407426166</v>
      </c>
      <c r="E576" s="74">
        <f t="shared" si="77"/>
        <v>8113.6934807912048</v>
      </c>
      <c r="F576" s="74">
        <f t="shared" si="71"/>
        <v>3052.1930175628968</v>
      </c>
      <c r="G576" s="74">
        <f t="shared" si="72"/>
        <v>503.22189270859576</v>
      </c>
      <c r="H576" s="74">
        <f t="shared" si="78"/>
        <v>65618.235942528641</v>
      </c>
      <c r="I576" s="74">
        <f t="shared" si="79"/>
        <v>44741.542253159132</v>
      </c>
      <c r="J576" s="74">
        <f t="shared" si="80"/>
        <v>79420.139079458822</v>
      </c>
      <c r="K576" s="74">
        <f t="shared" si="81"/>
        <v>25618.235942528649</v>
      </c>
      <c r="L576" s="74">
        <f t="shared" si="82"/>
        <v>44741.542253159132</v>
      </c>
      <c r="M576" s="74">
        <f t="shared" si="83"/>
        <v>51556.761108493716</v>
      </c>
      <c r="N576" s="74">
        <f t="shared" si="84"/>
        <v>40618.235942528649</v>
      </c>
      <c r="O576" s="74">
        <f t="shared" si="85"/>
        <v>-10258.457746840864</v>
      </c>
      <c r="P576" s="74">
        <f t="shared" si="86"/>
        <v>41893.639689416406</v>
      </c>
    </row>
    <row r="577" spans="1:16" x14ac:dyDescent="0.3">
      <c r="A577" s="72">
        <f t="shared" si="73"/>
        <v>134</v>
      </c>
      <c r="B577" s="74">
        <f t="shared" si="74"/>
        <v>-44830.955934934209</v>
      </c>
      <c r="C577" s="74">
        <f t="shared" si="75"/>
        <v>-20558.890039586386</v>
      </c>
      <c r="D577" s="74">
        <f t="shared" si="76"/>
        <v>1574.5600151888746</v>
      </c>
      <c r="E577" s="74">
        <f t="shared" si="77"/>
        <v>8365.3044271455019</v>
      </c>
      <c r="F577" s="74">
        <f t="shared" si="71"/>
        <v>3089.2726693838199</v>
      </c>
      <c r="G577" s="74">
        <f t="shared" si="72"/>
        <v>412.6957040649587</v>
      </c>
      <c r="H577" s="74">
        <f t="shared" si="78"/>
        <v>64830.955934934209</v>
      </c>
      <c r="I577" s="74">
        <f t="shared" si="79"/>
        <v>40558.890039586389</v>
      </c>
      <c r="J577" s="74">
        <f t="shared" si="80"/>
        <v>76472.716760166441</v>
      </c>
      <c r="K577" s="74">
        <f t="shared" si="81"/>
        <v>24830.955934934209</v>
      </c>
      <c r="L577" s="74">
        <f t="shared" si="82"/>
        <v>40558.890039586389</v>
      </c>
      <c r="M577" s="74">
        <f t="shared" si="83"/>
        <v>47556.281750005481</v>
      </c>
      <c r="N577" s="74">
        <f t="shared" si="84"/>
        <v>39830.955934934209</v>
      </c>
      <c r="O577" s="74">
        <f t="shared" si="85"/>
        <v>-14441.109960413614</v>
      </c>
      <c r="P577" s="74">
        <f t="shared" si="86"/>
        <v>42368.038750683612</v>
      </c>
    </row>
    <row r="578" spans="1:16" x14ac:dyDescent="0.3">
      <c r="A578" s="72">
        <f t="shared" si="73"/>
        <v>134.5</v>
      </c>
      <c r="B578" s="74">
        <f t="shared" si="74"/>
        <v>-43271.357759993814</v>
      </c>
      <c r="C578" s="74">
        <f t="shared" si="75"/>
        <v>-16273.063899997396</v>
      </c>
      <c r="D578" s="74">
        <f t="shared" si="76"/>
        <v>3119.1963498807845</v>
      </c>
      <c r="E578" s="74">
        <f t="shared" si="77"/>
        <v>8571.6522791779807</v>
      </c>
      <c r="F578" s="74">
        <f t="shared" si="71"/>
        <v>3169.4035311203506</v>
      </c>
      <c r="G578" s="74">
        <f t="shared" si="72"/>
        <v>368.86493322342142</v>
      </c>
      <c r="H578" s="74">
        <f t="shared" si="78"/>
        <v>63271.357759993814</v>
      </c>
      <c r="I578" s="74">
        <f t="shared" si="79"/>
        <v>36273.063899997396</v>
      </c>
      <c r="J578" s="74">
        <f t="shared" si="80"/>
        <v>72931.473846936773</v>
      </c>
      <c r="K578" s="74">
        <f t="shared" si="81"/>
        <v>23271.357759993814</v>
      </c>
      <c r="L578" s="74">
        <f t="shared" si="82"/>
        <v>36273.063899997396</v>
      </c>
      <c r="M578" s="74">
        <f t="shared" si="83"/>
        <v>43096.3021231163</v>
      </c>
      <c r="N578" s="74">
        <f t="shared" si="84"/>
        <v>38271.357759993814</v>
      </c>
      <c r="O578" s="74">
        <f t="shared" si="85"/>
        <v>-18726.936100002604</v>
      </c>
      <c r="P578" s="74">
        <f t="shared" si="86"/>
        <v>42607.451936099387</v>
      </c>
    </row>
    <row r="579" spans="1:16" x14ac:dyDescent="0.3">
      <c r="A579" s="72">
        <f t="shared" si="73"/>
        <v>135</v>
      </c>
      <c r="B579" s="74">
        <f t="shared" si="74"/>
        <v>-40919.408702273329</v>
      </c>
      <c r="C579" s="74">
        <f t="shared" si="75"/>
        <v>-11895.021527102552</v>
      </c>
      <c r="D579" s="74">
        <f t="shared" si="76"/>
        <v>4703.8981154409594</v>
      </c>
      <c r="E579" s="74">
        <f t="shared" si="77"/>
        <v>8756.0847457896907</v>
      </c>
      <c r="F579" s="74">
        <f t="shared" si="71"/>
        <v>3301.21807307263</v>
      </c>
      <c r="G579" s="74">
        <f t="shared" si="72"/>
        <v>406.97008284889398</v>
      </c>
      <c r="H579" s="74">
        <f t="shared" si="78"/>
        <v>60919.408702273329</v>
      </c>
      <c r="I579" s="74">
        <f t="shared" si="79"/>
        <v>31895.021527102552</v>
      </c>
      <c r="J579" s="74">
        <f t="shared" si="80"/>
        <v>68763.847731558402</v>
      </c>
      <c r="K579" s="74">
        <f t="shared" si="81"/>
        <v>20919.408702273329</v>
      </c>
      <c r="L579" s="74">
        <f t="shared" si="82"/>
        <v>31895.021527102552</v>
      </c>
      <c r="M579" s="74">
        <f t="shared" si="83"/>
        <v>38143.335704511795</v>
      </c>
      <c r="N579" s="74">
        <f t="shared" si="84"/>
        <v>35919.408702273329</v>
      </c>
      <c r="O579" s="74">
        <f t="shared" si="85"/>
        <v>-23104.978472897448</v>
      </c>
      <c r="P579" s="74">
        <f t="shared" si="86"/>
        <v>42708.827562390463</v>
      </c>
    </row>
    <row r="580" spans="1:16" x14ac:dyDescent="0.3">
      <c r="A580" s="72">
        <f t="shared" si="73"/>
        <v>135.5</v>
      </c>
      <c r="B580" s="74">
        <f t="shared" si="74"/>
        <v>-37742.155126284692</v>
      </c>
      <c r="C580" s="74">
        <f t="shared" si="75"/>
        <v>-7415.2366334954831</v>
      </c>
      <c r="D580" s="74">
        <f t="shared" si="76"/>
        <v>6354.5071519772746</v>
      </c>
      <c r="E580" s="74">
        <f t="shared" si="77"/>
        <v>8959.5697872141372</v>
      </c>
      <c r="F580" s="74">
        <f t="shared" si="71"/>
        <v>3508.1960693377614</v>
      </c>
      <c r="G580" s="74">
        <f t="shared" si="72"/>
        <v>611.5081505884325</v>
      </c>
      <c r="H580" s="74">
        <f t="shared" si="78"/>
        <v>57742.155126284692</v>
      </c>
      <c r="I580" s="74">
        <f t="shared" si="79"/>
        <v>27415.236633495482</v>
      </c>
      <c r="J580" s="74">
        <f t="shared" si="80"/>
        <v>63919.884842656575</v>
      </c>
      <c r="K580" s="74">
        <f t="shared" si="81"/>
        <v>17742.155126284692</v>
      </c>
      <c r="L580" s="74">
        <f t="shared" si="82"/>
        <v>27415.236633495482</v>
      </c>
      <c r="M580" s="74">
        <f t="shared" si="83"/>
        <v>32655.463068156037</v>
      </c>
      <c r="N580" s="74">
        <f t="shared" si="84"/>
        <v>32742.155126284692</v>
      </c>
      <c r="O580" s="74">
        <f t="shared" si="85"/>
        <v>-27584.763366504518</v>
      </c>
      <c r="P580" s="74">
        <f t="shared" si="86"/>
        <v>42813.174284322115</v>
      </c>
    </row>
    <row r="581" spans="1:16" x14ac:dyDescent="0.3">
      <c r="A581" s="72">
        <f t="shared" si="73"/>
        <v>136</v>
      </c>
      <c r="B581" s="74">
        <f t="shared" si="74"/>
        <v>-33687.852532961617</v>
      </c>
      <c r="C581" s="74">
        <f t="shared" si="75"/>
        <v>-2782.5747022413066</v>
      </c>
      <c r="D581" s="74">
        <f t="shared" si="76"/>
        <v>8108.6051866461548</v>
      </c>
      <c r="E581" s="74">
        <f t="shared" si="77"/>
        <v>9265.3238625083541</v>
      </c>
      <c r="F581" s="74">
        <f t="shared" si="71"/>
        <v>3842.0840393926837</v>
      </c>
      <c r="G581" s="74">
        <f t="shared" si="72"/>
        <v>1191.4934773522325</v>
      </c>
      <c r="H581" s="74">
        <f t="shared" si="78"/>
        <v>53687.852532961617</v>
      </c>
      <c r="I581" s="74">
        <f t="shared" si="79"/>
        <v>22782.574702241305</v>
      </c>
      <c r="J581" s="74">
        <f t="shared" si="80"/>
        <v>58321.790264567833</v>
      </c>
      <c r="K581" s="74">
        <f t="shared" si="81"/>
        <v>13687.852532961617</v>
      </c>
      <c r="L581" s="74">
        <f t="shared" si="82"/>
        <v>22782.574702241305</v>
      </c>
      <c r="M581" s="74">
        <f t="shared" si="83"/>
        <v>26578.243302131712</v>
      </c>
      <c r="N581" s="74">
        <f t="shared" si="84"/>
        <v>28687.852532961617</v>
      </c>
      <c r="O581" s="74">
        <f t="shared" si="85"/>
        <v>-32217.425297758695</v>
      </c>
      <c r="P581" s="74">
        <f t="shared" si="86"/>
        <v>43138.792006378833</v>
      </c>
    </row>
    <row r="582" spans="1:16" x14ac:dyDescent="0.3">
      <c r="A582" s="72">
        <f t="shared" si="73"/>
        <v>136.5</v>
      </c>
      <c r="B582" s="74">
        <f t="shared" si="74"/>
        <v>-28673.028929790369</v>
      </c>
      <c r="C582" s="74">
        <f t="shared" si="75"/>
        <v>2147.9605983509286</v>
      </c>
      <c r="D582" s="74">
        <f t="shared" si="76"/>
        <v>10029.647206342497</v>
      </c>
      <c r="E582" s="74">
        <f t="shared" si="77"/>
        <v>9861.0706011844704</v>
      </c>
      <c r="F582" s="74">
        <f t="shared" si="71"/>
        <v>4359.2819198269699</v>
      </c>
      <c r="G582" s="74">
        <f t="shared" si="72"/>
        <v>2726.9191706633378</v>
      </c>
      <c r="H582" s="74">
        <f t="shared" si="78"/>
        <v>48673.028929790366</v>
      </c>
      <c r="I582" s="74">
        <f t="shared" si="79"/>
        <v>17852.039401649072</v>
      </c>
      <c r="J582" s="74">
        <f t="shared" si="80"/>
        <v>51843.601881025206</v>
      </c>
      <c r="K582" s="74">
        <f t="shared" si="81"/>
        <v>8673.0289297903691</v>
      </c>
      <c r="L582" s="74">
        <f t="shared" si="82"/>
        <v>17852.039401649072</v>
      </c>
      <c r="M582" s="74">
        <f t="shared" si="83"/>
        <v>19847.335882052575</v>
      </c>
      <c r="N582" s="74">
        <f t="shared" si="84"/>
        <v>23673.028929790369</v>
      </c>
      <c r="O582" s="74">
        <f t="shared" si="85"/>
        <v>-37147.960598350932</v>
      </c>
      <c r="P582" s="74">
        <f t="shared" si="86"/>
        <v>44049.781785240724</v>
      </c>
    </row>
    <row r="583" spans="1:16" x14ac:dyDescent="0.3">
      <c r="A583" s="72">
        <f t="shared" si="73"/>
        <v>137</v>
      </c>
      <c r="B583" s="74">
        <f t="shared" si="74"/>
        <v>-22568.384846662379</v>
      </c>
      <c r="C583" s="74">
        <f t="shared" si="75"/>
        <v>7760.2256916089982</v>
      </c>
      <c r="D583" s="74">
        <f t="shared" si="76"/>
        <v>12209.288166255981</v>
      </c>
      <c r="E583" s="74">
        <f t="shared" si="77"/>
        <v>11224.53018651614</v>
      </c>
      <c r="F583" s="74">
        <f t="shared" si="71"/>
        <v>4283.3535689557284</v>
      </c>
      <c r="G583" s="74">
        <f t="shared" si="72"/>
        <v>6876.9239906834991</v>
      </c>
      <c r="H583" s="74">
        <f t="shared" si="78"/>
        <v>42568.384846662375</v>
      </c>
      <c r="I583" s="74">
        <f t="shared" si="79"/>
        <v>12239.774308391003</v>
      </c>
      <c r="J583" s="74">
        <f t="shared" si="80"/>
        <v>44293.10853365231</v>
      </c>
      <c r="K583" s="74">
        <f t="shared" si="81"/>
        <v>2568.3848466623785</v>
      </c>
      <c r="L583" s="74">
        <f t="shared" si="82"/>
        <v>12239.774308391003</v>
      </c>
      <c r="M583" s="74">
        <f t="shared" si="83"/>
        <v>12506.345423060782</v>
      </c>
      <c r="N583" s="74">
        <f t="shared" si="84"/>
        <v>17568.384846662379</v>
      </c>
      <c r="O583" s="74">
        <f t="shared" si="85"/>
        <v>-42760.225691608997</v>
      </c>
      <c r="P583" s="74">
        <f t="shared" si="86"/>
        <v>46228.617190196965</v>
      </c>
    </row>
    <row r="584" spans="1:16" x14ac:dyDescent="0.3">
      <c r="A584" s="72">
        <f t="shared" si="73"/>
        <v>137.5</v>
      </c>
      <c r="B584" s="74">
        <f t="shared" si="74"/>
        <v>-15392.902371295455</v>
      </c>
      <c r="C584" s="74">
        <f t="shared" si="75"/>
        <v>15091.721782537943</v>
      </c>
      <c r="D584" s="74">
        <f t="shared" si="76"/>
        <v>14350.964950733845</v>
      </c>
      <c r="E584" s="74">
        <f t="shared" si="77"/>
        <v>14662.99218185789</v>
      </c>
      <c r="F584" s="74">
        <f t="shared" si="71"/>
        <v>-5435.3162068995589</v>
      </c>
      <c r="G584" s="74">
        <f t="shared" si="72"/>
        <v>8131.0515896902307</v>
      </c>
      <c r="H584" s="74">
        <f t="shared" si="78"/>
        <v>35392.902371295451</v>
      </c>
      <c r="I584" s="74">
        <f t="shared" si="79"/>
        <v>4908.278217462057</v>
      </c>
      <c r="J584" s="74">
        <f t="shared" si="80"/>
        <v>35731.620916550426</v>
      </c>
      <c r="K584" s="74">
        <f t="shared" si="81"/>
        <v>-4607.0976287045451</v>
      </c>
      <c r="L584" s="74">
        <f t="shared" si="82"/>
        <v>4908.278217462057</v>
      </c>
      <c r="M584" s="74">
        <f t="shared" si="83"/>
        <v>6731.7563548027756</v>
      </c>
      <c r="N584" s="74">
        <f t="shared" si="84"/>
        <v>10392.902371295455</v>
      </c>
      <c r="O584" s="74">
        <f t="shared" si="85"/>
        <v>-50091.721782537941</v>
      </c>
      <c r="P584" s="74">
        <f t="shared" si="86"/>
        <v>51158.508684660315</v>
      </c>
    </row>
    <row r="585" spans="1:16" x14ac:dyDescent="0.3">
      <c r="A585" s="72">
        <f t="shared" si="73"/>
        <v>138</v>
      </c>
      <c r="B585" s="74">
        <f t="shared" si="74"/>
        <v>-9576.2489476534211</v>
      </c>
      <c r="C585" s="74">
        <f t="shared" si="75"/>
        <v>24455.980770889448</v>
      </c>
      <c r="D585" s="74">
        <f t="shared" si="76"/>
        <v>11633.306847284066</v>
      </c>
      <c r="E585" s="74">
        <f t="shared" si="77"/>
        <v>18728.517976703006</v>
      </c>
      <c r="F585" s="74">
        <f t="shared" si="71"/>
        <v>-4333.2296838624279</v>
      </c>
      <c r="G585" s="74">
        <f t="shared" si="72"/>
        <v>-5299.5211274413296</v>
      </c>
      <c r="H585" s="74">
        <f t="shared" si="78"/>
        <v>29576.248947653421</v>
      </c>
      <c r="I585" s="74">
        <f t="shared" si="79"/>
        <v>-4455.9807708894477</v>
      </c>
      <c r="J585" s="74">
        <f t="shared" si="80"/>
        <v>29910.036216028002</v>
      </c>
      <c r="K585" s="74">
        <f t="shared" si="81"/>
        <v>-10423.751052346579</v>
      </c>
      <c r="L585" s="74">
        <f t="shared" si="82"/>
        <v>-4455.9807708894477</v>
      </c>
      <c r="M585" s="74">
        <f t="shared" si="83"/>
        <v>11336.240586359878</v>
      </c>
      <c r="N585" s="74">
        <f t="shared" si="84"/>
        <v>4576.2489476534211</v>
      </c>
      <c r="O585" s="74">
        <f t="shared" si="85"/>
        <v>-59455.980770889451</v>
      </c>
      <c r="P585" s="74">
        <f t="shared" si="86"/>
        <v>59631.834651126366</v>
      </c>
    </row>
    <row r="586" spans="1:16" x14ac:dyDescent="0.3">
      <c r="A586" s="72">
        <f t="shared" si="73"/>
        <v>138.5</v>
      </c>
      <c r="B586" s="74">
        <f t="shared" si="74"/>
        <v>-4842.9029449769951</v>
      </c>
      <c r="C586" s="74">
        <f t="shared" si="75"/>
        <v>32495.359477380622</v>
      </c>
      <c r="D586" s="74">
        <f t="shared" si="76"/>
        <v>9466.692005352852</v>
      </c>
      <c r="E586" s="74">
        <f t="shared" si="77"/>
        <v>16078.757412982341</v>
      </c>
      <c r="F586" s="74">
        <f t="shared" si="71"/>
        <v>623.3747065056034</v>
      </c>
      <c r="G586" s="74">
        <f t="shared" si="72"/>
        <v>-5726.6046307958059</v>
      </c>
      <c r="H586" s="74">
        <f t="shared" si="78"/>
        <v>24842.902944976995</v>
      </c>
      <c r="I586" s="74">
        <f t="shared" si="79"/>
        <v>-12495.359477380622</v>
      </c>
      <c r="J586" s="74">
        <f t="shared" si="80"/>
        <v>27808.341108424866</v>
      </c>
      <c r="K586" s="74">
        <f t="shared" si="81"/>
        <v>-15157.097055023005</v>
      </c>
      <c r="L586" s="74">
        <f t="shared" si="82"/>
        <v>-12495.359477380622</v>
      </c>
      <c r="M586" s="74">
        <f t="shared" si="83"/>
        <v>19643.614728566452</v>
      </c>
      <c r="N586" s="74">
        <f t="shared" si="84"/>
        <v>-157.09705502300494</v>
      </c>
      <c r="O586" s="74">
        <f t="shared" si="85"/>
        <v>-67495.359477380625</v>
      </c>
      <c r="P586" s="74">
        <f t="shared" si="86"/>
        <v>67495.542300699628</v>
      </c>
    </row>
    <row r="587" spans="1:16" x14ac:dyDescent="0.3">
      <c r="A587" s="72">
        <f t="shared" si="73"/>
        <v>139</v>
      </c>
      <c r="B587" s="74">
        <f t="shared" si="74"/>
        <v>46.286734325831787</v>
      </c>
      <c r="C587" s="74">
        <f t="shared" si="75"/>
        <v>39103.087026172841</v>
      </c>
      <c r="D587" s="74">
        <f t="shared" si="76"/>
        <v>9778.3793586056545</v>
      </c>
      <c r="E587" s="74">
        <f t="shared" si="77"/>
        <v>13215.455097584438</v>
      </c>
      <c r="F587" s="74">
        <f t="shared" si="71"/>
        <v>1450.7570834531384</v>
      </c>
      <c r="G587" s="74">
        <f t="shared" si="72"/>
        <v>-5604.1740501524127</v>
      </c>
      <c r="H587" s="74">
        <f t="shared" si="78"/>
        <v>19953.713265674167</v>
      </c>
      <c r="I587" s="74">
        <f t="shared" si="79"/>
        <v>-19103.087026172841</v>
      </c>
      <c r="J587" s="74">
        <f t="shared" si="80"/>
        <v>27623.877479786835</v>
      </c>
      <c r="K587" s="74">
        <f t="shared" si="81"/>
        <v>-20046.286734325833</v>
      </c>
      <c r="L587" s="74">
        <f t="shared" si="82"/>
        <v>-19103.087026172841</v>
      </c>
      <c r="M587" s="74">
        <f t="shared" si="83"/>
        <v>27690.820604748082</v>
      </c>
      <c r="N587" s="74">
        <f t="shared" si="84"/>
        <v>-5046.2867343258322</v>
      </c>
      <c r="O587" s="74">
        <f t="shared" si="85"/>
        <v>-74103.087026172841</v>
      </c>
      <c r="P587" s="74">
        <f t="shared" si="86"/>
        <v>74274.709804977218</v>
      </c>
    </row>
    <row r="588" spans="1:16" x14ac:dyDescent="0.3">
      <c r="A588" s="72">
        <f t="shared" si="73"/>
        <v>139.5</v>
      </c>
      <c r="B588" s="74">
        <f t="shared" si="74"/>
        <v>5298.1656844919444</v>
      </c>
      <c r="C588" s="74">
        <f t="shared" si="75"/>
        <v>44309.771062426953</v>
      </c>
      <c r="D588" s="74">
        <f t="shared" si="76"/>
        <v>10503.757900332224</v>
      </c>
      <c r="E588" s="74">
        <f t="shared" si="77"/>
        <v>10413.36807250823</v>
      </c>
      <c r="F588" s="74">
        <f t="shared" si="71"/>
        <v>1007.4072516605352</v>
      </c>
      <c r="G588" s="74">
        <f t="shared" si="72"/>
        <v>-5480.4911777667967</v>
      </c>
      <c r="H588" s="74">
        <f t="shared" si="78"/>
        <v>14701.834315508055</v>
      </c>
      <c r="I588" s="74">
        <f t="shared" si="79"/>
        <v>-24309.771062426953</v>
      </c>
      <c r="J588" s="74">
        <f t="shared" si="80"/>
        <v>28409.662112532438</v>
      </c>
      <c r="K588" s="74">
        <f t="shared" si="81"/>
        <v>-25298.165684491945</v>
      </c>
      <c r="L588" s="74">
        <f t="shared" si="82"/>
        <v>-24309.771062426953</v>
      </c>
      <c r="M588" s="74">
        <f t="shared" si="83"/>
        <v>35085.070273659374</v>
      </c>
      <c r="N588" s="74">
        <f t="shared" si="84"/>
        <v>-10298.165684491945</v>
      </c>
      <c r="O588" s="74">
        <f t="shared" si="85"/>
        <v>-79309.771062426953</v>
      </c>
      <c r="P588" s="74">
        <f t="shared" si="86"/>
        <v>79975.571285485814</v>
      </c>
    </row>
    <row r="589" spans="1:16" x14ac:dyDescent="0.3">
      <c r="A589" s="72">
        <f t="shared" si="73"/>
        <v>140</v>
      </c>
      <c r="B589" s="74">
        <f t="shared" si="74"/>
        <v>10801.896447573192</v>
      </c>
      <c r="C589" s="74">
        <f t="shared" si="75"/>
        <v>48146.332304239368</v>
      </c>
      <c r="D589" s="74">
        <f t="shared" si="76"/>
        <v>11007.461526162491</v>
      </c>
      <c r="E589" s="74">
        <f t="shared" si="77"/>
        <v>7673.1224836248321</v>
      </c>
      <c r="F589" s="74">
        <f t="shared" si="71"/>
        <v>293.62890726533919</v>
      </c>
      <c r="G589" s="74">
        <f t="shared" si="72"/>
        <v>-5211.6370175590109</v>
      </c>
      <c r="H589" s="74">
        <f t="shared" si="78"/>
        <v>9198.1035524268082</v>
      </c>
      <c r="I589" s="74">
        <f t="shared" si="79"/>
        <v>-28146.332304239368</v>
      </c>
      <c r="J589" s="74">
        <f t="shared" si="80"/>
        <v>29611.165649832754</v>
      </c>
      <c r="K589" s="74">
        <f t="shared" si="81"/>
        <v>-30801.896447573192</v>
      </c>
      <c r="L589" s="74">
        <f t="shared" si="82"/>
        <v>-28146.332304239368</v>
      </c>
      <c r="M589" s="74">
        <f t="shared" si="83"/>
        <v>41724.96670996504</v>
      </c>
      <c r="N589" s="74">
        <f t="shared" si="84"/>
        <v>-15801.896447573192</v>
      </c>
      <c r="O589" s="74">
        <f t="shared" si="85"/>
        <v>-83146.33230423936</v>
      </c>
      <c r="P589" s="74">
        <f t="shared" si="86"/>
        <v>84634.582216649622</v>
      </c>
    </row>
    <row r="590" spans="1:16" x14ac:dyDescent="0.3">
      <c r="A590" s="72">
        <f t="shared" si="73"/>
        <v>140.5</v>
      </c>
      <c r="B590" s="74">
        <f t="shared" si="74"/>
        <v>16379.034437470773</v>
      </c>
      <c r="C590" s="74">
        <f t="shared" si="75"/>
        <v>50679.984291662033</v>
      </c>
      <c r="D590" s="74">
        <f t="shared" si="76"/>
        <v>11154.27597979516</v>
      </c>
      <c r="E590" s="74">
        <f t="shared" si="77"/>
        <v>5067.3039748453266</v>
      </c>
      <c r="F590" s="74">
        <f t="shared" si="71"/>
        <v>-378.85369911513015</v>
      </c>
      <c r="G590" s="74">
        <f t="shared" si="72"/>
        <v>-4850.4698057427076</v>
      </c>
      <c r="H590" s="74">
        <f t="shared" si="78"/>
        <v>3620.9655625292271</v>
      </c>
      <c r="I590" s="74">
        <f t="shared" si="79"/>
        <v>-30679.984291662033</v>
      </c>
      <c r="J590" s="74">
        <f t="shared" si="80"/>
        <v>30892.925205322525</v>
      </c>
      <c r="K590" s="74">
        <f t="shared" si="81"/>
        <v>-36379.034437470771</v>
      </c>
      <c r="L590" s="74">
        <f t="shared" si="82"/>
        <v>-30679.984291662033</v>
      </c>
      <c r="M590" s="74">
        <f t="shared" si="83"/>
        <v>47588.817832966946</v>
      </c>
      <c r="N590" s="74">
        <f t="shared" si="84"/>
        <v>-21379.034437470771</v>
      </c>
      <c r="O590" s="74">
        <f t="shared" si="85"/>
        <v>-85679.984291662025</v>
      </c>
      <c r="P590" s="74">
        <f t="shared" si="86"/>
        <v>88306.980594390232</v>
      </c>
    </row>
    <row r="591" spans="1:16" x14ac:dyDescent="0.3">
      <c r="A591" s="72">
        <f t="shared" si="73"/>
        <v>141</v>
      </c>
      <c r="B591" s="74">
        <f t="shared" si="74"/>
        <v>21861.45900258957</v>
      </c>
      <c r="C591" s="74">
        <f t="shared" si="75"/>
        <v>52001.018827649023</v>
      </c>
      <c r="D591" s="74">
        <f t="shared" si="76"/>
        <v>10964.849130237595</v>
      </c>
      <c r="E591" s="74">
        <f t="shared" si="77"/>
        <v>2642.0690719739728</v>
      </c>
      <c r="F591" s="74">
        <f t="shared" si="71"/>
        <v>-945.3892904641782</v>
      </c>
      <c r="G591" s="74">
        <f t="shared" si="72"/>
        <v>-4467.9711991014465</v>
      </c>
      <c r="H591" s="74">
        <f t="shared" si="78"/>
        <v>-1861.4590025895704</v>
      </c>
      <c r="I591" s="74">
        <f t="shared" si="79"/>
        <v>-32001.018827649023</v>
      </c>
      <c r="J591" s="74">
        <f t="shared" si="80"/>
        <v>32055.112472519402</v>
      </c>
      <c r="K591" s="74">
        <f t="shared" si="81"/>
        <v>-41861.459002589574</v>
      </c>
      <c r="L591" s="74">
        <f t="shared" si="82"/>
        <v>-32001.018827649023</v>
      </c>
      <c r="M591" s="74">
        <f t="shared" si="83"/>
        <v>52692.000871413446</v>
      </c>
      <c r="N591" s="74">
        <f t="shared" si="84"/>
        <v>-26861.45900258957</v>
      </c>
      <c r="O591" s="74">
        <f t="shared" si="85"/>
        <v>-87001.018827649023</v>
      </c>
      <c r="P591" s="74">
        <f t="shared" si="86"/>
        <v>91053.364884537572</v>
      </c>
    </row>
    <row r="592" spans="1:16" x14ac:dyDescent="0.3">
      <c r="A592" s="72">
        <f t="shared" si="73"/>
        <v>141.5</v>
      </c>
      <c r="B592" s="74">
        <f t="shared" si="74"/>
        <v>27107.536245092324</v>
      </c>
      <c r="C592" s="74">
        <f t="shared" si="75"/>
        <v>52205.06056386065</v>
      </c>
      <c r="D592" s="74">
        <f t="shared" si="76"/>
        <v>10492.154485005505</v>
      </c>
      <c r="E592" s="74">
        <f t="shared" si="77"/>
        <v>408.08347242324953</v>
      </c>
      <c r="F592" s="74">
        <f t="shared" si="71"/>
        <v>-1420.1588947540154</v>
      </c>
      <c r="G592" s="74">
        <f t="shared" si="72"/>
        <v>-4104.2121248797139</v>
      </c>
      <c r="H592" s="74">
        <f t="shared" si="78"/>
        <v>-7107.536245092324</v>
      </c>
      <c r="I592" s="74">
        <f t="shared" si="79"/>
        <v>-32205.06056386065</v>
      </c>
      <c r="J592" s="74">
        <f t="shared" si="80"/>
        <v>32980.039378345704</v>
      </c>
      <c r="K592" s="74">
        <f t="shared" si="81"/>
        <v>-47107.536245092328</v>
      </c>
      <c r="L592" s="74">
        <f t="shared" si="82"/>
        <v>-32205.06056386065</v>
      </c>
      <c r="M592" s="74">
        <f t="shared" si="83"/>
        <v>57063.875586964998</v>
      </c>
      <c r="N592" s="74">
        <f t="shared" si="84"/>
        <v>-32107.536245092324</v>
      </c>
      <c r="O592" s="74">
        <f t="shared" si="85"/>
        <v>-87205.06056386065</v>
      </c>
      <c r="P592" s="74">
        <f t="shared" si="86"/>
        <v>92928.017689373533</v>
      </c>
    </row>
    <row r="593" spans="1:16" x14ac:dyDescent="0.3">
      <c r="A593" s="72">
        <f t="shared" si="73"/>
        <v>142</v>
      </c>
      <c r="B593" s="74">
        <f t="shared" si="74"/>
        <v>31998.573763906574</v>
      </c>
      <c r="C593" s="74">
        <f t="shared" si="75"/>
        <v>51383.049268852352</v>
      </c>
      <c r="D593" s="74">
        <f t="shared" si="76"/>
        <v>9782.0750376284977</v>
      </c>
      <c r="E593" s="74">
        <f t="shared" si="77"/>
        <v>-1644.0225900166074</v>
      </c>
      <c r="F593" s="74">
        <f t="shared" si="71"/>
        <v>-1835.4302249033183</v>
      </c>
      <c r="G593" s="74">
        <f t="shared" si="72"/>
        <v>-3773.1027971189033</v>
      </c>
      <c r="H593" s="74">
        <f t="shared" si="78"/>
        <v>-11998.573763906574</v>
      </c>
      <c r="I593" s="74">
        <f t="shared" si="79"/>
        <v>-31383.049268852352</v>
      </c>
      <c r="J593" s="74">
        <f t="shared" si="80"/>
        <v>33598.534994536909</v>
      </c>
      <c r="K593" s="74">
        <f t="shared" si="81"/>
        <v>-51998.573763906577</v>
      </c>
      <c r="L593" s="74">
        <f t="shared" si="82"/>
        <v>-31383.049268852352</v>
      </c>
      <c r="M593" s="74">
        <f t="shared" si="83"/>
        <v>60735.059519948176</v>
      </c>
      <c r="N593" s="74">
        <f t="shared" si="84"/>
        <v>-36998.573763906577</v>
      </c>
      <c r="O593" s="74">
        <f t="shared" si="85"/>
        <v>-86383.049268852352</v>
      </c>
      <c r="P593" s="74">
        <f t="shared" si="86"/>
        <v>93973.004961787883</v>
      </c>
    </row>
    <row r="594" spans="1:16" x14ac:dyDescent="0.3">
      <c r="A594" s="72">
        <f t="shared" si="73"/>
        <v>142.5</v>
      </c>
      <c r="B594" s="74">
        <f t="shared" si="74"/>
        <v>36430.753726494993</v>
      </c>
      <c r="C594" s="74">
        <f t="shared" si="75"/>
        <v>49617.762274564317</v>
      </c>
      <c r="D594" s="74">
        <f t="shared" si="76"/>
        <v>8864.3599251768392</v>
      </c>
      <c r="E594" s="74">
        <f t="shared" si="77"/>
        <v>-3530.573988576059</v>
      </c>
      <c r="F594" s="74">
        <f t="shared" si="71"/>
        <v>-2223.3708619872123</v>
      </c>
      <c r="G594" s="74">
        <f t="shared" si="72"/>
        <v>-3473.1917809562174</v>
      </c>
      <c r="H594" s="74">
        <f t="shared" si="78"/>
        <v>-16430.753726494993</v>
      </c>
      <c r="I594" s="74">
        <f t="shared" si="79"/>
        <v>-29617.762274564317</v>
      </c>
      <c r="J594" s="74">
        <f t="shared" si="80"/>
        <v>33870.068056815806</v>
      </c>
      <c r="K594" s="74">
        <f t="shared" si="81"/>
        <v>-56430.753726494993</v>
      </c>
      <c r="L594" s="74">
        <f t="shared" si="82"/>
        <v>-29617.762274564317</v>
      </c>
      <c r="M594" s="74">
        <f t="shared" si="83"/>
        <v>63731.011354700262</v>
      </c>
      <c r="N594" s="74">
        <f t="shared" si="84"/>
        <v>-41430.753726494993</v>
      </c>
      <c r="O594" s="74">
        <f t="shared" si="85"/>
        <v>-84617.762274564317</v>
      </c>
      <c r="P594" s="74">
        <f t="shared" si="86"/>
        <v>94216.097598553504</v>
      </c>
    </row>
    <row r="595" spans="1:16" x14ac:dyDescent="0.3">
      <c r="A595" s="72">
        <f t="shared" si="73"/>
        <v>143</v>
      </c>
      <c r="B595" s="74">
        <f t="shared" si="74"/>
        <v>40307.090973586608</v>
      </c>
      <c r="C595" s="74">
        <f t="shared" si="75"/>
        <v>46984.177335037231</v>
      </c>
      <c r="D595" s="74">
        <f t="shared" si="76"/>
        <v>7752.674494183233</v>
      </c>
      <c r="E595" s="74">
        <f t="shared" si="77"/>
        <v>-5267.1698790541677</v>
      </c>
      <c r="F595" s="74">
        <f t="shared" si="71"/>
        <v>-2612.6419886755571</v>
      </c>
      <c r="G595" s="74">
        <f t="shared" si="72"/>
        <v>-3194.0958014478965</v>
      </c>
      <c r="H595" s="74">
        <f t="shared" si="78"/>
        <v>-20307.090973586608</v>
      </c>
      <c r="I595" s="74">
        <f t="shared" si="79"/>
        <v>-26984.177335037231</v>
      </c>
      <c r="J595" s="74">
        <f t="shared" si="80"/>
        <v>33771.641509678797</v>
      </c>
      <c r="K595" s="74">
        <f t="shared" si="81"/>
        <v>-60307.090973586608</v>
      </c>
      <c r="L595" s="74">
        <f t="shared" si="82"/>
        <v>-26984.177335037231</v>
      </c>
      <c r="M595" s="74">
        <f t="shared" si="83"/>
        <v>66068.83568025993</v>
      </c>
      <c r="N595" s="74">
        <f t="shared" si="84"/>
        <v>-45307.090973586608</v>
      </c>
      <c r="O595" s="74">
        <f t="shared" si="85"/>
        <v>-81984.177335037239</v>
      </c>
      <c r="P595" s="74">
        <f t="shared" si="86"/>
        <v>93670.36791745662</v>
      </c>
    </row>
    <row r="596" spans="1:16" x14ac:dyDescent="0.3">
      <c r="A596" s="72">
        <f t="shared" si="73"/>
        <v>143.5</v>
      </c>
      <c r="B596" s="74">
        <f t="shared" si="74"/>
        <v>43530.267723509336</v>
      </c>
      <c r="C596" s="74">
        <f t="shared" si="75"/>
        <v>43552.068445148172</v>
      </c>
      <c r="D596" s="74">
        <f t="shared" si="76"/>
        <v>6446.3534998454543</v>
      </c>
      <c r="E596" s="74">
        <f t="shared" si="77"/>
        <v>-6864.217779778116</v>
      </c>
      <c r="F596" s="74">
        <f t="shared" si="71"/>
        <v>-3029.2498188358004</v>
      </c>
      <c r="G596" s="74">
        <f t="shared" si="72"/>
        <v>-2918.4227322064175</v>
      </c>
      <c r="H596" s="74">
        <f t="shared" si="78"/>
        <v>-23530.267723509336</v>
      </c>
      <c r="I596" s="74">
        <f t="shared" si="79"/>
        <v>-23552.068445148172</v>
      </c>
      <c r="J596" s="74">
        <f t="shared" si="80"/>
        <v>33292.242747898039</v>
      </c>
      <c r="K596" s="74">
        <f t="shared" si="81"/>
        <v>-63530.267723509336</v>
      </c>
      <c r="L596" s="74">
        <f t="shared" si="82"/>
        <v>-23552.068445148172</v>
      </c>
      <c r="M596" s="74">
        <f t="shared" si="83"/>
        <v>67755.404545067227</v>
      </c>
      <c r="N596" s="74">
        <f t="shared" si="84"/>
        <v>-48530.267723509336</v>
      </c>
      <c r="O596" s="74">
        <f t="shared" si="85"/>
        <v>-78552.068445148179</v>
      </c>
      <c r="P596" s="74">
        <f t="shared" si="86"/>
        <v>92334.253353383087</v>
      </c>
    </row>
    <row r="597" spans="1:16" x14ac:dyDescent="0.3">
      <c r="A597" s="72">
        <f t="shared" si="73"/>
        <v>144</v>
      </c>
      <c r="B597" s="74">
        <f t="shared" si="74"/>
        <v>45996.132018723118</v>
      </c>
      <c r="C597" s="74">
        <f t="shared" si="75"/>
        <v>39390.35387220751</v>
      </c>
      <c r="D597" s="74">
        <f t="shared" si="76"/>
        <v>4931.7285904275541</v>
      </c>
      <c r="E597" s="74">
        <f t="shared" si="77"/>
        <v>-8323.4291458813241</v>
      </c>
      <c r="F597" s="74">
        <f t="shared" si="71"/>
        <v>-3497.823919174924</v>
      </c>
      <c r="G597" s="74">
        <f t="shared" si="72"/>
        <v>-2620.1024406775728</v>
      </c>
      <c r="H597" s="74">
        <f t="shared" si="78"/>
        <v>-25996.132018723118</v>
      </c>
      <c r="I597" s="74">
        <f t="shared" si="79"/>
        <v>-19390.35387220751</v>
      </c>
      <c r="J597" s="74">
        <f t="shared" si="80"/>
        <v>32431.230368647964</v>
      </c>
      <c r="K597" s="74">
        <f t="shared" si="81"/>
        <v>-65996.132018723118</v>
      </c>
      <c r="L597" s="74">
        <f t="shared" si="82"/>
        <v>-19390.35387220751</v>
      </c>
      <c r="M597" s="74">
        <f t="shared" si="83"/>
        <v>68785.719918615112</v>
      </c>
      <c r="N597" s="74">
        <f t="shared" si="84"/>
        <v>-50996.132018723118</v>
      </c>
      <c r="O597" s="74">
        <f t="shared" si="85"/>
        <v>-74390.353872207517</v>
      </c>
      <c r="P597" s="74">
        <f t="shared" si="86"/>
        <v>90191.630598982389</v>
      </c>
    </row>
    <row r="598" spans="1:16" x14ac:dyDescent="0.3">
      <c r="A598" s="72">
        <f t="shared" si="73"/>
        <v>144.5</v>
      </c>
      <c r="B598" s="74">
        <f t="shared" si="74"/>
        <v>47587.540334143159</v>
      </c>
      <c r="C598" s="74">
        <f t="shared" si="75"/>
        <v>34573.613689097452</v>
      </c>
      <c r="D598" s="74">
        <f t="shared" si="76"/>
        <v>3182.8166308400923</v>
      </c>
      <c r="E598" s="74">
        <f t="shared" si="77"/>
        <v>-9633.4803662201102</v>
      </c>
      <c r="F598" s="74">
        <f t="shared" si="71"/>
        <v>-4041.17504744193</v>
      </c>
      <c r="G598" s="74">
        <f t="shared" si="72"/>
        <v>-2259.2175643861146</v>
      </c>
      <c r="H598" s="74">
        <f t="shared" si="78"/>
        <v>-27587.540334143159</v>
      </c>
      <c r="I598" s="74">
        <f t="shared" si="79"/>
        <v>-14573.613689097452</v>
      </c>
      <c r="J598" s="74">
        <f t="shared" si="80"/>
        <v>31200.362139677549</v>
      </c>
      <c r="K598" s="74">
        <f t="shared" si="81"/>
        <v>-67587.540334143152</v>
      </c>
      <c r="L598" s="74">
        <f t="shared" si="82"/>
        <v>-14573.613689097452</v>
      </c>
      <c r="M598" s="74">
        <f t="shared" si="83"/>
        <v>69140.912811290516</v>
      </c>
      <c r="N598" s="74">
        <f t="shared" si="84"/>
        <v>-52587.540334143159</v>
      </c>
      <c r="O598" s="74">
        <f t="shared" si="85"/>
        <v>-69573.613689097459</v>
      </c>
      <c r="P598" s="74">
        <f t="shared" si="86"/>
        <v>87212.023942544198</v>
      </c>
    </row>
    <row r="599" spans="1:16" x14ac:dyDescent="0.3">
      <c r="A599" s="72">
        <f t="shared" si="73"/>
        <v>145</v>
      </c>
      <c r="B599" s="74">
        <f t="shared" si="74"/>
        <v>48168.654887702723</v>
      </c>
      <c r="C599" s="74">
        <f t="shared" si="75"/>
        <v>29192.06911489087</v>
      </c>
      <c r="D599" s="74">
        <f t="shared" si="76"/>
        <v>1162.2291071191273</v>
      </c>
      <c r="E599" s="74">
        <f t="shared" si="77"/>
        <v>-10763.089148413168</v>
      </c>
      <c r="F599" s="74">
        <f t="shared" si="71"/>
        <v>-4674.7363080746545</v>
      </c>
      <c r="G599" s="74">
        <f t="shared" si="72"/>
        <v>-1772.814602631518</v>
      </c>
      <c r="H599" s="74">
        <f t="shared" si="78"/>
        <v>-28168.654887702723</v>
      </c>
      <c r="I599" s="74">
        <f t="shared" si="79"/>
        <v>-9192.06911489087</v>
      </c>
      <c r="J599" s="74">
        <f t="shared" si="80"/>
        <v>29630.512192593451</v>
      </c>
      <c r="K599" s="74">
        <f t="shared" si="81"/>
        <v>-68168.654887702723</v>
      </c>
      <c r="L599" s="74">
        <f t="shared" si="82"/>
        <v>-9192.06911489087</v>
      </c>
      <c r="M599" s="74">
        <f t="shared" si="83"/>
        <v>68785.606370894529</v>
      </c>
      <c r="N599" s="74">
        <f t="shared" si="84"/>
        <v>-53168.654887702723</v>
      </c>
      <c r="O599" s="74">
        <f t="shared" si="85"/>
        <v>-64192.069114890866</v>
      </c>
      <c r="P599" s="74">
        <f t="shared" si="86"/>
        <v>83351.830212770743</v>
      </c>
    </row>
    <row r="600" spans="1:16" x14ac:dyDescent="0.3">
      <c r="A600" s="72">
        <f t="shared" si="73"/>
        <v>145.5</v>
      </c>
      <c r="B600" s="74">
        <f t="shared" si="74"/>
        <v>47581.085364243627</v>
      </c>
      <c r="C600" s="74">
        <f t="shared" si="75"/>
        <v>23367.320890026407</v>
      </c>
      <c r="D600" s="74">
        <f t="shared" si="76"/>
        <v>-1175.1390469181999</v>
      </c>
      <c r="E600" s="74">
        <f t="shared" si="77"/>
        <v>-11649.496449728927</v>
      </c>
      <c r="F600" s="74">
        <f t="shared" si="71"/>
        <v>-5387.9158103870004</v>
      </c>
      <c r="G600" s="74">
        <f t="shared" si="72"/>
        <v>-1062.8142703621456</v>
      </c>
      <c r="H600" s="74">
        <f t="shared" si="78"/>
        <v>-27581.085364243627</v>
      </c>
      <c r="I600" s="74">
        <f t="shared" si="79"/>
        <v>-3367.3208900264071</v>
      </c>
      <c r="J600" s="74">
        <f t="shared" si="80"/>
        <v>27785.879864530154</v>
      </c>
      <c r="K600" s="74">
        <f t="shared" si="81"/>
        <v>-67581.085364243627</v>
      </c>
      <c r="L600" s="74">
        <f t="shared" si="82"/>
        <v>-3367.3208900264071</v>
      </c>
      <c r="M600" s="74">
        <f t="shared" si="83"/>
        <v>67664.924066946172</v>
      </c>
      <c r="N600" s="74">
        <f t="shared" si="84"/>
        <v>-52581.085364243627</v>
      </c>
      <c r="O600" s="74">
        <f t="shared" si="85"/>
        <v>-58367.320890026407</v>
      </c>
      <c r="P600" s="74">
        <f t="shared" si="86"/>
        <v>78558.988575217722</v>
      </c>
    </row>
    <row r="601" spans="1:16" x14ac:dyDescent="0.3">
      <c r="A601" s="72">
        <f t="shared" si="73"/>
        <v>146</v>
      </c>
      <c r="B601" s="74">
        <f t="shared" si="74"/>
        <v>45646.53688818778</v>
      </c>
      <c r="C601" s="74">
        <f t="shared" si="75"/>
        <v>17276.869097571409</v>
      </c>
      <c r="D601" s="74">
        <f t="shared" si="76"/>
        <v>-3869.0969521117004</v>
      </c>
      <c r="E601" s="74">
        <f t="shared" si="77"/>
        <v>-12180.90358491</v>
      </c>
      <c r="F601" s="74">
        <f t="shared" si="71"/>
        <v>-6096.0872746101322</v>
      </c>
      <c r="G601" s="74">
        <f t="shared" si="72"/>
        <v>6.9180226191522252</v>
      </c>
      <c r="H601" s="74">
        <f t="shared" si="78"/>
        <v>-25646.53688818778</v>
      </c>
      <c r="I601" s="74">
        <f t="shared" si="79"/>
        <v>2723.1309024285911</v>
      </c>
      <c r="J601" s="74">
        <f t="shared" si="80"/>
        <v>25790.701740529243</v>
      </c>
      <c r="K601" s="74">
        <f t="shared" si="81"/>
        <v>-65646.53688818778</v>
      </c>
      <c r="L601" s="74">
        <f t="shared" si="82"/>
        <v>2723.1309024285911</v>
      </c>
      <c r="M601" s="74">
        <f t="shared" si="83"/>
        <v>65702.992681642441</v>
      </c>
      <c r="N601" s="74">
        <f t="shared" si="84"/>
        <v>-50646.53688818778</v>
      </c>
      <c r="O601" s="74">
        <f t="shared" si="85"/>
        <v>-52276.869097571413</v>
      </c>
      <c r="P601" s="74">
        <f t="shared" si="86"/>
        <v>72786.968211426298</v>
      </c>
    </row>
    <row r="602" spans="1:16" x14ac:dyDescent="0.3">
      <c r="A602" s="72">
        <f t="shared" si="73"/>
        <v>146.5</v>
      </c>
      <c r="B602" s="74">
        <f t="shared" si="74"/>
        <v>42187.966593479403</v>
      </c>
      <c r="C602" s="74">
        <f t="shared" si="75"/>
        <v>11188.146810771197</v>
      </c>
      <c r="D602" s="74">
        <f t="shared" si="76"/>
        <v>-6917.1405894167665</v>
      </c>
      <c r="E602" s="74">
        <f t="shared" si="77"/>
        <v>-12177.444573600424</v>
      </c>
      <c r="F602" s="74">
        <f t="shared" si="71"/>
        <v>-6548.7026888596438</v>
      </c>
      <c r="G602" s="74">
        <f t="shared" si="72"/>
        <v>1553.4750201058914</v>
      </c>
      <c r="H602" s="74">
        <f t="shared" si="78"/>
        <v>-22187.966593479403</v>
      </c>
      <c r="I602" s="74">
        <f t="shared" si="79"/>
        <v>8811.8531892288029</v>
      </c>
      <c r="J602" s="74">
        <f t="shared" si="80"/>
        <v>23873.722336114235</v>
      </c>
      <c r="K602" s="74">
        <f t="shared" si="81"/>
        <v>-62187.966593479403</v>
      </c>
      <c r="L602" s="74">
        <f t="shared" si="82"/>
        <v>8811.8531892288029</v>
      </c>
      <c r="M602" s="74">
        <f t="shared" si="83"/>
        <v>62809.170872255847</v>
      </c>
      <c r="N602" s="74">
        <f t="shared" si="84"/>
        <v>-47187.966593479403</v>
      </c>
      <c r="O602" s="74">
        <f t="shared" si="85"/>
        <v>-46188.146810771199</v>
      </c>
      <c r="P602" s="74">
        <f t="shared" si="86"/>
        <v>66030.667852450817</v>
      </c>
    </row>
    <row r="603" spans="1:16" x14ac:dyDescent="0.3">
      <c r="A603" s="72">
        <f t="shared" si="73"/>
        <v>147</v>
      </c>
      <c r="B603" s="74">
        <f t="shared" si="74"/>
        <v>37092.220626556111</v>
      </c>
      <c r="C603" s="74">
        <f t="shared" si="75"/>
        <v>5487.7932789974584</v>
      </c>
      <c r="D603" s="74">
        <f t="shared" si="76"/>
        <v>-10191.491933846588</v>
      </c>
      <c r="E603" s="74">
        <f t="shared" si="77"/>
        <v>-11400.707063547477</v>
      </c>
      <c r="F603" s="74">
        <f t="shared" si="71"/>
        <v>-6268.487277440654</v>
      </c>
      <c r="G603" s="74">
        <f t="shared" si="72"/>
        <v>3440.8248905182036</v>
      </c>
      <c r="H603" s="74">
        <f t="shared" si="78"/>
        <v>-17092.220626556111</v>
      </c>
      <c r="I603" s="74">
        <f t="shared" si="79"/>
        <v>14512.206721002542</v>
      </c>
      <c r="J603" s="74">
        <f t="shared" si="80"/>
        <v>22422.046067653628</v>
      </c>
      <c r="K603" s="74">
        <f t="shared" si="81"/>
        <v>-57092.220626556111</v>
      </c>
      <c r="L603" s="74">
        <f t="shared" si="82"/>
        <v>14512.206721002542</v>
      </c>
      <c r="M603" s="74">
        <f t="shared" si="83"/>
        <v>58907.773680427526</v>
      </c>
      <c r="N603" s="74">
        <f t="shared" si="84"/>
        <v>-42092.220626556111</v>
      </c>
      <c r="O603" s="74">
        <f t="shared" si="85"/>
        <v>-40487.793278997458</v>
      </c>
      <c r="P603" s="74">
        <f t="shared" si="86"/>
        <v>58403.907762045405</v>
      </c>
    </row>
    <row r="604" spans="1:16" x14ac:dyDescent="0.3">
      <c r="A604" s="72">
        <f t="shared" si="73"/>
        <v>147.5</v>
      </c>
      <c r="B604" s="74">
        <f t="shared" si="74"/>
        <v>30429.352840272655</v>
      </c>
      <c r="C604" s="74">
        <f t="shared" si="75"/>
        <v>647.64596985327057</v>
      </c>
      <c r="D604" s="74">
        <f t="shared" si="76"/>
        <v>-13325.735572566915</v>
      </c>
      <c r="E604" s="74">
        <f t="shared" si="77"/>
        <v>-9680.2946182883752</v>
      </c>
      <c r="F604" s="74">
        <f t="shared" si="71"/>
        <v>-4868.2955268893047</v>
      </c>
      <c r="G604" s="74">
        <f t="shared" si="72"/>
        <v>4899.7073927600313</v>
      </c>
      <c r="H604" s="74">
        <f t="shared" si="78"/>
        <v>-10429.352840272655</v>
      </c>
      <c r="I604" s="74">
        <f t="shared" si="79"/>
        <v>19352.354030146729</v>
      </c>
      <c r="J604" s="74">
        <f t="shared" si="80"/>
        <v>21983.744157332247</v>
      </c>
      <c r="K604" s="74">
        <f t="shared" si="81"/>
        <v>-50429.352840272652</v>
      </c>
      <c r="L604" s="74">
        <f t="shared" si="82"/>
        <v>19352.354030146729</v>
      </c>
      <c r="M604" s="74">
        <f t="shared" si="83"/>
        <v>54015.120423792927</v>
      </c>
      <c r="N604" s="74">
        <f t="shared" si="84"/>
        <v>-35429.352840272652</v>
      </c>
      <c r="O604" s="74">
        <f t="shared" si="85"/>
        <v>-35647.645969853271</v>
      </c>
      <c r="P604" s="74">
        <f t="shared" si="86"/>
        <v>50259.264875966219</v>
      </c>
    </row>
    <row r="605" spans="1:16" x14ac:dyDescent="0.3">
      <c r="A605" s="72">
        <f t="shared" si="73"/>
        <v>148</v>
      </c>
      <c r="B605" s="74">
        <f t="shared" si="74"/>
        <v>22549.411172266875</v>
      </c>
      <c r="C605" s="74">
        <f t="shared" si="75"/>
        <v>-2967.5744911009087</v>
      </c>
      <c r="D605" s="74">
        <f t="shared" si="76"/>
        <v>-15759.883336011568</v>
      </c>
      <c r="E605" s="74">
        <f t="shared" si="77"/>
        <v>-7230.4409219083591</v>
      </c>
      <c r="F605" s="74">
        <f t="shared" si="71"/>
        <v>-2854.113985668635</v>
      </c>
      <c r="G605" s="74">
        <f t="shared" si="72"/>
        <v>4805.4293701821152</v>
      </c>
      <c r="H605" s="74">
        <f t="shared" si="78"/>
        <v>-2549.4111722668749</v>
      </c>
      <c r="I605" s="74">
        <f t="shared" si="79"/>
        <v>22967.57449110091</v>
      </c>
      <c r="J605" s="74">
        <f t="shared" si="80"/>
        <v>23108.634216014332</v>
      </c>
      <c r="K605" s="74">
        <f t="shared" si="81"/>
        <v>-42549.411172266875</v>
      </c>
      <c r="L605" s="74">
        <f t="shared" si="82"/>
        <v>22967.57449110091</v>
      </c>
      <c r="M605" s="74">
        <f t="shared" si="83"/>
        <v>48352.475315240052</v>
      </c>
      <c r="N605" s="74">
        <f t="shared" si="84"/>
        <v>-27549.411172266875</v>
      </c>
      <c r="O605" s="74">
        <f t="shared" si="85"/>
        <v>-32032.42550889909</v>
      </c>
      <c r="P605" s="74">
        <f t="shared" si="86"/>
        <v>42249.808756038081</v>
      </c>
    </row>
    <row r="606" spans="1:16" x14ac:dyDescent="0.3">
      <c r="A606" s="72">
        <f t="shared" si="73"/>
        <v>148.5</v>
      </c>
      <c r="B606" s="74">
        <f t="shared" si="74"/>
        <v>13955.941007843932</v>
      </c>
      <c r="C606" s="74">
        <f t="shared" si="75"/>
        <v>-5381.4376095095595</v>
      </c>
      <c r="D606" s="74">
        <f t="shared" si="76"/>
        <v>-17186.940328845885</v>
      </c>
      <c r="E606" s="74">
        <f t="shared" si="77"/>
        <v>-4827.7262368173015</v>
      </c>
      <c r="F606" s="74">
        <f t="shared" si="71"/>
        <v>-1371.3634332122037</v>
      </c>
      <c r="G606" s="74">
        <f t="shared" si="72"/>
        <v>3012.4246556746762</v>
      </c>
      <c r="H606" s="74">
        <f t="shared" si="78"/>
        <v>6044.0589921560677</v>
      </c>
      <c r="I606" s="74">
        <f t="shared" si="79"/>
        <v>25381.437609509558</v>
      </c>
      <c r="J606" s="74">
        <f t="shared" si="80"/>
        <v>26091.148388411133</v>
      </c>
      <c r="K606" s="74">
        <f t="shared" si="81"/>
        <v>-33955.941007843932</v>
      </c>
      <c r="L606" s="74">
        <f t="shared" si="82"/>
        <v>25381.437609509558</v>
      </c>
      <c r="M606" s="74">
        <f t="shared" si="83"/>
        <v>42393.670575377211</v>
      </c>
      <c r="N606" s="74">
        <f t="shared" si="84"/>
        <v>-18955.941007843932</v>
      </c>
      <c r="O606" s="74">
        <f t="shared" si="85"/>
        <v>-29618.562390490442</v>
      </c>
      <c r="P606" s="74">
        <f t="shared" si="86"/>
        <v>35165.138099717937</v>
      </c>
    </row>
    <row r="607" spans="1:16" x14ac:dyDescent="0.3">
      <c r="A607" s="72">
        <f t="shared" si="73"/>
        <v>149</v>
      </c>
      <c r="B607" s="74">
        <f t="shared" si="74"/>
        <v>5019.6299851179392</v>
      </c>
      <c r="C607" s="74">
        <f t="shared" si="75"/>
        <v>-7042.1945639995411</v>
      </c>
      <c r="D607" s="74">
        <f t="shared" si="76"/>
        <v>-17872.622045451986</v>
      </c>
      <c r="E607" s="74">
        <f t="shared" si="77"/>
        <v>-3321.5139089799632</v>
      </c>
      <c r="F607" s="74">
        <f t="shared" si="71"/>
        <v>-535.8649140788508</v>
      </c>
      <c r="G607" s="74">
        <f t="shared" si="72"/>
        <v>579.34046658533043</v>
      </c>
      <c r="H607" s="74">
        <f t="shared" si="78"/>
        <v>14980.370014882061</v>
      </c>
      <c r="I607" s="74">
        <f t="shared" si="79"/>
        <v>27042.194563999539</v>
      </c>
      <c r="J607" s="74">
        <f t="shared" si="80"/>
        <v>30914.264872708583</v>
      </c>
      <c r="K607" s="74">
        <f t="shared" si="81"/>
        <v>-25019.629985117939</v>
      </c>
      <c r="L607" s="74">
        <f t="shared" si="82"/>
        <v>27042.194563999539</v>
      </c>
      <c r="M607" s="74">
        <f t="shared" si="83"/>
        <v>36841.039228412366</v>
      </c>
      <c r="N607" s="74">
        <f t="shared" si="84"/>
        <v>-10019.629985117939</v>
      </c>
      <c r="O607" s="74">
        <f t="shared" si="85"/>
        <v>-27957.805436000461</v>
      </c>
      <c r="P607" s="74">
        <f t="shared" si="86"/>
        <v>29699.02136158583</v>
      </c>
    </row>
    <row r="608" spans="1:16" x14ac:dyDescent="0.3">
      <c r="A608" s="72">
        <f t="shared" si="73"/>
        <v>149.5</v>
      </c>
      <c r="B608" s="74">
        <f t="shared" si="74"/>
        <v>-4050.6472661277667</v>
      </c>
      <c r="C608" s="74">
        <f t="shared" si="75"/>
        <v>-8558.11640184319</v>
      </c>
      <c r="D608" s="74">
        <f t="shared" si="76"/>
        <v>-18140.55450249141</v>
      </c>
      <c r="E608" s="74">
        <f t="shared" si="77"/>
        <v>-3031.8436756872979</v>
      </c>
      <c r="F608" s="74">
        <f t="shared" si="71"/>
        <v>673.05326457218848</v>
      </c>
      <c r="G608" s="74">
        <f t="shared" si="72"/>
        <v>-1218.7271851203186</v>
      </c>
      <c r="H608" s="74">
        <f t="shared" si="78"/>
        <v>24050.647266127766</v>
      </c>
      <c r="I608" s="74">
        <f t="shared" si="79"/>
        <v>28558.116401843188</v>
      </c>
      <c r="J608" s="74">
        <f t="shared" si="80"/>
        <v>37336.304669060701</v>
      </c>
      <c r="K608" s="74">
        <f t="shared" si="81"/>
        <v>-15949.352733872234</v>
      </c>
      <c r="L608" s="74">
        <f t="shared" si="82"/>
        <v>28558.116401843188</v>
      </c>
      <c r="M608" s="74">
        <f t="shared" si="83"/>
        <v>32710.057551931986</v>
      </c>
      <c r="N608" s="74">
        <f t="shared" si="84"/>
        <v>-949.35273387223333</v>
      </c>
      <c r="O608" s="74">
        <f t="shared" si="85"/>
        <v>-26441.883598156812</v>
      </c>
      <c r="P608" s="74">
        <f t="shared" si="86"/>
        <v>26458.920590828813</v>
      </c>
    </row>
    <row r="609" spans="1:16" x14ac:dyDescent="0.3">
      <c r="A609" s="72">
        <f t="shared" si="73"/>
        <v>150</v>
      </c>
      <c r="B609" s="74">
        <f t="shared" si="74"/>
        <v>-12952.661201230423</v>
      </c>
      <c r="C609" s="74">
        <f t="shared" si="75"/>
        <v>-10378.720035966919</v>
      </c>
      <c r="D609" s="74">
        <f t="shared" si="76"/>
        <v>-17804.027870205315</v>
      </c>
      <c r="E609" s="74">
        <f t="shared" si="77"/>
        <v>-3641.2072682474573</v>
      </c>
      <c r="F609" s="74">
        <f t="shared" si="71"/>
        <v>2533.2459987736011</v>
      </c>
      <c r="G609" s="74">
        <f t="shared" si="72"/>
        <v>-1565.5823755073779</v>
      </c>
      <c r="H609" s="74">
        <f t="shared" si="78"/>
        <v>32952.661201230425</v>
      </c>
      <c r="I609" s="74">
        <f t="shared" si="79"/>
        <v>30378.720035966919</v>
      </c>
      <c r="J609" s="74">
        <f t="shared" si="80"/>
        <v>44819.019525941607</v>
      </c>
      <c r="K609" s="74">
        <f t="shared" si="81"/>
        <v>-7047.3387987695769</v>
      </c>
      <c r="L609" s="74">
        <f t="shared" si="82"/>
        <v>30378.720035966919</v>
      </c>
      <c r="M609" s="74">
        <f t="shared" si="83"/>
        <v>31185.439153045463</v>
      </c>
      <c r="N609" s="74">
        <f t="shared" si="84"/>
        <v>7952.6612012304231</v>
      </c>
      <c r="O609" s="74">
        <f t="shared" si="85"/>
        <v>-24621.279964033081</v>
      </c>
      <c r="P609" s="74">
        <f t="shared" si="86"/>
        <v>25873.775280172249</v>
      </c>
    </row>
    <row r="610" spans="1:16" x14ac:dyDescent="0.3">
      <c r="A610" s="72">
        <f t="shared" si="73"/>
        <v>150.5</v>
      </c>
      <c r="B610" s="74">
        <f t="shared" si="74"/>
        <v>-21221.363636639679</v>
      </c>
      <c r="C610" s="74">
        <f t="shared" si="75"/>
        <v>-12590.719263967492</v>
      </c>
      <c r="D610" s="74">
        <f t="shared" si="76"/>
        <v>-16537.404870818515</v>
      </c>
      <c r="E610" s="74">
        <f t="shared" si="77"/>
        <v>-4423.9984560011462</v>
      </c>
      <c r="F610" s="74">
        <f t="shared" si="71"/>
        <v>3866.7246376601879</v>
      </c>
      <c r="G610" s="74">
        <f t="shared" si="72"/>
        <v>-949.98523323839254</v>
      </c>
      <c r="H610" s="74">
        <f t="shared" si="78"/>
        <v>41221.363636639682</v>
      </c>
      <c r="I610" s="74">
        <f t="shared" si="79"/>
        <v>32590.71926396749</v>
      </c>
      <c r="J610" s="74">
        <f t="shared" si="80"/>
        <v>52548.604188948935</v>
      </c>
      <c r="K610" s="74">
        <f t="shared" si="81"/>
        <v>1221.3636366396786</v>
      </c>
      <c r="L610" s="74">
        <f t="shared" si="82"/>
        <v>32590.71926396749</v>
      </c>
      <c r="M610" s="74">
        <f t="shared" si="83"/>
        <v>32613.59703061972</v>
      </c>
      <c r="N610" s="74">
        <f t="shared" si="84"/>
        <v>16221.363636639679</v>
      </c>
      <c r="O610" s="74">
        <f t="shared" si="85"/>
        <v>-22409.28073603251</v>
      </c>
      <c r="P610" s="74">
        <f t="shared" si="86"/>
        <v>27664.209754453746</v>
      </c>
    </row>
    <row r="611" spans="1:16" x14ac:dyDescent="0.3">
      <c r="A611" s="72">
        <f t="shared" si="73"/>
        <v>151</v>
      </c>
      <c r="B611" s="74">
        <f t="shared" si="74"/>
        <v>-28523.38491263389</v>
      </c>
      <c r="C611" s="74">
        <f t="shared" si="75"/>
        <v>-15040.214800277663</v>
      </c>
      <c r="D611" s="74">
        <f t="shared" si="76"/>
        <v>-14604.042551988421</v>
      </c>
      <c r="E611" s="74">
        <f t="shared" si="77"/>
        <v>-4898.9910726203425</v>
      </c>
      <c r="F611" s="74">
        <f t="shared" si="71"/>
        <v>4161.1364573780502</v>
      </c>
      <c r="G611" s="74">
        <f t="shared" si="72"/>
        <v>-303.33770805914401</v>
      </c>
      <c r="H611" s="74">
        <f t="shared" si="78"/>
        <v>48523.38491263389</v>
      </c>
      <c r="I611" s="74">
        <f t="shared" si="79"/>
        <v>35040.214800277667</v>
      </c>
      <c r="J611" s="74">
        <f t="shared" si="80"/>
        <v>59852.615119384922</v>
      </c>
      <c r="K611" s="74">
        <f t="shared" si="81"/>
        <v>8523.3849126338901</v>
      </c>
      <c r="L611" s="74">
        <f t="shared" si="82"/>
        <v>35040.214800277667</v>
      </c>
      <c r="M611" s="74">
        <f t="shared" si="83"/>
        <v>36061.957013153253</v>
      </c>
      <c r="N611" s="74">
        <f t="shared" si="84"/>
        <v>23523.38491263389</v>
      </c>
      <c r="O611" s="74">
        <f t="shared" si="85"/>
        <v>-19959.785199722337</v>
      </c>
      <c r="P611" s="74">
        <f t="shared" si="86"/>
        <v>30850.326788657956</v>
      </c>
    </row>
    <row r="612" spans="1:16" x14ac:dyDescent="0.3">
      <c r="A612" s="72">
        <f t="shared" si="73"/>
        <v>151.5</v>
      </c>
      <c r="B612" s="74">
        <f t="shared" si="74"/>
        <v>-34785.122074283587</v>
      </c>
      <c r="C612" s="74">
        <f t="shared" si="75"/>
        <v>-17565.544763602622</v>
      </c>
      <c r="D612" s="74">
        <f t="shared" si="76"/>
        <v>-12523.474323299397</v>
      </c>
      <c r="E612" s="74">
        <f t="shared" si="77"/>
        <v>-5050.6599266499143</v>
      </c>
      <c r="F612" s="74">
        <f t="shared" si="71"/>
        <v>3901.2290028736197</v>
      </c>
      <c r="G612" s="74">
        <f t="shared" si="72"/>
        <v>100.68021146432989</v>
      </c>
      <c r="H612" s="74">
        <f t="shared" si="78"/>
        <v>54785.122074283587</v>
      </c>
      <c r="I612" s="74">
        <f t="shared" si="79"/>
        <v>37565.544763602622</v>
      </c>
      <c r="J612" s="74">
        <f t="shared" si="80"/>
        <v>66427.251592101777</v>
      </c>
      <c r="K612" s="74">
        <f t="shared" si="81"/>
        <v>14785.122074283587</v>
      </c>
      <c r="L612" s="74">
        <f t="shared" si="82"/>
        <v>37565.544763602622</v>
      </c>
      <c r="M612" s="74">
        <f t="shared" si="83"/>
        <v>40370.40980888973</v>
      </c>
      <c r="N612" s="74">
        <f t="shared" si="84"/>
        <v>29785.122074283587</v>
      </c>
      <c r="O612" s="74">
        <f t="shared" si="85"/>
        <v>-17434.455236397378</v>
      </c>
      <c r="P612" s="74">
        <f t="shared" si="86"/>
        <v>34512.515503363691</v>
      </c>
    </row>
    <row r="613" spans="1:16" x14ac:dyDescent="0.3">
      <c r="A613" s="72">
        <f t="shared" si="73"/>
        <v>152</v>
      </c>
      <c r="B613" s="74">
        <f t="shared" si="74"/>
        <v>-40071.551985214879</v>
      </c>
      <c r="C613" s="74">
        <f t="shared" si="75"/>
        <v>-20065.704674061493</v>
      </c>
      <c r="D613" s="74">
        <f t="shared" si="76"/>
        <v>-10572.859821862587</v>
      </c>
      <c r="E613" s="74">
        <f t="shared" si="77"/>
        <v>-5000.319820917749</v>
      </c>
      <c r="F613" s="74">
        <f t="shared" si="71"/>
        <v>3506.2699970240319</v>
      </c>
      <c r="G613" s="74">
        <f t="shared" si="72"/>
        <v>322.12648671262127</v>
      </c>
      <c r="H613" s="74">
        <f t="shared" si="78"/>
        <v>60071.551985214879</v>
      </c>
      <c r="I613" s="74">
        <f t="shared" si="79"/>
        <v>40065.70467406149</v>
      </c>
      <c r="J613" s="74">
        <f t="shared" si="80"/>
        <v>72207.008309038021</v>
      </c>
      <c r="K613" s="74">
        <f t="shared" si="81"/>
        <v>20071.551985214879</v>
      </c>
      <c r="L613" s="74">
        <f t="shared" si="82"/>
        <v>40065.70467406149</v>
      </c>
      <c r="M613" s="74">
        <f t="shared" si="83"/>
        <v>44812.139985993708</v>
      </c>
      <c r="N613" s="74">
        <f t="shared" si="84"/>
        <v>35071.551985214879</v>
      </c>
      <c r="O613" s="74">
        <f t="shared" si="85"/>
        <v>-14934.295325938507</v>
      </c>
      <c r="P613" s="74">
        <f t="shared" si="86"/>
        <v>38118.852757316534</v>
      </c>
    </row>
    <row r="614" spans="1:16" x14ac:dyDescent="0.3">
      <c r="A614" s="72">
        <f t="shared" si="73"/>
        <v>152.5</v>
      </c>
      <c r="B614" s="74">
        <f t="shared" si="74"/>
        <v>-44481.414396890163</v>
      </c>
      <c r="C614" s="74">
        <f t="shared" si="75"/>
        <v>-22485.332962842214</v>
      </c>
      <c r="D614" s="74">
        <f t="shared" si="76"/>
        <v>-8819.7248233505707</v>
      </c>
      <c r="E614" s="74">
        <f t="shared" si="77"/>
        <v>-4839.2565775614385</v>
      </c>
      <c r="F614" s="74">
        <f t="shared" si="71"/>
        <v>3138.3636764560424</v>
      </c>
      <c r="G614" s="74">
        <f t="shared" si="72"/>
        <v>442.25590784658573</v>
      </c>
      <c r="H614" s="74">
        <f t="shared" si="78"/>
        <v>64481.414396890163</v>
      </c>
      <c r="I614" s="74">
        <f t="shared" si="79"/>
        <v>42485.332962842214</v>
      </c>
      <c r="J614" s="74">
        <f t="shared" si="80"/>
        <v>77219.533277448922</v>
      </c>
      <c r="K614" s="74">
        <f t="shared" si="81"/>
        <v>24481.414396890163</v>
      </c>
      <c r="L614" s="74">
        <f t="shared" si="82"/>
        <v>42485.332962842214</v>
      </c>
      <c r="M614" s="74">
        <f t="shared" si="83"/>
        <v>49034.102090645327</v>
      </c>
      <c r="N614" s="74">
        <f t="shared" si="84"/>
        <v>39481.414396890163</v>
      </c>
      <c r="O614" s="74">
        <f t="shared" si="85"/>
        <v>-12514.667037157786</v>
      </c>
      <c r="P614" s="74">
        <f t="shared" si="86"/>
        <v>41417.3752648558</v>
      </c>
    </row>
    <row r="615" spans="1:16" x14ac:dyDescent="0.3">
      <c r="A615" s="72">
        <f t="shared" si="73"/>
        <v>153</v>
      </c>
      <c r="B615" s="74">
        <f t="shared" si="74"/>
        <v>-48106.685889451437</v>
      </c>
      <c r="C615" s="74">
        <f t="shared" si="75"/>
        <v>-24794.397274661285</v>
      </c>
      <c r="D615" s="74">
        <f t="shared" si="76"/>
        <v>-7250.542985122549</v>
      </c>
      <c r="E615" s="74">
        <f t="shared" si="77"/>
        <v>-4618.1286236381457</v>
      </c>
      <c r="F615" s="74">
        <f t="shared" si="71"/>
        <v>2836.9305005115912</v>
      </c>
      <c r="G615" s="74">
        <f t="shared" si="72"/>
        <v>510.20521099364203</v>
      </c>
      <c r="H615" s="74">
        <f t="shared" si="78"/>
        <v>68106.685889451444</v>
      </c>
      <c r="I615" s="74">
        <f t="shared" si="79"/>
        <v>44794.397274661285</v>
      </c>
      <c r="J615" s="74">
        <f t="shared" si="80"/>
        <v>81517.229406086815</v>
      </c>
      <c r="K615" s="74">
        <f t="shared" si="81"/>
        <v>28106.685889451437</v>
      </c>
      <c r="L615" s="74">
        <f t="shared" si="82"/>
        <v>44794.397274661285</v>
      </c>
      <c r="M615" s="74">
        <f t="shared" si="83"/>
        <v>52882.169196133313</v>
      </c>
      <c r="N615" s="74">
        <f t="shared" si="84"/>
        <v>43106.685889451437</v>
      </c>
      <c r="O615" s="74">
        <f t="shared" si="85"/>
        <v>-10205.602725338715</v>
      </c>
      <c r="P615" s="74">
        <f t="shared" si="86"/>
        <v>44298.314813988945</v>
      </c>
    </row>
    <row r="616" spans="1:16" x14ac:dyDescent="0.3">
      <c r="A616" s="72">
        <f t="shared" si="73"/>
        <v>153.5</v>
      </c>
      <c r="B616" s="74">
        <f t="shared" si="74"/>
        <v>-51022.724756884811</v>
      </c>
      <c r="C616" s="74">
        <f t="shared" si="75"/>
        <v>-26975.910283731944</v>
      </c>
      <c r="D616" s="74">
        <f t="shared" si="76"/>
        <v>-5832.0777348667534</v>
      </c>
      <c r="E616" s="74">
        <f t="shared" si="77"/>
        <v>-4363.026018141325</v>
      </c>
      <c r="F616" s="74">
        <f t="shared" si="71"/>
        <v>2601.8137617373113</v>
      </c>
      <c r="G616" s="74">
        <f t="shared" si="72"/>
        <v>551.99990323275836</v>
      </c>
      <c r="H616" s="74">
        <f t="shared" si="78"/>
        <v>71022.724756884811</v>
      </c>
      <c r="I616" s="74">
        <f t="shared" si="79"/>
        <v>46975.910283731944</v>
      </c>
      <c r="J616" s="74">
        <f t="shared" si="80"/>
        <v>85152.589971635331</v>
      </c>
      <c r="K616" s="74">
        <f t="shared" si="81"/>
        <v>31022.724756884811</v>
      </c>
      <c r="L616" s="74">
        <f t="shared" si="82"/>
        <v>46975.910283731944</v>
      </c>
      <c r="M616" s="74">
        <f t="shared" si="83"/>
        <v>56295.164964023927</v>
      </c>
      <c r="N616" s="74">
        <f t="shared" si="84"/>
        <v>46022.724756884811</v>
      </c>
      <c r="O616" s="74">
        <f t="shared" si="85"/>
        <v>-8024.0897162680558</v>
      </c>
      <c r="P616" s="74">
        <f t="shared" si="86"/>
        <v>46716.990590391171</v>
      </c>
    </row>
    <row r="617" spans="1:16" x14ac:dyDescent="0.3">
      <c r="A617" s="72">
        <f t="shared" si="73"/>
        <v>154</v>
      </c>
      <c r="B617" s="74">
        <f t="shared" si="74"/>
        <v>-53288.310183883856</v>
      </c>
      <c r="C617" s="74">
        <f t="shared" si="75"/>
        <v>-29019.423316994416</v>
      </c>
      <c r="D617" s="74">
        <f t="shared" si="76"/>
        <v>-4531.1708539980973</v>
      </c>
      <c r="E617" s="74">
        <f t="shared" si="77"/>
        <v>-4087.0260665249457</v>
      </c>
      <c r="F617" s="74">
        <f t="shared" si="71"/>
        <v>2423.556279605179</v>
      </c>
      <c r="G617" s="74">
        <f t="shared" si="72"/>
        <v>581.31535955907361</v>
      </c>
      <c r="H617" s="74">
        <f t="shared" si="78"/>
        <v>73288.310183883848</v>
      </c>
      <c r="I617" s="74">
        <f t="shared" si="79"/>
        <v>49019.42331699442</v>
      </c>
      <c r="J617" s="74">
        <f t="shared" si="80"/>
        <v>88170.744989139508</v>
      </c>
      <c r="K617" s="74">
        <f t="shared" si="81"/>
        <v>33288.310183883856</v>
      </c>
      <c r="L617" s="74">
        <f t="shared" si="82"/>
        <v>49019.42331699442</v>
      </c>
      <c r="M617" s="74">
        <f t="shared" si="83"/>
        <v>59253.822300583801</v>
      </c>
      <c r="N617" s="74">
        <f t="shared" si="84"/>
        <v>48288.310183883856</v>
      </c>
      <c r="O617" s="74">
        <f t="shared" si="85"/>
        <v>-5980.5766830055836</v>
      </c>
      <c r="P617" s="74">
        <f t="shared" si="86"/>
        <v>48657.252263935858</v>
      </c>
    </row>
    <row r="618" spans="1:16" x14ac:dyDescent="0.3">
      <c r="A618" s="72">
        <f t="shared" si="73"/>
        <v>154.5</v>
      </c>
      <c r="B618" s="74">
        <f t="shared" si="74"/>
        <v>-54948.006540981609</v>
      </c>
      <c r="C618" s="74">
        <f t="shared" si="75"/>
        <v>-30917.607510367121</v>
      </c>
      <c r="D618" s="74">
        <f t="shared" si="76"/>
        <v>-3319.3927141955078</v>
      </c>
      <c r="E618" s="74">
        <f t="shared" si="77"/>
        <v>-3796.3683867454088</v>
      </c>
      <c r="F618" s="74">
        <f t="shared" si="71"/>
        <v>2292.5665510931203</v>
      </c>
      <c r="G618" s="74">
        <f t="shared" si="72"/>
        <v>605.61171975768877</v>
      </c>
      <c r="H618" s="74">
        <f t="shared" si="78"/>
        <v>74948.006540981616</v>
      </c>
      <c r="I618" s="74">
        <f t="shared" si="79"/>
        <v>50917.607510367117</v>
      </c>
      <c r="J618" s="74">
        <f t="shared" si="80"/>
        <v>90607.982203814783</v>
      </c>
      <c r="K618" s="74">
        <f t="shared" si="81"/>
        <v>34948.006540981609</v>
      </c>
      <c r="L618" s="74">
        <f t="shared" si="82"/>
        <v>50917.607510367117</v>
      </c>
      <c r="M618" s="74">
        <f t="shared" si="83"/>
        <v>61757.314674201043</v>
      </c>
      <c r="N618" s="74">
        <f t="shared" si="84"/>
        <v>49948.006540981609</v>
      </c>
      <c r="O618" s="74">
        <f t="shared" si="85"/>
        <v>-4082.392489632879</v>
      </c>
      <c r="P618" s="74">
        <f t="shared" si="86"/>
        <v>50114.56161493736</v>
      </c>
    </row>
    <row r="619" spans="1:16" x14ac:dyDescent="0.3">
      <c r="A619" s="72">
        <f t="shared" si="73"/>
        <v>155</v>
      </c>
      <c r="B619" s="74">
        <f t="shared" si="74"/>
        <v>-56034.56126030608</v>
      </c>
      <c r="C619" s="74">
        <f t="shared" si="75"/>
        <v>-32664.388773800401</v>
      </c>
      <c r="D619" s="74">
        <f t="shared" si="76"/>
        <v>-2173.1094386489476</v>
      </c>
      <c r="E619" s="74">
        <f t="shared" si="77"/>
        <v>-3493.5625268665644</v>
      </c>
      <c r="F619" s="74">
        <f t="shared" si="71"/>
        <v>2201.4169482089383</v>
      </c>
      <c r="G619" s="74">
        <f t="shared" si="72"/>
        <v>629.25228426639205</v>
      </c>
      <c r="H619" s="74">
        <f t="shared" si="78"/>
        <v>76034.561260306073</v>
      </c>
      <c r="I619" s="74">
        <f t="shared" si="79"/>
        <v>52664.388773800398</v>
      </c>
      <c r="J619" s="74">
        <f t="shared" si="80"/>
        <v>92492.120480423793</v>
      </c>
      <c r="K619" s="74">
        <f t="shared" si="81"/>
        <v>36034.56126030608</v>
      </c>
      <c r="L619" s="74">
        <f t="shared" si="82"/>
        <v>52664.388773800398</v>
      </c>
      <c r="M619" s="74">
        <f t="shared" si="83"/>
        <v>63812.439619095785</v>
      </c>
      <c r="N619" s="74">
        <f t="shared" si="84"/>
        <v>51034.56126030608</v>
      </c>
      <c r="O619" s="74">
        <f t="shared" si="85"/>
        <v>-2335.6112261995986</v>
      </c>
      <c r="P619" s="74">
        <f t="shared" si="86"/>
        <v>51087.978261347198</v>
      </c>
    </row>
    <row r="620" spans="1:16" x14ac:dyDescent="0.3">
      <c r="A620" s="72">
        <f t="shared" si="73"/>
        <v>155.5</v>
      </c>
      <c r="B620" s="74">
        <f t="shared" si="74"/>
        <v>-56570.761742578317</v>
      </c>
      <c r="C620" s="74">
        <f t="shared" si="75"/>
        <v>-34253.856966167084</v>
      </c>
      <c r="D620" s="74">
        <f t="shared" si="76"/>
        <v>-1072.4009645444785</v>
      </c>
      <c r="E620" s="74">
        <f t="shared" si="77"/>
        <v>-3178.9363847333684</v>
      </c>
      <c r="F620" s="74">
        <f t="shared" si="71"/>
        <v>2145.1577515110189</v>
      </c>
      <c r="G620" s="74">
        <f t="shared" si="72"/>
        <v>655.08766971536056</v>
      </c>
      <c r="H620" s="74">
        <f t="shared" si="78"/>
        <v>76570.761742578325</v>
      </c>
      <c r="I620" s="74">
        <f t="shared" si="79"/>
        <v>54253.856966167084</v>
      </c>
      <c r="J620" s="74">
        <f t="shared" si="80"/>
        <v>93843.287184241446</v>
      </c>
      <c r="K620" s="74">
        <f t="shared" si="81"/>
        <v>36570.761742578317</v>
      </c>
      <c r="L620" s="74">
        <f t="shared" si="82"/>
        <v>54253.856966167084</v>
      </c>
      <c r="M620" s="74">
        <f t="shared" si="83"/>
        <v>65428.599328869532</v>
      </c>
      <c r="N620" s="74">
        <f t="shared" si="84"/>
        <v>51570.761742578317</v>
      </c>
      <c r="O620" s="74">
        <f t="shared" si="85"/>
        <v>-746.14303383291553</v>
      </c>
      <c r="P620" s="74">
        <f t="shared" si="86"/>
        <v>51576.159183645272</v>
      </c>
    </row>
    <row r="621" spans="1:16" x14ac:dyDescent="0.3">
      <c r="A621" s="72">
        <f t="shared" si="73"/>
        <v>156</v>
      </c>
      <c r="B621" s="74">
        <f t="shared" si="74"/>
        <v>-56570.672786972798</v>
      </c>
      <c r="C621" s="74">
        <f t="shared" si="75"/>
        <v>-35679.553241104928</v>
      </c>
      <c r="D621" s="74">
        <f t="shared" si="76"/>
        <v>0.17791121103095975</v>
      </c>
      <c r="E621" s="74">
        <f t="shared" si="77"/>
        <v>-2851.392549875688</v>
      </c>
      <c r="F621" s="74">
        <f t="shared" si="71"/>
        <v>2121.2078054740464</v>
      </c>
      <c r="G621" s="74">
        <f t="shared" si="72"/>
        <v>685.30434298796206</v>
      </c>
      <c r="H621" s="74">
        <f t="shared" si="78"/>
        <v>76570.672786972806</v>
      </c>
      <c r="I621" s="74">
        <f t="shared" si="79"/>
        <v>55679.553241104928</v>
      </c>
      <c r="J621" s="74">
        <f t="shared" si="80"/>
        <v>94674.603670565717</v>
      </c>
      <c r="K621" s="74">
        <f t="shared" si="81"/>
        <v>36570.672786972798</v>
      </c>
      <c r="L621" s="74">
        <f t="shared" si="82"/>
        <v>55679.553241104928</v>
      </c>
      <c r="M621" s="74">
        <f t="shared" si="83"/>
        <v>66615.514388323019</v>
      </c>
      <c r="N621" s="74">
        <f t="shared" si="84"/>
        <v>51570.672786972798</v>
      </c>
      <c r="O621" s="74">
        <f t="shared" si="85"/>
        <v>679.55324110492802</v>
      </c>
      <c r="P621" s="74">
        <f t="shared" si="86"/>
        <v>51575.149871895796</v>
      </c>
    </row>
    <row r="622" spans="1:16" x14ac:dyDescent="0.3">
      <c r="A622" s="72">
        <f t="shared" si="73"/>
        <v>156.5</v>
      </c>
      <c r="B622" s="74">
        <f t="shared" si="74"/>
        <v>-56040.281879998765</v>
      </c>
      <c r="C622" s="74">
        <f t="shared" si="75"/>
        <v>-36933.923430295778</v>
      </c>
      <c r="D622" s="74">
        <f t="shared" si="76"/>
        <v>1060.7818139480542</v>
      </c>
      <c r="E622" s="74">
        <f t="shared" si="77"/>
        <v>-2508.7403783817072</v>
      </c>
      <c r="F622" s="74">
        <f t="shared" si="71"/>
        <v>2129.3276924470811</v>
      </c>
      <c r="G622" s="74">
        <f t="shared" si="72"/>
        <v>721.93492120149699</v>
      </c>
      <c r="H622" s="74">
        <f t="shared" si="78"/>
        <v>76040.281879998773</v>
      </c>
      <c r="I622" s="74">
        <f t="shared" si="79"/>
        <v>56933.923430295778</v>
      </c>
      <c r="J622" s="74">
        <f t="shared" si="80"/>
        <v>94992.610794505759</v>
      </c>
      <c r="K622" s="74">
        <f t="shared" si="81"/>
        <v>36040.281879998765</v>
      </c>
      <c r="L622" s="74">
        <f t="shared" si="82"/>
        <v>56933.923430295778</v>
      </c>
      <c r="M622" s="74">
        <f t="shared" si="83"/>
        <v>67382.294077573155</v>
      </c>
      <c r="N622" s="74">
        <f t="shared" si="84"/>
        <v>51040.281879998765</v>
      </c>
      <c r="O622" s="74">
        <f t="shared" si="85"/>
        <v>1933.9234302957775</v>
      </c>
      <c r="P622" s="74">
        <f t="shared" si="86"/>
        <v>51076.907054205796</v>
      </c>
    </row>
    <row r="623" spans="1:16" x14ac:dyDescent="0.3">
      <c r="A623" s="72">
        <f t="shared" si="73"/>
        <v>157</v>
      </c>
      <c r="B623" s="74">
        <f t="shared" si="74"/>
        <v>-54977.559049912968</v>
      </c>
      <c r="C623" s="74">
        <f t="shared" si="75"/>
        <v>-38007.809889186261</v>
      </c>
      <c r="D623" s="74">
        <f t="shared" si="76"/>
        <v>2125.4456601715947</v>
      </c>
      <c r="E623" s="74">
        <f t="shared" si="77"/>
        <v>-2147.7729177809588</v>
      </c>
      <c r="F623" s="74">
        <f t="shared" si="71"/>
        <v>2171.8924650832996</v>
      </c>
      <c r="G623" s="74">
        <f t="shared" si="72"/>
        <v>767.23817104258023</v>
      </c>
      <c r="H623" s="74">
        <f t="shared" si="78"/>
        <v>74977.559049912961</v>
      </c>
      <c r="I623" s="74">
        <f t="shared" si="79"/>
        <v>58007.809889186261</v>
      </c>
      <c r="J623" s="74">
        <f t="shared" si="80"/>
        <v>94797.364779951342</v>
      </c>
      <c r="K623" s="74">
        <f t="shared" si="81"/>
        <v>34977.559049912968</v>
      </c>
      <c r="L623" s="74">
        <f t="shared" si="82"/>
        <v>58007.809889186261</v>
      </c>
      <c r="M623" s="74">
        <f t="shared" si="83"/>
        <v>67737.254485475903</v>
      </c>
      <c r="N623" s="74">
        <f t="shared" si="84"/>
        <v>49977.559049912968</v>
      </c>
      <c r="O623" s="74">
        <f t="shared" si="85"/>
        <v>3007.809889186261</v>
      </c>
      <c r="P623" s="74">
        <f t="shared" si="86"/>
        <v>50067.987066757785</v>
      </c>
    </row>
    <row r="624" spans="1:16" x14ac:dyDescent="0.3">
      <c r="A624" s="72">
        <f t="shared" si="73"/>
        <v>157.5</v>
      </c>
      <c r="B624" s="74">
        <f t="shared" si="74"/>
        <v>-53371.863103556345</v>
      </c>
      <c r="C624" s="74">
        <f t="shared" si="75"/>
        <v>-38889.886805316091</v>
      </c>
      <c r="D624" s="74">
        <f t="shared" si="76"/>
        <v>3211.3918927132445</v>
      </c>
      <c r="E624" s="74">
        <f t="shared" si="77"/>
        <v>-1764.1538322596687</v>
      </c>
      <c r="F624" s="74">
        <f t="shared" si="71"/>
        <v>2254.6812040650657</v>
      </c>
      <c r="G624" s="74">
        <f t="shared" si="72"/>
        <v>824.08189075186215</v>
      </c>
      <c r="H624" s="74">
        <f t="shared" si="78"/>
        <v>73371.863103556345</v>
      </c>
      <c r="I624" s="74">
        <f t="shared" si="79"/>
        <v>58889.886805316091</v>
      </c>
      <c r="J624" s="74">
        <f t="shared" si="80"/>
        <v>94082.13998007249</v>
      </c>
      <c r="K624" s="74">
        <f t="shared" si="81"/>
        <v>33371.863103556345</v>
      </c>
      <c r="L624" s="74">
        <f t="shared" si="82"/>
        <v>58889.886805316091</v>
      </c>
      <c r="M624" s="74">
        <f t="shared" si="83"/>
        <v>67688.256108023998</v>
      </c>
      <c r="N624" s="74">
        <f t="shared" si="84"/>
        <v>48371.863103556345</v>
      </c>
      <c r="O624" s="74">
        <f t="shared" si="85"/>
        <v>3889.8868053160913</v>
      </c>
      <c r="P624" s="74">
        <f t="shared" si="86"/>
        <v>48528.016232557544</v>
      </c>
    </row>
    <row r="625" spans="1:16" x14ac:dyDescent="0.3">
      <c r="A625" s="72">
        <f t="shared" si="73"/>
        <v>158</v>
      </c>
      <c r="B625" s="74">
        <f t="shared" si="74"/>
        <v>-51202.496856183454</v>
      </c>
      <c r="C625" s="74">
        <f t="shared" si="75"/>
        <v>-39565.943248757962</v>
      </c>
      <c r="D625" s="74">
        <f t="shared" si="76"/>
        <v>4338.7324947457773</v>
      </c>
      <c r="E625" s="74">
        <f t="shared" si="77"/>
        <v>-1352.1128868837377</v>
      </c>
      <c r="F625" s="74">
        <f t="shared" si="71"/>
        <v>2388.5987442970991</v>
      </c>
      <c r="G625" s="74">
        <f t="shared" si="72"/>
        <v>896.45799825079746</v>
      </c>
      <c r="H625" s="74">
        <f t="shared" si="78"/>
        <v>71202.496856183454</v>
      </c>
      <c r="I625" s="74">
        <f t="shared" si="79"/>
        <v>59565.943248757962</v>
      </c>
      <c r="J625" s="74">
        <f t="shared" si="80"/>
        <v>92832.629789686922</v>
      </c>
      <c r="K625" s="74">
        <f t="shared" si="81"/>
        <v>31202.496856183454</v>
      </c>
      <c r="L625" s="74">
        <f t="shared" si="82"/>
        <v>59565.943248757962</v>
      </c>
      <c r="M625" s="74">
        <f t="shared" si="83"/>
        <v>67243.567760599923</v>
      </c>
      <c r="N625" s="74">
        <f t="shared" si="84"/>
        <v>46202.496856183454</v>
      </c>
      <c r="O625" s="74">
        <f t="shared" si="85"/>
        <v>4565.9432487579616</v>
      </c>
      <c r="P625" s="74">
        <f t="shared" si="86"/>
        <v>46427.562433284395</v>
      </c>
    </row>
    <row r="626" spans="1:16" x14ac:dyDescent="0.3">
      <c r="A626" s="72">
        <f t="shared" si="73"/>
        <v>158.5</v>
      </c>
      <c r="B626" s="74">
        <f t="shared" si="74"/>
        <v>-48435.980922736286</v>
      </c>
      <c r="C626" s="74">
        <f t="shared" si="75"/>
        <v>-40017.885192637135</v>
      </c>
      <c r="D626" s="74">
        <f t="shared" si="76"/>
        <v>5533.0318668943273</v>
      </c>
      <c r="E626" s="74">
        <f t="shared" si="77"/>
        <v>-903.88388775833891</v>
      </c>
      <c r="F626" s="74">
        <f t="shared" si="71"/>
        <v>2593.2802862275948</v>
      </c>
      <c r="G626" s="74">
        <f t="shared" si="72"/>
        <v>990.33004247976487</v>
      </c>
      <c r="H626" s="74">
        <f t="shared" si="78"/>
        <v>68435.980922736286</v>
      </c>
      <c r="I626" s="74">
        <f t="shared" si="79"/>
        <v>60017.885192637135</v>
      </c>
      <c r="J626" s="74">
        <f t="shared" si="80"/>
        <v>91025.436158546901</v>
      </c>
      <c r="K626" s="74">
        <f t="shared" si="81"/>
        <v>28435.980922736286</v>
      </c>
      <c r="L626" s="74">
        <f t="shared" si="82"/>
        <v>60017.885192637135</v>
      </c>
      <c r="M626" s="74">
        <f t="shared" si="83"/>
        <v>66413.489247552672</v>
      </c>
      <c r="N626" s="74">
        <f t="shared" si="84"/>
        <v>43435.980922736286</v>
      </c>
      <c r="O626" s="74">
        <f t="shared" si="85"/>
        <v>5017.8851926371353</v>
      </c>
      <c r="P626" s="74">
        <f t="shared" si="86"/>
        <v>43724.862613012265</v>
      </c>
    </row>
    <row r="627" spans="1:16" x14ac:dyDescent="0.3">
      <c r="A627" s="72">
        <f t="shared" si="73"/>
        <v>159</v>
      </c>
      <c r="B627" s="74">
        <f t="shared" si="74"/>
        <v>-45021.144917732228</v>
      </c>
      <c r="C627" s="74">
        <f t="shared" si="75"/>
        <v>-40222.244625896361</v>
      </c>
      <c r="D627" s="74">
        <f t="shared" si="76"/>
        <v>6829.6720100081247</v>
      </c>
      <c r="E627" s="74">
        <f t="shared" si="77"/>
        <v>-408.71886651845648</v>
      </c>
      <c r="F627" s="74">
        <f t="shared" si="71"/>
        <v>2904.9523530488946</v>
      </c>
      <c r="G627" s="74">
        <f t="shared" si="72"/>
        <v>1115.2308458731707</v>
      </c>
      <c r="H627" s="74">
        <f t="shared" si="78"/>
        <v>65021.144917732228</v>
      </c>
      <c r="I627" s="74">
        <f t="shared" si="79"/>
        <v>60222.244625896361</v>
      </c>
      <c r="J627" s="74">
        <f t="shared" si="80"/>
        <v>88625.436722162558</v>
      </c>
      <c r="K627" s="74">
        <f t="shared" si="81"/>
        <v>25021.144917732228</v>
      </c>
      <c r="L627" s="74">
        <f t="shared" si="82"/>
        <v>60222.244625896361</v>
      </c>
      <c r="M627" s="74">
        <f t="shared" si="83"/>
        <v>65213.314904055143</v>
      </c>
      <c r="N627" s="74">
        <f t="shared" si="84"/>
        <v>40021.144917732228</v>
      </c>
      <c r="O627" s="74">
        <f t="shared" si="85"/>
        <v>5222.244625896361</v>
      </c>
      <c r="P627" s="74">
        <f t="shared" si="86"/>
        <v>40360.424668960404</v>
      </c>
    </row>
    <row r="628" spans="1:16" x14ac:dyDescent="0.3">
      <c r="A628" s="72">
        <f t="shared" si="73"/>
        <v>159.5</v>
      </c>
      <c r="B628" s="74">
        <f t="shared" si="74"/>
        <v>-40880.07082446594</v>
      </c>
      <c r="C628" s="74">
        <f t="shared" si="75"/>
        <v>-40147.796347687297</v>
      </c>
      <c r="D628" s="74">
        <f t="shared" si="76"/>
        <v>8282.1481865325713</v>
      </c>
      <c r="E628" s="74">
        <f t="shared" si="77"/>
        <v>148.89655641812885</v>
      </c>
      <c r="F628" s="74">
        <f t="shared" si="71"/>
        <v>3395.1107934787888</v>
      </c>
      <c r="G628" s="74">
        <f t="shared" si="72"/>
        <v>1287.6434863209663</v>
      </c>
      <c r="H628" s="74">
        <f t="shared" si="78"/>
        <v>60880.07082446594</v>
      </c>
      <c r="I628" s="74">
        <f t="shared" si="79"/>
        <v>60147.796347687297</v>
      </c>
      <c r="J628" s="74">
        <f t="shared" si="80"/>
        <v>85581.192028826365</v>
      </c>
      <c r="K628" s="74">
        <f t="shared" si="81"/>
        <v>20880.07082446594</v>
      </c>
      <c r="L628" s="74">
        <f t="shared" si="82"/>
        <v>60147.796347687297</v>
      </c>
      <c r="M628" s="74">
        <f t="shared" si="83"/>
        <v>63668.946615422959</v>
      </c>
      <c r="N628" s="74">
        <f t="shared" si="84"/>
        <v>35880.07082446594</v>
      </c>
      <c r="O628" s="74">
        <f t="shared" si="85"/>
        <v>5147.7963476872974</v>
      </c>
      <c r="P628" s="74">
        <f t="shared" si="86"/>
        <v>36247.472871994192</v>
      </c>
    </row>
    <row r="629" spans="1:16" x14ac:dyDescent="0.3">
      <c r="A629" s="72">
        <f t="shared" si="73"/>
        <v>160</v>
      </c>
      <c r="B629" s="74">
        <f t="shared" si="74"/>
        <v>-35890.219032829955</v>
      </c>
      <c r="C629" s="74">
        <f t="shared" si="75"/>
        <v>-39751.437197897991</v>
      </c>
      <c r="D629" s="74">
        <f t="shared" si="76"/>
        <v>9979.7035832719666</v>
      </c>
      <c r="E629" s="74">
        <f t="shared" si="77"/>
        <v>792.718299578612</v>
      </c>
      <c r="F629" s="74">
        <f t="shared" si="71"/>
        <v>4220.7004409360507</v>
      </c>
      <c r="G629" s="74">
        <f t="shared" si="72"/>
        <v>1539.0680212041918</v>
      </c>
      <c r="H629" s="74">
        <f t="shared" si="78"/>
        <v>55890.219032829955</v>
      </c>
      <c r="I629" s="74">
        <f t="shared" si="79"/>
        <v>59751.437197897991</v>
      </c>
      <c r="J629" s="74">
        <f t="shared" si="80"/>
        <v>81816.568192219216</v>
      </c>
      <c r="K629" s="74">
        <f t="shared" si="81"/>
        <v>15890.219032829955</v>
      </c>
      <c r="L629" s="74">
        <f t="shared" si="82"/>
        <v>59751.437197897991</v>
      </c>
      <c r="M629" s="74">
        <f t="shared" si="83"/>
        <v>61828.256550914157</v>
      </c>
      <c r="N629" s="74">
        <f t="shared" si="84"/>
        <v>30890.219032829955</v>
      </c>
      <c r="O629" s="74">
        <f t="shared" si="85"/>
        <v>4751.4371978979907</v>
      </c>
      <c r="P629" s="74">
        <f t="shared" si="86"/>
        <v>31253.508400526469</v>
      </c>
    </row>
    <row r="630" spans="1:16" x14ac:dyDescent="0.3">
      <c r="A630" s="72">
        <f t="shared" si="73"/>
        <v>160.5</v>
      </c>
      <c r="B630" s="74">
        <f t="shared" si="74"/>
        <v>-29845.192130959957</v>
      </c>
      <c r="C630" s="74">
        <f t="shared" si="75"/>
        <v>-38970.311042807632</v>
      </c>
      <c r="D630" s="74">
        <f t="shared" si="76"/>
        <v>12090.053803739993</v>
      </c>
      <c r="E630" s="74">
        <f t="shared" si="77"/>
        <v>1562.2523101807078</v>
      </c>
      <c r="F630" s="74">
        <f t="shared" ref="F630:F693" si="87">$C$23*(H630/(J630^2+$C$24^2)^1.5)+$C$32*(K630/(M630^2+$C$33^2)^1.5)+C$41*(N630/(P630^2+$C$42^2)^1.5)</f>
        <v>5782.2212950915637</v>
      </c>
      <c r="G630" s="74">
        <f t="shared" ref="G630:G693" si="88">$C$23*(I630/(J630^2+$C$24^2)^1.5)+$C$32*(L630/(M630^2+$C$33^2)^1.5)+C$41*(O630/(P630^2+$C$42^2)^1.5)</f>
        <v>1937.5611143398239</v>
      </c>
      <c r="H630" s="74">
        <f t="shared" si="78"/>
        <v>49845.192130959957</v>
      </c>
      <c r="I630" s="74">
        <f t="shared" si="79"/>
        <v>58970.311042807632</v>
      </c>
      <c r="J630" s="74">
        <f t="shared" si="80"/>
        <v>77214.252331145399</v>
      </c>
      <c r="K630" s="74">
        <f t="shared" si="81"/>
        <v>9845.1921309599566</v>
      </c>
      <c r="L630" s="74">
        <f t="shared" si="82"/>
        <v>58970.311042807632</v>
      </c>
      <c r="M630" s="74">
        <f t="shared" si="83"/>
        <v>59786.498413780646</v>
      </c>
      <c r="N630" s="74">
        <f t="shared" si="84"/>
        <v>24845.192130959957</v>
      </c>
      <c r="O630" s="74">
        <f t="shared" si="85"/>
        <v>3970.3110428076325</v>
      </c>
      <c r="P630" s="74">
        <f t="shared" si="86"/>
        <v>25160.424118065948</v>
      </c>
    </row>
    <row r="631" spans="1:16" x14ac:dyDescent="0.3">
      <c r="A631" s="72">
        <f t="shared" ref="A631:A694" si="89">A630+$C$5</f>
        <v>161</v>
      </c>
      <c r="B631" s="74">
        <f t="shared" ref="B631:B694" si="90">B630+D630*(A631-A630)+F630*(A631-A630)^2</f>
        <v>-22354.609905317069</v>
      </c>
      <c r="C631" s="74">
        <f t="shared" ref="C631:C694" si="91">C630+E630*(A631-A630)+G630*(A631-A630)^2</f>
        <v>-37704.794609132325</v>
      </c>
      <c r="D631" s="74">
        <f t="shared" ref="D631:D694" si="92">D630+F630*(A631-A630)</f>
        <v>14981.164451285775</v>
      </c>
      <c r="E631" s="74">
        <f t="shared" ref="E631:E694" si="93">E630+G630*(A631-A630)</f>
        <v>2531.0328673506197</v>
      </c>
      <c r="F631" s="74">
        <f t="shared" si="87"/>
        <v>9300.1571343925152</v>
      </c>
      <c r="G631" s="74">
        <f t="shared" si="88"/>
        <v>2636.8879131798717</v>
      </c>
      <c r="H631" s="74">
        <f t="shared" ref="H631:H694" si="94">$C$19-B631</f>
        <v>42354.609905317069</v>
      </c>
      <c r="I631" s="74">
        <f t="shared" ref="I631:I694" si="95">$D$19-C631</f>
        <v>57704.794609132325</v>
      </c>
      <c r="J631" s="74">
        <f t="shared" ref="J631:J694" si="96">SQRT(H631^2+I631^2)</f>
        <v>71580.4184195212</v>
      </c>
      <c r="K631" s="74">
        <f t="shared" ref="K631:K694" si="97">$C$28-B631</f>
        <v>2354.6099053170692</v>
      </c>
      <c r="L631" s="74">
        <f t="shared" ref="L631:L694" si="98">$D$28-C631</f>
        <v>57704.794609132325</v>
      </c>
      <c r="M631" s="74">
        <f t="shared" ref="M631:M694" si="99">SQRT(K631^2+L631^2)</f>
        <v>57752.813859485359</v>
      </c>
      <c r="N631" s="74">
        <f t="shared" ref="N631:N694" si="100">$C$37-B631</f>
        <v>17354.609905317069</v>
      </c>
      <c r="O631" s="74">
        <f t="shared" ref="O631:O694" si="101">$D$37-C631</f>
        <v>2704.7946091323247</v>
      </c>
      <c r="P631" s="74">
        <f t="shared" ref="P631:P694" si="102">SQRT(N631^2+O631^2)</f>
        <v>17564.122489988524</v>
      </c>
    </row>
    <row r="632" spans="1:16" x14ac:dyDescent="0.3">
      <c r="A632" s="72">
        <f t="shared" si="89"/>
        <v>161.5</v>
      </c>
      <c r="B632" s="74">
        <f t="shared" si="90"/>
        <v>-12538.988396076053</v>
      </c>
      <c r="C632" s="74">
        <f t="shared" si="91"/>
        <v>-35780.056197162048</v>
      </c>
      <c r="D632" s="74">
        <f t="shared" si="92"/>
        <v>19631.243018482033</v>
      </c>
      <c r="E632" s="74">
        <f t="shared" si="93"/>
        <v>3849.4768239405557</v>
      </c>
      <c r="F632" s="74">
        <f t="shared" si="87"/>
        <v>16386.19514069561</v>
      </c>
      <c r="G632" s="74">
        <f t="shared" si="88"/>
        <v>3142.627129451701</v>
      </c>
      <c r="H632" s="74">
        <f t="shared" si="94"/>
        <v>32538.988396076053</v>
      </c>
      <c r="I632" s="74">
        <f t="shared" si="95"/>
        <v>55780.056197162048</v>
      </c>
      <c r="J632" s="74">
        <f t="shared" si="96"/>
        <v>64577.089088921683</v>
      </c>
      <c r="K632" s="74">
        <f t="shared" si="97"/>
        <v>-7461.0116039239474</v>
      </c>
      <c r="L632" s="74">
        <f t="shared" si="98"/>
        <v>55780.056197162048</v>
      </c>
      <c r="M632" s="74">
        <f t="shared" si="99"/>
        <v>56276.827944656259</v>
      </c>
      <c r="N632" s="74">
        <f t="shared" si="100"/>
        <v>7538.9883960760526</v>
      </c>
      <c r="O632" s="74">
        <f t="shared" si="101"/>
        <v>780.05619716204819</v>
      </c>
      <c r="P632" s="74">
        <f t="shared" si="102"/>
        <v>7579.2370135060619</v>
      </c>
    </row>
    <row r="633" spans="1:16" x14ac:dyDescent="0.3">
      <c r="A633" s="72">
        <f t="shared" si="89"/>
        <v>162</v>
      </c>
      <c r="B633" s="74">
        <f t="shared" si="90"/>
        <v>1373.1818983388666</v>
      </c>
      <c r="C633" s="74">
        <f t="shared" si="91"/>
        <v>-33069.661002828849</v>
      </c>
      <c r="D633" s="74">
        <f t="shared" si="92"/>
        <v>27824.340588829837</v>
      </c>
      <c r="E633" s="74">
        <f t="shared" si="93"/>
        <v>5420.7903886664062</v>
      </c>
      <c r="F633" s="74">
        <f t="shared" si="87"/>
        <v>-15213.122523813428</v>
      </c>
      <c r="G633" s="74">
        <f t="shared" si="88"/>
        <v>-2879.7441252525491</v>
      </c>
      <c r="H633" s="74">
        <f t="shared" si="94"/>
        <v>18626.818101661134</v>
      </c>
      <c r="I633" s="74">
        <f t="shared" si="95"/>
        <v>53069.661002828849</v>
      </c>
      <c r="J633" s="74">
        <f t="shared" si="96"/>
        <v>56243.642054436197</v>
      </c>
      <c r="K633" s="74">
        <f t="shared" si="97"/>
        <v>-21373.181898338866</v>
      </c>
      <c r="L633" s="74">
        <f t="shared" si="98"/>
        <v>53069.661002828849</v>
      </c>
      <c r="M633" s="74">
        <f t="shared" si="99"/>
        <v>57211.902812392575</v>
      </c>
      <c r="N633" s="74">
        <f t="shared" si="100"/>
        <v>-6373.1818983388666</v>
      </c>
      <c r="O633" s="74">
        <f t="shared" si="101"/>
        <v>-1930.3389971711513</v>
      </c>
      <c r="P633" s="74">
        <f t="shared" si="102"/>
        <v>6659.1032544415411</v>
      </c>
    </row>
    <row r="634" spans="1:16" x14ac:dyDescent="0.3">
      <c r="A634" s="72">
        <f t="shared" si="89"/>
        <v>162.5</v>
      </c>
      <c r="B634" s="74">
        <f t="shared" si="90"/>
        <v>11482.071561800427</v>
      </c>
      <c r="C634" s="74">
        <f t="shared" si="91"/>
        <v>-31079.201839808782</v>
      </c>
      <c r="D634" s="74">
        <f t="shared" si="92"/>
        <v>20217.779326923122</v>
      </c>
      <c r="E634" s="74">
        <f t="shared" si="93"/>
        <v>3980.9183260401314</v>
      </c>
      <c r="F634" s="74">
        <f t="shared" si="87"/>
        <v>-9128.5681156132396</v>
      </c>
      <c r="G634" s="74">
        <f t="shared" si="88"/>
        <v>-204.66019168646812</v>
      </c>
      <c r="H634" s="74">
        <f t="shared" si="94"/>
        <v>8517.9284381995731</v>
      </c>
      <c r="I634" s="74">
        <f t="shared" si="95"/>
        <v>51079.201839808782</v>
      </c>
      <c r="J634" s="74">
        <f t="shared" si="96"/>
        <v>51784.553348177236</v>
      </c>
      <c r="K634" s="74">
        <f t="shared" si="97"/>
        <v>-31482.071561800425</v>
      </c>
      <c r="L634" s="74">
        <f t="shared" si="98"/>
        <v>51079.201839808782</v>
      </c>
      <c r="M634" s="74">
        <f t="shared" si="99"/>
        <v>60001.71406230198</v>
      </c>
      <c r="N634" s="74">
        <f t="shared" si="100"/>
        <v>-16482.071561800425</v>
      </c>
      <c r="O634" s="74">
        <f t="shared" si="101"/>
        <v>-3920.7981601912179</v>
      </c>
      <c r="P634" s="74">
        <f t="shared" si="102"/>
        <v>16941.999326563237</v>
      </c>
    </row>
    <row r="635" spans="1:16" x14ac:dyDescent="0.3">
      <c r="A635" s="72">
        <f t="shared" si="89"/>
        <v>163</v>
      </c>
      <c r="B635" s="74">
        <f t="shared" si="90"/>
        <v>19308.81919635868</v>
      </c>
      <c r="C635" s="74">
        <f t="shared" si="91"/>
        <v>-29139.907724710334</v>
      </c>
      <c r="D635" s="74">
        <f t="shared" si="92"/>
        <v>15653.495269116502</v>
      </c>
      <c r="E635" s="74">
        <f t="shared" si="93"/>
        <v>3878.5882301968973</v>
      </c>
      <c r="F635" s="74">
        <f t="shared" si="87"/>
        <v>-5520.6197307871871</v>
      </c>
      <c r="G635" s="74">
        <f t="shared" si="88"/>
        <v>787.89581041899987</v>
      </c>
      <c r="H635" s="74">
        <f t="shared" si="94"/>
        <v>691.18080364132038</v>
      </c>
      <c r="I635" s="74">
        <f t="shared" si="95"/>
        <v>49139.907724710334</v>
      </c>
      <c r="J635" s="74">
        <f t="shared" si="96"/>
        <v>49144.768410242497</v>
      </c>
      <c r="K635" s="74">
        <f t="shared" si="97"/>
        <v>-39308.81919635868</v>
      </c>
      <c r="L635" s="74">
        <f t="shared" si="98"/>
        <v>49139.907724710334</v>
      </c>
      <c r="M635" s="74">
        <f t="shared" si="99"/>
        <v>62927.845965081811</v>
      </c>
      <c r="N635" s="74">
        <f t="shared" si="100"/>
        <v>-24308.81919635868</v>
      </c>
      <c r="O635" s="74">
        <f t="shared" si="101"/>
        <v>-5860.0922752896658</v>
      </c>
      <c r="P635" s="74">
        <f t="shared" si="102"/>
        <v>25005.186905843475</v>
      </c>
    </row>
    <row r="636" spans="1:16" x14ac:dyDescent="0.3">
      <c r="A636" s="72">
        <f t="shared" si="89"/>
        <v>163.5</v>
      </c>
      <c r="B636" s="74">
        <f t="shared" si="90"/>
        <v>25755.411898220133</v>
      </c>
      <c r="C636" s="74">
        <f t="shared" si="91"/>
        <v>-27003.639657007137</v>
      </c>
      <c r="D636" s="74">
        <f t="shared" si="92"/>
        <v>12893.185403722908</v>
      </c>
      <c r="E636" s="74">
        <f t="shared" si="93"/>
        <v>4272.5361354063971</v>
      </c>
      <c r="F636" s="74">
        <f t="shared" si="87"/>
        <v>-4037.0395961461695</v>
      </c>
      <c r="G636" s="74">
        <f t="shared" si="88"/>
        <v>1180.0411739054334</v>
      </c>
      <c r="H636" s="74">
        <f t="shared" si="94"/>
        <v>-5755.4118982201326</v>
      </c>
      <c r="I636" s="74">
        <f t="shared" si="95"/>
        <v>47003.639657007137</v>
      </c>
      <c r="J636" s="74">
        <f t="shared" si="96"/>
        <v>47354.692556534967</v>
      </c>
      <c r="K636" s="74">
        <f t="shared" si="97"/>
        <v>-45755.411898220133</v>
      </c>
      <c r="L636" s="74">
        <f t="shared" si="98"/>
        <v>47003.639657007137</v>
      </c>
      <c r="M636" s="74">
        <f t="shared" si="99"/>
        <v>65596.49273384636</v>
      </c>
      <c r="N636" s="74">
        <f t="shared" si="100"/>
        <v>-30755.411898220133</v>
      </c>
      <c r="O636" s="74">
        <f t="shared" si="101"/>
        <v>-7996.3603429928626</v>
      </c>
      <c r="P636" s="74">
        <f t="shared" si="102"/>
        <v>31777.934793881264</v>
      </c>
    </row>
    <row r="637" spans="1:16" x14ac:dyDescent="0.3">
      <c r="A637" s="72">
        <f t="shared" si="89"/>
        <v>164</v>
      </c>
      <c r="B637" s="74">
        <f t="shared" si="90"/>
        <v>31192.744701045041</v>
      </c>
      <c r="C637" s="74">
        <f t="shared" si="91"/>
        <v>-24572.361295827581</v>
      </c>
      <c r="D637" s="74">
        <f t="shared" si="92"/>
        <v>10874.665605649823</v>
      </c>
      <c r="E637" s="74">
        <f t="shared" si="93"/>
        <v>4862.5567223591133</v>
      </c>
      <c r="F637" s="74">
        <f t="shared" si="87"/>
        <v>-3356.2105588255754</v>
      </c>
      <c r="G637" s="74">
        <f t="shared" si="88"/>
        <v>1356.0181942824815</v>
      </c>
      <c r="H637" s="74">
        <f t="shared" si="94"/>
        <v>-11192.744701045041</v>
      </c>
      <c r="I637" s="74">
        <f t="shared" si="95"/>
        <v>44572.361295827577</v>
      </c>
      <c r="J637" s="74">
        <f t="shared" si="96"/>
        <v>45956.206603989413</v>
      </c>
      <c r="K637" s="74">
        <f t="shared" si="97"/>
        <v>-51192.744701045041</v>
      </c>
      <c r="L637" s="74">
        <f t="shared" si="98"/>
        <v>44572.361295827577</v>
      </c>
      <c r="M637" s="74">
        <f t="shared" si="99"/>
        <v>67877.776197457759</v>
      </c>
      <c r="N637" s="74">
        <f t="shared" si="100"/>
        <v>-36192.744701045041</v>
      </c>
      <c r="O637" s="74">
        <f t="shared" si="101"/>
        <v>-10427.638704172419</v>
      </c>
      <c r="P637" s="74">
        <f t="shared" si="102"/>
        <v>37664.976011405859</v>
      </c>
    </row>
    <row r="638" spans="1:16" x14ac:dyDescent="0.3">
      <c r="A638" s="72">
        <f t="shared" si="89"/>
        <v>164.5</v>
      </c>
      <c r="B638" s="74">
        <f t="shared" si="90"/>
        <v>35791.024864163555</v>
      </c>
      <c r="C638" s="74">
        <f t="shared" si="91"/>
        <v>-21802.078386077403</v>
      </c>
      <c r="D638" s="74">
        <f t="shared" si="92"/>
        <v>9196.560326237035</v>
      </c>
      <c r="E638" s="74">
        <f t="shared" si="93"/>
        <v>5540.5658195003543</v>
      </c>
      <c r="F638" s="74">
        <f t="shared" si="87"/>
        <v>-3037.8021803230922</v>
      </c>
      <c r="G638" s="74">
        <f t="shared" si="88"/>
        <v>1435.2536290936932</v>
      </c>
      <c r="H638" s="74">
        <f t="shared" si="94"/>
        <v>-15791.024864163555</v>
      </c>
      <c r="I638" s="74">
        <f t="shared" si="95"/>
        <v>41802.078386077403</v>
      </c>
      <c r="J638" s="74">
        <f t="shared" si="96"/>
        <v>44685.23496252863</v>
      </c>
      <c r="K638" s="74">
        <f t="shared" si="97"/>
        <v>-55791.024864163555</v>
      </c>
      <c r="L638" s="74">
        <f t="shared" si="98"/>
        <v>41802.078386077403</v>
      </c>
      <c r="M638" s="74">
        <f t="shared" si="99"/>
        <v>69714.074710846413</v>
      </c>
      <c r="N638" s="74">
        <f t="shared" si="100"/>
        <v>-40791.024864163555</v>
      </c>
      <c r="O638" s="74">
        <f t="shared" si="101"/>
        <v>-13197.921613922597</v>
      </c>
      <c r="P638" s="74">
        <f t="shared" si="102"/>
        <v>42872.98501849451</v>
      </c>
    </row>
    <row r="639" spans="1:16" x14ac:dyDescent="0.3">
      <c r="A639" s="72">
        <f t="shared" si="89"/>
        <v>165</v>
      </c>
      <c r="B639" s="74">
        <f t="shared" si="90"/>
        <v>39629.854482201299</v>
      </c>
      <c r="C639" s="74">
        <f t="shared" si="91"/>
        <v>-18672.9820690538</v>
      </c>
      <c r="D639" s="74">
        <f t="shared" si="92"/>
        <v>7677.6592360754894</v>
      </c>
      <c r="E639" s="74">
        <f t="shared" si="93"/>
        <v>6258.192634047201</v>
      </c>
      <c r="F639" s="74">
        <f t="shared" si="87"/>
        <v>-2914.4260514022089</v>
      </c>
      <c r="G639" s="74">
        <f t="shared" si="88"/>
        <v>1466.9225379347004</v>
      </c>
      <c r="H639" s="74">
        <f t="shared" si="94"/>
        <v>-19629.854482201299</v>
      </c>
      <c r="I639" s="74">
        <f t="shared" si="95"/>
        <v>38672.982069053804</v>
      </c>
      <c r="J639" s="74">
        <f t="shared" si="96"/>
        <v>43369.698282392463</v>
      </c>
      <c r="K639" s="74">
        <f t="shared" si="97"/>
        <v>-59629.854482201299</v>
      </c>
      <c r="L639" s="74">
        <f t="shared" si="98"/>
        <v>38672.982069053804</v>
      </c>
      <c r="M639" s="74">
        <f t="shared" si="99"/>
        <v>71072.632480314525</v>
      </c>
      <c r="N639" s="74">
        <f t="shared" si="100"/>
        <v>-44629.854482201299</v>
      </c>
      <c r="O639" s="74">
        <f t="shared" si="101"/>
        <v>-16327.0179309462</v>
      </c>
      <c r="P639" s="74">
        <f t="shared" si="102"/>
        <v>47522.578061589862</v>
      </c>
    </row>
    <row r="640" spans="1:16" x14ac:dyDescent="0.3">
      <c r="A640" s="72">
        <f t="shared" si="89"/>
        <v>165.5</v>
      </c>
      <c r="B640" s="74">
        <f t="shared" si="90"/>
        <v>42740.077587388492</v>
      </c>
      <c r="C640" s="74">
        <f t="shared" si="91"/>
        <v>-15177.155117546525</v>
      </c>
      <c r="D640" s="74">
        <f t="shared" si="92"/>
        <v>6220.4462103743845</v>
      </c>
      <c r="E640" s="74">
        <f t="shared" si="93"/>
        <v>6991.6539030145514</v>
      </c>
      <c r="F640" s="74">
        <f t="shared" si="87"/>
        <v>-2917.7977337834645</v>
      </c>
      <c r="G640" s="74">
        <f t="shared" si="88"/>
        <v>1475.0924960189768</v>
      </c>
      <c r="H640" s="74">
        <f t="shared" si="94"/>
        <v>-22740.077587388492</v>
      </c>
      <c r="I640" s="74">
        <f t="shared" si="95"/>
        <v>35177.155117546528</v>
      </c>
      <c r="J640" s="74">
        <f t="shared" si="96"/>
        <v>41887.269794585307</v>
      </c>
      <c r="K640" s="74">
        <f t="shared" si="97"/>
        <v>-62740.077587388492</v>
      </c>
      <c r="L640" s="74">
        <f t="shared" si="98"/>
        <v>35177.155117546528</v>
      </c>
      <c r="M640" s="74">
        <f t="shared" si="99"/>
        <v>71928.781289797043</v>
      </c>
      <c r="N640" s="74">
        <f t="shared" si="100"/>
        <v>-47740.077587388492</v>
      </c>
      <c r="O640" s="74">
        <f t="shared" si="101"/>
        <v>-19822.844882453475</v>
      </c>
      <c r="P640" s="74">
        <f t="shared" si="102"/>
        <v>51691.974108982184</v>
      </c>
    </row>
    <row r="641" spans="1:16" x14ac:dyDescent="0.3">
      <c r="A641" s="72">
        <f t="shared" si="89"/>
        <v>166</v>
      </c>
      <c r="B641" s="74">
        <f t="shared" si="90"/>
        <v>45120.85125912982</v>
      </c>
      <c r="C641" s="74">
        <f t="shared" si="91"/>
        <v>-11312.555042034506</v>
      </c>
      <c r="D641" s="74">
        <f t="shared" si="92"/>
        <v>4761.5473434826526</v>
      </c>
      <c r="E641" s="74">
        <f t="shared" si="93"/>
        <v>7729.2001510240398</v>
      </c>
      <c r="F641" s="74">
        <f t="shared" si="87"/>
        <v>-3024.0984344344652</v>
      </c>
      <c r="G641" s="74">
        <f t="shared" si="88"/>
        <v>1472.065127238167</v>
      </c>
      <c r="H641" s="74">
        <f t="shared" si="94"/>
        <v>-25120.85125912982</v>
      </c>
      <c r="I641" s="74">
        <f t="shared" si="95"/>
        <v>31312.555042034506</v>
      </c>
      <c r="J641" s="74">
        <f t="shared" si="96"/>
        <v>40143.907025148474</v>
      </c>
      <c r="K641" s="74">
        <f t="shared" si="97"/>
        <v>-65120.85125912982</v>
      </c>
      <c r="L641" s="74">
        <f t="shared" si="98"/>
        <v>31312.555042034506</v>
      </c>
      <c r="M641" s="74">
        <f t="shared" si="99"/>
        <v>72257.881037116982</v>
      </c>
      <c r="N641" s="74">
        <f t="shared" si="100"/>
        <v>-50120.85125912982</v>
      </c>
      <c r="O641" s="74">
        <f t="shared" si="101"/>
        <v>-23687.444957965494</v>
      </c>
      <c r="P641" s="74">
        <f t="shared" si="102"/>
        <v>55436.403018021112</v>
      </c>
    </row>
    <row r="642" spans="1:16" x14ac:dyDescent="0.3">
      <c r="A642" s="72">
        <f t="shared" si="89"/>
        <v>166.5</v>
      </c>
      <c r="B642" s="74">
        <f t="shared" si="90"/>
        <v>46745.60032226253</v>
      </c>
      <c r="C642" s="74">
        <f t="shared" si="91"/>
        <v>-7079.9386847129445</v>
      </c>
      <c r="D642" s="74">
        <f t="shared" si="92"/>
        <v>3249.4981262654201</v>
      </c>
      <c r="E642" s="74">
        <f t="shared" si="93"/>
        <v>8465.2327146431235</v>
      </c>
      <c r="F642" s="74">
        <f t="shared" si="87"/>
        <v>-3236.0082139803517</v>
      </c>
      <c r="G642" s="74">
        <f t="shared" si="88"/>
        <v>1462.5743338345947</v>
      </c>
      <c r="H642" s="74">
        <f t="shared" si="94"/>
        <v>-26745.60032226253</v>
      </c>
      <c r="I642" s="74">
        <f t="shared" si="95"/>
        <v>27079.938684712943</v>
      </c>
      <c r="J642" s="74">
        <f t="shared" si="96"/>
        <v>38061.137867462952</v>
      </c>
      <c r="K642" s="74">
        <f t="shared" si="97"/>
        <v>-66745.60032226253</v>
      </c>
      <c r="L642" s="74">
        <f t="shared" si="98"/>
        <v>27079.938684712943</v>
      </c>
      <c r="M642" s="74">
        <f t="shared" si="99"/>
        <v>72029.842714995728</v>
      </c>
      <c r="N642" s="74">
        <f t="shared" si="100"/>
        <v>-51745.60032226253</v>
      </c>
      <c r="O642" s="74">
        <f t="shared" si="101"/>
        <v>-27920.061315287057</v>
      </c>
      <c r="P642" s="74">
        <f t="shared" si="102"/>
        <v>58797.423213613074</v>
      </c>
    </row>
    <row r="643" spans="1:16" x14ac:dyDescent="0.3">
      <c r="A643" s="72">
        <f t="shared" si="89"/>
        <v>167</v>
      </c>
      <c r="B643" s="74">
        <f t="shared" si="90"/>
        <v>47561.34733190015</v>
      </c>
      <c r="C643" s="74">
        <f t="shared" si="91"/>
        <v>-2481.6787439327341</v>
      </c>
      <c r="D643" s="74">
        <f t="shared" si="92"/>
        <v>1631.4940192752442</v>
      </c>
      <c r="E643" s="74">
        <f t="shared" si="93"/>
        <v>9196.5198815604199</v>
      </c>
      <c r="F643" s="74">
        <f t="shared" si="87"/>
        <v>-3580.0134088093846</v>
      </c>
      <c r="G643" s="74">
        <f t="shared" si="88"/>
        <v>1443.3154494844166</v>
      </c>
      <c r="H643" s="74">
        <f t="shared" si="94"/>
        <v>-27561.34733190015</v>
      </c>
      <c r="I643" s="74">
        <f t="shared" si="95"/>
        <v>22481.678743932735</v>
      </c>
      <c r="J643" s="74">
        <f t="shared" si="96"/>
        <v>35567.594041416924</v>
      </c>
      <c r="K643" s="74">
        <f t="shared" si="97"/>
        <v>-67561.34733190015</v>
      </c>
      <c r="L643" s="74">
        <f t="shared" si="98"/>
        <v>22481.678743932735</v>
      </c>
      <c r="M643" s="74">
        <f t="shared" si="99"/>
        <v>71203.662352768399</v>
      </c>
      <c r="N643" s="74">
        <f t="shared" si="100"/>
        <v>-52561.34733190015</v>
      </c>
      <c r="O643" s="74">
        <f t="shared" si="101"/>
        <v>-32518.321256067265</v>
      </c>
      <c r="P643" s="74">
        <f t="shared" si="102"/>
        <v>61807.252411488436</v>
      </c>
    </row>
    <row r="644" spans="1:16" x14ac:dyDescent="0.3">
      <c r="A644" s="72">
        <f t="shared" si="89"/>
        <v>167.5</v>
      </c>
      <c r="B644" s="74">
        <f t="shared" si="90"/>
        <v>47482.090989335426</v>
      </c>
      <c r="C644" s="74">
        <f t="shared" si="91"/>
        <v>2477.41005921858</v>
      </c>
      <c r="D644" s="74">
        <f t="shared" si="92"/>
        <v>-158.51268512944807</v>
      </c>
      <c r="E644" s="74">
        <f t="shared" si="93"/>
        <v>9918.1776063026282</v>
      </c>
      <c r="F644" s="74">
        <f t="shared" si="87"/>
        <v>-4114.7759227612523</v>
      </c>
      <c r="G644" s="74">
        <f t="shared" si="88"/>
        <v>1396.1933025902497</v>
      </c>
      <c r="H644" s="74">
        <f t="shared" si="94"/>
        <v>-27482.090989335426</v>
      </c>
      <c r="I644" s="74">
        <f t="shared" si="95"/>
        <v>17522.589940781421</v>
      </c>
      <c r="J644" s="74">
        <f t="shared" si="96"/>
        <v>32593.043481376291</v>
      </c>
      <c r="K644" s="74">
        <f t="shared" si="97"/>
        <v>-67482.090989335426</v>
      </c>
      <c r="L644" s="74">
        <f t="shared" si="98"/>
        <v>17522.589940781421</v>
      </c>
      <c r="M644" s="74">
        <f t="shared" si="99"/>
        <v>69719.966742144388</v>
      </c>
      <c r="N644" s="74">
        <f t="shared" si="100"/>
        <v>-52482.090989335426</v>
      </c>
      <c r="O644" s="74">
        <f t="shared" si="101"/>
        <v>-37477.410059218579</v>
      </c>
      <c r="P644" s="74">
        <f t="shared" si="102"/>
        <v>64489.736697863016</v>
      </c>
    </row>
    <row r="645" spans="1:16" x14ac:dyDescent="0.3">
      <c r="A645" s="72">
        <f t="shared" si="89"/>
        <v>168</v>
      </c>
      <c r="B645" s="74">
        <f t="shared" si="90"/>
        <v>46374.140666080391</v>
      </c>
      <c r="C645" s="74">
        <f t="shared" si="91"/>
        <v>7785.5471880174564</v>
      </c>
      <c r="D645" s="74">
        <f t="shared" si="92"/>
        <v>-2215.9006465100742</v>
      </c>
      <c r="E645" s="74">
        <f t="shared" si="93"/>
        <v>10616.274257597754</v>
      </c>
      <c r="F645" s="74">
        <f t="shared" si="87"/>
        <v>-4954.2968033485986</v>
      </c>
      <c r="G645" s="74">
        <f t="shared" si="88"/>
        <v>1265.1428627759994</v>
      </c>
      <c r="H645" s="74">
        <f t="shared" si="94"/>
        <v>-26374.140666080391</v>
      </c>
      <c r="I645" s="74">
        <f t="shared" si="95"/>
        <v>12214.452811982545</v>
      </c>
      <c r="J645" s="74">
        <f t="shared" si="96"/>
        <v>29065.239606277868</v>
      </c>
      <c r="K645" s="74">
        <f t="shared" si="97"/>
        <v>-66374.140666080391</v>
      </c>
      <c r="L645" s="74">
        <f t="shared" si="98"/>
        <v>12214.452811982545</v>
      </c>
      <c r="M645" s="74">
        <f t="shared" si="99"/>
        <v>67488.66131919327</v>
      </c>
      <c r="N645" s="74">
        <f t="shared" si="100"/>
        <v>-51374.140666080391</v>
      </c>
      <c r="O645" s="74">
        <f t="shared" si="101"/>
        <v>-42785.547188017459</v>
      </c>
      <c r="P645" s="74">
        <f t="shared" si="102"/>
        <v>66857.350959758216</v>
      </c>
    </row>
    <row r="646" spans="1:16" x14ac:dyDescent="0.3">
      <c r="A646" s="72">
        <f t="shared" si="89"/>
        <v>168.5</v>
      </c>
      <c r="B646" s="74">
        <f t="shared" si="90"/>
        <v>44027.616141988205</v>
      </c>
      <c r="C646" s="74">
        <f t="shared" si="91"/>
        <v>13409.970032510331</v>
      </c>
      <c r="D646" s="74">
        <f t="shared" si="92"/>
        <v>-4693.0490481843735</v>
      </c>
      <c r="E646" s="74">
        <f t="shared" si="93"/>
        <v>11248.845688985753</v>
      </c>
      <c r="F646" s="74">
        <f t="shared" si="87"/>
        <v>-6313.1488609223979</v>
      </c>
      <c r="G646" s="74">
        <f t="shared" si="88"/>
        <v>877.49776620043156</v>
      </c>
      <c r="H646" s="74">
        <f t="shared" si="94"/>
        <v>-24027.616141988205</v>
      </c>
      <c r="I646" s="74">
        <f t="shared" si="95"/>
        <v>6590.0299674896687</v>
      </c>
      <c r="J646" s="74">
        <f t="shared" si="96"/>
        <v>24914.951985487431</v>
      </c>
      <c r="K646" s="74">
        <f t="shared" si="97"/>
        <v>-64027.616141988205</v>
      </c>
      <c r="L646" s="74">
        <f t="shared" si="98"/>
        <v>6590.0299674896687</v>
      </c>
      <c r="M646" s="74">
        <f t="shared" si="99"/>
        <v>64365.861477946528</v>
      </c>
      <c r="N646" s="74">
        <f t="shared" si="100"/>
        <v>-49027.616141988205</v>
      </c>
      <c r="O646" s="74">
        <f t="shared" si="101"/>
        <v>-48409.970032510333</v>
      </c>
      <c r="P646" s="74">
        <f t="shared" si="102"/>
        <v>68900.162141425259</v>
      </c>
    </row>
    <row r="647" spans="1:16" x14ac:dyDescent="0.3">
      <c r="A647" s="72">
        <f t="shared" si="89"/>
        <v>169</v>
      </c>
      <c r="B647" s="74">
        <f t="shared" si="90"/>
        <v>40102.804402665417</v>
      </c>
      <c r="C647" s="74">
        <f t="shared" si="91"/>
        <v>19253.767318553317</v>
      </c>
      <c r="D647" s="74">
        <f t="shared" si="92"/>
        <v>-7849.6234786455725</v>
      </c>
      <c r="E647" s="74">
        <f t="shared" si="93"/>
        <v>11687.594572085969</v>
      </c>
      <c r="F647" s="74">
        <f t="shared" si="87"/>
        <v>-8527.4162858772215</v>
      </c>
      <c r="G647" s="74">
        <f t="shared" si="88"/>
        <v>-345.19830135859371</v>
      </c>
      <c r="H647" s="74">
        <f t="shared" si="94"/>
        <v>-20102.804402665417</v>
      </c>
      <c r="I647" s="74">
        <f t="shared" si="95"/>
        <v>746.23268144668327</v>
      </c>
      <c r="J647" s="74">
        <f t="shared" si="96"/>
        <v>20116.650020982201</v>
      </c>
      <c r="K647" s="74">
        <f t="shared" si="97"/>
        <v>-60102.804402665417</v>
      </c>
      <c r="L647" s="74">
        <f t="shared" si="98"/>
        <v>746.23268144668327</v>
      </c>
      <c r="M647" s="74">
        <f t="shared" si="99"/>
        <v>60107.436813425309</v>
      </c>
      <c r="N647" s="74">
        <f t="shared" si="100"/>
        <v>-45102.804402665417</v>
      </c>
      <c r="O647" s="74">
        <f t="shared" si="101"/>
        <v>-54253.76731855332</v>
      </c>
      <c r="P647" s="74">
        <f t="shared" si="102"/>
        <v>70553.059701481558</v>
      </c>
    </row>
    <row r="648" spans="1:16" x14ac:dyDescent="0.3">
      <c r="A648" s="72">
        <f t="shared" si="89"/>
        <v>169.5</v>
      </c>
      <c r="B648" s="74">
        <f t="shared" si="90"/>
        <v>34046.138591873321</v>
      </c>
      <c r="C648" s="74">
        <f t="shared" si="91"/>
        <v>25011.26502925665</v>
      </c>
      <c r="D648" s="74">
        <f t="shared" si="92"/>
        <v>-12113.331621584184</v>
      </c>
      <c r="E648" s="74">
        <f t="shared" si="93"/>
        <v>11514.995421406673</v>
      </c>
      <c r="F648" s="74">
        <f t="shared" si="87"/>
        <v>-11298.200229405616</v>
      </c>
      <c r="G648" s="74">
        <f t="shared" si="88"/>
        <v>-4356.4793762152058</v>
      </c>
      <c r="H648" s="74">
        <f t="shared" si="94"/>
        <v>-14046.138591873321</v>
      </c>
      <c r="I648" s="74">
        <f t="shared" si="95"/>
        <v>-5011.2650292566505</v>
      </c>
      <c r="J648" s="74">
        <f t="shared" si="96"/>
        <v>14913.309040436456</v>
      </c>
      <c r="K648" s="74">
        <f t="shared" si="97"/>
        <v>-54046.138591873321</v>
      </c>
      <c r="L648" s="74">
        <f t="shared" si="98"/>
        <v>-5011.2650292566505</v>
      </c>
      <c r="M648" s="74">
        <f t="shared" si="99"/>
        <v>54277.968586576906</v>
      </c>
      <c r="N648" s="74">
        <f t="shared" si="100"/>
        <v>-39046.138591873321</v>
      </c>
      <c r="O648" s="74">
        <f t="shared" si="101"/>
        <v>-60011.265029256654</v>
      </c>
      <c r="P648" s="74">
        <f t="shared" si="102"/>
        <v>71595.760135272401</v>
      </c>
    </row>
    <row r="649" spans="1:16" x14ac:dyDescent="0.3">
      <c r="A649" s="72">
        <f t="shared" si="89"/>
        <v>170</v>
      </c>
      <c r="B649" s="74">
        <f t="shared" si="90"/>
        <v>25164.922723729826</v>
      </c>
      <c r="C649" s="74">
        <f t="shared" si="91"/>
        <v>29679.642895906185</v>
      </c>
      <c r="D649" s="74">
        <f t="shared" si="92"/>
        <v>-17762.431736286992</v>
      </c>
      <c r="E649" s="74">
        <f t="shared" si="93"/>
        <v>9336.7557332990691</v>
      </c>
      <c r="F649" s="74">
        <f t="shared" si="87"/>
        <v>-7891.1661079417754</v>
      </c>
      <c r="G649" s="74">
        <f t="shared" si="88"/>
        <v>-13319.477984924302</v>
      </c>
      <c r="H649" s="74">
        <f t="shared" si="94"/>
        <v>-5164.9227237298255</v>
      </c>
      <c r="I649" s="74">
        <f t="shared" si="95"/>
        <v>-9679.642895906185</v>
      </c>
      <c r="J649" s="74">
        <f t="shared" si="96"/>
        <v>10971.413461098246</v>
      </c>
      <c r="K649" s="74">
        <f t="shared" si="97"/>
        <v>-45164.922723729826</v>
      </c>
      <c r="L649" s="74">
        <f t="shared" si="98"/>
        <v>-9679.642895906185</v>
      </c>
      <c r="M649" s="74">
        <f t="shared" si="99"/>
        <v>46190.537247717242</v>
      </c>
      <c r="N649" s="74">
        <f t="shared" si="100"/>
        <v>-30164.922723729826</v>
      </c>
      <c r="O649" s="74">
        <f t="shared" si="101"/>
        <v>-64679.642895906189</v>
      </c>
      <c r="P649" s="74">
        <f t="shared" si="102"/>
        <v>71367.911333249343</v>
      </c>
    </row>
    <row r="650" spans="1:16" x14ac:dyDescent="0.3">
      <c r="A650" s="72">
        <f t="shared" si="89"/>
        <v>170.5</v>
      </c>
      <c r="B650" s="74">
        <f t="shared" si="90"/>
        <v>14310.915328600886</v>
      </c>
      <c r="C650" s="74">
        <f t="shared" si="91"/>
        <v>31018.151266324647</v>
      </c>
      <c r="D650" s="74">
        <f t="shared" si="92"/>
        <v>-21708.014790257879</v>
      </c>
      <c r="E650" s="74">
        <f t="shared" si="93"/>
        <v>2677.016740836918</v>
      </c>
      <c r="F650" s="74">
        <f t="shared" si="87"/>
        <v>4191.1887720691147</v>
      </c>
      <c r="G650" s="74">
        <f t="shared" si="88"/>
        <v>-12710.183338784635</v>
      </c>
      <c r="H650" s="74">
        <f t="shared" si="94"/>
        <v>5689.0846713991141</v>
      </c>
      <c r="I650" s="74">
        <f t="shared" si="95"/>
        <v>-11018.151266324647</v>
      </c>
      <c r="J650" s="74">
        <f t="shared" si="96"/>
        <v>12400.215390305113</v>
      </c>
      <c r="K650" s="74">
        <f t="shared" si="97"/>
        <v>-34310.915328600888</v>
      </c>
      <c r="L650" s="74">
        <f t="shared" si="98"/>
        <v>-11018.151266324647</v>
      </c>
      <c r="M650" s="74">
        <f t="shared" si="99"/>
        <v>36036.628144348229</v>
      </c>
      <c r="N650" s="74">
        <f t="shared" si="100"/>
        <v>-19310.915328600888</v>
      </c>
      <c r="O650" s="74">
        <f t="shared" si="101"/>
        <v>-66018.151266324654</v>
      </c>
      <c r="P650" s="74">
        <f t="shared" si="102"/>
        <v>68784.502233073668</v>
      </c>
    </row>
    <row r="651" spans="1:16" x14ac:dyDescent="0.3">
      <c r="A651" s="72">
        <f t="shared" si="89"/>
        <v>171</v>
      </c>
      <c r="B651" s="74">
        <f t="shared" si="90"/>
        <v>4504.7051264892252</v>
      </c>
      <c r="C651" s="74">
        <f t="shared" si="91"/>
        <v>29179.113802046944</v>
      </c>
      <c r="D651" s="74">
        <f t="shared" si="92"/>
        <v>-19612.420404223321</v>
      </c>
      <c r="E651" s="74">
        <f t="shared" si="93"/>
        <v>-3678.0749285553993</v>
      </c>
      <c r="F651" s="74">
        <f t="shared" si="87"/>
        <v>4718.9276451637643</v>
      </c>
      <c r="G651" s="74">
        <f t="shared" si="88"/>
        <v>-6309.5223747449027</v>
      </c>
      <c r="H651" s="74">
        <f t="shared" si="94"/>
        <v>15495.294873510775</v>
      </c>
      <c r="I651" s="74">
        <f t="shared" si="95"/>
        <v>-9179.1138020469443</v>
      </c>
      <c r="J651" s="74">
        <f t="shared" si="96"/>
        <v>18010.005369459999</v>
      </c>
      <c r="K651" s="74">
        <f t="shared" si="97"/>
        <v>-24504.705126489225</v>
      </c>
      <c r="L651" s="74">
        <f t="shared" si="98"/>
        <v>-9179.1138020469443</v>
      </c>
      <c r="M651" s="74">
        <f t="shared" si="99"/>
        <v>26167.474152602426</v>
      </c>
      <c r="N651" s="74">
        <f t="shared" si="100"/>
        <v>-9504.7051264892252</v>
      </c>
      <c r="O651" s="74">
        <f t="shared" si="101"/>
        <v>-64179.113802046944</v>
      </c>
      <c r="P651" s="74">
        <f t="shared" si="102"/>
        <v>64879.103476832992</v>
      </c>
    </row>
    <row r="652" spans="1:16" x14ac:dyDescent="0.3">
      <c r="A652" s="72">
        <f t="shared" si="89"/>
        <v>171.5</v>
      </c>
      <c r="B652" s="74">
        <f t="shared" si="90"/>
        <v>-4121.7731643314946</v>
      </c>
      <c r="C652" s="74">
        <f t="shared" si="91"/>
        <v>25762.695744083019</v>
      </c>
      <c r="D652" s="74">
        <f t="shared" si="92"/>
        <v>-17252.95658164144</v>
      </c>
      <c r="E652" s="74">
        <f t="shared" si="93"/>
        <v>-6832.8361159278502</v>
      </c>
      <c r="F652" s="74">
        <f t="shared" si="87"/>
        <v>52.712767104814105</v>
      </c>
      <c r="G652" s="74">
        <f t="shared" si="88"/>
        <v>-4244.9399073305885</v>
      </c>
      <c r="H652" s="74">
        <f t="shared" si="94"/>
        <v>24121.773164331495</v>
      </c>
      <c r="I652" s="74">
        <f t="shared" si="95"/>
        <v>-5762.6957440830192</v>
      </c>
      <c r="J652" s="74">
        <f t="shared" si="96"/>
        <v>24800.576663262</v>
      </c>
      <c r="K652" s="74">
        <f t="shared" si="97"/>
        <v>-15878.226835668505</v>
      </c>
      <c r="L652" s="74">
        <f t="shared" si="98"/>
        <v>-5762.6957440830192</v>
      </c>
      <c r="M652" s="74">
        <f t="shared" si="99"/>
        <v>16891.617734362095</v>
      </c>
      <c r="N652" s="74">
        <f t="shared" si="100"/>
        <v>-878.22683566850537</v>
      </c>
      <c r="O652" s="74">
        <f t="shared" si="101"/>
        <v>-60762.695744083016</v>
      </c>
      <c r="P652" s="74">
        <f t="shared" si="102"/>
        <v>60769.042089396906</v>
      </c>
    </row>
    <row r="653" spans="1:16" x14ac:dyDescent="0.3">
      <c r="A653" s="72">
        <f t="shared" si="89"/>
        <v>172</v>
      </c>
      <c r="B653" s="74">
        <f t="shared" si="90"/>
        <v>-12735.073263376011</v>
      </c>
      <c r="C653" s="74">
        <f t="shared" si="91"/>
        <v>21285.042709286448</v>
      </c>
      <c r="D653" s="74">
        <f t="shared" si="92"/>
        <v>-17226.600198089032</v>
      </c>
      <c r="E653" s="74">
        <f t="shared" si="93"/>
        <v>-8955.3060695931454</v>
      </c>
      <c r="F653" s="74">
        <f t="shared" si="87"/>
        <v>-8508.2238310694192</v>
      </c>
      <c r="G653" s="74">
        <f t="shared" si="88"/>
        <v>-3500.4187740260941</v>
      </c>
      <c r="H653" s="74">
        <f t="shared" si="94"/>
        <v>32735.073263376013</v>
      </c>
      <c r="I653" s="74">
        <f t="shared" si="95"/>
        <v>-1285.0427092864484</v>
      </c>
      <c r="J653" s="74">
        <f t="shared" si="96"/>
        <v>32760.286267419662</v>
      </c>
      <c r="K653" s="74">
        <f t="shared" si="97"/>
        <v>-7264.9267366239892</v>
      </c>
      <c r="L653" s="74">
        <f t="shared" si="98"/>
        <v>-1285.0427092864484</v>
      </c>
      <c r="M653" s="74">
        <f t="shared" si="99"/>
        <v>7377.7025728341978</v>
      </c>
      <c r="N653" s="74">
        <f t="shared" si="100"/>
        <v>7735.0732633760108</v>
      </c>
      <c r="O653" s="74">
        <f t="shared" si="101"/>
        <v>-56285.042709286448</v>
      </c>
      <c r="P653" s="74">
        <f t="shared" si="102"/>
        <v>56814.059801918695</v>
      </c>
    </row>
    <row r="654" spans="1:16" x14ac:dyDescent="0.3">
      <c r="A654" s="72">
        <f t="shared" si="89"/>
        <v>172.5</v>
      </c>
      <c r="B654" s="74">
        <f t="shared" si="90"/>
        <v>-23475.429320187883</v>
      </c>
      <c r="C654" s="74">
        <f t="shared" si="91"/>
        <v>15932.28498098335</v>
      </c>
      <c r="D654" s="74">
        <f t="shared" si="92"/>
        <v>-21480.71211362374</v>
      </c>
      <c r="E654" s="74">
        <f t="shared" si="93"/>
        <v>-10705.515456606192</v>
      </c>
      <c r="F654" s="74">
        <f t="shared" si="87"/>
        <v>10850.002320768348</v>
      </c>
      <c r="G654" s="74">
        <f t="shared" si="88"/>
        <v>8700.1231730856307</v>
      </c>
      <c r="H654" s="74">
        <f t="shared" si="94"/>
        <v>43475.429320187883</v>
      </c>
      <c r="I654" s="74">
        <f t="shared" si="95"/>
        <v>4067.7150190166503</v>
      </c>
      <c r="J654" s="74">
        <f t="shared" si="96"/>
        <v>43665.309572366321</v>
      </c>
      <c r="K654" s="74">
        <f t="shared" si="97"/>
        <v>3475.4293201878827</v>
      </c>
      <c r="L654" s="74">
        <f t="shared" si="98"/>
        <v>4067.7150190166503</v>
      </c>
      <c r="M654" s="74">
        <f t="shared" si="99"/>
        <v>5350.2256434243254</v>
      </c>
      <c r="N654" s="74">
        <f t="shared" si="100"/>
        <v>18475.429320187883</v>
      </c>
      <c r="O654" s="74">
        <f t="shared" si="101"/>
        <v>-50932.28498098335</v>
      </c>
      <c r="P654" s="74">
        <f t="shared" si="102"/>
        <v>54179.693077290125</v>
      </c>
    </row>
    <row r="655" spans="1:16" x14ac:dyDescent="0.3">
      <c r="A655" s="72">
        <f t="shared" si="89"/>
        <v>173</v>
      </c>
      <c r="B655" s="74">
        <f t="shared" si="90"/>
        <v>-31503.284796807668</v>
      </c>
      <c r="C655" s="74">
        <f t="shared" si="91"/>
        <v>12754.558045951662</v>
      </c>
      <c r="D655" s="74">
        <f t="shared" si="92"/>
        <v>-16055.710953239566</v>
      </c>
      <c r="E655" s="74">
        <f t="shared" si="93"/>
        <v>-6355.4538700633766</v>
      </c>
      <c r="F655" s="74">
        <f t="shared" si="87"/>
        <v>8386.2865689343198</v>
      </c>
      <c r="G655" s="74">
        <f t="shared" si="88"/>
        <v>2994.7446919901522</v>
      </c>
      <c r="H655" s="74">
        <f t="shared" si="94"/>
        <v>51503.284796807668</v>
      </c>
      <c r="I655" s="74">
        <f t="shared" si="95"/>
        <v>7245.4419540483377</v>
      </c>
      <c r="J655" s="74">
        <f t="shared" si="96"/>
        <v>52010.429473044765</v>
      </c>
      <c r="K655" s="74">
        <f t="shared" si="97"/>
        <v>11503.284796807668</v>
      </c>
      <c r="L655" s="74">
        <f t="shared" si="98"/>
        <v>7245.4419540483377</v>
      </c>
      <c r="M655" s="74">
        <f t="shared" si="99"/>
        <v>13594.925164411543</v>
      </c>
      <c r="N655" s="74">
        <f t="shared" si="100"/>
        <v>26503.284796807668</v>
      </c>
      <c r="O655" s="74">
        <f t="shared" si="101"/>
        <v>-47754.558045951664</v>
      </c>
      <c r="P655" s="74">
        <f t="shared" si="102"/>
        <v>54616.132407786463</v>
      </c>
    </row>
    <row r="656" spans="1:16" x14ac:dyDescent="0.3">
      <c r="A656" s="72">
        <f t="shared" si="89"/>
        <v>173.5</v>
      </c>
      <c r="B656" s="74">
        <f t="shared" si="90"/>
        <v>-37434.56863119387</v>
      </c>
      <c r="C656" s="74">
        <f t="shared" si="91"/>
        <v>10325.517283917514</v>
      </c>
      <c r="D656" s="74">
        <f t="shared" si="92"/>
        <v>-11862.567668772406</v>
      </c>
      <c r="E656" s="74">
        <f t="shared" si="93"/>
        <v>-4858.0815240683005</v>
      </c>
      <c r="F656" s="74">
        <f t="shared" si="87"/>
        <v>5684.748179185779</v>
      </c>
      <c r="G656" s="74">
        <f t="shared" si="88"/>
        <v>1243.0617020476509</v>
      </c>
      <c r="H656" s="74">
        <f t="shared" si="94"/>
        <v>57434.56863119387</v>
      </c>
      <c r="I656" s="74">
        <f t="shared" si="95"/>
        <v>9674.4827160824861</v>
      </c>
      <c r="J656" s="74">
        <f t="shared" si="96"/>
        <v>58243.671670620985</v>
      </c>
      <c r="K656" s="74">
        <f t="shared" si="97"/>
        <v>17434.56863119387</v>
      </c>
      <c r="L656" s="74">
        <f t="shared" si="98"/>
        <v>9674.4827160824861</v>
      </c>
      <c r="M656" s="74">
        <f t="shared" si="99"/>
        <v>19938.901654293499</v>
      </c>
      <c r="N656" s="74">
        <f t="shared" si="100"/>
        <v>32434.56863119387</v>
      </c>
      <c r="O656" s="74">
        <f t="shared" si="101"/>
        <v>-45325.517283917514</v>
      </c>
      <c r="P656" s="74">
        <f t="shared" si="102"/>
        <v>55735.121416808004</v>
      </c>
    </row>
    <row r="657" spans="1:16" x14ac:dyDescent="0.3">
      <c r="A657" s="72">
        <f t="shared" si="89"/>
        <v>174</v>
      </c>
      <c r="B657" s="74">
        <f t="shared" si="90"/>
        <v>-41944.665420783625</v>
      </c>
      <c r="C657" s="74">
        <f t="shared" si="91"/>
        <v>8207.2419473952759</v>
      </c>
      <c r="D657" s="74">
        <f t="shared" si="92"/>
        <v>-9020.1935791795167</v>
      </c>
      <c r="E657" s="74">
        <f t="shared" si="93"/>
        <v>-4236.5506730444749</v>
      </c>
      <c r="F657" s="74">
        <f t="shared" si="87"/>
        <v>4428.9361153681575</v>
      </c>
      <c r="G657" s="74">
        <f t="shared" si="88"/>
        <v>660.55027779004217</v>
      </c>
      <c r="H657" s="74">
        <f t="shared" si="94"/>
        <v>61944.665420783625</v>
      </c>
      <c r="I657" s="74">
        <f t="shared" si="95"/>
        <v>11792.758052604724</v>
      </c>
      <c r="J657" s="74">
        <f t="shared" si="96"/>
        <v>63057.201940619758</v>
      </c>
      <c r="K657" s="74">
        <f t="shared" si="97"/>
        <v>21944.665420783625</v>
      </c>
      <c r="L657" s="74">
        <f t="shared" si="98"/>
        <v>11792.758052604724</v>
      </c>
      <c r="M657" s="74">
        <f t="shared" si="99"/>
        <v>24912.596872213264</v>
      </c>
      <c r="N657" s="74">
        <f t="shared" si="100"/>
        <v>36944.665420783625</v>
      </c>
      <c r="O657" s="74">
        <f t="shared" si="101"/>
        <v>-43207.241947395276</v>
      </c>
      <c r="P657" s="74">
        <f t="shared" si="102"/>
        <v>56848.694441951782</v>
      </c>
    </row>
    <row r="658" spans="1:16" x14ac:dyDescent="0.3">
      <c r="A658" s="72">
        <f t="shared" si="89"/>
        <v>174.5</v>
      </c>
      <c r="B658" s="74">
        <f t="shared" si="90"/>
        <v>-45347.528181531343</v>
      </c>
      <c r="C658" s="74">
        <f t="shared" si="91"/>
        <v>6254.1041803205489</v>
      </c>
      <c r="D658" s="74">
        <f t="shared" si="92"/>
        <v>-6805.7255214954384</v>
      </c>
      <c r="E658" s="74">
        <f t="shared" si="93"/>
        <v>-3906.275534149454</v>
      </c>
      <c r="F658" s="74">
        <f t="shared" si="87"/>
        <v>3759.324218891566</v>
      </c>
      <c r="G658" s="74">
        <f t="shared" si="88"/>
        <v>426.93898579287941</v>
      </c>
      <c r="H658" s="74">
        <f t="shared" si="94"/>
        <v>65347.528181531343</v>
      </c>
      <c r="I658" s="74">
        <f t="shared" si="95"/>
        <v>13745.895819679452</v>
      </c>
      <c r="J658" s="74">
        <f t="shared" si="96"/>
        <v>66777.60920639128</v>
      </c>
      <c r="K658" s="74">
        <f t="shared" si="97"/>
        <v>25347.528181531343</v>
      </c>
      <c r="L658" s="74">
        <f t="shared" si="98"/>
        <v>13745.895819679452</v>
      </c>
      <c r="M658" s="74">
        <f t="shared" si="99"/>
        <v>28834.819867635841</v>
      </c>
      <c r="N658" s="74">
        <f t="shared" si="100"/>
        <v>40347.528181531343</v>
      </c>
      <c r="O658" s="74">
        <f t="shared" si="101"/>
        <v>-41254.104180320552</v>
      </c>
      <c r="P658" s="74">
        <f t="shared" si="102"/>
        <v>57704.628428577613</v>
      </c>
    </row>
    <row r="659" spans="1:16" x14ac:dyDescent="0.3">
      <c r="A659" s="72">
        <f t="shared" si="89"/>
        <v>175</v>
      </c>
      <c r="B659" s="74">
        <f t="shared" si="90"/>
        <v>-47810.55988755617</v>
      </c>
      <c r="C659" s="74">
        <f t="shared" si="91"/>
        <v>4407.701159694042</v>
      </c>
      <c r="D659" s="74">
        <f t="shared" si="92"/>
        <v>-4926.0634120496552</v>
      </c>
      <c r="E659" s="74">
        <f t="shared" si="93"/>
        <v>-3692.8060412530144</v>
      </c>
      <c r="F659" s="74">
        <f t="shared" si="87"/>
        <v>3368.3050420552972</v>
      </c>
      <c r="G659" s="74">
        <f t="shared" si="88"/>
        <v>327.38425497631295</v>
      </c>
      <c r="H659" s="74">
        <f t="shared" si="94"/>
        <v>67810.55988755617</v>
      </c>
      <c r="I659" s="74">
        <f t="shared" si="95"/>
        <v>15592.298840305957</v>
      </c>
      <c r="J659" s="74">
        <f t="shared" si="96"/>
        <v>69580.11077448244</v>
      </c>
      <c r="K659" s="74">
        <f t="shared" si="97"/>
        <v>27810.55988755617</v>
      </c>
      <c r="L659" s="74">
        <f t="shared" si="98"/>
        <v>15592.298840305957</v>
      </c>
      <c r="M659" s="74">
        <f t="shared" si="99"/>
        <v>31883.334586971214</v>
      </c>
      <c r="N659" s="74">
        <f t="shared" si="100"/>
        <v>42810.55988755617</v>
      </c>
      <c r="O659" s="74">
        <f t="shared" si="101"/>
        <v>-39407.701159694043</v>
      </c>
      <c r="P659" s="74">
        <f t="shared" si="102"/>
        <v>58186.862336594371</v>
      </c>
    </row>
    <row r="660" spans="1:16" x14ac:dyDescent="0.3">
      <c r="A660" s="72">
        <f t="shared" si="89"/>
        <v>175.5</v>
      </c>
      <c r="B660" s="74">
        <f t="shared" si="90"/>
        <v>-49431.515333067175</v>
      </c>
      <c r="C660" s="74">
        <f t="shared" si="91"/>
        <v>2643.144202811613</v>
      </c>
      <c r="D660" s="74">
        <f t="shared" si="92"/>
        <v>-3241.9108910220066</v>
      </c>
      <c r="E660" s="74">
        <f t="shared" si="93"/>
        <v>-3529.1139137648579</v>
      </c>
      <c r="F660" s="74">
        <f t="shared" si="87"/>
        <v>3133.5589645898276</v>
      </c>
      <c r="G660" s="74">
        <f t="shared" si="88"/>
        <v>289.64268964622568</v>
      </c>
      <c r="H660" s="74">
        <f t="shared" si="94"/>
        <v>69431.515333067175</v>
      </c>
      <c r="I660" s="74">
        <f t="shared" si="95"/>
        <v>17356.855797188386</v>
      </c>
      <c r="J660" s="74">
        <f t="shared" si="96"/>
        <v>71568.119750419137</v>
      </c>
      <c r="K660" s="74">
        <f t="shared" si="97"/>
        <v>29431.515333067175</v>
      </c>
      <c r="L660" s="74">
        <f t="shared" si="98"/>
        <v>17356.855797188386</v>
      </c>
      <c r="M660" s="74">
        <f t="shared" si="99"/>
        <v>34168.326531525658</v>
      </c>
      <c r="N660" s="74">
        <f t="shared" si="100"/>
        <v>44431.515333067175</v>
      </c>
      <c r="O660" s="74">
        <f t="shared" si="101"/>
        <v>-37643.144202811614</v>
      </c>
      <c r="P660" s="74">
        <f t="shared" si="102"/>
        <v>58233.717554920477</v>
      </c>
    </row>
    <row r="661" spans="1:16" x14ac:dyDescent="0.3">
      <c r="A661" s="72">
        <f t="shared" si="89"/>
        <v>176</v>
      </c>
      <c r="B661" s="74">
        <f t="shared" si="90"/>
        <v>-50269.081037430726</v>
      </c>
      <c r="C661" s="74">
        <f t="shared" si="91"/>
        <v>950.99791834074051</v>
      </c>
      <c r="D661" s="74">
        <f t="shared" si="92"/>
        <v>-1675.1314087270928</v>
      </c>
      <c r="E661" s="74">
        <f t="shared" si="93"/>
        <v>-3384.2925689417452</v>
      </c>
      <c r="F661" s="74">
        <f t="shared" si="87"/>
        <v>2999.6239801203296</v>
      </c>
      <c r="G661" s="74">
        <f t="shared" si="88"/>
        <v>285.23525774338623</v>
      </c>
      <c r="H661" s="74">
        <f t="shared" si="94"/>
        <v>70269.081037430733</v>
      </c>
      <c r="I661" s="74">
        <f t="shared" si="95"/>
        <v>19049.002081659259</v>
      </c>
      <c r="J661" s="74">
        <f t="shared" si="96"/>
        <v>72805.276114798617</v>
      </c>
      <c r="K661" s="74">
        <f t="shared" si="97"/>
        <v>30269.081037430726</v>
      </c>
      <c r="L661" s="74">
        <f t="shared" si="98"/>
        <v>19049.002081659259</v>
      </c>
      <c r="M661" s="74">
        <f t="shared" si="99"/>
        <v>35764.252364024149</v>
      </c>
      <c r="N661" s="74">
        <f t="shared" si="100"/>
        <v>45269.081037430726</v>
      </c>
      <c r="O661" s="74">
        <f t="shared" si="101"/>
        <v>-35950.997918340741</v>
      </c>
      <c r="P661" s="74">
        <f t="shared" si="102"/>
        <v>57807.992088447521</v>
      </c>
    </row>
    <row r="662" spans="1:16" x14ac:dyDescent="0.3">
      <c r="A662" s="72">
        <f t="shared" si="89"/>
        <v>176.5</v>
      </c>
      <c r="B662" s="74">
        <f t="shared" si="90"/>
        <v>-50356.74074676419</v>
      </c>
      <c r="C662" s="74">
        <f t="shared" si="91"/>
        <v>-669.83955169428555</v>
      </c>
      <c r="D662" s="74">
        <f t="shared" si="92"/>
        <v>-175.31941866692796</v>
      </c>
      <c r="E662" s="74">
        <f t="shared" si="93"/>
        <v>-3241.6749400700519</v>
      </c>
      <c r="F662" s="74">
        <f t="shared" si="87"/>
        <v>2939.1786854342777</v>
      </c>
      <c r="G662" s="74">
        <f t="shared" si="88"/>
        <v>302.00515457283063</v>
      </c>
      <c r="H662" s="74">
        <f t="shared" si="94"/>
        <v>70356.74074676419</v>
      </c>
      <c r="I662" s="74">
        <f t="shared" si="95"/>
        <v>20669.839551694284</v>
      </c>
      <c r="J662" s="74">
        <f t="shared" si="96"/>
        <v>73330.165931901269</v>
      </c>
      <c r="K662" s="74">
        <f t="shared" si="97"/>
        <v>30356.74074676419</v>
      </c>
      <c r="L662" s="74">
        <f t="shared" si="98"/>
        <v>20669.839551694284</v>
      </c>
      <c r="M662" s="74">
        <f t="shared" si="99"/>
        <v>36725.658276728529</v>
      </c>
      <c r="N662" s="74">
        <f t="shared" si="100"/>
        <v>45356.74074676419</v>
      </c>
      <c r="O662" s="74">
        <f t="shared" si="101"/>
        <v>-34330.160448305716</v>
      </c>
      <c r="P662" s="74">
        <f t="shared" si="102"/>
        <v>56884.038601136548</v>
      </c>
    </row>
    <row r="663" spans="1:16" x14ac:dyDescent="0.3">
      <c r="A663" s="72">
        <f t="shared" si="89"/>
        <v>177</v>
      </c>
      <c r="B663" s="74">
        <f t="shared" si="90"/>
        <v>-49709.605784739084</v>
      </c>
      <c r="C663" s="74">
        <f t="shared" si="91"/>
        <v>-2215.1757330861037</v>
      </c>
      <c r="D663" s="74">
        <f t="shared" si="92"/>
        <v>1294.2699240502109</v>
      </c>
      <c r="E663" s="74">
        <f t="shared" si="93"/>
        <v>-3090.6723627836363</v>
      </c>
      <c r="F663" s="74">
        <f t="shared" si="87"/>
        <v>2938.4061488576108</v>
      </c>
      <c r="G663" s="74">
        <f t="shared" si="88"/>
        <v>334.77585632069088</v>
      </c>
      <c r="H663" s="74">
        <f t="shared" si="94"/>
        <v>69709.605784739077</v>
      </c>
      <c r="I663" s="74">
        <f t="shared" si="95"/>
        <v>22215.175733086104</v>
      </c>
      <c r="J663" s="74">
        <f t="shared" si="96"/>
        <v>73163.810531680385</v>
      </c>
      <c r="K663" s="74">
        <f t="shared" si="97"/>
        <v>29709.605784739084</v>
      </c>
      <c r="L663" s="74">
        <f t="shared" si="98"/>
        <v>22215.175733086104</v>
      </c>
      <c r="M663" s="74">
        <f t="shared" si="99"/>
        <v>37096.828823182441</v>
      </c>
      <c r="N663" s="74">
        <f t="shared" si="100"/>
        <v>44709.605784739084</v>
      </c>
      <c r="O663" s="74">
        <f t="shared" si="101"/>
        <v>-32784.8242669139</v>
      </c>
      <c r="P663" s="74">
        <f t="shared" si="102"/>
        <v>55441.803286321789</v>
      </c>
    </row>
    <row r="664" spans="1:16" x14ac:dyDescent="0.3">
      <c r="A664" s="72">
        <f t="shared" si="89"/>
        <v>177.5</v>
      </c>
      <c r="B664" s="74">
        <f t="shared" si="90"/>
        <v>-48327.869285499575</v>
      </c>
      <c r="C664" s="74">
        <f t="shared" si="91"/>
        <v>-3676.817950397749</v>
      </c>
      <c r="D664" s="74">
        <f t="shared" si="92"/>
        <v>2763.4729984790165</v>
      </c>
      <c r="E664" s="74">
        <f t="shared" si="93"/>
        <v>-2923.284434623291</v>
      </c>
      <c r="F664" s="74">
        <f t="shared" si="87"/>
        <v>2990.5045966335374</v>
      </c>
      <c r="G664" s="74">
        <f t="shared" si="88"/>
        <v>381.47429346547267</v>
      </c>
      <c r="H664" s="74">
        <f t="shared" si="94"/>
        <v>68327.869285499575</v>
      </c>
      <c r="I664" s="74">
        <f t="shared" si="95"/>
        <v>23676.817950397748</v>
      </c>
      <c r="J664" s="74">
        <f t="shared" si="96"/>
        <v>72313.825990280675</v>
      </c>
      <c r="K664" s="74">
        <f t="shared" si="97"/>
        <v>28327.869285499575</v>
      </c>
      <c r="L664" s="74">
        <f t="shared" si="98"/>
        <v>23676.817950397748</v>
      </c>
      <c r="M664" s="74">
        <f t="shared" si="99"/>
        <v>36919.640931523521</v>
      </c>
      <c r="N664" s="74">
        <f t="shared" si="100"/>
        <v>43327.869285499575</v>
      </c>
      <c r="O664" s="74">
        <f t="shared" si="101"/>
        <v>-31323.182049602252</v>
      </c>
      <c r="P664" s="74">
        <f t="shared" si="102"/>
        <v>53464.436689577698</v>
      </c>
    </row>
    <row r="665" spans="1:16" x14ac:dyDescent="0.3">
      <c r="A665" s="72">
        <f t="shared" si="89"/>
        <v>178</v>
      </c>
      <c r="B665" s="74">
        <f t="shared" si="90"/>
        <v>-46198.50663710168</v>
      </c>
      <c r="C665" s="74">
        <f t="shared" si="91"/>
        <v>-5043.0915943430264</v>
      </c>
      <c r="D665" s="74">
        <f t="shared" si="92"/>
        <v>4258.7252967957847</v>
      </c>
      <c r="E665" s="74">
        <f t="shared" si="93"/>
        <v>-2732.5472878905548</v>
      </c>
      <c r="F665" s="74">
        <f t="shared" si="87"/>
        <v>3091.8861343235658</v>
      </c>
      <c r="G665" s="74">
        <f t="shared" si="88"/>
        <v>440.69527988160291</v>
      </c>
      <c r="H665" s="74">
        <f t="shared" si="94"/>
        <v>66198.506637101673</v>
      </c>
      <c r="I665" s="74">
        <f t="shared" si="95"/>
        <v>25043.091594343026</v>
      </c>
      <c r="J665" s="74">
        <f t="shared" si="96"/>
        <v>70777.105885908109</v>
      </c>
      <c r="K665" s="74">
        <f t="shared" si="97"/>
        <v>26198.50663710168</v>
      </c>
      <c r="L665" s="74">
        <f t="shared" si="98"/>
        <v>25043.091594343026</v>
      </c>
      <c r="M665" s="74">
        <f t="shared" si="99"/>
        <v>36242.491451567112</v>
      </c>
      <c r="N665" s="74">
        <f t="shared" si="100"/>
        <v>41198.50663710168</v>
      </c>
      <c r="O665" s="74">
        <f t="shared" si="101"/>
        <v>-29956.908405656974</v>
      </c>
      <c r="P665" s="74">
        <f t="shared" si="102"/>
        <v>50938.524815234225</v>
      </c>
    </row>
    <row r="666" spans="1:16" x14ac:dyDescent="0.3">
      <c r="A666" s="72">
        <f t="shared" si="89"/>
        <v>178.5</v>
      </c>
      <c r="B666" s="74">
        <f t="shared" si="90"/>
        <v>-43296.172455122891</v>
      </c>
      <c r="C666" s="74">
        <f t="shared" si="91"/>
        <v>-6299.1914183179033</v>
      </c>
      <c r="D666" s="74">
        <f t="shared" si="92"/>
        <v>5804.6683639575676</v>
      </c>
      <c r="E666" s="74">
        <f t="shared" si="93"/>
        <v>-2512.1996479497534</v>
      </c>
      <c r="F666" s="74">
        <f t="shared" si="87"/>
        <v>3238.3419525869326</v>
      </c>
      <c r="G666" s="74">
        <f t="shared" si="88"/>
        <v>508.3619993322543</v>
      </c>
      <c r="H666" s="74">
        <f t="shared" si="94"/>
        <v>63296.172455122891</v>
      </c>
      <c r="I666" s="74">
        <f t="shared" si="95"/>
        <v>26299.191418317903</v>
      </c>
      <c r="J666" s="74">
        <f t="shared" si="96"/>
        <v>68542.343968717498</v>
      </c>
      <c r="K666" s="74">
        <f t="shared" si="97"/>
        <v>23296.172455122891</v>
      </c>
      <c r="L666" s="74">
        <f t="shared" si="98"/>
        <v>26299.191418317903</v>
      </c>
      <c r="M666" s="74">
        <f t="shared" si="99"/>
        <v>35133.447316142388</v>
      </c>
      <c r="N666" s="74">
        <f t="shared" si="100"/>
        <v>38296.172455122891</v>
      </c>
      <c r="O666" s="74">
        <f t="shared" si="101"/>
        <v>-28700.808581682097</v>
      </c>
      <c r="P666" s="74">
        <f t="shared" si="102"/>
        <v>47857.426152634551</v>
      </c>
    </row>
    <row r="667" spans="1:16" x14ac:dyDescent="0.3">
      <c r="A667" s="72">
        <f t="shared" si="89"/>
        <v>179</v>
      </c>
      <c r="B667" s="74">
        <f t="shared" si="90"/>
        <v>-39584.252784997378</v>
      </c>
      <c r="C667" s="74">
        <f t="shared" si="91"/>
        <v>-7428.2007424597168</v>
      </c>
      <c r="D667" s="74">
        <f t="shared" si="92"/>
        <v>7423.8393402510337</v>
      </c>
      <c r="E667" s="74">
        <f t="shared" si="93"/>
        <v>-2258.0186482836261</v>
      </c>
      <c r="F667" s="74">
        <f t="shared" si="87"/>
        <v>3418.6065685425683</v>
      </c>
      <c r="G667" s="74">
        <f t="shared" si="88"/>
        <v>570.05374093493879</v>
      </c>
      <c r="H667" s="74">
        <f t="shared" si="94"/>
        <v>59584.252784997378</v>
      </c>
      <c r="I667" s="74">
        <f t="shared" si="95"/>
        <v>27428.200742459718</v>
      </c>
      <c r="J667" s="74">
        <f t="shared" si="96"/>
        <v>65594.126077836685</v>
      </c>
      <c r="K667" s="74">
        <f t="shared" si="97"/>
        <v>19584.252784997378</v>
      </c>
      <c r="L667" s="74">
        <f t="shared" si="98"/>
        <v>27428.200742459718</v>
      </c>
      <c r="M667" s="74">
        <f t="shared" si="99"/>
        <v>33702.361239464299</v>
      </c>
      <c r="N667" s="74">
        <f t="shared" si="100"/>
        <v>34584.252784997378</v>
      </c>
      <c r="O667" s="74">
        <f t="shared" si="101"/>
        <v>-27571.799257540282</v>
      </c>
      <c r="P667" s="74">
        <f t="shared" si="102"/>
        <v>44229.793748046097</v>
      </c>
    </row>
    <row r="668" spans="1:16" x14ac:dyDescent="0.3">
      <c r="A668" s="72">
        <f t="shared" si="89"/>
        <v>179.5</v>
      </c>
      <c r="B668" s="74">
        <f t="shared" si="90"/>
        <v>-35017.681472736214</v>
      </c>
      <c r="C668" s="74">
        <f t="shared" si="91"/>
        <v>-8414.6966313677949</v>
      </c>
      <c r="D668" s="74">
        <f t="shared" si="92"/>
        <v>9133.1426245223174</v>
      </c>
      <c r="E668" s="74">
        <f t="shared" si="93"/>
        <v>-1972.9917778161566</v>
      </c>
      <c r="F668" s="74">
        <f t="shared" si="87"/>
        <v>3601.9353793332384</v>
      </c>
      <c r="G668" s="74">
        <f t="shared" si="88"/>
        <v>581.87590192555194</v>
      </c>
      <c r="H668" s="74">
        <f t="shared" si="94"/>
        <v>55017.681472736214</v>
      </c>
      <c r="I668" s="74">
        <f t="shared" si="95"/>
        <v>28414.696631367795</v>
      </c>
      <c r="J668" s="74">
        <f t="shared" si="96"/>
        <v>61922.049863422042</v>
      </c>
      <c r="K668" s="74">
        <f t="shared" si="97"/>
        <v>15017.681472736214</v>
      </c>
      <c r="L668" s="74">
        <f t="shared" si="98"/>
        <v>28414.696631367795</v>
      </c>
      <c r="M668" s="74">
        <f t="shared" si="99"/>
        <v>32139.162115233012</v>
      </c>
      <c r="N668" s="74">
        <f t="shared" si="100"/>
        <v>30017.681472736214</v>
      </c>
      <c r="O668" s="74">
        <f t="shared" si="101"/>
        <v>-26585.303368632205</v>
      </c>
      <c r="P668" s="74">
        <f t="shared" si="102"/>
        <v>40097.874709276774</v>
      </c>
    </row>
    <row r="669" spans="1:16" x14ac:dyDescent="0.3">
      <c r="A669" s="72">
        <f t="shared" si="89"/>
        <v>180</v>
      </c>
      <c r="B669" s="74">
        <f t="shared" si="90"/>
        <v>-29550.626315641744</v>
      </c>
      <c r="C669" s="74">
        <f t="shared" si="91"/>
        <v>-9255.7235447944859</v>
      </c>
      <c r="D669" s="74">
        <f t="shared" si="92"/>
        <v>10934.110314188936</v>
      </c>
      <c r="E669" s="74">
        <f t="shared" si="93"/>
        <v>-1682.0538268533805</v>
      </c>
      <c r="F669" s="74">
        <f t="shared" si="87"/>
        <v>3716.9183931473663</v>
      </c>
      <c r="G669" s="74">
        <f t="shared" si="88"/>
        <v>429.47809126992934</v>
      </c>
      <c r="H669" s="74">
        <f t="shared" si="94"/>
        <v>49550.626315641741</v>
      </c>
      <c r="I669" s="74">
        <f t="shared" si="95"/>
        <v>29255.723544794484</v>
      </c>
      <c r="J669" s="74">
        <f t="shared" si="96"/>
        <v>57542.696568737636</v>
      </c>
      <c r="K669" s="74">
        <f t="shared" si="97"/>
        <v>9550.6263156417444</v>
      </c>
      <c r="L669" s="74">
        <f t="shared" si="98"/>
        <v>29255.723544794484</v>
      </c>
      <c r="M669" s="74">
        <f t="shared" si="99"/>
        <v>30775.181935294404</v>
      </c>
      <c r="N669" s="74">
        <f t="shared" si="100"/>
        <v>24550.626315641744</v>
      </c>
      <c r="O669" s="74">
        <f t="shared" si="101"/>
        <v>-25744.276455205516</v>
      </c>
      <c r="P669" s="74">
        <f t="shared" si="102"/>
        <v>35573.881186796731</v>
      </c>
    </row>
    <row r="670" spans="1:16" x14ac:dyDescent="0.3">
      <c r="A670" s="72">
        <f t="shared" si="89"/>
        <v>180.5</v>
      </c>
      <c r="B670" s="74">
        <f t="shared" si="90"/>
        <v>-23154.341560260433</v>
      </c>
      <c r="C670" s="74">
        <f t="shared" si="91"/>
        <v>-9989.3809354036948</v>
      </c>
      <c r="D670" s="74">
        <f t="shared" si="92"/>
        <v>12792.56951076262</v>
      </c>
      <c r="E670" s="74">
        <f t="shared" si="93"/>
        <v>-1467.3147812184159</v>
      </c>
      <c r="F670" s="74">
        <f t="shared" si="87"/>
        <v>3622.4311326333518</v>
      </c>
      <c r="G670" s="74">
        <f t="shared" si="88"/>
        <v>-118.09091408128188</v>
      </c>
      <c r="H670" s="74">
        <f t="shared" si="94"/>
        <v>43154.341560260436</v>
      </c>
      <c r="I670" s="74">
        <f t="shared" si="95"/>
        <v>29989.380935403693</v>
      </c>
      <c r="J670" s="74">
        <f t="shared" si="96"/>
        <v>52551.500115490286</v>
      </c>
      <c r="K670" s="74">
        <f t="shared" si="97"/>
        <v>3154.3415602604327</v>
      </c>
      <c r="L670" s="74">
        <f t="shared" si="98"/>
        <v>29989.380935403693</v>
      </c>
      <c r="M670" s="74">
        <f t="shared" si="99"/>
        <v>30154.814533794448</v>
      </c>
      <c r="N670" s="74">
        <f t="shared" si="100"/>
        <v>18154.341560260433</v>
      </c>
      <c r="O670" s="74">
        <f t="shared" si="101"/>
        <v>-25010.619064596307</v>
      </c>
      <c r="P670" s="74">
        <f t="shared" si="102"/>
        <v>30904.873134846348</v>
      </c>
    </row>
    <row r="671" spans="1:16" x14ac:dyDescent="0.3">
      <c r="A671" s="72">
        <f t="shared" si="89"/>
        <v>181</v>
      </c>
      <c r="B671" s="74">
        <f t="shared" si="90"/>
        <v>-15852.449021720786</v>
      </c>
      <c r="C671" s="74">
        <f t="shared" si="91"/>
        <v>-10752.561054533222</v>
      </c>
      <c r="D671" s="74">
        <f t="shared" si="92"/>
        <v>14603.785077079296</v>
      </c>
      <c r="E671" s="74">
        <f t="shared" si="93"/>
        <v>-1526.3602382590568</v>
      </c>
      <c r="F671" s="74">
        <f t="shared" si="87"/>
        <v>3051.6978968293197</v>
      </c>
      <c r="G671" s="74">
        <f t="shared" si="88"/>
        <v>-1292.3388289106356</v>
      </c>
      <c r="H671" s="74">
        <f t="shared" si="94"/>
        <v>35852.449021720786</v>
      </c>
      <c r="I671" s="74">
        <f t="shared" si="95"/>
        <v>30752.561054533224</v>
      </c>
      <c r="J671" s="74">
        <f t="shared" si="96"/>
        <v>47234.713000799333</v>
      </c>
      <c r="K671" s="74">
        <f t="shared" si="97"/>
        <v>-4147.5509782792142</v>
      </c>
      <c r="L671" s="74">
        <f t="shared" si="98"/>
        <v>30752.561054533224</v>
      </c>
      <c r="M671" s="74">
        <f t="shared" si="99"/>
        <v>31030.987585480074</v>
      </c>
      <c r="N671" s="74">
        <f t="shared" si="100"/>
        <v>10852.449021720786</v>
      </c>
      <c r="O671" s="74">
        <f t="shared" si="101"/>
        <v>-24247.438945466776</v>
      </c>
      <c r="P671" s="74">
        <f t="shared" si="102"/>
        <v>26565.277058280182</v>
      </c>
    </row>
    <row r="672" spans="1:16" x14ac:dyDescent="0.3">
      <c r="A672" s="72">
        <f t="shared" si="89"/>
        <v>181.5</v>
      </c>
      <c r="B672" s="74">
        <f t="shared" si="90"/>
        <v>-7787.6320089738092</v>
      </c>
      <c r="C672" s="74">
        <f t="shared" si="91"/>
        <v>-11838.82588089041</v>
      </c>
      <c r="D672" s="74">
        <f t="shared" si="92"/>
        <v>16129.634025493955</v>
      </c>
      <c r="E672" s="74">
        <f t="shared" si="93"/>
        <v>-2172.5296527143746</v>
      </c>
      <c r="F672" s="74">
        <f t="shared" si="87"/>
        <v>1525.9074559591918</v>
      </c>
      <c r="G672" s="74">
        <f t="shared" si="88"/>
        <v>-2715.9641500660746</v>
      </c>
      <c r="H672" s="74">
        <f t="shared" si="94"/>
        <v>27787.632008973807</v>
      </c>
      <c r="I672" s="74">
        <f t="shared" si="95"/>
        <v>31838.82588089041</v>
      </c>
      <c r="J672" s="74">
        <f t="shared" si="96"/>
        <v>42259.476169727932</v>
      </c>
      <c r="K672" s="74">
        <f t="shared" si="97"/>
        <v>-12212.367991026191</v>
      </c>
      <c r="L672" s="74">
        <f t="shared" si="98"/>
        <v>31838.82588089041</v>
      </c>
      <c r="M672" s="74">
        <f t="shared" si="99"/>
        <v>34100.627053206779</v>
      </c>
      <c r="N672" s="74">
        <f t="shared" si="100"/>
        <v>2787.6320089738092</v>
      </c>
      <c r="O672" s="74">
        <f t="shared" si="101"/>
        <v>-23161.17411910959</v>
      </c>
      <c r="P672" s="74">
        <f t="shared" si="102"/>
        <v>23328.327818194924</v>
      </c>
    </row>
    <row r="673" spans="1:16" x14ac:dyDescent="0.3">
      <c r="A673" s="72">
        <f t="shared" si="89"/>
        <v>182</v>
      </c>
      <c r="B673" s="74">
        <f t="shared" si="90"/>
        <v>658.66186776296627</v>
      </c>
      <c r="C673" s="74">
        <f t="shared" si="91"/>
        <v>-13604.081744764115</v>
      </c>
      <c r="D673" s="74">
        <f t="shared" si="92"/>
        <v>16892.587753473552</v>
      </c>
      <c r="E673" s="74">
        <f t="shared" si="93"/>
        <v>-3530.5117277474119</v>
      </c>
      <c r="F673" s="74">
        <f t="shared" si="87"/>
        <v>-1072.3076371939087</v>
      </c>
      <c r="G673" s="74">
        <f t="shared" si="88"/>
        <v>-2959.02342589606</v>
      </c>
      <c r="H673" s="74">
        <f t="shared" si="94"/>
        <v>19341.338132237033</v>
      </c>
      <c r="I673" s="74">
        <f t="shared" si="95"/>
        <v>33604.081744764117</v>
      </c>
      <c r="J673" s="74">
        <f t="shared" si="96"/>
        <v>38772.692331772821</v>
      </c>
      <c r="K673" s="74">
        <f t="shared" si="97"/>
        <v>-20658.661867762967</v>
      </c>
      <c r="L673" s="74">
        <f t="shared" si="98"/>
        <v>33604.081744764117</v>
      </c>
      <c r="M673" s="74">
        <f t="shared" si="99"/>
        <v>39446.351163008127</v>
      </c>
      <c r="N673" s="74">
        <f t="shared" si="100"/>
        <v>-5658.6618677629667</v>
      </c>
      <c r="O673" s="74">
        <f t="shared" si="101"/>
        <v>-21395.918255235883</v>
      </c>
      <c r="P673" s="74">
        <f t="shared" si="102"/>
        <v>22131.556025693513</v>
      </c>
    </row>
    <row r="674" spans="1:16" x14ac:dyDescent="0.3">
      <c r="A674" s="72">
        <f t="shared" si="89"/>
        <v>182.5</v>
      </c>
      <c r="B674" s="74">
        <f t="shared" si="90"/>
        <v>8836.8788352012652</v>
      </c>
      <c r="C674" s="74">
        <f t="shared" si="91"/>
        <v>-16109.093465111837</v>
      </c>
      <c r="D674" s="74">
        <f t="shared" si="92"/>
        <v>16356.433934876597</v>
      </c>
      <c r="E674" s="74">
        <f t="shared" si="93"/>
        <v>-5010.0234406954423</v>
      </c>
      <c r="F674" s="74">
        <f t="shared" si="87"/>
        <v>-3328.1225458261647</v>
      </c>
      <c r="G674" s="74">
        <f t="shared" si="88"/>
        <v>-1511.5826728805641</v>
      </c>
      <c r="H674" s="74">
        <f t="shared" si="94"/>
        <v>11163.121164798735</v>
      </c>
      <c r="I674" s="74">
        <f t="shared" si="95"/>
        <v>36109.093465111837</v>
      </c>
      <c r="J674" s="74">
        <f t="shared" si="96"/>
        <v>37795.262996996855</v>
      </c>
      <c r="K674" s="74">
        <f t="shared" si="97"/>
        <v>-28836.878835201263</v>
      </c>
      <c r="L674" s="74">
        <f t="shared" si="98"/>
        <v>36109.093465111837</v>
      </c>
      <c r="M674" s="74">
        <f t="shared" si="99"/>
        <v>46210.736975601903</v>
      </c>
      <c r="N674" s="74">
        <f t="shared" si="100"/>
        <v>-13836.878835201265</v>
      </c>
      <c r="O674" s="74">
        <f t="shared" si="101"/>
        <v>-18890.906534888163</v>
      </c>
      <c r="P674" s="74">
        <f t="shared" si="102"/>
        <v>23416.352525744078</v>
      </c>
    </row>
    <row r="675" spans="1:16" x14ac:dyDescent="0.3">
      <c r="A675" s="72">
        <f t="shared" si="89"/>
        <v>183</v>
      </c>
      <c r="B675" s="74">
        <f t="shared" si="90"/>
        <v>16183.065166183023</v>
      </c>
      <c r="C675" s="74">
        <f t="shared" si="91"/>
        <v>-18992.0008536797</v>
      </c>
      <c r="D675" s="74">
        <f t="shared" si="92"/>
        <v>14692.372661963514</v>
      </c>
      <c r="E675" s="74">
        <f t="shared" si="93"/>
        <v>-5765.8147771357244</v>
      </c>
      <c r="F675" s="74">
        <f t="shared" si="87"/>
        <v>-4141.7888995779895</v>
      </c>
      <c r="G675" s="74">
        <f t="shared" si="88"/>
        <v>71.936862129316978</v>
      </c>
      <c r="H675" s="74">
        <f t="shared" si="94"/>
        <v>3816.9348338169766</v>
      </c>
      <c r="I675" s="74">
        <f t="shared" si="95"/>
        <v>38992.000853679696</v>
      </c>
      <c r="J675" s="74">
        <f t="shared" si="96"/>
        <v>39178.375695005067</v>
      </c>
      <c r="K675" s="74">
        <f t="shared" si="97"/>
        <v>-36183.06516618302</v>
      </c>
      <c r="L675" s="74">
        <f t="shared" si="98"/>
        <v>38992.000853679696</v>
      </c>
      <c r="M675" s="74">
        <f t="shared" si="99"/>
        <v>53193.89377920745</v>
      </c>
      <c r="N675" s="74">
        <f t="shared" si="100"/>
        <v>-21183.065166183023</v>
      </c>
      <c r="O675" s="74">
        <f t="shared" si="101"/>
        <v>-16007.9991463203</v>
      </c>
      <c r="P675" s="74">
        <f t="shared" si="102"/>
        <v>26551.427202757823</v>
      </c>
    </row>
    <row r="676" spans="1:16" x14ac:dyDescent="0.3">
      <c r="A676" s="72">
        <f t="shared" si="89"/>
        <v>183.5</v>
      </c>
      <c r="B676" s="74">
        <f t="shared" si="90"/>
        <v>22493.804272270281</v>
      </c>
      <c r="C676" s="74">
        <f t="shared" si="91"/>
        <v>-21856.924026715235</v>
      </c>
      <c r="D676" s="74">
        <f t="shared" si="92"/>
        <v>12621.478212174519</v>
      </c>
      <c r="E676" s="74">
        <f t="shared" si="93"/>
        <v>-5729.8463460710664</v>
      </c>
      <c r="F676" s="74">
        <f t="shared" si="87"/>
        <v>-4039.3153493643667</v>
      </c>
      <c r="G676" s="74">
        <f t="shared" si="88"/>
        <v>931.95825819307038</v>
      </c>
      <c r="H676" s="74">
        <f t="shared" si="94"/>
        <v>-2493.8042722702812</v>
      </c>
      <c r="I676" s="74">
        <f t="shared" si="95"/>
        <v>41856.924026715235</v>
      </c>
      <c r="J676" s="74">
        <f t="shared" si="96"/>
        <v>41931.147715351231</v>
      </c>
      <c r="K676" s="74">
        <f t="shared" si="97"/>
        <v>-42493.804272270281</v>
      </c>
      <c r="L676" s="74">
        <f t="shared" si="98"/>
        <v>41856.924026715235</v>
      </c>
      <c r="M676" s="74">
        <f t="shared" si="99"/>
        <v>59646.672082424077</v>
      </c>
      <c r="N676" s="74">
        <f t="shared" si="100"/>
        <v>-27493.804272270281</v>
      </c>
      <c r="O676" s="74">
        <f t="shared" si="101"/>
        <v>-13143.075973284765</v>
      </c>
      <c r="P676" s="74">
        <f t="shared" si="102"/>
        <v>30473.754599678767</v>
      </c>
    </row>
    <row r="677" spans="1:16" x14ac:dyDescent="0.3">
      <c r="A677" s="72">
        <f t="shared" si="89"/>
        <v>184</v>
      </c>
      <c r="B677" s="74">
        <f t="shared" si="90"/>
        <v>27794.714541016452</v>
      </c>
      <c r="C677" s="74">
        <f t="shared" si="91"/>
        <v>-24488.857635202497</v>
      </c>
      <c r="D677" s="74">
        <f t="shared" si="92"/>
        <v>10601.820537492336</v>
      </c>
      <c r="E677" s="74">
        <f t="shared" si="93"/>
        <v>-5263.8672169745314</v>
      </c>
      <c r="F677" s="74">
        <f t="shared" si="87"/>
        <v>-3668.6721461513439</v>
      </c>
      <c r="G677" s="74">
        <f t="shared" si="88"/>
        <v>1262.8137175631787</v>
      </c>
      <c r="H677" s="74">
        <f t="shared" si="94"/>
        <v>-7794.7145410164521</v>
      </c>
      <c r="I677" s="74">
        <f t="shared" si="95"/>
        <v>44488.857635202497</v>
      </c>
      <c r="J677" s="74">
        <f t="shared" si="96"/>
        <v>45166.536600244755</v>
      </c>
      <c r="K677" s="74">
        <f t="shared" si="97"/>
        <v>-47794.714541016452</v>
      </c>
      <c r="L677" s="74">
        <f t="shared" si="98"/>
        <v>44488.857635202497</v>
      </c>
      <c r="M677" s="74">
        <f t="shared" si="99"/>
        <v>65296.19584434123</v>
      </c>
      <c r="N677" s="74">
        <f t="shared" si="100"/>
        <v>-32794.714541016452</v>
      </c>
      <c r="O677" s="74">
        <f t="shared" si="101"/>
        <v>-10511.142364797503</v>
      </c>
      <c r="P677" s="74">
        <f t="shared" si="102"/>
        <v>34438.02281838777</v>
      </c>
    </row>
    <row r="678" spans="1:16" x14ac:dyDescent="0.3">
      <c r="A678" s="72">
        <f t="shared" si="89"/>
        <v>184.5</v>
      </c>
      <c r="B678" s="74">
        <f t="shared" si="90"/>
        <v>32178.456773224789</v>
      </c>
      <c r="C678" s="74">
        <f t="shared" si="91"/>
        <v>-26805.087814298968</v>
      </c>
      <c r="D678" s="74">
        <f t="shared" si="92"/>
        <v>8767.4844644166642</v>
      </c>
      <c r="E678" s="74">
        <f t="shared" si="93"/>
        <v>-4632.4603581929423</v>
      </c>
      <c r="F678" s="74">
        <f t="shared" si="87"/>
        <v>-3295.6908951558207</v>
      </c>
      <c r="G678" s="74">
        <f t="shared" si="88"/>
        <v>1350.6477143200295</v>
      </c>
      <c r="H678" s="74">
        <f t="shared" si="94"/>
        <v>-12178.456773224789</v>
      </c>
      <c r="I678" s="74">
        <f t="shared" si="95"/>
        <v>46805.087814298968</v>
      </c>
      <c r="J678" s="74">
        <f t="shared" si="96"/>
        <v>48363.530213183803</v>
      </c>
      <c r="K678" s="74">
        <f t="shared" si="97"/>
        <v>-52178.456773224789</v>
      </c>
      <c r="L678" s="74">
        <f t="shared" si="98"/>
        <v>46805.087814298968</v>
      </c>
      <c r="M678" s="74">
        <f t="shared" si="99"/>
        <v>70094.989810538711</v>
      </c>
      <c r="N678" s="74">
        <f t="shared" si="100"/>
        <v>-37178.456773224789</v>
      </c>
      <c r="O678" s="74">
        <f t="shared" si="101"/>
        <v>-8194.9121857010323</v>
      </c>
      <c r="P678" s="74">
        <f t="shared" si="102"/>
        <v>38070.910598118026</v>
      </c>
    </row>
    <row r="679" spans="1:16" x14ac:dyDescent="0.3">
      <c r="A679" s="72">
        <f t="shared" si="89"/>
        <v>185</v>
      </c>
      <c r="B679" s="74">
        <f t="shared" si="90"/>
        <v>35738.276281644161</v>
      </c>
      <c r="C679" s="74">
        <f t="shared" si="91"/>
        <v>-28783.65606481543</v>
      </c>
      <c r="D679" s="74">
        <f t="shared" si="92"/>
        <v>7119.6390168387534</v>
      </c>
      <c r="E679" s="74">
        <f t="shared" si="93"/>
        <v>-3957.1365010329273</v>
      </c>
      <c r="F679" s="74">
        <f t="shared" si="87"/>
        <v>-2989.6387490532161</v>
      </c>
      <c r="G679" s="74">
        <f t="shared" si="88"/>
        <v>1346.0546879553576</v>
      </c>
      <c r="H679" s="74">
        <f t="shared" si="94"/>
        <v>-15738.276281644161</v>
      </c>
      <c r="I679" s="74">
        <f t="shared" si="95"/>
        <v>48783.656064815426</v>
      </c>
      <c r="J679" s="74">
        <f t="shared" si="96"/>
        <v>51259.520475396239</v>
      </c>
      <c r="K679" s="74">
        <f t="shared" si="97"/>
        <v>-55738.276281644161</v>
      </c>
      <c r="L679" s="74">
        <f t="shared" si="98"/>
        <v>48783.656064815426</v>
      </c>
      <c r="M679" s="74">
        <f t="shared" si="99"/>
        <v>74071.590653226143</v>
      </c>
      <c r="N679" s="74">
        <f t="shared" si="100"/>
        <v>-40738.276281644161</v>
      </c>
      <c r="O679" s="74">
        <f t="shared" si="101"/>
        <v>-6216.34393518457</v>
      </c>
      <c r="P679" s="74">
        <f t="shared" si="102"/>
        <v>41209.82997198699</v>
      </c>
    </row>
    <row r="680" spans="1:16" x14ac:dyDescent="0.3">
      <c r="A680" s="72">
        <f t="shared" si="89"/>
        <v>185.5</v>
      </c>
      <c r="B680" s="74">
        <f t="shared" si="90"/>
        <v>38550.686102800239</v>
      </c>
      <c r="C680" s="74">
        <f t="shared" si="91"/>
        <v>-30425.710643343053</v>
      </c>
      <c r="D680" s="74">
        <f t="shared" si="92"/>
        <v>5624.8196423121453</v>
      </c>
      <c r="E680" s="74">
        <f t="shared" si="93"/>
        <v>-3284.1091570552485</v>
      </c>
      <c r="F680" s="74">
        <f t="shared" si="87"/>
        <v>-2756.8213786092479</v>
      </c>
      <c r="G680" s="74">
        <f t="shared" si="88"/>
        <v>1313.1862177148598</v>
      </c>
      <c r="H680" s="74">
        <f t="shared" si="94"/>
        <v>-18550.686102800239</v>
      </c>
      <c r="I680" s="74">
        <f t="shared" si="95"/>
        <v>50425.710643343053</v>
      </c>
      <c r="J680" s="74">
        <f t="shared" si="96"/>
        <v>53729.696153717327</v>
      </c>
      <c r="K680" s="74">
        <f t="shared" si="97"/>
        <v>-58550.686102800239</v>
      </c>
      <c r="L680" s="74">
        <f t="shared" si="98"/>
        <v>50425.710643343053</v>
      </c>
      <c r="M680" s="74">
        <f t="shared" si="99"/>
        <v>77271.82628225378</v>
      </c>
      <c r="N680" s="74">
        <f t="shared" si="100"/>
        <v>-43550.686102800239</v>
      </c>
      <c r="O680" s="74">
        <f t="shared" si="101"/>
        <v>-4574.2893566569473</v>
      </c>
      <c r="P680" s="74">
        <f t="shared" si="102"/>
        <v>43790.254431129571</v>
      </c>
    </row>
    <row r="681" spans="1:16" x14ac:dyDescent="0.3">
      <c r="A681" s="72">
        <f t="shared" si="89"/>
        <v>186</v>
      </c>
      <c r="B681" s="74">
        <f t="shared" si="90"/>
        <v>40673.890579303996</v>
      </c>
      <c r="C681" s="74">
        <f t="shared" si="91"/>
        <v>-31739.468667441961</v>
      </c>
      <c r="D681" s="74">
        <f t="shared" si="92"/>
        <v>4246.4089530075216</v>
      </c>
      <c r="E681" s="74">
        <f t="shared" si="93"/>
        <v>-2627.5160481978187</v>
      </c>
      <c r="F681" s="74">
        <f t="shared" si="87"/>
        <v>-2588.430629468251</v>
      </c>
      <c r="G681" s="74">
        <f t="shared" si="88"/>
        <v>1277.7441910528587</v>
      </c>
      <c r="H681" s="74">
        <f t="shared" si="94"/>
        <v>-20673.890579303996</v>
      </c>
      <c r="I681" s="74">
        <f t="shared" si="95"/>
        <v>51739.468667441964</v>
      </c>
      <c r="J681" s="74">
        <f t="shared" si="96"/>
        <v>55716.984570902998</v>
      </c>
      <c r="K681" s="74">
        <f t="shared" si="97"/>
        <v>-60673.890579303996</v>
      </c>
      <c r="L681" s="74">
        <f t="shared" si="98"/>
        <v>51739.468667441964</v>
      </c>
      <c r="M681" s="74">
        <f t="shared" si="99"/>
        <v>79738.909047080408</v>
      </c>
      <c r="N681" s="74">
        <f t="shared" si="100"/>
        <v>-45673.890579303996</v>
      </c>
      <c r="O681" s="74">
        <f t="shared" si="101"/>
        <v>-3260.5313325580391</v>
      </c>
      <c r="P681" s="74">
        <f t="shared" si="102"/>
        <v>45790.12279106518</v>
      </c>
    </row>
    <row r="682" spans="1:16" x14ac:dyDescent="0.3">
      <c r="A682" s="72">
        <f t="shared" si="89"/>
        <v>186.5</v>
      </c>
      <c r="B682" s="74">
        <f t="shared" si="90"/>
        <v>42149.987398440695</v>
      </c>
      <c r="C682" s="74">
        <f t="shared" si="91"/>
        <v>-32733.790643777655</v>
      </c>
      <c r="D682" s="74">
        <f t="shared" si="92"/>
        <v>2952.1936382733961</v>
      </c>
      <c r="E682" s="74">
        <f t="shared" si="93"/>
        <v>-1988.6439526713893</v>
      </c>
      <c r="F682" s="74">
        <f t="shared" si="87"/>
        <v>-2474.6089975827144</v>
      </c>
      <c r="G682" s="74">
        <f t="shared" si="88"/>
        <v>1249.7406124615302</v>
      </c>
      <c r="H682" s="74">
        <f t="shared" si="94"/>
        <v>-22149.987398440695</v>
      </c>
      <c r="I682" s="74">
        <f t="shared" si="95"/>
        <v>52733.790643777655</v>
      </c>
      <c r="J682" s="74">
        <f t="shared" si="96"/>
        <v>57196.806007091458</v>
      </c>
      <c r="K682" s="74">
        <f t="shared" si="97"/>
        <v>-62149.987398440695</v>
      </c>
      <c r="L682" s="74">
        <f t="shared" si="98"/>
        <v>52733.790643777655</v>
      </c>
      <c r="M682" s="74">
        <f t="shared" si="99"/>
        <v>81507.506459761789</v>
      </c>
      <c r="N682" s="74">
        <f t="shared" si="100"/>
        <v>-47149.987398440695</v>
      </c>
      <c r="O682" s="74">
        <f t="shared" si="101"/>
        <v>-2266.2093562223454</v>
      </c>
      <c r="P682" s="74">
        <f t="shared" si="102"/>
        <v>47204.417341169945</v>
      </c>
    </row>
    <row r="683" spans="1:16" x14ac:dyDescent="0.3">
      <c r="A683" s="72">
        <f t="shared" si="89"/>
        <v>187</v>
      </c>
      <c r="B683" s="74">
        <f t="shared" si="90"/>
        <v>43007.431968181714</v>
      </c>
      <c r="C683" s="74">
        <f t="shared" si="91"/>
        <v>-33415.677466997971</v>
      </c>
      <c r="D683" s="74">
        <f t="shared" si="92"/>
        <v>1714.8891394820389</v>
      </c>
      <c r="E683" s="74">
        <f t="shared" si="93"/>
        <v>-1363.7736464406244</v>
      </c>
      <c r="F683" s="74">
        <f t="shared" si="87"/>
        <v>-2407.9886281392764</v>
      </c>
      <c r="G683" s="74">
        <f t="shared" si="88"/>
        <v>1232.9370027431037</v>
      </c>
      <c r="H683" s="74">
        <f t="shared" si="94"/>
        <v>-23007.431968181714</v>
      </c>
      <c r="I683" s="74">
        <f t="shared" si="95"/>
        <v>53415.677466997971</v>
      </c>
      <c r="J683" s="74">
        <f t="shared" si="96"/>
        <v>58159.921982657994</v>
      </c>
      <c r="K683" s="74">
        <f t="shared" si="97"/>
        <v>-63007.431968181714</v>
      </c>
      <c r="L683" s="74">
        <f t="shared" si="98"/>
        <v>53415.677466997971</v>
      </c>
      <c r="M683" s="74">
        <f t="shared" si="99"/>
        <v>82602.48835527536</v>
      </c>
      <c r="N683" s="74">
        <f t="shared" si="100"/>
        <v>-48007.431968181714</v>
      </c>
      <c r="O683" s="74">
        <f t="shared" si="101"/>
        <v>-1584.3225330020286</v>
      </c>
      <c r="P683" s="74">
        <f t="shared" si="102"/>
        <v>48033.567450983413</v>
      </c>
    </row>
    <row r="684" spans="1:16" x14ac:dyDescent="0.3">
      <c r="A684" s="72">
        <f t="shared" si="89"/>
        <v>187.5</v>
      </c>
      <c r="B684" s="74">
        <f t="shared" si="90"/>
        <v>43262.879380887913</v>
      </c>
      <c r="C684" s="74">
        <f t="shared" si="91"/>
        <v>-33789.330039532506</v>
      </c>
      <c r="D684" s="74">
        <f t="shared" si="92"/>
        <v>510.89482541240068</v>
      </c>
      <c r="E684" s="74">
        <f t="shared" si="93"/>
        <v>-747.30514506907252</v>
      </c>
      <c r="F684" s="74">
        <f t="shared" si="87"/>
        <v>-2384.3105625009848</v>
      </c>
      <c r="G684" s="74">
        <f t="shared" si="88"/>
        <v>1228.6436329784381</v>
      </c>
      <c r="H684" s="74">
        <f t="shared" si="94"/>
        <v>-23262.879380887913</v>
      </c>
      <c r="I684" s="74">
        <f t="shared" si="95"/>
        <v>53789.330039532506</v>
      </c>
      <c r="J684" s="74">
        <f t="shared" si="96"/>
        <v>58604.211309354672</v>
      </c>
      <c r="K684" s="74">
        <f t="shared" si="97"/>
        <v>-63262.879380887913</v>
      </c>
      <c r="L684" s="74">
        <f t="shared" si="98"/>
        <v>53789.330039532506</v>
      </c>
      <c r="M684" s="74">
        <f t="shared" si="99"/>
        <v>83039.050654872772</v>
      </c>
      <c r="N684" s="74">
        <f t="shared" si="100"/>
        <v>-48262.879380887913</v>
      </c>
      <c r="O684" s="74">
        <f t="shared" si="101"/>
        <v>-1210.6699604674941</v>
      </c>
      <c r="P684" s="74">
        <f t="shared" si="102"/>
        <v>48278.061766058032</v>
      </c>
    </row>
    <row r="685" spans="1:16" x14ac:dyDescent="0.3">
      <c r="A685" s="72">
        <f t="shared" si="89"/>
        <v>188</v>
      </c>
      <c r="B685" s="74">
        <f t="shared" si="90"/>
        <v>42922.249152968863</v>
      </c>
      <c r="C685" s="74">
        <f t="shared" si="91"/>
        <v>-33855.821703822432</v>
      </c>
      <c r="D685" s="74">
        <f t="shared" si="92"/>
        <v>-681.26045583809173</v>
      </c>
      <c r="E685" s="74">
        <f t="shared" si="93"/>
        <v>-132.98332857985349</v>
      </c>
      <c r="F685" s="74">
        <f t="shared" si="87"/>
        <v>-2402.4423514004852</v>
      </c>
      <c r="G685" s="74">
        <f t="shared" si="88"/>
        <v>1237.1770816284259</v>
      </c>
      <c r="H685" s="74">
        <f t="shared" si="94"/>
        <v>-22922.249152968863</v>
      </c>
      <c r="I685" s="74">
        <f t="shared" si="95"/>
        <v>53855.821703822432</v>
      </c>
      <c r="J685" s="74">
        <f t="shared" si="96"/>
        <v>58531.009197046078</v>
      </c>
      <c r="K685" s="74">
        <f t="shared" si="97"/>
        <v>-62922.249152968863</v>
      </c>
      <c r="L685" s="74">
        <f t="shared" si="98"/>
        <v>53855.821703822432</v>
      </c>
      <c r="M685" s="74">
        <f t="shared" si="99"/>
        <v>82823.058201579363</v>
      </c>
      <c r="N685" s="74">
        <f t="shared" si="100"/>
        <v>-47922.249152968863</v>
      </c>
      <c r="O685" s="74">
        <f t="shared" si="101"/>
        <v>-1144.178296177568</v>
      </c>
      <c r="P685" s="74">
        <f t="shared" si="102"/>
        <v>47935.906248371575</v>
      </c>
    </row>
    <row r="686" spans="1:16" x14ac:dyDescent="0.3">
      <c r="A686" s="72">
        <f t="shared" si="89"/>
        <v>188.5</v>
      </c>
      <c r="B686" s="74">
        <f t="shared" si="90"/>
        <v>41981.008337199695</v>
      </c>
      <c r="C686" s="74">
        <f t="shared" si="91"/>
        <v>-33613.019097705255</v>
      </c>
      <c r="D686" s="74">
        <f t="shared" si="92"/>
        <v>-1882.4816315383343</v>
      </c>
      <c r="E686" s="74">
        <f t="shared" si="93"/>
        <v>485.60521223435944</v>
      </c>
      <c r="F686" s="74">
        <f t="shared" si="87"/>
        <v>-2464.5124815568443</v>
      </c>
      <c r="G686" s="74">
        <f t="shared" si="88"/>
        <v>1258.2194891767749</v>
      </c>
      <c r="H686" s="74">
        <f t="shared" si="94"/>
        <v>-21981.008337199695</v>
      </c>
      <c r="I686" s="74">
        <f t="shared" si="95"/>
        <v>53613.019097705255</v>
      </c>
      <c r="J686" s="74">
        <f t="shared" si="96"/>
        <v>57944.115700310336</v>
      </c>
      <c r="K686" s="74">
        <f t="shared" si="97"/>
        <v>-61981.008337199695</v>
      </c>
      <c r="L686" s="74">
        <f t="shared" si="98"/>
        <v>53613.019097705255</v>
      </c>
      <c r="M686" s="74">
        <f t="shared" si="99"/>
        <v>81951.21238436272</v>
      </c>
      <c r="N686" s="74">
        <f t="shared" si="100"/>
        <v>-46981.008337199695</v>
      </c>
      <c r="O686" s="74">
        <f t="shared" si="101"/>
        <v>-1386.9809022947447</v>
      </c>
      <c r="P686" s="74">
        <f t="shared" si="102"/>
        <v>47001.477215119077</v>
      </c>
    </row>
    <row r="687" spans="1:16" x14ac:dyDescent="0.3">
      <c r="A687" s="72">
        <f t="shared" si="89"/>
        <v>189</v>
      </c>
      <c r="B687" s="74">
        <f t="shared" si="90"/>
        <v>40423.639401041313</v>
      </c>
      <c r="C687" s="74">
        <f t="shared" si="91"/>
        <v>-33055.661619293882</v>
      </c>
      <c r="D687" s="74">
        <f t="shared" si="92"/>
        <v>-3114.7378723167567</v>
      </c>
      <c r="E687" s="74">
        <f t="shared" si="93"/>
        <v>1114.7149568227469</v>
      </c>
      <c r="F687" s="74">
        <f t="shared" si="87"/>
        <v>-2576.4414756421916</v>
      </c>
      <c r="G687" s="74">
        <f t="shared" si="88"/>
        <v>1290.3740252789071</v>
      </c>
      <c r="H687" s="74">
        <f t="shared" si="94"/>
        <v>-20423.639401041313</v>
      </c>
      <c r="I687" s="74">
        <f t="shared" si="95"/>
        <v>53055.661619293882</v>
      </c>
      <c r="J687" s="74">
        <f t="shared" si="96"/>
        <v>56850.930302368673</v>
      </c>
      <c r="K687" s="74">
        <f t="shared" si="97"/>
        <v>-60423.639401041313</v>
      </c>
      <c r="L687" s="74">
        <f t="shared" si="98"/>
        <v>53055.661619293882</v>
      </c>
      <c r="M687" s="74">
        <f t="shared" si="99"/>
        <v>80410.940974024707</v>
      </c>
      <c r="N687" s="74">
        <f t="shared" si="100"/>
        <v>-45423.639401041313</v>
      </c>
      <c r="O687" s="74">
        <f t="shared" si="101"/>
        <v>-1944.3383807061182</v>
      </c>
      <c r="P687" s="74">
        <f t="shared" si="102"/>
        <v>45465.233620586616</v>
      </c>
    </row>
    <row r="688" spans="1:16" x14ac:dyDescent="0.3">
      <c r="A688" s="72">
        <f t="shared" si="89"/>
        <v>189.5</v>
      </c>
      <c r="B688" s="74">
        <f t="shared" si="90"/>
        <v>38222.160095972387</v>
      </c>
      <c r="C688" s="74">
        <f t="shared" si="91"/>
        <v>-32175.71063456278</v>
      </c>
      <c r="D688" s="74">
        <f t="shared" si="92"/>
        <v>-4402.9586101378527</v>
      </c>
      <c r="E688" s="74">
        <f t="shared" si="93"/>
        <v>1759.9019694622004</v>
      </c>
      <c r="F688" s="74">
        <f t="shared" si="87"/>
        <v>-2749.0754480793908</v>
      </c>
      <c r="G688" s="74">
        <f t="shared" si="88"/>
        <v>1329.5219770498784</v>
      </c>
      <c r="H688" s="74">
        <f t="shared" si="94"/>
        <v>-18222.160095972387</v>
      </c>
      <c r="I688" s="74">
        <f t="shared" si="95"/>
        <v>52175.710634562784</v>
      </c>
      <c r="J688" s="74">
        <f t="shared" si="96"/>
        <v>55266.191281694781</v>
      </c>
      <c r="K688" s="74">
        <f t="shared" si="97"/>
        <v>-58222.160095972387</v>
      </c>
      <c r="L688" s="74">
        <f t="shared" si="98"/>
        <v>52175.710634562784</v>
      </c>
      <c r="M688" s="74">
        <f t="shared" si="99"/>
        <v>78180.07870591247</v>
      </c>
      <c r="N688" s="74">
        <f t="shared" si="100"/>
        <v>-43222.160095972387</v>
      </c>
      <c r="O688" s="74">
        <f t="shared" si="101"/>
        <v>-2824.2893654372201</v>
      </c>
      <c r="P688" s="74">
        <f t="shared" si="102"/>
        <v>43314.336353932398</v>
      </c>
    </row>
    <row r="689" spans="1:16" x14ac:dyDescent="0.3">
      <c r="A689" s="72">
        <f t="shared" si="89"/>
        <v>190</v>
      </c>
      <c r="B689" s="74">
        <f t="shared" si="90"/>
        <v>35333.411928883615</v>
      </c>
      <c r="C689" s="74">
        <f t="shared" si="91"/>
        <v>-30963.379155569208</v>
      </c>
      <c r="D689" s="74">
        <f t="shared" si="92"/>
        <v>-5777.4963341775483</v>
      </c>
      <c r="E689" s="74">
        <f t="shared" si="93"/>
        <v>2424.6629579871396</v>
      </c>
      <c r="F689" s="74">
        <f t="shared" si="87"/>
        <v>-3000.1279134017805</v>
      </c>
      <c r="G689" s="74">
        <f t="shared" si="88"/>
        <v>1364.4690604311766</v>
      </c>
      <c r="H689" s="74">
        <f t="shared" si="94"/>
        <v>-15333.411928883615</v>
      </c>
      <c r="I689" s="74">
        <f t="shared" si="95"/>
        <v>50963.379155569208</v>
      </c>
      <c r="J689" s="74">
        <f t="shared" si="96"/>
        <v>53220.104625368185</v>
      </c>
      <c r="K689" s="74">
        <f t="shared" si="97"/>
        <v>-55333.411928883615</v>
      </c>
      <c r="L689" s="74">
        <f t="shared" si="98"/>
        <v>50963.379155569208</v>
      </c>
      <c r="M689" s="74">
        <f t="shared" si="99"/>
        <v>75226.674063431958</v>
      </c>
      <c r="N689" s="74">
        <f t="shared" si="100"/>
        <v>-40333.411928883615</v>
      </c>
      <c r="O689" s="74">
        <f t="shared" si="101"/>
        <v>-4036.6208444307922</v>
      </c>
      <c r="P689" s="74">
        <f t="shared" si="102"/>
        <v>40534.903794960512</v>
      </c>
    </row>
    <row r="690" spans="1:16" x14ac:dyDescent="0.3">
      <c r="A690" s="72">
        <f t="shared" si="89"/>
        <v>190.5</v>
      </c>
      <c r="B690" s="74">
        <f t="shared" si="90"/>
        <v>31694.631783444394</v>
      </c>
      <c r="C690" s="74">
        <f t="shared" si="91"/>
        <v>-29409.930411467845</v>
      </c>
      <c r="D690" s="74">
        <f t="shared" si="92"/>
        <v>-7277.5602908784385</v>
      </c>
      <c r="E690" s="74">
        <f t="shared" si="93"/>
        <v>3106.8974882027278</v>
      </c>
      <c r="F690" s="74">
        <f t="shared" si="87"/>
        <v>-3356.8098431544627</v>
      </c>
      <c r="G690" s="74">
        <f t="shared" si="88"/>
        <v>1365.5770038657033</v>
      </c>
      <c r="H690" s="74">
        <f t="shared" si="94"/>
        <v>-11694.631783444394</v>
      </c>
      <c r="I690" s="74">
        <f t="shared" si="95"/>
        <v>49409.930411467845</v>
      </c>
      <c r="J690" s="74">
        <f t="shared" si="96"/>
        <v>50775.049343318642</v>
      </c>
      <c r="K690" s="74">
        <f t="shared" si="97"/>
        <v>-51694.631783444391</v>
      </c>
      <c r="L690" s="74">
        <f t="shared" si="98"/>
        <v>49409.930411467845</v>
      </c>
      <c r="M690" s="74">
        <f t="shared" si="99"/>
        <v>71509.972580696704</v>
      </c>
      <c r="N690" s="74">
        <f t="shared" si="100"/>
        <v>-36694.631783444391</v>
      </c>
      <c r="O690" s="74">
        <f t="shared" si="101"/>
        <v>-5590.0695885321547</v>
      </c>
      <c r="P690" s="74">
        <f t="shared" si="102"/>
        <v>37117.98593306484</v>
      </c>
    </row>
    <row r="691" spans="1:16" x14ac:dyDescent="0.3">
      <c r="A691" s="72">
        <f t="shared" si="89"/>
        <v>191</v>
      </c>
      <c r="B691" s="74">
        <f t="shared" si="90"/>
        <v>27216.649177216557</v>
      </c>
      <c r="C691" s="74">
        <f t="shared" si="91"/>
        <v>-27515.087416400056</v>
      </c>
      <c r="D691" s="74">
        <f t="shared" si="92"/>
        <v>-8955.9652124556706</v>
      </c>
      <c r="E691" s="74">
        <f t="shared" si="93"/>
        <v>3789.6859901355792</v>
      </c>
      <c r="F691" s="74">
        <f t="shared" si="87"/>
        <v>-3856.4896568585609</v>
      </c>
      <c r="G691" s="74">
        <f t="shared" si="88"/>
        <v>1254.4376444676714</v>
      </c>
      <c r="H691" s="74">
        <f t="shared" si="94"/>
        <v>-7216.6491772165573</v>
      </c>
      <c r="I691" s="74">
        <f t="shared" si="95"/>
        <v>47515.087416400056</v>
      </c>
      <c r="J691" s="74">
        <f t="shared" si="96"/>
        <v>48059.999558210147</v>
      </c>
      <c r="K691" s="74">
        <f t="shared" si="97"/>
        <v>-47216.649177216561</v>
      </c>
      <c r="L691" s="74">
        <f t="shared" si="98"/>
        <v>47515.087416400056</v>
      </c>
      <c r="M691" s="74">
        <f t="shared" si="99"/>
        <v>66985.785743786604</v>
      </c>
      <c r="N691" s="74">
        <f t="shared" si="100"/>
        <v>-32216.649177216557</v>
      </c>
      <c r="O691" s="74">
        <f t="shared" si="101"/>
        <v>-7484.9125835999439</v>
      </c>
      <c r="P691" s="74">
        <f t="shared" si="102"/>
        <v>33074.709380310225</v>
      </c>
    </row>
    <row r="692" spans="1:16" x14ac:dyDescent="0.3">
      <c r="A692" s="72">
        <f t="shared" si="89"/>
        <v>191.5</v>
      </c>
      <c r="B692" s="74">
        <f t="shared" si="90"/>
        <v>21774.544156774085</v>
      </c>
      <c r="C692" s="74">
        <f t="shared" si="91"/>
        <v>-25306.635010215348</v>
      </c>
      <c r="D692" s="74">
        <f t="shared" si="92"/>
        <v>-10884.210040884951</v>
      </c>
      <c r="E692" s="74">
        <f t="shared" si="93"/>
        <v>4416.9048123694147</v>
      </c>
      <c r="F692" s="74">
        <f t="shared" si="87"/>
        <v>-4527.4805329991968</v>
      </c>
      <c r="G692" s="74">
        <f t="shared" si="88"/>
        <v>823.76002889731376</v>
      </c>
      <c r="H692" s="74">
        <f t="shared" si="94"/>
        <v>-1774.5441567740854</v>
      </c>
      <c r="I692" s="74">
        <f t="shared" si="95"/>
        <v>45306.635010215352</v>
      </c>
      <c r="J692" s="74">
        <f t="shared" si="96"/>
        <v>45341.373853393685</v>
      </c>
      <c r="K692" s="74">
        <f t="shared" si="97"/>
        <v>-41774.544156774085</v>
      </c>
      <c r="L692" s="74">
        <f t="shared" si="98"/>
        <v>45306.635010215352</v>
      </c>
      <c r="M692" s="74">
        <f t="shared" si="99"/>
        <v>61626.32323492242</v>
      </c>
      <c r="N692" s="74">
        <f t="shared" si="100"/>
        <v>-26774.544156774085</v>
      </c>
      <c r="O692" s="74">
        <f t="shared" si="101"/>
        <v>-9693.3649897846517</v>
      </c>
      <c r="P692" s="74">
        <f t="shared" si="102"/>
        <v>28475.209211316218</v>
      </c>
    </row>
    <row r="693" spans="1:16" x14ac:dyDescent="0.3">
      <c r="A693" s="72">
        <f t="shared" si="89"/>
        <v>192</v>
      </c>
      <c r="B693" s="74">
        <f t="shared" si="90"/>
        <v>15200.569003081811</v>
      </c>
      <c r="C693" s="74">
        <f t="shared" si="91"/>
        <v>-22892.242596806311</v>
      </c>
      <c r="D693" s="74">
        <f t="shared" si="92"/>
        <v>-13147.95030738455</v>
      </c>
      <c r="E693" s="74">
        <f t="shared" si="93"/>
        <v>4828.7848268180715</v>
      </c>
      <c r="F693" s="74">
        <f t="shared" si="87"/>
        <v>-5248.8721015269603</v>
      </c>
      <c r="G693" s="74">
        <f t="shared" si="88"/>
        <v>-439.55800582790243</v>
      </c>
      <c r="H693" s="74">
        <f t="shared" si="94"/>
        <v>4799.4309969181886</v>
      </c>
      <c r="I693" s="74">
        <f t="shared" si="95"/>
        <v>42892.242596806311</v>
      </c>
      <c r="J693" s="74">
        <f t="shared" si="96"/>
        <v>43159.923689430507</v>
      </c>
      <c r="K693" s="74">
        <f t="shared" si="97"/>
        <v>-35200.569003081808</v>
      </c>
      <c r="L693" s="74">
        <f t="shared" si="98"/>
        <v>42892.242596806311</v>
      </c>
      <c r="M693" s="74">
        <f t="shared" si="99"/>
        <v>55487.156469979695</v>
      </c>
      <c r="N693" s="74">
        <f t="shared" si="100"/>
        <v>-20200.569003081811</v>
      </c>
      <c r="O693" s="74">
        <f t="shared" si="101"/>
        <v>-12107.757403193689</v>
      </c>
      <c r="P693" s="74">
        <f t="shared" si="102"/>
        <v>23551.237279235698</v>
      </c>
    </row>
    <row r="694" spans="1:16" x14ac:dyDescent="0.3">
      <c r="A694" s="72">
        <f t="shared" si="89"/>
        <v>192.5</v>
      </c>
      <c r="B694" s="74">
        <f t="shared" si="90"/>
        <v>7314.3758240077968</v>
      </c>
      <c r="C694" s="74">
        <f t="shared" si="91"/>
        <v>-20587.739684854252</v>
      </c>
      <c r="D694" s="74">
        <f t="shared" si="92"/>
        <v>-15772.386358148029</v>
      </c>
      <c r="E694" s="74">
        <f t="shared" si="93"/>
        <v>4609.00582390412</v>
      </c>
      <c r="F694" s="74">
        <f t="shared" ref="F694:F757" si="103">$C$23*(H694/(J694^2+$C$24^2)^1.5)+$C$32*(K694/(M694^2+$C$33^2)^1.5)+C$41*(N694/(P694^2+$C$42^2)^1.5)</f>
        <v>-5082.760720076526</v>
      </c>
      <c r="G694" s="74">
        <f t="shared" ref="G694:G757" si="104">$C$23*(I694/(J694^2+$C$24^2)^1.5)+$C$32*(L694/(M694^2+$C$33^2)^1.5)+C$41*(O694/(P694^2+$C$42^2)^1.5)</f>
        <v>-3377.8870715213584</v>
      </c>
      <c r="H694" s="74">
        <f t="shared" si="94"/>
        <v>12685.624175992203</v>
      </c>
      <c r="I694" s="74">
        <f t="shared" si="95"/>
        <v>40587.739684854256</v>
      </c>
      <c r="J694" s="74">
        <f t="shared" si="96"/>
        <v>42523.989387873888</v>
      </c>
      <c r="K694" s="74">
        <f t="shared" si="97"/>
        <v>-27314.375824007795</v>
      </c>
      <c r="L694" s="74">
        <f t="shared" si="98"/>
        <v>40587.739684854256</v>
      </c>
      <c r="M694" s="74">
        <f t="shared" si="99"/>
        <v>48922.793658790935</v>
      </c>
      <c r="N694" s="74">
        <f t="shared" si="100"/>
        <v>-12314.375824007797</v>
      </c>
      <c r="O694" s="74">
        <f t="shared" si="101"/>
        <v>-14412.260315145748</v>
      </c>
      <c r="P694" s="74">
        <f t="shared" si="102"/>
        <v>18956.716470064974</v>
      </c>
    </row>
    <row r="695" spans="1:16" x14ac:dyDescent="0.3">
      <c r="A695" s="72">
        <f t="shared" ref="A695:A758" si="105">A694+$C$5</f>
        <v>193</v>
      </c>
      <c r="B695" s="74">
        <f t="shared" ref="B695:B758" si="106">B694+D694*(A695-A694)+F694*(A695-A694)^2</f>
        <v>-1842.5075350853492</v>
      </c>
      <c r="C695" s="74">
        <f t="shared" ref="C695:C758" si="107">C694+E694*(A695-A694)+G694*(A695-A694)^2</f>
        <v>-19127.708540782533</v>
      </c>
      <c r="D695" s="74">
        <f t="shared" ref="D695:D758" si="108">D694+F694*(A695-A694)</f>
        <v>-18313.766718186293</v>
      </c>
      <c r="E695" s="74">
        <f t="shared" ref="E695:E758" si="109">E694+G694*(A695-A694)</f>
        <v>2920.062288143441</v>
      </c>
      <c r="F695" s="74">
        <f t="shared" si="103"/>
        <v>-1437.0008390008127</v>
      </c>
      <c r="G695" s="74">
        <f t="shared" si="104"/>
        <v>-6969.9317445121133</v>
      </c>
      <c r="H695" s="74">
        <f t="shared" ref="H695:H758" si="110">$C$19-B695</f>
        <v>21842.507535085348</v>
      </c>
      <c r="I695" s="74">
        <f t="shared" ref="I695:I758" si="111">$D$19-C695</f>
        <v>39127.708540782536</v>
      </c>
      <c r="J695" s="74">
        <f t="shared" ref="J695:J758" si="112">SQRT(H695^2+I695^2)</f>
        <v>44811.524310970352</v>
      </c>
      <c r="K695" s="74">
        <f t="shared" ref="K695:K758" si="113">$C$28-B695</f>
        <v>-18157.492464914652</v>
      </c>
      <c r="L695" s="74">
        <f t="shared" ref="L695:L758" si="114">$D$28-C695</f>
        <v>39127.708540782536</v>
      </c>
      <c r="M695" s="74">
        <f t="shared" ref="M695:M758" si="115">SQRT(K695^2+L695^2)</f>
        <v>43135.508670535681</v>
      </c>
      <c r="N695" s="74">
        <f t="shared" ref="N695:N758" si="116">$C$37-B695</f>
        <v>-3157.4924649146506</v>
      </c>
      <c r="O695" s="74">
        <f t="shared" ref="O695:O758" si="117">$D$37-C695</f>
        <v>-15872.291459217467</v>
      </c>
      <c r="P695" s="74">
        <f t="shared" ref="P695:P758" si="118">SQRT(N695^2+O695^2)</f>
        <v>16183.306053842662</v>
      </c>
    </row>
    <row r="696" spans="1:16" x14ac:dyDescent="0.3">
      <c r="A696" s="72">
        <f t="shared" si="105"/>
        <v>193.5</v>
      </c>
      <c r="B696" s="74">
        <f t="shared" si="106"/>
        <v>-11358.6411039287</v>
      </c>
      <c r="C696" s="74">
        <f t="shared" si="107"/>
        <v>-19410.160332838841</v>
      </c>
      <c r="D696" s="74">
        <f t="shared" si="108"/>
        <v>-19032.2671376867</v>
      </c>
      <c r="E696" s="74">
        <f t="shared" si="109"/>
        <v>-564.90358411261559</v>
      </c>
      <c r="F696" s="74">
        <f t="shared" si="103"/>
        <v>4250.8429240956793</v>
      </c>
      <c r="G696" s="74">
        <f t="shared" si="104"/>
        <v>-6262.0895984432045</v>
      </c>
      <c r="H696" s="74">
        <f t="shared" si="110"/>
        <v>31358.641103928698</v>
      </c>
      <c r="I696" s="74">
        <f t="shared" si="111"/>
        <v>39410.160332838845</v>
      </c>
      <c r="J696" s="74">
        <f t="shared" si="112"/>
        <v>50363.926667259286</v>
      </c>
      <c r="K696" s="74">
        <f t="shared" si="113"/>
        <v>-8641.3588960713005</v>
      </c>
      <c r="L696" s="74">
        <f t="shared" si="114"/>
        <v>39410.160332838845</v>
      </c>
      <c r="M696" s="74">
        <f t="shared" si="115"/>
        <v>40346.422654688671</v>
      </c>
      <c r="N696" s="74">
        <f t="shared" si="116"/>
        <v>6358.6411039286995</v>
      </c>
      <c r="O696" s="74">
        <f t="shared" si="117"/>
        <v>-15589.839667161159</v>
      </c>
      <c r="P696" s="74">
        <f t="shared" si="118"/>
        <v>16836.728231350742</v>
      </c>
    </row>
    <row r="697" spans="1:16" x14ac:dyDescent="0.3">
      <c r="A697" s="72">
        <f t="shared" si="105"/>
        <v>194</v>
      </c>
      <c r="B697" s="74">
        <f t="shared" si="106"/>
        <v>-19812.063941748132</v>
      </c>
      <c r="C697" s="74">
        <f t="shared" si="107"/>
        <v>-21258.134524505949</v>
      </c>
      <c r="D697" s="74">
        <f t="shared" si="108"/>
        <v>-16906.845675638862</v>
      </c>
      <c r="E697" s="74">
        <f t="shared" si="109"/>
        <v>-3695.9483833342179</v>
      </c>
      <c r="F697" s="74">
        <f t="shared" si="103"/>
        <v>6255.595222365514</v>
      </c>
      <c r="G697" s="74">
        <f t="shared" si="104"/>
        <v>-2955.1661012855484</v>
      </c>
      <c r="H697" s="74">
        <f t="shared" si="110"/>
        <v>39812.063941748129</v>
      </c>
      <c r="I697" s="74">
        <f t="shared" si="111"/>
        <v>41258.134524505949</v>
      </c>
      <c r="J697" s="74">
        <f t="shared" si="112"/>
        <v>57334.405898588251</v>
      </c>
      <c r="K697" s="74">
        <f t="shared" si="113"/>
        <v>-187.93605825186751</v>
      </c>
      <c r="L697" s="74">
        <f t="shared" si="114"/>
        <v>41258.134524505949</v>
      </c>
      <c r="M697" s="74">
        <f t="shared" si="115"/>
        <v>41258.562558628008</v>
      </c>
      <c r="N697" s="74">
        <f t="shared" si="116"/>
        <v>14812.063941748132</v>
      </c>
      <c r="O697" s="74">
        <f t="shared" si="117"/>
        <v>-13741.865475494051</v>
      </c>
      <c r="P697" s="74">
        <f t="shared" si="118"/>
        <v>20204.853500112557</v>
      </c>
    </row>
    <row r="698" spans="1:16" x14ac:dyDescent="0.3">
      <c r="A698" s="72">
        <f t="shared" si="105"/>
        <v>194.5</v>
      </c>
      <c r="B698" s="74">
        <f t="shared" si="106"/>
        <v>-26701.587973976184</v>
      </c>
      <c r="C698" s="74">
        <f t="shared" si="107"/>
        <v>-23844.900241494444</v>
      </c>
      <c r="D698" s="74">
        <f t="shared" si="108"/>
        <v>-13779.048064456105</v>
      </c>
      <c r="E698" s="74">
        <f t="shared" si="109"/>
        <v>-5173.531433976992</v>
      </c>
      <c r="F698" s="74">
        <f t="shared" si="103"/>
        <v>5831.9715726159666</v>
      </c>
      <c r="G698" s="74">
        <f t="shared" si="104"/>
        <v>-847.05553034533114</v>
      </c>
      <c r="H698" s="74">
        <f t="shared" si="110"/>
        <v>46701.587973976188</v>
      </c>
      <c r="I698" s="74">
        <f t="shared" si="111"/>
        <v>43844.900241494441</v>
      </c>
      <c r="J698" s="74">
        <f t="shared" si="112"/>
        <v>64057.892538528271</v>
      </c>
      <c r="K698" s="74">
        <f t="shared" si="113"/>
        <v>6701.587973976184</v>
      </c>
      <c r="L698" s="74">
        <f t="shared" si="114"/>
        <v>43844.900241494441</v>
      </c>
      <c r="M698" s="74">
        <f t="shared" si="115"/>
        <v>44354.104190700789</v>
      </c>
      <c r="N698" s="74">
        <f t="shared" si="116"/>
        <v>21701.587973976184</v>
      </c>
      <c r="O698" s="74">
        <f t="shared" si="117"/>
        <v>-11155.099758505556</v>
      </c>
      <c r="P698" s="74">
        <f t="shared" si="118"/>
        <v>24400.720710963404</v>
      </c>
    </row>
    <row r="699" spans="1:16" x14ac:dyDescent="0.3">
      <c r="A699" s="72">
        <f t="shared" si="105"/>
        <v>195</v>
      </c>
      <c r="B699" s="74">
        <f t="shared" si="106"/>
        <v>-32133.119113050248</v>
      </c>
      <c r="C699" s="74">
        <f t="shared" si="107"/>
        <v>-26643.429841069272</v>
      </c>
      <c r="D699" s="74">
        <f t="shared" si="108"/>
        <v>-10863.062278148122</v>
      </c>
      <c r="E699" s="74">
        <f t="shared" si="109"/>
        <v>-5597.0591991496576</v>
      </c>
      <c r="F699" s="74">
        <f t="shared" si="103"/>
        <v>5009.4516022360567</v>
      </c>
      <c r="G699" s="74">
        <f t="shared" si="104"/>
        <v>128.06329610577723</v>
      </c>
      <c r="H699" s="74">
        <f t="shared" si="110"/>
        <v>52133.119113050248</v>
      </c>
      <c r="I699" s="74">
        <f t="shared" si="111"/>
        <v>46643.429841069272</v>
      </c>
      <c r="J699" s="74">
        <f t="shared" si="112"/>
        <v>69953.353427796712</v>
      </c>
      <c r="K699" s="74">
        <f t="shared" si="113"/>
        <v>12133.119113050248</v>
      </c>
      <c r="L699" s="74">
        <f t="shared" si="114"/>
        <v>46643.429841069272</v>
      </c>
      <c r="M699" s="74">
        <f t="shared" si="115"/>
        <v>48195.665020312939</v>
      </c>
      <c r="N699" s="74">
        <f t="shared" si="116"/>
        <v>27133.119113050248</v>
      </c>
      <c r="O699" s="74">
        <f t="shared" si="117"/>
        <v>-8356.5701589307282</v>
      </c>
      <c r="P699" s="74">
        <f t="shared" si="118"/>
        <v>28390.815726641322</v>
      </c>
    </row>
    <row r="700" spans="1:16" x14ac:dyDescent="0.3">
      <c r="A700" s="72">
        <f t="shared" si="105"/>
        <v>195.5</v>
      </c>
      <c r="B700" s="74">
        <f t="shared" si="106"/>
        <v>-36312.287351565297</v>
      </c>
      <c r="C700" s="74">
        <f t="shared" si="107"/>
        <v>-29409.943616617657</v>
      </c>
      <c r="D700" s="74">
        <f t="shared" si="108"/>
        <v>-8358.3364770300941</v>
      </c>
      <c r="E700" s="74">
        <f t="shared" si="109"/>
        <v>-5533.0275510967695</v>
      </c>
      <c r="F700" s="74">
        <f t="shared" si="103"/>
        <v>4324.6051224374824</v>
      </c>
      <c r="G700" s="74">
        <f t="shared" si="104"/>
        <v>573.96169007257072</v>
      </c>
      <c r="H700" s="74">
        <f t="shared" si="110"/>
        <v>56312.287351565297</v>
      </c>
      <c r="I700" s="74">
        <f t="shared" si="111"/>
        <v>49409.94361661766</v>
      </c>
      <c r="J700" s="74">
        <f t="shared" si="112"/>
        <v>74916.061261672032</v>
      </c>
      <c r="K700" s="74">
        <f t="shared" si="113"/>
        <v>16312.287351565297</v>
      </c>
      <c r="L700" s="74">
        <f t="shared" si="114"/>
        <v>49409.94361661766</v>
      </c>
      <c r="M700" s="74">
        <f t="shared" si="115"/>
        <v>52033.001516704506</v>
      </c>
      <c r="N700" s="74">
        <f t="shared" si="116"/>
        <v>31312.287351565297</v>
      </c>
      <c r="O700" s="74">
        <f t="shared" si="117"/>
        <v>-5590.0563833823435</v>
      </c>
      <c r="P700" s="74">
        <f t="shared" si="118"/>
        <v>31807.358732789962</v>
      </c>
    </row>
    <row r="701" spans="1:16" x14ac:dyDescent="0.3">
      <c r="A701" s="72">
        <f t="shared" si="105"/>
        <v>196</v>
      </c>
      <c r="B701" s="74">
        <f t="shared" si="106"/>
        <v>-39410.304309470972</v>
      </c>
      <c r="C701" s="74">
        <f t="shared" si="107"/>
        <v>-32032.9669696479</v>
      </c>
      <c r="D701" s="74">
        <f t="shared" si="108"/>
        <v>-6196.0339158113529</v>
      </c>
      <c r="E701" s="74">
        <f t="shared" si="109"/>
        <v>-5246.0467060604842</v>
      </c>
      <c r="F701" s="74">
        <f t="shared" si="103"/>
        <v>3829.5665478909714</v>
      </c>
      <c r="G701" s="74">
        <f t="shared" si="104"/>
        <v>796.45867324471578</v>
      </c>
      <c r="H701" s="74">
        <f t="shared" si="110"/>
        <v>59410.304309470972</v>
      </c>
      <c r="I701" s="74">
        <f t="shared" si="111"/>
        <v>52032.966969647896</v>
      </c>
      <c r="J701" s="74">
        <f t="shared" si="112"/>
        <v>78974.767551468074</v>
      </c>
      <c r="K701" s="74">
        <f t="shared" si="113"/>
        <v>19410.304309470972</v>
      </c>
      <c r="L701" s="74">
        <f t="shared" si="114"/>
        <v>52032.966969647896</v>
      </c>
      <c r="M701" s="74">
        <f t="shared" si="115"/>
        <v>55535.480236068332</v>
      </c>
      <c r="N701" s="74">
        <f t="shared" si="116"/>
        <v>34410.304309470972</v>
      </c>
      <c r="O701" s="74">
        <f t="shared" si="117"/>
        <v>-2967.0330303521005</v>
      </c>
      <c r="P701" s="74">
        <f t="shared" si="118"/>
        <v>34537.983839153043</v>
      </c>
    </row>
    <row r="702" spans="1:16" x14ac:dyDescent="0.3">
      <c r="A702" s="72">
        <f t="shared" si="105"/>
        <v>196.5</v>
      </c>
      <c r="B702" s="74">
        <f t="shared" si="106"/>
        <v>-41550.929630403902</v>
      </c>
      <c r="C702" s="74">
        <f t="shared" si="107"/>
        <v>-34456.875654366959</v>
      </c>
      <c r="D702" s="74">
        <f t="shared" si="108"/>
        <v>-4281.2506418658668</v>
      </c>
      <c r="E702" s="74">
        <f t="shared" si="109"/>
        <v>-4847.8173694381267</v>
      </c>
      <c r="F702" s="74">
        <f t="shared" si="103"/>
        <v>3490.9257307631224</v>
      </c>
      <c r="G702" s="74">
        <f t="shared" si="104"/>
        <v>925.69118854614169</v>
      </c>
      <c r="H702" s="74">
        <f t="shared" si="110"/>
        <v>61550.929630403902</v>
      </c>
      <c r="I702" s="74">
        <f t="shared" si="111"/>
        <v>54456.875654366959</v>
      </c>
      <c r="J702" s="74">
        <f t="shared" si="112"/>
        <v>82183.138443369986</v>
      </c>
      <c r="K702" s="74">
        <f t="shared" si="113"/>
        <v>21550.929630403902</v>
      </c>
      <c r="L702" s="74">
        <f t="shared" si="114"/>
        <v>54456.875654366959</v>
      </c>
      <c r="M702" s="74">
        <f t="shared" si="115"/>
        <v>58566.149557315155</v>
      </c>
      <c r="N702" s="74">
        <f t="shared" si="116"/>
        <v>36550.929630403902</v>
      </c>
      <c r="O702" s="74">
        <f t="shared" si="117"/>
        <v>-543.12434563304123</v>
      </c>
      <c r="P702" s="74">
        <f t="shared" si="118"/>
        <v>36554.964654634219</v>
      </c>
    </row>
    <row r="703" spans="1:16" x14ac:dyDescent="0.3">
      <c r="A703" s="72">
        <f t="shared" si="105"/>
        <v>197</v>
      </c>
      <c r="B703" s="74">
        <f t="shared" si="106"/>
        <v>-42818.823518646052</v>
      </c>
      <c r="C703" s="74">
        <f t="shared" si="107"/>
        <v>-36649.361541949489</v>
      </c>
      <c r="D703" s="74">
        <f t="shared" si="108"/>
        <v>-2535.7877764843056</v>
      </c>
      <c r="E703" s="74">
        <f t="shared" si="109"/>
        <v>-4384.971775165056</v>
      </c>
      <c r="F703" s="74">
        <f t="shared" si="103"/>
        <v>3274.520850561707</v>
      </c>
      <c r="G703" s="74">
        <f t="shared" si="104"/>
        <v>1018.9910295440387</v>
      </c>
      <c r="H703" s="74">
        <f t="shared" si="110"/>
        <v>62818.823518646052</v>
      </c>
      <c r="I703" s="74">
        <f t="shared" si="111"/>
        <v>56649.361541949489</v>
      </c>
      <c r="J703" s="74">
        <f t="shared" si="112"/>
        <v>84589.330009034267</v>
      </c>
      <c r="K703" s="74">
        <f t="shared" si="113"/>
        <v>22818.823518646052</v>
      </c>
      <c r="L703" s="74">
        <f t="shared" si="114"/>
        <v>56649.361541949489</v>
      </c>
      <c r="M703" s="74">
        <f t="shared" si="115"/>
        <v>61072.488649846418</v>
      </c>
      <c r="N703" s="74">
        <f t="shared" si="116"/>
        <v>37818.823518646052</v>
      </c>
      <c r="O703" s="74">
        <f t="shared" si="117"/>
        <v>1649.361541949489</v>
      </c>
      <c r="P703" s="74">
        <f t="shared" si="118"/>
        <v>37854.77256345041</v>
      </c>
    </row>
    <row r="704" spans="1:16" x14ac:dyDescent="0.3">
      <c r="A704" s="72">
        <f t="shared" si="105"/>
        <v>197.5</v>
      </c>
      <c r="B704" s="74">
        <f t="shared" si="106"/>
        <v>-43268.087194247775</v>
      </c>
      <c r="C704" s="74">
        <f t="shared" si="107"/>
        <v>-38587.099672146011</v>
      </c>
      <c r="D704" s="74">
        <f t="shared" si="108"/>
        <v>-898.5273512034521</v>
      </c>
      <c r="E704" s="74">
        <f t="shared" si="109"/>
        <v>-3875.4762603930367</v>
      </c>
      <c r="F704" s="74">
        <f t="shared" si="103"/>
        <v>3158.5146135973141</v>
      </c>
      <c r="G704" s="74">
        <f t="shared" si="104"/>
        <v>1104.74401413383</v>
      </c>
      <c r="H704" s="74">
        <f t="shared" si="110"/>
        <v>63268.087194247775</v>
      </c>
      <c r="I704" s="74">
        <f t="shared" si="111"/>
        <v>58587.099672146011</v>
      </c>
      <c r="J704" s="74">
        <f t="shared" si="112"/>
        <v>86228.180458669725</v>
      </c>
      <c r="K704" s="74">
        <f t="shared" si="113"/>
        <v>23268.087194247775</v>
      </c>
      <c r="L704" s="74">
        <f t="shared" si="114"/>
        <v>58587.099672146011</v>
      </c>
      <c r="M704" s="74">
        <f t="shared" si="115"/>
        <v>63038.49720347947</v>
      </c>
      <c r="N704" s="74">
        <f t="shared" si="116"/>
        <v>38268.087194247775</v>
      </c>
      <c r="O704" s="74">
        <f t="shared" si="117"/>
        <v>3587.0996721460106</v>
      </c>
      <c r="P704" s="74">
        <f t="shared" si="118"/>
        <v>38435.839805635318</v>
      </c>
    </row>
    <row r="705" spans="1:16" x14ac:dyDescent="0.3">
      <c r="A705" s="72">
        <f t="shared" si="105"/>
        <v>198</v>
      </c>
      <c r="B705" s="74">
        <f t="shared" si="106"/>
        <v>-42927.722216450173</v>
      </c>
      <c r="C705" s="74">
        <f t="shared" si="107"/>
        <v>-40248.651798809078</v>
      </c>
      <c r="D705" s="74">
        <f t="shared" si="108"/>
        <v>680.72995559520496</v>
      </c>
      <c r="E705" s="74">
        <f t="shared" si="109"/>
        <v>-3323.1042533261216</v>
      </c>
      <c r="F705" s="74">
        <f t="shared" si="103"/>
        <v>3133.7860881602624</v>
      </c>
      <c r="G705" s="74">
        <f t="shared" si="104"/>
        <v>1200.4159135557111</v>
      </c>
      <c r="H705" s="74">
        <f t="shared" si="110"/>
        <v>62927.722216450173</v>
      </c>
      <c r="I705" s="74">
        <f t="shared" si="111"/>
        <v>60248.651798809078</v>
      </c>
      <c r="J705" s="74">
        <f t="shared" si="112"/>
        <v>87119.448270319393</v>
      </c>
      <c r="K705" s="74">
        <f t="shared" si="113"/>
        <v>22927.722216450173</v>
      </c>
      <c r="L705" s="74">
        <f t="shared" si="114"/>
        <v>60248.651798809078</v>
      </c>
      <c r="M705" s="74">
        <f t="shared" si="115"/>
        <v>64463.792082135871</v>
      </c>
      <c r="N705" s="74">
        <f t="shared" si="116"/>
        <v>37927.722216450173</v>
      </c>
      <c r="O705" s="74">
        <f t="shared" si="117"/>
        <v>5248.6517988090782</v>
      </c>
      <c r="P705" s="74">
        <f t="shared" si="118"/>
        <v>38289.168941534233</v>
      </c>
    </row>
    <row r="706" spans="1:16" x14ac:dyDescent="0.3">
      <c r="A706" s="72">
        <f t="shared" si="105"/>
        <v>198.5</v>
      </c>
      <c r="B706" s="74">
        <f t="shared" si="106"/>
        <v>-41803.910716612503</v>
      </c>
      <c r="C706" s="74">
        <f t="shared" si="107"/>
        <v>-41610.09994708321</v>
      </c>
      <c r="D706" s="74">
        <f t="shared" si="108"/>
        <v>2247.6229996753364</v>
      </c>
      <c r="E706" s="74">
        <f t="shared" si="109"/>
        <v>-2722.896296548266</v>
      </c>
      <c r="F706" s="74">
        <f t="shared" si="103"/>
        <v>3204.207102726999</v>
      </c>
      <c r="G706" s="74">
        <f t="shared" si="104"/>
        <v>1321.1588383732992</v>
      </c>
      <c r="H706" s="74">
        <f t="shared" si="110"/>
        <v>61803.910716612503</v>
      </c>
      <c r="I706" s="74">
        <f t="shared" si="111"/>
        <v>61610.09994708321</v>
      </c>
      <c r="J706" s="74">
        <f t="shared" si="112"/>
        <v>87266.991442105951</v>
      </c>
      <c r="K706" s="74">
        <f t="shared" si="113"/>
        <v>21803.910716612503</v>
      </c>
      <c r="L706" s="74">
        <f t="shared" si="114"/>
        <v>61610.09994708321</v>
      </c>
      <c r="M706" s="74">
        <f t="shared" si="115"/>
        <v>65354.532650976798</v>
      </c>
      <c r="N706" s="74">
        <f t="shared" si="116"/>
        <v>36803.910716612503</v>
      </c>
      <c r="O706" s="74">
        <f t="shared" si="117"/>
        <v>6610.0999470832103</v>
      </c>
      <c r="P706" s="74">
        <f t="shared" si="118"/>
        <v>37392.796971433068</v>
      </c>
    </row>
    <row r="707" spans="1:16" x14ac:dyDescent="0.3">
      <c r="A707" s="72">
        <f t="shared" si="105"/>
        <v>199</v>
      </c>
      <c r="B707" s="74">
        <f t="shared" si="106"/>
        <v>-39879.047441093084</v>
      </c>
      <c r="C707" s="74">
        <f t="shared" si="107"/>
        <v>-42641.25838576402</v>
      </c>
      <c r="D707" s="74">
        <f t="shared" si="108"/>
        <v>3849.7265510388361</v>
      </c>
      <c r="E707" s="74">
        <f t="shared" si="109"/>
        <v>-2062.3168773616162</v>
      </c>
      <c r="F707" s="74">
        <f t="shared" si="103"/>
        <v>3390.4736807197824</v>
      </c>
      <c r="G707" s="74">
        <f t="shared" si="104"/>
        <v>1486.069631219093</v>
      </c>
      <c r="H707" s="74">
        <f t="shared" si="110"/>
        <v>59879.047441093084</v>
      </c>
      <c r="I707" s="74">
        <f t="shared" si="111"/>
        <v>62641.25838576402</v>
      </c>
      <c r="J707" s="74">
        <f t="shared" si="112"/>
        <v>86656.953411741444</v>
      </c>
      <c r="K707" s="74">
        <f t="shared" si="113"/>
        <v>19879.047441093084</v>
      </c>
      <c r="L707" s="74">
        <f t="shared" si="114"/>
        <v>62641.25838576402</v>
      </c>
      <c r="M707" s="74">
        <f t="shared" si="115"/>
        <v>65719.888765253403</v>
      </c>
      <c r="N707" s="74">
        <f t="shared" si="116"/>
        <v>34879.047441093084</v>
      </c>
      <c r="O707" s="74">
        <f t="shared" si="117"/>
        <v>7641.2583857640202</v>
      </c>
      <c r="P707" s="74">
        <f t="shared" si="118"/>
        <v>35706.256876295934</v>
      </c>
    </row>
    <row r="708" spans="1:16" x14ac:dyDescent="0.3">
      <c r="A708" s="72">
        <f t="shared" si="105"/>
        <v>199.5</v>
      </c>
      <c r="B708" s="74">
        <f t="shared" si="106"/>
        <v>-37106.565745393716</v>
      </c>
      <c r="C708" s="74">
        <f t="shared" si="107"/>
        <v>-43300.899416640059</v>
      </c>
      <c r="D708" s="74">
        <f t="shared" si="108"/>
        <v>5544.9633913987273</v>
      </c>
      <c r="E708" s="74">
        <f t="shared" si="109"/>
        <v>-1319.2820617520697</v>
      </c>
      <c r="F708" s="74">
        <f t="shared" si="103"/>
        <v>3741.8253045317142</v>
      </c>
      <c r="G708" s="74">
        <f t="shared" si="104"/>
        <v>1726.9384845905649</v>
      </c>
      <c r="H708" s="74">
        <f t="shared" si="110"/>
        <v>57106.565745393716</v>
      </c>
      <c r="I708" s="74">
        <f t="shared" si="111"/>
        <v>63300.899416640059</v>
      </c>
      <c r="J708" s="74">
        <f t="shared" si="112"/>
        <v>85253.526133460051</v>
      </c>
      <c r="K708" s="74">
        <f t="shared" si="113"/>
        <v>17106.565745393716</v>
      </c>
      <c r="L708" s="74">
        <f t="shared" si="114"/>
        <v>63300.899416640059</v>
      </c>
      <c r="M708" s="74">
        <f t="shared" si="115"/>
        <v>65571.628457413346</v>
      </c>
      <c r="N708" s="74">
        <f t="shared" si="116"/>
        <v>32106.565745393716</v>
      </c>
      <c r="O708" s="74">
        <f t="shared" si="117"/>
        <v>8300.8994166400589</v>
      </c>
      <c r="P708" s="74">
        <f t="shared" si="118"/>
        <v>33162.275179614327</v>
      </c>
    </row>
    <row r="709" spans="1:16" x14ac:dyDescent="0.3">
      <c r="A709" s="72">
        <f t="shared" si="105"/>
        <v>200</v>
      </c>
      <c r="B709" s="74">
        <f t="shared" si="106"/>
        <v>-33398.627723561425</v>
      </c>
      <c r="C709" s="74">
        <f t="shared" si="107"/>
        <v>-43528.805826368451</v>
      </c>
      <c r="D709" s="74">
        <f t="shared" si="108"/>
        <v>7415.8760436645844</v>
      </c>
      <c r="E709" s="74">
        <f t="shared" si="109"/>
        <v>-455.81281945678722</v>
      </c>
      <c r="F709" s="74">
        <f t="shared" si="103"/>
        <v>4367.6788319761308</v>
      </c>
      <c r="G709" s="74">
        <f t="shared" si="104"/>
        <v>2108.1794317741887</v>
      </c>
      <c r="H709" s="74">
        <f t="shared" si="110"/>
        <v>53398.627723561425</v>
      </c>
      <c r="I709" s="74">
        <f t="shared" si="111"/>
        <v>63528.805826368451</v>
      </c>
      <c r="J709" s="74">
        <f t="shared" si="112"/>
        <v>82989.894640756887</v>
      </c>
      <c r="K709" s="74">
        <f t="shared" si="113"/>
        <v>13398.627723561425</v>
      </c>
      <c r="L709" s="74">
        <f t="shared" si="114"/>
        <v>63528.805826368451</v>
      </c>
      <c r="M709" s="74">
        <f t="shared" si="115"/>
        <v>64926.36132264779</v>
      </c>
      <c r="N709" s="74">
        <f t="shared" si="116"/>
        <v>28398.627723561425</v>
      </c>
      <c r="O709" s="74">
        <f t="shared" si="117"/>
        <v>8528.8058263684507</v>
      </c>
      <c r="P709" s="74">
        <f t="shared" si="118"/>
        <v>29651.687732831128</v>
      </c>
    </row>
    <row r="710" spans="1:16" x14ac:dyDescent="0.3">
      <c r="A710" s="72">
        <f t="shared" si="105"/>
        <v>200.5</v>
      </c>
      <c r="B710" s="74">
        <f t="shared" si="106"/>
        <v>-28598.769993735103</v>
      </c>
      <c r="C710" s="74">
        <f t="shared" si="107"/>
        <v>-43229.667378153295</v>
      </c>
      <c r="D710" s="74">
        <f t="shared" si="108"/>
        <v>9599.7154596526489</v>
      </c>
      <c r="E710" s="74">
        <f t="shared" si="109"/>
        <v>598.27689643030715</v>
      </c>
      <c r="F710" s="74">
        <f t="shared" si="103"/>
        <v>5529.0393667769567</v>
      </c>
      <c r="G710" s="74">
        <f t="shared" si="104"/>
        <v>2787.1956548640501</v>
      </c>
      <c r="H710" s="74">
        <f t="shared" si="110"/>
        <v>48598.769993735099</v>
      </c>
      <c r="I710" s="74">
        <f t="shared" si="111"/>
        <v>63229.667378153295</v>
      </c>
      <c r="J710" s="74">
        <f t="shared" si="112"/>
        <v>79748.550342033617</v>
      </c>
      <c r="K710" s="74">
        <f t="shared" si="113"/>
        <v>8598.7699937351026</v>
      </c>
      <c r="L710" s="74">
        <f t="shared" si="114"/>
        <v>63229.667378153295</v>
      </c>
      <c r="M710" s="74">
        <f t="shared" si="115"/>
        <v>63811.673557093469</v>
      </c>
      <c r="N710" s="74">
        <f t="shared" si="116"/>
        <v>23598.769993735103</v>
      </c>
      <c r="O710" s="74">
        <f t="shared" si="117"/>
        <v>8229.6673781532954</v>
      </c>
      <c r="P710" s="74">
        <f t="shared" si="118"/>
        <v>24992.586308188529</v>
      </c>
    </row>
    <row r="711" spans="1:16" x14ac:dyDescent="0.3">
      <c r="A711" s="72">
        <f t="shared" si="105"/>
        <v>201</v>
      </c>
      <c r="B711" s="74">
        <f t="shared" si="106"/>
        <v>-22416.652422214542</v>
      </c>
      <c r="C711" s="74">
        <f t="shared" si="107"/>
        <v>-42233.730016222129</v>
      </c>
      <c r="D711" s="74">
        <f t="shared" si="108"/>
        <v>12364.235143041127</v>
      </c>
      <c r="E711" s="74">
        <f t="shared" si="109"/>
        <v>1991.8747238623323</v>
      </c>
      <c r="F711" s="74">
        <f t="shared" si="103"/>
        <v>7926.4462885823832</v>
      </c>
      <c r="G711" s="74">
        <f t="shared" si="104"/>
        <v>4248.682706875963</v>
      </c>
      <c r="H711" s="74">
        <f t="shared" si="110"/>
        <v>42416.652422214538</v>
      </c>
      <c r="I711" s="74">
        <f t="shared" si="111"/>
        <v>62233.730016222129</v>
      </c>
      <c r="J711" s="74">
        <f t="shared" si="112"/>
        <v>75314.072751637766</v>
      </c>
      <c r="K711" s="74">
        <f t="shared" si="113"/>
        <v>2416.6524222145417</v>
      </c>
      <c r="L711" s="74">
        <f t="shared" si="114"/>
        <v>62233.730016222129</v>
      </c>
      <c r="M711" s="74">
        <f t="shared" si="115"/>
        <v>62280.633913455167</v>
      </c>
      <c r="N711" s="74">
        <f t="shared" si="116"/>
        <v>17416.652422214542</v>
      </c>
      <c r="O711" s="74">
        <f t="shared" si="117"/>
        <v>7233.7300162221291</v>
      </c>
      <c r="P711" s="74">
        <f t="shared" si="118"/>
        <v>18859.125948564655</v>
      </c>
    </row>
    <row r="712" spans="1:16" x14ac:dyDescent="0.3">
      <c r="A712" s="72">
        <f t="shared" si="105"/>
        <v>201.5</v>
      </c>
      <c r="B712" s="74">
        <f t="shared" si="106"/>
        <v>-14252.923278548382</v>
      </c>
      <c r="C712" s="74">
        <f t="shared" si="107"/>
        <v>-40175.621977571973</v>
      </c>
      <c r="D712" s="74">
        <f t="shared" si="108"/>
        <v>16327.45828733232</v>
      </c>
      <c r="E712" s="74">
        <f t="shared" si="109"/>
        <v>4116.2160773003143</v>
      </c>
      <c r="F712" s="74">
        <f t="shared" si="103"/>
        <v>12885.2459128266</v>
      </c>
      <c r="G712" s="74">
        <f t="shared" si="104"/>
        <v>8308.7694035407458</v>
      </c>
      <c r="H712" s="74">
        <f t="shared" si="110"/>
        <v>34252.923278548384</v>
      </c>
      <c r="I712" s="74">
        <f t="shared" si="111"/>
        <v>60175.621977571973</v>
      </c>
      <c r="J712" s="74">
        <f t="shared" si="112"/>
        <v>69241.376600366377</v>
      </c>
      <c r="K712" s="74">
        <f t="shared" si="113"/>
        <v>-5747.0767214516181</v>
      </c>
      <c r="L712" s="74">
        <f t="shared" si="114"/>
        <v>60175.621977571973</v>
      </c>
      <c r="M712" s="74">
        <f t="shared" si="115"/>
        <v>60449.43648397307</v>
      </c>
      <c r="N712" s="74">
        <f t="shared" si="116"/>
        <v>9252.9232785483819</v>
      </c>
      <c r="O712" s="74">
        <f t="shared" si="117"/>
        <v>5175.6219775719728</v>
      </c>
      <c r="P712" s="74">
        <f t="shared" si="118"/>
        <v>10602.058859175822</v>
      </c>
    </row>
    <row r="713" spans="1:16" x14ac:dyDescent="0.3">
      <c r="A713" s="72">
        <f t="shared" si="105"/>
        <v>202</v>
      </c>
      <c r="B713" s="74">
        <f t="shared" si="106"/>
        <v>-2867.882656675572</v>
      </c>
      <c r="C713" s="74">
        <f t="shared" si="107"/>
        <v>-36040.321588036633</v>
      </c>
      <c r="D713" s="74">
        <f t="shared" si="108"/>
        <v>22770.081243745619</v>
      </c>
      <c r="E713" s="74">
        <f t="shared" si="109"/>
        <v>8270.6007790706863</v>
      </c>
      <c r="F713" s="74">
        <f t="shared" si="103"/>
        <v>-7989.4866573103127</v>
      </c>
      <c r="G713" s="74">
        <f t="shared" si="104"/>
        <v>5611.7518113301221</v>
      </c>
      <c r="H713" s="74">
        <f t="shared" si="110"/>
        <v>22867.882656675571</v>
      </c>
      <c r="I713" s="74">
        <f t="shared" si="111"/>
        <v>56040.321588036633</v>
      </c>
      <c r="J713" s="74">
        <f t="shared" si="112"/>
        <v>60526.504119187717</v>
      </c>
      <c r="K713" s="74">
        <f t="shared" si="113"/>
        <v>-17132.117343324429</v>
      </c>
      <c r="L713" s="74">
        <f t="shared" si="114"/>
        <v>56040.321588036633</v>
      </c>
      <c r="M713" s="74">
        <f t="shared" si="115"/>
        <v>58600.572423449943</v>
      </c>
      <c r="N713" s="74">
        <f t="shared" si="116"/>
        <v>-2132.117343324428</v>
      </c>
      <c r="O713" s="74">
        <f t="shared" si="117"/>
        <v>1040.3215880366333</v>
      </c>
      <c r="P713" s="74">
        <f t="shared" si="118"/>
        <v>2372.3813715842316</v>
      </c>
    </row>
    <row r="714" spans="1:16" x14ac:dyDescent="0.3">
      <c r="A714" s="72">
        <f t="shared" si="105"/>
        <v>202.5</v>
      </c>
      <c r="B714" s="74">
        <f t="shared" si="106"/>
        <v>6519.7863008696586</v>
      </c>
      <c r="C714" s="74">
        <f t="shared" si="107"/>
        <v>-30502.08324566876</v>
      </c>
      <c r="D714" s="74">
        <f t="shared" si="108"/>
        <v>18775.337915090462</v>
      </c>
      <c r="E714" s="74">
        <f t="shared" si="109"/>
        <v>11076.476684735748</v>
      </c>
      <c r="F714" s="74">
        <f t="shared" si="103"/>
        <v>-11918.399645161069</v>
      </c>
      <c r="G714" s="74">
        <f t="shared" si="104"/>
        <v>-2713.3477045914642</v>
      </c>
      <c r="H714" s="74">
        <f t="shared" si="110"/>
        <v>13480.213699130341</v>
      </c>
      <c r="I714" s="74">
        <f t="shared" si="111"/>
        <v>50502.083245668764</v>
      </c>
      <c r="J714" s="74">
        <f t="shared" si="112"/>
        <v>52270.226453753567</v>
      </c>
      <c r="K714" s="74">
        <f t="shared" si="113"/>
        <v>-26519.786300869659</v>
      </c>
      <c r="L714" s="74">
        <f t="shared" si="114"/>
        <v>50502.083245668764</v>
      </c>
      <c r="M714" s="74">
        <f t="shared" si="115"/>
        <v>57041.734524786778</v>
      </c>
      <c r="N714" s="74">
        <f t="shared" si="116"/>
        <v>-11519.786300869659</v>
      </c>
      <c r="O714" s="74">
        <f t="shared" si="117"/>
        <v>-4497.9167543312396</v>
      </c>
      <c r="P714" s="74">
        <f t="shared" si="118"/>
        <v>12366.759136758423</v>
      </c>
    </row>
    <row r="715" spans="1:16" x14ac:dyDescent="0.3">
      <c r="A715" s="72">
        <f t="shared" si="105"/>
        <v>203</v>
      </c>
      <c r="B715" s="74">
        <f t="shared" si="106"/>
        <v>12927.855347124623</v>
      </c>
      <c r="C715" s="74">
        <f t="shared" si="107"/>
        <v>-25642.181829448753</v>
      </c>
      <c r="D715" s="74">
        <f t="shared" si="108"/>
        <v>12816.138092509927</v>
      </c>
      <c r="E715" s="74">
        <f t="shared" si="109"/>
        <v>9719.8028324400148</v>
      </c>
      <c r="F715" s="74">
        <f t="shared" si="103"/>
        <v>-6643.6215208033718</v>
      </c>
      <c r="G715" s="74">
        <f t="shared" si="104"/>
        <v>-1069.1739949017483</v>
      </c>
      <c r="H715" s="74">
        <f t="shared" si="110"/>
        <v>7072.1446528753768</v>
      </c>
      <c r="I715" s="74">
        <f t="shared" si="111"/>
        <v>45642.181829448753</v>
      </c>
      <c r="J715" s="74">
        <f t="shared" si="112"/>
        <v>46186.83786690377</v>
      </c>
      <c r="K715" s="74">
        <f t="shared" si="113"/>
        <v>-32927.855347124627</v>
      </c>
      <c r="L715" s="74">
        <f t="shared" si="114"/>
        <v>45642.181829448753</v>
      </c>
      <c r="M715" s="74">
        <f t="shared" si="115"/>
        <v>56280.124554887276</v>
      </c>
      <c r="N715" s="74">
        <f t="shared" si="116"/>
        <v>-17927.855347124623</v>
      </c>
      <c r="O715" s="74">
        <f t="shared" si="117"/>
        <v>-9357.818170551247</v>
      </c>
      <c r="P715" s="74">
        <f t="shared" si="118"/>
        <v>20223.173792966427</v>
      </c>
    </row>
    <row r="716" spans="1:16" x14ac:dyDescent="0.3">
      <c r="A716" s="72">
        <f t="shared" si="105"/>
        <v>203.5</v>
      </c>
      <c r="B716" s="74">
        <f t="shared" si="106"/>
        <v>17675.019013178746</v>
      </c>
      <c r="C716" s="74">
        <f t="shared" si="107"/>
        <v>-21049.573911954183</v>
      </c>
      <c r="D716" s="74">
        <f t="shared" si="108"/>
        <v>9494.3273321082415</v>
      </c>
      <c r="E716" s="74">
        <f t="shared" si="109"/>
        <v>9185.2158349891397</v>
      </c>
      <c r="F716" s="74">
        <f t="shared" si="103"/>
        <v>-4453.9999993477732</v>
      </c>
      <c r="G716" s="74">
        <f t="shared" si="104"/>
        <v>222.59048320103784</v>
      </c>
      <c r="H716" s="74">
        <f t="shared" si="110"/>
        <v>2324.9809868212542</v>
      </c>
      <c r="I716" s="74">
        <f t="shared" si="111"/>
        <v>41049.573911954183</v>
      </c>
      <c r="J716" s="74">
        <f t="shared" si="112"/>
        <v>41115.362760677061</v>
      </c>
      <c r="K716" s="74">
        <f t="shared" si="113"/>
        <v>-37675.019013178746</v>
      </c>
      <c r="L716" s="74">
        <f t="shared" si="114"/>
        <v>41049.573911954183</v>
      </c>
      <c r="M716" s="74">
        <f t="shared" si="115"/>
        <v>55717.812017310673</v>
      </c>
      <c r="N716" s="74">
        <f t="shared" si="116"/>
        <v>-22675.019013178746</v>
      </c>
      <c r="O716" s="74">
        <f t="shared" si="117"/>
        <v>-13950.426088045817</v>
      </c>
      <c r="P716" s="74">
        <f t="shared" si="118"/>
        <v>26622.751084101863</v>
      </c>
    </row>
    <row r="717" spans="1:16" x14ac:dyDescent="0.3">
      <c r="A717" s="72">
        <f t="shared" si="105"/>
        <v>204</v>
      </c>
      <c r="B717" s="74">
        <f t="shared" si="106"/>
        <v>21308.682679395923</v>
      </c>
      <c r="C717" s="74">
        <f t="shared" si="107"/>
        <v>-16401.318373659353</v>
      </c>
      <c r="D717" s="74">
        <f t="shared" si="108"/>
        <v>7267.3273324343554</v>
      </c>
      <c r="E717" s="74">
        <f t="shared" si="109"/>
        <v>9296.5110765896588</v>
      </c>
      <c r="F717" s="74">
        <f t="shared" si="103"/>
        <v>-3486.5215592559202</v>
      </c>
      <c r="G717" s="74">
        <f t="shared" si="104"/>
        <v>1253.3805461484947</v>
      </c>
      <c r="H717" s="74">
        <f t="shared" si="110"/>
        <v>-1308.6826793959226</v>
      </c>
      <c r="I717" s="74">
        <f t="shared" si="111"/>
        <v>36401.318373659349</v>
      </c>
      <c r="J717" s="74">
        <f t="shared" si="112"/>
        <v>36424.835342055572</v>
      </c>
      <c r="K717" s="74">
        <f t="shared" si="113"/>
        <v>-41308.682679395919</v>
      </c>
      <c r="L717" s="74">
        <f t="shared" si="114"/>
        <v>36401.318373659349</v>
      </c>
      <c r="M717" s="74">
        <f t="shared" si="115"/>
        <v>55058.725412486019</v>
      </c>
      <c r="N717" s="74">
        <f t="shared" si="116"/>
        <v>-26308.682679395923</v>
      </c>
      <c r="O717" s="74">
        <f t="shared" si="117"/>
        <v>-18598.681626340647</v>
      </c>
      <c r="P717" s="74">
        <f t="shared" si="118"/>
        <v>32218.903497219271</v>
      </c>
    </row>
    <row r="718" spans="1:16" x14ac:dyDescent="0.3">
      <c r="A718" s="72">
        <f t="shared" si="105"/>
        <v>204.5</v>
      </c>
      <c r="B718" s="74">
        <f t="shared" si="106"/>
        <v>24070.715955799118</v>
      </c>
      <c r="C718" s="74">
        <f t="shared" si="107"/>
        <v>-11439.717698827399</v>
      </c>
      <c r="D718" s="74">
        <f t="shared" si="108"/>
        <v>5524.0665528063955</v>
      </c>
      <c r="E718" s="74">
        <f t="shared" si="109"/>
        <v>9923.2013496639065</v>
      </c>
      <c r="F718" s="74">
        <f t="shared" si="103"/>
        <v>-3136.6103533568375</v>
      </c>
      <c r="G718" s="74">
        <f t="shared" si="104"/>
        <v>2298.1686763875423</v>
      </c>
      <c r="H718" s="74">
        <f t="shared" si="110"/>
        <v>-4070.7159557991181</v>
      </c>
      <c r="I718" s="74">
        <f t="shared" si="111"/>
        <v>31439.7176988274</v>
      </c>
      <c r="J718" s="74">
        <f t="shared" si="112"/>
        <v>31702.154144076052</v>
      </c>
      <c r="K718" s="74">
        <f t="shared" si="113"/>
        <v>-44070.715955799118</v>
      </c>
      <c r="L718" s="74">
        <f t="shared" si="114"/>
        <v>31439.7176988274</v>
      </c>
      <c r="M718" s="74">
        <f t="shared" si="115"/>
        <v>54135.790876634361</v>
      </c>
      <c r="N718" s="74">
        <f t="shared" si="116"/>
        <v>-29070.715955799118</v>
      </c>
      <c r="O718" s="74">
        <f t="shared" si="117"/>
        <v>-23560.2823011726</v>
      </c>
      <c r="P718" s="74">
        <f t="shared" si="118"/>
        <v>37419.158572764572</v>
      </c>
    </row>
    <row r="719" spans="1:16" x14ac:dyDescent="0.3">
      <c r="A719" s="72">
        <f t="shared" si="105"/>
        <v>205</v>
      </c>
      <c r="B719" s="74">
        <f t="shared" si="106"/>
        <v>26048.596643863108</v>
      </c>
      <c r="C719" s="74">
        <f t="shared" si="107"/>
        <v>-5903.5748548985594</v>
      </c>
      <c r="D719" s="74">
        <f t="shared" si="108"/>
        <v>3955.7613761279767</v>
      </c>
      <c r="E719" s="74">
        <f t="shared" si="109"/>
        <v>11072.285687857679</v>
      </c>
      <c r="F719" s="74">
        <f t="shared" si="103"/>
        <v>-3308.5102488566054</v>
      </c>
      <c r="G719" s="74">
        <f t="shared" si="104"/>
        <v>3632.6191517795487</v>
      </c>
      <c r="H719" s="74">
        <f t="shared" si="110"/>
        <v>-6048.5966438631076</v>
      </c>
      <c r="I719" s="74">
        <f t="shared" si="111"/>
        <v>25903.574854898558</v>
      </c>
      <c r="J719" s="74">
        <f t="shared" si="112"/>
        <v>26600.389313381955</v>
      </c>
      <c r="K719" s="74">
        <f t="shared" si="113"/>
        <v>-46048.596643863108</v>
      </c>
      <c r="L719" s="74">
        <f t="shared" si="114"/>
        <v>25903.574854898558</v>
      </c>
      <c r="M719" s="74">
        <f t="shared" si="115"/>
        <v>52834.349084024245</v>
      </c>
      <c r="N719" s="74">
        <f t="shared" si="116"/>
        <v>-31048.596643863108</v>
      </c>
      <c r="O719" s="74">
        <f t="shared" si="117"/>
        <v>-29096.425145101442</v>
      </c>
      <c r="P719" s="74">
        <f t="shared" si="118"/>
        <v>42551.349094685575</v>
      </c>
    </row>
    <row r="720" spans="1:16" x14ac:dyDescent="0.3">
      <c r="A720" s="72">
        <f t="shared" si="105"/>
        <v>205.5</v>
      </c>
      <c r="B720" s="74">
        <f t="shared" si="106"/>
        <v>27199.349769712946</v>
      </c>
      <c r="C720" s="74">
        <f t="shared" si="107"/>
        <v>540.72277697516711</v>
      </c>
      <c r="D720" s="74">
        <f t="shared" si="108"/>
        <v>2301.5062516996741</v>
      </c>
      <c r="E720" s="74">
        <f t="shared" si="109"/>
        <v>12888.595263747453</v>
      </c>
      <c r="F720" s="74">
        <f t="shared" si="103"/>
        <v>-4348.8121968576925</v>
      </c>
      <c r="G720" s="74">
        <f t="shared" si="104"/>
        <v>5707.2401480374583</v>
      </c>
      <c r="H720" s="74">
        <f t="shared" si="110"/>
        <v>-7199.349769712946</v>
      </c>
      <c r="I720" s="74">
        <f t="shared" si="111"/>
        <v>19459.277223024834</v>
      </c>
      <c r="J720" s="74">
        <f t="shared" si="112"/>
        <v>20748.351914048475</v>
      </c>
      <c r="K720" s="74">
        <f t="shared" si="113"/>
        <v>-47199.34976971295</v>
      </c>
      <c r="L720" s="74">
        <f t="shared" si="114"/>
        <v>19459.277223024834</v>
      </c>
      <c r="M720" s="74">
        <f t="shared" si="115"/>
        <v>51053.325932070627</v>
      </c>
      <c r="N720" s="74">
        <f t="shared" si="116"/>
        <v>-32199.349769712946</v>
      </c>
      <c r="O720" s="74">
        <f t="shared" si="117"/>
        <v>-35540.72277697517</v>
      </c>
      <c r="P720" s="74">
        <f t="shared" si="118"/>
        <v>47957.70116573682</v>
      </c>
    </row>
    <row r="721" spans="1:16" x14ac:dyDescent="0.3">
      <c r="A721" s="72">
        <f t="shared" si="105"/>
        <v>206</v>
      </c>
      <c r="B721" s="74">
        <f t="shared" si="106"/>
        <v>27262.899846348362</v>
      </c>
      <c r="C721" s="74">
        <f t="shared" si="107"/>
        <v>8411.8304458582588</v>
      </c>
      <c r="D721" s="74">
        <f t="shared" si="108"/>
        <v>127.10015327082783</v>
      </c>
      <c r="E721" s="74">
        <f t="shared" si="109"/>
        <v>15742.215337766182</v>
      </c>
      <c r="F721" s="74">
        <f t="shared" si="103"/>
        <v>-7913.1792024908355</v>
      </c>
      <c r="G721" s="74">
        <f t="shared" si="104"/>
        <v>9096.1025396320583</v>
      </c>
      <c r="H721" s="74">
        <f t="shared" si="110"/>
        <v>-7262.8998463483622</v>
      </c>
      <c r="I721" s="74">
        <f t="shared" si="111"/>
        <v>11588.169554141741</v>
      </c>
      <c r="J721" s="74">
        <f t="shared" si="112"/>
        <v>13676.088175850018</v>
      </c>
      <c r="K721" s="74">
        <f t="shared" si="113"/>
        <v>-47262.899846348359</v>
      </c>
      <c r="L721" s="74">
        <f t="shared" si="114"/>
        <v>11588.169554141741</v>
      </c>
      <c r="M721" s="74">
        <f t="shared" si="115"/>
        <v>48662.792516474983</v>
      </c>
      <c r="N721" s="74">
        <f t="shared" si="116"/>
        <v>-32262.899846348362</v>
      </c>
      <c r="O721" s="74">
        <f t="shared" si="117"/>
        <v>-43411.830445858257</v>
      </c>
      <c r="P721" s="74">
        <f t="shared" si="118"/>
        <v>54087.722536223053</v>
      </c>
    </row>
    <row r="722" spans="1:16" x14ac:dyDescent="0.3">
      <c r="A722" s="72">
        <f t="shared" si="105"/>
        <v>206.5</v>
      </c>
      <c r="B722" s="74">
        <f t="shared" si="106"/>
        <v>25348.155122361066</v>
      </c>
      <c r="C722" s="74">
        <f t="shared" si="107"/>
        <v>18556.963749649363</v>
      </c>
      <c r="D722" s="74">
        <f t="shared" si="108"/>
        <v>-3829.4894479745899</v>
      </c>
      <c r="E722" s="74">
        <f t="shared" si="109"/>
        <v>20290.266607582213</v>
      </c>
      <c r="F722" s="74">
        <f t="shared" si="103"/>
        <v>-16513.896653670399</v>
      </c>
      <c r="G722" s="74">
        <f t="shared" si="104"/>
        <v>3152.7711448594036</v>
      </c>
      <c r="H722" s="74">
        <f t="shared" si="110"/>
        <v>-5348.1551223610659</v>
      </c>
      <c r="I722" s="74">
        <f t="shared" si="111"/>
        <v>1443.0362503506367</v>
      </c>
      <c r="J722" s="74">
        <f t="shared" si="112"/>
        <v>5539.414845691098</v>
      </c>
      <c r="K722" s="74">
        <f t="shared" si="113"/>
        <v>-45348.155122361066</v>
      </c>
      <c r="L722" s="74">
        <f t="shared" si="114"/>
        <v>1443.0362503506367</v>
      </c>
      <c r="M722" s="74">
        <f t="shared" si="115"/>
        <v>45371.108941941769</v>
      </c>
      <c r="N722" s="74">
        <f t="shared" si="116"/>
        <v>-30348.155122361066</v>
      </c>
      <c r="O722" s="74">
        <f t="shared" si="117"/>
        <v>-53556.963749649367</v>
      </c>
      <c r="P722" s="74">
        <f t="shared" si="118"/>
        <v>61557.768684481627</v>
      </c>
    </row>
    <row r="723" spans="1:16" x14ac:dyDescent="0.3">
      <c r="A723" s="72">
        <f t="shared" si="105"/>
        <v>207</v>
      </c>
      <c r="B723" s="74">
        <f t="shared" si="106"/>
        <v>19304.936234956171</v>
      </c>
      <c r="C723" s="74">
        <f t="shared" si="107"/>
        <v>29490.289839655321</v>
      </c>
      <c r="D723" s="74">
        <f t="shared" si="108"/>
        <v>-12086.43777480979</v>
      </c>
      <c r="E723" s="74">
        <f t="shared" si="109"/>
        <v>21866.652180011915</v>
      </c>
      <c r="F723" s="74">
        <f t="shared" si="103"/>
        <v>-398.30748064604649</v>
      </c>
      <c r="G723" s="74">
        <f t="shared" si="104"/>
        <v>-16203.78772653488</v>
      </c>
      <c r="H723" s="74">
        <f t="shared" si="110"/>
        <v>695.06376504382933</v>
      </c>
      <c r="I723" s="74">
        <f t="shared" si="111"/>
        <v>-9490.289839655321</v>
      </c>
      <c r="J723" s="74">
        <f t="shared" si="112"/>
        <v>9515.7088479073336</v>
      </c>
      <c r="K723" s="74">
        <f t="shared" si="113"/>
        <v>-39304.936234956171</v>
      </c>
      <c r="L723" s="74">
        <f t="shared" si="114"/>
        <v>-9490.289839655321</v>
      </c>
      <c r="M723" s="74">
        <f t="shared" si="115"/>
        <v>40434.435988086138</v>
      </c>
      <c r="N723" s="74">
        <f t="shared" si="116"/>
        <v>-24304.936234956171</v>
      </c>
      <c r="O723" s="74">
        <f t="shared" si="117"/>
        <v>-64490.289839655321</v>
      </c>
      <c r="P723" s="74">
        <f t="shared" si="118"/>
        <v>68918.266149026385</v>
      </c>
    </row>
    <row r="724" spans="1:16" x14ac:dyDescent="0.3">
      <c r="A724" s="72">
        <f t="shared" si="105"/>
        <v>207.5</v>
      </c>
      <c r="B724" s="74">
        <f t="shared" si="106"/>
        <v>13162.140477389763</v>
      </c>
      <c r="C724" s="74">
        <f t="shared" si="107"/>
        <v>36372.668998027555</v>
      </c>
      <c r="D724" s="74">
        <f t="shared" si="108"/>
        <v>-12285.591515132814</v>
      </c>
      <c r="E724" s="74">
        <f t="shared" si="109"/>
        <v>13764.758316744475</v>
      </c>
      <c r="F724" s="74">
        <f t="shared" si="103"/>
        <v>1892.0934977552693</v>
      </c>
      <c r="G724" s="74">
        <f t="shared" si="104"/>
        <v>-9493.7340878328705</v>
      </c>
      <c r="H724" s="74">
        <f t="shared" si="110"/>
        <v>6837.859522610237</v>
      </c>
      <c r="I724" s="74">
        <f t="shared" si="111"/>
        <v>-16372.668998027555</v>
      </c>
      <c r="J724" s="74">
        <f t="shared" si="112"/>
        <v>17743.184972544364</v>
      </c>
      <c r="K724" s="74">
        <f t="shared" si="113"/>
        <v>-33162.140477389767</v>
      </c>
      <c r="L724" s="74">
        <f t="shared" si="114"/>
        <v>-16372.668998027555</v>
      </c>
      <c r="M724" s="74">
        <f t="shared" si="115"/>
        <v>36983.670060732285</v>
      </c>
      <c r="N724" s="74">
        <f t="shared" si="116"/>
        <v>-18162.140477389763</v>
      </c>
      <c r="O724" s="74">
        <f t="shared" si="117"/>
        <v>-71372.668998027555</v>
      </c>
      <c r="P724" s="74">
        <f t="shared" si="118"/>
        <v>73647.275758322809</v>
      </c>
    </row>
    <row r="725" spans="1:16" x14ac:dyDescent="0.3">
      <c r="A725" s="72">
        <f t="shared" si="105"/>
        <v>208</v>
      </c>
      <c r="B725" s="74">
        <f t="shared" si="106"/>
        <v>7492.3680942621731</v>
      </c>
      <c r="C725" s="74">
        <f t="shared" si="107"/>
        <v>40881.614634441568</v>
      </c>
      <c r="D725" s="74">
        <f t="shared" si="108"/>
        <v>-11339.54476625518</v>
      </c>
      <c r="E725" s="74">
        <f t="shared" si="109"/>
        <v>9017.8912728280411</v>
      </c>
      <c r="F725" s="74">
        <f t="shared" si="103"/>
        <v>1438.0790579282352</v>
      </c>
      <c r="G725" s="74">
        <f t="shared" si="104"/>
        <v>-6487.7343358323487</v>
      </c>
      <c r="H725" s="74">
        <f t="shared" si="110"/>
        <v>12507.631905737828</v>
      </c>
      <c r="I725" s="74">
        <f t="shared" si="111"/>
        <v>-20881.614634441568</v>
      </c>
      <c r="J725" s="74">
        <f t="shared" si="112"/>
        <v>24340.967228743299</v>
      </c>
      <c r="K725" s="74">
        <f t="shared" si="113"/>
        <v>-27492.368094262172</v>
      </c>
      <c r="L725" s="74">
        <f t="shared" si="114"/>
        <v>-20881.614634441568</v>
      </c>
      <c r="M725" s="74">
        <f t="shared" si="115"/>
        <v>34523.501171980352</v>
      </c>
      <c r="N725" s="74">
        <f t="shared" si="116"/>
        <v>-12492.368094262172</v>
      </c>
      <c r="O725" s="74">
        <f t="shared" si="117"/>
        <v>-75881.614634441561</v>
      </c>
      <c r="P725" s="74">
        <f t="shared" si="118"/>
        <v>76903.047404718847</v>
      </c>
    </row>
    <row r="726" spans="1:16" x14ac:dyDescent="0.3">
      <c r="A726" s="72">
        <f t="shared" si="105"/>
        <v>208.5</v>
      </c>
      <c r="B726" s="74">
        <f t="shared" si="106"/>
        <v>2182.115475616642</v>
      </c>
      <c r="C726" s="74">
        <f t="shared" si="107"/>
        <v>43768.6266868975</v>
      </c>
      <c r="D726" s="74">
        <f t="shared" si="108"/>
        <v>-10620.505237291061</v>
      </c>
      <c r="E726" s="74">
        <f t="shared" si="109"/>
        <v>5774.0241049118667</v>
      </c>
      <c r="F726" s="74">
        <f t="shared" si="103"/>
        <v>1096.9009722998414</v>
      </c>
      <c r="G726" s="74">
        <f t="shared" si="104"/>
        <v>-5242.5807247462189</v>
      </c>
      <c r="H726" s="74">
        <f t="shared" si="110"/>
        <v>17817.884524383357</v>
      </c>
      <c r="I726" s="74">
        <f t="shared" si="111"/>
        <v>-23768.6266868975</v>
      </c>
      <c r="J726" s="74">
        <f t="shared" si="112"/>
        <v>29705.632858186273</v>
      </c>
      <c r="K726" s="74">
        <f t="shared" si="113"/>
        <v>-22182.115475616643</v>
      </c>
      <c r="L726" s="74">
        <f t="shared" si="114"/>
        <v>-23768.6266868975</v>
      </c>
      <c r="M726" s="74">
        <f t="shared" si="115"/>
        <v>32511.442009770766</v>
      </c>
      <c r="N726" s="74">
        <f t="shared" si="116"/>
        <v>-7182.1154756166416</v>
      </c>
      <c r="O726" s="74">
        <f t="shared" si="117"/>
        <v>-78768.626686897507</v>
      </c>
      <c r="P726" s="74">
        <f t="shared" si="118"/>
        <v>79095.381235852925</v>
      </c>
    </row>
    <row r="727" spans="1:16" x14ac:dyDescent="0.3">
      <c r="A727" s="72">
        <f t="shared" si="105"/>
        <v>209</v>
      </c>
      <c r="B727" s="74">
        <f t="shared" si="106"/>
        <v>-2853.9118999539282</v>
      </c>
      <c r="C727" s="74">
        <f t="shared" si="107"/>
        <v>45344.993558166876</v>
      </c>
      <c r="D727" s="74">
        <f t="shared" si="108"/>
        <v>-10072.054751141141</v>
      </c>
      <c r="E727" s="74">
        <f t="shared" si="109"/>
        <v>3152.7337425387573</v>
      </c>
      <c r="F727" s="74">
        <f t="shared" si="103"/>
        <v>949.40064497609035</v>
      </c>
      <c r="G727" s="74">
        <f t="shared" si="104"/>
        <v>-4711.9709553131615</v>
      </c>
      <c r="H727" s="74">
        <f t="shared" si="110"/>
        <v>22853.911899953928</v>
      </c>
      <c r="I727" s="74">
        <f t="shared" si="111"/>
        <v>-25344.993558166876</v>
      </c>
      <c r="J727" s="74">
        <f t="shared" si="112"/>
        <v>34127.261648048705</v>
      </c>
      <c r="K727" s="74">
        <f t="shared" si="113"/>
        <v>-17146.088100046072</v>
      </c>
      <c r="L727" s="74">
        <f t="shared" si="114"/>
        <v>-25344.993558166876</v>
      </c>
      <c r="M727" s="74">
        <f t="shared" si="115"/>
        <v>30599.951562021499</v>
      </c>
      <c r="N727" s="74">
        <f t="shared" si="116"/>
        <v>-2146.0881000460718</v>
      </c>
      <c r="O727" s="74">
        <f t="shared" si="117"/>
        <v>-80344.993558166869</v>
      </c>
      <c r="P727" s="74">
        <f t="shared" si="118"/>
        <v>80373.650433428964</v>
      </c>
    </row>
    <row r="728" spans="1:16" x14ac:dyDescent="0.3">
      <c r="A728" s="72">
        <f t="shared" si="105"/>
        <v>209.5</v>
      </c>
      <c r="B728" s="74">
        <f t="shared" si="106"/>
        <v>-7652.5891142804767</v>
      </c>
      <c r="C728" s="74">
        <f t="shared" si="107"/>
        <v>45743.367690607964</v>
      </c>
      <c r="D728" s="74">
        <f t="shared" si="108"/>
        <v>-9597.354428653096</v>
      </c>
      <c r="E728" s="74">
        <f t="shared" si="109"/>
        <v>796.7482648821765</v>
      </c>
      <c r="F728" s="74">
        <f t="shared" si="103"/>
        <v>945.21816872430111</v>
      </c>
      <c r="G728" s="74">
        <f t="shared" si="104"/>
        <v>-4551.3776267200356</v>
      </c>
      <c r="H728" s="74">
        <f t="shared" si="110"/>
        <v>27652.589114280476</v>
      </c>
      <c r="I728" s="74">
        <f t="shared" si="111"/>
        <v>-25743.367690607964</v>
      </c>
      <c r="J728" s="74">
        <f t="shared" si="112"/>
        <v>37780.771098232777</v>
      </c>
      <c r="K728" s="74">
        <f t="shared" si="113"/>
        <v>-12347.410885719524</v>
      </c>
      <c r="L728" s="74">
        <f t="shared" si="114"/>
        <v>-25743.367690607964</v>
      </c>
      <c r="M728" s="74">
        <f t="shared" si="115"/>
        <v>28551.349103582183</v>
      </c>
      <c r="N728" s="74">
        <f t="shared" si="116"/>
        <v>2652.5891142804767</v>
      </c>
      <c r="O728" s="74">
        <f t="shared" si="117"/>
        <v>-80743.367690607964</v>
      </c>
      <c r="P728" s="74">
        <f t="shared" si="118"/>
        <v>80786.927500864345</v>
      </c>
    </row>
    <row r="729" spans="1:16" x14ac:dyDescent="0.3">
      <c r="A729" s="72">
        <f t="shared" si="105"/>
        <v>210</v>
      </c>
      <c r="B729" s="74">
        <f t="shared" si="106"/>
        <v>-12214.961786425949</v>
      </c>
      <c r="C729" s="74">
        <f t="shared" si="107"/>
        <v>45003.897416369044</v>
      </c>
      <c r="D729" s="74">
        <f t="shared" si="108"/>
        <v>-9124.7453442909446</v>
      </c>
      <c r="E729" s="74">
        <f t="shared" si="109"/>
        <v>-1478.9405484778413</v>
      </c>
      <c r="F729" s="74">
        <f t="shared" si="103"/>
        <v>1066.694705866995</v>
      </c>
      <c r="G729" s="74">
        <f t="shared" si="104"/>
        <v>-4658.5043601491179</v>
      </c>
      <c r="H729" s="74">
        <f t="shared" si="110"/>
        <v>32214.961786425949</v>
      </c>
      <c r="I729" s="74">
        <f t="shared" si="111"/>
        <v>-25003.897416369044</v>
      </c>
      <c r="J729" s="74">
        <f t="shared" si="112"/>
        <v>40779.880442556358</v>
      </c>
      <c r="K729" s="74">
        <f t="shared" si="113"/>
        <v>-7785.038213574051</v>
      </c>
      <c r="L729" s="74">
        <f t="shared" si="114"/>
        <v>-25003.897416369044</v>
      </c>
      <c r="M729" s="74">
        <f t="shared" si="115"/>
        <v>26187.815983680557</v>
      </c>
      <c r="N729" s="74">
        <f t="shared" si="116"/>
        <v>7214.961786425949</v>
      </c>
      <c r="O729" s="74">
        <f t="shared" si="117"/>
        <v>-80003.897416369044</v>
      </c>
      <c r="P729" s="74">
        <f t="shared" si="118"/>
        <v>80328.570729152707</v>
      </c>
    </row>
    <row r="730" spans="1:16" x14ac:dyDescent="0.3">
      <c r="A730" s="72">
        <f t="shared" si="105"/>
        <v>210.5</v>
      </c>
      <c r="B730" s="74">
        <f t="shared" si="106"/>
        <v>-16510.660782104675</v>
      </c>
      <c r="C730" s="74">
        <f t="shared" si="107"/>
        <v>43099.801052092844</v>
      </c>
      <c r="D730" s="74">
        <f t="shared" si="108"/>
        <v>-8591.3979913574476</v>
      </c>
      <c r="E730" s="74">
        <f t="shared" si="109"/>
        <v>-3808.1927285524002</v>
      </c>
      <c r="F730" s="74">
        <f t="shared" si="103"/>
        <v>1352.2786633147161</v>
      </c>
      <c r="G730" s="74">
        <f t="shared" si="104"/>
        <v>-5048.8395606287031</v>
      </c>
      <c r="H730" s="74">
        <f t="shared" si="110"/>
        <v>36510.660782104678</v>
      </c>
      <c r="I730" s="74">
        <f t="shared" si="111"/>
        <v>-23099.801052092844</v>
      </c>
      <c r="J730" s="74">
        <f t="shared" si="112"/>
        <v>43204.50392484777</v>
      </c>
      <c r="K730" s="74">
        <f t="shared" si="113"/>
        <v>-3489.3392178953254</v>
      </c>
      <c r="L730" s="74">
        <f t="shared" si="114"/>
        <v>-23099.801052092844</v>
      </c>
      <c r="M730" s="74">
        <f t="shared" si="115"/>
        <v>23361.855594618592</v>
      </c>
      <c r="N730" s="74">
        <f t="shared" si="116"/>
        <v>11510.660782104675</v>
      </c>
      <c r="O730" s="74">
        <f t="shared" si="117"/>
        <v>-78099.801052092836</v>
      </c>
      <c r="P730" s="74">
        <f t="shared" si="118"/>
        <v>78943.487609917283</v>
      </c>
    </row>
    <row r="731" spans="1:16" x14ac:dyDescent="0.3">
      <c r="A731" s="72">
        <f t="shared" si="105"/>
        <v>211</v>
      </c>
      <c r="B731" s="74">
        <f t="shared" si="106"/>
        <v>-20468.29011195472</v>
      </c>
      <c r="C731" s="74">
        <f t="shared" si="107"/>
        <v>39933.49479765947</v>
      </c>
      <c r="D731" s="74">
        <f t="shared" si="108"/>
        <v>-7915.25865970009</v>
      </c>
      <c r="E731" s="74">
        <f t="shared" si="109"/>
        <v>-6332.6125088667523</v>
      </c>
      <c r="F731" s="74">
        <f t="shared" si="103"/>
        <v>1960.60011497046</v>
      </c>
      <c r="G731" s="74">
        <f t="shared" si="104"/>
        <v>-5840.7044367073077</v>
      </c>
      <c r="H731" s="74">
        <f t="shared" si="110"/>
        <v>40468.290111954717</v>
      </c>
      <c r="I731" s="74">
        <f t="shared" si="111"/>
        <v>-19933.49479765947</v>
      </c>
      <c r="J731" s="74">
        <f t="shared" si="112"/>
        <v>45111.270425844239</v>
      </c>
      <c r="K731" s="74">
        <f t="shared" si="113"/>
        <v>468.29011195472049</v>
      </c>
      <c r="L731" s="74">
        <f t="shared" si="114"/>
        <v>-19933.49479765947</v>
      </c>
      <c r="M731" s="74">
        <f t="shared" si="115"/>
        <v>19938.994720829625</v>
      </c>
      <c r="N731" s="74">
        <f t="shared" si="116"/>
        <v>15468.29011195472</v>
      </c>
      <c r="O731" s="74">
        <f t="shared" si="117"/>
        <v>-74933.49479765947</v>
      </c>
      <c r="P731" s="74">
        <f t="shared" si="118"/>
        <v>76513.375573022888</v>
      </c>
    </row>
    <row r="732" spans="1:16" x14ac:dyDescent="0.3">
      <c r="A732" s="72">
        <f t="shared" si="105"/>
        <v>211.5</v>
      </c>
      <c r="B732" s="74">
        <f t="shared" si="106"/>
        <v>-23935.769413062153</v>
      </c>
      <c r="C732" s="74">
        <f t="shared" si="107"/>
        <v>35307.012434049269</v>
      </c>
      <c r="D732" s="74">
        <f t="shared" si="108"/>
        <v>-6934.9586022148596</v>
      </c>
      <c r="E732" s="74">
        <f t="shared" si="109"/>
        <v>-9252.9647272204056</v>
      </c>
      <c r="F732" s="74">
        <f t="shared" si="103"/>
        <v>3425.9779876147804</v>
      </c>
      <c r="G732" s="74">
        <f t="shared" si="104"/>
        <v>-7242.5832340673023</v>
      </c>
      <c r="H732" s="74">
        <f t="shared" si="110"/>
        <v>43935.769413062153</v>
      </c>
      <c r="I732" s="74">
        <f t="shared" si="111"/>
        <v>-15307.012434049269</v>
      </c>
      <c r="J732" s="74">
        <f t="shared" si="112"/>
        <v>46525.868756788484</v>
      </c>
      <c r="K732" s="74">
        <f t="shared" si="113"/>
        <v>3935.769413062153</v>
      </c>
      <c r="L732" s="74">
        <f t="shared" si="114"/>
        <v>-15307.012434049269</v>
      </c>
      <c r="M732" s="74">
        <f t="shared" si="115"/>
        <v>15804.901471661711</v>
      </c>
      <c r="N732" s="74">
        <f t="shared" si="116"/>
        <v>18935.769413062153</v>
      </c>
      <c r="O732" s="74">
        <f t="shared" si="117"/>
        <v>-70307.012434049277</v>
      </c>
      <c r="P732" s="74">
        <f t="shared" si="118"/>
        <v>72812.357197567908</v>
      </c>
    </row>
    <row r="733" spans="1:16" x14ac:dyDescent="0.3">
      <c r="A733" s="72">
        <f t="shared" si="105"/>
        <v>212</v>
      </c>
      <c r="B733" s="74">
        <f t="shared" si="106"/>
        <v>-26546.754217265887</v>
      </c>
      <c r="C733" s="74">
        <f t="shared" si="107"/>
        <v>28869.884261922241</v>
      </c>
      <c r="D733" s="74">
        <f t="shared" si="108"/>
        <v>-5221.9696084074694</v>
      </c>
      <c r="E733" s="74">
        <f t="shared" si="109"/>
        <v>-12874.256344254056</v>
      </c>
      <c r="F733" s="74">
        <f t="shared" si="103"/>
        <v>7557.6925302442678</v>
      </c>
      <c r="G733" s="74">
        <f t="shared" si="104"/>
        <v>-8699.882596954023</v>
      </c>
      <c r="H733" s="74">
        <f t="shared" si="110"/>
        <v>46546.754217265887</v>
      </c>
      <c r="I733" s="74">
        <f t="shared" si="111"/>
        <v>-8869.8842619222414</v>
      </c>
      <c r="J733" s="74">
        <f t="shared" si="112"/>
        <v>47384.334700219813</v>
      </c>
      <c r="K733" s="74">
        <f t="shared" si="113"/>
        <v>6546.7542172658868</v>
      </c>
      <c r="L733" s="74">
        <f t="shared" si="114"/>
        <v>-8869.8842619222414</v>
      </c>
      <c r="M733" s="74">
        <f t="shared" si="115"/>
        <v>11024.283994944277</v>
      </c>
      <c r="N733" s="74">
        <f t="shared" si="116"/>
        <v>21546.754217265887</v>
      </c>
      <c r="O733" s="74">
        <f t="shared" si="117"/>
        <v>-63869.884261922241</v>
      </c>
      <c r="P733" s="74">
        <f t="shared" si="118"/>
        <v>67406.414627471531</v>
      </c>
    </row>
    <row r="734" spans="1:16" x14ac:dyDescent="0.3">
      <c r="A734" s="72">
        <f t="shared" si="105"/>
        <v>212.5</v>
      </c>
      <c r="B734" s="74">
        <f t="shared" si="106"/>
        <v>-27268.315888908553</v>
      </c>
      <c r="C734" s="74">
        <f t="shared" si="107"/>
        <v>20257.785440556709</v>
      </c>
      <c r="D734" s="74">
        <f t="shared" si="108"/>
        <v>-1443.1233432853355</v>
      </c>
      <c r="E734" s="74">
        <f t="shared" si="109"/>
        <v>-17224.197642731066</v>
      </c>
      <c r="F734" s="74">
        <f t="shared" si="103"/>
        <v>14512.507712883436</v>
      </c>
      <c r="G734" s="74">
        <f t="shared" si="104"/>
        <v>-1496.9669091175178</v>
      </c>
      <c r="H734" s="74">
        <f t="shared" si="110"/>
        <v>47268.315888908553</v>
      </c>
      <c r="I734" s="74">
        <f t="shared" si="111"/>
        <v>-257.78544055670864</v>
      </c>
      <c r="J734" s="74">
        <f t="shared" si="112"/>
        <v>47269.018821073572</v>
      </c>
      <c r="K734" s="74">
        <f t="shared" si="113"/>
        <v>7268.3158889085535</v>
      </c>
      <c r="L734" s="74">
        <f t="shared" si="114"/>
        <v>-257.78544055670864</v>
      </c>
      <c r="M734" s="74">
        <f t="shared" si="115"/>
        <v>7272.885891743631</v>
      </c>
      <c r="N734" s="74">
        <f t="shared" si="116"/>
        <v>22268.315888908553</v>
      </c>
      <c r="O734" s="74">
        <f t="shared" si="117"/>
        <v>-55257.785440556705</v>
      </c>
      <c r="P734" s="74">
        <f t="shared" si="118"/>
        <v>59576.008126785549</v>
      </c>
    </row>
    <row r="735" spans="1:16" x14ac:dyDescent="0.3">
      <c r="A735" s="72">
        <f t="shared" si="105"/>
        <v>213</v>
      </c>
      <c r="B735" s="74">
        <f t="shared" si="106"/>
        <v>-24361.750632330361</v>
      </c>
      <c r="C735" s="74">
        <f t="shared" si="107"/>
        <v>11271.444891911797</v>
      </c>
      <c r="D735" s="74">
        <f t="shared" si="108"/>
        <v>5813.1305131563822</v>
      </c>
      <c r="E735" s="74">
        <f t="shared" si="109"/>
        <v>-17972.681097289824</v>
      </c>
      <c r="F735" s="74">
        <f t="shared" si="103"/>
        <v>7134.2089839019482</v>
      </c>
      <c r="G735" s="74">
        <f t="shared" si="104"/>
        <v>8237.8662425685416</v>
      </c>
      <c r="H735" s="74">
        <f t="shared" si="110"/>
        <v>44361.750632330361</v>
      </c>
      <c r="I735" s="74">
        <f t="shared" si="111"/>
        <v>8728.5551080882033</v>
      </c>
      <c r="J735" s="74">
        <f t="shared" si="112"/>
        <v>45212.305774423803</v>
      </c>
      <c r="K735" s="74">
        <f t="shared" si="113"/>
        <v>4361.7506323303605</v>
      </c>
      <c r="L735" s="74">
        <f t="shared" si="114"/>
        <v>8728.5551080882033</v>
      </c>
      <c r="M735" s="74">
        <f t="shared" si="115"/>
        <v>9757.6914715298808</v>
      </c>
      <c r="N735" s="74">
        <f t="shared" si="116"/>
        <v>19361.750632330361</v>
      </c>
      <c r="O735" s="74">
        <f t="shared" si="117"/>
        <v>-46271.4448919118</v>
      </c>
      <c r="P735" s="74">
        <f t="shared" si="118"/>
        <v>50158.987229944905</v>
      </c>
    </row>
    <row r="736" spans="1:16" x14ac:dyDescent="0.3">
      <c r="A736" s="72">
        <f t="shared" si="105"/>
        <v>213.5</v>
      </c>
      <c r="B736" s="74">
        <f t="shared" si="106"/>
        <v>-19671.633129776681</v>
      </c>
      <c r="C736" s="74">
        <f t="shared" si="107"/>
        <v>4344.5709039090198</v>
      </c>
      <c r="D736" s="74">
        <f t="shared" si="108"/>
        <v>9380.2350051073554</v>
      </c>
      <c r="E736" s="74">
        <f t="shared" si="109"/>
        <v>-13853.747976005554</v>
      </c>
      <c r="F736" s="74">
        <f t="shared" si="103"/>
        <v>2611.4673930877689</v>
      </c>
      <c r="G736" s="74">
        <f t="shared" si="104"/>
        <v>4906.3926696959661</v>
      </c>
      <c r="H736" s="74">
        <f t="shared" si="110"/>
        <v>39671.633129776681</v>
      </c>
      <c r="I736" s="74">
        <f t="shared" si="111"/>
        <v>15655.42909609098</v>
      </c>
      <c r="J736" s="74">
        <f t="shared" si="112"/>
        <v>42648.926544126836</v>
      </c>
      <c r="K736" s="74">
        <f t="shared" si="113"/>
        <v>-328.36687022331898</v>
      </c>
      <c r="L736" s="74">
        <f t="shared" si="114"/>
        <v>15655.42909609098</v>
      </c>
      <c r="M736" s="74">
        <f t="shared" si="115"/>
        <v>15658.872404620721</v>
      </c>
      <c r="N736" s="74">
        <f t="shared" si="116"/>
        <v>14671.633129776681</v>
      </c>
      <c r="O736" s="74">
        <f t="shared" si="117"/>
        <v>-39344.570903909022</v>
      </c>
      <c r="P736" s="74">
        <f t="shared" si="118"/>
        <v>41991.095226339181</v>
      </c>
    </row>
    <row r="737" spans="1:16" x14ac:dyDescent="0.3">
      <c r="A737" s="72">
        <f t="shared" si="105"/>
        <v>214</v>
      </c>
      <c r="B737" s="74">
        <f t="shared" si="106"/>
        <v>-14328.648778951061</v>
      </c>
      <c r="C737" s="74">
        <f t="shared" si="107"/>
        <v>-1355.7049166697657</v>
      </c>
      <c r="D737" s="74">
        <f t="shared" si="108"/>
        <v>10685.96870165124</v>
      </c>
      <c r="E737" s="74">
        <f t="shared" si="109"/>
        <v>-11400.55164115757</v>
      </c>
      <c r="F737" s="74">
        <f t="shared" si="103"/>
        <v>1869.0442949815458</v>
      </c>
      <c r="G737" s="74">
        <f t="shared" si="104"/>
        <v>1825.5881526134258</v>
      </c>
      <c r="H737" s="74">
        <f t="shared" si="110"/>
        <v>34328.648778951057</v>
      </c>
      <c r="I737" s="74">
        <f t="shared" si="111"/>
        <v>21355.704916669765</v>
      </c>
      <c r="J737" s="74">
        <f t="shared" si="112"/>
        <v>40429.225313830226</v>
      </c>
      <c r="K737" s="74">
        <f t="shared" si="113"/>
        <v>-5671.3512210489389</v>
      </c>
      <c r="L737" s="74">
        <f t="shared" si="114"/>
        <v>21355.704916669765</v>
      </c>
      <c r="M737" s="74">
        <f t="shared" si="115"/>
        <v>22095.935308566743</v>
      </c>
      <c r="N737" s="74">
        <f t="shared" si="116"/>
        <v>9328.6487789510611</v>
      </c>
      <c r="O737" s="74">
        <f t="shared" si="117"/>
        <v>-33644.295083330231</v>
      </c>
      <c r="P737" s="74">
        <f t="shared" si="118"/>
        <v>34913.64030998807</v>
      </c>
    </row>
    <row r="738" spans="1:16" x14ac:dyDescent="0.3">
      <c r="A738" s="72">
        <f t="shared" si="105"/>
        <v>214.5</v>
      </c>
      <c r="B738" s="74">
        <f t="shared" si="106"/>
        <v>-8518.4033543800542</v>
      </c>
      <c r="C738" s="74">
        <f t="shared" si="107"/>
        <v>-6599.5836990951939</v>
      </c>
      <c r="D738" s="74">
        <f t="shared" si="108"/>
        <v>11620.490849142012</v>
      </c>
      <c r="E738" s="74">
        <f t="shared" si="109"/>
        <v>-10487.757564850857</v>
      </c>
      <c r="F738" s="74">
        <f t="shared" si="103"/>
        <v>1452.7722434290133</v>
      </c>
      <c r="G738" s="74">
        <f t="shared" si="104"/>
        <v>-461.84327318876967</v>
      </c>
      <c r="H738" s="74">
        <f t="shared" si="110"/>
        <v>28518.403354380054</v>
      </c>
      <c r="I738" s="74">
        <f t="shared" si="111"/>
        <v>26599.583699095194</v>
      </c>
      <c r="J738" s="74">
        <f t="shared" si="112"/>
        <v>38997.912544754057</v>
      </c>
      <c r="K738" s="74">
        <f t="shared" si="113"/>
        <v>-11481.596645619946</v>
      </c>
      <c r="L738" s="74">
        <f t="shared" si="114"/>
        <v>26599.583699095194</v>
      </c>
      <c r="M738" s="74">
        <f t="shared" si="115"/>
        <v>28971.795154906813</v>
      </c>
      <c r="N738" s="74">
        <f t="shared" si="116"/>
        <v>3518.4033543800542</v>
      </c>
      <c r="O738" s="74">
        <f t="shared" si="117"/>
        <v>-28400.416300904806</v>
      </c>
      <c r="P738" s="74">
        <f t="shared" si="118"/>
        <v>28617.52624230145</v>
      </c>
    </row>
    <row r="739" spans="1:16" x14ac:dyDescent="0.3">
      <c r="A739" s="72">
        <f t="shared" si="105"/>
        <v>215</v>
      </c>
      <c r="B739" s="74">
        <f t="shared" si="106"/>
        <v>-2344.9648689517949</v>
      </c>
      <c r="C739" s="74">
        <f t="shared" si="107"/>
        <v>-11958.923299817816</v>
      </c>
      <c r="D739" s="74">
        <f t="shared" si="108"/>
        <v>12346.876970856518</v>
      </c>
      <c r="E739" s="74">
        <f t="shared" si="109"/>
        <v>-10718.679201445242</v>
      </c>
      <c r="F739" s="74">
        <f t="shared" si="103"/>
        <v>19.262248648216541</v>
      </c>
      <c r="G739" s="74">
        <f t="shared" si="104"/>
        <v>-2625.5359823854815</v>
      </c>
      <c r="H739" s="74">
        <f t="shared" si="110"/>
        <v>22344.964868951796</v>
      </c>
      <c r="I739" s="74">
        <f t="shared" si="111"/>
        <v>31958.923299817816</v>
      </c>
      <c r="J739" s="74">
        <f t="shared" si="112"/>
        <v>38995.77199490129</v>
      </c>
      <c r="K739" s="74">
        <f t="shared" si="113"/>
        <v>-17655.035131048204</v>
      </c>
      <c r="L739" s="74">
        <f t="shared" si="114"/>
        <v>31958.923299817816</v>
      </c>
      <c r="M739" s="74">
        <f t="shared" si="115"/>
        <v>36511.272834046533</v>
      </c>
      <c r="N739" s="74">
        <f t="shared" si="116"/>
        <v>-2655.0351310482051</v>
      </c>
      <c r="O739" s="74">
        <f t="shared" si="117"/>
        <v>-23041.076700182184</v>
      </c>
      <c r="P739" s="74">
        <f t="shared" si="118"/>
        <v>23193.542787827359</v>
      </c>
    </row>
    <row r="740" spans="1:16" x14ac:dyDescent="0.3">
      <c r="A740" s="72">
        <f t="shared" si="105"/>
        <v>215.5</v>
      </c>
      <c r="B740" s="74">
        <f t="shared" si="106"/>
        <v>3833.289178638518</v>
      </c>
      <c r="C740" s="74">
        <f t="shared" si="107"/>
        <v>-17974.646896136808</v>
      </c>
      <c r="D740" s="74">
        <f t="shared" si="108"/>
        <v>12356.508095180627</v>
      </c>
      <c r="E740" s="74">
        <f t="shared" si="109"/>
        <v>-12031.447192637983</v>
      </c>
      <c r="F740" s="74">
        <f t="shared" si="103"/>
        <v>-3312.82178025542</v>
      </c>
      <c r="G740" s="74">
        <f t="shared" si="104"/>
        <v>-4107.2630254127916</v>
      </c>
      <c r="H740" s="74">
        <f t="shared" si="110"/>
        <v>16166.710821361481</v>
      </c>
      <c r="I740" s="74">
        <f t="shared" si="111"/>
        <v>37974.646896136808</v>
      </c>
      <c r="J740" s="74">
        <f t="shared" si="112"/>
        <v>41272.707031012629</v>
      </c>
      <c r="K740" s="74">
        <f t="shared" si="113"/>
        <v>-23833.289178638519</v>
      </c>
      <c r="L740" s="74">
        <f t="shared" si="114"/>
        <v>37974.646896136808</v>
      </c>
      <c r="M740" s="74">
        <f t="shared" si="115"/>
        <v>44834.132978779468</v>
      </c>
      <c r="N740" s="74">
        <f t="shared" si="116"/>
        <v>-8833.2891786385189</v>
      </c>
      <c r="O740" s="74">
        <f t="shared" si="117"/>
        <v>-17025.353103863192</v>
      </c>
      <c r="P740" s="74">
        <f t="shared" si="118"/>
        <v>19180.449578273092</v>
      </c>
    </row>
    <row r="741" spans="1:16" x14ac:dyDescent="0.3">
      <c r="A741" s="72">
        <f t="shared" si="105"/>
        <v>216</v>
      </c>
      <c r="B741" s="74">
        <f t="shared" si="106"/>
        <v>9183.3377811649752</v>
      </c>
      <c r="C741" s="74">
        <f t="shared" si="107"/>
        <v>-25017.186248808997</v>
      </c>
      <c r="D741" s="74">
        <f t="shared" si="108"/>
        <v>10700.097205052916</v>
      </c>
      <c r="E741" s="74">
        <f t="shared" si="109"/>
        <v>-14085.078705344378</v>
      </c>
      <c r="F741" s="74">
        <f t="shared" si="103"/>
        <v>-7369.3141037618007</v>
      </c>
      <c r="G741" s="74">
        <f t="shared" si="104"/>
        <v>-2831.4763279640738</v>
      </c>
      <c r="H741" s="74">
        <f t="shared" si="110"/>
        <v>10816.662218835025</v>
      </c>
      <c r="I741" s="74">
        <f t="shared" si="111"/>
        <v>45017.186248808997</v>
      </c>
      <c r="J741" s="74">
        <f t="shared" si="112"/>
        <v>46298.45828228334</v>
      </c>
      <c r="K741" s="74">
        <f t="shared" si="113"/>
        <v>-29183.337781164977</v>
      </c>
      <c r="L741" s="74">
        <f t="shared" si="114"/>
        <v>45017.186248808997</v>
      </c>
      <c r="M741" s="74">
        <f t="shared" si="115"/>
        <v>53648.991246896047</v>
      </c>
      <c r="N741" s="74">
        <f t="shared" si="116"/>
        <v>-14183.337781164975</v>
      </c>
      <c r="O741" s="74">
        <f t="shared" si="117"/>
        <v>-9982.8137511910027</v>
      </c>
      <c r="P741" s="74">
        <f t="shared" si="118"/>
        <v>17344.268246472377</v>
      </c>
    </row>
    <row r="742" spans="1:16" x14ac:dyDescent="0.3">
      <c r="A742" s="72">
        <f t="shared" si="105"/>
        <v>216.5</v>
      </c>
      <c r="B742" s="74">
        <f t="shared" si="106"/>
        <v>12691.057857750984</v>
      </c>
      <c r="C742" s="74">
        <f t="shared" si="107"/>
        <v>-32767.594683472205</v>
      </c>
      <c r="D742" s="74">
        <f t="shared" si="108"/>
        <v>7015.4401531720159</v>
      </c>
      <c r="E742" s="74">
        <f t="shared" si="109"/>
        <v>-15500.816869326416</v>
      </c>
      <c r="F742" s="74">
        <f t="shared" si="103"/>
        <v>-8766.224146296272</v>
      </c>
      <c r="G742" s="74">
        <f t="shared" si="104"/>
        <v>755.31772559551405</v>
      </c>
      <c r="H742" s="74">
        <f t="shared" si="110"/>
        <v>7308.9421422490159</v>
      </c>
      <c r="I742" s="74">
        <f t="shared" si="111"/>
        <v>52767.594683472205</v>
      </c>
      <c r="J742" s="74">
        <f t="shared" si="112"/>
        <v>53271.377717475523</v>
      </c>
      <c r="K742" s="74">
        <f t="shared" si="113"/>
        <v>-32691.057857750984</v>
      </c>
      <c r="L742" s="74">
        <f t="shared" si="114"/>
        <v>52767.594683472205</v>
      </c>
      <c r="M742" s="74">
        <f t="shared" si="115"/>
        <v>62073.539552195878</v>
      </c>
      <c r="N742" s="74">
        <f t="shared" si="116"/>
        <v>-17691.057857750984</v>
      </c>
      <c r="O742" s="74">
        <f t="shared" si="117"/>
        <v>-2232.4053165277946</v>
      </c>
      <c r="P742" s="74">
        <f t="shared" si="118"/>
        <v>17831.353331240858</v>
      </c>
    </row>
    <row r="743" spans="1:16" x14ac:dyDescent="0.3">
      <c r="A743" s="72">
        <f t="shared" si="105"/>
        <v>217</v>
      </c>
      <c r="B743" s="74">
        <f t="shared" si="106"/>
        <v>14007.221897762924</v>
      </c>
      <c r="C743" s="74">
        <f t="shared" si="107"/>
        <v>-40329.173686736533</v>
      </c>
      <c r="D743" s="74">
        <f t="shared" si="108"/>
        <v>2632.3280800238799</v>
      </c>
      <c r="E743" s="74">
        <f t="shared" si="109"/>
        <v>-15123.15800652866</v>
      </c>
      <c r="F743" s="74">
        <f t="shared" si="103"/>
        <v>-7454.6603177435509</v>
      </c>
      <c r="G743" s="74">
        <f t="shared" si="104"/>
        <v>3531.2739848793954</v>
      </c>
      <c r="H743" s="74">
        <f t="shared" si="110"/>
        <v>5992.7781022370764</v>
      </c>
      <c r="I743" s="74">
        <f t="shared" si="111"/>
        <v>60329.173686736533</v>
      </c>
      <c r="J743" s="74">
        <f t="shared" si="112"/>
        <v>60626.088337505957</v>
      </c>
      <c r="K743" s="74">
        <f t="shared" si="113"/>
        <v>-34007.221897762924</v>
      </c>
      <c r="L743" s="74">
        <f t="shared" si="114"/>
        <v>60329.173686736533</v>
      </c>
      <c r="M743" s="74">
        <f t="shared" si="115"/>
        <v>69253.883204684695</v>
      </c>
      <c r="N743" s="74">
        <f t="shared" si="116"/>
        <v>-19007.221897762924</v>
      </c>
      <c r="O743" s="74">
        <f t="shared" si="117"/>
        <v>5329.1736867365325</v>
      </c>
      <c r="P743" s="74">
        <f t="shared" si="118"/>
        <v>19740.176707775525</v>
      </c>
    </row>
    <row r="744" spans="1:16" x14ac:dyDescent="0.3">
      <c r="A744" s="72">
        <f t="shared" si="105"/>
        <v>217.5</v>
      </c>
      <c r="B744" s="74">
        <f t="shared" si="106"/>
        <v>13459.720858338975</v>
      </c>
      <c r="C744" s="74">
        <f t="shared" si="107"/>
        <v>-47007.93419378101</v>
      </c>
      <c r="D744" s="74">
        <f t="shared" si="108"/>
        <v>-1095.0020788478955</v>
      </c>
      <c r="E744" s="74">
        <f t="shared" si="109"/>
        <v>-13357.521014088961</v>
      </c>
      <c r="F744" s="74">
        <f t="shared" si="103"/>
        <v>-5546.5837945099629</v>
      </c>
      <c r="G744" s="74">
        <f t="shared" si="104"/>
        <v>4781.6906475025908</v>
      </c>
      <c r="H744" s="74">
        <f t="shared" si="110"/>
        <v>6540.2791416610253</v>
      </c>
      <c r="I744" s="74">
        <f t="shared" si="111"/>
        <v>67007.93419378101</v>
      </c>
      <c r="J744" s="74">
        <f t="shared" si="112"/>
        <v>67326.358108611021</v>
      </c>
      <c r="K744" s="74">
        <f t="shared" si="113"/>
        <v>-33459.720858338973</v>
      </c>
      <c r="L744" s="74">
        <f t="shared" si="114"/>
        <v>67007.93419378101</v>
      </c>
      <c r="M744" s="74">
        <f t="shared" si="115"/>
        <v>74897.370880666102</v>
      </c>
      <c r="N744" s="74">
        <f t="shared" si="116"/>
        <v>-18459.720858338973</v>
      </c>
      <c r="O744" s="74">
        <f t="shared" si="117"/>
        <v>12007.93419378101</v>
      </c>
      <c r="P744" s="74">
        <f t="shared" si="118"/>
        <v>22021.620688994943</v>
      </c>
    </row>
    <row r="745" spans="1:16" x14ac:dyDescent="0.3">
      <c r="A745" s="72">
        <f t="shared" si="105"/>
        <v>218</v>
      </c>
      <c r="B745" s="74">
        <f t="shared" si="106"/>
        <v>11525.573870287537</v>
      </c>
      <c r="C745" s="74">
        <f t="shared" si="107"/>
        <v>-52491.272038949843</v>
      </c>
      <c r="D745" s="74">
        <f t="shared" si="108"/>
        <v>-3868.293976102877</v>
      </c>
      <c r="E745" s="74">
        <f t="shared" si="109"/>
        <v>-10966.675690337666</v>
      </c>
      <c r="F745" s="74">
        <f t="shared" si="103"/>
        <v>-3958.0407085476877</v>
      </c>
      <c r="G745" s="74">
        <f t="shared" si="104"/>
        <v>5210.1569914971724</v>
      </c>
      <c r="H745" s="74">
        <f t="shared" si="110"/>
        <v>8474.4261297124631</v>
      </c>
      <c r="I745" s="74">
        <f t="shared" si="111"/>
        <v>72491.272038949843</v>
      </c>
      <c r="J745" s="74">
        <f t="shared" si="112"/>
        <v>72984.932828995501</v>
      </c>
      <c r="K745" s="74">
        <f t="shared" si="113"/>
        <v>-31525.573870287539</v>
      </c>
      <c r="L745" s="74">
        <f t="shared" si="114"/>
        <v>72491.272038949843</v>
      </c>
      <c r="M745" s="74">
        <f t="shared" si="115"/>
        <v>79049.644715684757</v>
      </c>
      <c r="N745" s="74">
        <f t="shared" si="116"/>
        <v>-16525.573870287539</v>
      </c>
      <c r="O745" s="74">
        <f t="shared" si="117"/>
        <v>17491.272038949843</v>
      </c>
      <c r="P745" s="74">
        <f t="shared" si="118"/>
        <v>24063.233142761153</v>
      </c>
    </row>
    <row r="746" spans="1:16" x14ac:dyDescent="0.3">
      <c r="A746" s="72">
        <f t="shared" si="105"/>
        <v>218.5</v>
      </c>
      <c r="B746" s="74">
        <f t="shared" si="106"/>
        <v>8601.9167050991764</v>
      </c>
      <c r="C746" s="74">
        <f t="shared" si="107"/>
        <v>-56672.070636244382</v>
      </c>
      <c r="D746" s="74">
        <f t="shared" si="108"/>
        <v>-5847.314330376721</v>
      </c>
      <c r="E746" s="74">
        <f t="shared" si="109"/>
        <v>-8361.5971945890797</v>
      </c>
      <c r="F746" s="74">
        <f t="shared" si="103"/>
        <v>-2758.4618812899876</v>
      </c>
      <c r="G746" s="74">
        <f t="shared" si="104"/>
        <v>5347.1103363000129</v>
      </c>
      <c r="H746" s="74">
        <f t="shared" si="110"/>
        <v>11398.083294900824</v>
      </c>
      <c r="I746" s="74">
        <f t="shared" si="111"/>
        <v>76672.070636244374</v>
      </c>
      <c r="J746" s="74">
        <f t="shared" si="112"/>
        <v>77514.661312855809</v>
      </c>
      <c r="K746" s="74">
        <f t="shared" si="113"/>
        <v>-28601.916705099175</v>
      </c>
      <c r="L746" s="74">
        <f t="shared" si="114"/>
        <v>76672.070636244374</v>
      </c>
      <c r="M746" s="74">
        <f t="shared" si="115"/>
        <v>81833.220973237258</v>
      </c>
      <c r="N746" s="74">
        <f t="shared" si="116"/>
        <v>-13601.916705099176</v>
      </c>
      <c r="O746" s="74">
        <f t="shared" si="117"/>
        <v>21672.070636244382</v>
      </c>
      <c r="P746" s="74">
        <f t="shared" si="118"/>
        <v>25586.926030979612</v>
      </c>
    </row>
    <row r="747" spans="1:16" x14ac:dyDescent="0.3">
      <c r="A747" s="72">
        <f t="shared" si="105"/>
        <v>219</v>
      </c>
      <c r="B747" s="74">
        <f t="shared" si="106"/>
        <v>4988.6440695883193</v>
      </c>
      <c r="C747" s="74">
        <f t="shared" si="107"/>
        <v>-59516.091649463917</v>
      </c>
      <c r="D747" s="74">
        <f t="shared" si="108"/>
        <v>-7226.5452710217151</v>
      </c>
      <c r="E747" s="74">
        <f t="shared" si="109"/>
        <v>-5688.0420264390732</v>
      </c>
      <c r="F747" s="74">
        <f t="shared" si="103"/>
        <v>-1821.5753202659994</v>
      </c>
      <c r="G747" s="74">
        <f t="shared" si="104"/>
        <v>5436.4646356936455</v>
      </c>
      <c r="H747" s="74">
        <f t="shared" si="110"/>
        <v>15011.355930411681</v>
      </c>
      <c r="I747" s="74">
        <f t="shared" si="111"/>
        <v>79516.091649463924</v>
      </c>
      <c r="J747" s="74">
        <f t="shared" si="112"/>
        <v>80920.637899583147</v>
      </c>
      <c r="K747" s="74">
        <f t="shared" si="113"/>
        <v>-24988.644069588321</v>
      </c>
      <c r="L747" s="74">
        <f t="shared" si="114"/>
        <v>79516.091649463924</v>
      </c>
      <c r="M747" s="74">
        <f t="shared" si="115"/>
        <v>83350.111959388014</v>
      </c>
      <c r="N747" s="74">
        <f t="shared" si="116"/>
        <v>-9988.6440695883193</v>
      </c>
      <c r="O747" s="74">
        <f t="shared" si="117"/>
        <v>24516.091649463917</v>
      </c>
      <c r="P747" s="74">
        <f t="shared" si="118"/>
        <v>26472.849489879933</v>
      </c>
    </row>
    <row r="748" spans="1:16" x14ac:dyDescent="0.3">
      <c r="A748" s="72">
        <f t="shared" si="105"/>
        <v>219.5</v>
      </c>
      <c r="B748" s="74">
        <f t="shared" si="106"/>
        <v>919.97760401096195</v>
      </c>
      <c r="C748" s="74">
        <f t="shared" si="107"/>
        <v>-61000.996503760041</v>
      </c>
      <c r="D748" s="74">
        <f t="shared" si="108"/>
        <v>-8137.332931154715</v>
      </c>
      <c r="E748" s="74">
        <f t="shared" si="109"/>
        <v>-2969.8097085922504</v>
      </c>
      <c r="F748" s="74">
        <f t="shared" si="103"/>
        <v>-1013.3490460879894</v>
      </c>
      <c r="G748" s="74">
        <f t="shared" si="104"/>
        <v>5583.7538523123812</v>
      </c>
      <c r="H748" s="74">
        <f t="shared" si="110"/>
        <v>19080.022395989039</v>
      </c>
      <c r="I748" s="74">
        <f t="shared" si="111"/>
        <v>81000.996503760049</v>
      </c>
      <c r="J748" s="74">
        <f t="shared" si="112"/>
        <v>83217.838768100628</v>
      </c>
      <c r="K748" s="74">
        <f t="shared" si="113"/>
        <v>-20919.977604010961</v>
      </c>
      <c r="L748" s="74">
        <f t="shared" si="114"/>
        <v>81000.996503760049</v>
      </c>
      <c r="M748" s="74">
        <f t="shared" si="115"/>
        <v>83658.872198676385</v>
      </c>
      <c r="N748" s="74">
        <f t="shared" si="116"/>
        <v>-5919.9776040109618</v>
      </c>
      <c r="O748" s="74">
        <f t="shared" si="117"/>
        <v>26000.996503760041</v>
      </c>
      <c r="P748" s="74">
        <f t="shared" si="118"/>
        <v>26666.419970077222</v>
      </c>
    </row>
    <row r="749" spans="1:16" x14ac:dyDescent="0.3">
      <c r="A749" s="72">
        <f t="shared" si="105"/>
        <v>220</v>
      </c>
      <c r="B749" s="74">
        <f t="shared" si="106"/>
        <v>-3402.026123088393</v>
      </c>
      <c r="C749" s="74">
        <f t="shared" si="107"/>
        <v>-61089.962894978067</v>
      </c>
      <c r="D749" s="74">
        <f t="shared" si="108"/>
        <v>-8644.0074541987105</v>
      </c>
      <c r="E749" s="74">
        <f t="shared" si="109"/>
        <v>-177.93278243605982</v>
      </c>
      <c r="F749" s="74">
        <f t="shared" si="103"/>
        <v>-207.58913125272716</v>
      </c>
      <c r="G749" s="74">
        <f t="shared" si="104"/>
        <v>5841.3603157914886</v>
      </c>
      <c r="H749" s="74">
        <f t="shared" si="110"/>
        <v>23402.026123088392</v>
      </c>
      <c r="I749" s="74">
        <f t="shared" si="111"/>
        <v>81089.96289497806</v>
      </c>
      <c r="J749" s="74">
        <f t="shared" si="112"/>
        <v>84399.270784614186</v>
      </c>
      <c r="K749" s="74">
        <f t="shared" si="113"/>
        <v>-16597.973876911608</v>
      </c>
      <c r="L749" s="74">
        <f t="shared" si="114"/>
        <v>81089.96289497806</v>
      </c>
      <c r="M749" s="74">
        <f t="shared" si="115"/>
        <v>82771.21975135777</v>
      </c>
      <c r="N749" s="74">
        <f t="shared" si="116"/>
        <v>-1597.973876911607</v>
      </c>
      <c r="O749" s="74">
        <f t="shared" si="117"/>
        <v>26089.962894978067</v>
      </c>
      <c r="P749" s="74">
        <f t="shared" si="118"/>
        <v>26138.853922324601</v>
      </c>
    </row>
    <row r="750" spans="1:16" x14ac:dyDescent="0.3">
      <c r="A750" s="72">
        <f t="shared" si="105"/>
        <v>220.5</v>
      </c>
      <c r="B750" s="74">
        <f t="shared" si="106"/>
        <v>-7775.9271330009296</v>
      </c>
      <c r="C750" s="74">
        <f t="shared" si="107"/>
        <v>-59718.589207248231</v>
      </c>
      <c r="D750" s="74">
        <f t="shared" si="108"/>
        <v>-8747.8020198250742</v>
      </c>
      <c r="E750" s="74">
        <f t="shared" si="109"/>
        <v>2742.7473754596845</v>
      </c>
      <c r="F750" s="74">
        <f t="shared" si="103"/>
        <v>743.6236216798394</v>
      </c>
      <c r="G750" s="74">
        <f t="shared" si="104"/>
        <v>6238.4776768192496</v>
      </c>
      <c r="H750" s="74">
        <f t="shared" si="110"/>
        <v>27775.927133000929</v>
      </c>
      <c r="I750" s="74">
        <f t="shared" si="111"/>
        <v>79718.589207248238</v>
      </c>
      <c r="J750" s="74">
        <f t="shared" si="112"/>
        <v>84418.929117181848</v>
      </c>
      <c r="K750" s="74">
        <f t="shared" si="113"/>
        <v>-12224.072866999071</v>
      </c>
      <c r="L750" s="74">
        <f t="shared" si="114"/>
        <v>79718.589207248238</v>
      </c>
      <c r="M750" s="74">
        <f t="shared" si="115"/>
        <v>80650.365297695331</v>
      </c>
      <c r="N750" s="74">
        <f t="shared" si="116"/>
        <v>2775.9271330009296</v>
      </c>
      <c r="O750" s="74">
        <f t="shared" si="117"/>
        <v>24718.589207248231</v>
      </c>
      <c r="P750" s="74">
        <f t="shared" si="118"/>
        <v>24873.9708097525</v>
      </c>
    </row>
    <row r="751" spans="1:16" x14ac:dyDescent="0.3">
      <c r="A751" s="72">
        <f t="shared" si="105"/>
        <v>221</v>
      </c>
      <c r="B751" s="74">
        <f t="shared" si="106"/>
        <v>-11963.922237493505</v>
      </c>
      <c r="C751" s="74">
        <f t="shared" si="107"/>
        <v>-56787.596100313574</v>
      </c>
      <c r="D751" s="74">
        <f t="shared" si="108"/>
        <v>-8375.9902089851548</v>
      </c>
      <c r="E751" s="74">
        <f t="shared" si="109"/>
        <v>5861.9862138693097</v>
      </c>
      <c r="F751" s="74">
        <f t="shared" si="103"/>
        <v>2065.9001730524114</v>
      </c>
      <c r="G751" s="74">
        <f t="shared" si="104"/>
        <v>6765.4957180085321</v>
      </c>
      <c r="H751" s="74">
        <f t="shared" si="110"/>
        <v>31963.922237493505</v>
      </c>
      <c r="I751" s="74">
        <f t="shared" si="111"/>
        <v>76787.596100313574</v>
      </c>
      <c r="J751" s="74">
        <f t="shared" si="112"/>
        <v>83174.679077646128</v>
      </c>
      <c r="K751" s="74">
        <f t="shared" si="113"/>
        <v>-8036.0777625064948</v>
      </c>
      <c r="L751" s="74">
        <f t="shared" si="114"/>
        <v>76787.596100313574</v>
      </c>
      <c r="M751" s="74">
        <f t="shared" si="115"/>
        <v>77206.952152445083</v>
      </c>
      <c r="N751" s="74">
        <f t="shared" si="116"/>
        <v>6963.9222374935052</v>
      </c>
      <c r="O751" s="74">
        <f t="shared" si="117"/>
        <v>21787.596100313574</v>
      </c>
      <c r="P751" s="74">
        <f t="shared" si="118"/>
        <v>22873.468402501967</v>
      </c>
    </row>
    <row r="752" spans="1:16" x14ac:dyDescent="0.3">
      <c r="A752" s="72">
        <f t="shared" si="105"/>
        <v>221.5</v>
      </c>
      <c r="B752" s="74">
        <f t="shared" si="106"/>
        <v>-15635.442298722979</v>
      </c>
      <c r="C752" s="74">
        <f t="shared" si="107"/>
        <v>-52165.229063876788</v>
      </c>
      <c r="D752" s="74">
        <f t="shared" si="108"/>
        <v>-7343.0401224589496</v>
      </c>
      <c r="E752" s="74">
        <f t="shared" si="109"/>
        <v>9244.7340728735762</v>
      </c>
      <c r="F752" s="74">
        <f t="shared" si="103"/>
        <v>4149.1568477694846</v>
      </c>
      <c r="G752" s="74">
        <f t="shared" si="104"/>
        <v>7253.043754057544</v>
      </c>
      <c r="H752" s="74">
        <f t="shared" si="110"/>
        <v>35635.442298722977</v>
      </c>
      <c r="I752" s="74">
        <f t="shared" si="111"/>
        <v>72165.229063876788</v>
      </c>
      <c r="J752" s="74">
        <f t="shared" si="112"/>
        <v>80484.191203412251</v>
      </c>
      <c r="K752" s="74">
        <f t="shared" si="113"/>
        <v>-4364.5577012770209</v>
      </c>
      <c r="L752" s="74">
        <f t="shared" si="114"/>
        <v>72165.229063876788</v>
      </c>
      <c r="M752" s="74">
        <f t="shared" si="115"/>
        <v>72297.092955177548</v>
      </c>
      <c r="N752" s="74">
        <f t="shared" si="116"/>
        <v>10635.442298722979</v>
      </c>
      <c r="O752" s="74">
        <f t="shared" si="117"/>
        <v>17165.229063876788</v>
      </c>
      <c r="P752" s="74">
        <f t="shared" si="118"/>
        <v>20193.011704667195</v>
      </c>
    </row>
    <row r="753" spans="1:16" x14ac:dyDescent="0.3">
      <c r="A753" s="72">
        <f t="shared" si="105"/>
        <v>222</v>
      </c>
      <c r="B753" s="74">
        <f t="shared" si="106"/>
        <v>-18269.673148010083</v>
      </c>
      <c r="C753" s="74">
        <f t="shared" si="107"/>
        <v>-45729.601088925614</v>
      </c>
      <c r="D753" s="74">
        <f t="shared" si="108"/>
        <v>-5268.4616985742068</v>
      </c>
      <c r="E753" s="74">
        <f t="shared" si="109"/>
        <v>12871.255949902348</v>
      </c>
      <c r="F753" s="74">
        <f t="shared" si="103"/>
        <v>7525.8163468831708</v>
      </c>
      <c r="G753" s="74">
        <f t="shared" si="104"/>
        <v>6903.3886757698911</v>
      </c>
      <c r="H753" s="74">
        <f t="shared" si="110"/>
        <v>38269.673148010086</v>
      </c>
      <c r="I753" s="74">
        <f t="shared" si="111"/>
        <v>65729.601088925614</v>
      </c>
      <c r="J753" s="74">
        <f t="shared" si="112"/>
        <v>76058.847888755292</v>
      </c>
      <c r="K753" s="74">
        <f t="shared" si="113"/>
        <v>-1730.3268519899175</v>
      </c>
      <c r="L753" s="74">
        <f t="shared" si="114"/>
        <v>65729.601088925614</v>
      </c>
      <c r="M753" s="74">
        <f t="shared" si="115"/>
        <v>65752.37250718796</v>
      </c>
      <c r="N753" s="74">
        <f t="shared" si="116"/>
        <v>13269.673148010083</v>
      </c>
      <c r="O753" s="74">
        <f t="shared" si="117"/>
        <v>10729.601088925614</v>
      </c>
      <c r="P753" s="74">
        <f t="shared" si="118"/>
        <v>17064.834162173785</v>
      </c>
    </row>
    <row r="754" spans="1:16" x14ac:dyDescent="0.3">
      <c r="A754" s="72">
        <f t="shared" si="105"/>
        <v>222.5</v>
      </c>
      <c r="B754" s="74">
        <f t="shared" si="106"/>
        <v>-19022.449910576393</v>
      </c>
      <c r="C754" s="74">
        <f t="shared" si="107"/>
        <v>-37568.12594503197</v>
      </c>
      <c r="D754" s="74">
        <f t="shared" si="108"/>
        <v>-1505.5535251326214</v>
      </c>
      <c r="E754" s="74">
        <f t="shared" si="109"/>
        <v>16322.950287787295</v>
      </c>
      <c r="F754" s="74">
        <f t="shared" si="103"/>
        <v>11584.690236697061</v>
      </c>
      <c r="G754" s="74">
        <f t="shared" si="104"/>
        <v>3361.0617213207761</v>
      </c>
      <c r="H754" s="74">
        <f t="shared" si="110"/>
        <v>39022.449910576397</v>
      </c>
      <c r="I754" s="74">
        <f t="shared" si="111"/>
        <v>57568.12594503197</v>
      </c>
      <c r="J754" s="74">
        <f t="shared" si="112"/>
        <v>69547.399101954245</v>
      </c>
      <c r="K754" s="74">
        <f t="shared" si="113"/>
        <v>-977.55008942360655</v>
      </c>
      <c r="L754" s="74">
        <f t="shared" si="114"/>
        <v>57568.12594503197</v>
      </c>
      <c r="M754" s="74">
        <f t="shared" si="115"/>
        <v>57576.425114801932</v>
      </c>
      <c r="N754" s="74">
        <f t="shared" si="116"/>
        <v>14022.449910576393</v>
      </c>
      <c r="O754" s="74">
        <f t="shared" si="117"/>
        <v>2568.1259450319703</v>
      </c>
      <c r="P754" s="74">
        <f t="shared" si="118"/>
        <v>14255.678600619833</v>
      </c>
    </row>
    <row r="755" spans="1:16" x14ac:dyDescent="0.3">
      <c r="A755" s="72">
        <f t="shared" si="105"/>
        <v>223</v>
      </c>
      <c r="B755" s="74">
        <f t="shared" si="106"/>
        <v>-16879.054113968439</v>
      </c>
      <c r="C755" s="74">
        <f t="shared" si="107"/>
        <v>-28566.38537080813</v>
      </c>
      <c r="D755" s="74">
        <f t="shared" si="108"/>
        <v>4286.7915932159085</v>
      </c>
      <c r="E755" s="74">
        <f t="shared" si="109"/>
        <v>18003.481148447681</v>
      </c>
      <c r="F755" s="74">
        <f t="shared" si="103"/>
        <v>11078.189133651998</v>
      </c>
      <c r="G755" s="74">
        <f t="shared" si="104"/>
        <v>-3945.2615788002704</v>
      </c>
      <c r="H755" s="74">
        <f t="shared" si="110"/>
        <v>36879.054113968436</v>
      </c>
      <c r="I755" s="74">
        <f t="shared" si="111"/>
        <v>48566.38537080813</v>
      </c>
      <c r="J755" s="74">
        <f t="shared" si="112"/>
        <v>60981.62362816243</v>
      </c>
      <c r="K755" s="74">
        <f t="shared" si="113"/>
        <v>-3120.9458860315608</v>
      </c>
      <c r="L755" s="74">
        <f t="shared" si="114"/>
        <v>48566.38537080813</v>
      </c>
      <c r="M755" s="74">
        <f t="shared" si="115"/>
        <v>48666.560297697055</v>
      </c>
      <c r="N755" s="74">
        <f t="shared" si="116"/>
        <v>11879.054113968439</v>
      </c>
      <c r="O755" s="74">
        <f t="shared" si="117"/>
        <v>-6433.6146291918703</v>
      </c>
      <c r="P755" s="74">
        <f t="shared" si="118"/>
        <v>13509.379106366885</v>
      </c>
    </row>
    <row r="756" spans="1:16" x14ac:dyDescent="0.3">
      <c r="A756" s="72">
        <f t="shared" si="105"/>
        <v>223.5</v>
      </c>
      <c r="B756" s="74">
        <f t="shared" si="106"/>
        <v>-11966.111033947485</v>
      </c>
      <c r="C756" s="74">
        <f t="shared" si="107"/>
        <v>-20550.960191284357</v>
      </c>
      <c r="D756" s="74">
        <f t="shared" si="108"/>
        <v>9825.8861600419077</v>
      </c>
      <c r="E756" s="74">
        <f t="shared" si="109"/>
        <v>16030.850359047547</v>
      </c>
      <c r="F756" s="74">
        <f t="shared" si="103"/>
        <v>5009.9651216644197</v>
      </c>
      <c r="G756" s="74">
        <f t="shared" si="104"/>
        <v>-6628.8822041396043</v>
      </c>
      <c r="H756" s="74">
        <f t="shared" si="110"/>
        <v>31966.111033947484</v>
      </c>
      <c r="I756" s="74">
        <f t="shared" si="111"/>
        <v>40550.960191284357</v>
      </c>
      <c r="J756" s="74">
        <f t="shared" si="112"/>
        <v>51635.381542792806</v>
      </c>
      <c r="K756" s="74">
        <f t="shared" si="113"/>
        <v>-8033.8889660525147</v>
      </c>
      <c r="L756" s="74">
        <f t="shared" si="114"/>
        <v>40550.960191284357</v>
      </c>
      <c r="M756" s="74">
        <f t="shared" si="115"/>
        <v>41339.130909514643</v>
      </c>
      <c r="N756" s="74">
        <f t="shared" si="116"/>
        <v>6966.1110339474853</v>
      </c>
      <c r="O756" s="74">
        <f t="shared" si="117"/>
        <v>-14449.039808715643</v>
      </c>
      <c r="P756" s="74">
        <f t="shared" si="118"/>
        <v>16040.618888656829</v>
      </c>
    </row>
    <row r="757" spans="1:16" x14ac:dyDescent="0.3">
      <c r="A757" s="72">
        <f t="shared" si="105"/>
        <v>224</v>
      </c>
      <c r="B757" s="74">
        <f t="shared" si="106"/>
        <v>-5800.6766735104266</v>
      </c>
      <c r="C757" s="74">
        <f t="shared" si="107"/>
        <v>-14192.755562795486</v>
      </c>
      <c r="D757" s="74">
        <f t="shared" si="108"/>
        <v>12330.868720874118</v>
      </c>
      <c r="E757" s="74">
        <f t="shared" si="109"/>
        <v>12716.409256977744</v>
      </c>
      <c r="F757" s="74">
        <f t="shared" si="103"/>
        <v>981.63441872518104</v>
      </c>
      <c r="G757" s="74">
        <f t="shared" si="104"/>
        <v>-4039.0707637112901</v>
      </c>
      <c r="H757" s="74">
        <f t="shared" si="110"/>
        <v>25800.676673510425</v>
      </c>
      <c r="I757" s="74">
        <f t="shared" si="111"/>
        <v>34192.755562795486</v>
      </c>
      <c r="J757" s="74">
        <f t="shared" si="112"/>
        <v>42834.792514824985</v>
      </c>
      <c r="K757" s="74">
        <f t="shared" si="113"/>
        <v>-14199.323326489573</v>
      </c>
      <c r="L757" s="74">
        <f t="shared" si="114"/>
        <v>34192.755562795486</v>
      </c>
      <c r="M757" s="74">
        <f t="shared" si="115"/>
        <v>37023.847934909099</v>
      </c>
      <c r="N757" s="74">
        <f t="shared" si="116"/>
        <v>800.67667351042655</v>
      </c>
      <c r="O757" s="74">
        <f t="shared" si="117"/>
        <v>-20807.244437204514</v>
      </c>
      <c r="P757" s="74">
        <f t="shared" si="118"/>
        <v>20822.644025317291</v>
      </c>
    </row>
    <row r="758" spans="1:16" x14ac:dyDescent="0.3">
      <c r="A758" s="72">
        <f t="shared" si="105"/>
        <v>224.5</v>
      </c>
      <c r="B758" s="74">
        <f t="shared" si="106"/>
        <v>610.16629160792752</v>
      </c>
      <c r="C758" s="74">
        <f t="shared" si="107"/>
        <v>-8844.3186252344367</v>
      </c>
      <c r="D758" s="74">
        <f t="shared" si="108"/>
        <v>12821.685930236708</v>
      </c>
      <c r="E758" s="74">
        <f t="shared" si="109"/>
        <v>10696.873875122099</v>
      </c>
      <c r="F758" s="74">
        <f t="shared" ref="F758:F821" si="119">$C$23*(H758/(J758^2+$C$24^2)^1.5)+$C$32*(K758/(M758^2+$C$33^2)^1.5)+C$41*(N758/(P758^2+$C$42^2)^1.5)</f>
        <v>-212.77884076683927</v>
      </c>
      <c r="G758" s="74">
        <f t="shared" ref="G758:G821" si="120">$C$23*(I758/(J758^2+$C$24^2)^1.5)+$C$32*(L758/(M758^2+$C$33^2)^1.5)+C$41*(O758/(P758^2+$C$42^2)^1.5)</f>
        <v>-860.76157038880501</v>
      </c>
      <c r="H758" s="74">
        <f t="shared" si="110"/>
        <v>19389.833708392074</v>
      </c>
      <c r="I758" s="74">
        <f t="shared" si="111"/>
        <v>28844.318625234439</v>
      </c>
      <c r="J758" s="74">
        <f t="shared" si="112"/>
        <v>34755.724250735213</v>
      </c>
      <c r="K758" s="74">
        <f t="shared" si="113"/>
        <v>-20610.166291607926</v>
      </c>
      <c r="L758" s="74">
        <f t="shared" si="114"/>
        <v>28844.318625234439</v>
      </c>
      <c r="M758" s="74">
        <f t="shared" si="115"/>
        <v>35451.003815432057</v>
      </c>
      <c r="N758" s="74">
        <f t="shared" si="116"/>
        <v>-5610.1662916079276</v>
      </c>
      <c r="O758" s="74">
        <f t="shared" si="117"/>
        <v>-26155.681374765561</v>
      </c>
      <c r="P758" s="74">
        <f t="shared" si="118"/>
        <v>26750.581937553285</v>
      </c>
    </row>
    <row r="759" spans="1:16" x14ac:dyDescent="0.3">
      <c r="A759" s="72">
        <f t="shared" ref="A759:A822" si="121">A758+$C$5</f>
        <v>225</v>
      </c>
      <c r="B759" s="74">
        <f t="shared" ref="B759:B822" si="122">B758+D758*(A759-A758)+F758*(A759-A758)^2</f>
        <v>6967.8145465345724</v>
      </c>
      <c r="C759" s="74">
        <f t="shared" ref="C759:C822" si="123">C758+E758*(A759-A758)+G758*(A759-A758)^2</f>
        <v>-3711.0720802705882</v>
      </c>
      <c r="D759" s="74">
        <f t="shared" ref="D759:D822" si="124">D758+F758*(A759-A758)</f>
        <v>12715.29650985329</v>
      </c>
      <c r="E759" s="74">
        <f t="shared" ref="E759:E822" si="125">E758+G758*(A759-A758)</f>
        <v>10266.493089927697</v>
      </c>
      <c r="F759" s="74">
        <f t="shared" si="119"/>
        <v>-60.267562315027362</v>
      </c>
      <c r="G759" s="74">
        <f t="shared" si="120"/>
        <v>2092.1995816243607</v>
      </c>
      <c r="H759" s="74">
        <f t="shared" ref="H759:H822" si="126">$C$19-B759</f>
        <v>13032.185453465427</v>
      </c>
      <c r="I759" s="74">
        <f t="shared" ref="I759:I822" si="127">$D$19-C759</f>
        <v>23711.072080270587</v>
      </c>
      <c r="J759" s="74">
        <f t="shared" ref="J759:J822" si="128">SQRT(H759^2+I759^2)</f>
        <v>27056.474213934514</v>
      </c>
      <c r="K759" s="74">
        <f t="shared" ref="K759:K822" si="129">$C$28-B759</f>
        <v>-26967.814546534573</v>
      </c>
      <c r="L759" s="74">
        <f t="shared" ref="L759:L822" si="130">$D$28-C759</f>
        <v>23711.072080270587</v>
      </c>
      <c r="M759" s="74">
        <f t="shared" ref="M759:M822" si="131">SQRT(K759^2+L759^2)</f>
        <v>35909.30186751156</v>
      </c>
      <c r="N759" s="74">
        <f t="shared" ref="N759:N822" si="132">$C$37-B759</f>
        <v>-11967.814546534573</v>
      </c>
      <c r="O759" s="74">
        <f t="shared" ref="O759:O822" si="133">$D$37-C759</f>
        <v>-31288.927919729413</v>
      </c>
      <c r="P759" s="74">
        <f t="shared" ref="P759:P822" si="134">SQRT(N759^2+O759^2)</f>
        <v>33499.635750053567</v>
      </c>
    </row>
    <row r="760" spans="1:16" x14ac:dyDescent="0.3">
      <c r="A760" s="72">
        <f t="shared" si="121"/>
        <v>225.5</v>
      </c>
      <c r="B760" s="74">
        <f t="shared" si="122"/>
        <v>13310.39591088246</v>
      </c>
      <c r="C760" s="74">
        <f t="shared" si="123"/>
        <v>1945.2243600993504</v>
      </c>
      <c r="D760" s="74">
        <f t="shared" si="124"/>
        <v>12685.162728695776</v>
      </c>
      <c r="E760" s="74">
        <f t="shared" si="125"/>
        <v>11312.592880739878</v>
      </c>
      <c r="F760" s="74">
        <f t="shared" si="119"/>
        <v>509.30377672591646</v>
      </c>
      <c r="G760" s="74">
        <f t="shared" si="120"/>
        <v>6045.7910309286553</v>
      </c>
      <c r="H760" s="74">
        <f t="shared" si="126"/>
        <v>6689.6040891175398</v>
      </c>
      <c r="I760" s="74">
        <f t="shared" si="127"/>
        <v>18054.77563990065</v>
      </c>
      <c r="J760" s="74">
        <f t="shared" si="128"/>
        <v>19254.239176770607</v>
      </c>
      <c r="K760" s="74">
        <f t="shared" si="129"/>
        <v>-33310.395910882464</v>
      </c>
      <c r="L760" s="74">
        <f t="shared" si="130"/>
        <v>18054.77563990065</v>
      </c>
      <c r="M760" s="74">
        <f t="shared" si="131"/>
        <v>37888.750298035498</v>
      </c>
      <c r="N760" s="74">
        <f t="shared" si="132"/>
        <v>-18310.39591088246</v>
      </c>
      <c r="O760" s="74">
        <f t="shared" si="133"/>
        <v>-36945.224360099353</v>
      </c>
      <c r="P760" s="74">
        <f t="shared" si="134"/>
        <v>41233.72650429912</v>
      </c>
    </row>
    <row r="761" spans="1:16" x14ac:dyDescent="0.3">
      <c r="A761" s="72">
        <f t="shared" si="121"/>
        <v>226</v>
      </c>
      <c r="B761" s="74">
        <f t="shared" si="122"/>
        <v>19780.303219411828</v>
      </c>
      <c r="C761" s="74">
        <f t="shared" si="123"/>
        <v>9112.9685582014536</v>
      </c>
      <c r="D761" s="74">
        <f t="shared" si="124"/>
        <v>12939.814617058733</v>
      </c>
      <c r="E761" s="74">
        <f t="shared" si="125"/>
        <v>14335.488396204206</v>
      </c>
      <c r="F761" s="74">
        <f t="shared" si="119"/>
        <v>-1622.3846932670949</v>
      </c>
      <c r="G761" s="74">
        <f t="shared" si="120"/>
        <v>13080.222364695317</v>
      </c>
      <c r="H761" s="74">
        <f t="shared" si="126"/>
        <v>219.69678058817226</v>
      </c>
      <c r="I761" s="74">
        <f t="shared" si="127"/>
        <v>10887.031441798546</v>
      </c>
      <c r="J761" s="74">
        <f t="shared" si="128"/>
        <v>10889.24792123455</v>
      </c>
      <c r="K761" s="74">
        <f t="shared" si="129"/>
        <v>-39780.303219411828</v>
      </c>
      <c r="L761" s="74">
        <f t="shared" si="130"/>
        <v>10887.031441798546</v>
      </c>
      <c r="M761" s="74">
        <f t="shared" si="131"/>
        <v>41243.180985989151</v>
      </c>
      <c r="N761" s="74">
        <f t="shared" si="132"/>
        <v>-24780.303219411828</v>
      </c>
      <c r="O761" s="74">
        <f t="shared" si="133"/>
        <v>-44112.96855820145</v>
      </c>
      <c r="P761" s="74">
        <f t="shared" si="134"/>
        <v>50596.614735205971</v>
      </c>
    </row>
    <row r="762" spans="1:16" x14ac:dyDescent="0.3">
      <c r="A762" s="72">
        <f t="shared" si="121"/>
        <v>226.5</v>
      </c>
      <c r="B762" s="74">
        <f t="shared" si="122"/>
        <v>25844.61435462442</v>
      </c>
      <c r="C762" s="74">
        <f t="shared" si="123"/>
        <v>19550.768347477388</v>
      </c>
      <c r="D762" s="74">
        <f t="shared" si="124"/>
        <v>12128.622270425185</v>
      </c>
      <c r="E762" s="74">
        <f t="shared" si="125"/>
        <v>20875.599578551864</v>
      </c>
      <c r="F762" s="74">
        <f t="shared" si="119"/>
        <v>-17200.241801927266</v>
      </c>
      <c r="G762" s="74">
        <f t="shared" si="120"/>
        <v>323.67720842304368</v>
      </c>
      <c r="H762" s="74">
        <f t="shared" si="126"/>
        <v>-5844.6143546244202</v>
      </c>
      <c r="I762" s="74">
        <f t="shared" si="127"/>
        <v>449.23165252261242</v>
      </c>
      <c r="J762" s="74">
        <f t="shared" si="128"/>
        <v>5861.8534638721585</v>
      </c>
      <c r="K762" s="74">
        <f t="shared" si="129"/>
        <v>-45844.61435462442</v>
      </c>
      <c r="L762" s="74">
        <f t="shared" si="130"/>
        <v>449.23165252261242</v>
      </c>
      <c r="M762" s="74">
        <f t="shared" si="131"/>
        <v>45846.815313627441</v>
      </c>
      <c r="N762" s="74">
        <f t="shared" si="132"/>
        <v>-30844.61435462442</v>
      </c>
      <c r="O762" s="74">
        <f t="shared" si="133"/>
        <v>-54550.768347477388</v>
      </c>
      <c r="P762" s="74">
        <f t="shared" si="134"/>
        <v>62667.188878915287</v>
      </c>
    </row>
    <row r="763" spans="1:16" x14ac:dyDescent="0.3">
      <c r="A763" s="72">
        <f t="shared" si="121"/>
        <v>227</v>
      </c>
      <c r="B763" s="74">
        <f t="shared" si="122"/>
        <v>27608.865039355194</v>
      </c>
      <c r="C763" s="74">
        <f t="shared" si="123"/>
        <v>30069.48743885908</v>
      </c>
      <c r="D763" s="74">
        <f t="shared" si="124"/>
        <v>3528.5013694615518</v>
      </c>
      <c r="E763" s="74">
        <f t="shared" si="125"/>
        <v>21037.438182763388</v>
      </c>
      <c r="F763" s="74">
        <f t="shared" si="119"/>
        <v>-8829.4399244897431</v>
      </c>
      <c r="G763" s="74">
        <f t="shared" si="120"/>
        <v>-10969.700154902195</v>
      </c>
      <c r="H763" s="74">
        <f t="shared" si="126"/>
        <v>-7608.8650393551943</v>
      </c>
      <c r="I763" s="74">
        <f t="shared" si="127"/>
        <v>-10069.48743885908</v>
      </c>
      <c r="J763" s="74">
        <f t="shared" si="128"/>
        <v>12620.990629441991</v>
      </c>
      <c r="K763" s="74">
        <f t="shared" si="129"/>
        <v>-47608.865039355194</v>
      </c>
      <c r="L763" s="74">
        <f t="shared" si="130"/>
        <v>-10069.48743885908</v>
      </c>
      <c r="M763" s="74">
        <f t="shared" si="131"/>
        <v>48662.085935735202</v>
      </c>
      <c r="N763" s="74">
        <f t="shared" si="132"/>
        <v>-32608.865039355194</v>
      </c>
      <c r="O763" s="74">
        <f t="shared" si="133"/>
        <v>-65069.487438859083</v>
      </c>
      <c r="P763" s="74">
        <f t="shared" si="134"/>
        <v>72783.076842839786</v>
      </c>
    </row>
    <row r="764" spans="1:16" x14ac:dyDescent="0.3">
      <c r="A764" s="72">
        <f t="shared" si="121"/>
        <v>227.5</v>
      </c>
      <c r="B764" s="74">
        <f t="shared" si="122"/>
        <v>27165.755742963534</v>
      </c>
      <c r="C764" s="74">
        <f t="shared" si="123"/>
        <v>37845.781491515227</v>
      </c>
      <c r="D764" s="74">
        <f t="shared" si="124"/>
        <v>-886.21859278331976</v>
      </c>
      <c r="E764" s="74">
        <f t="shared" si="125"/>
        <v>15552.58810531229</v>
      </c>
      <c r="F764" s="74">
        <f t="shared" si="119"/>
        <v>-3968.0305005932628</v>
      </c>
      <c r="G764" s="74">
        <f t="shared" si="120"/>
        <v>-8218.3057466289083</v>
      </c>
      <c r="H764" s="74">
        <f t="shared" si="126"/>
        <v>-7165.7557429635344</v>
      </c>
      <c r="I764" s="74">
        <f t="shared" si="127"/>
        <v>-17845.781491515227</v>
      </c>
      <c r="J764" s="74">
        <f t="shared" si="128"/>
        <v>19230.703897952419</v>
      </c>
      <c r="K764" s="74">
        <f t="shared" si="129"/>
        <v>-47165.755742963534</v>
      </c>
      <c r="L764" s="74">
        <f t="shared" si="130"/>
        <v>-17845.781491515227</v>
      </c>
      <c r="M764" s="74">
        <f t="shared" si="131"/>
        <v>50428.964215496286</v>
      </c>
      <c r="N764" s="74">
        <f t="shared" si="132"/>
        <v>-32165.755742963534</v>
      </c>
      <c r="O764" s="74">
        <f t="shared" si="133"/>
        <v>-72845.781491515227</v>
      </c>
      <c r="P764" s="74">
        <f t="shared" si="134"/>
        <v>79631.298643344839</v>
      </c>
    </row>
    <row r="765" spans="1:16" x14ac:dyDescent="0.3">
      <c r="A765" s="72">
        <f t="shared" si="121"/>
        <v>228</v>
      </c>
      <c r="B765" s="74">
        <f t="shared" si="122"/>
        <v>25730.638821423559</v>
      </c>
      <c r="C765" s="74">
        <f t="shared" si="123"/>
        <v>43567.499107514144</v>
      </c>
      <c r="D765" s="74">
        <f t="shared" si="124"/>
        <v>-2870.2338430799509</v>
      </c>
      <c r="E765" s="74">
        <f t="shared" si="125"/>
        <v>11443.435231997835</v>
      </c>
      <c r="F765" s="74">
        <f t="shared" si="119"/>
        <v>-2234.2728037178463</v>
      </c>
      <c r="G765" s="74">
        <f t="shared" si="120"/>
        <v>-6362.1080583031699</v>
      </c>
      <c r="H765" s="74">
        <f t="shared" si="126"/>
        <v>-5730.6388214235594</v>
      </c>
      <c r="I765" s="74">
        <f t="shared" si="127"/>
        <v>-23567.499107514144</v>
      </c>
      <c r="J765" s="74">
        <f t="shared" si="128"/>
        <v>24254.22098283692</v>
      </c>
      <c r="K765" s="74">
        <f t="shared" si="129"/>
        <v>-45730.638821423563</v>
      </c>
      <c r="L765" s="74">
        <f t="shared" si="130"/>
        <v>-23567.499107514144</v>
      </c>
      <c r="M765" s="74">
        <f t="shared" si="131"/>
        <v>51446.26654285199</v>
      </c>
      <c r="N765" s="74">
        <f t="shared" si="132"/>
        <v>-30730.638821423559</v>
      </c>
      <c r="O765" s="74">
        <f t="shared" si="133"/>
        <v>-78567.499107514144</v>
      </c>
      <c r="P765" s="74">
        <f t="shared" si="134"/>
        <v>84363.641922228679</v>
      </c>
    </row>
    <row r="766" spans="1:16" x14ac:dyDescent="0.3">
      <c r="A766" s="72">
        <f t="shared" si="121"/>
        <v>228.5</v>
      </c>
      <c r="B766" s="74">
        <f t="shared" si="122"/>
        <v>23736.953698954123</v>
      </c>
      <c r="C766" s="74">
        <f t="shared" si="123"/>
        <v>47698.689708937272</v>
      </c>
      <c r="D766" s="74">
        <f t="shared" si="124"/>
        <v>-3987.3702449388738</v>
      </c>
      <c r="E766" s="74">
        <f t="shared" si="125"/>
        <v>8262.3812028462507</v>
      </c>
      <c r="F766" s="74">
        <f t="shared" si="119"/>
        <v>-1426.8732554391381</v>
      </c>
      <c r="G766" s="74">
        <f t="shared" si="120"/>
        <v>-5355.0868605716205</v>
      </c>
      <c r="H766" s="74">
        <f t="shared" si="126"/>
        <v>-3736.953698954123</v>
      </c>
      <c r="I766" s="74">
        <f t="shared" si="127"/>
        <v>-27698.689708937272</v>
      </c>
      <c r="J766" s="74">
        <f t="shared" si="128"/>
        <v>27949.637467060544</v>
      </c>
      <c r="K766" s="74">
        <f t="shared" si="129"/>
        <v>-43736.953698954123</v>
      </c>
      <c r="L766" s="74">
        <f t="shared" si="130"/>
        <v>-27698.689708937272</v>
      </c>
      <c r="M766" s="74">
        <f t="shared" si="131"/>
        <v>51770.054379500551</v>
      </c>
      <c r="N766" s="74">
        <f t="shared" si="132"/>
        <v>-28736.953698954123</v>
      </c>
      <c r="O766" s="74">
        <f t="shared" si="133"/>
        <v>-82698.68970893728</v>
      </c>
      <c r="P766" s="74">
        <f t="shared" si="134"/>
        <v>87549.333449609549</v>
      </c>
    </row>
    <row r="767" spans="1:16" x14ac:dyDescent="0.3">
      <c r="A767" s="72">
        <f t="shared" si="121"/>
        <v>229</v>
      </c>
      <c r="B767" s="74">
        <f t="shared" si="122"/>
        <v>21386.550262624904</v>
      </c>
      <c r="C767" s="74">
        <f t="shared" si="123"/>
        <v>50491.108595217498</v>
      </c>
      <c r="D767" s="74">
        <f t="shared" si="124"/>
        <v>-4700.8068726584424</v>
      </c>
      <c r="E767" s="74">
        <f t="shared" si="125"/>
        <v>5584.8377725604405</v>
      </c>
      <c r="F767" s="74">
        <f t="shared" si="119"/>
        <v>-957.12403127110588</v>
      </c>
      <c r="G767" s="74">
        <f t="shared" si="120"/>
        <v>-4809.757832782926</v>
      </c>
      <c r="H767" s="74">
        <f t="shared" si="126"/>
        <v>-1386.5502626249036</v>
      </c>
      <c r="I767" s="74">
        <f t="shared" si="127"/>
        <v>-30491.108595217498</v>
      </c>
      <c r="J767" s="74">
        <f t="shared" si="128"/>
        <v>30522.618252635726</v>
      </c>
      <c r="K767" s="74">
        <f t="shared" si="129"/>
        <v>-41386.550262624907</v>
      </c>
      <c r="L767" s="74">
        <f t="shared" si="130"/>
        <v>-30491.108595217498</v>
      </c>
      <c r="M767" s="74">
        <f t="shared" si="131"/>
        <v>51405.780278156701</v>
      </c>
      <c r="N767" s="74">
        <f t="shared" si="132"/>
        <v>-26386.550262624904</v>
      </c>
      <c r="O767" s="74">
        <f t="shared" si="133"/>
        <v>-85491.108595217491</v>
      </c>
      <c r="P767" s="74">
        <f t="shared" si="134"/>
        <v>89470.55204703557</v>
      </c>
    </row>
    <row r="768" spans="1:16" x14ac:dyDescent="0.3">
      <c r="A768" s="72">
        <f t="shared" si="121"/>
        <v>229.5</v>
      </c>
      <c r="B768" s="74">
        <f t="shared" si="122"/>
        <v>18796.865818477909</v>
      </c>
      <c r="C768" s="74">
        <f t="shared" si="123"/>
        <v>52081.088023301985</v>
      </c>
      <c r="D768" s="74">
        <f t="shared" si="124"/>
        <v>-5179.368888293995</v>
      </c>
      <c r="E768" s="74">
        <f t="shared" si="125"/>
        <v>3179.9588561689775</v>
      </c>
      <c r="F768" s="74">
        <f t="shared" si="119"/>
        <v>-628.67714205652874</v>
      </c>
      <c r="G768" s="74">
        <f t="shared" si="120"/>
        <v>-4540.9603526734008</v>
      </c>
      <c r="H768" s="74">
        <f t="shared" si="126"/>
        <v>1203.1341815220912</v>
      </c>
      <c r="I768" s="74">
        <f t="shared" si="127"/>
        <v>-32081.088023301985</v>
      </c>
      <c r="J768" s="74">
        <f t="shared" si="128"/>
        <v>32103.640613139141</v>
      </c>
      <c r="K768" s="74">
        <f t="shared" si="129"/>
        <v>-38796.865818477905</v>
      </c>
      <c r="L768" s="74">
        <f t="shared" si="130"/>
        <v>-32081.088023301985</v>
      </c>
      <c r="M768" s="74">
        <f t="shared" si="131"/>
        <v>50342.755249348731</v>
      </c>
      <c r="N768" s="74">
        <f t="shared" si="132"/>
        <v>-23796.865818477909</v>
      </c>
      <c r="O768" s="74">
        <f t="shared" si="133"/>
        <v>-87081.088023301985</v>
      </c>
      <c r="P768" s="74">
        <f t="shared" si="134"/>
        <v>90274.064459869711</v>
      </c>
    </row>
    <row r="769" spans="1:16" x14ac:dyDescent="0.3">
      <c r="A769" s="72">
        <f t="shared" si="121"/>
        <v>230</v>
      </c>
      <c r="B769" s="74">
        <f t="shared" si="122"/>
        <v>16050.012088816778</v>
      </c>
      <c r="C769" s="74">
        <f t="shared" si="123"/>
        <v>52535.827363218123</v>
      </c>
      <c r="D769" s="74">
        <f t="shared" si="124"/>
        <v>-5493.7074593222596</v>
      </c>
      <c r="E769" s="74">
        <f t="shared" si="125"/>
        <v>909.47867983227707</v>
      </c>
      <c r="F769" s="74">
        <f t="shared" si="119"/>
        <v>-355.96276265033566</v>
      </c>
      <c r="G769" s="74">
        <f t="shared" si="120"/>
        <v>-4465.8862598897922</v>
      </c>
      <c r="H769" s="74">
        <f t="shared" si="126"/>
        <v>3949.9879111832215</v>
      </c>
      <c r="I769" s="74">
        <f t="shared" si="127"/>
        <v>-32535.827363218123</v>
      </c>
      <c r="J769" s="74">
        <f t="shared" si="128"/>
        <v>32774.722984452921</v>
      </c>
      <c r="K769" s="74">
        <f t="shared" si="129"/>
        <v>-36050.01208881678</v>
      </c>
      <c r="L769" s="74">
        <f t="shared" si="130"/>
        <v>-32535.827363218123</v>
      </c>
      <c r="M769" s="74">
        <f t="shared" si="131"/>
        <v>48561.13089511991</v>
      </c>
      <c r="N769" s="74">
        <f t="shared" si="132"/>
        <v>-21050.01208881678</v>
      </c>
      <c r="O769" s="74">
        <f t="shared" si="133"/>
        <v>-87535.827363218123</v>
      </c>
      <c r="P769" s="74">
        <f t="shared" si="134"/>
        <v>90031.239473320922</v>
      </c>
    </row>
    <row r="770" spans="1:16" x14ac:dyDescent="0.3">
      <c r="A770" s="72">
        <f t="shared" si="121"/>
        <v>230.5</v>
      </c>
      <c r="B770" s="74">
        <f t="shared" si="122"/>
        <v>13214.167668493064</v>
      </c>
      <c r="C770" s="74">
        <f t="shared" si="123"/>
        <v>51874.095138161814</v>
      </c>
      <c r="D770" s="74">
        <f t="shared" si="124"/>
        <v>-5671.6888406474272</v>
      </c>
      <c r="E770" s="74">
        <f t="shared" si="125"/>
        <v>-1323.464450112619</v>
      </c>
      <c r="F770" s="74">
        <f t="shared" si="119"/>
        <v>-87.783500786918268</v>
      </c>
      <c r="G770" s="74">
        <f t="shared" si="120"/>
        <v>-4551.3921082939278</v>
      </c>
      <c r="H770" s="74">
        <f t="shared" si="126"/>
        <v>6785.8323315069356</v>
      </c>
      <c r="I770" s="74">
        <f t="shared" si="127"/>
        <v>-31874.095138161814</v>
      </c>
      <c r="J770" s="74">
        <f t="shared" si="128"/>
        <v>32588.425265850379</v>
      </c>
      <c r="K770" s="74">
        <f t="shared" si="129"/>
        <v>-33214.167668493064</v>
      </c>
      <c r="L770" s="74">
        <f t="shared" si="130"/>
        <v>-31874.095138161814</v>
      </c>
      <c r="M770" s="74">
        <f t="shared" si="131"/>
        <v>46034.105560848693</v>
      </c>
      <c r="N770" s="74">
        <f t="shared" si="132"/>
        <v>-18214.167668493064</v>
      </c>
      <c r="O770" s="74">
        <f t="shared" si="133"/>
        <v>-86874.095138161822</v>
      </c>
      <c r="P770" s="74">
        <f t="shared" si="134"/>
        <v>88762.966995985262</v>
      </c>
    </row>
    <row r="771" spans="1:16" x14ac:dyDescent="0.3">
      <c r="A771" s="72">
        <f t="shared" si="121"/>
        <v>231</v>
      </c>
      <c r="B771" s="74">
        <f t="shared" si="122"/>
        <v>10356.37737297262</v>
      </c>
      <c r="C771" s="74">
        <f t="shared" si="123"/>
        <v>50074.514886032026</v>
      </c>
      <c r="D771" s="74">
        <f t="shared" si="124"/>
        <v>-5715.5805910408862</v>
      </c>
      <c r="E771" s="74">
        <f t="shared" si="125"/>
        <v>-3599.1605042595829</v>
      </c>
      <c r="F771" s="74">
        <f t="shared" si="119"/>
        <v>221.1042493789997</v>
      </c>
      <c r="G771" s="74">
        <f t="shared" si="120"/>
        <v>-4790.6160629769211</v>
      </c>
      <c r="H771" s="74">
        <f t="shared" si="126"/>
        <v>9643.6226270273801</v>
      </c>
      <c r="I771" s="74">
        <f t="shared" si="127"/>
        <v>-30074.514886032026</v>
      </c>
      <c r="J771" s="74">
        <f t="shared" si="128"/>
        <v>31582.841908268427</v>
      </c>
      <c r="K771" s="74">
        <f t="shared" si="129"/>
        <v>-30356.37737297262</v>
      </c>
      <c r="L771" s="74">
        <f t="shared" si="130"/>
        <v>-30074.514886032026</v>
      </c>
      <c r="M771" s="74">
        <f t="shared" si="131"/>
        <v>42731.558511719253</v>
      </c>
      <c r="N771" s="74">
        <f t="shared" si="132"/>
        <v>-15356.37737297262</v>
      </c>
      <c r="O771" s="74">
        <f t="shared" si="133"/>
        <v>-85074.514886032033</v>
      </c>
      <c r="P771" s="74">
        <f t="shared" si="134"/>
        <v>86449.357482371328</v>
      </c>
    </row>
    <row r="772" spans="1:16" x14ac:dyDescent="0.3">
      <c r="A772" s="72">
        <f t="shared" si="121"/>
        <v>231.5</v>
      </c>
      <c r="B772" s="74">
        <f t="shared" si="122"/>
        <v>7553.8631397969275</v>
      </c>
      <c r="C772" s="74">
        <f t="shared" si="123"/>
        <v>47077.280618158009</v>
      </c>
      <c r="D772" s="74">
        <f t="shared" si="124"/>
        <v>-5605.0284663513867</v>
      </c>
      <c r="E772" s="74">
        <f t="shared" si="125"/>
        <v>-5994.468535748043</v>
      </c>
      <c r="F772" s="74">
        <f t="shared" si="119"/>
        <v>626.22752864394909</v>
      </c>
      <c r="G772" s="74">
        <f t="shared" si="120"/>
        <v>-5185.2801263162964</v>
      </c>
      <c r="H772" s="74">
        <f t="shared" si="126"/>
        <v>12446.136860203073</v>
      </c>
      <c r="I772" s="74">
        <f t="shared" si="127"/>
        <v>-27077.280618158009</v>
      </c>
      <c r="J772" s="74">
        <f t="shared" si="128"/>
        <v>29800.76254758225</v>
      </c>
      <c r="K772" s="74">
        <f t="shared" si="129"/>
        <v>-27553.863139796929</v>
      </c>
      <c r="L772" s="74">
        <f t="shared" si="130"/>
        <v>-27077.280618158009</v>
      </c>
      <c r="M772" s="74">
        <f t="shared" si="131"/>
        <v>38631.522097907757</v>
      </c>
      <c r="N772" s="74">
        <f t="shared" si="132"/>
        <v>-12553.863139796927</v>
      </c>
      <c r="O772" s="74">
        <f t="shared" si="133"/>
        <v>-82077.280618158009</v>
      </c>
      <c r="P772" s="74">
        <f t="shared" si="134"/>
        <v>83031.797965626451</v>
      </c>
    </row>
    <row r="773" spans="1:16" x14ac:dyDescent="0.3">
      <c r="A773" s="72">
        <f t="shared" si="121"/>
        <v>232</v>
      </c>
      <c r="B773" s="74">
        <f t="shared" si="122"/>
        <v>4907.9057887822219</v>
      </c>
      <c r="C773" s="74">
        <f t="shared" si="123"/>
        <v>42783.72631870491</v>
      </c>
      <c r="D773" s="74">
        <f t="shared" si="124"/>
        <v>-5291.9147020294122</v>
      </c>
      <c r="E773" s="74">
        <f t="shared" si="125"/>
        <v>-8587.1085989061903</v>
      </c>
      <c r="F773" s="74">
        <f t="shared" si="119"/>
        <v>1201.6717976592261</v>
      </c>
      <c r="G773" s="74">
        <f t="shared" si="120"/>
        <v>-5702.4721852935445</v>
      </c>
      <c r="H773" s="74">
        <f t="shared" si="126"/>
        <v>15092.094211217778</v>
      </c>
      <c r="I773" s="74">
        <f t="shared" si="127"/>
        <v>-22783.72631870491</v>
      </c>
      <c r="J773" s="74">
        <f t="shared" si="128"/>
        <v>27328.913125953619</v>
      </c>
      <c r="K773" s="74">
        <f t="shared" si="129"/>
        <v>-24907.90578878222</v>
      </c>
      <c r="L773" s="74">
        <f t="shared" si="130"/>
        <v>-22783.72631870491</v>
      </c>
      <c r="M773" s="74">
        <f t="shared" si="131"/>
        <v>33756.509827713198</v>
      </c>
      <c r="N773" s="74">
        <f t="shared" si="132"/>
        <v>-9907.9057887822219</v>
      </c>
      <c r="O773" s="74">
        <f t="shared" si="133"/>
        <v>-77783.72631870491</v>
      </c>
      <c r="P773" s="74">
        <f t="shared" si="134"/>
        <v>78412.210000372841</v>
      </c>
    </row>
    <row r="774" spans="1:16" x14ac:dyDescent="0.3">
      <c r="A774" s="72">
        <f t="shared" si="121"/>
        <v>232.5</v>
      </c>
      <c r="B774" s="74">
        <f t="shared" si="122"/>
        <v>2562.3663871823223</v>
      </c>
      <c r="C774" s="74">
        <f t="shared" si="123"/>
        <v>37064.553972928428</v>
      </c>
      <c r="D774" s="74">
        <f t="shared" si="124"/>
        <v>-4691.078803199799</v>
      </c>
      <c r="E774" s="74">
        <f t="shared" si="125"/>
        <v>-11438.344691552962</v>
      </c>
      <c r="F774" s="74">
        <f t="shared" si="119"/>
        <v>1998.8218436675684</v>
      </c>
      <c r="G774" s="74">
        <f t="shared" si="120"/>
        <v>-6110.7084148390486</v>
      </c>
      <c r="H774" s="74">
        <f t="shared" si="126"/>
        <v>17437.633612817677</v>
      </c>
      <c r="I774" s="74">
        <f t="shared" si="127"/>
        <v>-17064.553972928428</v>
      </c>
      <c r="J774" s="74">
        <f t="shared" si="128"/>
        <v>24398.157067898719</v>
      </c>
      <c r="K774" s="74">
        <f t="shared" si="129"/>
        <v>-22562.366387182323</v>
      </c>
      <c r="L774" s="74">
        <f t="shared" si="130"/>
        <v>-17064.553972928428</v>
      </c>
      <c r="M774" s="74">
        <f t="shared" si="131"/>
        <v>28288.856097135529</v>
      </c>
      <c r="N774" s="74">
        <f t="shared" si="132"/>
        <v>-7562.3663871823228</v>
      </c>
      <c r="O774" s="74">
        <f t="shared" si="133"/>
        <v>-72064.553972928436</v>
      </c>
      <c r="P774" s="74">
        <f t="shared" si="134"/>
        <v>72460.260313437335</v>
      </c>
    </row>
    <row r="775" spans="1:16" x14ac:dyDescent="0.3">
      <c r="A775" s="72">
        <f t="shared" si="121"/>
        <v>233</v>
      </c>
      <c r="B775" s="74">
        <f t="shared" si="122"/>
        <v>716.53244649931491</v>
      </c>
      <c r="C775" s="74">
        <f t="shared" si="123"/>
        <v>29817.704523442186</v>
      </c>
      <c r="D775" s="74">
        <f t="shared" si="124"/>
        <v>-3691.6678813660146</v>
      </c>
      <c r="E775" s="74">
        <f t="shared" si="125"/>
        <v>-14493.698898972487</v>
      </c>
      <c r="F775" s="74">
        <f t="shared" si="119"/>
        <v>2775.5273493321943</v>
      </c>
      <c r="G775" s="74">
        <f t="shared" si="120"/>
        <v>-5458.4514462526904</v>
      </c>
      <c r="H775" s="74">
        <f t="shared" si="126"/>
        <v>19283.467553500686</v>
      </c>
      <c r="I775" s="74">
        <f t="shared" si="127"/>
        <v>-9817.7045234421857</v>
      </c>
      <c r="J775" s="74">
        <f t="shared" si="128"/>
        <v>21638.841073323008</v>
      </c>
      <c r="K775" s="74">
        <f t="shared" si="129"/>
        <v>-20716.532446499314</v>
      </c>
      <c r="L775" s="74">
        <f t="shared" si="130"/>
        <v>-9817.7045234421857</v>
      </c>
      <c r="M775" s="74">
        <f t="shared" si="131"/>
        <v>22925.139884338241</v>
      </c>
      <c r="N775" s="74">
        <f t="shared" si="132"/>
        <v>-5716.5324464993146</v>
      </c>
      <c r="O775" s="74">
        <f t="shared" si="133"/>
        <v>-64817.704523442182</v>
      </c>
      <c r="P775" s="74">
        <f t="shared" si="134"/>
        <v>65069.298158963851</v>
      </c>
    </row>
    <row r="776" spans="1:16" x14ac:dyDescent="0.3">
      <c r="A776" s="72">
        <f t="shared" si="121"/>
        <v>233.5</v>
      </c>
      <c r="B776" s="74">
        <f t="shared" si="122"/>
        <v>-435.41965685064372</v>
      </c>
      <c r="C776" s="74">
        <f t="shared" si="123"/>
        <v>21206.242212392772</v>
      </c>
      <c r="D776" s="74">
        <f t="shared" si="124"/>
        <v>-2303.9042066999173</v>
      </c>
      <c r="E776" s="74">
        <f t="shared" si="125"/>
        <v>-17222.924622098832</v>
      </c>
      <c r="F776" s="74">
        <f t="shared" si="119"/>
        <v>2715.0254012039491</v>
      </c>
      <c r="G776" s="74">
        <f t="shared" si="120"/>
        <v>-1953.2090686880999</v>
      </c>
      <c r="H776" s="74">
        <f t="shared" si="126"/>
        <v>20435.419656850645</v>
      </c>
      <c r="I776" s="74">
        <f t="shared" si="127"/>
        <v>-1206.2422123927718</v>
      </c>
      <c r="J776" s="74">
        <f t="shared" si="128"/>
        <v>20470.989151151342</v>
      </c>
      <c r="K776" s="74">
        <f t="shared" si="129"/>
        <v>-19564.580343149355</v>
      </c>
      <c r="L776" s="74">
        <f t="shared" si="130"/>
        <v>-1206.2422123927718</v>
      </c>
      <c r="M776" s="74">
        <f t="shared" si="131"/>
        <v>19601.730134824942</v>
      </c>
      <c r="N776" s="74">
        <f t="shared" si="132"/>
        <v>-4564.5803431493559</v>
      </c>
      <c r="O776" s="74">
        <f t="shared" si="133"/>
        <v>-56206.242212392768</v>
      </c>
      <c r="P776" s="74">
        <f t="shared" si="134"/>
        <v>56391.285296109614</v>
      </c>
    </row>
    <row r="777" spans="1:16" x14ac:dyDescent="0.3">
      <c r="A777" s="72">
        <f t="shared" si="121"/>
        <v>234</v>
      </c>
      <c r="B777" s="74">
        <f t="shared" si="122"/>
        <v>-908.61540989961497</v>
      </c>
      <c r="C777" s="74">
        <f t="shared" si="123"/>
        <v>12106.477634171331</v>
      </c>
      <c r="D777" s="74">
        <f t="shared" si="124"/>
        <v>-946.39150609794274</v>
      </c>
      <c r="E777" s="74">
        <f t="shared" si="125"/>
        <v>-18199.529156442881</v>
      </c>
      <c r="F777" s="74">
        <f t="shared" si="119"/>
        <v>2049.3843287811619</v>
      </c>
      <c r="G777" s="74">
        <f t="shared" si="120"/>
        <v>2061.7355146046011</v>
      </c>
      <c r="H777" s="74">
        <f t="shared" si="126"/>
        <v>20908.615409899616</v>
      </c>
      <c r="I777" s="74">
        <f t="shared" si="127"/>
        <v>7893.5223658286686</v>
      </c>
      <c r="J777" s="74">
        <f t="shared" si="128"/>
        <v>22349.00207389424</v>
      </c>
      <c r="K777" s="74">
        <f t="shared" si="129"/>
        <v>-19091.384590100384</v>
      </c>
      <c r="L777" s="74">
        <f t="shared" si="130"/>
        <v>7893.5223658286686</v>
      </c>
      <c r="M777" s="74">
        <f t="shared" si="131"/>
        <v>20658.863979100104</v>
      </c>
      <c r="N777" s="74">
        <f t="shared" si="132"/>
        <v>-4091.3845901003851</v>
      </c>
      <c r="O777" s="74">
        <f t="shared" si="133"/>
        <v>-47106.47763417133</v>
      </c>
      <c r="P777" s="74">
        <f t="shared" si="134"/>
        <v>47283.820308460636</v>
      </c>
    </row>
    <row r="778" spans="1:16" x14ac:dyDescent="0.3">
      <c r="A778" s="72">
        <f t="shared" si="121"/>
        <v>234.5</v>
      </c>
      <c r="B778" s="74">
        <f t="shared" si="122"/>
        <v>-869.46508075329587</v>
      </c>
      <c r="C778" s="74">
        <f t="shared" si="123"/>
        <v>3522.1469346010413</v>
      </c>
      <c r="D778" s="74">
        <f t="shared" si="124"/>
        <v>78.300658292638218</v>
      </c>
      <c r="E778" s="74">
        <f t="shared" si="125"/>
        <v>-17168.661399140579</v>
      </c>
      <c r="F778" s="74">
        <f t="shared" si="119"/>
        <v>1334.4873900319826</v>
      </c>
      <c r="G778" s="74">
        <f t="shared" si="120"/>
        <v>2393.653214959038</v>
      </c>
      <c r="H778" s="74">
        <f t="shared" si="126"/>
        <v>20869.465080753296</v>
      </c>
      <c r="I778" s="74">
        <f t="shared" si="127"/>
        <v>16477.853065398958</v>
      </c>
      <c r="J778" s="74">
        <f t="shared" si="128"/>
        <v>26590.491052285193</v>
      </c>
      <c r="K778" s="74">
        <f t="shared" si="129"/>
        <v>-19130.534919246704</v>
      </c>
      <c r="L778" s="74">
        <f t="shared" si="130"/>
        <v>16477.853065398958</v>
      </c>
      <c r="M778" s="74">
        <f t="shared" si="131"/>
        <v>25248.703094246153</v>
      </c>
      <c r="N778" s="74">
        <f t="shared" si="132"/>
        <v>-4130.5349192467038</v>
      </c>
      <c r="O778" s="74">
        <f t="shared" si="133"/>
        <v>-38522.146934601042</v>
      </c>
      <c r="P778" s="74">
        <f t="shared" si="134"/>
        <v>38742.962240516776</v>
      </c>
    </row>
    <row r="779" spans="1:16" x14ac:dyDescent="0.3">
      <c r="A779" s="72">
        <f t="shared" si="121"/>
        <v>235</v>
      </c>
      <c r="B779" s="74">
        <f t="shared" si="122"/>
        <v>-496.6929040989811</v>
      </c>
      <c r="C779" s="74">
        <f t="shared" si="123"/>
        <v>-4463.7704612294883</v>
      </c>
      <c r="D779" s="74">
        <f t="shared" si="124"/>
        <v>745.54435330862952</v>
      </c>
      <c r="E779" s="74">
        <f t="shared" si="125"/>
        <v>-15971.83479166106</v>
      </c>
      <c r="F779" s="74">
        <f t="shared" si="119"/>
        <v>500.63106070057052</v>
      </c>
      <c r="G779" s="74">
        <f t="shared" si="120"/>
        <v>552.26707716496958</v>
      </c>
      <c r="H779" s="74">
        <f t="shared" si="126"/>
        <v>20496.692904098982</v>
      </c>
      <c r="I779" s="74">
        <f t="shared" si="127"/>
        <v>24463.770461229487</v>
      </c>
      <c r="J779" s="74">
        <f t="shared" si="128"/>
        <v>31915.364406264671</v>
      </c>
      <c r="K779" s="74">
        <f t="shared" si="129"/>
        <v>-19503.307095901018</v>
      </c>
      <c r="L779" s="74">
        <f t="shared" si="130"/>
        <v>24463.770461229487</v>
      </c>
      <c r="M779" s="74">
        <f t="shared" si="131"/>
        <v>31286.659343188869</v>
      </c>
      <c r="N779" s="74">
        <f t="shared" si="132"/>
        <v>-4503.3070959010192</v>
      </c>
      <c r="O779" s="74">
        <f t="shared" si="133"/>
        <v>-30536.229538770513</v>
      </c>
      <c r="P779" s="74">
        <f t="shared" si="134"/>
        <v>30866.50432498752</v>
      </c>
    </row>
    <row r="780" spans="1:16" x14ac:dyDescent="0.3">
      <c r="A780" s="72">
        <f t="shared" si="121"/>
        <v>235.5</v>
      </c>
      <c r="B780" s="74">
        <f t="shared" si="122"/>
        <v>1.2370377304762883</v>
      </c>
      <c r="C780" s="74">
        <f t="shared" si="123"/>
        <v>-12311.621087768775</v>
      </c>
      <c r="D780" s="74">
        <f t="shared" si="124"/>
        <v>995.85988365891478</v>
      </c>
      <c r="E780" s="74">
        <f t="shared" si="125"/>
        <v>-15695.701253078576</v>
      </c>
      <c r="F780" s="74">
        <f t="shared" si="119"/>
        <v>-646.23321901919326</v>
      </c>
      <c r="G780" s="74">
        <f t="shared" si="120"/>
        <v>-2458.7328355883601</v>
      </c>
      <c r="H780" s="74">
        <f t="shared" si="126"/>
        <v>19998.762962269524</v>
      </c>
      <c r="I780" s="74">
        <f t="shared" si="127"/>
        <v>32311.621087768777</v>
      </c>
      <c r="J780" s="74">
        <f t="shared" si="128"/>
        <v>37999.886543785724</v>
      </c>
      <c r="K780" s="74">
        <f t="shared" si="129"/>
        <v>-20001.237037730476</v>
      </c>
      <c r="L780" s="74">
        <f t="shared" si="130"/>
        <v>32311.621087768777</v>
      </c>
      <c r="M780" s="74">
        <f t="shared" si="131"/>
        <v>38001.188670343268</v>
      </c>
      <c r="N780" s="74">
        <f t="shared" si="132"/>
        <v>-5001.237037730476</v>
      </c>
      <c r="O780" s="74">
        <f t="shared" si="133"/>
        <v>-22688.378912231223</v>
      </c>
      <c r="P780" s="74">
        <f t="shared" si="134"/>
        <v>23233.056397567358</v>
      </c>
    </row>
    <row r="781" spans="1:16" x14ac:dyDescent="0.3">
      <c r="A781" s="72">
        <f t="shared" si="121"/>
        <v>236</v>
      </c>
      <c r="B781" s="74">
        <f t="shared" si="122"/>
        <v>337.60867480513537</v>
      </c>
      <c r="C781" s="74">
        <f t="shared" si="123"/>
        <v>-20774.154923205155</v>
      </c>
      <c r="D781" s="74">
        <f t="shared" si="124"/>
        <v>672.74327414931815</v>
      </c>
      <c r="E781" s="74">
        <f t="shared" si="125"/>
        <v>-16925.067670872755</v>
      </c>
      <c r="F781" s="74">
        <f t="shared" si="119"/>
        <v>-3328.8926806895879</v>
      </c>
      <c r="G781" s="74">
        <f t="shared" si="120"/>
        <v>-7303.776770105168</v>
      </c>
      <c r="H781" s="74">
        <f t="shared" si="126"/>
        <v>19662.391325194865</v>
      </c>
      <c r="I781" s="74">
        <f t="shared" si="127"/>
        <v>40774.154923205155</v>
      </c>
      <c r="J781" s="74">
        <f t="shared" si="128"/>
        <v>45267.442409822906</v>
      </c>
      <c r="K781" s="74">
        <f t="shared" si="129"/>
        <v>-20337.608674805135</v>
      </c>
      <c r="L781" s="74">
        <f t="shared" si="130"/>
        <v>40774.154923205155</v>
      </c>
      <c r="M781" s="74">
        <f t="shared" si="131"/>
        <v>45564.789435605257</v>
      </c>
      <c r="N781" s="74">
        <f t="shared" si="132"/>
        <v>-5337.6086748051357</v>
      </c>
      <c r="O781" s="74">
        <f t="shared" si="133"/>
        <v>-14225.845076794845</v>
      </c>
      <c r="P781" s="74">
        <f t="shared" si="134"/>
        <v>15194.233594173915</v>
      </c>
    </row>
    <row r="782" spans="1:16" x14ac:dyDescent="0.3">
      <c r="A782" s="72">
        <f t="shared" si="121"/>
        <v>236.5</v>
      </c>
      <c r="B782" s="74">
        <f t="shared" si="122"/>
        <v>-158.24285829260248</v>
      </c>
      <c r="C782" s="74">
        <f t="shared" si="123"/>
        <v>-31062.632951167823</v>
      </c>
      <c r="D782" s="74">
        <f t="shared" si="124"/>
        <v>-991.7030661954758</v>
      </c>
      <c r="E782" s="74">
        <f t="shared" si="125"/>
        <v>-20576.95605592534</v>
      </c>
      <c r="F782" s="74">
        <f t="shared" si="119"/>
        <v>-12147.76723737292</v>
      </c>
      <c r="G782" s="74">
        <f t="shared" si="120"/>
        <v>-8193.5861369317099</v>
      </c>
      <c r="H782" s="74">
        <f t="shared" si="126"/>
        <v>20158.242858292604</v>
      </c>
      <c r="I782" s="74">
        <f t="shared" si="127"/>
        <v>51062.63295116782</v>
      </c>
      <c r="J782" s="74">
        <f t="shared" si="128"/>
        <v>54897.606860769389</v>
      </c>
      <c r="K782" s="74">
        <f t="shared" si="129"/>
        <v>-19841.757141707396</v>
      </c>
      <c r="L782" s="74">
        <f t="shared" si="130"/>
        <v>51062.63295116782</v>
      </c>
      <c r="M782" s="74">
        <f t="shared" si="131"/>
        <v>54782.185155177831</v>
      </c>
      <c r="N782" s="74">
        <f t="shared" si="132"/>
        <v>-4841.7571417073977</v>
      </c>
      <c r="O782" s="74">
        <f t="shared" si="133"/>
        <v>-3937.3670488321768</v>
      </c>
      <c r="P782" s="74">
        <f t="shared" si="134"/>
        <v>6240.6306970132428</v>
      </c>
    </row>
    <row r="783" spans="1:16" x14ac:dyDescent="0.3">
      <c r="A783" s="72">
        <f t="shared" si="121"/>
        <v>237</v>
      </c>
      <c r="B783" s="74">
        <f t="shared" si="122"/>
        <v>-3691.0362007335707</v>
      </c>
      <c r="C783" s="74">
        <f t="shared" si="123"/>
        <v>-43399.507513363416</v>
      </c>
      <c r="D783" s="74">
        <f t="shared" si="124"/>
        <v>-7065.586684881936</v>
      </c>
      <c r="E783" s="74">
        <f t="shared" si="125"/>
        <v>-24673.749124391194</v>
      </c>
      <c r="F783" s="74">
        <f t="shared" si="119"/>
        <v>-2237.0996624399295</v>
      </c>
      <c r="G783" s="74">
        <f t="shared" si="120"/>
        <v>16864.607911347972</v>
      </c>
      <c r="H783" s="74">
        <f t="shared" si="126"/>
        <v>23691.036200733572</v>
      </c>
      <c r="I783" s="74">
        <f t="shared" si="127"/>
        <v>63399.507513363416</v>
      </c>
      <c r="J783" s="74">
        <f t="shared" si="128"/>
        <v>67681.332353917882</v>
      </c>
      <c r="K783" s="74">
        <f t="shared" si="129"/>
        <v>-16308.963799266428</v>
      </c>
      <c r="L783" s="74">
        <f t="shared" si="130"/>
        <v>63399.507513363416</v>
      </c>
      <c r="M783" s="74">
        <f t="shared" si="131"/>
        <v>65463.576537971152</v>
      </c>
      <c r="N783" s="74">
        <f t="shared" si="132"/>
        <v>-1308.9637992664293</v>
      </c>
      <c r="O783" s="74">
        <f t="shared" si="133"/>
        <v>8399.5075133634164</v>
      </c>
      <c r="P783" s="74">
        <f t="shared" si="134"/>
        <v>8500.8889355665906</v>
      </c>
    </row>
    <row r="784" spans="1:16" x14ac:dyDescent="0.3">
      <c r="A784" s="72">
        <f t="shared" si="121"/>
        <v>237.5</v>
      </c>
      <c r="B784" s="74">
        <f t="shared" si="122"/>
        <v>-7783.1044587845217</v>
      </c>
      <c r="C784" s="74">
        <f t="shared" si="123"/>
        <v>-51520.230097722022</v>
      </c>
      <c r="D784" s="74">
        <f t="shared" si="124"/>
        <v>-8184.1365161019003</v>
      </c>
      <c r="E784" s="74">
        <f t="shared" si="125"/>
        <v>-16241.445168717208</v>
      </c>
      <c r="F784" s="74">
        <f t="shared" si="119"/>
        <v>1753.5158037448261</v>
      </c>
      <c r="G784" s="74">
        <f t="shared" si="120"/>
        <v>10358.406903761615</v>
      </c>
      <c r="H784" s="74">
        <f t="shared" si="126"/>
        <v>27783.104458784521</v>
      </c>
      <c r="I784" s="74">
        <f t="shared" si="127"/>
        <v>71520.230097722029</v>
      </c>
      <c r="J784" s="74">
        <f t="shared" si="128"/>
        <v>76727.076098329431</v>
      </c>
      <c r="K784" s="74">
        <f t="shared" si="129"/>
        <v>-12216.895541215479</v>
      </c>
      <c r="L784" s="74">
        <f t="shared" si="130"/>
        <v>71520.230097722029</v>
      </c>
      <c r="M784" s="74">
        <f t="shared" si="131"/>
        <v>72556.156526486942</v>
      </c>
      <c r="N784" s="74">
        <f t="shared" si="132"/>
        <v>2783.1044587845217</v>
      </c>
      <c r="O784" s="74">
        <f t="shared" si="133"/>
        <v>16520.230097722022</v>
      </c>
      <c r="P784" s="74">
        <f t="shared" si="134"/>
        <v>16753.019814653922</v>
      </c>
    </row>
    <row r="785" spans="1:16" x14ac:dyDescent="0.3">
      <c r="A785" s="72">
        <f t="shared" si="121"/>
        <v>238</v>
      </c>
      <c r="B785" s="74">
        <f t="shared" si="122"/>
        <v>-11436.793765899265</v>
      </c>
      <c r="C785" s="74">
        <f t="shared" si="123"/>
        <v>-57051.350956140224</v>
      </c>
      <c r="D785" s="74">
        <f t="shared" si="124"/>
        <v>-7307.3786142294875</v>
      </c>
      <c r="E785" s="74">
        <f t="shared" si="125"/>
        <v>-11062.241716836401</v>
      </c>
      <c r="F785" s="74">
        <f t="shared" si="119"/>
        <v>1899.3354456910452</v>
      </c>
      <c r="G785" s="74">
        <f t="shared" si="120"/>
        <v>6770.749661666493</v>
      </c>
      <c r="H785" s="74">
        <f t="shared" si="126"/>
        <v>31436.793765899267</v>
      </c>
      <c r="I785" s="74">
        <f t="shared" si="127"/>
        <v>77051.350956140232</v>
      </c>
      <c r="J785" s="74">
        <f t="shared" si="128"/>
        <v>83217.682534699168</v>
      </c>
      <c r="K785" s="74">
        <f t="shared" si="129"/>
        <v>-8563.2062341007349</v>
      </c>
      <c r="L785" s="74">
        <f t="shared" si="130"/>
        <v>77051.350956140232</v>
      </c>
      <c r="M785" s="74">
        <f t="shared" si="131"/>
        <v>77525.73240656314</v>
      </c>
      <c r="N785" s="74">
        <f t="shared" si="132"/>
        <v>6436.7937658992651</v>
      </c>
      <c r="O785" s="74">
        <f t="shared" si="133"/>
        <v>22051.350956140224</v>
      </c>
      <c r="P785" s="74">
        <f t="shared" si="134"/>
        <v>22971.59970432155</v>
      </c>
    </row>
    <row r="786" spans="1:16" x14ac:dyDescent="0.3">
      <c r="A786" s="72">
        <f t="shared" si="121"/>
        <v>238.5</v>
      </c>
      <c r="B786" s="74">
        <f t="shared" si="122"/>
        <v>-14615.649211591248</v>
      </c>
      <c r="C786" s="74">
        <f t="shared" si="123"/>
        <v>-60889.784399141805</v>
      </c>
      <c r="D786" s="74">
        <f t="shared" si="124"/>
        <v>-6357.7108913839647</v>
      </c>
      <c r="E786" s="74">
        <f t="shared" si="125"/>
        <v>-7676.8668860031539</v>
      </c>
      <c r="F786" s="74">
        <f t="shared" si="119"/>
        <v>1776.9055861410147</v>
      </c>
      <c r="G786" s="74">
        <f t="shared" si="120"/>
        <v>5088.4030268625374</v>
      </c>
      <c r="H786" s="74">
        <f t="shared" si="126"/>
        <v>34615.649211591248</v>
      </c>
      <c r="I786" s="74">
        <f t="shared" si="127"/>
        <v>80889.784399141805</v>
      </c>
      <c r="J786" s="74">
        <f t="shared" si="128"/>
        <v>87985.228251562672</v>
      </c>
      <c r="K786" s="74">
        <f t="shared" si="129"/>
        <v>-5384.3507884087521</v>
      </c>
      <c r="L786" s="74">
        <f t="shared" si="130"/>
        <v>80889.784399141805</v>
      </c>
      <c r="M786" s="74">
        <f t="shared" si="131"/>
        <v>81068.788405602085</v>
      </c>
      <c r="N786" s="74">
        <f t="shared" si="132"/>
        <v>9615.6492115912479</v>
      </c>
      <c r="O786" s="74">
        <f t="shared" si="133"/>
        <v>25889.784399141805</v>
      </c>
      <c r="P786" s="74">
        <f t="shared" si="134"/>
        <v>27617.777716435146</v>
      </c>
    </row>
    <row r="787" spans="1:16" x14ac:dyDescent="0.3">
      <c r="A787" s="72">
        <f t="shared" si="121"/>
        <v>239</v>
      </c>
      <c r="B787" s="74">
        <f t="shared" si="122"/>
        <v>-17350.278260747975</v>
      </c>
      <c r="C787" s="74">
        <f t="shared" si="123"/>
        <v>-63456.117085427744</v>
      </c>
      <c r="D787" s="74">
        <f t="shared" si="124"/>
        <v>-5469.2580983134576</v>
      </c>
      <c r="E787" s="74">
        <f t="shared" si="125"/>
        <v>-5132.6653725718852</v>
      </c>
      <c r="F787" s="74">
        <f t="shared" si="119"/>
        <v>1685.6264492330188</v>
      </c>
      <c r="G787" s="74">
        <f t="shared" si="120"/>
        <v>4195.2806304465412</v>
      </c>
      <c r="H787" s="74">
        <f t="shared" si="126"/>
        <v>37350.278260747975</v>
      </c>
      <c r="I787" s="74">
        <f t="shared" si="127"/>
        <v>83456.117085427744</v>
      </c>
      <c r="J787" s="74">
        <f t="shared" si="128"/>
        <v>91432.853860808304</v>
      </c>
      <c r="K787" s="74">
        <f t="shared" si="129"/>
        <v>-2649.7217392520251</v>
      </c>
      <c r="L787" s="74">
        <f t="shared" si="130"/>
        <v>83456.117085427744</v>
      </c>
      <c r="M787" s="74">
        <f t="shared" si="131"/>
        <v>83498.170664225268</v>
      </c>
      <c r="N787" s="74">
        <f t="shared" si="132"/>
        <v>12350.278260747975</v>
      </c>
      <c r="O787" s="74">
        <f t="shared" si="133"/>
        <v>28456.117085427744</v>
      </c>
      <c r="P787" s="74">
        <f t="shared" si="134"/>
        <v>31020.637851235053</v>
      </c>
    </row>
    <row r="788" spans="1:16" x14ac:dyDescent="0.3">
      <c r="A788" s="72">
        <f t="shared" si="121"/>
        <v>239.5</v>
      </c>
      <c r="B788" s="74">
        <f t="shared" si="122"/>
        <v>-19663.500697596446</v>
      </c>
      <c r="C788" s="74">
        <f t="shared" si="123"/>
        <v>-64973.62961410205</v>
      </c>
      <c r="D788" s="74">
        <f t="shared" si="124"/>
        <v>-4626.444873696948</v>
      </c>
      <c r="E788" s="74">
        <f t="shared" si="125"/>
        <v>-3035.0250573486146</v>
      </c>
      <c r="F788" s="74">
        <f t="shared" si="119"/>
        <v>1650.0428431779189</v>
      </c>
      <c r="G788" s="74">
        <f t="shared" si="120"/>
        <v>3687.7972096178141</v>
      </c>
      <c r="H788" s="74">
        <f t="shared" si="126"/>
        <v>39663.50069759645</v>
      </c>
      <c r="I788" s="74">
        <f t="shared" si="127"/>
        <v>84973.629614102043</v>
      </c>
      <c r="J788" s="74">
        <f t="shared" si="128"/>
        <v>93774.788815453125</v>
      </c>
      <c r="K788" s="74">
        <f t="shared" si="129"/>
        <v>-336.49930240355388</v>
      </c>
      <c r="L788" s="74">
        <f t="shared" si="130"/>
        <v>84973.629614102043</v>
      </c>
      <c r="M788" s="74">
        <f t="shared" si="131"/>
        <v>84974.295887492466</v>
      </c>
      <c r="N788" s="74">
        <f t="shared" si="132"/>
        <v>14663.500697596446</v>
      </c>
      <c r="O788" s="74">
        <f t="shared" si="133"/>
        <v>29973.62961410205</v>
      </c>
      <c r="P788" s="74">
        <f t="shared" si="134"/>
        <v>33368.199306402305</v>
      </c>
    </row>
    <row r="789" spans="1:16" x14ac:dyDescent="0.3">
      <c r="A789" s="72">
        <f t="shared" si="121"/>
        <v>240</v>
      </c>
      <c r="B789" s="74">
        <f t="shared" si="122"/>
        <v>-21564.212423650442</v>
      </c>
      <c r="C789" s="74">
        <f t="shared" si="123"/>
        <v>-65569.192840371907</v>
      </c>
      <c r="D789" s="74">
        <f t="shared" si="124"/>
        <v>-3801.4234521079884</v>
      </c>
      <c r="E789" s="74">
        <f t="shared" si="125"/>
        <v>-1191.1264525397075</v>
      </c>
      <c r="F789" s="74">
        <f t="shared" si="119"/>
        <v>1669.5076678278351</v>
      </c>
      <c r="G789" s="74">
        <f t="shared" si="120"/>
        <v>3402.6996305804032</v>
      </c>
      <c r="H789" s="74">
        <f t="shared" si="126"/>
        <v>41564.212423650446</v>
      </c>
      <c r="I789" s="74">
        <f t="shared" si="127"/>
        <v>85569.192840371907</v>
      </c>
      <c r="J789" s="74">
        <f t="shared" si="128"/>
        <v>95129.756216186594</v>
      </c>
      <c r="K789" s="74">
        <f t="shared" si="129"/>
        <v>1564.2124236504424</v>
      </c>
      <c r="L789" s="74">
        <f t="shared" si="130"/>
        <v>85569.192840371907</v>
      </c>
      <c r="M789" s="74">
        <f t="shared" si="131"/>
        <v>85583.488617016876</v>
      </c>
      <c r="N789" s="74">
        <f t="shared" si="132"/>
        <v>16564.212423650442</v>
      </c>
      <c r="O789" s="74">
        <f t="shared" si="133"/>
        <v>30569.192840371907</v>
      </c>
      <c r="P789" s="74">
        <f t="shared" si="134"/>
        <v>34768.50132127729</v>
      </c>
    </row>
    <row r="790" spans="1:16" x14ac:dyDescent="0.3">
      <c r="A790" s="72">
        <f t="shared" si="121"/>
        <v>240.5</v>
      </c>
      <c r="B790" s="74">
        <f t="shared" si="122"/>
        <v>-23047.547232747474</v>
      </c>
      <c r="C790" s="74">
        <f t="shared" si="123"/>
        <v>-65314.081158996654</v>
      </c>
      <c r="D790" s="74">
        <f t="shared" si="124"/>
        <v>-2966.6696181940706</v>
      </c>
      <c r="E790" s="74">
        <f t="shared" si="125"/>
        <v>510.22336275049406</v>
      </c>
      <c r="F790" s="74">
        <f t="shared" si="119"/>
        <v>1746.8281190296098</v>
      </c>
      <c r="G790" s="74">
        <f t="shared" si="120"/>
        <v>3268.3871023156717</v>
      </c>
      <c r="H790" s="74">
        <f t="shared" si="126"/>
        <v>43047.547232747471</v>
      </c>
      <c r="I790" s="74">
        <f t="shared" si="127"/>
        <v>85314.081158996647</v>
      </c>
      <c r="J790" s="74">
        <f t="shared" si="128"/>
        <v>95559.3206692026</v>
      </c>
      <c r="K790" s="74">
        <f t="shared" si="129"/>
        <v>3047.5472327474745</v>
      </c>
      <c r="L790" s="74">
        <f t="shared" si="130"/>
        <v>85314.081158996647</v>
      </c>
      <c r="M790" s="74">
        <f t="shared" si="131"/>
        <v>85368.495290356936</v>
      </c>
      <c r="N790" s="74">
        <f t="shared" si="132"/>
        <v>18047.547232747474</v>
      </c>
      <c r="O790" s="74">
        <f t="shared" si="133"/>
        <v>30314.081158996654</v>
      </c>
      <c r="P790" s="74">
        <f t="shared" si="134"/>
        <v>35279.703479939948</v>
      </c>
    </row>
    <row r="791" spans="1:16" x14ac:dyDescent="0.3">
      <c r="A791" s="72">
        <f t="shared" si="121"/>
        <v>241</v>
      </c>
      <c r="B791" s="74">
        <f t="shared" si="122"/>
        <v>-24094.175012087107</v>
      </c>
      <c r="C791" s="74">
        <f t="shared" si="123"/>
        <v>-64241.872702042492</v>
      </c>
      <c r="D791" s="74">
        <f t="shared" si="124"/>
        <v>-2093.255558679266</v>
      </c>
      <c r="E791" s="74">
        <f t="shared" si="125"/>
        <v>2144.4169139083297</v>
      </c>
      <c r="F791" s="74">
        <f t="shared" si="119"/>
        <v>1894.1370743758548</v>
      </c>
      <c r="G791" s="74">
        <f t="shared" si="120"/>
        <v>3255.8977388975686</v>
      </c>
      <c r="H791" s="74">
        <f t="shared" si="126"/>
        <v>44094.175012087107</v>
      </c>
      <c r="I791" s="74">
        <f t="shared" si="127"/>
        <v>84241.872702042485</v>
      </c>
      <c r="J791" s="74">
        <f t="shared" si="128"/>
        <v>95084.117424224416</v>
      </c>
      <c r="K791" s="74">
        <f t="shared" si="129"/>
        <v>4094.1750120871075</v>
      </c>
      <c r="L791" s="74">
        <f t="shared" si="130"/>
        <v>84241.872702042485</v>
      </c>
      <c r="M791" s="74">
        <f t="shared" si="131"/>
        <v>84341.302962289657</v>
      </c>
      <c r="N791" s="74">
        <f t="shared" si="132"/>
        <v>19094.175012087107</v>
      </c>
      <c r="O791" s="74">
        <f t="shared" si="133"/>
        <v>29241.872702042492</v>
      </c>
      <c r="P791" s="74">
        <f t="shared" si="134"/>
        <v>34923.840546461513</v>
      </c>
    </row>
    <row r="792" spans="1:16" x14ac:dyDescent="0.3">
      <c r="A792" s="72">
        <f t="shared" si="121"/>
        <v>241.5</v>
      </c>
      <c r="B792" s="74">
        <f t="shared" si="122"/>
        <v>-24667.268522832775</v>
      </c>
      <c r="C792" s="74">
        <f t="shared" si="123"/>
        <v>-62355.68981036394</v>
      </c>
      <c r="D792" s="74">
        <f t="shared" si="124"/>
        <v>-1146.1870214913386</v>
      </c>
      <c r="E792" s="74">
        <f t="shared" si="125"/>
        <v>3772.3657833571142</v>
      </c>
      <c r="F792" s="74">
        <f t="shared" si="119"/>
        <v>2139.1140556485798</v>
      </c>
      <c r="G792" s="74">
        <f t="shared" si="120"/>
        <v>3362.4793311745334</v>
      </c>
      <c r="H792" s="74">
        <f t="shared" si="126"/>
        <v>44667.268522832775</v>
      </c>
      <c r="I792" s="74">
        <f t="shared" si="127"/>
        <v>82355.68981036394</v>
      </c>
      <c r="J792" s="74">
        <f t="shared" si="128"/>
        <v>93688.97758771696</v>
      </c>
      <c r="K792" s="74">
        <f t="shared" si="129"/>
        <v>4667.2685228327755</v>
      </c>
      <c r="L792" s="74">
        <f t="shared" si="130"/>
        <v>82355.68981036394</v>
      </c>
      <c r="M792" s="74">
        <f t="shared" si="131"/>
        <v>82487.835706879283</v>
      </c>
      <c r="N792" s="74">
        <f t="shared" si="132"/>
        <v>19667.268522832775</v>
      </c>
      <c r="O792" s="74">
        <f t="shared" si="133"/>
        <v>27355.68981036394</v>
      </c>
      <c r="P792" s="74">
        <f t="shared" si="134"/>
        <v>33691.767780127811</v>
      </c>
    </row>
    <row r="793" spans="1:16" x14ac:dyDescent="0.3">
      <c r="A793" s="72">
        <f t="shared" si="121"/>
        <v>242</v>
      </c>
      <c r="B793" s="74">
        <f t="shared" si="122"/>
        <v>-24705.583519666299</v>
      </c>
      <c r="C793" s="74">
        <f t="shared" si="123"/>
        <v>-59628.887085891743</v>
      </c>
      <c r="D793" s="74">
        <f t="shared" si="124"/>
        <v>-76.629993667048666</v>
      </c>
      <c r="E793" s="74">
        <f t="shared" si="125"/>
        <v>5453.6054489443814</v>
      </c>
      <c r="F793" s="74">
        <f t="shared" si="119"/>
        <v>2539.4784462104199</v>
      </c>
      <c r="G793" s="74">
        <f t="shared" si="120"/>
        <v>3609.2649502808331</v>
      </c>
      <c r="H793" s="74">
        <f t="shared" si="126"/>
        <v>44705.583519666296</v>
      </c>
      <c r="I793" s="74">
        <f t="shared" si="127"/>
        <v>79628.887085891736</v>
      </c>
      <c r="J793" s="74">
        <f t="shared" si="128"/>
        <v>91320.035350253529</v>
      </c>
      <c r="K793" s="74">
        <f t="shared" si="129"/>
        <v>4705.5835196662993</v>
      </c>
      <c r="L793" s="74">
        <f t="shared" si="130"/>
        <v>79628.887085891736</v>
      </c>
      <c r="M793" s="74">
        <f t="shared" si="131"/>
        <v>79767.801616932193</v>
      </c>
      <c r="N793" s="74">
        <f t="shared" si="132"/>
        <v>19705.583519666299</v>
      </c>
      <c r="O793" s="74">
        <f t="shared" si="133"/>
        <v>24628.887085891743</v>
      </c>
      <c r="P793" s="74">
        <f t="shared" si="134"/>
        <v>31541.910229726876</v>
      </c>
    </row>
    <row r="794" spans="1:16" x14ac:dyDescent="0.3">
      <c r="A794" s="72">
        <f t="shared" si="121"/>
        <v>242.5</v>
      </c>
      <c r="B794" s="74">
        <f t="shared" si="122"/>
        <v>-24109.028904947219</v>
      </c>
      <c r="C794" s="74">
        <f t="shared" si="123"/>
        <v>-55999.768123849346</v>
      </c>
      <c r="D794" s="74">
        <f t="shared" si="124"/>
        <v>1193.1092294381613</v>
      </c>
      <c r="E794" s="74">
        <f t="shared" si="125"/>
        <v>7258.2379240847977</v>
      </c>
      <c r="F794" s="74">
        <f t="shared" si="119"/>
        <v>3221.2371637936976</v>
      </c>
      <c r="G794" s="74">
        <f t="shared" si="120"/>
        <v>4048.6834164657939</v>
      </c>
      <c r="H794" s="74">
        <f t="shared" si="126"/>
        <v>44109.028904947219</v>
      </c>
      <c r="I794" s="74">
        <f t="shared" si="127"/>
        <v>75999.768123849353</v>
      </c>
      <c r="J794" s="74">
        <f t="shared" si="128"/>
        <v>87872.471148911805</v>
      </c>
      <c r="K794" s="74">
        <f t="shared" si="129"/>
        <v>4109.0289049472194</v>
      </c>
      <c r="L794" s="74">
        <f t="shared" si="130"/>
        <v>75999.768123849353</v>
      </c>
      <c r="M794" s="74">
        <f t="shared" si="131"/>
        <v>76110.76713199362</v>
      </c>
      <c r="N794" s="74">
        <f t="shared" si="132"/>
        <v>19109.028904947219</v>
      </c>
      <c r="O794" s="74">
        <f t="shared" si="133"/>
        <v>20999.768123849346</v>
      </c>
      <c r="P794" s="74">
        <f t="shared" si="134"/>
        <v>28392.697070647362</v>
      </c>
    </row>
    <row r="795" spans="1:16" x14ac:dyDescent="0.3">
      <c r="A795" s="72">
        <f t="shared" si="121"/>
        <v>243</v>
      </c>
      <c r="B795" s="74">
        <f t="shared" si="122"/>
        <v>-22707.164999279714</v>
      </c>
      <c r="C795" s="74">
        <f t="shared" si="123"/>
        <v>-51358.478307690501</v>
      </c>
      <c r="D795" s="74">
        <f t="shared" si="124"/>
        <v>2803.7278113350103</v>
      </c>
      <c r="E795" s="74">
        <f t="shared" si="125"/>
        <v>9282.5796323176946</v>
      </c>
      <c r="F795" s="74">
        <f t="shared" si="119"/>
        <v>4492.4002961231636</v>
      </c>
      <c r="G795" s="74">
        <f t="shared" si="120"/>
        <v>4775.6660885876772</v>
      </c>
      <c r="H795" s="74">
        <f t="shared" si="126"/>
        <v>42707.164999279717</v>
      </c>
      <c r="I795" s="74">
        <f t="shared" si="127"/>
        <v>71358.478307690501</v>
      </c>
      <c r="J795" s="74">
        <f t="shared" si="128"/>
        <v>83162.096947256199</v>
      </c>
      <c r="K795" s="74">
        <f t="shared" si="129"/>
        <v>2707.1649992797138</v>
      </c>
      <c r="L795" s="74">
        <f t="shared" si="130"/>
        <v>71358.478307690501</v>
      </c>
      <c r="M795" s="74">
        <f t="shared" si="131"/>
        <v>71409.811431780588</v>
      </c>
      <c r="N795" s="74">
        <f t="shared" si="132"/>
        <v>17707.164999279714</v>
      </c>
      <c r="O795" s="74">
        <f t="shared" si="133"/>
        <v>16358.478307690501</v>
      </c>
      <c r="P795" s="74">
        <f t="shared" si="134"/>
        <v>24106.918194885409</v>
      </c>
    </row>
    <row r="796" spans="1:16" x14ac:dyDescent="0.3">
      <c r="A796" s="72">
        <f t="shared" si="121"/>
        <v>243.5</v>
      </c>
      <c r="B796" s="74">
        <f t="shared" si="122"/>
        <v>-20182.201019581418</v>
      </c>
      <c r="C796" s="74">
        <f t="shared" si="123"/>
        <v>-45523.271969384732</v>
      </c>
      <c r="D796" s="74">
        <f t="shared" si="124"/>
        <v>5049.9279593965921</v>
      </c>
      <c r="E796" s="74">
        <f t="shared" si="125"/>
        <v>11670.412676611533</v>
      </c>
      <c r="F796" s="74">
        <f t="shared" si="119"/>
        <v>7224.2080171067337</v>
      </c>
      <c r="G796" s="74">
        <f t="shared" si="120"/>
        <v>5833.814031553351</v>
      </c>
      <c r="H796" s="74">
        <f t="shared" si="126"/>
        <v>40182.201019581422</v>
      </c>
      <c r="I796" s="74">
        <f t="shared" si="127"/>
        <v>65523.271969384732</v>
      </c>
      <c r="J796" s="74">
        <f t="shared" si="128"/>
        <v>76862.919853151616</v>
      </c>
      <c r="K796" s="74">
        <f t="shared" si="129"/>
        <v>182.20101958141822</v>
      </c>
      <c r="L796" s="74">
        <f t="shared" si="130"/>
        <v>65523.271969384732</v>
      </c>
      <c r="M796" s="74">
        <f t="shared" si="131"/>
        <v>65523.525292718303</v>
      </c>
      <c r="N796" s="74">
        <f t="shared" si="132"/>
        <v>15182.201019581418</v>
      </c>
      <c r="O796" s="74">
        <f t="shared" si="133"/>
        <v>10523.271969384732</v>
      </c>
      <c r="P796" s="74">
        <f t="shared" si="134"/>
        <v>18472.641412115849</v>
      </c>
    </row>
    <row r="797" spans="1:16" x14ac:dyDescent="0.3">
      <c r="A797" s="72">
        <f t="shared" si="121"/>
        <v>244</v>
      </c>
      <c r="B797" s="74">
        <f t="shared" si="122"/>
        <v>-15851.185035606439</v>
      </c>
      <c r="C797" s="74">
        <f t="shared" si="123"/>
        <v>-38229.612123190629</v>
      </c>
      <c r="D797" s="74">
        <f t="shared" si="124"/>
        <v>8662.0319679499589</v>
      </c>
      <c r="E797" s="74">
        <f t="shared" si="125"/>
        <v>14587.31969238821</v>
      </c>
      <c r="F797" s="74">
        <f t="shared" si="119"/>
        <v>13598.713845618271</v>
      </c>
      <c r="G797" s="74">
        <f t="shared" si="120"/>
        <v>5274.3206475922489</v>
      </c>
      <c r="H797" s="74">
        <f t="shared" si="126"/>
        <v>35851.185035606439</v>
      </c>
      <c r="I797" s="74">
        <f t="shared" si="127"/>
        <v>58229.612123190629</v>
      </c>
      <c r="J797" s="74">
        <f t="shared" si="128"/>
        <v>68381.248866005073</v>
      </c>
      <c r="K797" s="74">
        <f t="shared" si="129"/>
        <v>-4148.8149643935612</v>
      </c>
      <c r="L797" s="74">
        <f t="shared" si="130"/>
        <v>58229.612123190629</v>
      </c>
      <c r="M797" s="74">
        <f t="shared" si="131"/>
        <v>58377.22495653596</v>
      </c>
      <c r="N797" s="74">
        <f t="shared" si="132"/>
        <v>10851.185035606439</v>
      </c>
      <c r="O797" s="74">
        <f t="shared" si="133"/>
        <v>3229.6121231906291</v>
      </c>
      <c r="P797" s="74">
        <f t="shared" si="134"/>
        <v>11321.59931914343</v>
      </c>
    </row>
    <row r="798" spans="1:16" x14ac:dyDescent="0.3">
      <c r="A798" s="72">
        <f t="shared" si="121"/>
        <v>244.5</v>
      </c>
      <c r="B798" s="74">
        <f t="shared" si="122"/>
        <v>-8120.4905902268911</v>
      </c>
      <c r="C798" s="74">
        <f t="shared" si="123"/>
        <v>-29617.372115098464</v>
      </c>
      <c r="D798" s="74">
        <f t="shared" si="124"/>
        <v>15461.388890759095</v>
      </c>
      <c r="E798" s="74">
        <f t="shared" si="125"/>
        <v>17224.480016184334</v>
      </c>
      <c r="F798" s="74">
        <f t="shared" si="119"/>
        <v>8422.8897993049868</v>
      </c>
      <c r="G798" s="74">
        <f t="shared" si="120"/>
        <v>-11958.083723078944</v>
      </c>
      <c r="H798" s="74">
        <f t="shared" si="126"/>
        <v>28120.490590226891</v>
      </c>
      <c r="I798" s="74">
        <f t="shared" si="127"/>
        <v>49617.372115098464</v>
      </c>
      <c r="J798" s="74">
        <f t="shared" si="128"/>
        <v>57031.97003999765</v>
      </c>
      <c r="K798" s="74">
        <f t="shared" si="129"/>
        <v>-11879.509409773109</v>
      </c>
      <c r="L798" s="74">
        <f t="shared" si="130"/>
        <v>49617.372115098464</v>
      </c>
      <c r="M798" s="74">
        <f t="shared" si="131"/>
        <v>51019.666398605921</v>
      </c>
      <c r="N798" s="74">
        <f t="shared" si="132"/>
        <v>3120.4905902268911</v>
      </c>
      <c r="O798" s="74">
        <f t="shared" si="133"/>
        <v>-5382.6278849015362</v>
      </c>
      <c r="P798" s="74">
        <f t="shared" si="134"/>
        <v>6221.7477022950843</v>
      </c>
    </row>
    <row r="799" spans="1:16" x14ac:dyDescent="0.3">
      <c r="A799" s="72">
        <f t="shared" si="121"/>
        <v>245</v>
      </c>
      <c r="B799" s="74">
        <f t="shared" si="122"/>
        <v>1715.9263049789033</v>
      </c>
      <c r="C799" s="74">
        <f t="shared" si="123"/>
        <v>-23994.653037776035</v>
      </c>
      <c r="D799" s="74">
        <f t="shared" si="124"/>
        <v>19672.833790411591</v>
      </c>
      <c r="E799" s="74">
        <f t="shared" si="125"/>
        <v>11245.438154644862</v>
      </c>
      <c r="F799" s="74">
        <f t="shared" si="119"/>
        <v>-6191.6170620591629</v>
      </c>
      <c r="G799" s="74">
        <f t="shared" si="120"/>
        <v>-8247.2599153032497</v>
      </c>
      <c r="H799" s="74">
        <f t="shared" si="126"/>
        <v>18284.073695021096</v>
      </c>
      <c r="I799" s="74">
        <f t="shared" si="127"/>
        <v>43994.653037776035</v>
      </c>
      <c r="J799" s="74">
        <f t="shared" si="128"/>
        <v>47642.804774690361</v>
      </c>
      <c r="K799" s="74">
        <f t="shared" si="129"/>
        <v>-21715.926304978904</v>
      </c>
      <c r="L799" s="74">
        <f t="shared" si="130"/>
        <v>43994.653037776035</v>
      </c>
      <c r="M799" s="74">
        <f t="shared" si="131"/>
        <v>49062.317018232752</v>
      </c>
      <c r="N799" s="74">
        <f t="shared" si="132"/>
        <v>-6715.9263049789033</v>
      </c>
      <c r="O799" s="74">
        <f t="shared" si="133"/>
        <v>-11005.346962223965</v>
      </c>
      <c r="P799" s="74">
        <f t="shared" si="134"/>
        <v>12892.68505365891</v>
      </c>
    </row>
    <row r="800" spans="1:16" x14ac:dyDescent="0.3">
      <c r="A800" s="72">
        <f t="shared" si="121"/>
        <v>245.5</v>
      </c>
      <c r="B800" s="74">
        <f t="shared" si="122"/>
        <v>10004.438934669908</v>
      </c>
      <c r="C800" s="74">
        <f t="shared" si="123"/>
        <v>-20433.748939279416</v>
      </c>
      <c r="D800" s="74">
        <f t="shared" si="124"/>
        <v>16577.025259382008</v>
      </c>
      <c r="E800" s="74">
        <f t="shared" si="125"/>
        <v>7121.8081969932373</v>
      </c>
      <c r="F800" s="74">
        <f t="shared" si="119"/>
        <v>-4999.1741393026941</v>
      </c>
      <c r="G800" s="74">
        <f t="shared" si="120"/>
        <v>-2089.4913690170661</v>
      </c>
      <c r="H800" s="74">
        <f t="shared" si="126"/>
        <v>9995.5610653300919</v>
      </c>
      <c r="I800" s="74">
        <f t="shared" si="127"/>
        <v>40433.748939279416</v>
      </c>
      <c r="J800" s="74">
        <f t="shared" si="128"/>
        <v>41650.921890102531</v>
      </c>
      <c r="K800" s="74">
        <f t="shared" si="129"/>
        <v>-30004.43893466991</v>
      </c>
      <c r="L800" s="74">
        <f t="shared" si="130"/>
        <v>40433.748939279416</v>
      </c>
      <c r="M800" s="74">
        <f t="shared" si="131"/>
        <v>50350.316871584975</v>
      </c>
      <c r="N800" s="74">
        <f t="shared" si="132"/>
        <v>-15004.438934669908</v>
      </c>
      <c r="O800" s="74">
        <f t="shared" si="133"/>
        <v>-14566.251060720584</v>
      </c>
      <c r="P800" s="74">
        <f t="shared" si="134"/>
        <v>20911.93098946584</v>
      </c>
    </row>
    <row r="801" spans="1:16" x14ac:dyDescent="0.3">
      <c r="A801" s="72">
        <f t="shared" si="121"/>
        <v>246</v>
      </c>
      <c r="B801" s="74">
        <f t="shared" si="122"/>
        <v>17043.15802953524</v>
      </c>
      <c r="C801" s="74">
        <f t="shared" si="123"/>
        <v>-17395.217683037063</v>
      </c>
      <c r="D801" s="74">
        <f t="shared" si="124"/>
        <v>14077.438189730661</v>
      </c>
      <c r="E801" s="74">
        <f t="shared" si="125"/>
        <v>6077.0625124847047</v>
      </c>
      <c r="F801" s="74">
        <f t="shared" si="119"/>
        <v>-3758.4288240575656</v>
      </c>
      <c r="G801" s="74">
        <f t="shared" si="120"/>
        <v>458.25642345795904</v>
      </c>
      <c r="H801" s="74">
        <f t="shared" si="126"/>
        <v>2956.8419704647604</v>
      </c>
      <c r="I801" s="74">
        <f t="shared" si="127"/>
        <v>37395.217683037059</v>
      </c>
      <c r="J801" s="74">
        <f t="shared" si="128"/>
        <v>37511.93436761199</v>
      </c>
      <c r="K801" s="74">
        <f t="shared" si="129"/>
        <v>-37043.15802953524</v>
      </c>
      <c r="L801" s="74">
        <f t="shared" si="130"/>
        <v>37395.217683037059</v>
      </c>
      <c r="M801" s="74">
        <f t="shared" si="131"/>
        <v>52636.468938967097</v>
      </c>
      <c r="N801" s="74">
        <f t="shared" si="132"/>
        <v>-22043.15802953524</v>
      </c>
      <c r="O801" s="74">
        <f t="shared" si="133"/>
        <v>-17604.782316962937</v>
      </c>
      <c r="P801" s="74">
        <f t="shared" si="134"/>
        <v>28210.444454894976</v>
      </c>
    </row>
    <row r="802" spans="1:16" x14ac:dyDescent="0.3">
      <c r="A802" s="72">
        <f t="shared" si="121"/>
        <v>246.5</v>
      </c>
      <c r="B802" s="74">
        <f t="shared" si="122"/>
        <v>23142.269918386177</v>
      </c>
      <c r="C802" s="74">
        <f t="shared" si="123"/>
        <v>-14242.122320930219</v>
      </c>
      <c r="D802" s="74">
        <f t="shared" si="124"/>
        <v>12198.223777701878</v>
      </c>
      <c r="E802" s="74">
        <f t="shared" si="125"/>
        <v>6306.190724213684</v>
      </c>
      <c r="F802" s="74">
        <f t="shared" si="119"/>
        <v>-3273.2726699165319</v>
      </c>
      <c r="G802" s="74">
        <f t="shared" si="120"/>
        <v>1742.106709261323</v>
      </c>
      <c r="H802" s="74">
        <f t="shared" si="126"/>
        <v>-3142.2699183861769</v>
      </c>
      <c r="I802" s="74">
        <f t="shared" si="127"/>
        <v>34242.122320930219</v>
      </c>
      <c r="J802" s="74">
        <f t="shared" si="128"/>
        <v>34385.997168637441</v>
      </c>
      <c r="K802" s="74">
        <f t="shared" si="129"/>
        <v>-43142.269918386177</v>
      </c>
      <c r="L802" s="74">
        <f t="shared" si="130"/>
        <v>34242.122320930219</v>
      </c>
      <c r="M802" s="74">
        <f t="shared" si="131"/>
        <v>55079.745776033102</v>
      </c>
      <c r="N802" s="74">
        <f t="shared" si="132"/>
        <v>-28142.269918386177</v>
      </c>
      <c r="O802" s="74">
        <f t="shared" si="133"/>
        <v>-20757.877679069781</v>
      </c>
      <c r="P802" s="74">
        <f t="shared" si="134"/>
        <v>34969.656016302579</v>
      </c>
    </row>
    <row r="803" spans="1:16" x14ac:dyDescent="0.3">
      <c r="A803" s="72">
        <f t="shared" si="121"/>
        <v>247</v>
      </c>
      <c r="B803" s="74">
        <f t="shared" si="122"/>
        <v>28423.06363975798</v>
      </c>
      <c r="C803" s="74">
        <f t="shared" si="123"/>
        <v>-10653.500281508046</v>
      </c>
      <c r="D803" s="74">
        <f t="shared" si="124"/>
        <v>10561.587442743612</v>
      </c>
      <c r="E803" s="74">
        <f t="shared" si="125"/>
        <v>7177.2440788443455</v>
      </c>
      <c r="F803" s="74">
        <f t="shared" si="119"/>
        <v>-3307.6013837399223</v>
      </c>
      <c r="G803" s="74">
        <f t="shared" si="120"/>
        <v>2484.0622347143267</v>
      </c>
      <c r="H803" s="74">
        <f t="shared" si="126"/>
        <v>-8423.0636397579801</v>
      </c>
      <c r="I803" s="74">
        <f t="shared" si="127"/>
        <v>30653.500281508044</v>
      </c>
      <c r="J803" s="74">
        <f t="shared" si="128"/>
        <v>31789.70085716169</v>
      </c>
      <c r="K803" s="74">
        <f t="shared" si="129"/>
        <v>-48423.06363975798</v>
      </c>
      <c r="L803" s="74">
        <f t="shared" si="130"/>
        <v>30653.500281508044</v>
      </c>
      <c r="M803" s="74">
        <f t="shared" si="131"/>
        <v>57309.948279233904</v>
      </c>
      <c r="N803" s="74">
        <f t="shared" si="132"/>
        <v>-33423.06363975798</v>
      </c>
      <c r="O803" s="74">
        <f t="shared" si="133"/>
        <v>-24346.499718491956</v>
      </c>
      <c r="P803" s="74">
        <f t="shared" si="134"/>
        <v>41350.371601834981</v>
      </c>
    </row>
    <row r="804" spans="1:16" x14ac:dyDescent="0.3">
      <c r="A804" s="72">
        <f t="shared" si="121"/>
        <v>247.5</v>
      </c>
      <c r="B804" s="74">
        <f t="shared" si="122"/>
        <v>32876.957015194799</v>
      </c>
      <c r="C804" s="74">
        <f t="shared" si="123"/>
        <v>-6443.862683407292</v>
      </c>
      <c r="D804" s="74">
        <f t="shared" si="124"/>
        <v>8907.7867508736508</v>
      </c>
      <c r="E804" s="74">
        <f t="shared" si="125"/>
        <v>8419.2751962015082</v>
      </c>
      <c r="F804" s="74">
        <f t="shared" si="119"/>
        <v>-3725.7341646854184</v>
      </c>
      <c r="G804" s="74">
        <f t="shared" si="120"/>
        <v>2911.6978356121563</v>
      </c>
      <c r="H804" s="74">
        <f t="shared" si="126"/>
        <v>-12876.957015194799</v>
      </c>
      <c r="I804" s="74">
        <f t="shared" si="127"/>
        <v>26443.862683407293</v>
      </c>
      <c r="J804" s="74">
        <f t="shared" si="128"/>
        <v>29412.478569309238</v>
      </c>
      <c r="K804" s="74">
        <f t="shared" si="129"/>
        <v>-52876.957015194799</v>
      </c>
      <c r="L804" s="74">
        <f t="shared" si="130"/>
        <v>26443.862683407293</v>
      </c>
      <c r="M804" s="74">
        <f t="shared" si="131"/>
        <v>59120.643237414624</v>
      </c>
      <c r="N804" s="74">
        <f t="shared" si="132"/>
        <v>-37876.957015194799</v>
      </c>
      <c r="O804" s="74">
        <f t="shared" si="133"/>
        <v>-28556.137316592707</v>
      </c>
      <c r="P804" s="74">
        <f t="shared" si="134"/>
        <v>47435.396606068483</v>
      </c>
    </row>
    <row r="805" spans="1:16" x14ac:dyDescent="0.3">
      <c r="A805" s="72">
        <f t="shared" si="121"/>
        <v>248</v>
      </c>
      <c r="B805" s="74">
        <f t="shared" si="122"/>
        <v>36399.416849460271</v>
      </c>
      <c r="C805" s="74">
        <f t="shared" si="123"/>
        <v>-1506.3006264034989</v>
      </c>
      <c r="D805" s="74">
        <f t="shared" si="124"/>
        <v>7044.9196685309416</v>
      </c>
      <c r="E805" s="74">
        <f t="shared" si="125"/>
        <v>9875.1241140075872</v>
      </c>
      <c r="F805" s="74">
        <f t="shared" si="119"/>
        <v>-4491.2207485760337</v>
      </c>
      <c r="G805" s="74">
        <f t="shared" si="120"/>
        <v>3079.7386757982017</v>
      </c>
      <c r="H805" s="74">
        <f t="shared" si="126"/>
        <v>-16399.416849460271</v>
      </c>
      <c r="I805" s="74">
        <f t="shared" si="127"/>
        <v>21506.300626403499</v>
      </c>
      <c r="J805" s="74">
        <f t="shared" si="128"/>
        <v>27045.551198590962</v>
      </c>
      <c r="K805" s="74">
        <f t="shared" si="129"/>
        <v>-56399.416849460271</v>
      </c>
      <c r="L805" s="74">
        <f t="shared" si="130"/>
        <v>21506.300626403499</v>
      </c>
      <c r="M805" s="74">
        <f t="shared" si="131"/>
        <v>60360.708971916712</v>
      </c>
      <c r="N805" s="74">
        <f t="shared" si="132"/>
        <v>-41399.416849460271</v>
      </c>
      <c r="O805" s="74">
        <f t="shared" si="133"/>
        <v>-33493.699373596501</v>
      </c>
      <c r="P805" s="74">
        <f t="shared" si="134"/>
        <v>53251.663008813477</v>
      </c>
    </row>
    <row r="806" spans="1:16" x14ac:dyDescent="0.3">
      <c r="A806" s="72">
        <f t="shared" si="121"/>
        <v>248.5</v>
      </c>
      <c r="B806" s="74">
        <f t="shared" si="122"/>
        <v>38799.071496581731</v>
      </c>
      <c r="C806" s="74">
        <f t="shared" si="123"/>
        <v>4201.1960995498448</v>
      </c>
      <c r="D806" s="74">
        <f t="shared" si="124"/>
        <v>4799.3092942429248</v>
      </c>
      <c r="E806" s="74">
        <f t="shared" si="125"/>
        <v>11414.993451906688</v>
      </c>
      <c r="F806" s="74">
        <f t="shared" si="119"/>
        <v>-5634.6895180304437</v>
      </c>
      <c r="G806" s="74">
        <f t="shared" si="120"/>
        <v>2922.0267273674585</v>
      </c>
      <c r="H806" s="74">
        <f t="shared" si="126"/>
        <v>-18799.071496581731</v>
      </c>
      <c r="I806" s="74">
        <f t="shared" si="127"/>
        <v>15798.803900450155</v>
      </c>
      <c r="J806" s="74">
        <f t="shared" si="128"/>
        <v>24556.20682879322</v>
      </c>
      <c r="K806" s="74">
        <f t="shared" si="129"/>
        <v>-58799.071496581731</v>
      </c>
      <c r="L806" s="74">
        <f t="shared" si="130"/>
        <v>15798.803900450155</v>
      </c>
      <c r="M806" s="74">
        <f t="shared" si="131"/>
        <v>60884.587651925583</v>
      </c>
      <c r="N806" s="74">
        <f t="shared" si="132"/>
        <v>-43799.071496581731</v>
      </c>
      <c r="O806" s="74">
        <f t="shared" si="133"/>
        <v>-39201.196099549845</v>
      </c>
      <c r="P806" s="74">
        <f t="shared" si="134"/>
        <v>58780.034362001184</v>
      </c>
    </row>
    <row r="807" spans="1:16" x14ac:dyDescent="0.3">
      <c r="A807" s="72">
        <f t="shared" si="121"/>
        <v>249</v>
      </c>
      <c r="B807" s="74">
        <f t="shared" si="122"/>
        <v>39790.053764195582</v>
      </c>
      <c r="C807" s="74">
        <f t="shared" si="123"/>
        <v>10639.199507345054</v>
      </c>
      <c r="D807" s="74">
        <f t="shared" si="124"/>
        <v>1981.964535227703</v>
      </c>
      <c r="E807" s="74">
        <f t="shared" si="125"/>
        <v>12876.006815590417</v>
      </c>
      <c r="F807" s="74">
        <f t="shared" si="119"/>
        <v>-7201.5048765559141</v>
      </c>
      <c r="G807" s="74">
        <f t="shared" si="120"/>
        <v>2195.5698636705283</v>
      </c>
      <c r="H807" s="74">
        <f t="shared" si="126"/>
        <v>-19790.053764195582</v>
      </c>
      <c r="I807" s="74">
        <f t="shared" si="127"/>
        <v>9360.8004926549456</v>
      </c>
      <c r="J807" s="74">
        <f t="shared" si="128"/>
        <v>21892.254654398683</v>
      </c>
      <c r="K807" s="74">
        <f t="shared" si="129"/>
        <v>-59790.053764195582</v>
      </c>
      <c r="L807" s="74">
        <f t="shared" si="130"/>
        <v>9360.8004926549456</v>
      </c>
      <c r="M807" s="74">
        <f t="shared" si="131"/>
        <v>60518.386586133369</v>
      </c>
      <c r="N807" s="74">
        <f t="shared" si="132"/>
        <v>-44790.053764195582</v>
      </c>
      <c r="O807" s="74">
        <f t="shared" si="133"/>
        <v>-45639.199507345053</v>
      </c>
      <c r="P807" s="74">
        <f t="shared" si="134"/>
        <v>63945.957244150908</v>
      </c>
    </row>
    <row r="808" spans="1:16" x14ac:dyDescent="0.3">
      <c r="A808" s="72">
        <f t="shared" si="121"/>
        <v>249.5</v>
      </c>
      <c r="B808" s="74">
        <f t="shared" si="122"/>
        <v>38980.659812670456</v>
      </c>
      <c r="C808" s="74">
        <f t="shared" si="123"/>
        <v>17626.095381057898</v>
      </c>
      <c r="D808" s="74">
        <f t="shared" si="124"/>
        <v>-1618.787903050254</v>
      </c>
      <c r="E808" s="74">
        <f t="shared" si="125"/>
        <v>13973.791747425681</v>
      </c>
      <c r="F808" s="74">
        <f t="shared" si="119"/>
        <v>-9057.8162742277946</v>
      </c>
      <c r="G808" s="74">
        <f t="shared" si="120"/>
        <v>350.81205422584185</v>
      </c>
      <c r="H808" s="74">
        <f t="shared" si="126"/>
        <v>-18980.659812670456</v>
      </c>
      <c r="I808" s="74">
        <f t="shared" si="127"/>
        <v>2373.9046189421024</v>
      </c>
      <c r="J808" s="74">
        <f t="shared" si="128"/>
        <v>19128.535491881179</v>
      </c>
      <c r="K808" s="74">
        <f t="shared" si="129"/>
        <v>-58980.659812670456</v>
      </c>
      <c r="L808" s="74">
        <f t="shared" si="130"/>
        <v>2373.9046189421024</v>
      </c>
      <c r="M808" s="74">
        <f t="shared" si="131"/>
        <v>59028.413963766587</v>
      </c>
      <c r="N808" s="74">
        <f t="shared" si="132"/>
        <v>-43980.659812670456</v>
      </c>
      <c r="O808" s="74">
        <f t="shared" si="133"/>
        <v>-52626.095381057894</v>
      </c>
      <c r="P808" s="74">
        <f t="shared" si="134"/>
        <v>68584.286484690121</v>
      </c>
    </row>
    <row r="809" spans="1:16" x14ac:dyDescent="0.3">
      <c r="A809" s="72">
        <f t="shared" si="121"/>
        <v>250</v>
      </c>
      <c r="B809" s="74">
        <f t="shared" si="122"/>
        <v>35906.811792588378</v>
      </c>
      <c r="C809" s="74">
        <f t="shared" si="123"/>
        <v>24700.694268327199</v>
      </c>
      <c r="D809" s="74">
        <f t="shared" si="124"/>
        <v>-6147.6960401641518</v>
      </c>
      <c r="E809" s="74">
        <f t="shared" si="125"/>
        <v>14149.197774538601</v>
      </c>
      <c r="F809" s="74">
        <f t="shared" si="119"/>
        <v>-10269.050092636337</v>
      </c>
      <c r="G809" s="74">
        <f t="shared" si="120"/>
        <v>-3406.8094422544391</v>
      </c>
      <c r="H809" s="74">
        <f t="shared" si="126"/>
        <v>-15906.811792588378</v>
      </c>
      <c r="I809" s="74">
        <f t="shared" si="127"/>
        <v>-4700.6942683271991</v>
      </c>
      <c r="J809" s="74">
        <f t="shared" si="128"/>
        <v>16586.837794140054</v>
      </c>
      <c r="K809" s="74">
        <f t="shared" si="129"/>
        <v>-55906.811792588378</v>
      </c>
      <c r="L809" s="74">
        <f t="shared" si="130"/>
        <v>-4700.6942683271991</v>
      </c>
      <c r="M809" s="74">
        <f t="shared" si="131"/>
        <v>56104.083019118872</v>
      </c>
      <c r="N809" s="74">
        <f t="shared" si="132"/>
        <v>-40906.811792588378</v>
      </c>
      <c r="O809" s="74">
        <f t="shared" si="133"/>
        <v>-59700.694268327199</v>
      </c>
      <c r="P809" s="74">
        <f t="shared" si="134"/>
        <v>72370.851502207181</v>
      </c>
    </row>
    <row r="810" spans="1:16" x14ac:dyDescent="0.3">
      <c r="A810" s="72">
        <f t="shared" si="121"/>
        <v>250.5</v>
      </c>
      <c r="B810" s="74">
        <f t="shared" si="122"/>
        <v>30265.701249347218</v>
      </c>
      <c r="C810" s="74">
        <f t="shared" si="123"/>
        <v>30923.590795032891</v>
      </c>
      <c r="D810" s="74">
        <f t="shared" si="124"/>
        <v>-11282.221086482321</v>
      </c>
      <c r="E810" s="74">
        <f t="shared" si="125"/>
        <v>12445.793053411382</v>
      </c>
      <c r="F810" s="74">
        <f t="shared" si="119"/>
        <v>-8457.4789208058755</v>
      </c>
      <c r="G810" s="74">
        <f t="shared" si="120"/>
        <v>-8629.5928049531649</v>
      </c>
      <c r="H810" s="74">
        <f t="shared" si="126"/>
        <v>-10265.701249347218</v>
      </c>
      <c r="I810" s="74">
        <f t="shared" si="127"/>
        <v>-10923.590795032891</v>
      </c>
      <c r="J810" s="74">
        <f t="shared" si="128"/>
        <v>14990.312138116949</v>
      </c>
      <c r="K810" s="74">
        <f t="shared" si="129"/>
        <v>-50265.701249347214</v>
      </c>
      <c r="L810" s="74">
        <f t="shared" si="130"/>
        <v>-10923.590795032891</v>
      </c>
      <c r="M810" s="74">
        <f t="shared" si="131"/>
        <v>51438.949813793377</v>
      </c>
      <c r="N810" s="74">
        <f t="shared" si="132"/>
        <v>-35265.701249347214</v>
      </c>
      <c r="O810" s="74">
        <f t="shared" si="133"/>
        <v>-65923.590795032884</v>
      </c>
      <c r="P810" s="74">
        <f t="shared" si="134"/>
        <v>74763.557351955606</v>
      </c>
    </row>
    <row r="811" spans="1:16" x14ac:dyDescent="0.3">
      <c r="A811" s="72">
        <f t="shared" si="121"/>
        <v>251</v>
      </c>
      <c r="B811" s="74">
        <f t="shared" si="122"/>
        <v>22510.220975904587</v>
      </c>
      <c r="C811" s="74">
        <f t="shared" si="123"/>
        <v>34989.089120500292</v>
      </c>
      <c r="D811" s="74">
        <f t="shared" si="124"/>
        <v>-15510.960546885259</v>
      </c>
      <c r="E811" s="74">
        <f t="shared" si="125"/>
        <v>8130.9966509347996</v>
      </c>
      <c r="F811" s="74">
        <f t="shared" si="119"/>
        <v>-2960.421775660267</v>
      </c>
      <c r="G811" s="74">
        <f t="shared" si="120"/>
        <v>-11433.837210559046</v>
      </c>
      <c r="H811" s="74">
        <f t="shared" si="126"/>
        <v>-2510.2209759045872</v>
      </c>
      <c r="I811" s="74">
        <f t="shared" si="127"/>
        <v>-14989.089120500292</v>
      </c>
      <c r="J811" s="74">
        <f t="shared" si="128"/>
        <v>15197.828858431443</v>
      </c>
      <c r="K811" s="74">
        <f t="shared" si="129"/>
        <v>-42510.220975904587</v>
      </c>
      <c r="L811" s="74">
        <f t="shared" si="130"/>
        <v>-14989.089120500292</v>
      </c>
      <c r="M811" s="74">
        <f t="shared" si="131"/>
        <v>45075.399943678131</v>
      </c>
      <c r="N811" s="74">
        <f t="shared" si="132"/>
        <v>-27510.220975904587</v>
      </c>
      <c r="O811" s="74">
        <f t="shared" si="133"/>
        <v>-69989.089120500284</v>
      </c>
      <c r="P811" s="74">
        <f t="shared" si="134"/>
        <v>75201.628001396573</v>
      </c>
    </row>
    <row r="812" spans="1:16" x14ac:dyDescent="0.3">
      <c r="A812" s="72">
        <f t="shared" si="121"/>
        <v>251.5</v>
      </c>
      <c r="B812" s="74">
        <f t="shared" si="122"/>
        <v>14014.63525854689</v>
      </c>
      <c r="C812" s="74">
        <f t="shared" si="123"/>
        <v>36196.128143327929</v>
      </c>
      <c r="D812" s="74">
        <f t="shared" si="124"/>
        <v>-16991.171434715394</v>
      </c>
      <c r="E812" s="74">
        <f t="shared" si="125"/>
        <v>2414.0780456552766</v>
      </c>
      <c r="F812" s="74">
        <f t="shared" si="119"/>
        <v>1685.3104042167954</v>
      </c>
      <c r="G812" s="74">
        <f t="shared" si="120"/>
        <v>-9872.9328135148226</v>
      </c>
      <c r="H812" s="74">
        <f t="shared" si="126"/>
        <v>5985.3647414531097</v>
      </c>
      <c r="I812" s="74">
        <f t="shared" si="127"/>
        <v>-16196.128143327929</v>
      </c>
      <c r="J812" s="74">
        <f t="shared" si="128"/>
        <v>17266.706632225181</v>
      </c>
      <c r="K812" s="74">
        <f t="shared" si="129"/>
        <v>-34014.635258546892</v>
      </c>
      <c r="L812" s="74">
        <f t="shared" si="130"/>
        <v>-16196.128143327929</v>
      </c>
      <c r="M812" s="74">
        <f t="shared" si="131"/>
        <v>37673.730617063666</v>
      </c>
      <c r="N812" s="74">
        <f t="shared" si="132"/>
        <v>-19014.635258546892</v>
      </c>
      <c r="O812" s="74">
        <f t="shared" si="133"/>
        <v>-71196.128143327922</v>
      </c>
      <c r="P812" s="74">
        <f t="shared" si="134"/>
        <v>73691.553224346848</v>
      </c>
    </row>
    <row r="813" spans="1:16" x14ac:dyDescent="0.3">
      <c r="A813" s="72">
        <f t="shared" si="121"/>
        <v>252</v>
      </c>
      <c r="B813" s="74">
        <f t="shared" si="122"/>
        <v>5940.377142243392</v>
      </c>
      <c r="C813" s="74">
        <f t="shared" si="123"/>
        <v>34934.933962776864</v>
      </c>
      <c r="D813" s="74">
        <f t="shared" si="124"/>
        <v>-16148.516232606997</v>
      </c>
      <c r="E813" s="74">
        <f t="shared" si="125"/>
        <v>-2522.3883611021347</v>
      </c>
      <c r="F813" s="74">
        <f t="shared" si="119"/>
        <v>2960.2695551899128</v>
      </c>
      <c r="G813" s="74">
        <f t="shared" si="120"/>
        <v>-7143.5087391772995</v>
      </c>
      <c r="H813" s="74">
        <f t="shared" si="126"/>
        <v>14059.622857756607</v>
      </c>
      <c r="I813" s="74">
        <f t="shared" si="127"/>
        <v>-14934.933962776864</v>
      </c>
      <c r="J813" s="74">
        <f t="shared" si="128"/>
        <v>20511.588124152109</v>
      </c>
      <c r="K813" s="74">
        <f t="shared" si="129"/>
        <v>-25940.377142243393</v>
      </c>
      <c r="L813" s="74">
        <f t="shared" si="130"/>
        <v>-14934.933962776864</v>
      </c>
      <c r="M813" s="74">
        <f t="shared" si="131"/>
        <v>29932.514407485538</v>
      </c>
      <c r="N813" s="74">
        <f t="shared" si="132"/>
        <v>-10940.377142243393</v>
      </c>
      <c r="O813" s="74">
        <f t="shared" si="133"/>
        <v>-69934.933962776864</v>
      </c>
      <c r="P813" s="74">
        <f t="shared" si="134"/>
        <v>70785.498800195535</v>
      </c>
    </row>
    <row r="814" spans="1:16" x14ac:dyDescent="0.3">
      <c r="A814" s="72">
        <f t="shared" si="121"/>
        <v>252.5</v>
      </c>
      <c r="B814" s="74">
        <f t="shared" si="122"/>
        <v>-1393.8135852626283</v>
      </c>
      <c r="C814" s="74">
        <f t="shared" si="123"/>
        <v>31887.862597431475</v>
      </c>
      <c r="D814" s="74">
        <f t="shared" si="124"/>
        <v>-14668.381455012041</v>
      </c>
      <c r="E814" s="74">
        <f t="shared" si="125"/>
        <v>-6094.1427306907844</v>
      </c>
      <c r="F814" s="74">
        <f t="shared" si="119"/>
        <v>1719.3572211305557</v>
      </c>
      <c r="G814" s="74">
        <f t="shared" si="120"/>
        <v>-5564.7429852799387</v>
      </c>
      <c r="H814" s="74">
        <f t="shared" si="126"/>
        <v>21393.813585262629</v>
      </c>
      <c r="I814" s="74">
        <f t="shared" si="127"/>
        <v>-11887.862597431475</v>
      </c>
      <c r="J814" s="74">
        <f t="shared" si="128"/>
        <v>24474.814337526201</v>
      </c>
      <c r="K814" s="74">
        <f t="shared" si="129"/>
        <v>-18606.186414737371</v>
      </c>
      <c r="L814" s="74">
        <f t="shared" si="130"/>
        <v>-11887.862597431475</v>
      </c>
      <c r="M814" s="74">
        <f t="shared" si="131"/>
        <v>22079.661456538859</v>
      </c>
      <c r="N814" s="74">
        <f t="shared" si="132"/>
        <v>-3606.1864147373717</v>
      </c>
      <c r="O814" s="74">
        <f t="shared" si="133"/>
        <v>-66887.862597431478</v>
      </c>
      <c r="P814" s="74">
        <f t="shared" si="134"/>
        <v>66985.003868856409</v>
      </c>
    </row>
    <row r="815" spans="1:16" x14ac:dyDescent="0.3">
      <c r="A815" s="72">
        <f t="shared" si="121"/>
        <v>253</v>
      </c>
      <c r="B815" s="74">
        <f t="shared" si="122"/>
        <v>-8298.1650074860081</v>
      </c>
      <c r="C815" s="74">
        <f t="shared" si="123"/>
        <v>27449.605485766097</v>
      </c>
      <c r="D815" s="74">
        <f t="shared" si="124"/>
        <v>-13808.702844446763</v>
      </c>
      <c r="E815" s="74">
        <f t="shared" si="125"/>
        <v>-8876.5142233307542</v>
      </c>
      <c r="F815" s="74">
        <f t="shared" si="119"/>
        <v>-2048.9220792267574</v>
      </c>
      <c r="G815" s="74">
        <f t="shared" si="120"/>
        <v>-5975.8584765460182</v>
      </c>
      <c r="H815" s="74">
        <f t="shared" si="126"/>
        <v>28298.165007486008</v>
      </c>
      <c r="I815" s="74">
        <f t="shared" si="127"/>
        <v>-7449.6054857660965</v>
      </c>
      <c r="J815" s="74">
        <f t="shared" si="128"/>
        <v>29262.309626624861</v>
      </c>
      <c r="K815" s="74">
        <f t="shared" si="129"/>
        <v>-11701.834992513992</v>
      </c>
      <c r="L815" s="74">
        <f t="shared" si="130"/>
        <v>-7449.6054857660965</v>
      </c>
      <c r="M815" s="74">
        <f t="shared" si="131"/>
        <v>13871.898359113697</v>
      </c>
      <c r="N815" s="74">
        <f t="shared" si="132"/>
        <v>3298.1650074860081</v>
      </c>
      <c r="O815" s="74">
        <f t="shared" si="133"/>
        <v>-62449.605485766093</v>
      </c>
      <c r="P815" s="74">
        <f t="shared" si="134"/>
        <v>62536.638203092043</v>
      </c>
    </row>
    <row r="816" spans="1:16" x14ac:dyDescent="0.3">
      <c r="A816" s="72">
        <f t="shared" si="121"/>
        <v>253.5</v>
      </c>
      <c r="B816" s="74">
        <f t="shared" si="122"/>
        <v>-15714.74694951608</v>
      </c>
      <c r="C816" s="74">
        <f t="shared" si="123"/>
        <v>21517.383754964212</v>
      </c>
      <c r="D816" s="74">
        <f t="shared" si="124"/>
        <v>-14833.163884060143</v>
      </c>
      <c r="E816" s="74">
        <f t="shared" si="125"/>
        <v>-11864.443461603763</v>
      </c>
      <c r="F816" s="74">
        <f t="shared" si="119"/>
        <v>-8646.4759638125488</v>
      </c>
      <c r="G816" s="74">
        <f t="shared" si="120"/>
        <v>-5490.9312312260899</v>
      </c>
      <c r="H816" s="74">
        <f t="shared" si="126"/>
        <v>35714.746949516077</v>
      </c>
      <c r="I816" s="74">
        <f t="shared" si="127"/>
        <v>-1517.3837549642121</v>
      </c>
      <c r="J816" s="74">
        <f t="shared" si="128"/>
        <v>35746.966348597991</v>
      </c>
      <c r="K816" s="74">
        <f t="shared" si="129"/>
        <v>-4285.2530504839197</v>
      </c>
      <c r="L816" s="74">
        <f t="shared" si="130"/>
        <v>-1517.3837549642121</v>
      </c>
      <c r="M816" s="74">
        <f t="shared" si="131"/>
        <v>4545.9704317682308</v>
      </c>
      <c r="N816" s="74">
        <f t="shared" si="132"/>
        <v>10714.74694951608</v>
      </c>
      <c r="O816" s="74">
        <f t="shared" si="133"/>
        <v>-56517.383754964212</v>
      </c>
      <c r="P816" s="74">
        <f t="shared" si="134"/>
        <v>57524.085987506631</v>
      </c>
    </row>
    <row r="817" spans="1:16" x14ac:dyDescent="0.3">
      <c r="A817" s="72">
        <f t="shared" si="121"/>
        <v>254</v>
      </c>
      <c r="B817" s="74">
        <f t="shared" si="122"/>
        <v>-25292.947882499291</v>
      </c>
      <c r="C817" s="74">
        <f t="shared" si="123"/>
        <v>14212.429216355809</v>
      </c>
      <c r="D817" s="74">
        <f t="shared" si="124"/>
        <v>-19156.401865966418</v>
      </c>
      <c r="E817" s="74">
        <f t="shared" si="125"/>
        <v>-14609.909077216809</v>
      </c>
      <c r="F817" s="74">
        <f t="shared" si="119"/>
        <v>10465.526062012515</v>
      </c>
      <c r="G817" s="74">
        <f t="shared" si="120"/>
        <v>7767.4073801245413</v>
      </c>
      <c r="H817" s="74">
        <f t="shared" si="126"/>
        <v>45292.947882499291</v>
      </c>
      <c r="I817" s="74">
        <f t="shared" si="127"/>
        <v>5787.5707836441907</v>
      </c>
      <c r="J817" s="74">
        <f t="shared" si="128"/>
        <v>45661.221002755599</v>
      </c>
      <c r="K817" s="74">
        <f t="shared" si="129"/>
        <v>5292.9478824992912</v>
      </c>
      <c r="L817" s="74">
        <f t="shared" si="130"/>
        <v>5787.5707836441907</v>
      </c>
      <c r="M817" s="74">
        <f t="shared" si="131"/>
        <v>7842.9122692113269</v>
      </c>
      <c r="N817" s="74">
        <f t="shared" si="132"/>
        <v>20292.947882499291</v>
      </c>
      <c r="O817" s="74">
        <f t="shared" si="133"/>
        <v>-49212.429216355813</v>
      </c>
      <c r="P817" s="74">
        <f t="shared" si="134"/>
        <v>53232.198180581116</v>
      </c>
    </row>
    <row r="818" spans="1:16" x14ac:dyDescent="0.3">
      <c r="A818" s="72">
        <f t="shared" si="121"/>
        <v>254.5</v>
      </c>
      <c r="B818" s="74">
        <f t="shared" si="122"/>
        <v>-32254.767299979369</v>
      </c>
      <c r="C818" s="74">
        <f t="shared" si="123"/>
        <v>8849.3265227785396</v>
      </c>
      <c r="D818" s="74">
        <f t="shared" si="124"/>
        <v>-13923.63883496016</v>
      </c>
      <c r="E818" s="74">
        <f t="shared" si="125"/>
        <v>-10726.205387154539</v>
      </c>
      <c r="F818" s="74">
        <f t="shared" si="119"/>
        <v>6367.4798292783344</v>
      </c>
      <c r="G818" s="74">
        <f t="shared" si="120"/>
        <v>2867.5110625007073</v>
      </c>
      <c r="H818" s="74">
        <f t="shared" si="126"/>
        <v>52254.767299979372</v>
      </c>
      <c r="I818" s="74">
        <f t="shared" si="127"/>
        <v>11150.67347722146</v>
      </c>
      <c r="J818" s="74">
        <f t="shared" si="128"/>
        <v>53431.247641905233</v>
      </c>
      <c r="K818" s="74">
        <f t="shared" si="129"/>
        <v>12254.767299979369</v>
      </c>
      <c r="L818" s="74">
        <f t="shared" si="130"/>
        <v>11150.67347722146</v>
      </c>
      <c r="M818" s="74">
        <f t="shared" si="131"/>
        <v>16568.549742577161</v>
      </c>
      <c r="N818" s="74">
        <f t="shared" si="132"/>
        <v>27254.767299979369</v>
      </c>
      <c r="O818" s="74">
        <f t="shared" si="133"/>
        <v>-43849.326522778538</v>
      </c>
      <c r="P818" s="74">
        <f t="shared" si="134"/>
        <v>51629.311220248463</v>
      </c>
    </row>
    <row r="819" spans="1:16" x14ac:dyDescent="0.3">
      <c r="A819" s="72">
        <f t="shared" si="121"/>
        <v>255</v>
      </c>
      <c r="B819" s="74">
        <f t="shared" si="122"/>
        <v>-37624.716760139861</v>
      </c>
      <c r="C819" s="74">
        <f t="shared" si="123"/>
        <v>4203.1015948264467</v>
      </c>
      <c r="D819" s="74">
        <f t="shared" si="124"/>
        <v>-10739.898920320993</v>
      </c>
      <c r="E819" s="74">
        <f t="shared" si="125"/>
        <v>-9292.4498559041858</v>
      </c>
      <c r="F819" s="74">
        <f t="shared" si="119"/>
        <v>4482.9445283492732</v>
      </c>
      <c r="G819" s="74">
        <f t="shared" si="120"/>
        <v>1300.5063009603261</v>
      </c>
      <c r="H819" s="74">
        <f t="shared" si="126"/>
        <v>57624.716760139861</v>
      </c>
      <c r="I819" s="74">
        <f t="shared" si="127"/>
        <v>15796.898405173553</v>
      </c>
      <c r="J819" s="74">
        <f t="shared" si="128"/>
        <v>59750.732053337379</v>
      </c>
      <c r="K819" s="74">
        <f t="shared" si="129"/>
        <v>17624.716760139861</v>
      </c>
      <c r="L819" s="74">
        <f t="shared" si="130"/>
        <v>15796.898405173553</v>
      </c>
      <c r="M819" s="74">
        <f t="shared" si="131"/>
        <v>23667.966539154346</v>
      </c>
      <c r="N819" s="74">
        <f t="shared" si="132"/>
        <v>32624.716760139861</v>
      </c>
      <c r="O819" s="74">
        <f t="shared" si="133"/>
        <v>-39203.101594826447</v>
      </c>
      <c r="P819" s="74">
        <f t="shared" si="134"/>
        <v>51002.503059493414</v>
      </c>
    </row>
    <row r="820" spans="1:16" x14ac:dyDescent="0.3">
      <c r="A820" s="72">
        <f t="shared" si="121"/>
        <v>255.5</v>
      </c>
      <c r="B820" s="74">
        <f t="shared" si="122"/>
        <v>-41873.930088213041</v>
      </c>
      <c r="C820" s="74">
        <f t="shared" si="123"/>
        <v>-117.9967578855647</v>
      </c>
      <c r="D820" s="74">
        <f t="shared" si="124"/>
        <v>-8498.4266561463555</v>
      </c>
      <c r="E820" s="74">
        <f t="shared" si="125"/>
        <v>-8642.1967054240231</v>
      </c>
      <c r="F820" s="74">
        <f t="shared" si="119"/>
        <v>3633.3940081745845</v>
      </c>
      <c r="G820" s="74">
        <f t="shared" si="120"/>
        <v>720.25554983210623</v>
      </c>
      <c r="H820" s="74">
        <f t="shared" si="126"/>
        <v>61873.930088213041</v>
      </c>
      <c r="I820" s="74">
        <f t="shared" si="127"/>
        <v>20117.996757885565</v>
      </c>
      <c r="J820" s="74">
        <f t="shared" si="128"/>
        <v>65062.408640561174</v>
      </c>
      <c r="K820" s="74">
        <f t="shared" si="129"/>
        <v>21873.930088213041</v>
      </c>
      <c r="L820" s="74">
        <f t="shared" si="130"/>
        <v>20117.996757885565</v>
      </c>
      <c r="M820" s="74">
        <f t="shared" si="131"/>
        <v>29718.724923090591</v>
      </c>
      <c r="N820" s="74">
        <f t="shared" si="132"/>
        <v>36873.930088213041</v>
      </c>
      <c r="O820" s="74">
        <f t="shared" si="133"/>
        <v>-34882.003242114435</v>
      </c>
      <c r="P820" s="74">
        <f t="shared" si="134"/>
        <v>50758.653157203706</v>
      </c>
    </row>
    <row r="821" spans="1:16" x14ac:dyDescent="0.3">
      <c r="A821" s="72">
        <f t="shared" si="121"/>
        <v>256</v>
      </c>
      <c r="B821" s="74">
        <f t="shared" si="122"/>
        <v>-45214.794914242571</v>
      </c>
      <c r="C821" s="74">
        <f t="shared" si="123"/>
        <v>-4259.0312231395501</v>
      </c>
      <c r="D821" s="74">
        <f t="shared" si="124"/>
        <v>-6681.7296520590635</v>
      </c>
      <c r="E821" s="74">
        <f t="shared" si="125"/>
        <v>-8282.0689305079704</v>
      </c>
      <c r="F821" s="74">
        <f t="shared" si="119"/>
        <v>3182.2212045595111</v>
      </c>
      <c r="G821" s="74">
        <f t="shared" si="120"/>
        <v>480.26846717409103</v>
      </c>
      <c r="H821" s="74">
        <f t="shared" si="126"/>
        <v>65214.794914242571</v>
      </c>
      <c r="I821" s="74">
        <f t="shared" si="127"/>
        <v>24259.031223139551</v>
      </c>
      <c r="J821" s="74">
        <f t="shared" si="128"/>
        <v>69580.673118273131</v>
      </c>
      <c r="K821" s="74">
        <f t="shared" si="129"/>
        <v>25214.794914242571</v>
      </c>
      <c r="L821" s="74">
        <f t="shared" si="130"/>
        <v>24259.031223139551</v>
      </c>
      <c r="M821" s="74">
        <f t="shared" si="131"/>
        <v>34989.805350309864</v>
      </c>
      <c r="N821" s="74">
        <f t="shared" si="132"/>
        <v>40214.794914242571</v>
      </c>
      <c r="O821" s="74">
        <f t="shared" si="133"/>
        <v>-30740.968776860449</v>
      </c>
      <c r="P821" s="74">
        <f t="shared" si="134"/>
        <v>50618.542959418533</v>
      </c>
    </row>
    <row r="822" spans="1:16" x14ac:dyDescent="0.3">
      <c r="A822" s="72">
        <f t="shared" si="121"/>
        <v>256.5</v>
      </c>
      <c r="B822" s="74">
        <f t="shared" si="122"/>
        <v>-47760.104439132221</v>
      </c>
      <c r="C822" s="74">
        <f t="shared" si="123"/>
        <v>-8279.9985716000119</v>
      </c>
      <c r="D822" s="74">
        <f t="shared" si="124"/>
        <v>-5090.6190497793077</v>
      </c>
      <c r="E822" s="74">
        <f t="shared" si="125"/>
        <v>-8041.9346969209246</v>
      </c>
      <c r="F822" s="74">
        <f t="shared" ref="F822:F885" si="135">$C$23*(H822/(J822^2+$C$24^2)^1.5)+$C$32*(K822/(M822^2+$C$33^2)^1.5)+C$41*(N822/(P822^2+$C$42^2)^1.5)</f>
        <v>2917.2423966575052</v>
      </c>
      <c r="G822" s="74">
        <f t="shared" ref="G822:G885" si="136">$C$23*(I822/(J822^2+$C$24^2)^1.5)+$C$32*(L822/(M822^2+$C$33^2)^1.5)+C$41*(O822/(P822^2+$C$42^2)^1.5)</f>
        <v>385.03648164812535</v>
      </c>
      <c r="H822" s="74">
        <f t="shared" si="126"/>
        <v>67760.104439132221</v>
      </c>
      <c r="I822" s="74">
        <f t="shared" si="127"/>
        <v>28279.998571600012</v>
      </c>
      <c r="J822" s="74">
        <f t="shared" si="128"/>
        <v>73424.723852472234</v>
      </c>
      <c r="K822" s="74">
        <f t="shared" si="129"/>
        <v>27760.104439132221</v>
      </c>
      <c r="L822" s="74">
        <f t="shared" si="130"/>
        <v>28279.998571600012</v>
      </c>
      <c r="M822" s="74">
        <f t="shared" si="131"/>
        <v>39628.042062171422</v>
      </c>
      <c r="N822" s="74">
        <f t="shared" si="132"/>
        <v>42760.104439132221</v>
      </c>
      <c r="O822" s="74">
        <f t="shared" si="133"/>
        <v>-26720.001428399988</v>
      </c>
      <c r="P822" s="74">
        <f t="shared" si="134"/>
        <v>50422.068660252255</v>
      </c>
    </row>
    <row r="823" spans="1:16" x14ac:dyDescent="0.3">
      <c r="A823" s="72">
        <f t="shared" ref="A823:A886" si="137">A822+$C$5</f>
        <v>257</v>
      </c>
      <c r="B823" s="74">
        <f t="shared" ref="B823:B886" si="138">B822+D822*(A823-A822)+F822*(A823-A822)^2</f>
        <v>-49576.103364857503</v>
      </c>
      <c r="C823" s="74">
        <f t="shared" ref="C823:C886" si="139">C822+E822*(A823-A822)+G822*(A823-A822)^2</f>
        <v>-12204.706799648444</v>
      </c>
      <c r="D823" s="74">
        <f t="shared" ref="D823:D886" si="140">D822+F822*(A823-A822)</f>
        <v>-3631.9978514505551</v>
      </c>
      <c r="E823" s="74">
        <f t="shared" ref="E823:E886" si="141">E822+G822*(A823-A822)</f>
        <v>-7849.416456096862</v>
      </c>
      <c r="F823" s="74">
        <f t="shared" si="135"/>
        <v>2755.7692239772705</v>
      </c>
      <c r="G823" s="74">
        <f t="shared" si="136"/>
        <v>360.76625514255079</v>
      </c>
      <c r="H823" s="74">
        <f t="shared" ref="H823:H886" si="142">$C$19-B823</f>
        <v>69576.103364857496</v>
      </c>
      <c r="I823" s="74">
        <f t="shared" ref="I823:I886" si="143">$D$19-C823</f>
        <v>32204.706799648444</v>
      </c>
      <c r="J823" s="74">
        <f t="shared" ref="J823:J886" si="144">SQRT(H823^2+I823^2)</f>
        <v>76667.967884173486</v>
      </c>
      <c r="K823" s="74">
        <f t="shared" ref="K823:K886" si="145">$C$28-B823</f>
        <v>29576.103364857503</v>
      </c>
      <c r="L823" s="74">
        <f t="shared" ref="L823:L886" si="146">$D$28-C823</f>
        <v>32204.706799648444</v>
      </c>
      <c r="M823" s="74">
        <f t="shared" ref="M823:M886" si="147">SQRT(K823^2+L823^2)</f>
        <v>43725.153290755399</v>
      </c>
      <c r="N823" s="74">
        <f t="shared" ref="N823:N886" si="148">$C$37-B823</f>
        <v>44576.103364857503</v>
      </c>
      <c r="O823" s="74">
        <f t="shared" ref="O823:O886" si="149">$D$37-C823</f>
        <v>-22795.293200351556</v>
      </c>
      <c r="P823" s="74">
        <f t="shared" ref="P823:P886" si="150">SQRT(N823^2+O823^2)</f>
        <v>50066.499610862098</v>
      </c>
    </row>
    <row r="824" spans="1:16" x14ac:dyDescent="0.3">
      <c r="A824" s="72">
        <f t="shared" si="137"/>
        <v>257.5</v>
      </c>
      <c r="B824" s="74">
        <f t="shared" si="138"/>
        <v>-50703.159984588463</v>
      </c>
      <c r="C824" s="74">
        <f t="shared" si="139"/>
        <v>-16039.223463911238</v>
      </c>
      <c r="D824" s="74">
        <f t="shared" si="140"/>
        <v>-2254.1132394619199</v>
      </c>
      <c r="E824" s="74">
        <f t="shared" si="141"/>
        <v>-7669.0333285255865</v>
      </c>
      <c r="F824" s="74">
        <f t="shared" si="135"/>
        <v>2661.7711185110093</v>
      </c>
      <c r="G824" s="74">
        <f t="shared" si="136"/>
        <v>375.79898795378699</v>
      </c>
      <c r="H824" s="74">
        <f t="shared" si="142"/>
        <v>70703.159984588463</v>
      </c>
      <c r="I824" s="74">
        <f t="shared" si="143"/>
        <v>36039.223463911236</v>
      </c>
      <c r="J824" s="74">
        <f t="shared" si="144"/>
        <v>79358.44290110562</v>
      </c>
      <c r="K824" s="74">
        <f t="shared" si="145"/>
        <v>30703.159984588463</v>
      </c>
      <c r="L824" s="74">
        <f t="shared" si="146"/>
        <v>36039.223463911236</v>
      </c>
      <c r="M824" s="74">
        <f t="shared" si="147"/>
        <v>47344.584282903619</v>
      </c>
      <c r="N824" s="74">
        <f t="shared" si="148"/>
        <v>45703.159984588463</v>
      </c>
      <c r="O824" s="74">
        <f t="shared" si="149"/>
        <v>-18960.776536088764</v>
      </c>
      <c r="P824" s="74">
        <f t="shared" si="150"/>
        <v>49480.196841043209</v>
      </c>
    </row>
    <row r="825" spans="1:16" x14ac:dyDescent="0.3">
      <c r="A825" s="72">
        <f t="shared" si="137"/>
        <v>258</v>
      </c>
      <c r="B825" s="74">
        <f t="shared" si="138"/>
        <v>-51164.773824691671</v>
      </c>
      <c r="C825" s="74">
        <f t="shared" si="139"/>
        <v>-19779.790381185583</v>
      </c>
      <c r="D825" s="74">
        <f t="shared" si="140"/>
        <v>-923.22768020641524</v>
      </c>
      <c r="E825" s="74">
        <f t="shared" si="141"/>
        <v>-7481.1338345486929</v>
      </c>
      <c r="F825" s="74">
        <f t="shared" si="135"/>
        <v>2619.0948861640309</v>
      </c>
      <c r="G825" s="74">
        <f t="shared" si="136"/>
        <v>416.06742124917423</v>
      </c>
      <c r="H825" s="74">
        <f t="shared" si="142"/>
        <v>71164.773824691671</v>
      </c>
      <c r="I825" s="74">
        <f t="shared" si="143"/>
        <v>39779.790381185579</v>
      </c>
      <c r="J825" s="74">
        <f t="shared" si="144"/>
        <v>81528.257409873448</v>
      </c>
      <c r="K825" s="74">
        <f t="shared" si="145"/>
        <v>31164.773824691671</v>
      </c>
      <c r="L825" s="74">
        <f t="shared" si="146"/>
        <v>39779.790381185579</v>
      </c>
      <c r="M825" s="74">
        <f t="shared" si="147"/>
        <v>50533.898032066078</v>
      </c>
      <c r="N825" s="74">
        <f t="shared" si="148"/>
        <v>46164.773824691671</v>
      </c>
      <c r="O825" s="74">
        <f t="shared" si="149"/>
        <v>-15220.209618814417</v>
      </c>
      <c r="P825" s="74">
        <f t="shared" si="150"/>
        <v>48609.06420746637</v>
      </c>
    </row>
    <row r="826" spans="1:16" x14ac:dyDescent="0.3">
      <c r="A826" s="72">
        <f t="shared" si="137"/>
        <v>258.5</v>
      </c>
      <c r="B826" s="74">
        <f t="shared" si="138"/>
        <v>-50971.613943253869</v>
      </c>
      <c r="C826" s="74">
        <f t="shared" si="139"/>
        <v>-23416.340443147637</v>
      </c>
      <c r="D826" s="74">
        <f t="shared" si="140"/>
        <v>386.31976287560019</v>
      </c>
      <c r="E826" s="74">
        <f t="shared" si="141"/>
        <v>-7273.1001239241059</v>
      </c>
      <c r="F826" s="74">
        <f t="shared" si="135"/>
        <v>2621.7292972704026</v>
      </c>
      <c r="G826" s="74">
        <f t="shared" si="136"/>
        <v>476.18850847007116</v>
      </c>
      <c r="H826" s="74">
        <f t="shared" si="142"/>
        <v>70971.613943253877</v>
      </c>
      <c r="I826" s="74">
        <f t="shared" si="143"/>
        <v>43416.340443147637</v>
      </c>
      <c r="J826" s="74">
        <f t="shared" si="144"/>
        <v>83198.248798791217</v>
      </c>
      <c r="K826" s="74">
        <f t="shared" si="145"/>
        <v>30971.613943253869</v>
      </c>
      <c r="L826" s="74">
        <f t="shared" si="146"/>
        <v>43416.340443147637</v>
      </c>
      <c r="M826" s="74">
        <f t="shared" si="147"/>
        <v>53331.224322391608</v>
      </c>
      <c r="N826" s="74">
        <f t="shared" si="148"/>
        <v>45971.613943253869</v>
      </c>
      <c r="O826" s="74">
        <f t="shared" si="149"/>
        <v>-11583.659556852363</v>
      </c>
      <c r="P826" s="74">
        <f t="shared" si="150"/>
        <v>47408.54835656361</v>
      </c>
    </row>
    <row r="827" spans="1:16" x14ac:dyDescent="0.3">
      <c r="A827" s="72">
        <f t="shared" si="137"/>
        <v>259</v>
      </c>
      <c r="B827" s="74">
        <f t="shared" si="138"/>
        <v>-50123.021737498464</v>
      </c>
      <c r="C827" s="74">
        <f t="shared" si="139"/>
        <v>-26933.843377992172</v>
      </c>
      <c r="D827" s="74">
        <f t="shared" si="140"/>
        <v>1697.1844115108015</v>
      </c>
      <c r="E827" s="74">
        <f t="shared" si="141"/>
        <v>-7035.0058696890701</v>
      </c>
      <c r="F827" s="74">
        <f t="shared" si="135"/>
        <v>2670.2951526836196</v>
      </c>
      <c r="G827" s="74">
        <f t="shared" si="136"/>
        <v>556.13480093067676</v>
      </c>
      <c r="H827" s="74">
        <f t="shared" si="142"/>
        <v>70123.021737498464</v>
      </c>
      <c r="I827" s="74">
        <f t="shared" si="143"/>
        <v>46933.843377992176</v>
      </c>
      <c r="J827" s="74">
        <f t="shared" si="144"/>
        <v>84380.233655919568</v>
      </c>
      <c r="K827" s="74">
        <f t="shared" si="145"/>
        <v>30123.021737498464</v>
      </c>
      <c r="L827" s="74">
        <f t="shared" si="146"/>
        <v>46933.843377992176</v>
      </c>
      <c r="M827" s="74">
        <f t="shared" si="147"/>
        <v>55769.006561240669</v>
      </c>
      <c r="N827" s="74">
        <f t="shared" si="148"/>
        <v>45123.021737498464</v>
      </c>
      <c r="O827" s="74">
        <f t="shared" si="149"/>
        <v>-8066.1566220078275</v>
      </c>
      <c r="P827" s="74">
        <f t="shared" si="150"/>
        <v>45838.302470461531</v>
      </c>
    </row>
    <row r="828" spans="1:16" x14ac:dyDescent="0.3">
      <c r="A828" s="72">
        <f t="shared" si="137"/>
        <v>259.5</v>
      </c>
      <c r="B828" s="74">
        <f t="shared" si="138"/>
        <v>-48606.85574357216</v>
      </c>
      <c r="C828" s="74">
        <f t="shared" si="139"/>
        <v>-30312.312612604037</v>
      </c>
      <c r="D828" s="74">
        <f t="shared" si="140"/>
        <v>3032.3319878526113</v>
      </c>
      <c r="E828" s="74">
        <f t="shared" si="141"/>
        <v>-6756.9384692237318</v>
      </c>
      <c r="F828" s="74">
        <f t="shared" si="135"/>
        <v>2771.446914909965</v>
      </c>
      <c r="G828" s="74">
        <f t="shared" si="136"/>
        <v>660.5411664026301</v>
      </c>
      <c r="H828" s="74">
        <f t="shared" si="142"/>
        <v>68606.85574357216</v>
      </c>
      <c r="I828" s="74">
        <f t="shared" si="143"/>
        <v>50312.312612604037</v>
      </c>
      <c r="J828" s="74">
        <f t="shared" si="144"/>
        <v>85077.784735192268</v>
      </c>
      <c r="K828" s="74">
        <f t="shared" si="145"/>
        <v>28606.85574357216</v>
      </c>
      <c r="L828" s="74">
        <f t="shared" si="146"/>
        <v>50312.312612604037</v>
      </c>
      <c r="M828" s="74">
        <f t="shared" si="147"/>
        <v>57876.428673182163</v>
      </c>
      <c r="N828" s="74">
        <f t="shared" si="148"/>
        <v>43606.85574357216</v>
      </c>
      <c r="O828" s="74">
        <f t="shared" si="149"/>
        <v>-4687.687387395963</v>
      </c>
      <c r="P828" s="74">
        <f t="shared" si="150"/>
        <v>43858.092535844095</v>
      </c>
    </row>
    <row r="829" spans="1:16" x14ac:dyDescent="0.3">
      <c r="A829" s="72">
        <f t="shared" si="137"/>
        <v>260</v>
      </c>
      <c r="B829" s="74">
        <f t="shared" si="138"/>
        <v>-46397.828020918365</v>
      </c>
      <c r="C829" s="74">
        <f t="shared" si="139"/>
        <v>-33525.646555615247</v>
      </c>
      <c r="D829" s="74">
        <f t="shared" si="140"/>
        <v>4418.0554453075938</v>
      </c>
      <c r="E829" s="74">
        <f t="shared" si="141"/>
        <v>-6426.6678860224165</v>
      </c>
      <c r="F829" s="74">
        <f t="shared" si="135"/>
        <v>2939.3924398779209</v>
      </c>
      <c r="G829" s="74">
        <f t="shared" si="136"/>
        <v>800.07813300978614</v>
      </c>
      <c r="H829" s="74">
        <f t="shared" si="142"/>
        <v>66397.828020918358</v>
      </c>
      <c r="I829" s="74">
        <f t="shared" si="143"/>
        <v>53525.646555615247</v>
      </c>
      <c r="J829" s="74">
        <f t="shared" si="144"/>
        <v>85285.792516058005</v>
      </c>
      <c r="K829" s="74">
        <f t="shared" si="145"/>
        <v>26397.828020918365</v>
      </c>
      <c r="L829" s="74">
        <f t="shared" si="146"/>
        <v>53525.646555615247</v>
      </c>
      <c r="M829" s="74">
        <f t="shared" si="147"/>
        <v>59681.154172976829</v>
      </c>
      <c r="N829" s="74">
        <f t="shared" si="148"/>
        <v>41397.828020918365</v>
      </c>
      <c r="O829" s="74">
        <f t="shared" si="149"/>
        <v>-1474.3534443847529</v>
      </c>
      <c r="P829" s="74">
        <f t="shared" si="150"/>
        <v>41424.073712377722</v>
      </c>
    </row>
    <row r="830" spans="1:16" x14ac:dyDescent="0.3">
      <c r="A830" s="72">
        <f t="shared" si="137"/>
        <v>260.5</v>
      </c>
      <c r="B830" s="74">
        <f t="shared" si="138"/>
        <v>-43453.952188295087</v>
      </c>
      <c r="C830" s="74">
        <f t="shared" si="139"/>
        <v>-36538.960965374012</v>
      </c>
      <c r="D830" s="74">
        <f t="shared" si="140"/>
        <v>5887.7516652465547</v>
      </c>
      <c r="E830" s="74">
        <f t="shared" si="141"/>
        <v>-6026.6288195175239</v>
      </c>
      <c r="F830" s="74">
        <f t="shared" si="135"/>
        <v>3200.0939862643963</v>
      </c>
      <c r="G830" s="74">
        <f t="shared" si="136"/>
        <v>995.91332467961843</v>
      </c>
      <c r="H830" s="74">
        <f t="shared" si="142"/>
        <v>63453.952188295087</v>
      </c>
      <c r="I830" s="74">
        <f t="shared" si="143"/>
        <v>56538.960965374012</v>
      </c>
      <c r="J830" s="74">
        <f t="shared" si="144"/>
        <v>84988.576616852006</v>
      </c>
      <c r="K830" s="74">
        <f t="shared" si="145"/>
        <v>23453.952188295087</v>
      </c>
      <c r="L830" s="74">
        <f t="shared" si="146"/>
        <v>56538.960965374012</v>
      </c>
      <c r="M830" s="74">
        <f t="shared" si="147"/>
        <v>61210.636169663507</v>
      </c>
      <c r="N830" s="74">
        <f t="shared" si="148"/>
        <v>38453.952188295087</v>
      </c>
      <c r="O830" s="74">
        <f t="shared" si="149"/>
        <v>1538.9609653740117</v>
      </c>
      <c r="P830" s="74">
        <f t="shared" si="150"/>
        <v>38484.735152429326</v>
      </c>
    </row>
    <row r="831" spans="1:16" x14ac:dyDescent="0.3">
      <c r="A831" s="72">
        <f t="shared" si="137"/>
        <v>261</v>
      </c>
      <c r="B831" s="74">
        <f t="shared" si="138"/>
        <v>-39710.052859105708</v>
      </c>
      <c r="C831" s="74">
        <f t="shared" si="139"/>
        <v>-39303.29704396287</v>
      </c>
      <c r="D831" s="74">
        <f t="shared" si="140"/>
        <v>7487.7986583787533</v>
      </c>
      <c r="E831" s="74">
        <f t="shared" si="141"/>
        <v>-5528.6721571777143</v>
      </c>
      <c r="F831" s="74">
        <f t="shared" si="135"/>
        <v>3600.2686865413725</v>
      </c>
      <c r="G831" s="74">
        <f t="shared" si="136"/>
        <v>1291.1465669029003</v>
      </c>
      <c r="H831" s="74">
        <f t="shared" si="142"/>
        <v>59710.052859105708</v>
      </c>
      <c r="I831" s="74">
        <f t="shared" si="143"/>
        <v>59303.29704396287</v>
      </c>
      <c r="J831" s="74">
        <f t="shared" si="144"/>
        <v>84155.638270538315</v>
      </c>
      <c r="K831" s="74">
        <f t="shared" si="145"/>
        <v>19710.052859105708</v>
      </c>
      <c r="L831" s="74">
        <f t="shared" si="146"/>
        <v>59303.29704396287</v>
      </c>
      <c r="M831" s="74">
        <f t="shared" si="147"/>
        <v>62492.937392902539</v>
      </c>
      <c r="N831" s="74">
        <f t="shared" si="148"/>
        <v>34710.052859105708</v>
      </c>
      <c r="O831" s="74">
        <f t="shared" si="149"/>
        <v>4303.2970439628698</v>
      </c>
      <c r="P831" s="74">
        <f t="shared" si="150"/>
        <v>34975.793556837161</v>
      </c>
    </row>
    <row r="832" spans="1:16" x14ac:dyDescent="0.3">
      <c r="A832" s="72">
        <f t="shared" si="137"/>
        <v>261.5</v>
      </c>
      <c r="B832" s="74">
        <f t="shared" si="138"/>
        <v>-35066.086358280983</v>
      </c>
      <c r="C832" s="74">
        <f t="shared" si="139"/>
        <v>-41744.846480826003</v>
      </c>
      <c r="D832" s="74">
        <f t="shared" si="140"/>
        <v>9287.9330016494387</v>
      </c>
      <c r="E832" s="74">
        <f t="shared" si="141"/>
        <v>-4883.0988737262642</v>
      </c>
      <c r="F832" s="74">
        <f t="shared" si="135"/>
        <v>4225.8607491671628</v>
      </c>
      <c r="G832" s="74">
        <f t="shared" si="136"/>
        <v>1781.6970313998384</v>
      </c>
      <c r="H832" s="74">
        <f t="shared" si="142"/>
        <v>55066.086358280983</v>
      </c>
      <c r="I832" s="74">
        <f t="shared" si="143"/>
        <v>61744.846480826003</v>
      </c>
      <c r="J832" s="74">
        <f t="shared" si="144"/>
        <v>82732.701719201883</v>
      </c>
      <c r="K832" s="74">
        <f t="shared" si="145"/>
        <v>15066.086358280983</v>
      </c>
      <c r="L832" s="74">
        <f t="shared" si="146"/>
        <v>61744.846480826003</v>
      </c>
      <c r="M832" s="74">
        <f t="shared" si="147"/>
        <v>63556.376746129507</v>
      </c>
      <c r="N832" s="74">
        <f t="shared" si="148"/>
        <v>30066.086358280983</v>
      </c>
      <c r="O832" s="74">
        <f t="shared" si="149"/>
        <v>6744.8464808260032</v>
      </c>
      <c r="P832" s="74">
        <f t="shared" si="150"/>
        <v>30813.34942769969</v>
      </c>
    </row>
    <row r="833" spans="1:16" x14ac:dyDescent="0.3">
      <c r="A833" s="72">
        <f t="shared" si="137"/>
        <v>262</v>
      </c>
      <c r="B833" s="74">
        <f t="shared" si="138"/>
        <v>-29365.654670164477</v>
      </c>
      <c r="C833" s="74">
        <f t="shared" si="139"/>
        <v>-43740.971659839175</v>
      </c>
      <c r="D833" s="74">
        <f t="shared" si="140"/>
        <v>11400.863376233021</v>
      </c>
      <c r="E833" s="74">
        <f t="shared" si="141"/>
        <v>-3992.2503580263451</v>
      </c>
      <c r="F833" s="74">
        <f t="shared" si="135"/>
        <v>5234.9691882929919</v>
      </c>
      <c r="G833" s="74">
        <f t="shared" si="136"/>
        <v>2710.9001989661592</v>
      </c>
      <c r="H833" s="74">
        <f t="shared" si="142"/>
        <v>49365.654670164477</v>
      </c>
      <c r="I833" s="74">
        <f t="shared" si="143"/>
        <v>63740.971659839175</v>
      </c>
      <c r="J833" s="74">
        <f t="shared" si="144"/>
        <v>80621.829110696519</v>
      </c>
      <c r="K833" s="74">
        <f t="shared" si="145"/>
        <v>9365.6546701644766</v>
      </c>
      <c r="L833" s="74">
        <f t="shared" si="146"/>
        <v>63740.971659839175</v>
      </c>
      <c r="M833" s="74">
        <f t="shared" si="147"/>
        <v>64425.359568582884</v>
      </c>
      <c r="N833" s="74">
        <f t="shared" si="148"/>
        <v>24365.654670164477</v>
      </c>
      <c r="O833" s="74">
        <f t="shared" si="149"/>
        <v>8740.9716598391751</v>
      </c>
      <c r="P833" s="74">
        <f t="shared" si="150"/>
        <v>25886.091112097623</v>
      </c>
    </row>
    <row r="834" spans="1:16" x14ac:dyDescent="0.3">
      <c r="A834" s="72">
        <f t="shared" si="137"/>
        <v>262.5</v>
      </c>
      <c r="B834" s="74">
        <f t="shared" si="138"/>
        <v>-22356.480684974718</v>
      </c>
      <c r="C834" s="74">
        <f t="shared" si="139"/>
        <v>-45059.37178911081</v>
      </c>
      <c r="D834" s="74">
        <f t="shared" si="140"/>
        <v>14018.347970379516</v>
      </c>
      <c r="E834" s="74">
        <f t="shared" si="141"/>
        <v>-2636.8002585432655</v>
      </c>
      <c r="F834" s="74">
        <f t="shared" si="135"/>
        <v>6843.3156671723464</v>
      </c>
      <c r="G834" s="74">
        <f t="shared" si="136"/>
        <v>4804.12027758156</v>
      </c>
      <c r="H834" s="74">
        <f t="shared" si="142"/>
        <v>42356.480684974718</v>
      </c>
      <c r="I834" s="74">
        <f t="shared" si="143"/>
        <v>65059.37178911081</v>
      </c>
      <c r="J834" s="74">
        <f t="shared" si="144"/>
        <v>77632.424370300228</v>
      </c>
      <c r="K834" s="74">
        <f t="shared" si="145"/>
        <v>2356.4806849747183</v>
      </c>
      <c r="L834" s="74">
        <f t="shared" si="146"/>
        <v>65059.37178911081</v>
      </c>
      <c r="M834" s="74">
        <f t="shared" si="147"/>
        <v>65102.034214088933</v>
      </c>
      <c r="N834" s="74">
        <f t="shared" si="148"/>
        <v>17356.480684974718</v>
      </c>
      <c r="O834" s="74">
        <f t="shared" si="149"/>
        <v>10059.37178911081</v>
      </c>
      <c r="P834" s="74">
        <f t="shared" si="150"/>
        <v>20060.866944363566</v>
      </c>
    </row>
    <row r="835" spans="1:16" x14ac:dyDescent="0.3">
      <c r="A835" s="72">
        <f t="shared" si="137"/>
        <v>263</v>
      </c>
      <c r="B835" s="74">
        <f t="shared" si="138"/>
        <v>-13636.477782991873</v>
      </c>
      <c r="C835" s="74">
        <f t="shared" si="139"/>
        <v>-45176.741848987054</v>
      </c>
      <c r="D835" s="74">
        <f t="shared" si="140"/>
        <v>17440.005803965691</v>
      </c>
      <c r="E835" s="74">
        <f t="shared" si="141"/>
        <v>-234.7401197524855</v>
      </c>
      <c r="F835" s="74">
        <f t="shared" si="135"/>
        <v>8098.0642126967587</v>
      </c>
      <c r="G835" s="74">
        <f t="shared" si="136"/>
        <v>10348.87438503593</v>
      </c>
      <c r="H835" s="74">
        <f t="shared" si="142"/>
        <v>33636.477782991875</v>
      </c>
      <c r="I835" s="74">
        <f t="shared" si="143"/>
        <v>65176.741848987054</v>
      </c>
      <c r="J835" s="74">
        <f t="shared" si="144"/>
        <v>73344.531600489529</v>
      </c>
      <c r="K835" s="74">
        <f t="shared" si="145"/>
        <v>-6363.522217008127</v>
      </c>
      <c r="L835" s="74">
        <f t="shared" si="146"/>
        <v>65176.741848987054</v>
      </c>
      <c r="M835" s="74">
        <f t="shared" si="147"/>
        <v>65486.655839612518</v>
      </c>
      <c r="N835" s="74">
        <f t="shared" si="148"/>
        <v>8636.477782991873</v>
      </c>
      <c r="O835" s="74">
        <f t="shared" si="149"/>
        <v>10176.741848987054</v>
      </c>
      <c r="P835" s="74">
        <f t="shared" si="150"/>
        <v>13347.46504610657</v>
      </c>
    </row>
    <row r="836" spans="1:16" x14ac:dyDescent="0.3">
      <c r="A836" s="72">
        <f t="shared" si="137"/>
        <v>263.5</v>
      </c>
      <c r="B836" s="74">
        <f t="shared" si="138"/>
        <v>-2891.9588278348383</v>
      </c>
      <c r="C836" s="74">
        <f t="shared" si="139"/>
        <v>-42706.893312604319</v>
      </c>
      <c r="D836" s="74">
        <f t="shared" si="140"/>
        <v>21489.037910314069</v>
      </c>
      <c r="E836" s="74">
        <f t="shared" si="141"/>
        <v>4939.6970727654789</v>
      </c>
      <c r="F836" s="74">
        <f t="shared" si="135"/>
        <v>-4029.3760424233678</v>
      </c>
      <c r="G836" s="74">
        <f t="shared" si="136"/>
        <v>16726.412265185638</v>
      </c>
      <c r="H836" s="74">
        <f t="shared" si="142"/>
        <v>22891.958827834838</v>
      </c>
      <c r="I836" s="74">
        <f t="shared" si="143"/>
        <v>62706.893312604319</v>
      </c>
      <c r="J836" s="74">
        <f t="shared" si="144"/>
        <v>66754.747006438614</v>
      </c>
      <c r="K836" s="74">
        <f t="shared" si="145"/>
        <v>-17108.041172165162</v>
      </c>
      <c r="L836" s="74">
        <f t="shared" si="146"/>
        <v>62706.893312604319</v>
      </c>
      <c r="M836" s="74">
        <f t="shared" si="147"/>
        <v>64998.765693410198</v>
      </c>
      <c r="N836" s="74">
        <f t="shared" si="148"/>
        <v>-2108.0411721651617</v>
      </c>
      <c r="O836" s="74">
        <f t="shared" si="149"/>
        <v>7706.8933126043194</v>
      </c>
      <c r="P836" s="74">
        <f t="shared" si="150"/>
        <v>7989.996377684326</v>
      </c>
    </row>
    <row r="837" spans="1:16" x14ac:dyDescent="0.3">
      <c r="A837" s="72">
        <f t="shared" si="137"/>
        <v>264</v>
      </c>
      <c r="B837" s="74">
        <f t="shared" si="138"/>
        <v>6845.216116716354</v>
      </c>
      <c r="C837" s="74">
        <f t="shared" si="139"/>
        <v>-36055.441709925166</v>
      </c>
      <c r="D837" s="74">
        <f t="shared" si="140"/>
        <v>19474.349889102385</v>
      </c>
      <c r="E837" s="74">
        <f t="shared" si="141"/>
        <v>13302.903205358298</v>
      </c>
      <c r="F837" s="74">
        <f t="shared" si="135"/>
        <v>-13184.946953310551</v>
      </c>
      <c r="G837" s="74">
        <f t="shared" si="136"/>
        <v>2843.5557673296935</v>
      </c>
      <c r="H837" s="74">
        <f t="shared" si="142"/>
        <v>13154.783883283646</v>
      </c>
      <c r="I837" s="74">
        <f t="shared" si="143"/>
        <v>56055.441709925166</v>
      </c>
      <c r="J837" s="74">
        <f t="shared" si="144"/>
        <v>57578.302200661637</v>
      </c>
      <c r="K837" s="74">
        <f t="shared" si="145"/>
        <v>-26845.216116716354</v>
      </c>
      <c r="L837" s="74">
        <f t="shared" si="146"/>
        <v>56055.441709925166</v>
      </c>
      <c r="M837" s="74">
        <f t="shared" si="147"/>
        <v>62152.056873831825</v>
      </c>
      <c r="N837" s="74">
        <f t="shared" si="148"/>
        <v>-11845.216116716354</v>
      </c>
      <c r="O837" s="74">
        <f t="shared" si="149"/>
        <v>1055.4417099251659</v>
      </c>
      <c r="P837" s="74">
        <f t="shared" si="150"/>
        <v>11892.144552382746</v>
      </c>
    </row>
    <row r="838" spans="1:16" x14ac:dyDescent="0.3">
      <c r="A838" s="72">
        <f t="shared" si="137"/>
        <v>264.5</v>
      </c>
      <c r="B838" s="74">
        <f t="shared" si="138"/>
        <v>13286.154322939909</v>
      </c>
      <c r="C838" s="74">
        <f t="shared" si="139"/>
        <v>-28693.101165413595</v>
      </c>
      <c r="D838" s="74">
        <f t="shared" si="140"/>
        <v>12881.876412447109</v>
      </c>
      <c r="E838" s="74">
        <f t="shared" si="141"/>
        <v>14724.681089023145</v>
      </c>
      <c r="F838" s="74">
        <f t="shared" si="135"/>
        <v>-7534.2980238696364</v>
      </c>
      <c r="G838" s="74">
        <f t="shared" si="136"/>
        <v>-447.40241612992622</v>
      </c>
      <c r="H838" s="74">
        <f t="shared" si="142"/>
        <v>6713.8456770600915</v>
      </c>
      <c r="I838" s="74">
        <f t="shared" si="143"/>
        <v>48693.101165413595</v>
      </c>
      <c r="J838" s="74">
        <f t="shared" si="144"/>
        <v>49153.777320574067</v>
      </c>
      <c r="K838" s="74">
        <f t="shared" si="145"/>
        <v>-33286.15432293991</v>
      </c>
      <c r="L838" s="74">
        <f t="shared" si="146"/>
        <v>48693.101165413595</v>
      </c>
      <c r="M838" s="74">
        <f t="shared" si="147"/>
        <v>58982.931181111831</v>
      </c>
      <c r="N838" s="74">
        <f t="shared" si="148"/>
        <v>-18286.15432293991</v>
      </c>
      <c r="O838" s="74">
        <f t="shared" si="149"/>
        <v>-6306.8988345864054</v>
      </c>
      <c r="P838" s="74">
        <f t="shared" si="150"/>
        <v>19343.226536234364</v>
      </c>
    </row>
    <row r="839" spans="1:16" x14ac:dyDescent="0.3">
      <c r="A839" s="72">
        <f t="shared" si="137"/>
        <v>265</v>
      </c>
      <c r="B839" s="74">
        <f t="shared" si="138"/>
        <v>17843.518023196055</v>
      </c>
      <c r="C839" s="74">
        <f t="shared" si="139"/>
        <v>-21442.611224934506</v>
      </c>
      <c r="D839" s="74">
        <f t="shared" si="140"/>
        <v>9114.7274005122908</v>
      </c>
      <c r="E839" s="74">
        <f t="shared" si="141"/>
        <v>14500.979880958181</v>
      </c>
      <c r="F839" s="74">
        <f t="shared" si="135"/>
        <v>-4513.9269501339231</v>
      </c>
      <c r="G839" s="74">
        <f t="shared" si="136"/>
        <v>236.23275613684609</v>
      </c>
      <c r="H839" s="74">
        <f t="shared" si="142"/>
        <v>2156.4819768039451</v>
      </c>
      <c r="I839" s="74">
        <f t="shared" si="143"/>
        <v>41442.611224934502</v>
      </c>
      <c r="J839" s="74">
        <f t="shared" si="144"/>
        <v>41498.679974878083</v>
      </c>
      <c r="K839" s="74">
        <f t="shared" si="145"/>
        <v>-37843.518023196055</v>
      </c>
      <c r="L839" s="74">
        <f t="shared" si="146"/>
        <v>41442.611224934502</v>
      </c>
      <c r="M839" s="74">
        <f t="shared" si="147"/>
        <v>56121.492153301057</v>
      </c>
      <c r="N839" s="74">
        <f t="shared" si="148"/>
        <v>-22843.518023196055</v>
      </c>
      <c r="O839" s="74">
        <f t="shared" si="149"/>
        <v>-13557.388775065494</v>
      </c>
      <c r="P839" s="74">
        <f t="shared" si="150"/>
        <v>26563.680205768833</v>
      </c>
    </row>
    <row r="840" spans="1:16" x14ac:dyDescent="0.3">
      <c r="A840" s="72">
        <f t="shared" si="137"/>
        <v>265.5</v>
      </c>
      <c r="B840" s="74">
        <f t="shared" si="138"/>
        <v>21272.399985918717</v>
      </c>
      <c r="C840" s="74">
        <f t="shared" si="139"/>
        <v>-14133.063095421205</v>
      </c>
      <c r="D840" s="74">
        <f t="shared" si="140"/>
        <v>6857.7639254453297</v>
      </c>
      <c r="E840" s="74">
        <f t="shared" si="141"/>
        <v>14619.096259026604</v>
      </c>
      <c r="F840" s="74">
        <f t="shared" si="135"/>
        <v>-3240.279852703517</v>
      </c>
      <c r="G840" s="74">
        <f t="shared" si="136"/>
        <v>1595.4663472887305</v>
      </c>
      <c r="H840" s="74">
        <f t="shared" si="142"/>
        <v>-1272.399985918717</v>
      </c>
      <c r="I840" s="74">
        <f t="shared" si="143"/>
        <v>34133.063095421203</v>
      </c>
      <c r="J840" s="74">
        <f t="shared" si="144"/>
        <v>34156.770895390138</v>
      </c>
      <c r="K840" s="74">
        <f t="shared" si="145"/>
        <v>-41272.399985918717</v>
      </c>
      <c r="L840" s="74">
        <f t="shared" si="146"/>
        <v>34133.063095421203</v>
      </c>
      <c r="M840" s="74">
        <f t="shared" si="147"/>
        <v>53558.164614498026</v>
      </c>
      <c r="N840" s="74">
        <f t="shared" si="148"/>
        <v>-26272.399985918717</v>
      </c>
      <c r="O840" s="74">
        <f t="shared" si="149"/>
        <v>-20866.936904578797</v>
      </c>
      <c r="P840" s="74">
        <f t="shared" si="150"/>
        <v>33550.976987261849</v>
      </c>
    </row>
    <row r="841" spans="1:16" x14ac:dyDescent="0.3">
      <c r="A841" s="72">
        <f t="shared" si="137"/>
        <v>266</v>
      </c>
      <c r="B841" s="74">
        <f t="shared" si="138"/>
        <v>23891.211985465503</v>
      </c>
      <c r="C841" s="74">
        <f t="shared" si="139"/>
        <v>-6424.6483790857201</v>
      </c>
      <c r="D841" s="74">
        <f t="shared" si="140"/>
        <v>5237.623999093571</v>
      </c>
      <c r="E841" s="74">
        <f t="shared" si="141"/>
        <v>15416.829432670969</v>
      </c>
      <c r="F841" s="74">
        <f t="shared" si="135"/>
        <v>-3029.1140611303254</v>
      </c>
      <c r="G841" s="74">
        <f t="shared" si="136"/>
        <v>3544.549892392326</v>
      </c>
      <c r="H841" s="74">
        <f t="shared" si="142"/>
        <v>-3891.2119854655029</v>
      </c>
      <c r="I841" s="74">
        <f t="shared" si="143"/>
        <v>26424.64837908572</v>
      </c>
      <c r="J841" s="74">
        <f t="shared" si="144"/>
        <v>26709.615734303403</v>
      </c>
      <c r="K841" s="74">
        <f t="shared" si="145"/>
        <v>-43891.211985465503</v>
      </c>
      <c r="L841" s="74">
        <f t="shared" si="146"/>
        <v>26424.64837908572</v>
      </c>
      <c r="M841" s="74">
        <f t="shared" si="147"/>
        <v>51231.831233241974</v>
      </c>
      <c r="N841" s="74">
        <f t="shared" si="148"/>
        <v>-28891.211985465503</v>
      </c>
      <c r="O841" s="74">
        <f t="shared" si="149"/>
        <v>-28575.35162091428</v>
      </c>
      <c r="P841" s="74">
        <f t="shared" si="150"/>
        <v>40635.610617388214</v>
      </c>
    </row>
    <row r="842" spans="1:16" x14ac:dyDescent="0.3">
      <c r="A842" s="72">
        <f t="shared" si="137"/>
        <v>266.5</v>
      </c>
      <c r="B842" s="74">
        <f t="shared" si="138"/>
        <v>25752.745469729707</v>
      </c>
      <c r="C842" s="74">
        <f t="shared" si="139"/>
        <v>2169.903810347846</v>
      </c>
      <c r="D842" s="74">
        <f t="shared" si="140"/>
        <v>3723.0669685284083</v>
      </c>
      <c r="E842" s="74">
        <f t="shared" si="141"/>
        <v>17189.10437886713</v>
      </c>
      <c r="F842" s="74">
        <f t="shared" si="135"/>
        <v>-4389.8417956905978</v>
      </c>
      <c r="G842" s="74">
        <f t="shared" si="136"/>
        <v>6806.3257651870281</v>
      </c>
      <c r="H842" s="74">
        <f t="shared" si="142"/>
        <v>-5752.7454697297071</v>
      </c>
      <c r="I842" s="74">
        <f t="shared" si="143"/>
        <v>17830.096189652155</v>
      </c>
      <c r="J842" s="74">
        <f t="shared" si="144"/>
        <v>18735.165079917067</v>
      </c>
      <c r="K842" s="74">
        <f t="shared" si="145"/>
        <v>-45752.745469729707</v>
      </c>
      <c r="L842" s="74">
        <f t="shared" si="146"/>
        <v>17830.096189652155</v>
      </c>
      <c r="M842" s="74">
        <f t="shared" si="147"/>
        <v>49104.236560098565</v>
      </c>
      <c r="N842" s="74">
        <f t="shared" si="148"/>
        <v>-30752.745469729707</v>
      </c>
      <c r="O842" s="74">
        <f t="shared" si="149"/>
        <v>-37169.903810347845</v>
      </c>
      <c r="P842" s="74">
        <f t="shared" si="150"/>
        <v>48242.440891775906</v>
      </c>
    </row>
    <row r="843" spans="1:16" x14ac:dyDescent="0.3">
      <c r="A843" s="72">
        <f t="shared" si="137"/>
        <v>267</v>
      </c>
      <c r="B843" s="74">
        <f t="shared" si="138"/>
        <v>26516.818505071264</v>
      </c>
      <c r="C843" s="74">
        <f t="shared" si="139"/>
        <v>12466.037441078168</v>
      </c>
      <c r="D843" s="74">
        <f t="shared" si="140"/>
        <v>1528.1460706831094</v>
      </c>
      <c r="E843" s="74">
        <f t="shared" si="141"/>
        <v>20592.267261460645</v>
      </c>
      <c r="F843" s="74">
        <f t="shared" si="135"/>
        <v>-11302.79168149794</v>
      </c>
      <c r="G843" s="74">
        <f t="shared" si="136"/>
        <v>10343.150283642319</v>
      </c>
      <c r="H843" s="74">
        <f t="shared" si="142"/>
        <v>-6516.8185050712636</v>
      </c>
      <c r="I843" s="74">
        <f t="shared" si="143"/>
        <v>7533.9625589218322</v>
      </c>
      <c r="J843" s="74">
        <f t="shared" si="144"/>
        <v>9961.4012702669133</v>
      </c>
      <c r="K843" s="74">
        <f t="shared" si="145"/>
        <v>-46516.818505071264</v>
      </c>
      <c r="L843" s="74">
        <f t="shared" si="146"/>
        <v>7533.9625589218322</v>
      </c>
      <c r="M843" s="74">
        <f t="shared" si="147"/>
        <v>47122.977364264414</v>
      </c>
      <c r="N843" s="74">
        <f t="shared" si="148"/>
        <v>-31516.818505071264</v>
      </c>
      <c r="O843" s="74">
        <f t="shared" si="149"/>
        <v>-47466.037441078166</v>
      </c>
      <c r="P843" s="74">
        <f t="shared" si="150"/>
        <v>56976.614141588274</v>
      </c>
    </row>
    <row r="844" spans="1:16" x14ac:dyDescent="0.3">
      <c r="A844" s="72">
        <f t="shared" si="137"/>
        <v>267.5</v>
      </c>
      <c r="B844" s="74">
        <f t="shared" si="138"/>
        <v>24455.193620038335</v>
      </c>
      <c r="C844" s="74">
        <f t="shared" si="139"/>
        <v>25347.95864271907</v>
      </c>
      <c r="D844" s="74">
        <f t="shared" si="140"/>
        <v>-4123.2497700658605</v>
      </c>
      <c r="E844" s="74">
        <f t="shared" si="141"/>
        <v>25763.842403281804</v>
      </c>
      <c r="F844" s="74">
        <f t="shared" si="135"/>
        <v>-11725.230195931876</v>
      </c>
      <c r="G844" s="74">
        <f t="shared" si="136"/>
        <v>-13314.994805042224</v>
      </c>
      <c r="H844" s="74">
        <f t="shared" si="142"/>
        <v>-4455.1936200383352</v>
      </c>
      <c r="I844" s="74">
        <f t="shared" si="143"/>
        <v>-5347.9586427190698</v>
      </c>
      <c r="J844" s="74">
        <f t="shared" si="144"/>
        <v>6960.5611725107246</v>
      </c>
      <c r="K844" s="74">
        <f t="shared" si="145"/>
        <v>-44455.193620038335</v>
      </c>
      <c r="L844" s="74">
        <f t="shared" si="146"/>
        <v>-5347.9586427190698</v>
      </c>
      <c r="M844" s="74">
        <f t="shared" si="147"/>
        <v>44775.717765763744</v>
      </c>
      <c r="N844" s="74">
        <f t="shared" si="148"/>
        <v>-29455.193620038335</v>
      </c>
      <c r="O844" s="74">
        <f t="shared" si="149"/>
        <v>-60347.958642719066</v>
      </c>
      <c r="P844" s="74">
        <f t="shared" si="150"/>
        <v>67152.695727999468</v>
      </c>
    </row>
    <row r="845" spans="1:16" x14ac:dyDescent="0.3">
      <c r="A845" s="72">
        <f t="shared" si="137"/>
        <v>268</v>
      </c>
      <c r="B845" s="74">
        <f t="shared" si="138"/>
        <v>19462.261186022439</v>
      </c>
      <c r="C845" s="74">
        <f t="shared" si="139"/>
        <v>34901.131143099417</v>
      </c>
      <c r="D845" s="74">
        <f t="shared" si="140"/>
        <v>-9985.8648680317983</v>
      </c>
      <c r="E845" s="74">
        <f t="shared" si="141"/>
        <v>19106.345000760692</v>
      </c>
      <c r="F845" s="74">
        <f t="shared" si="135"/>
        <v>-925.70419959640753</v>
      </c>
      <c r="G845" s="74">
        <f t="shared" si="136"/>
        <v>-11891.174296812263</v>
      </c>
      <c r="H845" s="74">
        <f t="shared" si="142"/>
        <v>537.73881397756122</v>
      </c>
      <c r="I845" s="74">
        <f t="shared" si="143"/>
        <v>-14901.131143099417</v>
      </c>
      <c r="J845" s="74">
        <f t="shared" si="144"/>
        <v>14910.830707103658</v>
      </c>
      <c r="K845" s="74">
        <f t="shared" si="145"/>
        <v>-39462.261186022442</v>
      </c>
      <c r="L845" s="74">
        <f t="shared" si="146"/>
        <v>-14901.131143099417</v>
      </c>
      <c r="M845" s="74">
        <f t="shared" si="147"/>
        <v>42181.912797521414</v>
      </c>
      <c r="N845" s="74">
        <f t="shared" si="148"/>
        <v>-24462.261186022439</v>
      </c>
      <c r="O845" s="74">
        <f t="shared" si="149"/>
        <v>-69901.131143099425</v>
      </c>
      <c r="P845" s="74">
        <f t="shared" si="150"/>
        <v>74057.88518056646</v>
      </c>
    </row>
    <row r="846" spans="1:16" x14ac:dyDescent="0.3">
      <c r="A846" s="72">
        <f t="shared" si="137"/>
        <v>268.5</v>
      </c>
      <c r="B846" s="74">
        <f t="shared" si="138"/>
        <v>14237.902702107436</v>
      </c>
      <c r="C846" s="74">
        <f t="shared" si="139"/>
        <v>41481.510069276694</v>
      </c>
      <c r="D846" s="74">
        <f t="shared" si="140"/>
        <v>-10448.716967830002</v>
      </c>
      <c r="E846" s="74">
        <f t="shared" si="141"/>
        <v>13160.75785235456</v>
      </c>
      <c r="F846" s="74">
        <f t="shared" si="135"/>
        <v>454.30673854837585</v>
      </c>
      <c r="G846" s="74">
        <f t="shared" si="136"/>
        <v>-7501.4940654823668</v>
      </c>
      <c r="H846" s="74">
        <f t="shared" si="142"/>
        <v>5762.0972978925638</v>
      </c>
      <c r="I846" s="74">
        <f t="shared" si="143"/>
        <v>-21481.510069276694</v>
      </c>
      <c r="J846" s="74">
        <f t="shared" si="144"/>
        <v>22240.886675823353</v>
      </c>
      <c r="K846" s="74">
        <f t="shared" si="145"/>
        <v>-34237.902702107436</v>
      </c>
      <c r="L846" s="74">
        <f t="shared" si="146"/>
        <v>-21481.510069276694</v>
      </c>
      <c r="M846" s="74">
        <f t="shared" si="147"/>
        <v>40418.92200808195</v>
      </c>
      <c r="N846" s="74">
        <f t="shared" si="148"/>
        <v>-19237.902702107436</v>
      </c>
      <c r="O846" s="74">
        <f t="shared" si="149"/>
        <v>-76481.510069276701</v>
      </c>
      <c r="P846" s="74">
        <f t="shared" si="150"/>
        <v>78863.922568260736</v>
      </c>
    </row>
    <row r="847" spans="1:16" x14ac:dyDescent="0.3">
      <c r="A847" s="72">
        <f t="shared" si="137"/>
        <v>269</v>
      </c>
      <c r="B847" s="74">
        <f t="shared" si="138"/>
        <v>9127.1209028295289</v>
      </c>
      <c r="C847" s="74">
        <f t="shared" si="139"/>
        <v>46186.515479083384</v>
      </c>
      <c r="D847" s="74">
        <f t="shared" si="140"/>
        <v>-10221.563598555813</v>
      </c>
      <c r="E847" s="74">
        <f t="shared" si="141"/>
        <v>9410.010819613377</v>
      </c>
      <c r="F847" s="74">
        <f t="shared" si="135"/>
        <v>594.53902362706413</v>
      </c>
      <c r="G847" s="74">
        <f t="shared" si="136"/>
        <v>-5509.5498060547943</v>
      </c>
      <c r="H847" s="74">
        <f t="shared" si="142"/>
        <v>10872.879097170471</v>
      </c>
      <c r="I847" s="74">
        <f t="shared" si="143"/>
        <v>-26186.515479083384</v>
      </c>
      <c r="J847" s="74">
        <f t="shared" si="144"/>
        <v>28354.066600718146</v>
      </c>
      <c r="K847" s="74">
        <f t="shared" si="145"/>
        <v>-29127.120902829527</v>
      </c>
      <c r="L847" s="74">
        <f t="shared" si="146"/>
        <v>-26186.515479083384</v>
      </c>
      <c r="M847" s="74">
        <f t="shared" si="147"/>
        <v>39167.87925104348</v>
      </c>
      <c r="N847" s="74">
        <f t="shared" si="148"/>
        <v>-14127.120902829529</v>
      </c>
      <c r="O847" s="74">
        <f t="shared" si="149"/>
        <v>-81186.515479083377</v>
      </c>
      <c r="P847" s="74">
        <f t="shared" si="150"/>
        <v>82406.467225810673</v>
      </c>
    </row>
    <row r="848" spans="1:16" x14ac:dyDescent="0.3">
      <c r="A848" s="72">
        <f t="shared" si="137"/>
        <v>269.5</v>
      </c>
      <c r="B848" s="74">
        <f t="shared" si="138"/>
        <v>4164.9738594583887</v>
      </c>
      <c r="C848" s="74">
        <f t="shared" si="139"/>
        <v>49514.133437376375</v>
      </c>
      <c r="D848" s="74">
        <f t="shared" si="140"/>
        <v>-9924.2940867422803</v>
      </c>
      <c r="E848" s="74">
        <f t="shared" si="141"/>
        <v>6655.2359165859798</v>
      </c>
      <c r="F848" s="74">
        <f t="shared" si="135"/>
        <v>616.47343774973126</v>
      </c>
      <c r="G848" s="74">
        <f t="shared" si="136"/>
        <v>-4528.3324823733083</v>
      </c>
      <c r="H848" s="74">
        <f t="shared" si="142"/>
        <v>15835.026140541611</v>
      </c>
      <c r="I848" s="74">
        <f t="shared" si="143"/>
        <v>-29514.133437376375</v>
      </c>
      <c r="J848" s="74">
        <f t="shared" si="144"/>
        <v>33493.762485437408</v>
      </c>
      <c r="K848" s="74">
        <f t="shared" si="145"/>
        <v>-24164.973859458391</v>
      </c>
      <c r="L848" s="74">
        <f t="shared" si="146"/>
        <v>-29514.133437376375</v>
      </c>
      <c r="M848" s="74">
        <f t="shared" si="147"/>
        <v>38144.855933501254</v>
      </c>
      <c r="N848" s="74">
        <f t="shared" si="148"/>
        <v>-9164.9738594583887</v>
      </c>
      <c r="O848" s="74">
        <f t="shared" si="149"/>
        <v>-84514.133437376382</v>
      </c>
      <c r="P848" s="74">
        <f t="shared" si="150"/>
        <v>85009.620023355106</v>
      </c>
    </row>
    <row r="849" spans="1:16" x14ac:dyDescent="0.3">
      <c r="A849" s="72">
        <f t="shared" si="137"/>
        <v>270</v>
      </c>
      <c r="B849" s="74">
        <f t="shared" si="138"/>
        <v>-643.0548244753187</v>
      </c>
      <c r="C849" s="74">
        <f t="shared" si="139"/>
        <v>51709.668275076037</v>
      </c>
      <c r="D849" s="74">
        <f t="shared" si="140"/>
        <v>-9616.0573678674155</v>
      </c>
      <c r="E849" s="74">
        <f t="shared" si="141"/>
        <v>4391.0696753993252</v>
      </c>
      <c r="F849" s="74">
        <f t="shared" si="135"/>
        <v>658.78862786400498</v>
      </c>
      <c r="G849" s="74">
        <f t="shared" si="136"/>
        <v>-3999.1512306059703</v>
      </c>
      <c r="H849" s="74">
        <f t="shared" si="142"/>
        <v>20643.054824475319</v>
      </c>
      <c r="I849" s="74">
        <f t="shared" si="143"/>
        <v>-31709.668275076037</v>
      </c>
      <c r="J849" s="74">
        <f t="shared" si="144"/>
        <v>37837.002716939111</v>
      </c>
      <c r="K849" s="74">
        <f t="shared" si="145"/>
        <v>-19356.945175524681</v>
      </c>
      <c r="L849" s="74">
        <f t="shared" si="146"/>
        <v>-31709.668275076037</v>
      </c>
      <c r="M849" s="74">
        <f t="shared" si="147"/>
        <v>37150.967533075527</v>
      </c>
      <c r="N849" s="74">
        <f t="shared" si="148"/>
        <v>-4356.945175524681</v>
      </c>
      <c r="O849" s="74">
        <f t="shared" si="149"/>
        <v>-86709.668275076037</v>
      </c>
      <c r="P849" s="74">
        <f t="shared" si="150"/>
        <v>86819.062098344832</v>
      </c>
    </row>
    <row r="850" spans="1:16" x14ac:dyDescent="0.3">
      <c r="A850" s="72">
        <f t="shared" si="137"/>
        <v>270.5</v>
      </c>
      <c r="B850" s="74">
        <f t="shared" si="138"/>
        <v>-5286.3863514430259</v>
      </c>
      <c r="C850" s="74">
        <f t="shared" si="139"/>
        <v>52905.41530512421</v>
      </c>
      <c r="D850" s="74">
        <f t="shared" si="140"/>
        <v>-9286.6630539354137</v>
      </c>
      <c r="E850" s="74">
        <f t="shared" si="141"/>
        <v>2391.49406009634</v>
      </c>
      <c r="F850" s="74">
        <f t="shared" si="135"/>
        <v>736.5491056947443</v>
      </c>
      <c r="G850" s="74">
        <f t="shared" si="136"/>
        <v>-3705.7860403882314</v>
      </c>
      <c r="H850" s="74">
        <f t="shared" si="142"/>
        <v>25286.386351443027</v>
      </c>
      <c r="I850" s="74">
        <f t="shared" si="143"/>
        <v>-32905.41530512421</v>
      </c>
      <c r="J850" s="74">
        <f t="shared" si="144"/>
        <v>41499.008314863946</v>
      </c>
      <c r="K850" s="74">
        <f t="shared" si="145"/>
        <v>-14713.613648556973</v>
      </c>
      <c r="L850" s="74">
        <f t="shared" si="146"/>
        <v>-32905.41530512421</v>
      </c>
      <c r="M850" s="74">
        <f t="shared" si="147"/>
        <v>36045.204715769127</v>
      </c>
      <c r="N850" s="74">
        <f t="shared" si="148"/>
        <v>286.38635144302589</v>
      </c>
      <c r="O850" s="74">
        <f t="shared" si="149"/>
        <v>-87905.415305124217</v>
      </c>
      <c r="P850" s="74">
        <f t="shared" si="150"/>
        <v>87905.881811791522</v>
      </c>
    </row>
    <row r="851" spans="1:16" x14ac:dyDescent="0.3">
      <c r="A851" s="72">
        <f t="shared" si="137"/>
        <v>271</v>
      </c>
      <c r="B851" s="74">
        <f t="shared" si="138"/>
        <v>-9745.580601987047</v>
      </c>
      <c r="C851" s="74">
        <f t="shared" si="139"/>
        <v>53174.715825075327</v>
      </c>
      <c r="D851" s="74">
        <f t="shared" si="140"/>
        <v>-8918.3885010880422</v>
      </c>
      <c r="E851" s="74">
        <f t="shared" si="141"/>
        <v>538.60103990222433</v>
      </c>
      <c r="F851" s="74">
        <f t="shared" si="135"/>
        <v>850.6370918278767</v>
      </c>
      <c r="G851" s="74">
        <f t="shared" si="136"/>
        <v>-3558.0648664260534</v>
      </c>
      <c r="H851" s="74">
        <f t="shared" si="142"/>
        <v>29745.580601987047</v>
      </c>
      <c r="I851" s="74">
        <f t="shared" si="143"/>
        <v>-33174.715825075327</v>
      </c>
      <c r="J851" s="74">
        <f t="shared" si="144"/>
        <v>44557.393723419365</v>
      </c>
      <c r="K851" s="74">
        <f t="shared" si="145"/>
        <v>-10254.419398012953</v>
      </c>
      <c r="L851" s="74">
        <f t="shared" si="146"/>
        <v>-33174.715825075327</v>
      </c>
      <c r="M851" s="74">
        <f t="shared" si="147"/>
        <v>34723.40546756392</v>
      </c>
      <c r="N851" s="74">
        <f t="shared" si="148"/>
        <v>4745.580601987047</v>
      </c>
      <c r="O851" s="74">
        <f t="shared" si="149"/>
        <v>-88174.715825075327</v>
      </c>
      <c r="P851" s="74">
        <f t="shared" si="150"/>
        <v>88302.327523586515</v>
      </c>
    </row>
    <row r="852" spans="1:16" x14ac:dyDescent="0.3">
      <c r="A852" s="72">
        <f t="shared" si="137"/>
        <v>271.5</v>
      </c>
      <c r="B852" s="74">
        <f t="shared" si="138"/>
        <v>-13992.115579574098</v>
      </c>
      <c r="C852" s="74">
        <f t="shared" si="139"/>
        <v>52554.500128419924</v>
      </c>
      <c r="D852" s="74">
        <f t="shared" si="140"/>
        <v>-8493.0699551741036</v>
      </c>
      <c r="E852" s="74">
        <f t="shared" si="141"/>
        <v>-1240.4313933108024</v>
      </c>
      <c r="F852" s="74">
        <f t="shared" si="135"/>
        <v>1006.1198046613418</v>
      </c>
      <c r="G852" s="74">
        <f t="shared" si="136"/>
        <v>-3519.135023974125</v>
      </c>
      <c r="H852" s="74">
        <f t="shared" si="142"/>
        <v>33992.1155795741</v>
      </c>
      <c r="I852" s="74">
        <f t="shared" si="143"/>
        <v>-32554.500128419924</v>
      </c>
      <c r="J852" s="74">
        <f t="shared" si="144"/>
        <v>47066.542258662012</v>
      </c>
      <c r="K852" s="74">
        <f t="shared" si="145"/>
        <v>-6007.8844204259021</v>
      </c>
      <c r="L852" s="74">
        <f t="shared" si="146"/>
        <v>-32554.500128419924</v>
      </c>
      <c r="M852" s="74">
        <f t="shared" si="147"/>
        <v>33104.231660325378</v>
      </c>
      <c r="N852" s="74">
        <f t="shared" si="148"/>
        <v>8992.1155795740979</v>
      </c>
      <c r="O852" s="74">
        <f t="shared" si="149"/>
        <v>-87554.500128419924</v>
      </c>
      <c r="P852" s="74">
        <f t="shared" si="150"/>
        <v>88015.047777831176</v>
      </c>
    </row>
    <row r="853" spans="1:16" x14ac:dyDescent="0.3">
      <c r="A853" s="72">
        <f t="shared" si="137"/>
        <v>272</v>
      </c>
      <c r="B853" s="74">
        <f t="shared" si="138"/>
        <v>-17987.120605995813</v>
      </c>
      <c r="C853" s="74">
        <f t="shared" si="139"/>
        <v>51054.500675770993</v>
      </c>
      <c r="D853" s="74">
        <f t="shared" si="140"/>
        <v>-7990.0100528434323</v>
      </c>
      <c r="E853" s="74">
        <f t="shared" si="141"/>
        <v>-2999.9989052978649</v>
      </c>
      <c r="F853" s="74">
        <f t="shared" si="135"/>
        <v>1218.117035818957</v>
      </c>
      <c r="G853" s="74">
        <f t="shared" si="136"/>
        <v>-3579.8982966242575</v>
      </c>
      <c r="H853" s="74">
        <f t="shared" si="142"/>
        <v>37987.120605995813</v>
      </c>
      <c r="I853" s="74">
        <f t="shared" si="143"/>
        <v>-31054.500675770993</v>
      </c>
      <c r="J853" s="74">
        <f t="shared" si="144"/>
        <v>49065.296739711383</v>
      </c>
      <c r="K853" s="74">
        <f t="shared" si="145"/>
        <v>-2012.8793940041869</v>
      </c>
      <c r="L853" s="74">
        <f t="shared" si="146"/>
        <v>-31054.500675770993</v>
      </c>
      <c r="M853" s="74">
        <f t="shared" si="147"/>
        <v>31119.667345205791</v>
      </c>
      <c r="N853" s="74">
        <f t="shared" si="148"/>
        <v>12987.120605995813</v>
      </c>
      <c r="O853" s="74">
        <f t="shared" si="149"/>
        <v>-86054.500675770993</v>
      </c>
      <c r="P853" s="74">
        <f t="shared" si="150"/>
        <v>87028.974417667079</v>
      </c>
    </row>
    <row r="854" spans="1:16" x14ac:dyDescent="0.3">
      <c r="A854" s="72">
        <f t="shared" si="137"/>
        <v>272.5</v>
      </c>
      <c r="B854" s="74">
        <f t="shared" si="138"/>
        <v>-21677.596373462791</v>
      </c>
      <c r="C854" s="74">
        <f t="shared" si="139"/>
        <v>48659.526648965999</v>
      </c>
      <c r="D854" s="74">
        <f t="shared" si="140"/>
        <v>-7380.9515349339536</v>
      </c>
      <c r="E854" s="74">
        <f t="shared" si="141"/>
        <v>-4789.9480536099936</v>
      </c>
      <c r="F854" s="74">
        <f t="shared" si="135"/>
        <v>1519.8657371073855</v>
      </c>
      <c r="G854" s="74">
        <f t="shared" si="136"/>
        <v>-3750.9815026131055</v>
      </c>
      <c r="H854" s="74">
        <f t="shared" si="142"/>
        <v>41677.596373462788</v>
      </c>
      <c r="I854" s="74">
        <f t="shared" si="143"/>
        <v>-28659.526648965999</v>
      </c>
      <c r="J854" s="74">
        <f t="shared" si="144"/>
        <v>50580.534864827903</v>
      </c>
      <c r="K854" s="74">
        <f t="shared" si="145"/>
        <v>1677.5963734627912</v>
      </c>
      <c r="L854" s="74">
        <f t="shared" si="146"/>
        <v>-28659.526648965999</v>
      </c>
      <c r="M854" s="74">
        <f t="shared" si="147"/>
        <v>28708.584035703461</v>
      </c>
      <c r="N854" s="74">
        <f t="shared" si="148"/>
        <v>16677.596373462791</v>
      </c>
      <c r="O854" s="74">
        <f t="shared" si="149"/>
        <v>-83659.526648965999</v>
      </c>
      <c r="P854" s="74">
        <f t="shared" si="150"/>
        <v>85305.677536288233</v>
      </c>
    </row>
    <row r="855" spans="1:16" x14ac:dyDescent="0.3">
      <c r="A855" s="72">
        <f t="shared" si="137"/>
        <v>273</v>
      </c>
      <c r="B855" s="74">
        <f t="shared" si="138"/>
        <v>-24988.105706652925</v>
      </c>
      <c r="C855" s="74">
        <f t="shared" si="139"/>
        <v>45326.807246507728</v>
      </c>
      <c r="D855" s="74">
        <f t="shared" si="140"/>
        <v>-6621.0186663802606</v>
      </c>
      <c r="E855" s="74">
        <f t="shared" si="141"/>
        <v>-6665.4388049165464</v>
      </c>
      <c r="F855" s="74">
        <f t="shared" si="135"/>
        <v>1982.3175656926865</v>
      </c>
      <c r="G855" s="74">
        <f t="shared" si="136"/>
        <v>-4062.0913727014399</v>
      </c>
      <c r="H855" s="74">
        <f t="shared" si="142"/>
        <v>44988.105706652925</v>
      </c>
      <c r="I855" s="74">
        <f t="shared" si="143"/>
        <v>-25326.807246507728</v>
      </c>
      <c r="J855" s="74">
        <f t="shared" si="144"/>
        <v>51627.287555853</v>
      </c>
      <c r="K855" s="74">
        <f t="shared" si="145"/>
        <v>4988.1057066529247</v>
      </c>
      <c r="L855" s="74">
        <f t="shared" si="146"/>
        <v>-25326.807246507728</v>
      </c>
      <c r="M855" s="74">
        <f t="shared" si="147"/>
        <v>25813.336937375992</v>
      </c>
      <c r="N855" s="74">
        <f t="shared" si="148"/>
        <v>19988.105706652925</v>
      </c>
      <c r="O855" s="74">
        <f t="shared" si="149"/>
        <v>-80326.807246507728</v>
      </c>
      <c r="P855" s="74">
        <f t="shared" si="150"/>
        <v>82776.327124111631</v>
      </c>
    </row>
    <row r="856" spans="1:16" x14ac:dyDescent="0.3">
      <c r="A856" s="72">
        <f t="shared" si="137"/>
        <v>273.5</v>
      </c>
      <c r="B856" s="74">
        <f t="shared" si="138"/>
        <v>-27803.035648419882</v>
      </c>
      <c r="C856" s="74">
        <f t="shared" si="139"/>
        <v>40978.565000874099</v>
      </c>
      <c r="D856" s="74">
        <f t="shared" si="140"/>
        <v>-5629.8598835339171</v>
      </c>
      <c r="E856" s="74">
        <f t="shared" si="141"/>
        <v>-8696.484491267267</v>
      </c>
      <c r="F856" s="74">
        <f t="shared" si="135"/>
        <v>2766.4157107556703</v>
      </c>
      <c r="G856" s="74">
        <f t="shared" si="136"/>
        <v>-4558.0730557966035</v>
      </c>
      <c r="H856" s="74">
        <f t="shared" si="142"/>
        <v>47803.035648419886</v>
      </c>
      <c r="I856" s="74">
        <f t="shared" si="143"/>
        <v>-20978.565000874099</v>
      </c>
      <c r="J856" s="74">
        <f t="shared" si="144"/>
        <v>52203.739393840384</v>
      </c>
      <c r="K856" s="74">
        <f t="shared" si="145"/>
        <v>7803.0356484198819</v>
      </c>
      <c r="L856" s="74">
        <f t="shared" si="146"/>
        <v>-20978.565000874099</v>
      </c>
      <c r="M856" s="74">
        <f t="shared" si="147"/>
        <v>22382.751279197364</v>
      </c>
      <c r="N856" s="74">
        <f t="shared" si="148"/>
        <v>22803.035648419882</v>
      </c>
      <c r="O856" s="74">
        <f t="shared" si="149"/>
        <v>-75978.565000874107</v>
      </c>
      <c r="P856" s="74">
        <f t="shared" si="150"/>
        <v>79326.671267456826</v>
      </c>
    </row>
    <row r="857" spans="1:16" x14ac:dyDescent="0.3">
      <c r="A857" s="72">
        <f t="shared" si="137"/>
        <v>274</v>
      </c>
      <c r="B857" s="74">
        <f t="shared" si="138"/>
        <v>-29926.361662497922</v>
      </c>
      <c r="C857" s="74">
        <f t="shared" si="139"/>
        <v>35490.80449129131</v>
      </c>
      <c r="D857" s="74">
        <f t="shared" si="140"/>
        <v>-4246.6520281560825</v>
      </c>
      <c r="E857" s="74">
        <f t="shared" si="141"/>
        <v>-10975.521019165568</v>
      </c>
      <c r="F857" s="74">
        <f t="shared" si="135"/>
        <v>4266.8002998207694</v>
      </c>
      <c r="G857" s="74">
        <f t="shared" si="136"/>
        <v>-5232.5235627628817</v>
      </c>
      <c r="H857" s="74">
        <f t="shared" si="142"/>
        <v>49926.361662497919</v>
      </c>
      <c r="I857" s="74">
        <f t="shared" si="143"/>
        <v>-15490.80449129131</v>
      </c>
      <c r="J857" s="74">
        <f t="shared" si="144"/>
        <v>52274.339906324531</v>
      </c>
      <c r="K857" s="74">
        <f t="shared" si="145"/>
        <v>9926.3616624979222</v>
      </c>
      <c r="L857" s="74">
        <f t="shared" si="146"/>
        <v>-15490.80449129131</v>
      </c>
      <c r="M857" s="74">
        <f t="shared" si="147"/>
        <v>18398.306434074835</v>
      </c>
      <c r="N857" s="74">
        <f t="shared" si="148"/>
        <v>24926.361662497922</v>
      </c>
      <c r="O857" s="74">
        <f t="shared" si="149"/>
        <v>-70490.804491291317</v>
      </c>
      <c r="P857" s="74">
        <f t="shared" si="150"/>
        <v>74768.155143477386</v>
      </c>
    </row>
    <row r="858" spans="1:16" x14ac:dyDescent="0.3">
      <c r="A858" s="72">
        <f t="shared" si="137"/>
        <v>274.5</v>
      </c>
      <c r="B858" s="74">
        <f t="shared" si="138"/>
        <v>-30982.987601620771</v>
      </c>
      <c r="C858" s="74">
        <f t="shared" si="139"/>
        <v>28694.913091017806</v>
      </c>
      <c r="D858" s="74">
        <f t="shared" si="140"/>
        <v>-2113.2518782456978</v>
      </c>
      <c r="E858" s="74">
        <f t="shared" si="141"/>
        <v>-13591.782800547009</v>
      </c>
      <c r="F858" s="74">
        <f t="shared" si="135"/>
        <v>7396.1329077091295</v>
      </c>
      <c r="G858" s="74">
        <f t="shared" si="136"/>
        <v>-5485.6194408945503</v>
      </c>
      <c r="H858" s="74">
        <f t="shared" si="142"/>
        <v>50982.987601620771</v>
      </c>
      <c r="I858" s="74">
        <f t="shared" si="143"/>
        <v>-8694.9130910178064</v>
      </c>
      <c r="J858" s="74">
        <f t="shared" si="144"/>
        <v>51719.111926321493</v>
      </c>
      <c r="K858" s="74">
        <f t="shared" si="145"/>
        <v>10982.987601620771</v>
      </c>
      <c r="L858" s="74">
        <f t="shared" si="146"/>
        <v>-8694.9130910178064</v>
      </c>
      <c r="M858" s="74">
        <f t="shared" si="147"/>
        <v>14008.123725813832</v>
      </c>
      <c r="N858" s="74">
        <f t="shared" si="148"/>
        <v>25982.987601620771</v>
      </c>
      <c r="O858" s="74">
        <f t="shared" si="149"/>
        <v>-63694.913091017806</v>
      </c>
      <c r="P858" s="74">
        <f t="shared" si="150"/>
        <v>68790.679589449399</v>
      </c>
    </row>
    <row r="859" spans="1:16" x14ac:dyDescent="0.3">
      <c r="A859" s="72">
        <f t="shared" si="137"/>
        <v>275</v>
      </c>
      <c r="B859" s="74">
        <f t="shared" si="138"/>
        <v>-30190.580313816336</v>
      </c>
      <c r="C859" s="74">
        <f t="shared" si="139"/>
        <v>20527.616830520667</v>
      </c>
      <c r="D859" s="74">
        <f t="shared" si="140"/>
        <v>1584.814575608867</v>
      </c>
      <c r="E859" s="74">
        <f t="shared" si="141"/>
        <v>-16334.592520994283</v>
      </c>
      <c r="F859" s="74">
        <f t="shared" si="135"/>
        <v>12040.994860220295</v>
      </c>
      <c r="G859" s="74">
        <f t="shared" si="136"/>
        <v>-1521.5237869168022</v>
      </c>
      <c r="H859" s="74">
        <f t="shared" si="142"/>
        <v>50190.580313816332</v>
      </c>
      <c r="I859" s="74">
        <f t="shared" si="143"/>
        <v>-527.61683052066655</v>
      </c>
      <c r="J859" s="74">
        <f t="shared" si="144"/>
        <v>50193.353461962433</v>
      </c>
      <c r="K859" s="74">
        <f t="shared" si="145"/>
        <v>10190.580313816336</v>
      </c>
      <c r="L859" s="74">
        <f t="shared" si="146"/>
        <v>-527.61683052066655</v>
      </c>
      <c r="M859" s="74">
        <f t="shared" si="147"/>
        <v>10204.229841207503</v>
      </c>
      <c r="N859" s="74">
        <f t="shared" si="148"/>
        <v>25190.580313816336</v>
      </c>
      <c r="O859" s="74">
        <f t="shared" si="149"/>
        <v>-55527.616830520667</v>
      </c>
      <c r="P859" s="74">
        <f t="shared" si="150"/>
        <v>60974.433719584085</v>
      </c>
    </row>
    <row r="860" spans="1:16" x14ac:dyDescent="0.3">
      <c r="A860" s="72">
        <f t="shared" si="137"/>
        <v>275.5</v>
      </c>
      <c r="B860" s="74">
        <f t="shared" si="138"/>
        <v>-26387.924310956827</v>
      </c>
      <c r="C860" s="74">
        <f t="shared" si="139"/>
        <v>11979.939623294324</v>
      </c>
      <c r="D860" s="74">
        <f t="shared" si="140"/>
        <v>7605.3120057190145</v>
      </c>
      <c r="E860" s="74">
        <f t="shared" si="141"/>
        <v>-17095.354414452686</v>
      </c>
      <c r="F860" s="74">
        <f t="shared" si="135"/>
        <v>8588.2350419388167</v>
      </c>
      <c r="G860" s="74">
        <f t="shared" si="136"/>
        <v>6767.7387348523971</v>
      </c>
      <c r="H860" s="74">
        <f t="shared" si="142"/>
        <v>46387.924310956827</v>
      </c>
      <c r="I860" s="74">
        <f t="shared" si="143"/>
        <v>8020.0603767056764</v>
      </c>
      <c r="J860" s="74">
        <f t="shared" si="144"/>
        <v>47076.118046468779</v>
      </c>
      <c r="K860" s="74">
        <f t="shared" si="145"/>
        <v>6387.924310956827</v>
      </c>
      <c r="L860" s="74">
        <f t="shared" si="146"/>
        <v>8020.0603767056764</v>
      </c>
      <c r="M860" s="74">
        <f t="shared" si="147"/>
        <v>10253.143198479072</v>
      </c>
      <c r="N860" s="74">
        <f t="shared" si="148"/>
        <v>21387.924310956827</v>
      </c>
      <c r="O860" s="74">
        <f t="shared" si="149"/>
        <v>-46979.939623294325</v>
      </c>
      <c r="P860" s="74">
        <f t="shared" si="150"/>
        <v>51619.357157364895</v>
      </c>
    </row>
    <row r="861" spans="1:16" x14ac:dyDescent="0.3">
      <c r="A861" s="72">
        <f t="shared" si="137"/>
        <v>276</v>
      </c>
      <c r="B861" s="74">
        <f t="shared" si="138"/>
        <v>-20438.209547612612</v>
      </c>
      <c r="C861" s="74">
        <f t="shared" si="139"/>
        <v>5124.1970997810804</v>
      </c>
      <c r="D861" s="74">
        <f t="shared" si="140"/>
        <v>11899.429526688422</v>
      </c>
      <c r="E861" s="74">
        <f t="shared" si="141"/>
        <v>-13711.485047026486</v>
      </c>
      <c r="F861" s="74">
        <f t="shared" si="135"/>
        <v>2904.0737913057083</v>
      </c>
      <c r="G861" s="74">
        <f t="shared" si="136"/>
        <v>5379.7189235968435</v>
      </c>
      <c r="H861" s="74">
        <f t="shared" si="142"/>
        <v>40438.209547612612</v>
      </c>
      <c r="I861" s="74">
        <f t="shared" si="143"/>
        <v>14875.80290021892</v>
      </c>
      <c r="J861" s="74">
        <f t="shared" si="144"/>
        <v>43087.565530472821</v>
      </c>
      <c r="K861" s="74">
        <f t="shared" si="145"/>
        <v>438.20954761261237</v>
      </c>
      <c r="L861" s="74">
        <f t="shared" si="146"/>
        <v>14875.80290021892</v>
      </c>
      <c r="M861" s="74">
        <f t="shared" si="147"/>
        <v>14882.255861722726</v>
      </c>
      <c r="N861" s="74">
        <f t="shared" si="148"/>
        <v>15438.209547612612</v>
      </c>
      <c r="O861" s="74">
        <f t="shared" si="149"/>
        <v>-40124.197099781079</v>
      </c>
      <c r="P861" s="74">
        <f t="shared" si="150"/>
        <v>42991.737658974394</v>
      </c>
    </row>
    <row r="862" spans="1:16" x14ac:dyDescent="0.3">
      <c r="A862" s="72">
        <f t="shared" si="137"/>
        <v>276.5</v>
      </c>
      <c r="B862" s="74">
        <f t="shared" si="138"/>
        <v>-13762.476336441974</v>
      </c>
      <c r="C862" s="74">
        <f t="shared" si="139"/>
        <v>-386.61569283295194</v>
      </c>
      <c r="D862" s="74">
        <f t="shared" si="140"/>
        <v>13351.466422341276</v>
      </c>
      <c r="E862" s="74">
        <f t="shared" si="141"/>
        <v>-11021.625585228065</v>
      </c>
      <c r="F862" s="74">
        <f t="shared" si="135"/>
        <v>1686.5363491702356</v>
      </c>
      <c r="G862" s="74">
        <f t="shared" si="136"/>
        <v>2126.6751733480251</v>
      </c>
      <c r="H862" s="74">
        <f t="shared" si="142"/>
        <v>33762.476336441978</v>
      </c>
      <c r="I862" s="74">
        <f t="shared" si="143"/>
        <v>20386.615692832951</v>
      </c>
      <c r="J862" s="74">
        <f t="shared" si="144"/>
        <v>39440.067289192943</v>
      </c>
      <c r="K862" s="74">
        <f t="shared" si="145"/>
        <v>-6237.5236635580259</v>
      </c>
      <c r="L862" s="74">
        <f t="shared" si="146"/>
        <v>20386.615692832951</v>
      </c>
      <c r="M862" s="74">
        <f t="shared" si="147"/>
        <v>21319.493447563644</v>
      </c>
      <c r="N862" s="74">
        <f t="shared" si="148"/>
        <v>8762.4763364419741</v>
      </c>
      <c r="O862" s="74">
        <f t="shared" si="149"/>
        <v>-34613.384307167049</v>
      </c>
      <c r="P862" s="74">
        <f t="shared" si="150"/>
        <v>35705.284829312644</v>
      </c>
    </row>
    <row r="863" spans="1:16" x14ac:dyDescent="0.3">
      <c r="A863" s="72">
        <f t="shared" si="137"/>
        <v>277</v>
      </c>
      <c r="B863" s="74">
        <f t="shared" si="138"/>
        <v>-6665.1090379787765</v>
      </c>
      <c r="C863" s="74">
        <f t="shared" si="139"/>
        <v>-5365.7596921099775</v>
      </c>
      <c r="D863" s="74">
        <f t="shared" si="140"/>
        <v>14194.734596926395</v>
      </c>
      <c r="E863" s="74">
        <f t="shared" si="141"/>
        <v>-9958.287998554053</v>
      </c>
      <c r="F863" s="74">
        <f t="shared" si="135"/>
        <v>1154.84940458253</v>
      </c>
      <c r="G863" s="74">
        <f t="shared" si="136"/>
        <v>-59.244616641009543</v>
      </c>
      <c r="H863" s="74">
        <f t="shared" si="142"/>
        <v>26665.109037978778</v>
      </c>
      <c r="I863" s="74">
        <f t="shared" si="143"/>
        <v>25365.759692109976</v>
      </c>
      <c r="J863" s="74">
        <f t="shared" si="144"/>
        <v>36802.850497823791</v>
      </c>
      <c r="K863" s="74">
        <f t="shared" si="145"/>
        <v>-13334.890962021223</v>
      </c>
      <c r="L863" s="74">
        <f t="shared" si="146"/>
        <v>25365.759692109976</v>
      </c>
      <c r="M863" s="74">
        <f t="shared" si="147"/>
        <v>28657.304160141553</v>
      </c>
      <c r="N863" s="74">
        <f t="shared" si="148"/>
        <v>1665.1090379787765</v>
      </c>
      <c r="O863" s="74">
        <f t="shared" si="149"/>
        <v>-29634.240307890024</v>
      </c>
      <c r="P863" s="74">
        <f t="shared" si="150"/>
        <v>29680.983587713741</v>
      </c>
    </row>
    <row r="864" spans="1:16" x14ac:dyDescent="0.3">
      <c r="A864" s="72">
        <f t="shared" si="137"/>
        <v>277.5</v>
      </c>
      <c r="B864" s="74">
        <f t="shared" si="138"/>
        <v>720.97061163005355</v>
      </c>
      <c r="C864" s="74">
        <f t="shared" si="139"/>
        <v>-10359.714845547256</v>
      </c>
      <c r="D864" s="74">
        <f t="shared" si="140"/>
        <v>14772.159299217659</v>
      </c>
      <c r="E864" s="74">
        <f t="shared" si="141"/>
        <v>-9987.9103068745571</v>
      </c>
      <c r="F864" s="74">
        <f t="shared" si="135"/>
        <v>-472.97839023108691</v>
      </c>
      <c r="G864" s="74">
        <f t="shared" si="136"/>
        <v>-1460.4369003607244</v>
      </c>
      <c r="H864" s="74">
        <f t="shared" si="142"/>
        <v>19279.029388369945</v>
      </c>
      <c r="I864" s="74">
        <f t="shared" si="143"/>
        <v>30359.714845547256</v>
      </c>
      <c r="J864" s="74">
        <f t="shared" si="144"/>
        <v>35963.777049422584</v>
      </c>
      <c r="K864" s="74">
        <f t="shared" si="145"/>
        <v>-20720.970611630055</v>
      </c>
      <c r="L864" s="74">
        <f t="shared" si="146"/>
        <v>30359.714845547256</v>
      </c>
      <c r="M864" s="74">
        <f t="shared" si="147"/>
        <v>36756.916472835132</v>
      </c>
      <c r="N864" s="74">
        <f t="shared" si="148"/>
        <v>-5720.9706116300531</v>
      </c>
      <c r="O864" s="74">
        <f t="shared" si="149"/>
        <v>-24640.285154452744</v>
      </c>
      <c r="P864" s="74">
        <f t="shared" si="150"/>
        <v>25295.714206795568</v>
      </c>
    </row>
    <row r="865" spans="1:16" x14ac:dyDescent="0.3">
      <c r="A865" s="72">
        <f t="shared" si="137"/>
        <v>278</v>
      </c>
      <c r="B865" s="74">
        <f t="shared" si="138"/>
        <v>7988.8056636811107</v>
      </c>
      <c r="C865" s="74">
        <f t="shared" si="139"/>
        <v>-15718.779224074715</v>
      </c>
      <c r="D865" s="74">
        <f t="shared" si="140"/>
        <v>14535.670104102115</v>
      </c>
      <c r="E865" s="74">
        <f t="shared" si="141"/>
        <v>-10718.128757054919</v>
      </c>
      <c r="F865" s="74">
        <f t="shared" si="135"/>
        <v>-3121.2797338227806</v>
      </c>
      <c r="G865" s="74">
        <f t="shared" si="136"/>
        <v>-1675.2444213134222</v>
      </c>
      <c r="H865" s="74">
        <f t="shared" si="142"/>
        <v>12011.194336318889</v>
      </c>
      <c r="I865" s="74">
        <f t="shared" si="143"/>
        <v>35718.779224074715</v>
      </c>
      <c r="J865" s="74">
        <f t="shared" si="144"/>
        <v>37684.213918337351</v>
      </c>
      <c r="K865" s="74">
        <f t="shared" si="145"/>
        <v>-27988.805663681109</v>
      </c>
      <c r="L865" s="74">
        <f t="shared" si="146"/>
        <v>35718.779224074715</v>
      </c>
      <c r="M865" s="74">
        <f t="shared" si="147"/>
        <v>45378.45779373181</v>
      </c>
      <c r="N865" s="74">
        <f t="shared" si="148"/>
        <v>-12988.805663681111</v>
      </c>
      <c r="O865" s="74">
        <f t="shared" si="149"/>
        <v>-19281.220775925285</v>
      </c>
      <c r="P865" s="74">
        <f t="shared" si="150"/>
        <v>23248.108464536363</v>
      </c>
    </row>
    <row r="866" spans="1:16" x14ac:dyDescent="0.3">
      <c r="A866" s="72">
        <f t="shared" si="137"/>
        <v>278.5</v>
      </c>
      <c r="B866" s="74">
        <f t="shared" si="138"/>
        <v>14476.320782276473</v>
      </c>
      <c r="C866" s="74">
        <f t="shared" si="139"/>
        <v>-21496.654707930531</v>
      </c>
      <c r="D866" s="74">
        <f t="shared" si="140"/>
        <v>12975.030237190726</v>
      </c>
      <c r="E866" s="74">
        <f t="shared" si="141"/>
        <v>-11555.75096771163</v>
      </c>
      <c r="F866" s="74">
        <f t="shared" si="135"/>
        <v>-4958.8852661122864</v>
      </c>
      <c r="G866" s="74">
        <f t="shared" si="136"/>
        <v>-594.66850640924622</v>
      </c>
      <c r="H866" s="74">
        <f t="shared" si="142"/>
        <v>5523.6792177235275</v>
      </c>
      <c r="I866" s="74">
        <f t="shared" si="143"/>
        <v>41496.654707930531</v>
      </c>
      <c r="J866" s="74">
        <f t="shared" si="144"/>
        <v>41862.672920509074</v>
      </c>
      <c r="K866" s="74">
        <f t="shared" si="145"/>
        <v>-34476.320782276474</v>
      </c>
      <c r="L866" s="74">
        <f t="shared" si="146"/>
        <v>41496.654707930531</v>
      </c>
      <c r="M866" s="74">
        <f t="shared" si="147"/>
        <v>53949.875316182537</v>
      </c>
      <c r="N866" s="74">
        <f t="shared" si="148"/>
        <v>-19476.320782276474</v>
      </c>
      <c r="O866" s="74">
        <f t="shared" si="149"/>
        <v>-13503.345292069469</v>
      </c>
      <c r="P866" s="74">
        <f t="shared" si="150"/>
        <v>23699.52331358142</v>
      </c>
    </row>
    <row r="867" spans="1:16" x14ac:dyDescent="0.3">
      <c r="A867" s="72">
        <f t="shared" si="137"/>
        <v>279</v>
      </c>
      <c r="B867" s="74">
        <f t="shared" si="138"/>
        <v>19724.114584343766</v>
      </c>
      <c r="C867" s="74">
        <f t="shared" si="139"/>
        <v>-27423.197318388658</v>
      </c>
      <c r="D867" s="74">
        <f t="shared" si="140"/>
        <v>10495.587604134582</v>
      </c>
      <c r="E867" s="74">
        <f t="shared" si="141"/>
        <v>-11853.085220916253</v>
      </c>
      <c r="F867" s="74">
        <f t="shared" si="135"/>
        <v>-5200.2660517878739</v>
      </c>
      <c r="G867" s="74">
        <f t="shared" si="136"/>
        <v>674.66253772752793</v>
      </c>
      <c r="H867" s="74">
        <f t="shared" si="142"/>
        <v>275.88541565623382</v>
      </c>
      <c r="I867" s="74">
        <f t="shared" si="143"/>
        <v>47423.197318388658</v>
      </c>
      <c r="J867" s="74">
        <f t="shared" si="144"/>
        <v>47423.999796109536</v>
      </c>
      <c r="K867" s="74">
        <f t="shared" si="145"/>
        <v>-39724.11458434377</v>
      </c>
      <c r="L867" s="74">
        <f t="shared" si="146"/>
        <v>47423.197318388658</v>
      </c>
      <c r="M867" s="74">
        <f t="shared" si="147"/>
        <v>61862.467808913818</v>
      </c>
      <c r="N867" s="74">
        <f t="shared" si="148"/>
        <v>-24724.114584343766</v>
      </c>
      <c r="O867" s="74">
        <f t="shared" si="149"/>
        <v>-7576.8026816113415</v>
      </c>
      <c r="P867" s="74">
        <f t="shared" si="150"/>
        <v>25859.036734879221</v>
      </c>
    </row>
    <row r="868" spans="1:16" x14ac:dyDescent="0.3">
      <c r="A868" s="72">
        <f t="shared" si="137"/>
        <v>279.5</v>
      </c>
      <c r="B868" s="74">
        <f t="shared" si="138"/>
        <v>23671.841873464091</v>
      </c>
      <c r="C868" s="74">
        <f t="shared" si="139"/>
        <v>-33181.074294414902</v>
      </c>
      <c r="D868" s="74">
        <f t="shared" si="140"/>
        <v>7895.4545782406449</v>
      </c>
      <c r="E868" s="74">
        <f t="shared" si="141"/>
        <v>-11515.75395205249</v>
      </c>
      <c r="F868" s="74">
        <f t="shared" si="135"/>
        <v>-4644.4929212992301</v>
      </c>
      <c r="G868" s="74">
        <f t="shared" si="136"/>
        <v>1468.56335131887</v>
      </c>
      <c r="H868" s="74">
        <f t="shared" si="142"/>
        <v>-3671.8418734640909</v>
      </c>
      <c r="I868" s="74">
        <f t="shared" si="143"/>
        <v>53181.074294414902</v>
      </c>
      <c r="J868" s="74">
        <f t="shared" si="144"/>
        <v>53307.683178429375</v>
      </c>
      <c r="K868" s="74">
        <f t="shared" si="145"/>
        <v>-43671.841873464087</v>
      </c>
      <c r="L868" s="74">
        <f t="shared" si="146"/>
        <v>53181.074294414902</v>
      </c>
      <c r="M868" s="74">
        <f t="shared" si="147"/>
        <v>68814.652769079126</v>
      </c>
      <c r="N868" s="74">
        <f t="shared" si="148"/>
        <v>-28671.841873464091</v>
      </c>
      <c r="O868" s="74">
        <f t="shared" si="149"/>
        <v>-1818.9257055850976</v>
      </c>
      <c r="P868" s="74">
        <f t="shared" si="150"/>
        <v>28729.479757548117</v>
      </c>
    </row>
    <row r="869" spans="1:16" x14ac:dyDescent="0.3">
      <c r="A869" s="72">
        <f t="shared" si="137"/>
        <v>280</v>
      </c>
      <c r="B869" s="74">
        <f t="shared" si="138"/>
        <v>26458.445932259605</v>
      </c>
      <c r="C869" s="74">
        <f t="shared" si="139"/>
        <v>-38571.810432611426</v>
      </c>
      <c r="D869" s="74">
        <f t="shared" si="140"/>
        <v>5573.2081175910298</v>
      </c>
      <c r="E869" s="74">
        <f t="shared" si="141"/>
        <v>-10781.472276393055</v>
      </c>
      <c r="F869" s="74">
        <f t="shared" si="135"/>
        <v>-3961.2860025646005</v>
      </c>
      <c r="G869" s="74">
        <f t="shared" si="136"/>
        <v>1853.3699504686797</v>
      </c>
      <c r="H869" s="74">
        <f t="shared" si="142"/>
        <v>-6458.4459322596049</v>
      </c>
      <c r="I869" s="74">
        <f t="shared" si="143"/>
        <v>58571.810432611426</v>
      </c>
      <c r="J869" s="74">
        <f t="shared" si="144"/>
        <v>58926.806304208352</v>
      </c>
      <c r="K869" s="74">
        <f t="shared" si="145"/>
        <v>-46458.445932259609</v>
      </c>
      <c r="L869" s="74">
        <f t="shared" si="146"/>
        <v>58571.810432611426</v>
      </c>
      <c r="M869" s="74">
        <f t="shared" si="147"/>
        <v>74759.910217940065</v>
      </c>
      <c r="N869" s="74">
        <f t="shared" si="148"/>
        <v>-31458.445932259605</v>
      </c>
      <c r="O869" s="74">
        <f t="shared" si="149"/>
        <v>3571.8104326114262</v>
      </c>
      <c r="P869" s="74">
        <f t="shared" si="150"/>
        <v>31660.569329047332</v>
      </c>
    </row>
    <row r="870" spans="1:16" x14ac:dyDescent="0.3">
      <c r="A870" s="72">
        <f t="shared" si="137"/>
        <v>280.5</v>
      </c>
      <c r="B870" s="74">
        <f t="shared" si="138"/>
        <v>28254.728490413967</v>
      </c>
      <c r="C870" s="74">
        <f t="shared" si="139"/>
        <v>-43499.204083190787</v>
      </c>
      <c r="D870" s="74">
        <f t="shared" si="140"/>
        <v>3592.5651163087296</v>
      </c>
      <c r="E870" s="74">
        <f t="shared" si="141"/>
        <v>-9854.7873011587144</v>
      </c>
      <c r="F870" s="74">
        <f t="shared" si="135"/>
        <v>-3376.4981061561157</v>
      </c>
      <c r="G870" s="74">
        <f t="shared" si="136"/>
        <v>2020.6873764785109</v>
      </c>
      <c r="H870" s="74">
        <f t="shared" si="142"/>
        <v>-8254.7284904139669</v>
      </c>
      <c r="I870" s="74">
        <f t="shared" si="143"/>
        <v>63499.204083190787</v>
      </c>
      <c r="J870" s="74">
        <f t="shared" si="144"/>
        <v>64033.502650168724</v>
      </c>
      <c r="K870" s="74">
        <f t="shared" si="145"/>
        <v>-48254.728490413967</v>
      </c>
      <c r="L870" s="74">
        <f t="shared" si="146"/>
        <v>63499.204083190787</v>
      </c>
      <c r="M870" s="74">
        <f t="shared" si="147"/>
        <v>79753.794523409873</v>
      </c>
      <c r="N870" s="74">
        <f t="shared" si="148"/>
        <v>-33254.728490413967</v>
      </c>
      <c r="O870" s="74">
        <f t="shared" si="149"/>
        <v>8499.2040831907871</v>
      </c>
      <c r="P870" s="74">
        <f t="shared" si="150"/>
        <v>34323.657104377402</v>
      </c>
    </row>
    <row r="871" spans="1:16" x14ac:dyDescent="0.3">
      <c r="A871" s="72">
        <f t="shared" si="137"/>
        <v>281</v>
      </c>
      <c r="B871" s="74">
        <f t="shared" si="138"/>
        <v>29206.886522029305</v>
      </c>
      <c r="C871" s="74">
        <f t="shared" si="139"/>
        <v>-47921.42588965052</v>
      </c>
      <c r="D871" s="74">
        <f t="shared" si="140"/>
        <v>1904.3160632306717</v>
      </c>
      <c r="E871" s="74">
        <f t="shared" si="141"/>
        <v>-8844.4436129194582</v>
      </c>
      <c r="F871" s="74">
        <f t="shared" si="135"/>
        <v>-2922.654740928177</v>
      </c>
      <c r="G871" s="74">
        <f t="shared" si="136"/>
        <v>2093.1248534991046</v>
      </c>
      <c r="H871" s="74">
        <f t="shared" si="142"/>
        <v>-9206.8865220293046</v>
      </c>
      <c r="I871" s="74">
        <f t="shared" si="143"/>
        <v>67921.42588965052</v>
      </c>
      <c r="J871" s="74">
        <f t="shared" si="144"/>
        <v>68542.591534846506</v>
      </c>
      <c r="K871" s="74">
        <f t="shared" si="145"/>
        <v>-49206.886522029308</v>
      </c>
      <c r="L871" s="74">
        <f t="shared" si="146"/>
        <v>67921.42588965052</v>
      </c>
      <c r="M871" s="74">
        <f t="shared" si="147"/>
        <v>83872.747517147422</v>
      </c>
      <c r="N871" s="74">
        <f t="shared" si="148"/>
        <v>-34206.886522029308</v>
      </c>
      <c r="O871" s="74">
        <f t="shared" si="149"/>
        <v>12921.42588965052</v>
      </c>
      <c r="P871" s="74">
        <f t="shared" si="150"/>
        <v>36566.027027183591</v>
      </c>
    </row>
    <row r="872" spans="1:16" x14ac:dyDescent="0.3">
      <c r="A872" s="72">
        <f t="shared" si="137"/>
        <v>281.5</v>
      </c>
      <c r="B872" s="74">
        <f t="shared" si="138"/>
        <v>29428.380868412598</v>
      </c>
      <c r="C872" s="74">
        <f t="shared" si="139"/>
        <v>-51820.366482735466</v>
      </c>
      <c r="D872" s="74">
        <f t="shared" si="140"/>
        <v>442.9886927665832</v>
      </c>
      <c r="E872" s="74">
        <f t="shared" si="141"/>
        <v>-7797.881186169906</v>
      </c>
      <c r="F872" s="74">
        <f t="shared" si="135"/>
        <v>-2581.0978732623735</v>
      </c>
      <c r="G872" s="74">
        <f t="shared" si="136"/>
        <v>2133.438853078123</v>
      </c>
      <c r="H872" s="74">
        <f t="shared" si="142"/>
        <v>-9428.3808684125979</v>
      </c>
      <c r="I872" s="74">
        <f t="shared" si="143"/>
        <v>71820.366482735466</v>
      </c>
      <c r="J872" s="74">
        <f t="shared" si="144"/>
        <v>72436.588872711844</v>
      </c>
      <c r="K872" s="74">
        <f t="shared" si="145"/>
        <v>-49428.380868412598</v>
      </c>
      <c r="L872" s="74">
        <f t="shared" si="146"/>
        <v>71820.366482735466</v>
      </c>
      <c r="M872" s="74">
        <f t="shared" si="147"/>
        <v>87185.605904801094</v>
      </c>
      <c r="N872" s="74">
        <f t="shared" si="148"/>
        <v>-34428.380868412598</v>
      </c>
      <c r="O872" s="74">
        <f t="shared" si="149"/>
        <v>16820.366482735466</v>
      </c>
      <c r="P872" s="74">
        <f t="shared" si="150"/>
        <v>38317.595668752612</v>
      </c>
    </row>
    <row r="873" spans="1:16" x14ac:dyDescent="0.3">
      <c r="A873" s="72">
        <f t="shared" si="137"/>
        <v>282</v>
      </c>
      <c r="B873" s="74">
        <f t="shared" si="138"/>
        <v>29004.600746480297</v>
      </c>
      <c r="C873" s="74">
        <f t="shared" si="139"/>
        <v>-55185.947362550891</v>
      </c>
      <c r="D873" s="74">
        <f t="shared" si="140"/>
        <v>-847.56024386460354</v>
      </c>
      <c r="E873" s="74">
        <f t="shared" si="141"/>
        <v>-6731.1617596308442</v>
      </c>
      <c r="F873" s="74">
        <f t="shared" si="135"/>
        <v>-2327.1685406932829</v>
      </c>
      <c r="G873" s="74">
        <f t="shared" si="136"/>
        <v>2173.1294909658736</v>
      </c>
      <c r="H873" s="74">
        <f t="shared" si="142"/>
        <v>-9004.6007464802969</v>
      </c>
      <c r="I873" s="74">
        <f t="shared" si="143"/>
        <v>75185.947362550884</v>
      </c>
      <c r="J873" s="74">
        <f t="shared" si="144"/>
        <v>75723.242900761892</v>
      </c>
      <c r="K873" s="74">
        <f t="shared" si="145"/>
        <v>-49004.600746480297</v>
      </c>
      <c r="L873" s="74">
        <f t="shared" si="146"/>
        <v>75185.947362550884</v>
      </c>
      <c r="M873" s="74">
        <f t="shared" si="147"/>
        <v>89746.184181424716</v>
      </c>
      <c r="N873" s="74">
        <f t="shared" si="148"/>
        <v>-34004.600746480297</v>
      </c>
      <c r="O873" s="74">
        <f t="shared" si="149"/>
        <v>20185.947362550891</v>
      </c>
      <c r="P873" s="74">
        <f t="shared" si="150"/>
        <v>39544.72585378743</v>
      </c>
    </row>
    <row r="874" spans="1:16" x14ac:dyDescent="0.3">
      <c r="A874" s="72">
        <f t="shared" si="137"/>
        <v>282.5</v>
      </c>
      <c r="B874" s="74">
        <f t="shared" si="138"/>
        <v>27999.028489374676</v>
      </c>
      <c r="C874" s="74">
        <f t="shared" si="139"/>
        <v>-58008.24586962485</v>
      </c>
      <c r="D874" s="74">
        <f t="shared" si="140"/>
        <v>-2011.144514211245</v>
      </c>
      <c r="E874" s="74">
        <f t="shared" si="141"/>
        <v>-5644.5970141479074</v>
      </c>
      <c r="F874" s="74">
        <f t="shared" si="135"/>
        <v>-2140.8737683952882</v>
      </c>
      <c r="G874" s="74">
        <f t="shared" si="136"/>
        <v>2229.7565699171901</v>
      </c>
      <c r="H874" s="74">
        <f t="shared" si="142"/>
        <v>-7999.0284893746757</v>
      </c>
      <c r="I874" s="74">
        <f t="shared" si="143"/>
        <v>78008.24586962485</v>
      </c>
      <c r="J874" s="74">
        <f t="shared" si="144"/>
        <v>78417.286872408877</v>
      </c>
      <c r="K874" s="74">
        <f t="shared" si="145"/>
        <v>-47999.028489374672</v>
      </c>
      <c r="L874" s="74">
        <f t="shared" si="146"/>
        <v>78008.24586962485</v>
      </c>
      <c r="M874" s="74">
        <f t="shared" si="147"/>
        <v>91592.538776800182</v>
      </c>
      <c r="N874" s="74">
        <f t="shared" si="148"/>
        <v>-32999.028489374672</v>
      </c>
      <c r="O874" s="74">
        <f t="shared" si="149"/>
        <v>23008.24586962485</v>
      </c>
      <c r="P874" s="74">
        <f t="shared" si="150"/>
        <v>40228.289290493951</v>
      </c>
    </row>
    <row r="875" spans="1:16" x14ac:dyDescent="0.3">
      <c r="A875" s="72">
        <f t="shared" si="137"/>
        <v>283</v>
      </c>
      <c r="B875" s="74">
        <f t="shared" si="138"/>
        <v>26458.237790170231</v>
      </c>
      <c r="C875" s="74">
        <f t="shared" si="139"/>
        <v>-60273.105234219503</v>
      </c>
      <c r="D875" s="74">
        <f t="shared" si="140"/>
        <v>-3081.5813984088891</v>
      </c>
      <c r="E875" s="74">
        <f t="shared" si="141"/>
        <v>-4529.7187291893124</v>
      </c>
      <c r="F875" s="74">
        <f t="shared" si="135"/>
        <v>-2008.0227080192572</v>
      </c>
      <c r="G875" s="74">
        <f t="shared" si="136"/>
        <v>2315.909695559606</v>
      </c>
      <c r="H875" s="74">
        <f t="shared" si="142"/>
        <v>-6458.2377901702312</v>
      </c>
      <c r="I875" s="74">
        <f t="shared" si="143"/>
        <v>80273.105234219503</v>
      </c>
      <c r="J875" s="74">
        <f t="shared" si="144"/>
        <v>80532.479530301687</v>
      </c>
      <c r="K875" s="74">
        <f t="shared" si="145"/>
        <v>-46458.237790170228</v>
      </c>
      <c r="L875" s="74">
        <f t="shared" si="146"/>
        <v>80273.105234219503</v>
      </c>
      <c r="M875" s="74">
        <f t="shared" si="147"/>
        <v>92747.718476047055</v>
      </c>
      <c r="N875" s="74">
        <f t="shared" si="148"/>
        <v>-31458.237790170231</v>
      </c>
      <c r="O875" s="74">
        <f t="shared" si="149"/>
        <v>25273.105234219503</v>
      </c>
      <c r="P875" s="74">
        <f t="shared" si="150"/>
        <v>40352.826084957516</v>
      </c>
    </row>
    <row r="876" spans="1:16" x14ac:dyDescent="0.3">
      <c r="A876" s="72">
        <f t="shared" si="137"/>
        <v>283.5</v>
      </c>
      <c r="B876" s="74">
        <f t="shared" si="138"/>
        <v>24415.441413960973</v>
      </c>
      <c r="C876" s="74">
        <f t="shared" si="139"/>
        <v>-61958.987174924252</v>
      </c>
      <c r="D876" s="74">
        <f t="shared" si="140"/>
        <v>-4085.5927524185176</v>
      </c>
      <c r="E876" s="74">
        <f t="shared" si="141"/>
        <v>-3371.7638814095094</v>
      </c>
      <c r="F876" s="74">
        <f t="shared" si="135"/>
        <v>-1919.2995701635916</v>
      </c>
      <c r="G876" s="74">
        <f t="shared" si="136"/>
        <v>2444.3614120825268</v>
      </c>
      <c r="H876" s="74">
        <f t="shared" si="142"/>
        <v>-4415.4414139609726</v>
      </c>
      <c r="I876" s="74">
        <f t="shared" si="143"/>
        <v>81958.987174924259</v>
      </c>
      <c r="J876" s="74">
        <f t="shared" si="144"/>
        <v>82077.83928454452</v>
      </c>
      <c r="K876" s="74">
        <f t="shared" si="145"/>
        <v>-44415.441413960973</v>
      </c>
      <c r="L876" s="74">
        <f t="shared" si="146"/>
        <v>81958.987174924259</v>
      </c>
      <c r="M876" s="74">
        <f t="shared" si="147"/>
        <v>93220.207115927391</v>
      </c>
      <c r="N876" s="74">
        <f t="shared" si="148"/>
        <v>-29415.441413960973</v>
      </c>
      <c r="O876" s="74">
        <f t="shared" si="149"/>
        <v>26958.987174924252</v>
      </c>
      <c r="P876" s="74">
        <f t="shared" si="150"/>
        <v>39900.566199941328</v>
      </c>
    </row>
    <row r="877" spans="1:16" x14ac:dyDescent="0.3">
      <c r="A877" s="72">
        <f t="shared" si="137"/>
        <v>284</v>
      </c>
      <c r="B877" s="74">
        <f t="shared" si="138"/>
        <v>21892.820145210815</v>
      </c>
      <c r="C877" s="74">
        <f t="shared" si="139"/>
        <v>-63033.778762608374</v>
      </c>
      <c r="D877" s="74">
        <f t="shared" si="140"/>
        <v>-5045.2425375003131</v>
      </c>
      <c r="E877" s="74">
        <f t="shared" si="141"/>
        <v>-2149.583175368246</v>
      </c>
      <c r="F877" s="74">
        <f t="shared" si="135"/>
        <v>-1869.1959867640348</v>
      </c>
      <c r="G877" s="74">
        <f t="shared" si="136"/>
        <v>2632.2781592043466</v>
      </c>
      <c r="H877" s="74">
        <f t="shared" si="142"/>
        <v>-1892.8201452108151</v>
      </c>
      <c r="I877" s="74">
        <f t="shared" si="143"/>
        <v>83033.778762608374</v>
      </c>
      <c r="J877" s="74">
        <f t="shared" si="144"/>
        <v>83055.350120867646</v>
      </c>
      <c r="K877" s="74">
        <f t="shared" si="145"/>
        <v>-41892.820145210819</v>
      </c>
      <c r="L877" s="74">
        <f t="shared" si="146"/>
        <v>83033.778762608374</v>
      </c>
      <c r="M877" s="74">
        <f t="shared" si="147"/>
        <v>93003.316044734529</v>
      </c>
      <c r="N877" s="74">
        <f t="shared" si="148"/>
        <v>-26892.820145210815</v>
      </c>
      <c r="O877" s="74">
        <f t="shared" si="149"/>
        <v>28033.778762608374</v>
      </c>
      <c r="P877" s="74">
        <f t="shared" si="150"/>
        <v>38847.349035339961</v>
      </c>
    </row>
    <row r="878" spans="1:16" x14ac:dyDescent="0.3">
      <c r="A878" s="72">
        <f t="shared" si="137"/>
        <v>284.5</v>
      </c>
      <c r="B878" s="74">
        <f t="shared" si="138"/>
        <v>18902.899879769648</v>
      </c>
      <c r="C878" s="74">
        <f t="shared" si="139"/>
        <v>-63450.500810491409</v>
      </c>
      <c r="D878" s="74">
        <f t="shared" si="140"/>
        <v>-5979.8405308823303</v>
      </c>
      <c r="E878" s="74">
        <f t="shared" si="141"/>
        <v>-833.44409576607268</v>
      </c>
      <c r="F878" s="74">
        <f t="shared" si="135"/>
        <v>-1855.0830581498797</v>
      </c>
      <c r="G878" s="74">
        <f t="shared" si="136"/>
        <v>2906.7647649303467</v>
      </c>
      <c r="H878" s="74">
        <f t="shared" si="142"/>
        <v>1097.1001202303523</v>
      </c>
      <c r="I878" s="74">
        <f t="shared" si="143"/>
        <v>83450.500810491416</v>
      </c>
      <c r="J878" s="74">
        <f t="shared" si="144"/>
        <v>83457.712131328153</v>
      </c>
      <c r="K878" s="74">
        <f t="shared" si="145"/>
        <v>-38902.899879769648</v>
      </c>
      <c r="L878" s="74">
        <f t="shared" si="146"/>
        <v>83450.500810491416</v>
      </c>
      <c r="M878" s="74">
        <f t="shared" si="147"/>
        <v>92072.915151944704</v>
      </c>
      <c r="N878" s="74">
        <f t="shared" si="148"/>
        <v>-23902.899879769648</v>
      </c>
      <c r="O878" s="74">
        <f t="shared" si="149"/>
        <v>28450.500810491409</v>
      </c>
      <c r="P878" s="74">
        <f t="shared" si="150"/>
        <v>37158.843079811624</v>
      </c>
    </row>
    <row r="879" spans="1:16" x14ac:dyDescent="0.3">
      <c r="A879" s="72">
        <f t="shared" si="137"/>
        <v>285</v>
      </c>
      <c r="B879" s="74">
        <f t="shared" si="138"/>
        <v>15449.208849791012</v>
      </c>
      <c r="C879" s="74">
        <f t="shared" si="139"/>
        <v>-63140.531667141855</v>
      </c>
      <c r="D879" s="74">
        <f t="shared" si="140"/>
        <v>-6907.38205995727</v>
      </c>
      <c r="E879" s="74">
        <f t="shared" si="141"/>
        <v>619.93828669910067</v>
      </c>
      <c r="F879" s="74">
        <f t="shared" si="135"/>
        <v>-1875.9135719212666</v>
      </c>
      <c r="G879" s="74">
        <f t="shared" si="136"/>
        <v>3315.0466211731718</v>
      </c>
      <c r="H879" s="74">
        <f t="shared" si="142"/>
        <v>4550.7911502089883</v>
      </c>
      <c r="I879" s="74">
        <f t="shared" si="143"/>
        <v>83140.531667141855</v>
      </c>
      <c r="J879" s="74">
        <f t="shared" si="144"/>
        <v>83264.984873521942</v>
      </c>
      <c r="K879" s="74">
        <f t="shared" si="145"/>
        <v>-35449.208849791015</v>
      </c>
      <c r="L879" s="74">
        <f t="shared" si="146"/>
        <v>83140.531667141855</v>
      </c>
      <c r="M879" s="74">
        <f t="shared" si="147"/>
        <v>90382.489531828673</v>
      </c>
      <c r="N879" s="74">
        <f t="shared" si="148"/>
        <v>-20449.208849791012</v>
      </c>
      <c r="O879" s="74">
        <f t="shared" si="149"/>
        <v>28140.531667141855</v>
      </c>
      <c r="P879" s="74">
        <f t="shared" si="150"/>
        <v>34785.9118766748</v>
      </c>
    </row>
    <row r="880" spans="1:16" x14ac:dyDescent="0.3">
      <c r="A880" s="72">
        <f t="shared" si="137"/>
        <v>285.5</v>
      </c>
      <c r="B880" s="74">
        <f t="shared" si="138"/>
        <v>11526.53942683206</v>
      </c>
      <c r="C880" s="74">
        <f t="shared" si="139"/>
        <v>-62001.800868499005</v>
      </c>
      <c r="D880" s="74">
        <f t="shared" si="140"/>
        <v>-7845.3388459179032</v>
      </c>
      <c r="E880" s="74">
        <f t="shared" si="141"/>
        <v>2277.4615972856864</v>
      </c>
      <c r="F880" s="74">
        <f t="shared" si="135"/>
        <v>-1928.2675190013445</v>
      </c>
      <c r="G880" s="74">
        <f t="shared" si="136"/>
        <v>3946.811310785637</v>
      </c>
      <c r="H880" s="74">
        <f t="shared" si="142"/>
        <v>8473.4605731679403</v>
      </c>
      <c r="I880" s="74">
        <f t="shared" si="143"/>
        <v>82001.800868499005</v>
      </c>
      <c r="J880" s="74">
        <f t="shared" si="144"/>
        <v>82438.430842429283</v>
      </c>
      <c r="K880" s="74">
        <f t="shared" si="145"/>
        <v>-31526.53942683206</v>
      </c>
      <c r="L880" s="74">
        <f t="shared" si="146"/>
        <v>82001.800868499005</v>
      </c>
      <c r="M880" s="74">
        <f t="shared" si="147"/>
        <v>87853.3894275489</v>
      </c>
      <c r="N880" s="74">
        <f t="shared" si="148"/>
        <v>-16526.53942683206</v>
      </c>
      <c r="O880" s="74">
        <f t="shared" si="149"/>
        <v>27001.800868499005</v>
      </c>
      <c r="P880" s="74">
        <f t="shared" si="150"/>
        <v>31657.917738990796</v>
      </c>
    </row>
    <row r="881" spans="1:16" x14ac:dyDescent="0.3">
      <c r="A881" s="72">
        <f t="shared" si="137"/>
        <v>286</v>
      </c>
      <c r="B881" s="74">
        <f t="shared" si="138"/>
        <v>7121.8031241227718</v>
      </c>
      <c r="C881" s="74">
        <f t="shared" si="139"/>
        <v>-59876.367242159751</v>
      </c>
      <c r="D881" s="74">
        <f t="shared" si="140"/>
        <v>-8809.4726054185758</v>
      </c>
      <c r="E881" s="74">
        <f t="shared" si="141"/>
        <v>4250.8672526785049</v>
      </c>
      <c r="F881" s="74">
        <f t="shared" si="135"/>
        <v>-1989.2475347371014</v>
      </c>
      <c r="G881" s="74">
        <f t="shared" si="136"/>
        <v>4989.5571000914115</v>
      </c>
      <c r="H881" s="74">
        <f t="shared" si="142"/>
        <v>12878.196875877227</v>
      </c>
      <c r="I881" s="74">
        <f t="shared" si="143"/>
        <v>79876.367242159758</v>
      </c>
      <c r="J881" s="74">
        <f t="shared" si="144"/>
        <v>80907.861166750838</v>
      </c>
      <c r="K881" s="74">
        <f t="shared" si="145"/>
        <v>-27121.803124122773</v>
      </c>
      <c r="L881" s="74">
        <f t="shared" si="146"/>
        <v>79876.367242159758</v>
      </c>
      <c r="M881" s="74">
        <f t="shared" si="147"/>
        <v>84355.356963906263</v>
      </c>
      <c r="N881" s="74">
        <f t="shared" si="148"/>
        <v>-12121.803124122773</v>
      </c>
      <c r="O881" s="74">
        <f t="shared" si="149"/>
        <v>24876.367242159751</v>
      </c>
      <c r="P881" s="74">
        <f t="shared" si="150"/>
        <v>27672.581342310503</v>
      </c>
    </row>
    <row r="882" spans="1:16" x14ac:dyDescent="0.3">
      <c r="A882" s="72">
        <f t="shared" si="137"/>
        <v>286.5</v>
      </c>
      <c r="B882" s="74">
        <f t="shared" si="138"/>
        <v>2219.7549377292085</v>
      </c>
      <c r="C882" s="74">
        <f t="shared" si="139"/>
        <v>-56503.544340797642</v>
      </c>
      <c r="D882" s="74">
        <f t="shared" si="140"/>
        <v>-9804.0963727871258</v>
      </c>
      <c r="E882" s="74">
        <f t="shared" si="141"/>
        <v>6745.6458027242106</v>
      </c>
      <c r="F882" s="74">
        <f t="shared" si="135"/>
        <v>-1927.9723669988973</v>
      </c>
      <c r="G882" s="74">
        <f t="shared" si="136"/>
        <v>6878.0086646716991</v>
      </c>
      <c r="H882" s="74">
        <f t="shared" si="142"/>
        <v>17780.245062270791</v>
      </c>
      <c r="I882" s="74">
        <f t="shared" si="143"/>
        <v>76503.544340797642</v>
      </c>
      <c r="J882" s="74">
        <f t="shared" si="144"/>
        <v>78542.532497868917</v>
      </c>
      <c r="K882" s="74">
        <f t="shared" si="145"/>
        <v>-22219.754937729209</v>
      </c>
      <c r="L882" s="74">
        <f t="shared" si="146"/>
        <v>76503.544340797642</v>
      </c>
      <c r="M882" s="74">
        <f t="shared" si="147"/>
        <v>79664.984818909827</v>
      </c>
      <c r="N882" s="74">
        <f t="shared" si="148"/>
        <v>-7219.7549377292089</v>
      </c>
      <c r="O882" s="74">
        <f t="shared" si="149"/>
        <v>21503.544340797642</v>
      </c>
      <c r="P882" s="74">
        <f t="shared" si="150"/>
        <v>22683.193791384747</v>
      </c>
    </row>
    <row r="883" spans="1:16" x14ac:dyDescent="0.3">
      <c r="A883" s="72">
        <f t="shared" si="137"/>
        <v>287</v>
      </c>
      <c r="B883" s="74">
        <f t="shared" si="138"/>
        <v>-3164.2863404140789</v>
      </c>
      <c r="C883" s="74">
        <f t="shared" si="139"/>
        <v>-51411.219273267612</v>
      </c>
      <c r="D883" s="74">
        <f t="shared" si="140"/>
        <v>-10768.082556286574</v>
      </c>
      <c r="E883" s="74">
        <f t="shared" si="141"/>
        <v>10184.650135060059</v>
      </c>
      <c r="F883" s="74">
        <f t="shared" si="135"/>
        <v>-935.17592993729158</v>
      </c>
      <c r="G883" s="74">
        <f t="shared" si="136"/>
        <v>10623.692193906019</v>
      </c>
      <c r="H883" s="74">
        <f t="shared" si="142"/>
        <v>23164.286340414081</v>
      </c>
      <c r="I883" s="74">
        <f t="shared" si="143"/>
        <v>71411.219273267605</v>
      </c>
      <c r="J883" s="74">
        <f t="shared" si="144"/>
        <v>75074.272555619216</v>
      </c>
      <c r="K883" s="74">
        <f t="shared" si="145"/>
        <v>-16835.713659585919</v>
      </c>
      <c r="L883" s="74">
        <f t="shared" si="146"/>
        <v>71411.219273267605</v>
      </c>
      <c r="M883" s="74">
        <f t="shared" si="147"/>
        <v>73368.954555195029</v>
      </c>
      <c r="N883" s="74">
        <f t="shared" si="148"/>
        <v>-1835.7136595859211</v>
      </c>
      <c r="O883" s="74">
        <f t="shared" si="149"/>
        <v>16411.219273267612</v>
      </c>
      <c r="P883" s="74">
        <f t="shared" si="150"/>
        <v>16513.569047158177</v>
      </c>
    </row>
    <row r="884" spans="1:16" x14ac:dyDescent="0.3">
      <c r="A884" s="72">
        <f t="shared" si="137"/>
        <v>287.5</v>
      </c>
      <c r="B884" s="74">
        <f t="shared" si="138"/>
        <v>-8782.1216010416902</v>
      </c>
      <c r="C884" s="74">
        <f t="shared" si="139"/>
        <v>-43662.971157261076</v>
      </c>
      <c r="D884" s="74">
        <f t="shared" si="140"/>
        <v>-11235.670521255219</v>
      </c>
      <c r="E884" s="74">
        <f t="shared" si="141"/>
        <v>15496.496232013069</v>
      </c>
      <c r="F884" s="74">
        <f t="shared" si="135"/>
        <v>6336.103857316225</v>
      </c>
      <c r="G884" s="74">
        <f t="shared" si="136"/>
        <v>15179.364643237532</v>
      </c>
      <c r="H884" s="74">
        <f t="shared" si="142"/>
        <v>28782.12160104169</v>
      </c>
      <c r="I884" s="74">
        <f t="shared" si="143"/>
        <v>63662.971157261076</v>
      </c>
      <c r="J884" s="74">
        <f t="shared" si="144"/>
        <v>69866.905044000669</v>
      </c>
      <c r="K884" s="74">
        <f t="shared" si="145"/>
        <v>-11217.87839895831</v>
      </c>
      <c r="L884" s="74">
        <f t="shared" si="146"/>
        <v>63662.971157261076</v>
      </c>
      <c r="M884" s="74">
        <f t="shared" si="147"/>
        <v>64643.752152424378</v>
      </c>
      <c r="N884" s="74">
        <f t="shared" si="148"/>
        <v>3782.1216010416902</v>
      </c>
      <c r="O884" s="74">
        <f t="shared" si="149"/>
        <v>8662.9711572610759</v>
      </c>
      <c r="P884" s="74">
        <f t="shared" si="150"/>
        <v>9452.5929287472991</v>
      </c>
    </row>
    <row r="885" spans="1:16" x14ac:dyDescent="0.3">
      <c r="A885" s="72">
        <f t="shared" si="137"/>
        <v>288</v>
      </c>
      <c r="B885" s="74">
        <f t="shared" si="138"/>
        <v>-12815.930897340244</v>
      </c>
      <c r="C885" s="74">
        <f t="shared" si="139"/>
        <v>-32119.881880445158</v>
      </c>
      <c r="D885" s="74">
        <f t="shared" si="140"/>
        <v>-8067.6185925971058</v>
      </c>
      <c r="E885" s="74">
        <f t="shared" si="141"/>
        <v>23086.178553631835</v>
      </c>
      <c r="F885" s="74">
        <f t="shared" si="135"/>
        <v>15314.792998744422</v>
      </c>
      <c r="G885" s="74">
        <f t="shared" si="136"/>
        <v>-3832.2338137646916</v>
      </c>
      <c r="H885" s="74">
        <f t="shared" si="142"/>
        <v>32815.930897340244</v>
      </c>
      <c r="I885" s="74">
        <f t="shared" si="143"/>
        <v>52119.881880445158</v>
      </c>
      <c r="J885" s="74">
        <f t="shared" si="144"/>
        <v>61590.319108530086</v>
      </c>
      <c r="K885" s="74">
        <f t="shared" si="145"/>
        <v>-7184.069102659756</v>
      </c>
      <c r="L885" s="74">
        <f t="shared" si="146"/>
        <v>52119.881880445158</v>
      </c>
      <c r="M885" s="74">
        <f t="shared" si="147"/>
        <v>52612.66896958703</v>
      </c>
      <c r="N885" s="74">
        <f t="shared" si="148"/>
        <v>7815.930897340244</v>
      </c>
      <c r="O885" s="74">
        <f t="shared" si="149"/>
        <v>-2880.1181195548415</v>
      </c>
      <c r="P885" s="74">
        <f t="shared" si="150"/>
        <v>8329.6972438730318</v>
      </c>
    </row>
    <row r="886" spans="1:16" x14ac:dyDescent="0.3">
      <c r="A886" s="72">
        <f t="shared" si="137"/>
        <v>288.5</v>
      </c>
      <c r="B886" s="74">
        <f t="shared" si="138"/>
        <v>-13021.041943952692</v>
      </c>
      <c r="C886" s="74">
        <f t="shared" si="139"/>
        <v>-21534.851057070413</v>
      </c>
      <c r="D886" s="74">
        <f t="shared" si="140"/>
        <v>-410.22209322489471</v>
      </c>
      <c r="E886" s="74">
        <f t="shared" si="141"/>
        <v>21170.061646749487</v>
      </c>
      <c r="F886" s="74">
        <f t="shared" ref="F886:F949" si="151">$C$23*(H886/(J886^2+$C$24^2)^1.5)+$C$32*(K886/(M886^2+$C$33^2)^1.5)+C$41*(N886/(P886^2+$C$42^2)^1.5)</f>
        <v>5917.0620370585611</v>
      </c>
      <c r="G886" s="74">
        <f t="shared" ref="G886:G949" si="152">$C$23*(I886/(J886^2+$C$24^2)^1.5)+$C$32*(L886/(M886^2+$C$33^2)^1.5)+C$41*(O886/(P886^2+$C$42^2)^1.5)</f>
        <v>-6541.3266093282546</v>
      </c>
      <c r="H886" s="74">
        <f t="shared" si="142"/>
        <v>33021.041943952689</v>
      </c>
      <c r="I886" s="74">
        <f t="shared" si="143"/>
        <v>41534.851057070409</v>
      </c>
      <c r="J886" s="74">
        <f t="shared" si="144"/>
        <v>53061.596879450444</v>
      </c>
      <c r="K886" s="74">
        <f t="shared" si="145"/>
        <v>-6978.9580560473078</v>
      </c>
      <c r="L886" s="74">
        <f t="shared" si="146"/>
        <v>41534.851057070409</v>
      </c>
      <c r="M886" s="74">
        <f t="shared" si="147"/>
        <v>42117.095197569011</v>
      </c>
      <c r="N886" s="74">
        <f t="shared" si="148"/>
        <v>8021.0419439526922</v>
      </c>
      <c r="O886" s="74">
        <f t="shared" si="149"/>
        <v>-13465.148942929587</v>
      </c>
      <c r="P886" s="74">
        <f t="shared" si="150"/>
        <v>15673.141035603749</v>
      </c>
    </row>
    <row r="887" spans="1:16" x14ac:dyDescent="0.3">
      <c r="A887" s="72">
        <f t="shared" ref="A887:A950" si="153">A886+$C$5</f>
        <v>289</v>
      </c>
      <c r="B887" s="74">
        <f t="shared" ref="B887:B950" si="154">B886+D886*(A887-A886)+F886*(A887-A886)^2</f>
        <v>-11746.8874813005</v>
      </c>
      <c r="C887" s="74">
        <f t="shared" ref="C887:C950" si="155">C886+E886*(A887-A886)+G886*(A887-A886)^2</f>
        <v>-12585.151886027732</v>
      </c>
      <c r="D887" s="74">
        <f t="shared" ref="D887:D950" si="156">D886+F886*(A887-A886)</f>
        <v>2548.3089253043859</v>
      </c>
      <c r="E887" s="74">
        <f t="shared" ref="E887:E950" si="157">E886+G886*(A887-A886)</f>
        <v>17899.398342085362</v>
      </c>
      <c r="F887" s="74">
        <f t="shared" si="151"/>
        <v>2600.2764801540525</v>
      </c>
      <c r="G887" s="74">
        <f t="shared" si="152"/>
        <v>-2648.0512673251978</v>
      </c>
      <c r="H887" s="74">
        <f t="shared" ref="H887:H950" si="158">$C$19-B887</f>
        <v>31746.887481300502</v>
      </c>
      <c r="I887" s="74">
        <f t="shared" ref="I887:I950" si="159">$D$19-C887</f>
        <v>32585.151886027732</v>
      </c>
      <c r="J887" s="74">
        <f t="shared" ref="J887:J950" si="160">SQRT(H887^2+I887^2)</f>
        <v>45493.482919928771</v>
      </c>
      <c r="K887" s="74">
        <f t="shared" ref="K887:K950" si="161">$C$28-B887</f>
        <v>-8253.1125186994996</v>
      </c>
      <c r="L887" s="74">
        <f t="shared" ref="L887:L950" si="162">$D$28-C887</f>
        <v>32585.151886027732</v>
      </c>
      <c r="M887" s="74">
        <f t="shared" ref="M887:M950" si="163">SQRT(K887^2+L887^2)</f>
        <v>33614.074279709253</v>
      </c>
      <c r="N887" s="74">
        <f t="shared" ref="N887:N950" si="164">$C$37-B887</f>
        <v>6746.8874813005004</v>
      </c>
      <c r="O887" s="74">
        <f t="shared" ref="O887:O950" si="165">$D$37-C887</f>
        <v>-22414.848113972268</v>
      </c>
      <c r="P887" s="74">
        <f t="shared" ref="P887:P950" si="166">SQRT(N887^2+O887^2)</f>
        <v>23408.244416396876</v>
      </c>
    </row>
    <row r="888" spans="1:16" x14ac:dyDescent="0.3">
      <c r="A888" s="72">
        <f t="shared" si="153"/>
        <v>289.5</v>
      </c>
      <c r="B888" s="74">
        <f t="shared" si="154"/>
        <v>-9822.6638986097933</v>
      </c>
      <c r="C888" s="74">
        <f t="shared" si="155"/>
        <v>-4297.4655318163504</v>
      </c>
      <c r="D888" s="74">
        <f t="shared" si="156"/>
        <v>3848.4471653814121</v>
      </c>
      <c r="E888" s="74">
        <f t="shared" si="157"/>
        <v>16575.372708422765</v>
      </c>
      <c r="F888" s="74">
        <f t="shared" si="151"/>
        <v>1524.0083248349979</v>
      </c>
      <c r="G888" s="74">
        <f t="shared" si="152"/>
        <v>422.57572523948056</v>
      </c>
      <c r="H888" s="74">
        <f t="shared" si="158"/>
        <v>29822.663898609793</v>
      </c>
      <c r="I888" s="74">
        <f t="shared" si="159"/>
        <v>24297.46553181635</v>
      </c>
      <c r="J888" s="74">
        <f t="shared" si="160"/>
        <v>38467.624221925209</v>
      </c>
      <c r="K888" s="74">
        <f t="shared" si="161"/>
        <v>-10177.336101390207</v>
      </c>
      <c r="L888" s="74">
        <f t="shared" si="162"/>
        <v>24297.46553181635</v>
      </c>
      <c r="M888" s="74">
        <f t="shared" si="163"/>
        <v>26342.835864622928</v>
      </c>
      <c r="N888" s="74">
        <f t="shared" si="164"/>
        <v>4822.6638986097933</v>
      </c>
      <c r="O888" s="74">
        <f t="shared" si="165"/>
        <v>-30702.53446818365</v>
      </c>
      <c r="P888" s="74">
        <f t="shared" si="166"/>
        <v>31078.991454822972</v>
      </c>
    </row>
    <row r="889" spans="1:16" x14ac:dyDescent="0.3">
      <c r="A889" s="72">
        <f t="shared" si="153"/>
        <v>290</v>
      </c>
      <c r="B889" s="74">
        <f t="shared" si="154"/>
        <v>-7517.4382347103374</v>
      </c>
      <c r="C889" s="74">
        <f t="shared" si="155"/>
        <v>4095.8647537049019</v>
      </c>
      <c r="D889" s="74">
        <f t="shared" si="156"/>
        <v>4610.4513277989108</v>
      </c>
      <c r="E889" s="74">
        <f t="shared" si="157"/>
        <v>16786.660571042506</v>
      </c>
      <c r="F889" s="74">
        <f t="shared" si="151"/>
        <v>671.32157775906148</v>
      </c>
      <c r="G889" s="74">
        <f t="shared" si="152"/>
        <v>2641.8355589926441</v>
      </c>
      <c r="H889" s="74">
        <f t="shared" si="158"/>
        <v>27517.438234710338</v>
      </c>
      <c r="I889" s="74">
        <f t="shared" si="159"/>
        <v>15904.135246295098</v>
      </c>
      <c r="J889" s="74">
        <f t="shared" si="160"/>
        <v>31782.87156525578</v>
      </c>
      <c r="K889" s="74">
        <f t="shared" si="161"/>
        <v>-12482.561765289662</v>
      </c>
      <c r="L889" s="74">
        <f t="shared" si="162"/>
        <v>15904.135246295098</v>
      </c>
      <c r="M889" s="74">
        <f t="shared" si="163"/>
        <v>20217.711694371286</v>
      </c>
      <c r="N889" s="74">
        <f t="shared" si="164"/>
        <v>2517.4382347103374</v>
      </c>
      <c r="O889" s="74">
        <f t="shared" si="165"/>
        <v>-39095.864753704904</v>
      </c>
      <c r="P889" s="74">
        <f t="shared" si="166"/>
        <v>39176.831624131715</v>
      </c>
    </row>
    <row r="890" spans="1:16" x14ac:dyDescent="0.3">
      <c r="A890" s="72">
        <f t="shared" si="153"/>
        <v>290.5</v>
      </c>
      <c r="B890" s="74">
        <f t="shared" si="154"/>
        <v>-5044.3821763711157</v>
      </c>
      <c r="C890" s="74">
        <f t="shared" si="155"/>
        <v>13149.653928974316</v>
      </c>
      <c r="D890" s="74">
        <f t="shared" si="156"/>
        <v>4946.1121166784415</v>
      </c>
      <c r="E890" s="74">
        <f t="shared" si="157"/>
        <v>18107.578350538828</v>
      </c>
      <c r="F890" s="74">
        <f t="shared" si="151"/>
        <v>-368.62746217156069</v>
      </c>
      <c r="G890" s="74">
        <f t="shared" si="152"/>
        <v>2036.7345907773979</v>
      </c>
      <c r="H890" s="74">
        <f t="shared" si="158"/>
        <v>25044.382176371117</v>
      </c>
      <c r="I890" s="74">
        <f t="shared" si="159"/>
        <v>6850.3460710256841</v>
      </c>
      <c r="J890" s="74">
        <f t="shared" si="160"/>
        <v>25964.366348689357</v>
      </c>
      <c r="K890" s="74">
        <f t="shared" si="161"/>
        <v>-14955.617823628883</v>
      </c>
      <c r="L890" s="74">
        <f t="shared" si="162"/>
        <v>6850.3460710256841</v>
      </c>
      <c r="M890" s="74">
        <f t="shared" si="163"/>
        <v>16449.855494175714</v>
      </c>
      <c r="N890" s="74">
        <f t="shared" si="164"/>
        <v>44.382176371115747</v>
      </c>
      <c r="O890" s="74">
        <f t="shared" si="165"/>
        <v>-48149.653928974316</v>
      </c>
      <c r="P890" s="74">
        <f t="shared" si="166"/>
        <v>48149.674383712831</v>
      </c>
    </row>
    <row r="891" spans="1:16" x14ac:dyDescent="0.3">
      <c r="A891" s="72">
        <f t="shared" si="153"/>
        <v>291</v>
      </c>
      <c r="B891" s="74">
        <f t="shared" si="154"/>
        <v>-2663.4829835747851</v>
      </c>
      <c r="C891" s="74">
        <f t="shared" si="155"/>
        <v>22712.626751938078</v>
      </c>
      <c r="D891" s="74">
        <f t="shared" si="156"/>
        <v>4761.7983855926614</v>
      </c>
      <c r="E891" s="74">
        <f t="shared" si="157"/>
        <v>19125.945645927528</v>
      </c>
      <c r="F891" s="74">
        <f t="shared" si="151"/>
        <v>902.09627391916479</v>
      </c>
      <c r="G891" s="74">
        <f t="shared" si="152"/>
        <v>-2745.5460198877981</v>
      </c>
      <c r="H891" s="74">
        <f t="shared" si="158"/>
        <v>22663.482983574784</v>
      </c>
      <c r="I891" s="74">
        <f t="shared" si="159"/>
        <v>-2712.6267519380781</v>
      </c>
      <c r="J891" s="74">
        <f t="shared" si="160"/>
        <v>22825.244902127863</v>
      </c>
      <c r="K891" s="74">
        <f t="shared" si="161"/>
        <v>-17336.517016425216</v>
      </c>
      <c r="L891" s="74">
        <f t="shared" si="162"/>
        <v>-2712.6267519380781</v>
      </c>
      <c r="M891" s="74">
        <f t="shared" si="163"/>
        <v>17547.454691667714</v>
      </c>
      <c r="N891" s="74">
        <f t="shared" si="164"/>
        <v>-2336.5170164252149</v>
      </c>
      <c r="O891" s="74">
        <f t="shared" si="165"/>
        <v>-57712.626751938078</v>
      </c>
      <c r="P891" s="74">
        <f t="shared" si="166"/>
        <v>57759.904764261541</v>
      </c>
    </row>
    <row r="892" spans="1:16" x14ac:dyDescent="0.3">
      <c r="A892" s="72">
        <f t="shared" si="153"/>
        <v>291.5</v>
      </c>
      <c r="B892" s="74">
        <f t="shared" si="154"/>
        <v>-57.059722298663189</v>
      </c>
      <c r="C892" s="74">
        <f t="shared" si="155"/>
        <v>31589.21306992989</v>
      </c>
      <c r="D892" s="74">
        <f t="shared" si="156"/>
        <v>5212.8465225522441</v>
      </c>
      <c r="E892" s="74">
        <f t="shared" si="157"/>
        <v>17753.172635983628</v>
      </c>
      <c r="F892" s="74">
        <f t="shared" si="151"/>
        <v>2224.1309045406078</v>
      </c>
      <c r="G892" s="74">
        <f t="shared" si="152"/>
        <v>-5636.7096888132864</v>
      </c>
      <c r="H892" s="74">
        <f t="shared" si="158"/>
        <v>20057.059722298662</v>
      </c>
      <c r="I892" s="74">
        <f t="shared" si="159"/>
        <v>-11589.21306992989</v>
      </c>
      <c r="J892" s="74">
        <f t="shared" si="160"/>
        <v>23164.531169097489</v>
      </c>
      <c r="K892" s="74">
        <f t="shared" si="161"/>
        <v>-19942.940277701338</v>
      </c>
      <c r="L892" s="74">
        <f t="shared" si="162"/>
        <v>-11589.21306992989</v>
      </c>
      <c r="M892" s="74">
        <f t="shared" si="163"/>
        <v>23065.791261090439</v>
      </c>
      <c r="N892" s="74">
        <f t="shared" si="164"/>
        <v>-4942.9402777013365</v>
      </c>
      <c r="O892" s="74">
        <f t="shared" si="165"/>
        <v>-66589.213069929887</v>
      </c>
      <c r="P892" s="74">
        <f t="shared" si="166"/>
        <v>66772.419125425164</v>
      </c>
    </row>
    <row r="893" spans="1:16" x14ac:dyDescent="0.3">
      <c r="A893" s="72">
        <f t="shared" si="153"/>
        <v>292</v>
      </c>
      <c r="B893" s="74">
        <f t="shared" si="154"/>
        <v>3105.3962651126112</v>
      </c>
      <c r="C893" s="74">
        <f t="shared" si="155"/>
        <v>39056.621965718383</v>
      </c>
      <c r="D893" s="74">
        <f t="shared" si="156"/>
        <v>6324.9119748225476</v>
      </c>
      <c r="E893" s="74">
        <f t="shared" si="157"/>
        <v>14934.817791576985</v>
      </c>
      <c r="F893" s="74">
        <f t="shared" si="151"/>
        <v>1711.9625870133561</v>
      </c>
      <c r="G893" s="74">
        <f t="shared" si="152"/>
        <v>-5999.6770001537643</v>
      </c>
      <c r="H893" s="74">
        <f t="shared" si="158"/>
        <v>16894.603734887387</v>
      </c>
      <c r="I893" s="74">
        <f t="shared" si="159"/>
        <v>-19056.621965718383</v>
      </c>
      <c r="J893" s="74">
        <f t="shared" si="160"/>
        <v>25467.28246403945</v>
      </c>
      <c r="K893" s="74">
        <f t="shared" si="161"/>
        <v>-23105.396265112613</v>
      </c>
      <c r="L893" s="74">
        <f t="shared" si="162"/>
        <v>-19056.621965718383</v>
      </c>
      <c r="M893" s="74">
        <f t="shared" si="163"/>
        <v>29950.194946146516</v>
      </c>
      <c r="N893" s="74">
        <f t="shared" si="164"/>
        <v>-8105.3962651126112</v>
      </c>
      <c r="O893" s="74">
        <f t="shared" si="165"/>
        <v>-74056.621965718383</v>
      </c>
      <c r="P893" s="74">
        <f t="shared" si="166"/>
        <v>74498.86378722715</v>
      </c>
    </row>
    <row r="894" spans="1:16" x14ac:dyDescent="0.3">
      <c r="A894" s="72">
        <f t="shared" si="153"/>
        <v>292.5</v>
      </c>
      <c r="B894" s="74">
        <f t="shared" si="154"/>
        <v>6695.8428992772242</v>
      </c>
      <c r="C894" s="74">
        <f t="shared" si="155"/>
        <v>45024.111611468441</v>
      </c>
      <c r="D894" s="74">
        <f t="shared" si="156"/>
        <v>7180.893268329226</v>
      </c>
      <c r="E894" s="74">
        <f t="shared" si="157"/>
        <v>11934.979291500102</v>
      </c>
      <c r="F894" s="74">
        <f t="shared" si="151"/>
        <v>872.87952938337401</v>
      </c>
      <c r="G894" s="74">
        <f t="shared" si="152"/>
        <v>-5502.4090973946395</v>
      </c>
      <c r="H894" s="74">
        <f t="shared" si="158"/>
        <v>13304.157100722776</v>
      </c>
      <c r="I894" s="74">
        <f t="shared" si="159"/>
        <v>-25024.111611468441</v>
      </c>
      <c r="J894" s="74">
        <f t="shared" si="160"/>
        <v>28340.902563326064</v>
      </c>
      <c r="K894" s="74">
        <f t="shared" si="161"/>
        <v>-26695.842899277224</v>
      </c>
      <c r="L894" s="74">
        <f t="shared" si="162"/>
        <v>-25024.111611468441</v>
      </c>
      <c r="M894" s="74">
        <f t="shared" si="163"/>
        <v>36590.629812099702</v>
      </c>
      <c r="N894" s="74">
        <f t="shared" si="164"/>
        <v>-11695.842899277224</v>
      </c>
      <c r="O894" s="74">
        <f t="shared" si="165"/>
        <v>-80024.111611468441</v>
      </c>
      <c r="P894" s="74">
        <f t="shared" si="166"/>
        <v>80874.292456437179</v>
      </c>
    </row>
    <row r="895" spans="1:16" x14ac:dyDescent="0.3">
      <c r="A895" s="72">
        <f t="shared" si="153"/>
        <v>293</v>
      </c>
      <c r="B895" s="74">
        <f t="shared" si="154"/>
        <v>10504.509415787681</v>
      </c>
      <c r="C895" s="74">
        <f t="shared" si="155"/>
        <v>49615.998982869831</v>
      </c>
      <c r="D895" s="74">
        <f t="shared" si="156"/>
        <v>7617.3330330209128</v>
      </c>
      <c r="E895" s="74">
        <f t="shared" si="157"/>
        <v>9183.7747428027815</v>
      </c>
      <c r="F895" s="74">
        <f t="shared" si="151"/>
        <v>232.80999146440024</v>
      </c>
      <c r="G895" s="74">
        <f t="shared" si="152"/>
        <v>-4888.0674296259767</v>
      </c>
      <c r="H895" s="74">
        <f t="shared" si="158"/>
        <v>9495.4905842123189</v>
      </c>
      <c r="I895" s="74">
        <f t="shared" si="159"/>
        <v>-29615.998982869831</v>
      </c>
      <c r="J895" s="74">
        <f t="shared" si="160"/>
        <v>31100.992543457702</v>
      </c>
      <c r="K895" s="74">
        <f t="shared" si="161"/>
        <v>-30504.509415787681</v>
      </c>
      <c r="L895" s="74">
        <f t="shared" si="162"/>
        <v>-29615.998982869831</v>
      </c>
      <c r="M895" s="74">
        <f t="shared" si="163"/>
        <v>42516.261482534261</v>
      </c>
      <c r="N895" s="74">
        <f t="shared" si="164"/>
        <v>-15504.509415787681</v>
      </c>
      <c r="O895" s="74">
        <f t="shared" si="165"/>
        <v>-84615.998982869831</v>
      </c>
      <c r="P895" s="74">
        <f t="shared" si="166"/>
        <v>86024.746998135815</v>
      </c>
    </row>
    <row r="896" spans="1:16" x14ac:dyDescent="0.3">
      <c r="A896" s="72">
        <f t="shared" si="153"/>
        <v>293.5</v>
      </c>
      <c r="B896" s="74">
        <f t="shared" si="154"/>
        <v>14371.378430164237</v>
      </c>
      <c r="C896" s="74">
        <f t="shared" si="155"/>
        <v>52985.869496864725</v>
      </c>
      <c r="D896" s="74">
        <f t="shared" si="156"/>
        <v>7733.7380287531132</v>
      </c>
      <c r="E896" s="74">
        <f t="shared" si="157"/>
        <v>6739.7410279897931</v>
      </c>
      <c r="F896" s="74">
        <f t="shared" si="151"/>
        <v>-209.45030048706207</v>
      </c>
      <c r="G896" s="74">
        <f t="shared" si="152"/>
        <v>-4365.9054885010546</v>
      </c>
      <c r="H896" s="74">
        <f t="shared" si="158"/>
        <v>5628.6215698357628</v>
      </c>
      <c r="I896" s="74">
        <f t="shared" si="159"/>
        <v>-32985.869496864725</v>
      </c>
      <c r="J896" s="74">
        <f t="shared" si="160"/>
        <v>33462.650331983736</v>
      </c>
      <c r="K896" s="74">
        <f t="shared" si="161"/>
        <v>-34371.378430164237</v>
      </c>
      <c r="L896" s="74">
        <f t="shared" si="162"/>
        <v>-32985.869496864725</v>
      </c>
      <c r="M896" s="74">
        <f t="shared" si="163"/>
        <v>47638.84173291528</v>
      </c>
      <c r="N896" s="74">
        <f t="shared" si="164"/>
        <v>-19371.378430164237</v>
      </c>
      <c r="O896" s="74">
        <f t="shared" si="165"/>
        <v>-87985.869496864732</v>
      </c>
      <c r="P896" s="74">
        <f t="shared" si="166"/>
        <v>90093.08260573585</v>
      </c>
    </row>
    <row r="897" spans="1:16" x14ac:dyDescent="0.3">
      <c r="A897" s="72">
        <f t="shared" si="153"/>
        <v>294</v>
      </c>
      <c r="B897" s="74">
        <f t="shared" si="154"/>
        <v>18185.884869419027</v>
      </c>
      <c r="C897" s="74">
        <f t="shared" si="155"/>
        <v>55264.263638734359</v>
      </c>
      <c r="D897" s="74">
        <f t="shared" si="156"/>
        <v>7629.0128785095822</v>
      </c>
      <c r="E897" s="74">
        <f t="shared" si="157"/>
        <v>4556.7882837392663</v>
      </c>
      <c r="F897" s="74">
        <f t="shared" si="151"/>
        <v>-527.26161928328588</v>
      </c>
      <c r="G897" s="74">
        <f t="shared" si="152"/>
        <v>-3967.5517156437991</v>
      </c>
      <c r="H897" s="74">
        <f t="shared" si="158"/>
        <v>1814.1151305809726</v>
      </c>
      <c r="I897" s="74">
        <f t="shared" si="159"/>
        <v>-35264.263638734359</v>
      </c>
      <c r="J897" s="74">
        <f t="shared" si="160"/>
        <v>35310.894971512193</v>
      </c>
      <c r="K897" s="74">
        <f t="shared" si="161"/>
        <v>-38185.884869419024</v>
      </c>
      <c r="L897" s="74">
        <f t="shared" si="162"/>
        <v>-35264.263638734359</v>
      </c>
      <c r="M897" s="74">
        <f t="shared" si="163"/>
        <v>51978.169391030759</v>
      </c>
      <c r="N897" s="74">
        <f t="shared" si="164"/>
        <v>-23185.884869419027</v>
      </c>
      <c r="O897" s="74">
        <f t="shared" si="165"/>
        <v>-90264.263638734352</v>
      </c>
      <c r="P897" s="74">
        <f t="shared" si="166"/>
        <v>93194.541403565556</v>
      </c>
    </row>
    <row r="898" spans="1:16" x14ac:dyDescent="0.3">
      <c r="A898" s="72">
        <f t="shared" si="153"/>
        <v>294.5</v>
      </c>
      <c r="B898" s="74">
        <f t="shared" si="154"/>
        <v>21868.575903852998</v>
      </c>
      <c r="C898" s="74">
        <f t="shared" si="155"/>
        <v>56550.769851693047</v>
      </c>
      <c r="D898" s="74">
        <f t="shared" si="156"/>
        <v>7365.3820688679389</v>
      </c>
      <c r="E898" s="74">
        <f t="shared" si="157"/>
        <v>2573.0124259173667</v>
      </c>
      <c r="F898" s="74">
        <f t="shared" si="151"/>
        <v>-777.98248734656215</v>
      </c>
      <c r="G898" s="74">
        <f t="shared" si="152"/>
        <v>-3680.540478949923</v>
      </c>
      <c r="H898" s="74">
        <f t="shared" si="158"/>
        <v>-1868.5759038529977</v>
      </c>
      <c r="I898" s="74">
        <f t="shared" si="159"/>
        <v>-36550.769851693047</v>
      </c>
      <c r="J898" s="74">
        <f t="shared" si="160"/>
        <v>36598.502054864126</v>
      </c>
      <c r="K898" s="74">
        <f t="shared" si="161"/>
        <v>-41868.575903852994</v>
      </c>
      <c r="L898" s="74">
        <f t="shared" si="162"/>
        <v>-36550.769851693047</v>
      </c>
      <c r="M898" s="74">
        <f t="shared" si="163"/>
        <v>55578.200987150827</v>
      </c>
      <c r="N898" s="74">
        <f t="shared" si="164"/>
        <v>-26868.575903852998</v>
      </c>
      <c r="O898" s="74">
        <f t="shared" si="165"/>
        <v>-91550.76985169304</v>
      </c>
      <c r="P898" s="74">
        <f t="shared" si="166"/>
        <v>95412.073824745981</v>
      </c>
    </row>
    <row r="899" spans="1:16" x14ac:dyDescent="0.3">
      <c r="A899" s="72">
        <f t="shared" si="153"/>
        <v>295</v>
      </c>
      <c r="B899" s="74">
        <f t="shared" si="154"/>
        <v>25356.771316450329</v>
      </c>
      <c r="C899" s="74">
        <f t="shared" si="155"/>
        <v>56917.140944914245</v>
      </c>
      <c r="D899" s="74">
        <f t="shared" si="156"/>
        <v>6976.3908251946577</v>
      </c>
      <c r="E899" s="74">
        <f t="shared" si="157"/>
        <v>732.74218644240523</v>
      </c>
      <c r="F899" s="74">
        <f t="shared" si="151"/>
        <v>-1000.4928111689303</v>
      </c>
      <c r="G899" s="74">
        <f t="shared" si="152"/>
        <v>-3487.1854795206082</v>
      </c>
      <c r="H899" s="74">
        <f t="shared" si="158"/>
        <v>-5356.7713164503293</v>
      </c>
      <c r="I899" s="74">
        <f t="shared" si="159"/>
        <v>-36917.140944914245</v>
      </c>
      <c r="J899" s="74">
        <f t="shared" si="160"/>
        <v>37303.75710948441</v>
      </c>
      <c r="K899" s="74">
        <f t="shared" si="161"/>
        <v>-45356.771316450329</v>
      </c>
      <c r="L899" s="74">
        <f t="shared" si="162"/>
        <v>-36917.140944914245</v>
      </c>
      <c r="M899" s="74">
        <f t="shared" si="163"/>
        <v>58481.723639094591</v>
      </c>
      <c r="N899" s="74">
        <f t="shared" si="164"/>
        <v>-30356.771316450329</v>
      </c>
      <c r="O899" s="74">
        <f t="shared" si="165"/>
        <v>-91917.140944914252</v>
      </c>
      <c r="P899" s="74">
        <f t="shared" si="166"/>
        <v>96800.280806651048</v>
      </c>
    </row>
    <row r="900" spans="1:16" x14ac:dyDescent="0.3">
      <c r="A900" s="72">
        <f t="shared" si="153"/>
        <v>295.5</v>
      </c>
      <c r="B900" s="74">
        <f t="shared" si="154"/>
        <v>28594.843526255423</v>
      </c>
      <c r="C900" s="74">
        <f t="shared" si="155"/>
        <v>56411.715668255296</v>
      </c>
      <c r="D900" s="74">
        <f t="shared" si="156"/>
        <v>6476.1444196101929</v>
      </c>
      <c r="E900" s="74">
        <f t="shared" si="157"/>
        <v>-1010.8505533178989</v>
      </c>
      <c r="F900" s="74">
        <f t="shared" si="151"/>
        <v>-1223.4814663566453</v>
      </c>
      <c r="G900" s="74">
        <f t="shared" si="152"/>
        <v>-3374.1557275397254</v>
      </c>
      <c r="H900" s="74">
        <f t="shared" si="158"/>
        <v>-8594.8435262554231</v>
      </c>
      <c r="I900" s="74">
        <f t="shared" si="159"/>
        <v>-36411.715668255296</v>
      </c>
      <c r="J900" s="74">
        <f t="shared" si="160"/>
        <v>37412.355888752623</v>
      </c>
      <c r="K900" s="74">
        <f t="shared" si="161"/>
        <v>-48594.843526255427</v>
      </c>
      <c r="L900" s="74">
        <f t="shared" si="162"/>
        <v>-36411.715668255296</v>
      </c>
      <c r="M900" s="74">
        <f t="shared" si="163"/>
        <v>60722.910464231842</v>
      </c>
      <c r="N900" s="74">
        <f t="shared" si="164"/>
        <v>-33594.843526255427</v>
      </c>
      <c r="O900" s="74">
        <f t="shared" si="165"/>
        <v>-91411.715668255289</v>
      </c>
      <c r="P900" s="74">
        <f t="shared" si="166"/>
        <v>97389.502889005118</v>
      </c>
    </row>
    <row r="901" spans="1:16" x14ac:dyDescent="0.3">
      <c r="A901" s="72">
        <f t="shared" si="153"/>
        <v>296</v>
      </c>
      <c r="B901" s="74">
        <f t="shared" si="154"/>
        <v>31527.045369471358</v>
      </c>
      <c r="C901" s="74">
        <f t="shared" si="155"/>
        <v>55062.751459711413</v>
      </c>
      <c r="D901" s="74">
        <f t="shared" si="156"/>
        <v>5864.4036864318705</v>
      </c>
      <c r="E901" s="74">
        <f t="shared" si="157"/>
        <v>-2697.9284170877618</v>
      </c>
      <c r="F901" s="74">
        <f t="shared" si="151"/>
        <v>-1472.9733050228906</v>
      </c>
      <c r="G901" s="74">
        <f t="shared" si="152"/>
        <v>-3334.199275951345</v>
      </c>
      <c r="H901" s="74">
        <f t="shared" si="158"/>
        <v>-11527.045369471358</v>
      </c>
      <c r="I901" s="74">
        <f t="shared" si="159"/>
        <v>-35062.751459711413</v>
      </c>
      <c r="J901" s="74">
        <f t="shared" si="160"/>
        <v>36908.932724685306</v>
      </c>
      <c r="K901" s="74">
        <f t="shared" si="161"/>
        <v>-51527.045369471358</v>
      </c>
      <c r="L901" s="74">
        <f t="shared" si="162"/>
        <v>-35062.751459711413</v>
      </c>
      <c r="M901" s="74">
        <f t="shared" si="163"/>
        <v>62325.219168752665</v>
      </c>
      <c r="N901" s="74">
        <f t="shared" si="164"/>
        <v>-36527.045369471358</v>
      </c>
      <c r="O901" s="74">
        <f t="shared" si="165"/>
        <v>-90062.751459711406</v>
      </c>
      <c r="P901" s="74">
        <f t="shared" si="166"/>
        <v>97188.086944425275</v>
      </c>
    </row>
    <row r="902" spans="1:16" x14ac:dyDescent="0.3">
      <c r="A902" s="72">
        <f t="shared" si="153"/>
        <v>296.5</v>
      </c>
      <c r="B902" s="74">
        <f t="shared" si="154"/>
        <v>34091.003886431572</v>
      </c>
      <c r="C902" s="74">
        <f t="shared" si="155"/>
        <v>52880.237432179696</v>
      </c>
      <c r="D902" s="74">
        <f t="shared" si="156"/>
        <v>5127.9170339204247</v>
      </c>
      <c r="E902" s="74">
        <f t="shared" si="157"/>
        <v>-4365.0280550634343</v>
      </c>
      <c r="F902" s="74">
        <f t="shared" si="151"/>
        <v>-1779.4840957898473</v>
      </c>
      <c r="G902" s="74">
        <f t="shared" si="152"/>
        <v>-3366.1635339537461</v>
      </c>
      <c r="H902" s="74">
        <f t="shared" si="158"/>
        <v>-14091.003886431572</v>
      </c>
      <c r="I902" s="74">
        <f t="shared" si="159"/>
        <v>-32880.237432179696</v>
      </c>
      <c r="J902" s="74">
        <f t="shared" si="160"/>
        <v>35772.425192093709</v>
      </c>
      <c r="K902" s="74">
        <f t="shared" si="161"/>
        <v>-54091.003886431572</v>
      </c>
      <c r="L902" s="74">
        <f t="shared" si="162"/>
        <v>-32880.237432179696</v>
      </c>
      <c r="M902" s="74">
        <f t="shared" si="163"/>
        <v>63300.447984500606</v>
      </c>
      <c r="N902" s="74">
        <f t="shared" si="164"/>
        <v>-39091.003886431572</v>
      </c>
      <c r="O902" s="74">
        <f t="shared" si="165"/>
        <v>-87880.237432179696</v>
      </c>
      <c r="P902" s="74">
        <f t="shared" si="166"/>
        <v>96182.34097788058</v>
      </c>
    </row>
    <row r="903" spans="1:16" x14ac:dyDescent="0.3">
      <c r="A903" s="72">
        <f t="shared" si="153"/>
        <v>297</v>
      </c>
      <c r="B903" s="74">
        <f t="shared" si="154"/>
        <v>36210.091379444326</v>
      </c>
      <c r="C903" s="74">
        <f t="shared" si="155"/>
        <v>49856.182521159542</v>
      </c>
      <c r="D903" s="74">
        <f t="shared" si="156"/>
        <v>4238.1749860255013</v>
      </c>
      <c r="E903" s="74">
        <f t="shared" si="157"/>
        <v>-6048.1098220403073</v>
      </c>
      <c r="F903" s="74">
        <f t="shared" si="151"/>
        <v>-2187.6877081847042</v>
      </c>
      <c r="G903" s="74">
        <f t="shared" si="152"/>
        <v>-3474.7060133826744</v>
      </c>
      <c r="H903" s="74">
        <f t="shared" si="158"/>
        <v>-16210.091379444326</v>
      </c>
      <c r="I903" s="74">
        <f t="shared" si="159"/>
        <v>-29856.182521159542</v>
      </c>
      <c r="J903" s="74">
        <f t="shared" si="160"/>
        <v>33972.911227428362</v>
      </c>
      <c r="K903" s="74">
        <f t="shared" si="161"/>
        <v>-56210.091379444326</v>
      </c>
      <c r="L903" s="74">
        <f t="shared" si="162"/>
        <v>-29856.182521159542</v>
      </c>
      <c r="M903" s="74">
        <f t="shared" si="163"/>
        <v>63647.19952694128</v>
      </c>
      <c r="N903" s="74">
        <f t="shared" si="164"/>
        <v>-41210.091379444326</v>
      </c>
      <c r="O903" s="74">
        <f t="shared" si="165"/>
        <v>-84856.182521159542</v>
      </c>
      <c r="P903" s="74">
        <f t="shared" si="166"/>
        <v>94333.680854541526</v>
      </c>
    </row>
    <row r="904" spans="1:16" x14ac:dyDescent="0.3">
      <c r="A904" s="72">
        <f t="shared" si="153"/>
        <v>297.5</v>
      </c>
      <c r="B904" s="74">
        <f t="shared" si="154"/>
        <v>37782.256945410903</v>
      </c>
      <c r="C904" s="74">
        <f t="shared" si="155"/>
        <v>45963.45110679372</v>
      </c>
      <c r="D904" s="74">
        <f t="shared" si="156"/>
        <v>3144.3311319331492</v>
      </c>
      <c r="E904" s="74">
        <f t="shared" si="157"/>
        <v>-7785.4628287316445</v>
      </c>
      <c r="F904" s="74">
        <f t="shared" si="151"/>
        <v>-2774.2797488501719</v>
      </c>
      <c r="G904" s="74">
        <f t="shared" si="152"/>
        <v>-3668.6181173868599</v>
      </c>
      <c r="H904" s="74">
        <f t="shared" si="158"/>
        <v>-17782.256945410903</v>
      </c>
      <c r="I904" s="74">
        <f t="shared" si="159"/>
        <v>-25963.45110679372</v>
      </c>
      <c r="J904" s="74">
        <f t="shared" si="160"/>
        <v>31469.182630749758</v>
      </c>
      <c r="K904" s="74">
        <f t="shared" si="161"/>
        <v>-57782.256945410903</v>
      </c>
      <c r="L904" s="74">
        <f t="shared" si="162"/>
        <v>-25963.45110679372</v>
      </c>
      <c r="M904" s="74">
        <f t="shared" si="163"/>
        <v>63347.375723705831</v>
      </c>
      <c r="N904" s="74">
        <f t="shared" si="164"/>
        <v>-42782.256945410903</v>
      </c>
      <c r="O904" s="74">
        <f t="shared" si="165"/>
        <v>-80963.451106793713</v>
      </c>
      <c r="P904" s="74">
        <f t="shared" si="166"/>
        <v>91571.840237407785</v>
      </c>
    </row>
    <row r="905" spans="1:16" x14ac:dyDescent="0.3">
      <c r="A905" s="72">
        <f t="shared" si="153"/>
        <v>298</v>
      </c>
      <c r="B905" s="74">
        <f t="shared" si="154"/>
        <v>38660.852574164936</v>
      </c>
      <c r="C905" s="74">
        <f t="shared" si="155"/>
        <v>41153.565163081184</v>
      </c>
      <c r="D905" s="74">
        <f t="shared" si="156"/>
        <v>1757.1912575080632</v>
      </c>
      <c r="E905" s="74">
        <f t="shared" si="157"/>
        <v>-9619.771887425075</v>
      </c>
      <c r="F905" s="74">
        <f t="shared" si="151"/>
        <v>-3687.3939679059258</v>
      </c>
      <c r="G905" s="74">
        <f t="shared" si="152"/>
        <v>-3950.5541788120622</v>
      </c>
      <c r="H905" s="74">
        <f t="shared" si="158"/>
        <v>-18660.852574164936</v>
      </c>
      <c r="I905" s="74">
        <f t="shared" si="159"/>
        <v>-21153.565163081184</v>
      </c>
      <c r="J905" s="74">
        <f t="shared" si="160"/>
        <v>28208.16792887195</v>
      </c>
      <c r="K905" s="74">
        <f t="shared" si="161"/>
        <v>-58660.852574164936</v>
      </c>
      <c r="L905" s="74">
        <f t="shared" si="162"/>
        <v>-21153.565163081184</v>
      </c>
      <c r="M905" s="74">
        <f t="shared" si="163"/>
        <v>62358.391126107759</v>
      </c>
      <c r="N905" s="74">
        <f t="shared" si="164"/>
        <v>-43660.852574164936</v>
      </c>
      <c r="O905" s="74">
        <f t="shared" si="165"/>
        <v>-76153.565163081192</v>
      </c>
      <c r="P905" s="74">
        <f t="shared" si="166"/>
        <v>87781.749438881758</v>
      </c>
    </row>
    <row r="906" spans="1:16" x14ac:dyDescent="0.3">
      <c r="A906" s="72">
        <f t="shared" si="153"/>
        <v>298.5</v>
      </c>
      <c r="B906" s="74">
        <f t="shared" si="154"/>
        <v>38617.599710942486</v>
      </c>
      <c r="C906" s="74">
        <f t="shared" si="155"/>
        <v>35356.04067466563</v>
      </c>
      <c r="D906" s="74">
        <f t="shared" si="156"/>
        <v>-86.505726444899665</v>
      </c>
      <c r="E906" s="74">
        <f t="shared" si="157"/>
        <v>-11595.048976831105</v>
      </c>
      <c r="F906" s="74">
        <f t="shared" si="151"/>
        <v>-5240.2634179640336</v>
      </c>
      <c r="G906" s="74">
        <f t="shared" si="152"/>
        <v>-4260.7755741384262</v>
      </c>
      <c r="H906" s="74">
        <f t="shared" si="158"/>
        <v>-18617.599710942486</v>
      </c>
      <c r="I906" s="74">
        <f t="shared" si="159"/>
        <v>-15356.04067466563</v>
      </c>
      <c r="J906" s="74">
        <f t="shared" si="160"/>
        <v>24133.441615295382</v>
      </c>
      <c r="K906" s="74">
        <f t="shared" si="161"/>
        <v>-58617.599710942486</v>
      </c>
      <c r="L906" s="74">
        <f t="shared" si="162"/>
        <v>-15356.04067466563</v>
      </c>
      <c r="M906" s="74">
        <f t="shared" si="163"/>
        <v>60595.63500017365</v>
      </c>
      <c r="N906" s="74">
        <f t="shared" si="164"/>
        <v>-43617.599710942486</v>
      </c>
      <c r="O906" s="74">
        <f t="shared" si="165"/>
        <v>-70356.040674665623</v>
      </c>
      <c r="P906" s="74">
        <f t="shared" si="166"/>
        <v>82779.631939017549</v>
      </c>
    </row>
    <row r="907" spans="1:16" x14ac:dyDescent="0.3">
      <c r="A907" s="72">
        <f t="shared" si="153"/>
        <v>299</v>
      </c>
      <c r="B907" s="74">
        <f t="shared" si="154"/>
        <v>37264.280993229026</v>
      </c>
      <c r="C907" s="74">
        <f t="shared" si="155"/>
        <v>28493.322292715467</v>
      </c>
      <c r="D907" s="74">
        <f t="shared" si="156"/>
        <v>-2706.6374354269165</v>
      </c>
      <c r="E907" s="74">
        <f t="shared" si="157"/>
        <v>-13725.436763900318</v>
      </c>
      <c r="F907" s="74">
        <f t="shared" si="151"/>
        <v>-8097.1146075985016</v>
      </c>
      <c r="G907" s="74">
        <f t="shared" si="152"/>
        <v>-4164.9218136976087</v>
      </c>
      <c r="H907" s="74">
        <f t="shared" si="158"/>
        <v>-17264.280993229026</v>
      </c>
      <c r="I907" s="74">
        <f t="shared" si="159"/>
        <v>-8493.3222927154675</v>
      </c>
      <c r="J907" s="74">
        <f t="shared" si="160"/>
        <v>19240.372184058873</v>
      </c>
      <c r="K907" s="74">
        <f t="shared" si="161"/>
        <v>-57264.280993229026</v>
      </c>
      <c r="L907" s="74">
        <f t="shared" si="162"/>
        <v>-8493.3222927154675</v>
      </c>
      <c r="M907" s="74">
        <f t="shared" si="163"/>
        <v>57890.710837226972</v>
      </c>
      <c r="N907" s="74">
        <f t="shared" si="164"/>
        <v>-42264.280993229026</v>
      </c>
      <c r="O907" s="74">
        <f t="shared" si="165"/>
        <v>-63493.322292715471</v>
      </c>
      <c r="P907" s="74">
        <f t="shared" si="166"/>
        <v>76273.661401831618</v>
      </c>
    </row>
    <row r="908" spans="1:16" x14ac:dyDescent="0.3">
      <c r="A908" s="72">
        <f t="shared" si="153"/>
        <v>299.5</v>
      </c>
      <c r="B908" s="74">
        <f t="shared" si="154"/>
        <v>33886.683623615943</v>
      </c>
      <c r="C908" s="74">
        <f t="shared" si="155"/>
        <v>20589.373457340906</v>
      </c>
      <c r="D908" s="74">
        <f t="shared" si="156"/>
        <v>-6755.1947392261673</v>
      </c>
      <c r="E908" s="74">
        <f t="shared" si="157"/>
        <v>-15807.897670749122</v>
      </c>
      <c r="F908" s="74">
        <f t="shared" si="151"/>
        <v>-12806.790361010157</v>
      </c>
      <c r="G908" s="74">
        <f t="shared" si="152"/>
        <v>-1221.7030434199755</v>
      </c>
      <c r="H908" s="74">
        <f t="shared" si="158"/>
        <v>-13886.683623615943</v>
      </c>
      <c r="I908" s="74">
        <f t="shared" si="159"/>
        <v>-589.37345734090559</v>
      </c>
      <c r="J908" s="74">
        <f t="shared" si="160"/>
        <v>13899.184980948387</v>
      </c>
      <c r="K908" s="74">
        <f t="shared" si="161"/>
        <v>-53886.683623615943</v>
      </c>
      <c r="L908" s="74">
        <f t="shared" si="162"/>
        <v>-589.37345734090559</v>
      </c>
      <c r="M908" s="74">
        <f t="shared" si="163"/>
        <v>53889.906596911977</v>
      </c>
      <c r="N908" s="74">
        <f t="shared" si="164"/>
        <v>-38886.683623615943</v>
      </c>
      <c r="O908" s="74">
        <f t="shared" si="165"/>
        <v>-55589.373457340902</v>
      </c>
      <c r="P908" s="74">
        <f t="shared" si="166"/>
        <v>67840.641245664214</v>
      </c>
    </row>
    <row r="909" spans="1:16" x14ac:dyDescent="0.3">
      <c r="A909" s="72">
        <f t="shared" si="153"/>
        <v>300</v>
      </c>
      <c r="B909" s="74">
        <f t="shared" si="154"/>
        <v>27307.388663750324</v>
      </c>
      <c r="C909" s="74">
        <f t="shared" si="155"/>
        <v>12379.998861111349</v>
      </c>
      <c r="D909" s="74">
        <f t="shared" si="156"/>
        <v>-13158.589919731246</v>
      </c>
      <c r="E909" s="74">
        <f t="shared" si="157"/>
        <v>-16418.749192459109</v>
      </c>
      <c r="F909" s="74">
        <f t="shared" si="151"/>
        <v>-11525.051402269894</v>
      </c>
      <c r="G909" s="74">
        <f t="shared" si="152"/>
        <v>9516.3458971695709</v>
      </c>
      <c r="H909" s="74">
        <f t="shared" si="158"/>
        <v>-7307.3886637503238</v>
      </c>
      <c r="I909" s="74">
        <f t="shared" si="159"/>
        <v>7620.0011388886505</v>
      </c>
      <c r="J909" s="74">
        <f t="shared" si="160"/>
        <v>10557.572942668739</v>
      </c>
      <c r="K909" s="74">
        <f t="shared" si="161"/>
        <v>-47307.388663750324</v>
      </c>
      <c r="L909" s="74">
        <f t="shared" si="162"/>
        <v>7620.0011388886505</v>
      </c>
      <c r="M909" s="74">
        <f t="shared" si="163"/>
        <v>47917.151830422859</v>
      </c>
      <c r="N909" s="74">
        <f t="shared" si="164"/>
        <v>-32307.388663750324</v>
      </c>
      <c r="O909" s="74">
        <f t="shared" si="165"/>
        <v>-47379.998861111351</v>
      </c>
      <c r="P909" s="74">
        <f t="shared" si="166"/>
        <v>57346.592351678017</v>
      </c>
    </row>
    <row r="910" spans="1:16" x14ac:dyDescent="0.3">
      <c r="A910" s="72">
        <f t="shared" si="153"/>
        <v>300.5</v>
      </c>
      <c r="B910" s="74">
        <f t="shared" si="154"/>
        <v>17846.830853317228</v>
      </c>
      <c r="C910" s="74">
        <f t="shared" si="155"/>
        <v>6549.7107391741883</v>
      </c>
      <c r="D910" s="74">
        <f t="shared" si="156"/>
        <v>-18921.115620866192</v>
      </c>
      <c r="E910" s="74">
        <f t="shared" si="157"/>
        <v>-11660.576243874322</v>
      </c>
      <c r="F910" s="74">
        <f t="shared" si="151"/>
        <v>-153.37618651080584</v>
      </c>
      <c r="G910" s="74">
        <f t="shared" si="152"/>
        <v>10566.864259242235</v>
      </c>
      <c r="H910" s="74">
        <f t="shared" si="158"/>
        <v>2153.1691466827724</v>
      </c>
      <c r="I910" s="74">
        <f t="shared" si="159"/>
        <v>13450.289260825812</v>
      </c>
      <c r="J910" s="74">
        <f t="shared" si="160"/>
        <v>13621.542444749522</v>
      </c>
      <c r="K910" s="74">
        <f t="shared" si="161"/>
        <v>-37846.830853317224</v>
      </c>
      <c r="L910" s="74">
        <f t="shared" si="162"/>
        <v>13450.289260825812</v>
      </c>
      <c r="M910" s="74">
        <f t="shared" si="163"/>
        <v>40165.817392896293</v>
      </c>
      <c r="N910" s="74">
        <f t="shared" si="164"/>
        <v>-22846.830853317228</v>
      </c>
      <c r="O910" s="74">
        <f t="shared" si="165"/>
        <v>-41549.710739174188</v>
      </c>
      <c r="P910" s="74">
        <f t="shared" si="166"/>
        <v>47416.833957457922</v>
      </c>
    </row>
    <row r="911" spans="1:16" x14ac:dyDescent="0.3">
      <c r="A911" s="72">
        <f t="shared" si="153"/>
        <v>301</v>
      </c>
      <c r="B911" s="74">
        <f t="shared" si="154"/>
        <v>8347.9289962564308</v>
      </c>
      <c r="C911" s="74">
        <f t="shared" si="155"/>
        <v>3361.1386820475859</v>
      </c>
      <c r="D911" s="74">
        <f t="shared" si="156"/>
        <v>-18997.803714121594</v>
      </c>
      <c r="E911" s="74">
        <f t="shared" si="157"/>
        <v>-6377.1441142532049</v>
      </c>
      <c r="F911" s="74">
        <f t="shared" si="151"/>
        <v>1871.0827870495145</v>
      </c>
      <c r="G911" s="74">
        <f t="shared" si="152"/>
        <v>4731.3008885793361</v>
      </c>
      <c r="H911" s="74">
        <f t="shared" si="158"/>
        <v>11652.071003743569</v>
      </c>
      <c r="I911" s="74">
        <f t="shared" si="159"/>
        <v>16638.861317952415</v>
      </c>
      <c r="J911" s="74">
        <f t="shared" si="160"/>
        <v>20313.110658742909</v>
      </c>
      <c r="K911" s="74">
        <f t="shared" si="161"/>
        <v>-28347.928996256429</v>
      </c>
      <c r="L911" s="74">
        <f t="shared" si="162"/>
        <v>16638.861317952415</v>
      </c>
      <c r="M911" s="74">
        <f t="shared" si="163"/>
        <v>32870.302467955007</v>
      </c>
      <c r="N911" s="74">
        <f t="shared" si="164"/>
        <v>-13347.928996256431</v>
      </c>
      <c r="O911" s="74">
        <f t="shared" si="165"/>
        <v>-38361.138682047589</v>
      </c>
      <c r="P911" s="74">
        <f t="shared" si="166"/>
        <v>40617.04284499785</v>
      </c>
    </row>
    <row r="912" spans="1:16" x14ac:dyDescent="0.3">
      <c r="A912" s="72">
        <f t="shared" si="153"/>
        <v>301.5</v>
      </c>
      <c r="B912" s="74">
        <f t="shared" si="154"/>
        <v>-683.20216404198743</v>
      </c>
      <c r="C912" s="74">
        <f t="shared" si="155"/>
        <v>1355.3918470658175</v>
      </c>
      <c r="D912" s="74">
        <f t="shared" si="156"/>
        <v>-18062.262320596838</v>
      </c>
      <c r="E912" s="74">
        <f t="shared" si="157"/>
        <v>-4011.4936699635368</v>
      </c>
      <c r="F912" s="74">
        <f t="shared" si="151"/>
        <v>1129.656971422475</v>
      </c>
      <c r="G912" s="74">
        <f t="shared" si="152"/>
        <v>2048.2796045008095</v>
      </c>
      <c r="H912" s="74">
        <f t="shared" si="158"/>
        <v>20683.202164041988</v>
      </c>
      <c r="I912" s="74">
        <f t="shared" si="159"/>
        <v>18644.608152934183</v>
      </c>
      <c r="J912" s="74">
        <f t="shared" si="160"/>
        <v>27846.297149443246</v>
      </c>
      <c r="K912" s="74">
        <f t="shared" si="161"/>
        <v>-19316.797835958012</v>
      </c>
      <c r="L912" s="74">
        <f t="shared" si="162"/>
        <v>18644.608152934183</v>
      </c>
      <c r="M912" s="74">
        <f t="shared" si="163"/>
        <v>26846.975468602268</v>
      </c>
      <c r="N912" s="74">
        <f t="shared" si="164"/>
        <v>-4316.7978359580129</v>
      </c>
      <c r="O912" s="74">
        <f t="shared" si="165"/>
        <v>-36355.391847065817</v>
      </c>
      <c r="P912" s="74">
        <f t="shared" si="166"/>
        <v>36610.780651472473</v>
      </c>
    </row>
    <row r="913" spans="1:16" x14ac:dyDescent="0.3">
      <c r="A913" s="72">
        <f t="shared" si="153"/>
        <v>302</v>
      </c>
      <c r="B913" s="74">
        <f t="shared" si="154"/>
        <v>-9431.919081484788</v>
      </c>
      <c r="C913" s="74">
        <f t="shared" si="155"/>
        <v>-138.28508679074855</v>
      </c>
      <c r="D913" s="74">
        <f t="shared" si="156"/>
        <v>-17497.4338348856</v>
      </c>
      <c r="E913" s="74">
        <f t="shared" si="157"/>
        <v>-2987.3538677131319</v>
      </c>
      <c r="F913" s="74">
        <f t="shared" si="151"/>
        <v>1189.6415179281564</v>
      </c>
      <c r="G913" s="74">
        <f t="shared" si="152"/>
        <v>1748.6119023831266</v>
      </c>
      <c r="H913" s="74">
        <f t="shared" si="158"/>
        <v>29431.91908148479</v>
      </c>
      <c r="I913" s="74">
        <f t="shared" si="159"/>
        <v>20138.285086790747</v>
      </c>
      <c r="J913" s="74">
        <f t="shared" si="160"/>
        <v>35662.1422106963</v>
      </c>
      <c r="K913" s="74">
        <f t="shared" si="161"/>
        <v>-10568.080918515212</v>
      </c>
      <c r="L913" s="74">
        <f t="shared" si="162"/>
        <v>20138.285086790747</v>
      </c>
      <c r="M913" s="74">
        <f t="shared" si="163"/>
        <v>22742.79799270846</v>
      </c>
      <c r="N913" s="74">
        <f t="shared" si="164"/>
        <v>4431.919081484788</v>
      </c>
      <c r="O913" s="74">
        <f t="shared" si="165"/>
        <v>-34861.714913209253</v>
      </c>
      <c r="P913" s="74">
        <f t="shared" si="166"/>
        <v>35142.297497954016</v>
      </c>
    </row>
    <row r="914" spans="1:16" x14ac:dyDescent="0.3">
      <c r="A914" s="72">
        <f t="shared" si="153"/>
        <v>302.5</v>
      </c>
      <c r="B914" s="74">
        <f t="shared" si="154"/>
        <v>-17883.225619445548</v>
      </c>
      <c r="C914" s="74">
        <f t="shared" si="155"/>
        <v>-1194.8090450515328</v>
      </c>
      <c r="D914" s="74">
        <f t="shared" si="156"/>
        <v>-16902.613075921523</v>
      </c>
      <c r="E914" s="74">
        <f t="shared" si="157"/>
        <v>-2113.0479165215684</v>
      </c>
      <c r="F914" s="74">
        <f t="shared" si="151"/>
        <v>2430.3616656282593</v>
      </c>
      <c r="G914" s="74">
        <f t="shared" si="152"/>
        <v>2185.3014808779026</v>
      </c>
      <c r="H914" s="74">
        <f t="shared" si="158"/>
        <v>37883.225619445548</v>
      </c>
      <c r="I914" s="74">
        <f t="shared" si="159"/>
        <v>21194.809045051534</v>
      </c>
      <c r="J914" s="74">
        <f t="shared" si="160"/>
        <v>43409.200796490295</v>
      </c>
      <c r="K914" s="74">
        <f t="shared" si="161"/>
        <v>-2116.7743805544524</v>
      </c>
      <c r="L914" s="74">
        <f t="shared" si="162"/>
        <v>21194.809045051534</v>
      </c>
      <c r="M914" s="74">
        <f t="shared" si="163"/>
        <v>21300.250332669097</v>
      </c>
      <c r="N914" s="74">
        <f t="shared" si="164"/>
        <v>12883.225619445548</v>
      </c>
      <c r="O914" s="74">
        <f t="shared" si="165"/>
        <v>-33805.19095494847</v>
      </c>
      <c r="P914" s="74">
        <f t="shared" si="166"/>
        <v>36176.904757898621</v>
      </c>
    </row>
    <row r="915" spans="1:16" x14ac:dyDescent="0.3">
      <c r="A915" s="72">
        <f t="shared" si="153"/>
        <v>303</v>
      </c>
      <c r="B915" s="74">
        <f t="shared" si="154"/>
        <v>-25726.941740999246</v>
      </c>
      <c r="C915" s="74">
        <f t="shared" si="155"/>
        <v>-1705.0076330928414</v>
      </c>
      <c r="D915" s="74">
        <f t="shared" si="156"/>
        <v>-15687.432243107392</v>
      </c>
      <c r="E915" s="74">
        <f t="shared" si="157"/>
        <v>-1020.3971760826171</v>
      </c>
      <c r="F915" s="74">
        <f t="shared" si="151"/>
        <v>3611.5411658085959</v>
      </c>
      <c r="G915" s="74">
        <f t="shared" si="152"/>
        <v>1998.0700521033259</v>
      </c>
      <c r="H915" s="74">
        <f t="shared" si="158"/>
        <v>45726.941740999246</v>
      </c>
      <c r="I915" s="74">
        <f t="shared" si="159"/>
        <v>21705.007633092842</v>
      </c>
      <c r="J915" s="74">
        <f t="shared" si="160"/>
        <v>50616.801136948168</v>
      </c>
      <c r="K915" s="74">
        <f t="shared" si="161"/>
        <v>5726.9417409992457</v>
      </c>
      <c r="L915" s="74">
        <f t="shared" si="162"/>
        <v>21705.007633092842</v>
      </c>
      <c r="M915" s="74">
        <f t="shared" si="163"/>
        <v>22447.83325974732</v>
      </c>
      <c r="N915" s="74">
        <f t="shared" si="164"/>
        <v>20726.941740999246</v>
      </c>
      <c r="O915" s="74">
        <f t="shared" si="165"/>
        <v>-33294.992366907158</v>
      </c>
      <c r="P915" s="74">
        <f t="shared" si="166"/>
        <v>39219.4165005955</v>
      </c>
    </row>
    <row r="916" spans="1:16" x14ac:dyDescent="0.3">
      <c r="A916" s="72">
        <f t="shared" si="153"/>
        <v>303.5</v>
      </c>
      <c r="B916" s="74">
        <f t="shared" si="154"/>
        <v>-32667.772571100795</v>
      </c>
      <c r="C916" s="74">
        <f t="shared" si="155"/>
        <v>-1715.6887081083185</v>
      </c>
      <c r="D916" s="74">
        <f t="shared" si="156"/>
        <v>-13881.661660203095</v>
      </c>
      <c r="E916" s="74">
        <f t="shared" si="157"/>
        <v>-21.362150030954126</v>
      </c>
      <c r="F916" s="74">
        <f t="shared" si="151"/>
        <v>3941.6540156671849</v>
      </c>
      <c r="G916" s="74">
        <f t="shared" si="152"/>
        <v>1415.7951026576836</v>
      </c>
      <c r="H916" s="74">
        <f t="shared" si="158"/>
        <v>52667.772571100795</v>
      </c>
      <c r="I916" s="74">
        <f t="shared" si="159"/>
        <v>21715.688708108319</v>
      </c>
      <c r="J916" s="74">
        <f t="shared" si="160"/>
        <v>56968.986331763532</v>
      </c>
      <c r="K916" s="74">
        <f t="shared" si="161"/>
        <v>12667.772571100795</v>
      </c>
      <c r="L916" s="74">
        <f t="shared" si="162"/>
        <v>21715.688708108319</v>
      </c>
      <c r="M916" s="74">
        <f t="shared" si="163"/>
        <v>25140.477282275227</v>
      </c>
      <c r="N916" s="74">
        <f t="shared" si="164"/>
        <v>27667.772571100795</v>
      </c>
      <c r="O916" s="74">
        <f t="shared" si="165"/>
        <v>-33284.311291891681</v>
      </c>
      <c r="P916" s="74">
        <f t="shared" si="166"/>
        <v>43282.225187964927</v>
      </c>
    </row>
    <row r="917" spans="1:16" x14ac:dyDescent="0.3">
      <c r="A917" s="72">
        <f t="shared" si="153"/>
        <v>304</v>
      </c>
      <c r="B917" s="74">
        <f t="shared" si="154"/>
        <v>-38623.189897285549</v>
      </c>
      <c r="C917" s="74">
        <f t="shared" si="155"/>
        <v>-1372.4210074593746</v>
      </c>
      <c r="D917" s="74">
        <f t="shared" si="156"/>
        <v>-11910.834652369504</v>
      </c>
      <c r="E917" s="74">
        <f t="shared" si="157"/>
        <v>686.53540129788769</v>
      </c>
      <c r="F917" s="74">
        <f t="shared" si="151"/>
        <v>3763.3616783375364</v>
      </c>
      <c r="G917" s="74">
        <f t="shared" si="152"/>
        <v>920.79027169998312</v>
      </c>
      <c r="H917" s="74">
        <f t="shared" si="158"/>
        <v>58623.189897285549</v>
      </c>
      <c r="I917" s="74">
        <f t="shared" si="159"/>
        <v>21372.421007459376</v>
      </c>
      <c r="J917" s="74">
        <f t="shared" si="160"/>
        <v>62397.586279064461</v>
      </c>
      <c r="K917" s="74">
        <f t="shared" si="161"/>
        <v>18623.189897285549</v>
      </c>
      <c r="L917" s="74">
        <f t="shared" si="162"/>
        <v>21372.421007459376</v>
      </c>
      <c r="M917" s="74">
        <f t="shared" si="163"/>
        <v>28347.902597378332</v>
      </c>
      <c r="N917" s="74">
        <f t="shared" si="164"/>
        <v>33623.189897285549</v>
      </c>
      <c r="O917" s="74">
        <f t="shared" si="165"/>
        <v>-33627.578992540628</v>
      </c>
      <c r="P917" s="74">
        <f t="shared" si="166"/>
        <v>47553.474823281686</v>
      </c>
    </row>
    <row r="918" spans="1:16" x14ac:dyDescent="0.3">
      <c r="A918" s="72">
        <f t="shared" si="153"/>
        <v>304.5</v>
      </c>
      <c r="B918" s="74">
        <f t="shared" si="154"/>
        <v>-43637.766803885919</v>
      </c>
      <c r="C918" s="74">
        <f t="shared" si="155"/>
        <v>-798.95573888543481</v>
      </c>
      <c r="D918" s="74">
        <f t="shared" si="156"/>
        <v>-10029.153813200735</v>
      </c>
      <c r="E918" s="74">
        <f t="shared" si="157"/>
        <v>1146.9305371478792</v>
      </c>
      <c r="F918" s="74">
        <f t="shared" si="151"/>
        <v>3452.6538307222554</v>
      </c>
      <c r="G918" s="74">
        <f t="shared" si="152"/>
        <v>595.33681811301926</v>
      </c>
      <c r="H918" s="74">
        <f t="shared" si="158"/>
        <v>63637.766803885919</v>
      </c>
      <c r="I918" s="74">
        <f t="shared" si="159"/>
        <v>20798.955738885434</v>
      </c>
      <c r="J918" s="74">
        <f t="shared" si="160"/>
        <v>66950.443789521523</v>
      </c>
      <c r="K918" s="74">
        <f t="shared" si="161"/>
        <v>23637.766803885919</v>
      </c>
      <c r="L918" s="74">
        <f t="shared" si="162"/>
        <v>20798.955738885434</v>
      </c>
      <c r="M918" s="74">
        <f t="shared" si="163"/>
        <v>31485.56144176258</v>
      </c>
      <c r="N918" s="74">
        <f t="shared" si="164"/>
        <v>38637.766803885919</v>
      </c>
      <c r="O918" s="74">
        <f t="shared" si="165"/>
        <v>-34201.044261114563</v>
      </c>
      <c r="P918" s="74">
        <f t="shared" si="166"/>
        <v>51600.275698315665</v>
      </c>
    </row>
    <row r="919" spans="1:16" x14ac:dyDescent="0.3">
      <c r="A919" s="72">
        <f t="shared" si="153"/>
        <v>305</v>
      </c>
      <c r="B919" s="74">
        <f t="shared" si="154"/>
        <v>-47789.180252805723</v>
      </c>
      <c r="C919" s="74">
        <f t="shared" si="155"/>
        <v>-76.656265783240372</v>
      </c>
      <c r="D919" s="74">
        <f t="shared" si="156"/>
        <v>-8302.8268978396081</v>
      </c>
      <c r="E919" s="74">
        <f t="shared" si="157"/>
        <v>1444.598946204389</v>
      </c>
      <c r="F919" s="74">
        <f t="shared" si="151"/>
        <v>3159.5809774982431</v>
      </c>
      <c r="G919" s="74">
        <f t="shared" si="152"/>
        <v>390.69510575111747</v>
      </c>
      <c r="H919" s="74">
        <f t="shared" si="158"/>
        <v>67789.180252805731</v>
      </c>
      <c r="I919" s="74">
        <f t="shared" si="159"/>
        <v>20076.65626578324</v>
      </c>
      <c r="J919" s="74">
        <f t="shared" si="160"/>
        <v>70699.68236252408</v>
      </c>
      <c r="K919" s="74">
        <f t="shared" si="161"/>
        <v>27789.180252805723</v>
      </c>
      <c r="L919" s="74">
        <f t="shared" si="162"/>
        <v>20076.65626578324</v>
      </c>
      <c r="M919" s="74">
        <f t="shared" si="163"/>
        <v>34282.804230945592</v>
      </c>
      <c r="N919" s="74">
        <f t="shared" si="164"/>
        <v>42789.180252805723</v>
      </c>
      <c r="O919" s="74">
        <f t="shared" si="165"/>
        <v>-34923.34373421676</v>
      </c>
      <c r="P919" s="74">
        <f t="shared" si="166"/>
        <v>55231.819490990485</v>
      </c>
    </row>
    <row r="920" spans="1:16" x14ac:dyDescent="0.3">
      <c r="A920" s="72">
        <f t="shared" si="153"/>
        <v>305.5</v>
      </c>
      <c r="B920" s="74">
        <f t="shared" si="154"/>
        <v>-51150.698457350969</v>
      </c>
      <c r="C920" s="74">
        <f t="shared" si="155"/>
        <v>743.31698375673352</v>
      </c>
      <c r="D920" s="74">
        <f t="shared" si="156"/>
        <v>-6723.0364090904868</v>
      </c>
      <c r="E920" s="74">
        <f t="shared" si="157"/>
        <v>1639.9464990799477</v>
      </c>
      <c r="F920" s="74">
        <f t="shared" si="151"/>
        <v>2923.0374049810666</v>
      </c>
      <c r="G920" s="74">
        <f t="shared" si="152"/>
        <v>259.25457160976691</v>
      </c>
      <c r="H920" s="74">
        <f t="shared" si="158"/>
        <v>71150.698457350969</v>
      </c>
      <c r="I920" s="74">
        <f t="shared" si="159"/>
        <v>19256.683016243267</v>
      </c>
      <c r="J920" s="74">
        <f t="shared" si="160"/>
        <v>73710.526600730213</v>
      </c>
      <c r="K920" s="74">
        <f t="shared" si="161"/>
        <v>31150.698457350969</v>
      </c>
      <c r="L920" s="74">
        <f t="shared" si="162"/>
        <v>19256.683016243267</v>
      </c>
      <c r="M920" s="74">
        <f t="shared" si="163"/>
        <v>36622.204400730443</v>
      </c>
      <c r="N920" s="74">
        <f t="shared" si="164"/>
        <v>46150.698457350969</v>
      </c>
      <c r="O920" s="74">
        <f t="shared" si="165"/>
        <v>-35743.316983756733</v>
      </c>
      <c r="P920" s="74">
        <f t="shared" si="166"/>
        <v>58373.552890865307</v>
      </c>
    </row>
    <row r="921" spans="1:16" x14ac:dyDescent="0.3">
      <c r="A921" s="72">
        <f t="shared" si="153"/>
        <v>306</v>
      </c>
      <c r="B921" s="74">
        <f t="shared" si="154"/>
        <v>-53781.457310650949</v>
      </c>
      <c r="C921" s="74">
        <f t="shared" si="155"/>
        <v>1628.103876199149</v>
      </c>
      <c r="D921" s="74">
        <f t="shared" si="156"/>
        <v>-5261.5177065999533</v>
      </c>
      <c r="E921" s="74">
        <f t="shared" si="157"/>
        <v>1769.5737848848312</v>
      </c>
      <c r="F921" s="74">
        <f t="shared" si="151"/>
        <v>2745.9278863301215</v>
      </c>
      <c r="G921" s="74">
        <f t="shared" si="152"/>
        <v>171.3566650874202</v>
      </c>
      <c r="H921" s="74">
        <f t="shared" si="158"/>
        <v>73781.457310650949</v>
      </c>
      <c r="I921" s="74">
        <f t="shared" si="159"/>
        <v>18371.896123800852</v>
      </c>
      <c r="J921" s="74">
        <f t="shared" si="160"/>
        <v>76034.400175625356</v>
      </c>
      <c r="K921" s="74">
        <f t="shared" si="161"/>
        <v>33781.457310650949</v>
      </c>
      <c r="L921" s="74">
        <f t="shared" si="162"/>
        <v>18371.896123800852</v>
      </c>
      <c r="M921" s="74">
        <f t="shared" si="163"/>
        <v>38454.043028205255</v>
      </c>
      <c r="N921" s="74">
        <f t="shared" si="164"/>
        <v>48781.457310650949</v>
      </c>
      <c r="O921" s="74">
        <f t="shared" si="165"/>
        <v>-36628.103876199151</v>
      </c>
      <c r="P921" s="74">
        <f t="shared" si="166"/>
        <v>61002.037432502992</v>
      </c>
    </row>
    <row r="922" spans="1:16" x14ac:dyDescent="0.3">
      <c r="A922" s="72">
        <f t="shared" si="153"/>
        <v>306.5</v>
      </c>
      <c r="B922" s="74">
        <f t="shared" si="154"/>
        <v>-55725.7341923684</v>
      </c>
      <c r="C922" s="74">
        <f t="shared" si="155"/>
        <v>2555.7299349134196</v>
      </c>
      <c r="D922" s="74">
        <f t="shared" si="156"/>
        <v>-3888.5537634348925</v>
      </c>
      <c r="E922" s="74">
        <f t="shared" si="157"/>
        <v>1855.2521174285412</v>
      </c>
      <c r="F922" s="74">
        <f t="shared" si="151"/>
        <v>2622.5461233413953</v>
      </c>
      <c r="G922" s="74">
        <f t="shared" si="152"/>
        <v>110.00269826613805</v>
      </c>
      <c r="H922" s="74">
        <f t="shared" si="158"/>
        <v>75725.7341923684</v>
      </c>
      <c r="I922" s="74">
        <f t="shared" si="159"/>
        <v>17444.270065086581</v>
      </c>
      <c r="J922" s="74">
        <f t="shared" si="160"/>
        <v>77709.004478740477</v>
      </c>
      <c r="K922" s="74">
        <f t="shared" si="161"/>
        <v>35725.7341923684</v>
      </c>
      <c r="L922" s="74">
        <f t="shared" si="162"/>
        <v>17444.270065086581</v>
      </c>
      <c r="M922" s="74">
        <f t="shared" si="163"/>
        <v>39757.145794025964</v>
      </c>
      <c r="N922" s="74">
        <f t="shared" si="164"/>
        <v>50725.7341923684</v>
      </c>
      <c r="O922" s="74">
        <f t="shared" si="165"/>
        <v>-37555.729934913419</v>
      </c>
      <c r="P922" s="74">
        <f t="shared" si="166"/>
        <v>63115.235563998052</v>
      </c>
    </row>
    <row r="923" spans="1:16" x14ac:dyDescent="0.3">
      <c r="A923" s="72">
        <f t="shared" si="153"/>
        <v>307</v>
      </c>
      <c r="B923" s="74">
        <f t="shared" si="154"/>
        <v>-57014.374543250495</v>
      </c>
      <c r="C923" s="74">
        <f t="shared" si="155"/>
        <v>3510.8566681942248</v>
      </c>
      <c r="D923" s="74">
        <f t="shared" si="156"/>
        <v>-2577.2807017641949</v>
      </c>
      <c r="E923" s="74">
        <f t="shared" si="157"/>
        <v>1910.2534665616101</v>
      </c>
      <c r="F923" s="74">
        <f t="shared" si="151"/>
        <v>2547.0616691499395</v>
      </c>
      <c r="G923" s="74">
        <f t="shared" si="152"/>
        <v>65.527317502300093</v>
      </c>
      <c r="H923" s="74">
        <f t="shared" si="158"/>
        <v>77014.374543250495</v>
      </c>
      <c r="I923" s="74">
        <f t="shared" si="159"/>
        <v>16489.143331805775</v>
      </c>
      <c r="J923" s="74">
        <f t="shared" si="160"/>
        <v>78759.797702285301</v>
      </c>
      <c r="K923" s="74">
        <f t="shared" si="161"/>
        <v>37014.374543250495</v>
      </c>
      <c r="L923" s="74">
        <f t="shared" si="162"/>
        <v>16489.143331805775</v>
      </c>
      <c r="M923" s="74">
        <f t="shared" si="163"/>
        <v>40521.053424668826</v>
      </c>
      <c r="N923" s="74">
        <f t="shared" si="164"/>
        <v>52014.374543250495</v>
      </c>
      <c r="O923" s="74">
        <f t="shared" si="165"/>
        <v>-38510.856668194225</v>
      </c>
      <c r="P923" s="74">
        <f t="shared" si="166"/>
        <v>64719.2493810284</v>
      </c>
    </row>
    <row r="924" spans="1:16" x14ac:dyDescent="0.3">
      <c r="A924" s="72">
        <f t="shared" si="153"/>
        <v>307.5</v>
      </c>
      <c r="B924" s="74">
        <f t="shared" si="154"/>
        <v>-57666.249476845107</v>
      </c>
      <c r="C924" s="74">
        <f t="shared" si="155"/>
        <v>4482.3652308506043</v>
      </c>
      <c r="D924" s="74">
        <f t="shared" si="156"/>
        <v>-1303.7498671892251</v>
      </c>
      <c r="E924" s="74">
        <f t="shared" si="157"/>
        <v>1943.0171253127601</v>
      </c>
      <c r="F924" s="74">
        <f t="shared" si="151"/>
        <v>2515.9690795296847</v>
      </c>
      <c r="G924" s="74">
        <f t="shared" si="152"/>
        <v>32.461227222980028</v>
      </c>
      <c r="H924" s="74">
        <f t="shared" si="158"/>
        <v>77666.249476845114</v>
      </c>
      <c r="I924" s="74">
        <f t="shared" si="159"/>
        <v>15517.634769149396</v>
      </c>
      <c r="J924" s="74">
        <f t="shared" si="160"/>
        <v>79201.283427910806</v>
      </c>
      <c r="K924" s="74">
        <f t="shared" si="161"/>
        <v>37666.249476845107</v>
      </c>
      <c r="L924" s="74">
        <f t="shared" si="162"/>
        <v>15517.634769149396</v>
      </c>
      <c r="M924" s="74">
        <f t="shared" si="163"/>
        <v>40737.493031366677</v>
      </c>
      <c r="N924" s="74">
        <f t="shared" si="164"/>
        <v>52666.249476845107</v>
      </c>
      <c r="O924" s="74">
        <f t="shared" si="165"/>
        <v>-39482.365230850606</v>
      </c>
      <c r="P924" s="74">
        <f t="shared" si="166"/>
        <v>65822.420178686589</v>
      </c>
    </row>
    <row r="925" spans="1:16" x14ac:dyDescent="0.3">
      <c r="A925" s="72">
        <f t="shared" si="153"/>
        <v>308</v>
      </c>
      <c r="B925" s="74">
        <f t="shared" si="154"/>
        <v>-57689.132140557296</v>
      </c>
      <c r="C925" s="74">
        <f t="shared" si="155"/>
        <v>5461.9891003127286</v>
      </c>
      <c r="D925" s="74">
        <f t="shared" si="156"/>
        <v>-45.765327424382804</v>
      </c>
      <c r="E925" s="74">
        <f t="shared" si="157"/>
        <v>1959.2477389242501</v>
      </c>
      <c r="F925" s="74">
        <f t="shared" si="151"/>
        <v>2528.9205569055812</v>
      </c>
      <c r="G925" s="74">
        <f t="shared" si="152"/>
        <v>7.9283599251415353</v>
      </c>
      <c r="H925" s="74">
        <f t="shared" si="158"/>
        <v>77689.132140557296</v>
      </c>
      <c r="I925" s="74">
        <f t="shared" si="159"/>
        <v>14538.010899687271</v>
      </c>
      <c r="J925" s="74">
        <f t="shared" si="160"/>
        <v>79037.680973522991</v>
      </c>
      <c r="K925" s="74">
        <f t="shared" si="161"/>
        <v>37689.132140557296</v>
      </c>
      <c r="L925" s="74">
        <f t="shared" si="162"/>
        <v>14538.010899687271</v>
      </c>
      <c r="M925" s="74">
        <f t="shared" si="163"/>
        <v>40395.846846276349</v>
      </c>
      <c r="N925" s="74">
        <f t="shared" si="164"/>
        <v>52689.132140557296</v>
      </c>
      <c r="O925" s="74">
        <f t="shared" si="165"/>
        <v>-40461.989100312727</v>
      </c>
      <c r="P925" s="74">
        <f t="shared" si="166"/>
        <v>66432.802196497287</v>
      </c>
    </row>
    <row r="926" spans="1:16" x14ac:dyDescent="0.3">
      <c r="A926" s="72">
        <f t="shared" si="153"/>
        <v>308.5</v>
      </c>
      <c r="B926" s="74">
        <f t="shared" si="154"/>
        <v>-57079.784665043087</v>
      </c>
      <c r="C926" s="74">
        <f t="shared" si="155"/>
        <v>6443.5950597561396</v>
      </c>
      <c r="D926" s="74">
        <f t="shared" si="156"/>
        <v>1218.6949510284078</v>
      </c>
      <c r="E926" s="74">
        <f t="shared" si="157"/>
        <v>1963.211918886821</v>
      </c>
      <c r="F926" s="74">
        <f t="shared" si="151"/>
        <v>2589.4941443049515</v>
      </c>
      <c r="G926" s="74">
        <f t="shared" si="152"/>
        <v>-8.9971492914836517</v>
      </c>
      <c r="H926" s="74">
        <f t="shared" si="158"/>
        <v>77079.784665043087</v>
      </c>
      <c r="I926" s="74">
        <f t="shared" si="159"/>
        <v>13556.404940243861</v>
      </c>
      <c r="J926" s="74">
        <f t="shared" si="160"/>
        <v>78262.822073531686</v>
      </c>
      <c r="K926" s="74">
        <f t="shared" si="161"/>
        <v>37079.784665043087</v>
      </c>
      <c r="L926" s="74">
        <f t="shared" si="162"/>
        <v>13556.404940243861</v>
      </c>
      <c r="M926" s="74">
        <f t="shared" si="163"/>
        <v>39480.204479078282</v>
      </c>
      <c r="N926" s="74">
        <f t="shared" si="164"/>
        <v>52079.784665043087</v>
      </c>
      <c r="O926" s="74">
        <f t="shared" si="165"/>
        <v>-41443.595059756139</v>
      </c>
      <c r="P926" s="74">
        <f t="shared" si="166"/>
        <v>66557.310208829062</v>
      </c>
    </row>
    <row r="927" spans="1:16" x14ac:dyDescent="0.3">
      <c r="A927" s="72">
        <f t="shared" si="153"/>
        <v>309</v>
      </c>
      <c r="B927" s="74">
        <f t="shared" si="154"/>
        <v>-55823.063653452649</v>
      </c>
      <c r="C927" s="74">
        <f t="shared" si="155"/>
        <v>7422.9517318766793</v>
      </c>
      <c r="D927" s="74">
        <f t="shared" si="156"/>
        <v>2513.4420231808836</v>
      </c>
      <c r="E927" s="74">
        <f t="shared" si="157"/>
        <v>1958.7133442410791</v>
      </c>
      <c r="F927" s="74">
        <f t="shared" si="151"/>
        <v>2706.7105715474004</v>
      </c>
      <c r="G927" s="74">
        <f t="shared" si="152"/>
        <v>-17.16166453176902</v>
      </c>
      <c r="H927" s="74">
        <f t="shared" si="158"/>
        <v>75823.063653452642</v>
      </c>
      <c r="I927" s="74">
        <f t="shared" si="159"/>
        <v>12577.048268123321</v>
      </c>
      <c r="J927" s="74">
        <f t="shared" si="160"/>
        <v>76859.086157293306</v>
      </c>
      <c r="K927" s="74">
        <f t="shared" si="161"/>
        <v>35823.063653452649</v>
      </c>
      <c r="L927" s="74">
        <f t="shared" si="162"/>
        <v>12577.048268123321</v>
      </c>
      <c r="M927" s="74">
        <f t="shared" si="163"/>
        <v>37966.74903989047</v>
      </c>
      <c r="N927" s="74">
        <f t="shared" si="164"/>
        <v>50823.063653452649</v>
      </c>
      <c r="O927" s="74">
        <f t="shared" si="165"/>
        <v>-42422.951731876681</v>
      </c>
      <c r="P927" s="74">
        <f t="shared" si="166"/>
        <v>66201.89296967299</v>
      </c>
    </row>
    <row r="928" spans="1:16" x14ac:dyDescent="0.3">
      <c r="A928" s="72">
        <f t="shared" si="153"/>
        <v>309.5</v>
      </c>
      <c r="B928" s="74">
        <f t="shared" si="154"/>
        <v>-53889.664998975364</v>
      </c>
      <c r="C928" s="74">
        <f t="shared" si="155"/>
        <v>8398.0179878642757</v>
      </c>
      <c r="D928" s="74">
        <f t="shared" si="156"/>
        <v>3866.797308954584</v>
      </c>
      <c r="E928" s="74">
        <f t="shared" si="157"/>
        <v>1950.1325119751946</v>
      </c>
      <c r="F928" s="74">
        <f t="shared" si="151"/>
        <v>2898.3295544363518</v>
      </c>
      <c r="G928" s="74">
        <f t="shared" si="152"/>
        <v>-12.145483226954184</v>
      </c>
      <c r="H928" s="74">
        <f t="shared" si="158"/>
        <v>73889.664998975364</v>
      </c>
      <c r="I928" s="74">
        <f t="shared" si="159"/>
        <v>11601.982012135724</v>
      </c>
      <c r="J928" s="74">
        <f t="shared" si="160"/>
        <v>74794.976972191958</v>
      </c>
      <c r="K928" s="74">
        <f t="shared" si="161"/>
        <v>33889.664998975364</v>
      </c>
      <c r="L928" s="74">
        <f t="shared" si="162"/>
        <v>11601.982012135724</v>
      </c>
      <c r="M928" s="74">
        <f t="shared" si="163"/>
        <v>35820.599944064263</v>
      </c>
      <c r="N928" s="74">
        <f t="shared" si="164"/>
        <v>48889.664998975364</v>
      </c>
      <c r="O928" s="74">
        <f t="shared" si="165"/>
        <v>-43398.017987864274</v>
      </c>
      <c r="P928" s="74">
        <f t="shared" si="166"/>
        <v>65372.68014229666</v>
      </c>
    </row>
    <row r="929" spans="1:16" x14ac:dyDescent="0.3">
      <c r="A929" s="72">
        <f t="shared" si="153"/>
        <v>310</v>
      </c>
      <c r="B929" s="74">
        <f t="shared" si="154"/>
        <v>-51231.683955888984</v>
      </c>
      <c r="C929" s="74">
        <f t="shared" si="155"/>
        <v>9370.0478730451359</v>
      </c>
      <c r="D929" s="74">
        <f t="shared" si="156"/>
        <v>5315.9620861727599</v>
      </c>
      <c r="E929" s="74">
        <f t="shared" si="157"/>
        <v>1944.0597703617175</v>
      </c>
      <c r="F929" s="74">
        <f t="shared" si="151"/>
        <v>3198.2397001399495</v>
      </c>
      <c r="G929" s="74">
        <f t="shared" si="152"/>
        <v>17.230851883077889</v>
      </c>
      <c r="H929" s="74">
        <f t="shared" si="158"/>
        <v>71231.683955888991</v>
      </c>
      <c r="I929" s="74">
        <f t="shared" si="159"/>
        <v>10629.952126954864</v>
      </c>
      <c r="J929" s="74">
        <f t="shared" si="160"/>
        <v>72020.474043239999</v>
      </c>
      <c r="K929" s="74">
        <f t="shared" si="161"/>
        <v>31231.683955888984</v>
      </c>
      <c r="L929" s="74">
        <f t="shared" si="162"/>
        <v>10629.952126954864</v>
      </c>
      <c r="M929" s="74">
        <f t="shared" si="163"/>
        <v>32991.119486035721</v>
      </c>
      <c r="N929" s="74">
        <f t="shared" si="164"/>
        <v>46231.683955888984</v>
      </c>
      <c r="O929" s="74">
        <f t="shared" si="165"/>
        <v>-44370.047873045136</v>
      </c>
      <c r="P929" s="74">
        <f t="shared" si="166"/>
        <v>64078.621627290951</v>
      </c>
    </row>
    <row r="930" spans="1:16" x14ac:dyDescent="0.3">
      <c r="A930" s="72">
        <f t="shared" si="153"/>
        <v>310.5</v>
      </c>
      <c r="B930" s="74">
        <f t="shared" si="154"/>
        <v>-47774.14298776762</v>
      </c>
      <c r="C930" s="74">
        <f t="shared" si="155"/>
        <v>10346.385471196763</v>
      </c>
      <c r="D930" s="74">
        <f t="shared" si="156"/>
        <v>6915.0819362427346</v>
      </c>
      <c r="E930" s="74">
        <f t="shared" si="157"/>
        <v>1952.6751963032564</v>
      </c>
      <c r="F930" s="74">
        <f t="shared" si="151"/>
        <v>3674.3090848723377</v>
      </c>
      <c r="G930" s="74">
        <f t="shared" si="152"/>
        <v>98.957412599686904</v>
      </c>
      <c r="H930" s="74">
        <f t="shared" si="158"/>
        <v>67774.142987767613</v>
      </c>
      <c r="I930" s="74">
        <f t="shared" si="159"/>
        <v>9653.6145288032367</v>
      </c>
      <c r="J930" s="74">
        <f t="shared" si="160"/>
        <v>68458.211568789106</v>
      </c>
      <c r="K930" s="74">
        <f t="shared" si="161"/>
        <v>27774.14298776762</v>
      </c>
      <c r="L930" s="74">
        <f t="shared" si="162"/>
        <v>9653.6145288032367</v>
      </c>
      <c r="M930" s="74">
        <f t="shared" si="163"/>
        <v>29404.001295328537</v>
      </c>
      <c r="N930" s="74">
        <f t="shared" si="164"/>
        <v>42774.14298776762</v>
      </c>
      <c r="O930" s="74">
        <f t="shared" si="165"/>
        <v>-45346.385471196765</v>
      </c>
      <c r="P930" s="74">
        <f t="shared" si="166"/>
        <v>62337.163743952573</v>
      </c>
    </row>
    <row r="931" spans="1:16" x14ac:dyDescent="0.3">
      <c r="A931" s="72">
        <f t="shared" si="153"/>
        <v>311</v>
      </c>
      <c r="B931" s="74">
        <f t="shared" si="154"/>
        <v>-43398.024748428172</v>
      </c>
      <c r="C931" s="74">
        <f t="shared" si="155"/>
        <v>11347.462422498313</v>
      </c>
      <c r="D931" s="74">
        <f t="shared" si="156"/>
        <v>8752.2364786789039</v>
      </c>
      <c r="E931" s="74">
        <f t="shared" si="157"/>
        <v>2002.1539026030998</v>
      </c>
      <c r="F931" s="74">
        <f t="shared" si="151"/>
        <v>4476.6961818896998</v>
      </c>
      <c r="G931" s="74">
        <f t="shared" si="152"/>
        <v>310.68052609180643</v>
      </c>
      <c r="H931" s="74">
        <f t="shared" si="158"/>
        <v>63398.024748428172</v>
      </c>
      <c r="I931" s="74">
        <f t="shared" si="159"/>
        <v>8652.5375775016873</v>
      </c>
      <c r="J931" s="74">
        <f t="shared" si="160"/>
        <v>63985.748011040625</v>
      </c>
      <c r="K931" s="74">
        <f t="shared" si="161"/>
        <v>23398.024748428172</v>
      </c>
      <c r="L931" s="74">
        <f t="shared" si="162"/>
        <v>8652.5375775016873</v>
      </c>
      <c r="M931" s="74">
        <f t="shared" si="163"/>
        <v>24946.622389777258</v>
      </c>
      <c r="N931" s="74">
        <f t="shared" si="164"/>
        <v>38398.024748428172</v>
      </c>
      <c r="O931" s="74">
        <f t="shared" si="165"/>
        <v>-46347.462422498313</v>
      </c>
      <c r="P931" s="74">
        <f t="shared" si="166"/>
        <v>60187.171204383711</v>
      </c>
    </row>
    <row r="932" spans="1:16" x14ac:dyDescent="0.3">
      <c r="A932" s="72">
        <f t="shared" si="153"/>
        <v>311.5</v>
      </c>
      <c r="B932" s="74">
        <f t="shared" si="154"/>
        <v>-37902.732463616288</v>
      </c>
      <c r="C932" s="74">
        <f t="shared" si="155"/>
        <v>12426.209505322813</v>
      </c>
      <c r="D932" s="74">
        <f t="shared" si="156"/>
        <v>10990.584569623754</v>
      </c>
      <c r="E932" s="74">
        <f t="shared" si="157"/>
        <v>2157.4941656490032</v>
      </c>
      <c r="F932" s="74">
        <f t="shared" si="151"/>
        <v>5985.5088794633048</v>
      </c>
      <c r="G932" s="74">
        <f t="shared" si="152"/>
        <v>913.1755674845532</v>
      </c>
      <c r="H932" s="74">
        <f t="shared" si="158"/>
        <v>57902.732463616288</v>
      </c>
      <c r="I932" s="74">
        <f t="shared" si="159"/>
        <v>7573.7904946771869</v>
      </c>
      <c r="J932" s="74">
        <f t="shared" si="160"/>
        <v>58395.965007955696</v>
      </c>
      <c r="K932" s="74">
        <f t="shared" si="161"/>
        <v>17902.732463616288</v>
      </c>
      <c r="L932" s="74">
        <f t="shared" si="162"/>
        <v>7573.7904946771869</v>
      </c>
      <c r="M932" s="74">
        <f t="shared" si="163"/>
        <v>19438.881966848894</v>
      </c>
      <c r="N932" s="74">
        <f t="shared" si="164"/>
        <v>32902.732463616288</v>
      </c>
      <c r="O932" s="74">
        <f t="shared" si="165"/>
        <v>-47426.209505322811</v>
      </c>
      <c r="P932" s="74">
        <f t="shared" si="166"/>
        <v>57722.050826482948</v>
      </c>
    </row>
    <row r="933" spans="1:16" x14ac:dyDescent="0.3">
      <c r="A933" s="72">
        <f t="shared" si="153"/>
        <v>312</v>
      </c>
      <c r="B933" s="74">
        <f t="shared" si="154"/>
        <v>-30911.062958938586</v>
      </c>
      <c r="C933" s="74">
        <f t="shared" si="155"/>
        <v>13733.250480018454</v>
      </c>
      <c r="D933" s="74">
        <f t="shared" si="156"/>
        <v>13983.339009355406</v>
      </c>
      <c r="E933" s="74">
        <f t="shared" si="157"/>
        <v>2614.08194939128</v>
      </c>
      <c r="F933" s="74">
        <f t="shared" si="151"/>
        <v>9168.1297721692463</v>
      </c>
      <c r="G933" s="74">
        <f t="shared" si="152"/>
        <v>3081.5993470077683</v>
      </c>
      <c r="H933" s="74">
        <f t="shared" si="158"/>
        <v>50911.062958938586</v>
      </c>
      <c r="I933" s="74">
        <f t="shared" si="159"/>
        <v>6266.7495199815457</v>
      </c>
      <c r="J933" s="74">
        <f t="shared" si="160"/>
        <v>51295.306619175186</v>
      </c>
      <c r="K933" s="74">
        <f t="shared" si="161"/>
        <v>10911.062958938586</v>
      </c>
      <c r="L933" s="74">
        <f t="shared" si="162"/>
        <v>6266.7495199815457</v>
      </c>
      <c r="M933" s="74">
        <f t="shared" si="163"/>
        <v>12582.664441210796</v>
      </c>
      <c r="N933" s="74">
        <f t="shared" si="164"/>
        <v>25911.062958938586</v>
      </c>
      <c r="O933" s="74">
        <f t="shared" si="165"/>
        <v>-48733.250480018454</v>
      </c>
      <c r="P933" s="74">
        <f t="shared" si="166"/>
        <v>55193.413429595908</v>
      </c>
    </row>
    <row r="934" spans="1:16" x14ac:dyDescent="0.3">
      <c r="A934" s="72">
        <f t="shared" si="153"/>
        <v>312.5</v>
      </c>
      <c r="B934" s="74">
        <f t="shared" si="154"/>
        <v>-21627.361011218571</v>
      </c>
      <c r="C934" s="74">
        <f t="shared" si="155"/>
        <v>15810.691291466035</v>
      </c>
      <c r="D934" s="74">
        <f t="shared" si="156"/>
        <v>18567.403895440031</v>
      </c>
      <c r="E934" s="74">
        <f t="shared" si="157"/>
        <v>4154.8816228951637</v>
      </c>
      <c r="F934" s="74">
        <f t="shared" si="151"/>
        <v>7140.9004237290519</v>
      </c>
      <c r="G934" s="74">
        <f t="shared" si="152"/>
        <v>10526.666896809045</v>
      </c>
      <c r="H934" s="74">
        <f t="shared" si="158"/>
        <v>41627.361011218571</v>
      </c>
      <c r="I934" s="74">
        <f t="shared" si="159"/>
        <v>4189.3087085339648</v>
      </c>
      <c r="J934" s="74">
        <f t="shared" si="160"/>
        <v>41837.632488152558</v>
      </c>
      <c r="K934" s="74">
        <f t="shared" si="161"/>
        <v>1627.3610112185706</v>
      </c>
      <c r="L934" s="74">
        <f t="shared" si="162"/>
        <v>4189.3087085339648</v>
      </c>
      <c r="M934" s="74">
        <f t="shared" si="163"/>
        <v>4494.2865191521605</v>
      </c>
      <c r="N934" s="74">
        <f t="shared" si="164"/>
        <v>16627.361011218571</v>
      </c>
      <c r="O934" s="74">
        <f t="shared" si="165"/>
        <v>-50810.691291466035</v>
      </c>
      <c r="P934" s="74">
        <f t="shared" si="166"/>
        <v>53462.093895713195</v>
      </c>
    </row>
    <row r="935" spans="1:16" x14ac:dyDescent="0.3">
      <c r="A935" s="72">
        <f t="shared" si="153"/>
        <v>313</v>
      </c>
      <c r="B935" s="74">
        <f t="shared" si="154"/>
        <v>-10558.433957566293</v>
      </c>
      <c r="C935" s="74">
        <f t="shared" si="155"/>
        <v>20519.798827115876</v>
      </c>
      <c r="D935" s="74">
        <f t="shared" si="156"/>
        <v>22137.854107304556</v>
      </c>
      <c r="E935" s="74">
        <f t="shared" si="157"/>
        <v>9418.2150712996863</v>
      </c>
      <c r="F935" s="74">
        <f t="shared" si="151"/>
        <v>-6679.1977243836191</v>
      </c>
      <c r="G935" s="74">
        <f t="shared" si="152"/>
        <v>-1928.8884148908733</v>
      </c>
      <c r="H935" s="74">
        <f t="shared" si="158"/>
        <v>30558.433957566293</v>
      </c>
      <c r="I935" s="74">
        <f t="shared" si="159"/>
        <v>-519.79882711587561</v>
      </c>
      <c r="J935" s="74">
        <f t="shared" si="160"/>
        <v>30562.854525708357</v>
      </c>
      <c r="K935" s="74">
        <f t="shared" si="161"/>
        <v>-9441.5660424337075</v>
      </c>
      <c r="L935" s="74">
        <f t="shared" si="162"/>
        <v>-519.79882711587561</v>
      </c>
      <c r="M935" s="74">
        <f t="shared" si="163"/>
        <v>9455.8637973644873</v>
      </c>
      <c r="N935" s="74">
        <f t="shared" si="164"/>
        <v>5558.4339575662925</v>
      </c>
      <c r="O935" s="74">
        <f t="shared" si="165"/>
        <v>-55519.798827115876</v>
      </c>
      <c r="P935" s="74">
        <f t="shared" si="166"/>
        <v>55797.349846243087</v>
      </c>
    </row>
    <row r="936" spans="1:16" x14ac:dyDescent="0.3">
      <c r="A936" s="72">
        <f t="shared" si="153"/>
        <v>313.5</v>
      </c>
      <c r="B936" s="74">
        <f t="shared" si="154"/>
        <v>-1159.3063350099192</v>
      </c>
      <c r="C936" s="74">
        <f t="shared" si="155"/>
        <v>24746.684259043002</v>
      </c>
      <c r="D936" s="74">
        <f t="shared" si="156"/>
        <v>18798.255245112749</v>
      </c>
      <c r="E936" s="74">
        <f t="shared" si="157"/>
        <v>8453.7708638542499</v>
      </c>
      <c r="F936" s="74">
        <f t="shared" si="151"/>
        <v>2081.1050829825003</v>
      </c>
      <c r="G936" s="74">
        <f t="shared" si="152"/>
        <v>-3676.5136524954964</v>
      </c>
      <c r="H936" s="74">
        <f t="shared" si="158"/>
        <v>21159.306335009918</v>
      </c>
      <c r="I936" s="74">
        <f t="shared" si="159"/>
        <v>-4746.6842590430024</v>
      </c>
      <c r="J936" s="74">
        <f t="shared" si="160"/>
        <v>21685.185174073045</v>
      </c>
      <c r="K936" s="74">
        <f t="shared" si="161"/>
        <v>-18840.693664990082</v>
      </c>
      <c r="L936" s="74">
        <f t="shared" si="162"/>
        <v>-4746.6842590430024</v>
      </c>
      <c r="M936" s="74">
        <f t="shared" si="163"/>
        <v>19429.429977048836</v>
      </c>
      <c r="N936" s="74">
        <f t="shared" si="164"/>
        <v>-3840.6936649900808</v>
      </c>
      <c r="O936" s="74">
        <f t="shared" si="165"/>
        <v>-59746.684259043002</v>
      </c>
      <c r="P936" s="74">
        <f t="shared" si="166"/>
        <v>59870.002570386379</v>
      </c>
    </row>
    <row r="937" spans="1:16" x14ac:dyDescent="0.3">
      <c r="A937" s="72">
        <f t="shared" si="153"/>
        <v>314</v>
      </c>
      <c r="B937" s="74">
        <f t="shared" si="154"/>
        <v>8760.0975582920819</v>
      </c>
      <c r="C937" s="74">
        <f t="shared" si="155"/>
        <v>28054.441277846254</v>
      </c>
      <c r="D937" s="74">
        <f t="shared" si="156"/>
        <v>19838.807786604</v>
      </c>
      <c r="E937" s="74">
        <f t="shared" si="157"/>
        <v>6615.5140376065019</v>
      </c>
      <c r="F937" s="74">
        <f t="shared" si="151"/>
        <v>7180.6371633979834</v>
      </c>
      <c r="G937" s="74">
        <f t="shared" si="152"/>
        <v>-8321.7260975215486</v>
      </c>
      <c r="H937" s="74">
        <f t="shared" si="158"/>
        <v>11239.902441707918</v>
      </c>
      <c r="I937" s="74">
        <f t="shared" si="159"/>
        <v>-8054.4412778462538</v>
      </c>
      <c r="J937" s="74">
        <f t="shared" si="160"/>
        <v>13827.849839992667</v>
      </c>
      <c r="K937" s="74">
        <f t="shared" si="161"/>
        <v>-28760.09755829208</v>
      </c>
      <c r="L937" s="74">
        <f t="shared" si="162"/>
        <v>-8054.4412778462538</v>
      </c>
      <c r="M937" s="74">
        <f t="shared" si="163"/>
        <v>29866.657594393644</v>
      </c>
      <c r="N937" s="74">
        <f t="shared" si="164"/>
        <v>-13760.097558292082</v>
      </c>
      <c r="O937" s="74">
        <f t="shared" si="165"/>
        <v>-63054.441277846257</v>
      </c>
      <c r="P937" s="74">
        <f t="shared" si="166"/>
        <v>64538.382763089736</v>
      </c>
    </row>
    <row r="938" spans="1:16" x14ac:dyDescent="0.3">
      <c r="A938" s="72">
        <f t="shared" si="153"/>
        <v>314.5</v>
      </c>
      <c r="B938" s="74">
        <f t="shared" si="154"/>
        <v>20474.660742443579</v>
      </c>
      <c r="C938" s="74">
        <f t="shared" si="155"/>
        <v>29281.766772269119</v>
      </c>
      <c r="D938" s="74">
        <f t="shared" si="156"/>
        <v>23429.12636830299</v>
      </c>
      <c r="E938" s="74">
        <f t="shared" si="157"/>
        <v>2454.6509888457276</v>
      </c>
      <c r="F938" s="74">
        <f t="shared" si="151"/>
        <v>-2242.1237209283636</v>
      </c>
      <c r="G938" s="74">
        <f t="shared" si="152"/>
        <v>-16333.124130947319</v>
      </c>
      <c r="H938" s="74">
        <f t="shared" si="158"/>
        <v>-474.66074244357878</v>
      </c>
      <c r="I938" s="74">
        <f t="shared" si="159"/>
        <v>-9281.7667722691185</v>
      </c>
      <c r="J938" s="74">
        <f t="shared" si="160"/>
        <v>9293.8956974573466</v>
      </c>
      <c r="K938" s="74">
        <f t="shared" si="161"/>
        <v>-40474.660742443579</v>
      </c>
      <c r="L938" s="74">
        <f t="shared" si="162"/>
        <v>-9281.7667722691185</v>
      </c>
      <c r="M938" s="74">
        <f t="shared" si="163"/>
        <v>41525.285750139068</v>
      </c>
      <c r="N938" s="74">
        <f t="shared" si="164"/>
        <v>-25474.660742443579</v>
      </c>
      <c r="O938" s="74">
        <f t="shared" si="165"/>
        <v>-64281.766772269119</v>
      </c>
      <c r="P938" s="74">
        <f t="shared" si="166"/>
        <v>69145.526820662795</v>
      </c>
    </row>
    <row r="939" spans="1:16" x14ac:dyDescent="0.3">
      <c r="A939" s="72">
        <f t="shared" si="153"/>
        <v>315</v>
      </c>
      <c r="B939" s="74">
        <f t="shared" si="154"/>
        <v>31628.692996362985</v>
      </c>
      <c r="C939" s="74">
        <f t="shared" si="155"/>
        <v>26425.811233955152</v>
      </c>
      <c r="D939" s="74">
        <f t="shared" si="156"/>
        <v>22308.064507838808</v>
      </c>
      <c r="E939" s="74">
        <f t="shared" si="157"/>
        <v>-5711.9110766279318</v>
      </c>
      <c r="F939" s="74">
        <f t="shared" si="151"/>
        <v>-11760.003446910612</v>
      </c>
      <c r="G939" s="74">
        <f t="shared" si="152"/>
        <v>-6631.4725568946469</v>
      </c>
      <c r="H939" s="74">
        <f t="shared" si="158"/>
        <v>-11628.692996362985</v>
      </c>
      <c r="I939" s="74">
        <f t="shared" si="159"/>
        <v>-6425.8112339551517</v>
      </c>
      <c r="J939" s="74">
        <f t="shared" si="160"/>
        <v>13285.990772918885</v>
      </c>
      <c r="K939" s="74">
        <f t="shared" si="161"/>
        <v>-51628.692996362981</v>
      </c>
      <c r="L939" s="74">
        <f t="shared" si="162"/>
        <v>-6425.8112339551517</v>
      </c>
      <c r="M939" s="74">
        <f t="shared" si="163"/>
        <v>52027.040954941156</v>
      </c>
      <c r="N939" s="74">
        <f t="shared" si="164"/>
        <v>-36628.692996362981</v>
      </c>
      <c r="O939" s="74">
        <f t="shared" si="165"/>
        <v>-61425.811233955152</v>
      </c>
      <c r="P939" s="74">
        <f t="shared" si="166"/>
        <v>71517.770074096275</v>
      </c>
    </row>
    <row r="940" spans="1:16" x14ac:dyDescent="0.3">
      <c r="A940" s="72">
        <f t="shared" si="153"/>
        <v>315.5</v>
      </c>
      <c r="B940" s="74">
        <f t="shared" si="154"/>
        <v>39842.724388554736</v>
      </c>
      <c r="C940" s="74">
        <f t="shared" si="155"/>
        <v>21911.987556417524</v>
      </c>
      <c r="D940" s="74">
        <f t="shared" si="156"/>
        <v>16428.062784383503</v>
      </c>
      <c r="E940" s="74">
        <f t="shared" si="157"/>
        <v>-9027.6473550752562</v>
      </c>
      <c r="F940" s="74">
        <f t="shared" si="151"/>
        <v>-8555.1429314934885</v>
      </c>
      <c r="G940" s="74">
        <f t="shared" si="152"/>
        <v>-1349.8197461673517</v>
      </c>
      <c r="H940" s="74">
        <f t="shared" si="158"/>
        <v>-19842.724388554736</v>
      </c>
      <c r="I940" s="74">
        <f t="shared" si="159"/>
        <v>-1911.9875564175236</v>
      </c>
      <c r="J940" s="74">
        <f t="shared" si="160"/>
        <v>19934.628353095533</v>
      </c>
      <c r="K940" s="74">
        <f t="shared" si="161"/>
        <v>-59842.724388554736</v>
      </c>
      <c r="L940" s="74">
        <f t="shared" si="162"/>
        <v>-1911.9875564175236</v>
      </c>
      <c r="M940" s="74">
        <f t="shared" si="163"/>
        <v>59873.260798627125</v>
      </c>
      <c r="N940" s="74">
        <f t="shared" si="164"/>
        <v>-44842.724388554736</v>
      </c>
      <c r="O940" s="74">
        <f t="shared" si="165"/>
        <v>-56911.987556417524</v>
      </c>
      <c r="P940" s="74">
        <f t="shared" si="166"/>
        <v>72455.809002520313</v>
      </c>
    </row>
    <row r="941" spans="1:16" x14ac:dyDescent="0.3">
      <c r="A941" s="72">
        <f t="shared" si="153"/>
        <v>316</v>
      </c>
      <c r="B941" s="74">
        <f t="shared" si="154"/>
        <v>45917.970047873117</v>
      </c>
      <c r="C941" s="74">
        <f t="shared" si="155"/>
        <v>17060.708942338057</v>
      </c>
      <c r="D941" s="74">
        <f t="shared" si="156"/>
        <v>12150.491318636759</v>
      </c>
      <c r="E941" s="74">
        <f t="shared" si="157"/>
        <v>-9702.557228158932</v>
      </c>
      <c r="F941" s="74">
        <f t="shared" si="151"/>
        <v>-5998.502843758426</v>
      </c>
      <c r="G941" s="74">
        <f t="shared" si="152"/>
        <v>37.13778410118266</v>
      </c>
      <c r="H941" s="74">
        <f t="shared" si="158"/>
        <v>-25917.970047873117</v>
      </c>
      <c r="I941" s="74">
        <f t="shared" si="159"/>
        <v>2939.2910576619433</v>
      </c>
      <c r="J941" s="74">
        <f t="shared" si="160"/>
        <v>26084.106335546549</v>
      </c>
      <c r="K941" s="74">
        <f t="shared" si="161"/>
        <v>-65917.970047873125</v>
      </c>
      <c r="L941" s="74">
        <f t="shared" si="162"/>
        <v>2939.2910576619433</v>
      </c>
      <c r="M941" s="74">
        <f t="shared" si="163"/>
        <v>65983.469196109654</v>
      </c>
      <c r="N941" s="74">
        <f t="shared" si="164"/>
        <v>-50917.970047873117</v>
      </c>
      <c r="O941" s="74">
        <f t="shared" si="165"/>
        <v>-52060.708942338053</v>
      </c>
      <c r="P941" s="74">
        <f t="shared" si="166"/>
        <v>72821.40543394463</v>
      </c>
    </row>
    <row r="942" spans="1:16" x14ac:dyDescent="0.3">
      <c r="A942" s="72">
        <f t="shared" si="153"/>
        <v>316.5</v>
      </c>
      <c r="B942" s="74">
        <f t="shared" si="154"/>
        <v>50493.589996251889</v>
      </c>
      <c r="C942" s="74">
        <f t="shared" si="155"/>
        <v>12218.714774283886</v>
      </c>
      <c r="D942" s="74">
        <f t="shared" si="156"/>
        <v>9151.2398967575464</v>
      </c>
      <c r="E942" s="74">
        <f t="shared" si="157"/>
        <v>-9683.9883361083412</v>
      </c>
      <c r="F942" s="74">
        <f t="shared" si="151"/>
        <v>-4547.5811686186007</v>
      </c>
      <c r="G942" s="74">
        <f t="shared" si="152"/>
        <v>453.95221701089974</v>
      </c>
      <c r="H942" s="74">
        <f t="shared" si="158"/>
        <v>-30493.589996251889</v>
      </c>
      <c r="I942" s="74">
        <f t="shared" si="159"/>
        <v>7781.2852257161139</v>
      </c>
      <c r="J942" s="74">
        <f t="shared" si="160"/>
        <v>31470.739276722768</v>
      </c>
      <c r="K942" s="74">
        <f t="shared" si="161"/>
        <v>-70493.589996251889</v>
      </c>
      <c r="L942" s="74">
        <f t="shared" si="162"/>
        <v>7781.2852257161139</v>
      </c>
      <c r="M942" s="74">
        <f t="shared" si="163"/>
        <v>70921.750051191018</v>
      </c>
      <c r="N942" s="74">
        <f t="shared" si="164"/>
        <v>-55493.589996251889</v>
      </c>
      <c r="O942" s="74">
        <f t="shared" si="165"/>
        <v>-47218.714774283886</v>
      </c>
      <c r="P942" s="74">
        <f t="shared" si="166"/>
        <v>72863.883753251052</v>
      </c>
    </row>
    <row r="943" spans="1:16" x14ac:dyDescent="0.3">
      <c r="A943" s="72">
        <f t="shared" si="153"/>
        <v>317</v>
      </c>
      <c r="B943" s="74">
        <f t="shared" si="154"/>
        <v>53932.314652476009</v>
      </c>
      <c r="C943" s="74">
        <f t="shared" si="155"/>
        <v>7490.2086604824408</v>
      </c>
      <c r="D943" s="74">
        <f t="shared" si="156"/>
        <v>6877.449312448246</v>
      </c>
      <c r="E943" s="74">
        <f t="shared" si="157"/>
        <v>-9457.0122276028906</v>
      </c>
      <c r="F943" s="74">
        <f t="shared" si="151"/>
        <v>-3686.1784380528256</v>
      </c>
      <c r="G943" s="74">
        <f t="shared" si="152"/>
        <v>603.27447759846291</v>
      </c>
      <c r="H943" s="74">
        <f t="shared" si="158"/>
        <v>-33932.314652476009</v>
      </c>
      <c r="I943" s="74">
        <f t="shared" si="159"/>
        <v>12509.79133951756</v>
      </c>
      <c r="J943" s="74">
        <f t="shared" si="160"/>
        <v>36164.856657159675</v>
      </c>
      <c r="K943" s="74">
        <f t="shared" si="161"/>
        <v>-73932.314652476009</v>
      </c>
      <c r="L943" s="74">
        <f t="shared" si="162"/>
        <v>12509.79133951756</v>
      </c>
      <c r="M943" s="74">
        <f t="shared" si="163"/>
        <v>74983.211649215096</v>
      </c>
      <c r="N943" s="74">
        <f t="shared" si="164"/>
        <v>-58932.314652476009</v>
      </c>
      <c r="O943" s="74">
        <f t="shared" si="165"/>
        <v>-42490.208660482444</v>
      </c>
      <c r="P943" s="74">
        <f t="shared" si="166"/>
        <v>72652.842630620973</v>
      </c>
    </row>
    <row r="944" spans="1:16" x14ac:dyDescent="0.3">
      <c r="A944" s="72">
        <f t="shared" si="153"/>
        <v>317.5</v>
      </c>
      <c r="B944" s="74">
        <f t="shared" si="154"/>
        <v>56449.494699186922</v>
      </c>
      <c r="C944" s="74">
        <f t="shared" si="155"/>
        <v>2912.5211660806112</v>
      </c>
      <c r="D944" s="74">
        <f t="shared" si="156"/>
        <v>5034.360093421833</v>
      </c>
      <c r="E944" s="74">
        <f t="shared" si="157"/>
        <v>-9155.3749888036582</v>
      </c>
      <c r="F944" s="74">
        <f t="shared" si="151"/>
        <v>-3139.7318000270498</v>
      </c>
      <c r="G944" s="74">
        <f t="shared" si="152"/>
        <v>667.95131872137972</v>
      </c>
      <c r="H944" s="74">
        <f t="shared" si="158"/>
        <v>-36449.494699186922</v>
      </c>
      <c r="I944" s="74">
        <f t="shared" si="159"/>
        <v>17087.478833919387</v>
      </c>
      <c r="J944" s="74">
        <f t="shared" si="160"/>
        <v>40256.025595253421</v>
      </c>
      <c r="K944" s="74">
        <f t="shared" si="161"/>
        <v>-76449.494699186922</v>
      </c>
      <c r="L944" s="74">
        <f t="shared" si="162"/>
        <v>17087.478833919387</v>
      </c>
      <c r="M944" s="74">
        <f t="shared" si="163"/>
        <v>78335.861344984602</v>
      </c>
      <c r="N944" s="74">
        <f t="shared" si="164"/>
        <v>-61449.494699186922</v>
      </c>
      <c r="O944" s="74">
        <f t="shared" si="165"/>
        <v>-37912.521166080609</v>
      </c>
      <c r="P944" s="74">
        <f t="shared" si="166"/>
        <v>72203.875657432072</v>
      </c>
    </row>
    <row r="945" spans="1:16" x14ac:dyDescent="0.3">
      <c r="A945" s="72">
        <f t="shared" si="153"/>
        <v>318</v>
      </c>
      <c r="B945" s="74">
        <f t="shared" si="154"/>
        <v>58181.741795891074</v>
      </c>
      <c r="C945" s="74">
        <f t="shared" si="155"/>
        <v>-1498.1784986408729</v>
      </c>
      <c r="D945" s="74">
        <f t="shared" si="156"/>
        <v>3464.4941934083081</v>
      </c>
      <c r="E945" s="74">
        <f t="shared" si="157"/>
        <v>-8821.3993294429674</v>
      </c>
      <c r="F945" s="74">
        <f t="shared" si="151"/>
        <v>-2774.4994452560518</v>
      </c>
      <c r="G945" s="74">
        <f t="shared" si="152"/>
        <v>704.41537246609414</v>
      </c>
      <c r="H945" s="74">
        <f t="shared" si="158"/>
        <v>-38181.741795891074</v>
      </c>
      <c r="I945" s="74">
        <f t="shared" si="159"/>
        <v>21498.178498640875</v>
      </c>
      <c r="J945" s="74">
        <f t="shared" si="160"/>
        <v>43817.999558714677</v>
      </c>
      <c r="K945" s="74">
        <f t="shared" si="161"/>
        <v>-78181.741795891081</v>
      </c>
      <c r="L945" s="74">
        <f t="shared" si="162"/>
        <v>21498.178498640875</v>
      </c>
      <c r="M945" s="74">
        <f t="shared" si="163"/>
        <v>81083.638479034766</v>
      </c>
      <c r="N945" s="74">
        <f t="shared" si="164"/>
        <v>-63181.741795891074</v>
      </c>
      <c r="O945" s="74">
        <f t="shared" si="165"/>
        <v>-33501.821501359125</v>
      </c>
      <c r="P945" s="74">
        <f t="shared" si="166"/>
        <v>71514.365971261868</v>
      </c>
    </row>
    <row r="946" spans="1:16" x14ac:dyDescent="0.3">
      <c r="A946" s="72">
        <f t="shared" si="153"/>
        <v>318.5</v>
      </c>
      <c r="B946" s="74">
        <f t="shared" si="154"/>
        <v>59220.364031281213</v>
      </c>
      <c r="C946" s="74">
        <f t="shared" si="155"/>
        <v>-5732.7743202458332</v>
      </c>
      <c r="D946" s="74">
        <f t="shared" si="156"/>
        <v>2077.2444707802824</v>
      </c>
      <c r="E946" s="74">
        <f t="shared" si="157"/>
        <v>-8469.1916432099206</v>
      </c>
      <c r="F946" s="74">
        <f t="shared" si="151"/>
        <v>-2521.7425047237921</v>
      </c>
      <c r="G946" s="74">
        <f t="shared" si="152"/>
        <v>732.61999543296486</v>
      </c>
      <c r="H946" s="74">
        <f t="shared" si="158"/>
        <v>-39220.364031281213</v>
      </c>
      <c r="I946" s="74">
        <f t="shared" si="159"/>
        <v>25732.774320245833</v>
      </c>
      <c r="J946" s="74">
        <f t="shared" si="160"/>
        <v>46908.556031527129</v>
      </c>
      <c r="K946" s="74">
        <f t="shared" si="161"/>
        <v>-79220.364031281206</v>
      </c>
      <c r="L946" s="74">
        <f t="shared" si="162"/>
        <v>25732.774320245833</v>
      </c>
      <c r="M946" s="74">
        <f t="shared" si="163"/>
        <v>83294.908316567686</v>
      </c>
      <c r="N946" s="74">
        <f t="shared" si="164"/>
        <v>-64220.364031281213</v>
      </c>
      <c r="O946" s="74">
        <f t="shared" si="165"/>
        <v>-29267.225679754167</v>
      </c>
      <c r="P946" s="74">
        <f t="shared" si="166"/>
        <v>70574.964791347506</v>
      </c>
    </row>
    <row r="947" spans="1:16" x14ac:dyDescent="0.3">
      <c r="A947" s="72">
        <f t="shared" si="153"/>
        <v>319</v>
      </c>
      <c r="B947" s="74">
        <f t="shared" si="154"/>
        <v>59628.550640490401</v>
      </c>
      <c r="C947" s="74">
        <f t="shared" si="155"/>
        <v>-9784.2151429925525</v>
      </c>
      <c r="D947" s="74">
        <f t="shared" si="156"/>
        <v>816.37321841838639</v>
      </c>
      <c r="E947" s="74">
        <f t="shared" si="157"/>
        <v>-8102.8816454934386</v>
      </c>
      <c r="F947" s="74">
        <f t="shared" si="151"/>
        <v>-2343.8877983036346</v>
      </c>
      <c r="G947" s="74">
        <f t="shared" si="152"/>
        <v>760.43511846450724</v>
      </c>
      <c r="H947" s="74">
        <f t="shared" si="158"/>
        <v>-39628.550640490401</v>
      </c>
      <c r="I947" s="74">
        <f t="shared" si="159"/>
        <v>29784.215142992551</v>
      </c>
      <c r="J947" s="74">
        <f t="shared" si="160"/>
        <v>49573.395057732116</v>
      </c>
      <c r="K947" s="74">
        <f t="shared" si="161"/>
        <v>-79628.550640490401</v>
      </c>
      <c r="L947" s="74">
        <f t="shared" si="162"/>
        <v>29784.215142992551</v>
      </c>
      <c r="M947" s="74">
        <f t="shared" si="163"/>
        <v>85016.501626385521</v>
      </c>
      <c r="N947" s="74">
        <f t="shared" si="164"/>
        <v>-64628.550640490401</v>
      </c>
      <c r="O947" s="74">
        <f t="shared" si="165"/>
        <v>-25215.784857007449</v>
      </c>
      <c r="P947" s="74">
        <f t="shared" si="166"/>
        <v>69373.520624553275</v>
      </c>
    </row>
    <row r="948" spans="1:16" x14ac:dyDescent="0.3">
      <c r="A948" s="72">
        <f t="shared" si="153"/>
        <v>319.5</v>
      </c>
      <c r="B948" s="74">
        <f t="shared" si="154"/>
        <v>59450.76530012369</v>
      </c>
      <c r="C948" s="74">
        <f t="shared" si="155"/>
        <v>-13645.547186123145</v>
      </c>
      <c r="D948" s="74">
        <f t="shared" si="156"/>
        <v>-355.57068073343089</v>
      </c>
      <c r="E948" s="74">
        <f t="shared" si="157"/>
        <v>-7722.6640862611848</v>
      </c>
      <c r="F948" s="74">
        <f t="shared" si="151"/>
        <v>-2219.4255776468763</v>
      </c>
      <c r="G948" s="74">
        <f t="shared" si="152"/>
        <v>791.34190413477063</v>
      </c>
      <c r="H948" s="74">
        <f t="shared" si="158"/>
        <v>-39450.76530012369</v>
      </c>
      <c r="I948" s="74">
        <f t="shared" si="159"/>
        <v>33645.547186123149</v>
      </c>
      <c r="J948" s="74">
        <f t="shared" si="160"/>
        <v>51849.645401092981</v>
      </c>
      <c r="K948" s="74">
        <f t="shared" si="161"/>
        <v>-79450.76530012369</v>
      </c>
      <c r="L948" s="74">
        <f t="shared" si="162"/>
        <v>33645.547186123149</v>
      </c>
      <c r="M948" s="74">
        <f t="shared" si="163"/>
        <v>86281.208569589347</v>
      </c>
      <c r="N948" s="74">
        <f t="shared" si="164"/>
        <v>-64450.76530012369</v>
      </c>
      <c r="O948" s="74">
        <f t="shared" si="165"/>
        <v>-21354.452813876855</v>
      </c>
      <c r="P948" s="74">
        <f t="shared" si="166"/>
        <v>67896.346019146877</v>
      </c>
    </row>
    <row r="949" spans="1:16" x14ac:dyDescent="0.3">
      <c r="A949" s="72">
        <f t="shared" si="153"/>
        <v>320</v>
      </c>
      <c r="B949" s="74">
        <f t="shared" si="154"/>
        <v>58718.123565345253</v>
      </c>
      <c r="C949" s="74">
        <f t="shared" si="155"/>
        <v>-17309.043753220045</v>
      </c>
      <c r="D949" s="74">
        <f t="shared" si="156"/>
        <v>-1465.283469556869</v>
      </c>
      <c r="E949" s="74">
        <f t="shared" si="157"/>
        <v>-7326.9931341937991</v>
      </c>
      <c r="F949" s="74">
        <f t="shared" si="151"/>
        <v>-2135.8189432585264</v>
      </c>
      <c r="G949" s="74">
        <f t="shared" si="152"/>
        <v>827.17244656008882</v>
      </c>
      <c r="H949" s="74">
        <f t="shared" si="158"/>
        <v>-38718.123565345253</v>
      </c>
      <c r="I949" s="74">
        <f t="shared" si="159"/>
        <v>37309.043753220045</v>
      </c>
      <c r="J949" s="74">
        <f t="shared" si="160"/>
        <v>53768.55808184771</v>
      </c>
      <c r="K949" s="74">
        <f t="shared" si="161"/>
        <v>-78718.123565345246</v>
      </c>
      <c r="L949" s="74">
        <f t="shared" si="162"/>
        <v>37309.043753220045</v>
      </c>
      <c r="M949" s="74">
        <f t="shared" si="163"/>
        <v>87112.041208025024</v>
      </c>
      <c r="N949" s="74">
        <f t="shared" si="164"/>
        <v>-63718.123565345253</v>
      </c>
      <c r="O949" s="74">
        <f t="shared" si="165"/>
        <v>-17690.956246779955</v>
      </c>
      <c r="P949" s="74">
        <f t="shared" si="166"/>
        <v>66128.429617026966</v>
      </c>
    </row>
    <row r="950" spans="1:16" x14ac:dyDescent="0.3">
      <c r="A950" s="72">
        <f t="shared" si="153"/>
        <v>320.5</v>
      </c>
      <c r="B950" s="74">
        <f t="shared" si="154"/>
        <v>57451.527094752186</v>
      </c>
      <c r="C950" s="74">
        <f t="shared" si="155"/>
        <v>-20765.747208676923</v>
      </c>
      <c r="D950" s="74">
        <f t="shared" si="156"/>
        <v>-2533.192941186132</v>
      </c>
      <c r="E950" s="74">
        <f t="shared" si="157"/>
        <v>-6913.4069109137545</v>
      </c>
      <c r="F950" s="74">
        <f t="shared" ref="F950:F1013" si="167">$C$23*(H950/(J950^2+$C$24^2)^1.5)+$C$32*(K950/(M950^2+$C$33^2)^1.5)+C$41*(N950/(P950^2+$C$42^2)^1.5)</f>
        <v>-2086.0487035388014</v>
      </c>
      <c r="G950" s="74">
        <f t="shared" ref="G950:G1013" si="168">$C$23*(I950/(J950^2+$C$24^2)^1.5)+$C$32*(L950/(M950^2+$C$33^2)^1.5)+C$41*(O950/(P950^2+$C$42^2)^1.5)</f>
        <v>869.19901919604706</v>
      </c>
      <c r="H950" s="74">
        <f t="shared" si="158"/>
        <v>-37451.527094752186</v>
      </c>
      <c r="I950" s="74">
        <f t="shared" si="159"/>
        <v>40765.747208676927</v>
      </c>
      <c r="J950" s="74">
        <f t="shared" si="160"/>
        <v>55357.592317682203</v>
      </c>
      <c r="K950" s="74">
        <f t="shared" si="161"/>
        <v>-77451.527094752179</v>
      </c>
      <c r="L950" s="74">
        <f t="shared" si="162"/>
        <v>40765.747208676927</v>
      </c>
      <c r="M950" s="74">
        <f t="shared" si="163"/>
        <v>87524.769035918522</v>
      </c>
      <c r="N950" s="74">
        <f t="shared" si="164"/>
        <v>-62451.527094752186</v>
      </c>
      <c r="O950" s="74">
        <f t="shared" si="165"/>
        <v>-14234.252791323077</v>
      </c>
      <c r="P950" s="74">
        <f t="shared" si="166"/>
        <v>64053.159086760548</v>
      </c>
    </row>
    <row r="951" spans="1:16" x14ac:dyDescent="0.3">
      <c r="A951" s="72">
        <f t="shared" ref="A951:A1014" si="169">A950+$C$5</f>
        <v>321</v>
      </c>
      <c r="B951" s="74">
        <f t="shared" ref="B951:B1014" si="170">B950+D950*(A951-A950)+F950*(A951-A950)^2</f>
        <v>55663.418448274417</v>
      </c>
      <c r="C951" s="74">
        <f t="shared" ref="C951:C1014" si="171">C950+E950*(A951-A950)+G950*(A951-A950)^2</f>
        <v>-24005.150909334789</v>
      </c>
      <c r="D951" s="74">
        <f t="shared" ref="D951:D1014" si="172">D950+F950*(A951-A950)</f>
        <v>-3576.2172929555327</v>
      </c>
      <c r="E951" s="74">
        <f t="shared" ref="E951:E1014" si="173">E950+G950*(A951-A950)</f>
        <v>-6478.8074013157311</v>
      </c>
      <c r="F951" s="74">
        <f t="shared" si="167"/>
        <v>-2066.9780384248738</v>
      </c>
      <c r="G951" s="74">
        <f t="shared" si="168"/>
        <v>918.63720483831435</v>
      </c>
      <c r="H951" s="74">
        <f t="shared" ref="H951:H1014" si="174">$C$19-B951</f>
        <v>-35663.418448274417</v>
      </c>
      <c r="I951" s="74">
        <f t="shared" ref="I951:I1014" si="175">$D$19-C951</f>
        <v>44005.150909334785</v>
      </c>
      <c r="J951" s="74">
        <f t="shared" ref="J951:J1014" si="176">SQRT(H951^2+I951^2)</f>
        <v>56642.146163171186</v>
      </c>
      <c r="K951" s="74">
        <f t="shared" ref="K951:K1014" si="177">$C$28-B951</f>
        <v>-75663.418448274417</v>
      </c>
      <c r="L951" s="74">
        <f t="shared" ref="L951:L1014" si="178">$D$28-C951</f>
        <v>44005.150909334785</v>
      </c>
      <c r="M951" s="74">
        <f t="shared" ref="M951:M1014" si="179">SQRT(K951^2+L951^2)</f>
        <v>87529.459028557932</v>
      </c>
      <c r="N951" s="74">
        <f t="shared" ref="N951:N1014" si="180">$C$37-B951</f>
        <v>-60663.418448274417</v>
      </c>
      <c r="O951" s="74">
        <f t="shared" ref="O951:O1014" si="181">$D$37-C951</f>
        <v>-10994.849090665211</v>
      </c>
      <c r="P951" s="74">
        <f t="shared" ref="P951:P1014" si="182">SQRT(N951^2+O951^2)</f>
        <v>61651.739994560921</v>
      </c>
    </row>
    <row r="952" spans="1:16" x14ac:dyDescent="0.3">
      <c r="A952" s="72">
        <f t="shared" si="169"/>
        <v>321.5</v>
      </c>
      <c r="B952" s="74">
        <f t="shared" si="170"/>
        <v>53358.565292190426</v>
      </c>
      <c r="C952" s="74">
        <f t="shared" si="171"/>
        <v>-27014.895308783074</v>
      </c>
      <c r="D952" s="74">
        <f t="shared" si="172"/>
        <v>-4609.7063121679694</v>
      </c>
      <c r="E952" s="74">
        <f t="shared" si="173"/>
        <v>-6019.4887988965738</v>
      </c>
      <c r="F952" s="74">
        <f t="shared" si="167"/>
        <v>-2078.7969772862875</v>
      </c>
      <c r="G952" s="74">
        <f t="shared" si="168"/>
        <v>976.95997290376158</v>
      </c>
      <c r="H952" s="74">
        <f t="shared" si="174"/>
        <v>-33358.565292190426</v>
      </c>
      <c r="I952" s="74">
        <f t="shared" si="175"/>
        <v>47014.895308783074</v>
      </c>
      <c r="J952" s="74">
        <f t="shared" si="176"/>
        <v>57647.153088848754</v>
      </c>
      <c r="K952" s="74">
        <f t="shared" si="177"/>
        <v>-73358.565292190426</v>
      </c>
      <c r="L952" s="74">
        <f t="shared" si="178"/>
        <v>47014.895308783074</v>
      </c>
      <c r="M952" s="74">
        <f t="shared" si="179"/>
        <v>87131.392061784485</v>
      </c>
      <c r="N952" s="74">
        <f t="shared" si="180"/>
        <v>-58358.565292190426</v>
      </c>
      <c r="O952" s="74">
        <f t="shared" si="181"/>
        <v>-7985.1046912169259</v>
      </c>
      <c r="P952" s="74">
        <f t="shared" si="182"/>
        <v>58902.326268939054</v>
      </c>
    </row>
    <row r="953" spans="1:16" x14ac:dyDescent="0.3">
      <c r="A953" s="72">
        <f t="shared" si="169"/>
        <v>322</v>
      </c>
      <c r="B953" s="74">
        <f t="shared" si="170"/>
        <v>50534.012891784871</v>
      </c>
      <c r="C953" s="74">
        <f t="shared" si="171"/>
        <v>-29780.39971500542</v>
      </c>
      <c r="D953" s="74">
        <f t="shared" si="172"/>
        <v>-5649.1048008111129</v>
      </c>
      <c r="E953" s="74">
        <f t="shared" si="173"/>
        <v>-5531.0088124446929</v>
      </c>
      <c r="F953" s="74">
        <f t="shared" si="167"/>
        <v>-2125.343467232753</v>
      </c>
      <c r="G953" s="74">
        <f t="shared" si="168"/>
        <v>1046.220812984418</v>
      </c>
      <c r="H953" s="74">
        <f t="shared" si="174"/>
        <v>-30534.012891784871</v>
      </c>
      <c r="I953" s="74">
        <f t="shared" si="175"/>
        <v>49780.39971500542</v>
      </c>
      <c r="J953" s="74">
        <f t="shared" si="176"/>
        <v>58398.751177241764</v>
      </c>
      <c r="K953" s="74">
        <f t="shared" si="177"/>
        <v>-70534.012891784863</v>
      </c>
      <c r="L953" s="74">
        <f t="shared" si="178"/>
        <v>49780.39971500542</v>
      </c>
      <c r="M953" s="74">
        <f t="shared" si="179"/>
        <v>86331.542152356953</v>
      </c>
      <c r="N953" s="74">
        <f t="shared" si="180"/>
        <v>-55534.012891784871</v>
      </c>
      <c r="O953" s="74">
        <f t="shared" si="181"/>
        <v>-5219.6002849945799</v>
      </c>
      <c r="P953" s="74">
        <f t="shared" si="182"/>
        <v>55778.766703827758</v>
      </c>
    </row>
    <row r="954" spans="1:16" x14ac:dyDescent="0.3">
      <c r="A954" s="72">
        <f t="shared" si="169"/>
        <v>322.5</v>
      </c>
      <c r="B954" s="74">
        <f t="shared" si="170"/>
        <v>47178.12462457113</v>
      </c>
      <c r="C954" s="74">
        <f t="shared" si="171"/>
        <v>-32284.348917981661</v>
      </c>
      <c r="D954" s="74">
        <f t="shared" si="172"/>
        <v>-6711.7765344274894</v>
      </c>
      <c r="E954" s="74">
        <f t="shared" si="173"/>
        <v>-5007.8984059524837</v>
      </c>
      <c r="F954" s="74">
        <f t="shared" si="167"/>
        <v>-2215.5105505534534</v>
      </c>
      <c r="G954" s="74">
        <f t="shared" si="168"/>
        <v>1129.5727046896609</v>
      </c>
      <c r="H954" s="74">
        <f t="shared" si="174"/>
        <v>-27178.12462457113</v>
      </c>
      <c r="I954" s="74">
        <f t="shared" si="175"/>
        <v>52284.348917981661</v>
      </c>
      <c r="J954" s="74">
        <f t="shared" si="176"/>
        <v>58926.255607207633</v>
      </c>
      <c r="K954" s="74">
        <f t="shared" si="177"/>
        <v>-67178.124624571123</v>
      </c>
      <c r="L954" s="74">
        <f t="shared" si="178"/>
        <v>52284.348917981661</v>
      </c>
      <c r="M954" s="74">
        <f t="shared" si="179"/>
        <v>85126.69128922878</v>
      </c>
      <c r="N954" s="74">
        <f t="shared" si="180"/>
        <v>-52178.12462457113</v>
      </c>
      <c r="O954" s="74">
        <f t="shared" si="181"/>
        <v>-2715.6510820183394</v>
      </c>
      <c r="P954" s="74">
        <f t="shared" si="182"/>
        <v>52248.745919271052</v>
      </c>
    </row>
    <row r="955" spans="1:16" x14ac:dyDescent="0.3">
      <c r="A955" s="72">
        <f t="shared" si="169"/>
        <v>323</v>
      </c>
      <c r="B955" s="74">
        <f t="shared" si="170"/>
        <v>43268.358719719021</v>
      </c>
      <c r="C955" s="74">
        <f t="shared" si="171"/>
        <v>-34505.904944785485</v>
      </c>
      <c r="D955" s="74">
        <f t="shared" si="172"/>
        <v>-7819.5318097042164</v>
      </c>
      <c r="E955" s="74">
        <f t="shared" si="173"/>
        <v>-4443.1120536076533</v>
      </c>
      <c r="F955" s="74">
        <f t="shared" si="167"/>
        <v>-2366.5489366528109</v>
      </c>
      <c r="G955" s="74">
        <f t="shared" si="168"/>
        <v>1232.3252313206467</v>
      </c>
      <c r="H955" s="74">
        <f t="shared" si="174"/>
        <v>-23268.358719719021</v>
      </c>
      <c r="I955" s="74">
        <f t="shared" si="175"/>
        <v>54505.904944785485</v>
      </c>
      <c r="J955" s="74">
        <f t="shared" si="176"/>
        <v>59264.746615163342</v>
      </c>
      <c r="K955" s="74">
        <f t="shared" si="177"/>
        <v>-63268.358719719021</v>
      </c>
      <c r="L955" s="74">
        <f t="shared" si="178"/>
        <v>54505.904944785485</v>
      </c>
      <c r="M955" s="74">
        <f t="shared" si="179"/>
        <v>83509.154521747114</v>
      </c>
      <c r="N955" s="74">
        <f t="shared" si="180"/>
        <v>-48268.358719719021</v>
      </c>
      <c r="O955" s="74">
        <f t="shared" si="181"/>
        <v>-494.09505521451501</v>
      </c>
      <c r="P955" s="74">
        <f t="shared" si="182"/>
        <v>48270.887535025315</v>
      </c>
    </row>
    <row r="956" spans="1:16" x14ac:dyDescent="0.3">
      <c r="A956" s="72">
        <f t="shared" si="169"/>
        <v>323.5</v>
      </c>
      <c r="B956" s="74">
        <f t="shared" si="170"/>
        <v>38766.95558070371</v>
      </c>
      <c r="C956" s="74">
        <f t="shared" si="171"/>
        <v>-36419.379663759144</v>
      </c>
      <c r="D956" s="74">
        <f t="shared" si="172"/>
        <v>-9002.8062780306209</v>
      </c>
      <c r="E956" s="74">
        <f t="shared" si="173"/>
        <v>-3826.9494379473299</v>
      </c>
      <c r="F956" s="74">
        <f t="shared" si="167"/>
        <v>-2611.4194136143992</v>
      </c>
      <c r="G956" s="74">
        <f t="shared" si="168"/>
        <v>1364.4048887725464</v>
      </c>
      <c r="H956" s="74">
        <f t="shared" si="174"/>
        <v>-18766.95558070371</v>
      </c>
      <c r="I956" s="74">
        <f t="shared" si="175"/>
        <v>56419.379663759144</v>
      </c>
      <c r="J956" s="74">
        <f t="shared" si="176"/>
        <v>59458.76742257196</v>
      </c>
      <c r="K956" s="74">
        <f t="shared" si="177"/>
        <v>-58766.95558070371</v>
      </c>
      <c r="L956" s="74">
        <f t="shared" si="178"/>
        <v>56419.379663759144</v>
      </c>
      <c r="M956" s="74">
        <f t="shared" si="179"/>
        <v>81465.952826121182</v>
      </c>
      <c r="N956" s="74">
        <f t="shared" si="180"/>
        <v>-43766.95558070371</v>
      </c>
      <c r="O956" s="74">
        <f t="shared" si="181"/>
        <v>1419.379663759144</v>
      </c>
      <c r="P956" s="74">
        <f t="shared" si="182"/>
        <v>43789.965054030181</v>
      </c>
    </row>
    <row r="957" spans="1:16" x14ac:dyDescent="0.3">
      <c r="A957" s="72">
        <f t="shared" si="169"/>
        <v>324</v>
      </c>
      <c r="B957" s="74">
        <f t="shared" si="170"/>
        <v>33612.697588284798</v>
      </c>
      <c r="C957" s="74">
        <f t="shared" si="171"/>
        <v>-37991.753160539673</v>
      </c>
      <c r="D957" s="74">
        <f t="shared" si="172"/>
        <v>-10308.515984837821</v>
      </c>
      <c r="E957" s="74">
        <f t="shared" si="173"/>
        <v>-3144.7469935610566</v>
      </c>
      <c r="F957" s="74">
        <f t="shared" si="167"/>
        <v>-3016.0738795396578</v>
      </c>
      <c r="G957" s="74">
        <f t="shared" si="168"/>
        <v>1546.7974763836557</v>
      </c>
      <c r="H957" s="74">
        <f t="shared" si="174"/>
        <v>-13612.697588284798</v>
      </c>
      <c r="I957" s="74">
        <f t="shared" si="175"/>
        <v>57991.753160539673</v>
      </c>
      <c r="J957" s="74">
        <f t="shared" si="176"/>
        <v>59568.019693985611</v>
      </c>
      <c r="K957" s="74">
        <f t="shared" si="177"/>
        <v>-53612.697588284798</v>
      </c>
      <c r="L957" s="74">
        <f t="shared" si="178"/>
        <v>57991.753160539673</v>
      </c>
      <c r="M957" s="74">
        <f t="shared" si="179"/>
        <v>78976.988910225249</v>
      </c>
      <c r="N957" s="74">
        <f t="shared" si="180"/>
        <v>-38612.697588284798</v>
      </c>
      <c r="O957" s="74">
        <f t="shared" si="181"/>
        <v>2991.7531605396725</v>
      </c>
      <c r="P957" s="74">
        <f t="shared" si="182"/>
        <v>38728.426278612635</v>
      </c>
    </row>
    <row r="958" spans="1:16" x14ac:dyDescent="0.3">
      <c r="A958" s="72">
        <f t="shared" si="169"/>
        <v>324.5</v>
      </c>
      <c r="B958" s="74">
        <f t="shared" si="170"/>
        <v>27704.421125980971</v>
      </c>
      <c r="C958" s="74">
        <f t="shared" si="171"/>
        <v>-39177.427288224288</v>
      </c>
      <c r="D958" s="74">
        <f t="shared" si="172"/>
        <v>-11816.552924607649</v>
      </c>
      <c r="E958" s="74">
        <f t="shared" si="173"/>
        <v>-2371.3482553692288</v>
      </c>
      <c r="F958" s="74">
        <f t="shared" si="167"/>
        <v>-3724.4890859811103</v>
      </c>
      <c r="G958" s="74">
        <f t="shared" si="168"/>
        <v>1831.0073699470381</v>
      </c>
      <c r="H958" s="74">
        <f t="shared" si="174"/>
        <v>-7704.4211259809708</v>
      </c>
      <c r="I958" s="74">
        <f t="shared" si="175"/>
        <v>59177.427288224288</v>
      </c>
      <c r="J958" s="74">
        <f t="shared" si="176"/>
        <v>59676.846476163053</v>
      </c>
      <c r="K958" s="74">
        <f t="shared" si="177"/>
        <v>-47704.421125980967</v>
      </c>
      <c r="L958" s="74">
        <f t="shared" si="178"/>
        <v>59177.427288224288</v>
      </c>
      <c r="M958" s="74">
        <f t="shared" si="179"/>
        <v>76011.049824469679</v>
      </c>
      <c r="N958" s="74">
        <f t="shared" si="180"/>
        <v>-32704.421125980971</v>
      </c>
      <c r="O958" s="74">
        <f t="shared" si="181"/>
        <v>4177.4272882242876</v>
      </c>
      <c r="P958" s="74">
        <f t="shared" si="182"/>
        <v>32970.138912869494</v>
      </c>
    </row>
    <row r="959" spans="1:16" x14ac:dyDescent="0.3">
      <c r="A959" s="72">
        <f t="shared" si="169"/>
        <v>325</v>
      </c>
      <c r="B959" s="74">
        <f t="shared" si="170"/>
        <v>20865.022392181869</v>
      </c>
      <c r="C959" s="74">
        <f t="shared" si="171"/>
        <v>-39905.349573422143</v>
      </c>
      <c r="D959" s="74">
        <f t="shared" si="172"/>
        <v>-13678.797467598204</v>
      </c>
      <c r="E959" s="74">
        <f t="shared" si="173"/>
        <v>-1455.8445703957098</v>
      </c>
      <c r="F959" s="74">
        <f t="shared" si="167"/>
        <v>-5092.9726823920864</v>
      </c>
      <c r="G959" s="74">
        <f t="shared" si="168"/>
        <v>2370.6261676266677</v>
      </c>
      <c r="H959" s="74">
        <f t="shared" si="174"/>
        <v>-865.02239218186878</v>
      </c>
      <c r="I959" s="74">
        <f t="shared" si="175"/>
        <v>59905.349573422143</v>
      </c>
      <c r="J959" s="74">
        <f t="shared" si="176"/>
        <v>59911.594631197091</v>
      </c>
      <c r="K959" s="74">
        <f t="shared" si="177"/>
        <v>-40865.022392181869</v>
      </c>
      <c r="L959" s="74">
        <f t="shared" si="178"/>
        <v>59905.349573422143</v>
      </c>
      <c r="M959" s="74">
        <f t="shared" si="179"/>
        <v>72516.211722810185</v>
      </c>
      <c r="N959" s="74">
        <f t="shared" si="180"/>
        <v>-25865.022392181869</v>
      </c>
      <c r="O959" s="74">
        <f t="shared" si="181"/>
        <v>4905.3495734221433</v>
      </c>
      <c r="P959" s="74">
        <f t="shared" si="182"/>
        <v>26326.067647591091</v>
      </c>
    </row>
    <row r="960" spans="1:16" x14ac:dyDescent="0.3">
      <c r="A960" s="72">
        <f t="shared" si="169"/>
        <v>325.5</v>
      </c>
      <c r="B960" s="74">
        <f t="shared" si="170"/>
        <v>12752.380487784745</v>
      </c>
      <c r="C960" s="74">
        <f t="shared" si="171"/>
        <v>-40040.615316713331</v>
      </c>
      <c r="D960" s="74">
        <f t="shared" si="172"/>
        <v>-16225.283808794247</v>
      </c>
      <c r="E960" s="74">
        <f t="shared" si="173"/>
        <v>-270.53148658237592</v>
      </c>
      <c r="F960" s="74">
        <f t="shared" si="167"/>
        <v>-8124.9777625016677</v>
      </c>
      <c r="G960" s="74">
        <f t="shared" si="168"/>
        <v>3769.6788446734963</v>
      </c>
      <c r="H960" s="74">
        <f t="shared" si="174"/>
        <v>7247.6195122152549</v>
      </c>
      <c r="I960" s="74">
        <f t="shared" si="175"/>
        <v>60040.615316713331</v>
      </c>
      <c r="J960" s="74">
        <f t="shared" si="176"/>
        <v>60476.470434404444</v>
      </c>
      <c r="K960" s="74">
        <f t="shared" si="177"/>
        <v>-32752.380487784743</v>
      </c>
      <c r="L960" s="74">
        <f t="shared" si="178"/>
        <v>60040.615316713331</v>
      </c>
      <c r="M960" s="74">
        <f t="shared" si="179"/>
        <v>68392.93761219921</v>
      </c>
      <c r="N960" s="74">
        <f t="shared" si="180"/>
        <v>-17752.380487784743</v>
      </c>
      <c r="O960" s="74">
        <f t="shared" si="181"/>
        <v>5040.6153167133307</v>
      </c>
      <c r="P960" s="74">
        <f t="shared" si="182"/>
        <v>18454.127336565267</v>
      </c>
    </row>
    <row r="961" spans="1:16" x14ac:dyDescent="0.3">
      <c r="A961" s="72">
        <f t="shared" si="169"/>
        <v>326</v>
      </c>
      <c r="B961" s="74">
        <f t="shared" si="170"/>
        <v>2608.4941427622043</v>
      </c>
      <c r="C961" s="74">
        <f t="shared" si="171"/>
        <v>-39233.461348836143</v>
      </c>
      <c r="D961" s="74">
        <f t="shared" si="172"/>
        <v>-20287.77269004508</v>
      </c>
      <c r="E961" s="74">
        <f t="shared" si="173"/>
        <v>1614.3079357543722</v>
      </c>
      <c r="F961" s="74">
        <f t="shared" si="167"/>
        <v>-13559.480114356025</v>
      </c>
      <c r="G961" s="74">
        <f t="shared" si="168"/>
        <v>9108.1992182464055</v>
      </c>
      <c r="H961" s="74">
        <f t="shared" si="174"/>
        <v>17391.505857237797</v>
      </c>
      <c r="I961" s="74">
        <f t="shared" si="175"/>
        <v>59233.461348836143</v>
      </c>
      <c r="J961" s="74">
        <f t="shared" si="176"/>
        <v>61733.843387127628</v>
      </c>
      <c r="K961" s="74">
        <f t="shared" si="177"/>
        <v>-22608.494142762203</v>
      </c>
      <c r="L961" s="74">
        <f t="shared" si="178"/>
        <v>59233.461348836143</v>
      </c>
      <c r="M961" s="74">
        <f t="shared" si="179"/>
        <v>63401.474357994055</v>
      </c>
      <c r="N961" s="74">
        <f t="shared" si="180"/>
        <v>-7608.4941427622043</v>
      </c>
      <c r="O961" s="74">
        <f t="shared" si="181"/>
        <v>4233.4613488361429</v>
      </c>
      <c r="P961" s="74">
        <f t="shared" si="182"/>
        <v>8706.9729592170152</v>
      </c>
    </row>
    <row r="962" spans="1:16" x14ac:dyDescent="0.3">
      <c r="A962" s="72">
        <f t="shared" si="169"/>
        <v>326.5</v>
      </c>
      <c r="B962" s="74">
        <f t="shared" si="170"/>
        <v>-10925.262230849341</v>
      </c>
      <c r="C962" s="74">
        <f t="shared" si="171"/>
        <v>-36149.257576397351</v>
      </c>
      <c r="D962" s="74">
        <f t="shared" si="172"/>
        <v>-27067.512747223092</v>
      </c>
      <c r="E962" s="74">
        <f t="shared" si="173"/>
        <v>6168.4075448775748</v>
      </c>
      <c r="F962" s="74">
        <f t="shared" si="167"/>
        <v>15946.861815220676</v>
      </c>
      <c r="G962" s="74">
        <f t="shared" si="168"/>
        <v>4517.7284639886493</v>
      </c>
      <c r="H962" s="74">
        <f t="shared" si="174"/>
        <v>30925.262230849341</v>
      </c>
      <c r="I962" s="74">
        <f t="shared" si="175"/>
        <v>56149.257576397351</v>
      </c>
      <c r="J962" s="74">
        <f t="shared" si="176"/>
        <v>64102.347620250323</v>
      </c>
      <c r="K962" s="74">
        <f t="shared" si="177"/>
        <v>-9074.737769150659</v>
      </c>
      <c r="L962" s="74">
        <f t="shared" si="178"/>
        <v>56149.257576397351</v>
      </c>
      <c r="M962" s="74">
        <f t="shared" si="179"/>
        <v>56877.851506183535</v>
      </c>
      <c r="N962" s="74">
        <f t="shared" si="180"/>
        <v>5925.262230849341</v>
      </c>
      <c r="O962" s="74">
        <f t="shared" si="181"/>
        <v>1149.2575763973509</v>
      </c>
      <c r="P962" s="74">
        <f t="shared" si="182"/>
        <v>6035.6876560369174</v>
      </c>
    </row>
    <row r="963" spans="1:16" x14ac:dyDescent="0.3">
      <c r="A963" s="72">
        <f t="shared" si="169"/>
        <v>327</v>
      </c>
      <c r="B963" s="74">
        <f t="shared" si="170"/>
        <v>-20472.303150655716</v>
      </c>
      <c r="C963" s="74">
        <f t="shared" si="171"/>
        <v>-31935.621687961404</v>
      </c>
      <c r="D963" s="74">
        <f t="shared" si="172"/>
        <v>-19094.081839612754</v>
      </c>
      <c r="E963" s="74">
        <f t="shared" si="173"/>
        <v>8427.2717768718994</v>
      </c>
      <c r="F963" s="74">
        <f t="shared" si="167"/>
        <v>10530.643293157951</v>
      </c>
      <c r="G963" s="74">
        <f t="shared" si="168"/>
        <v>-466.57503088529711</v>
      </c>
      <c r="H963" s="74">
        <f t="shared" si="174"/>
        <v>40472.303150655716</v>
      </c>
      <c r="I963" s="74">
        <f t="shared" si="175"/>
        <v>51935.621687961408</v>
      </c>
      <c r="J963" s="74">
        <f t="shared" si="176"/>
        <v>65843.117502390669</v>
      </c>
      <c r="K963" s="74">
        <f t="shared" si="177"/>
        <v>472.30315065571631</v>
      </c>
      <c r="L963" s="74">
        <f t="shared" si="178"/>
        <v>51935.621687961408</v>
      </c>
      <c r="M963" s="74">
        <f t="shared" si="179"/>
        <v>51937.769208747952</v>
      </c>
      <c r="N963" s="74">
        <f t="shared" si="180"/>
        <v>15472.303150655716</v>
      </c>
      <c r="O963" s="74">
        <f t="shared" si="181"/>
        <v>-3064.3783120385961</v>
      </c>
      <c r="P963" s="74">
        <f t="shared" si="182"/>
        <v>15772.843092641329</v>
      </c>
    </row>
    <row r="964" spans="1:16" x14ac:dyDescent="0.3">
      <c r="A964" s="72">
        <f t="shared" si="169"/>
        <v>327.5</v>
      </c>
      <c r="B964" s="74">
        <f t="shared" si="170"/>
        <v>-27386.683247172608</v>
      </c>
      <c r="C964" s="74">
        <f t="shared" si="171"/>
        <v>-27838.629557246779</v>
      </c>
      <c r="D964" s="74">
        <f t="shared" si="172"/>
        <v>-13828.760193033779</v>
      </c>
      <c r="E964" s="74">
        <f t="shared" si="173"/>
        <v>8193.9842614292502</v>
      </c>
      <c r="F964" s="74">
        <f t="shared" si="167"/>
        <v>6390.1323254368472</v>
      </c>
      <c r="G964" s="74">
        <f t="shared" si="168"/>
        <v>-295.98861338267056</v>
      </c>
      <c r="H964" s="74">
        <f t="shared" si="174"/>
        <v>47386.683247172608</v>
      </c>
      <c r="I964" s="74">
        <f t="shared" si="175"/>
        <v>47838.629557246779</v>
      </c>
      <c r="J964" s="74">
        <f t="shared" si="176"/>
        <v>67335.222781864722</v>
      </c>
      <c r="K964" s="74">
        <f t="shared" si="177"/>
        <v>7386.6832471726084</v>
      </c>
      <c r="L964" s="74">
        <f t="shared" si="178"/>
        <v>47838.629557246779</v>
      </c>
      <c r="M964" s="74">
        <f t="shared" si="179"/>
        <v>48405.553062738014</v>
      </c>
      <c r="N964" s="74">
        <f t="shared" si="180"/>
        <v>22386.683247172608</v>
      </c>
      <c r="O964" s="74">
        <f t="shared" si="181"/>
        <v>-7161.3704427532211</v>
      </c>
      <c r="P964" s="74">
        <f t="shared" si="182"/>
        <v>23504.229692282584</v>
      </c>
    </row>
    <row r="965" spans="1:16" x14ac:dyDescent="0.3">
      <c r="A965" s="72">
        <f t="shared" si="169"/>
        <v>328</v>
      </c>
      <c r="B965" s="74">
        <f t="shared" si="170"/>
        <v>-32703.530262330289</v>
      </c>
      <c r="C965" s="74">
        <f t="shared" si="171"/>
        <v>-23815.63457987782</v>
      </c>
      <c r="D965" s="74">
        <f t="shared" si="172"/>
        <v>-10633.694030315355</v>
      </c>
      <c r="E965" s="74">
        <f t="shared" si="173"/>
        <v>8045.9899547379146</v>
      </c>
      <c r="F965" s="74">
        <f t="shared" si="167"/>
        <v>4649.4722466726107</v>
      </c>
      <c r="G965" s="74">
        <f t="shared" si="168"/>
        <v>-3.8959255626650702E-2</v>
      </c>
      <c r="H965" s="74">
        <f t="shared" si="174"/>
        <v>52703.530262330285</v>
      </c>
      <c r="I965" s="74">
        <f t="shared" si="175"/>
        <v>43815.63457987782</v>
      </c>
      <c r="J965" s="74">
        <f t="shared" si="176"/>
        <v>68538.105720465814</v>
      </c>
      <c r="K965" s="74">
        <f t="shared" si="177"/>
        <v>12703.530262330289</v>
      </c>
      <c r="L965" s="74">
        <f t="shared" si="178"/>
        <v>43815.63457987782</v>
      </c>
      <c r="M965" s="74">
        <f t="shared" si="179"/>
        <v>45620.056058309776</v>
      </c>
      <c r="N965" s="74">
        <f t="shared" si="180"/>
        <v>27703.530262330289</v>
      </c>
      <c r="O965" s="74">
        <f t="shared" si="181"/>
        <v>-11184.36542012218</v>
      </c>
      <c r="P965" s="74">
        <f t="shared" si="182"/>
        <v>29876.004064243178</v>
      </c>
    </row>
    <row r="966" spans="1:16" x14ac:dyDescent="0.3">
      <c r="A966" s="72">
        <f t="shared" si="169"/>
        <v>328.5</v>
      </c>
      <c r="B966" s="74">
        <f t="shared" si="170"/>
        <v>-36858.009215819817</v>
      </c>
      <c r="C966" s="74">
        <f t="shared" si="171"/>
        <v>-19792.649342322769</v>
      </c>
      <c r="D966" s="74">
        <f t="shared" si="172"/>
        <v>-8308.9579069790489</v>
      </c>
      <c r="E966" s="74">
        <f t="shared" si="173"/>
        <v>8045.9704751101017</v>
      </c>
      <c r="F966" s="74">
        <f t="shared" si="167"/>
        <v>3818.5274878518053</v>
      </c>
      <c r="G966" s="74">
        <f t="shared" si="168"/>
        <v>199.11015714692439</v>
      </c>
      <c r="H966" s="74">
        <f t="shared" si="174"/>
        <v>56858.009215819817</v>
      </c>
      <c r="I966" s="74">
        <f t="shared" si="175"/>
        <v>39792.649342322766</v>
      </c>
      <c r="J966" s="74">
        <f t="shared" si="176"/>
        <v>69399.482373194332</v>
      </c>
      <c r="K966" s="74">
        <f t="shared" si="177"/>
        <v>16858.009215819817</v>
      </c>
      <c r="L966" s="74">
        <f t="shared" si="178"/>
        <v>39792.649342322766</v>
      </c>
      <c r="M966" s="74">
        <f t="shared" si="179"/>
        <v>43216.286471673229</v>
      </c>
      <c r="N966" s="74">
        <f t="shared" si="180"/>
        <v>31858.009215819817</v>
      </c>
      <c r="O966" s="74">
        <f t="shared" si="181"/>
        <v>-15207.350657677231</v>
      </c>
      <c r="P966" s="74">
        <f t="shared" si="182"/>
        <v>35301.505141010864</v>
      </c>
    </row>
    <row r="967" spans="1:16" x14ac:dyDescent="0.3">
      <c r="A967" s="72">
        <f t="shared" si="169"/>
        <v>329</v>
      </c>
      <c r="B967" s="74">
        <f t="shared" si="170"/>
        <v>-40057.856297346392</v>
      </c>
      <c r="C967" s="74">
        <f t="shared" si="171"/>
        <v>-15719.886565480987</v>
      </c>
      <c r="D967" s="74">
        <f t="shared" si="172"/>
        <v>-6399.6941630531464</v>
      </c>
      <c r="E967" s="74">
        <f t="shared" si="173"/>
        <v>8145.5255536835639</v>
      </c>
      <c r="F967" s="74">
        <f t="shared" si="167"/>
        <v>3400.4101569127306</v>
      </c>
      <c r="G967" s="74">
        <f t="shared" si="168"/>
        <v>327.42399020564153</v>
      </c>
      <c r="H967" s="74">
        <f t="shared" si="174"/>
        <v>60057.856297346392</v>
      </c>
      <c r="I967" s="74">
        <f t="shared" si="175"/>
        <v>35719.886565480985</v>
      </c>
      <c r="J967" s="74">
        <f t="shared" si="176"/>
        <v>69877.438413865311</v>
      </c>
      <c r="K967" s="74">
        <f t="shared" si="177"/>
        <v>20057.856297346392</v>
      </c>
      <c r="L967" s="74">
        <f t="shared" si="178"/>
        <v>35719.886565480985</v>
      </c>
      <c r="M967" s="74">
        <f t="shared" si="179"/>
        <v>40966.179898738752</v>
      </c>
      <c r="N967" s="74">
        <f t="shared" si="180"/>
        <v>35057.856297346392</v>
      </c>
      <c r="O967" s="74">
        <f t="shared" si="181"/>
        <v>-19280.113434519015</v>
      </c>
      <c r="P967" s="74">
        <f t="shared" si="182"/>
        <v>40009.699601637985</v>
      </c>
    </row>
    <row r="968" spans="1:16" x14ac:dyDescent="0.3">
      <c r="A968" s="72">
        <f t="shared" si="169"/>
        <v>329.5</v>
      </c>
      <c r="B968" s="74">
        <f t="shared" si="170"/>
        <v>-42407.600839644787</v>
      </c>
      <c r="C968" s="74">
        <f t="shared" si="171"/>
        <v>-11565.267791087794</v>
      </c>
      <c r="D968" s="74">
        <f t="shared" si="172"/>
        <v>-4699.4890845967811</v>
      </c>
      <c r="E968" s="74">
        <f t="shared" si="173"/>
        <v>8309.2375487863847</v>
      </c>
      <c r="F968" s="74">
        <f t="shared" si="167"/>
        <v>3209.4856583744559</v>
      </c>
      <c r="G968" s="74">
        <f t="shared" si="168"/>
        <v>412.3421917315427</v>
      </c>
      <c r="H968" s="74">
        <f t="shared" si="174"/>
        <v>62407.600839644787</v>
      </c>
      <c r="I968" s="74">
        <f t="shared" si="175"/>
        <v>31565.267791087794</v>
      </c>
      <c r="J968" s="74">
        <f t="shared" si="176"/>
        <v>69936.219323634577</v>
      </c>
      <c r="K968" s="74">
        <f t="shared" si="177"/>
        <v>22407.600839644787</v>
      </c>
      <c r="L968" s="74">
        <f t="shared" si="178"/>
        <v>31565.267791087794</v>
      </c>
      <c r="M968" s="74">
        <f t="shared" si="179"/>
        <v>38710.033661983995</v>
      </c>
      <c r="N968" s="74">
        <f t="shared" si="180"/>
        <v>37407.600839644787</v>
      </c>
      <c r="O968" s="74">
        <f t="shared" si="181"/>
        <v>-23434.732208912206</v>
      </c>
      <c r="P968" s="74">
        <f t="shared" si="182"/>
        <v>44141.98992208689</v>
      </c>
    </row>
    <row r="969" spans="1:16" x14ac:dyDescent="0.3">
      <c r="A969" s="72">
        <f t="shared" si="169"/>
        <v>330</v>
      </c>
      <c r="B969" s="74">
        <f t="shared" si="170"/>
        <v>-43954.973967349557</v>
      </c>
      <c r="C969" s="74">
        <f t="shared" si="171"/>
        <v>-7307.5634687617157</v>
      </c>
      <c r="D969" s="74">
        <f t="shared" si="172"/>
        <v>-3094.7462554095532</v>
      </c>
      <c r="E969" s="74">
        <f t="shared" si="173"/>
        <v>8515.408644652156</v>
      </c>
      <c r="F969" s="74">
        <f t="shared" si="167"/>
        <v>3172.3268492937982</v>
      </c>
      <c r="G969" s="74">
        <f t="shared" si="168"/>
        <v>471.57222323680185</v>
      </c>
      <c r="H969" s="74">
        <f t="shared" si="174"/>
        <v>63954.973967349557</v>
      </c>
      <c r="I969" s="74">
        <f t="shared" si="175"/>
        <v>27307.563468761717</v>
      </c>
      <c r="J969" s="74">
        <f t="shared" si="176"/>
        <v>69540.935554282041</v>
      </c>
      <c r="K969" s="74">
        <f t="shared" si="177"/>
        <v>23954.973967349557</v>
      </c>
      <c r="L969" s="74">
        <f t="shared" si="178"/>
        <v>27307.563468761717</v>
      </c>
      <c r="M969" s="74">
        <f t="shared" si="179"/>
        <v>36325.525465942599</v>
      </c>
      <c r="N969" s="74">
        <f t="shared" si="180"/>
        <v>38954.973967349557</v>
      </c>
      <c r="O969" s="74">
        <f t="shared" si="181"/>
        <v>-27692.436531238283</v>
      </c>
      <c r="P969" s="74">
        <f t="shared" si="182"/>
        <v>47794.989672909673</v>
      </c>
    </row>
    <row r="970" spans="1:16" x14ac:dyDescent="0.3">
      <c r="A970" s="72">
        <f t="shared" si="169"/>
        <v>330.5</v>
      </c>
      <c r="B970" s="74">
        <f t="shared" si="170"/>
        <v>-44709.265382730882</v>
      </c>
      <c r="C970" s="74">
        <f t="shared" si="171"/>
        <v>-2931.9660906264371</v>
      </c>
      <c r="D970" s="74">
        <f t="shared" si="172"/>
        <v>-1508.5828307626541</v>
      </c>
      <c r="E970" s="74">
        <f t="shared" si="173"/>
        <v>8751.1947562705573</v>
      </c>
      <c r="F970" s="74">
        <f t="shared" si="167"/>
        <v>3268.048992303256</v>
      </c>
      <c r="G970" s="74">
        <f t="shared" si="168"/>
        <v>515.45856073966615</v>
      </c>
      <c r="H970" s="74">
        <f t="shared" si="174"/>
        <v>64709.265382730882</v>
      </c>
      <c r="I970" s="74">
        <f t="shared" si="175"/>
        <v>22931.966090626436</v>
      </c>
      <c r="J970" s="74">
        <f t="shared" si="176"/>
        <v>68652.487902146226</v>
      </c>
      <c r="K970" s="74">
        <f t="shared" si="177"/>
        <v>24709.265382730882</v>
      </c>
      <c r="L970" s="74">
        <f t="shared" si="178"/>
        <v>22931.966090626436</v>
      </c>
      <c r="M970" s="74">
        <f t="shared" si="179"/>
        <v>33710.871607477959</v>
      </c>
      <c r="N970" s="74">
        <f t="shared" si="180"/>
        <v>39709.265382730882</v>
      </c>
      <c r="O970" s="74">
        <f t="shared" si="181"/>
        <v>-32068.033909373564</v>
      </c>
      <c r="P970" s="74">
        <f t="shared" si="182"/>
        <v>51041.008572018654</v>
      </c>
    </row>
    <row r="971" spans="1:16" x14ac:dyDescent="0.3">
      <c r="A971" s="72">
        <f t="shared" si="169"/>
        <v>331</v>
      </c>
      <c r="B971" s="74">
        <f t="shared" si="170"/>
        <v>-44646.544550036393</v>
      </c>
      <c r="C971" s="74">
        <f t="shared" si="171"/>
        <v>1572.4959276937579</v>
      </c>
      <c r="D971" s="74">
        <f t="shared" si="172"/>
        <v>125.44166538897389</v>
      </c>
      <c r="E971" s="74">
        <f t="shared" si="173"/>
        <v>9008.9240366403901</v>
      </c>
      <c r="F971" s="74">
        <f t="shared" si="167"/>
        <v>3512.8867744706422</v>
      </c>
      <c r="G971" s="74">
        <f t="shared" si="168"/>
        <v>547.3253469937257</v>
      </c>
      <c r="H971" s="74">
        <f t="shared" si="174"/>
        <v>64646.544550036393</v>
      </c>
      <c r="I971" s="74">
        <f t="shared" si="175"/>
        <v>18427.504072306241</v>
      </c>
      <c r="J971" s="74">
        <f t="shared" si="176"/>
        <v>67221.638098120631</v>
      </c>
      <c r="K971" s="74">
        <f t="shared" si="177"/>
        <v>24646.544550036393</v>
      </c>
      <c r="L971" s="74">
        <f t="shared" si="178"/>
        <v>18427.504072306241</v>
      </c>
      <c r="M971" s="74">
        <f t="shared" si="179"/>
        <v>30773.772349060357</v>
      </c>
      <c r="N971" s="74">
        <f t="shared" si="180"/>
        <v>39646.544550036393</v>
      </c>
      <c r="O971" s="74">
        <f t="shared" si="181"/>
        <v>-36572.495927693759</v>
      </c>
      <c r="P971" s="74">
        <f t="shared" si="182"/>
        <v>53938.816756944128</v>
      </c>
    </row>
    <row r="972" spans="1:16" x14ac:dyDescent="0.3">
      <c r="A972" s="72">
        <f t="shared" si="169"/>
        <v>331.5</v>
      </c>
      <c r="B972" s="74">
        <f t="shared" si="170"/>
        <v>-43705.602023724241</v>
      </c>
      <c r="C972" s="74">
        <f t="shared" si="171"/>
        <v>6213.7892827623846</v>
      </c>
      <c r="D972" s="74">
        <f t="shared" si="172"/>
        <v>1881.885052624295</v>
      </c>
      <c r="E972" s="74">
        <f t="shared" si="173"/>
        <v>9282.5867101372532</v>
      </c>
      <c r="F972" s="74">
        <f t="shared" si="167"/>
        <v>3968.1631015637549</v>
      </c>
      <c r="G972" s="74">
        <f t="shared" si="168"/>
        <v>557.74990089692596</v>
      </c>
      <c r="H972" s="74">
        <f t="shared" si="174"/>
        <v>63705.602023724241</v>
      </c>
      <c r="I972" s="74">
        <f t="shared" si="175"/>
        <v>13786.210717237616</v>
      </c>
      <c r="J972" s="74">
        <f t="shared" si="176"/>
        <v>65180.237305069822</v>
      </c>
      <c r="K972" s="74">
        <f t="shared" si="177"/>
        <v>23705.602023724241</v>
      </c>
      <c r="L972" s="74">
        <f t="shared" si="178"/>
        <v>13786.210717237616</v>
      </c>
      <c r="M972" s="74">
        <f t="shared" si="179"/>
        <v>27422.895055906774</v>
      </c>
      <c r="N972" s="74">
        <f t="shared" si="180"/>
        <v>38705.602023724241</v>
      </c>
      <c r="O972" s="74">
        <f t="shared" si="181"/>
        <v>-41213.789282762387</v>
      </c>
      <c r="P972" s="74">
        <f t="shared" si="182"/>
        <v>56539.367303347732</v>
      </c>
    </row>
    <row r="973" spans="1:16" x14ac:dyDescent="0.3">
      <c r="A973" s="72">
        <f t="shared" si="169"/>
        <v>332</v>
      </c>
      <c r="B973" s="74">
        <f t="shared" si="170"/>
        <v>-41772.618722021158</v>
      </c>
      <c r="C973" s="74">
        <f t="shared" si="171"/>
        <v>10994.520113055243</v>
      </c>
      <c r="D973" s="74">
        <f t="shared" si="172"/>
        <v>3865.9666034061725</v>
      </c>
      <c r="E973" s="74">
        <f t="shared" si="173"/>
        <v>9561.4616605857154</v>
      </c>
      <c r="F973" s="74">
        <f t="shared" si="167"/>
        <v>4777.7515534124577</v>
      </c>
      <c r="G973" s="74">
        <f t="shared" si="168"/>
        <v>498.84681467443488</v>
      </c>
      <c r="H973" s="74">
        <f t="shared" si="174"/>
        <v>61772.618722021158</v>
      </c>
      <c r="I973" s="74">
        <f t="shared" si="175"/>
        <v>9005.4798869447568</v>
      </c>
      <c r="J973" s="74">
        <f t="shared" si="176"/>
        <v>62425.596447053395</v>
      </c>
      <c r="K973" s="74">
        <f t="shared" si="177"/>
        <v>21772.618722021158</v>
      </c>
      <c r="L973" s="74">
        <f t="shared" si="178"/>
        <v>9005.4798869447568</v>
      </c>
      <c r="M973" s="74">
        <f t="shared" si="179"/>
        <v>23561.527836892765</v>
      </c>
      <c r="N973" s="74">
        <f t="shared" si="180"/>
        <v>36772.618722021158</v>
      </c>
      <c r="O973" s="74">
        <f t="shared" si="181"/>
        <v>-45994.520113055245</v>
      </c>
      <c r="P973" s="74">
        <f t="shared" si="182"/>
        <v>58887.361701008347</v>
      </c>
    </row>
    <row r="974" spans="1:16" x14ac:dyDescent="0.3">
      <c r="A974" s="72">
        <f t="shared" si="169"/>
        <v>332.5</v>
      </c>
      <c r="B974" s="74">
        <f t="shared" si="170"/>
        <v>-38645.197531964957</v>
      </c>
      <c r="C974" s="74">
        <f t="shared" si="171"/>
        <v>15899.96264701671</v>
      </c>
      <c r="D974" s="74">
        <f t="shared" si="172"/>
        <v>6254.8423801124009</v>
      </c>
      <c r="E974" s="74">
        <f t="shared" si="173"/>
        <v>9810.8850679229326</v>
      </c>
      <c r="F974" s="74">
        <f t="shared" si="167"/>
        <v>6263.5735952297455</v>
      </c>
      <c r="G974" s="74">
        <f t="shared" si="168"/>
        <v>170.42862278573034</v>
      </c>
      <c r="H974" s="74">
        <f t="shared" si="174"/>
        <v>58645.197531964957</v>
      </c>
      <c r="I974" s="74">
        <f t="shared" si="175"/>
        <v>4100.0373529832905</v>
      </c>
      <c r="J974" s="74">
        <f t="shared" si="176"/>
        <v>58788.344932129592</v>
      </c>
      <c r="K974" s="74">
        <f t="shared" si="177"/>
        <v>18645.197531964957</v>
      </c>
      <c r="L974" s="74">
        <f t="shared" si="178"/>
        <v>4100.0373529832905</v>
      </c>
      <c r="M974" s="74">
        <f t="shared" si="179"/>
        <v>19090.670425677836</v>
      </c>
      <c r="N974" s="74">
        <f t="shared" si="180"/>
        <v>33645.197531964957</v>
      </c>
      <c r="O974" s="74">
        <f t="shared" si="181"/>
        <v>-50899.962647016713</v>
      </c>
      <c r="P974" s="74">
        <f t="shared" si="182"/>
        <v>61014.797503823916</v>
      </c>
    </row>
    <row r="975" spans="1:16" x14ac:dyDescent="0.3">
      <c r="A975" s="72">
        <f t="shared" si="169"/>
        <v>333</v>
      </c>
      <c r="B975" s="74">
        <f t="shared" si="170"/>
        <v>-33951.882943101322</v>
      </c>
      <c r="C975" s="74">
        <f t="shared" si="171"/>
        <v>20848.012336674608</v>
      </c>
      <c r="D975" s="74">
        <f t="shared" si="172"/>
        <v>9386.6291777272745</v>
      </c>
      <c r="E975" s="74">
        <f t="shared" si="173"/>
        <v>9896.0993793157977</v>
      </c>
      <c r="F975" s="74">
        <f t="shared" si="167"/>
        <v>8999.8392072068364</v>
      </c>
      <c r="G975" s="74">
        <f t="shared" si="168"/>
        <v>-1362.0972259921709</v>
      </c>
      <c r="H975" s="74">
        <f t="shared" si="174"/>
        <v>53951.882943101322</v>
      </c>
      <c r="I975" s="74">
        <f t="shared" si="175"/>
        <v>-848.01233667460838</v>
      </c>
      <c r="J975" s="74">
        <f t="shared" si="176"/>
        <v>53958.547034082185</v>
      </c>
      <c r="K975" s="74">
        <f t="shared" si="177"/>
        <v>13951.882943101322</v>
      </c>
      <c r="L975" s="74">
        <f t="shared" si="178"/>
        <v>-848.01233667460838</v>
      </c>
      <c r="M975" s="74">
        <f t="shared" si="179"/>
        <v>13977.630792847332</v>
      </c>
      <c r="N975" s="74">
        <f t="shared" si="180"/>
        <v>28951.882943101322</v>
      </c>
      <c r="O975" s="74">
        <f t="shared" si="181"/>
        <v>-55848.012336674612</v>
      </c>
      <c r="P975" s="74">
        <f t="shared" si="182"/>
        <v>62906.374938541812</v>
      </c>
    </row>
    <row r="976" spans="1:16" x14ac:dyDescent="0.3">
      <c r="A976" s="72">
        <f t="shared" si="169"/>
        <v>333.5</v>
      </c>
      <c r="B976" s="74">
        <f t="shared" si="170"/>
        <v>-27008.608552435977</v>
      </c>
      <c r="C976" s="74">
        <f t="shared" si="171"/>
        <v>25455.537719834465</v>
      </c>
      <c r="D976" s="74">
        <f t="shared" si="172"/>
        <v>13886.548781330694</v>
      </c>
      <c r="E976" s="74">
        <f t="shared" si="173"/>
        <v>9215.0507663197131</v>
      </c>
      <c r="F976" s="74">
        <f t="shared" si="167"/>
        <v>10874.751325265403</v>
      </c>
      <c r="G976" s="74">
        <f t="shared" si="168"/>
        <v>-7969.9205438964091</v>
      </c>
      <c r="H976" s="74">
        <f t="shared" si="174"/>
        <v>47008.608552435981</v>
      </c>
      <c r="I976" s="74">
        <f t="shared" si="175"/>
        <v>-5455.537719834465</v>
      </c>
      <c r="J976" s="74">
        <f t="shared" si="176"/>
        <v>47324.118268053273</v>
      </c>
      <c r="K976" s="74">
        <f t="shared" si="177"/>
        <v>7008.6085524359769</v>
      </c>
      <c r="L976" s="74">
        <f t="shared" si="178"/>
        <v>-5455.537719834465</v>
      </c>
      <c r="M976" s="74">
        <f t="shared" si="179"/>
        <v>8881.6375547426705</v>
      </c>
      <c r="N976" s="74">
        <f t="shared" si="180"/>
        <v>22008.608552435977</v>
      </c>
      <c r="O976" s="74">
        <f t="shared" si="181"/>
        <v>-60455.537719834465</v>
      </c>
      <c r="P976" s="74">
        <f t="shared" si="182"/>
        <v>64337.010277201145</v>
      </c>
    </row>
    <row r="977" spans="1:16" x14ac:dyDescent="0.3">
      <c r="A977" s="72">
        <f t="shared" si="169"/>
        <v>334</v>
      </c>
      <c r="B977" s="74">
        <f t="shared" si="170"/>
        <v>-17346.646330454281</v>
      </c>
      <c r="C977" s="74">
        <f t="shared" si="171"/>
        <v>28070.582967020218</v>
      </c>
      <c r="D977" s="74">
        <f t="shared" si="172"/>
        <v>19323.924443963395</v>
      </c>
      <c r="E977" s="74">
        <f t="shared" si="173"/>
        <v>5230.0904943715086</v>
      </c>
      <c r="F977" s="74">
        <f t="shared" si="167"/>
        <v>-853.90524228362437</v>
      </c>
      <c r="G977" s="74">
        <f t="shared" si="168"/>
        <v>-12401.187588544002</v>
      </c>
      <c r="H977" s="74">
        <f t="shared" si="174"/>
        <v>37346.646330454285</v>
      </c>
      <c r="I977" s="74">
        <f t="shared" si="175"/>
        <v>-8070.5829670202183</v>
      </c>
      <c r="J977" s="74">
        <f t="shared" si="176"/>
        <v>38208.720229282626</v>
      </c>
      <c r="K977" s="74">
        <f t="shared" si="177"/>
        <v>-2653.3536695457187</v>
      </c>
      <c r="L977" s="74">
        <f t="shared" si="178"/>
        <v>-8070.5829670202183</v>
      </c>
      <c r="M977" s="74">
        <f t="shared" si="179"/>
        <v>8495.5632610939101</v>
      </c>
      <c r="N977" s="74">
        <f t="shared" si="180"/>
        <v>12346.646330454281</v>
      </c>
      <c r="O977" s="74">
        <f t="shared" si="181"/>
        <v>-63070.582967020222</v>
      </c>
      <c r="P977" s="74">
        <f t="shared" si="182"/>
        <v>64267.706598330558</v>
      </c>
    </row>
    <row r="978" spans="1:16" x14ac:dyDescent="0.3">
      <c r="A978" s="72">
        <f t="shared" si="169"/>
        <v>334.5</v>
      </c>
      <c r="B978" s="74">
        <f t="shared" si="170"/>
        <v>-7898.16041904349</v>
      </c>
      <c r="C978" s="74">
        <f t="shared" si="171"/>
        <v>27585.331317069969</v>
      </c>
      <c r="D978" s="74">
        <f t="shared" si="172"/>
        <v>18896.971822821582</v>
      </c>
      <c r="E978" s="74">
        <f t="shared" si="173"/>
        <v>-970.50329990049249</v>
      </c>
      <c r="F978" s="74">
        <f t="shared" si="167"/>
        <v>-1786.5956973228219</v>
      </c>
      <c r="G978" s="74">
        <f t="shared" si="168"/>
        <v>-5844.4310968972595</v>
      </c>
      <c r="H978" s="74">
        <f t="shared" si="174"/>
        <v>27898.160419043488</v>
      </c>
      <c r="I978" s="74">
        <f t="shared" si="175"/>
        <v>-7585.3313170699694</v>
      </c>
      <c r="J978" s="74">
        <f t="shared" si="176"/>
        <v>28910.977257028291</v>
      </c>
      <c r="K978" s="74">
        <f t="shared" si="177"/>
        <v>-12101.83958095651</v>
      </c>
      <c r="L978" s="74">
        <f t="shared" si="178"/>
        <v>-7585.3313170699694</v>
      </c>
      <c r="M978" s="74">
        <f t="shared" si="179"/>
        <v>14282.568831723798</v>
      </c>
      <c r="N978" s="74">
        <f t="shared" si="180"/>
        <v>2898.16041904349</v>
      </c>
      <c r="O978" s="74">
        <f t="shared" si="181"/>
        <v>-62585.331317069969</v>
      </c>
      <c r="P978" s="74">
        <f t="shared" si="182"/>
        <v>62652.398436787153</v>
      </c>
    </row>
    <row r="979" spans="1:16" x14ac:dyDescent="0.3">
      <c r="A979" s="72">
        <f t="shared" si="169"/>
        <v>335</v>
      </c>
      <c r="B979" s="74">
        <f t="shared" si="170"/>
        <v>1103.6765680365957</v>
      </c>
      <c r="C979" s="74">
        <f t="shared" si="171"/>
        <v>25638.97189289541</v>
      </c>
      <c r="D979" s="74">
        <f t="shared" si="172"/>
        <v>18003.67397416017</v>
      </c>
      <c r="E979" s="74">
        <f t="shared" si="173"/>
        <v>-3892.7188483491223</v>
      </c>
      <c r="F979" s="74">
        <f t="shared" si="167"/>
        <v>3619.0580623094397</v>
      </c>
      <c r="G979" s="74">
        <f t="shared" si="168"/>
        <v>-4224.1250206661753</v>
      </c>
      <c r="H979" s="74">
        <f t="shared" si="174"/>
        <v>18896.323431963403</v>
      </c>
      <c r="I979" s="74">
        <f t="shared" si="175"/>
        <v>-5638.9718928954098</v>
      </c>
      <c r="J979" s="74">
        <f t="shared" si="176"/>
        <v>19719.762758568715</v>
      </c>
      <c r="K979" s="74">
        <f t="shared" si="177"/>
        <v>-21103.676568036597</v>
      </c>
      <c r="L979" s="74">
        <f t="shared" si="178"/>
        <v>-5638.9718928954098</v>
      </c>
      <c r="M979" s="74">
        <f t="shared" si="179"/>
        <v>21844.06483915394</v>
      </c>
      <c r="N979" s="74">
        <f t="shared" si="180"/>
        <v>-6103.6765680365952</v>
      </c>
      <c r="O979" s="74">
        <f t="shared" si="181"/>
        <v>-60638.97189289541</v>
      </c>
      <c r="P979" s="74">
        <f t="shared" si="182"/>
        <v>60945.383581322698</v>
      </c>
    </row>
    <row r="980" spans="1:16" x14ac:dyDescent="0.3">
      <c r="A980" s="72">
        <f t="shared" si="169"/>
        <v>335.5</v>
      </c>
      <c r="B980" s="74">
        <f t="shared" si="170"/>
        <v>11010.278070694041</v>
      </c>
      <c r="C980" s="74">
        <f t="shared" si="171"/>
        <v>22636.581213554306</v>
      </c>
      <c r="D980" s="74">
        <f t="shared" si="172"/>
        <v>19813.203005314892</v>
      </c>
      <c r="E980" s="74">
        <f t="shared" si="173"/>
        <v>-6004.7813586822103</v>
      </c>
      <c r="F980" s="74">
        <f t="shared" si="167"/>
        <v>12330.519490828705</v>
      </c>
      <c r="G980" s="74">
        <f t="shared" si="168"/>
        <v>-5545.0529586516022</v>
      </c>
      <c r="H980" s="74">
        <f t="shared" si="174"/>
        <v>8989.7219293059588</v>
      </c>
      <c r="I980" s="74">
        <f t="shared" si="175"/>
        <v>-2636.5812135543056</v>
      </c>
      <c r="J980" s="74">
        <f t="shared" si="176"/>
        <v>9368.3862464093545</v>
      </c>
      <c r="K980" s="74">
        <f t="shared" si="177"/>
        <v>-31010.278070694039</v>
      </c>
      <c r="L980" s="74">
        <f t="shared" si="178"/>
        <v>-2636.5812135543056</v>
      </c>
      <c r="M980" s="74">
        <f t="shared" si="179"/>
        <v>31122.161019399588</v>
      </c>
      <c r="N980" s="74">
        <f t="shared" si="180"/>
        <v>-16010.278070694041</v>
      </c>
      <c r="O980" s="74">
        <f t="shared" si="181"/>
        <v>-57636.581213554309</v>
      </c>
      <c r="P980" s="74">
        <f t="shared" si="182"/>
        <v>59818.930932336028</v>
      </c>
    </row>
    <row r="981" spans="1:16" x14ac:dyDescent="0.3">
      <c r="A981" s="72">
        <f t="shared" si="169"/>
        <v>336</v>
      </c>
      <c r="B981" s="74">
        <f t="shared" si="170"/>
        <v>23999.509446058662</v>
      </c>
      <c r="C981" s="74">
        <f t="shared" si="171"/>
        <v>18247.9272945503</v>
      </c>
      <c r="D981" s="74">
        <f t="shared" si="172"/>
        <v>25978.462750729246</v>
      </c>
      <c r="E981" s="74">
        <f t="shared" si="173"/>
        <v>-8777.3078380080115</v>
      </c>
      <c r="F981" s="74">
        <f t="shared" si="167"/>
        <v>-14470.883425672781</v>
      </c>
      <c r="G981" s="74">
        <f t="shared" si="168"/>
        <v>4729.6195934311754</v>
      </c>
      <c r="H981" s="74">
        <f t="shared" si="174"/>
        <v>-3999.5094460586624</v>
      </c>
      <c r="I981" s="74">
        <f t="shared" si="175"/>
        <v>1752.0727054497002</v>
      </c>
      <c r="J981" s="74">
        <f t="shared" si="176"/>
        <v>4366.444156781843</v>
      </c>
      <c r="K981" s="74">
        <f t="shared" si="177"/>
        <v>-43999.509446058662</v>
      </c>
      <c r="L981" s="74">
        <f t="shared" si="178"/>
        <v>1752.0727054497002</v>
      </c>
      <c r="M981" s="74">
        <f t="shared" si="179"/>
        <v>44034.379639765415</v>
      </c>
      <c r="N981" s="74">
        <f t="shared" si="180"/>
        <v>-28999.509446058662</v>
      </c>
      <c r="O981" s="74">
        <f t="shared" si="181"/>
        <v>-53247.927294550303</v>
      </c>
      <c r="P981" s="74">
        <f t="shared" si="182"/>
        <v>60632.609289702857</v>
      </c>
    </row>
    <row r="982" spans="1:16" x14ac:dyDescent="0.3">
      <c r="A982" s="72">
        <f t="shared" si="169"/>
        <v>336.5</v>
      </c>
      <c r="B982" s="74">
        <f t="shared" si="170"/>
        <v>33371.019965005093</v>
      </c>
      <c r="C982" s="74">
        <f t="shared" si="171"/>
        <v>15041.678273904088</v>
      </c>
      <c r="D982" s="74">
        <f t="shared" si="172"/>
        <v>18743.021037892857</v>
      </c>
      <c r="E982" s="74">
        <f t="shared" si="173"/>
        <v>-6412.4980412924233</v>
      </c>
      <c r="F982" s="74">
        <f t="shared" si="167"/>
        <v>-11936.406302550949</v>
      </c>
      <c r="G982" s="74">
        <f t="shared" si="168"/>
        <v>3192.1172687783455</v>
      </c>
      <c r="H982" s="74">
        <f t="shared" si="174"/>
        <v>-13371.019965005093</v>
      </c>
      <c r="I982" s="74">
        <f t="shared" si="175"/>
        <v>4958.3217260959118</v>
      </c>
      <c r="J982" s="74">
        <f t="shared" si="176"/>
        <v>14260.754862350013</v>
      </c>
      <c r="K982" s="74">
        <f t="shared" si="177"/>
        <v>-53371.019965005093</v>
      </c>
      <c r="L982" s="74">
        <f t="shared" si="178"/>
        <v>4958.3217260959118</v>
      </c>
      <c r="M982" s="74">
        <f t="shared" si="179"/>
        <v>53600.846322091289</v>
      </c>
      <c r="N982" s="74">
        <f t="shared" si="180"/>
        <v>-38371.019965005093</v>
      </c>
      <c r="O982" s="74">
        <f t="shared" si="181"/>
        <v>-50041.678273904086</v>
      </c>
      <c r="P982" s="74">
        <f t="shared" si="182"/>
        <v>63059.533281049138</v>
      </c>
    </row>
    <row r="983" spans="1:16" x14ac:dyDescent="0.3">
      <c r="A983" s="72">
        <f t="shared" si="169"/>
        <v>337</v>
      </c>
      <c r="B983" s="74">
        <f t="shared" si="170"/>
        <v>39758.428908313785</v>
      </c>
      <c r="C983" s="74">
        <f t="shared" si="171"/>
        <v>12633.458570452463</v>
      </c>
      <c r="D983" s="74">
        <f t="shared" si="172"/>
        <v>12774.817886617382</v>
      </c>
      <c r="E983" s="74">
        <f t="shared" si="173"/>
        <v>-4816.4394069032505</v>
      </c>
      <c r="F983" s="74">
        <f t="shared" si="167"/>
        <v>-7731.4618196728434</v>
      </c>
      <c r="G983" s="74">
        <f t="shared" si="168"/>
        <v>1807.87238036594</v>
      </c>
      <c r="H983" s="74">
        <f t="shared" si="174"/>
        <v>-19758.428908313785</v>
      </c>
      <c r="I983" s="74">
        <f t="shared" si="175"/>
        <v>7366.5414295475366</v>
      </c>
      <c r="J983" s="74">
        <f t="shared" si="176"/>
        <v>21086.997073033661</v>
      </c>
      <c r="K983" s="74">
        <f t="shared" si="177"/>
        <v>-59758.428908313785</v>
      </c>
      <c r="L983" s="74">
        <f t="shared" si="178"/>
        <v>7366.5414295475366</v>
      </c>
      <c r="M983" s="74">
        <f t="shared" si="179"/>
        <v>60210.761149675171</v>
      </c>
      <c r="N983" s="74">
        <f t="shared" si="180"/>
        <v>-44758.428908313785</v>
      </c>
      <c r="O983" s="74">
        <f t="shared" si="181"/>
        <v>-47633.458570452465</v>
      </c>
      <c r="P983" s="74">
        <f t="shared" si="182"/>
        <v>65362.55299270057</v>
      </c>
    </row>
    <row r="984" spans="1:16" x14ac:dyDescent="0.3">
      <c r="A984" s="72">
        <f t="shared" si="169"/>
        <v>337.5</v>
      </c>
      <c r="B984" s="74">
        <f t="shared" si="170"/>
        <v>44212.972396704266</v>
      </c>
      <c r="C984" s="74">
        <f t="shared" si="171"/>
        <v>10677.206962092323</v>
      </c>
      <c r="D984" s="74">
        <f t="shared" si="172"/>
        <v>8909.08697678096</v>
      </c>
      <c r="E984" s="74">
        <f t="shared" si="173"/>
        <v>-3912.5032167202808</v>
      </c>
      <c r="F984" s="74">
        <f t="shared" si="167"/>
        <v>-5869.2999525184578</v>
      </c>
      <c r="G984" s="74">
        <f t="shared" si="168"/>
        <v>1276.3434411552303</v>
      </c>
      <c r="H984" s="74">
        <f t="shared" si="174"/>
        <v>-24212.972396704266</v>
      </c>
      <c r="I984" s="74">
        <f t="shared" si="175"/>
        <v>9322.793037907677</v>
      </c>
      <c r="J984" s="74">
        <f t="shared" si="176"/>
        <v>25945.760777268079</v>
      </c>
      <c r="K984" s="74">
        <f t="shared" si="177"/>
        <v>-64212.972396704266</v>
      </c>
      <c r="L984" s="74">
        <f t="shared" si="178"/>
        <v>9322.793037907677</v>
      </c>
      <c r="M984" s="74">
        <f t="shared" si="179"/>
        <v>64886.210353568684</v>
      </c>
      <c r="N984" s="74">
        <f t="shared" si="180"/>
        <v>-49212.972396704266</v>
      </c>
      <c r="O984" s="74">
        <f t="shared" si="181"/>
        <v>-45677.206962092321</v>
      </c>
      <c r="P984" s="74">
        <f t="shared" si="182"/>
        <v>67144.053258472501</v>
      </c>
    </row>
    <row r="985" spans="1:16" x14ac:dyDescent="0.3">
      <c r="A985" s="72">
        <f t="shared" si="169"/>
        <v>338</v>
      </c>
      <c r="B985" s="74">
        <f t="shared" si="170"/>
        <v>47200.190896965134</v>
      </c>
      <c r="C985" s="74">
        <f t="shared" si="171"/>
        <v>9040.0412140209901</v>
      </c>
      <c r="D985" s="74">
        <f t="shared" si="172"/>
        <v>5974.4370005217315</v>
      </c>
      <c r="E985" s="74">
        <f t="shared" si="173"/>
        <v>-3274.3314961426659</v>
      </c>
      <c r="F985" s="74">
        <f t="shared" si="167"/>
        <v>-4942.83337816107</v>
      </c>
      <c r="G985" s="74">
        <f t="shared" si="168"/>
        <v>1055.51016644635</v>
      </c>
      <c r="H985" s="74">
        <f t="shared" si="174"/>
        <v>-27200.190896965134</v>
      </c>
      <c r="I985" s="74">
        <f t="shared" si="175"/>
        <v>10959.95878597901</v>
      </c>
      <c r="J985" s="74">
        <f t="shared" si="176"/>
        <v>29325.263535417776</v>
      </c>
      <c r="K985" s="74">
        <f t="shared" si="177"/>
        <v>-67200.190896965127</v>
      </c>
      <c r="L985" s="74">
        <f t="shared" si="178"/>
        <v>10959.95878597901</v>
      </c>
      <c r="M985" s="74">
        <f t="shared" si="179"/>
        <v>68088.077907801984</v>
      </c>
      <c r="N985" s="74">
        <f t="shared" si="180"/>
        <v>-52200.190896965134</v>
      </c>
      <c r="O985" s="74">
        <f t="shared" si="181"/>
        <v>-44040.041214020988</v>
      </c>
      <c r="P985" s="74">
        <f t="shared" si="182"/>
        <v>68296.304144604117</v>
      </c>
    </row>
    <row r="986" spans="1:16" x14ac:dyDescent="0.3">
      <c r="A986" s="72">
        <f t="shared" si="169"/>
        <v>338.5</v>
      </c>
      <c r="B986" s="74">
        <f t="shared" si="170"/>
        <v>48951.701052685734</v>
      </c>
      <c r="C986" s="74">
        <f t="shared" si="171"/>
        <v>7666.7530075612449</v>
      </c>
      <c r="D986" s="74">
        <f t="shared" si="172"/>
        <v>3503.0203114411966</v>
      </c>
      <c r="E986" s="74">
        <f t="shared" si="173"/>
        <v>-2746.5764129194908</v>
      </c>
      <c r="F986" s="74">
        <f t="shared" si="167"/>
        <v>-4463.4932911915312</v>
      </c>
      <c r="G986" s="74">
        <f t="shared" si="168"/>
        <v>978.22685850335756</v>
      </c>
      <c r="H986" s="74">
        <f t="shared" si="174"/>
        <v>-28951.701052685734</v>
      </c>
      <c r="I986" s="74">
        <f t="shared" si="175"/>
        <v>12333.246992438755</v>
      </c>
      <c r="J986" s="74">
        <f t="shared" si="176"/>
        <v>31469.190889194848</v>
      </c>
      <c r="K986" s="74">
        <f t="shared" si="177"/>
        <v>-68951.701052685734</v>
      </c>
      <c r="L986" s="74">
        <f t="shared" si="178"/>
        <v>12333.246992438755</v>
      </c>
      <c r="M986" s="74">
        <f t="shared" si="179"/>
        <v>70046.02814889251</v>
      </c>
      <c r="N986" s="74">
        <f t="shared" si="180"/>
        <v>-53951.701052685734</v>
      </c>
      <c r="O986" s="74">
        <f t="shared" si="181"/>
        <v>-42666.753007561245</v>
      </c>
      <c r="P986" s="74">
        <f t="shared" si="182"/>
        <v>68783.994204223171</v>
      </c>
    </row>
    <row r="987" spans="1:16" x14ac:dyDescent="0.3">
      <c r="A987" s="72">
        <f t="shared" si="169"/>
        <v>339</v>
      </c>
      <c r="B987" s="74">
        <f t="shared" si="170"/>
        <v>49587.337885608453</v>
      </c>
      <c r="C987" s="74">
        <f t="shared" si="171"/>
        <v>6538.0215157273387</v>
      </c>
      <c r="D987" s="74">
        <f t="shared" si="172"/>
        <v>1271.273665845431</v>
      </c>
      <c r="E987" s="74">
        <f t="shared" si="173"/>
        <v>-2257.4629836678123</v>
      </c>
      <c r="F987" s="74">
        <f t="shared" si="167"/>
        <v>-4248.3673887920522</v>
      </c>
      <c r="G987" s="74">
        <f t="shared" si="168"/>
        <v>990.71754766192714</v>
      </c>
      <c r="H987" s="74">
        <f t="shared" si="174"/>
        <v>-29587.337885608453</v>
      </c>
      <c r="I987" s="74">
        <f t="shared" si="175"/>
        <v>13461.978484272662</v>
      </c>
      <c r="J987" s="74">
        <f t="shared" si="176"/>
        <v>32505.929118672819</v>
      </c>
      <c r="K987" s="74">
        <f t="shared" si="177"/>
        <v>-69587.33788560846</v>
      </c>
      <c r="L987" s="74">
        <f t="shared" si="178"/>
        <v>13461.978484272662</v>
      </c>
      <c r="M987" s="74">
        <f t="shared" si="179"/>
        <v>70877.517300741136</v>
      </c>
      <c r="N987" s="74">
        <f t="shared" si="180"/>
        <v>-54587.337885608453</v>
      </c>
      <c r="O987" s="74">
        <f t="shared" si="181"/>
        <v>-41538.021515727341</v>
      </c>
      <c r="P987" s="74">
        <f t="shared" si="182"/>
        <v>68594.348811535572</v>
      </c>
    </row>
    <row r="988" spans="1:16" x14ac:dyDescent="0.3">
      <c r="A988" s="72">
        <f t="shared" si="169"/>
        <v>339.5</v>
      </c>
      <c r="B988" s="74">
        <f t="shared" si="170"/>
        <v>49160.88287133316</v>
      </c>
      <c r="C988" s="74">
        <f t="shared" si="171"/>
        <v>5656.9694108089143</v>
      </c>
      <c r="D988" s="74">
        <f t="shared" si="172"/>
        <v>-852.91002855059514</v>
      </c>
      <c r="E988" s="74">
        <f t="shared" si="173"/>
        <v>-1762.1042098368487</v>
      </c>
      <c r="F988" s="74">
        <f t="shared" si="167"/>
        <v>-4227.5873352508725</v>
      </c>
      <c r="G988" s="74">
        <f t="shared" si="168"/>
        <v>1083.2365865965985</v>
      </c>
      <c r="H988" s="74">
        <f t="shared" si="174"/>
        <v>-29160.88287133316</v>
      </c>
      <c r="I988" s="74">
        <f t="shared" si="175"/>
        <v>14343.030589191087</v>
      </c>
      <c r="J988" s="74">
        <f t="shared" si="176"/>
        <v>32497.378606867398</v>
      </c>
      <c r="K988" s="74">
        <f t="shared" si="177"/>
        <v>-69160.88287133316</v>
      </c>
      <c r="L988" s="74">
        <f t="shared" si="178"/>
        <v>14343.030589191087</v>
      </c>
      <c r="M988" s="74">
        <f t="shared" si="179"/>
        <v>70632.501343395284</v>
      </c>
      <c r="N988" s="74">
        <f t="shared" si="180"/>
        <v>-54160.88287133316</v>
      </c>
      <c r="O988" s="74">
        <f t="shared" si="181"/>
        <v>-40656.969410808917</v>
      </c>
      <c r="P988" s="74">
        <f t="shared" si="182"/>
        <v>67722.89417230869</v>
      </c>
    </row>
    <row r="989" spans="1:16" x14ac:dyDescent="0.3">
      <c r="A989" s="72">
        <f t="shared" si="169"/>
        <v>340</v>
      </c>
      <c r="B989" s="74">
        <f t="shared" si="170"/>
        <v>47677.531023245145</v>
      </c>
      <c r="C989" s="74">
        <f t="shared" si="171"/>
        <v>5046.7264525396395</v>
      </c>
      <c r="D989" s="74">
        <f t="shared" si="172"/>
        <v>-2966.7036961760314</v>
      </c>
      <c r="E989" s="74">
        <f t="shared" si="173"/>
        <v>-1220.4859165385494</v>
      </c>
      <c r="F989" s="74">
        <f t="shared" si="167"/>
        <v>-4386.7598901354468</v>
      </c>
      <c r="G989" s="74">
        <f t="shared" si="168"/>
        <v>1276.1466174622346</v>
      </c>
      <c r="H989" s="74">
        <f t="shared" si="174"/>
        <v>-27677.531023245145</v>
      </c>
      <c r="I989" s="74">
        <f t="shared" si="175"/>
        <v>14953.273547460361</v>
      </c>
      <c r="J989" s="74">
        <f t="shared" si="176"/>
        <v>31458.641314078955</v>
      </c>
      <c r="K989" s="74">
        <f t="shared" si="177"/>
        <v>-67677.531023245145</v>
      </c>
      <c r="L989" s="74">
        <f t="shared" si="178"/>
        <v>14953.273547460361</v>
      </c>
      <c r="M989" s="74">
        <f t="shared" si="179"/>
        <v>69309.801580927116</v>
      </c>
      <c r="N989" s="74">
        <f t="shared" si="180"/>
        <v>-52677.531023245145</v>
      </c>
      <c r="O989" s="74">
        <f t="shared" si="181"/>
        <v>-40046.726452539639</v>
      </c>
      <c r="P989" s="74">
        <f t="shared" si="182"/>
        <v>66171.463443613611</v>
      </c>
    </row>
    <row r="990" spans="1:16" x14ac:dyDescent="0.3">
      <c r="A990" s="72">
        <f t="shared" si="169"/>
        <v>340.5</v>
      </c>
      <c r="B990" s="74">
        <f t="shared" si="170"/>
        <v>45097.48920262327</v>
      </c>
      <c r="C990" s="74">
        <f t="shared" si="171"/>
        <v>4755.5201486359238</v>
      </c>
      <c r="D990" s="74">
        <f t="shared" si="172"/>
        <v>-5160.0836412437548</v>
      </c>
      <c r="E990" s="74">
        <f t="shared" si="173"/>
        <v>-582.4126078074321</v>
      </c>
      <c r="F990" s="74">
        <f t="shared" si="167"/>
        <v>-4752.7616777621761</v>
      </c>
      <c r="G990" s="74">
        <f t="shared" si="168"/>
        <v>1632.3437217582925</v>
      </c>
      <c r="H990" s="74">
        <f t="shared" si="174"/>
        <v>-25097.48920262327</v>
      </c>
      <c r="I990" s="74">
        <f t="shared" si="175"/>
        <v>15244.479851364076</v>
      </c>
      <c r="J990" s="74">
        <f t="shared" si="176"/>
        <v>29364.572706144336</v>
      </c>
      <c r="K990" s="74">
        <f t="shared" si="177"/>
        <v>-65097.48920262327</v>
      </c>
      <c r="L990" s="74">
        <f t="shared" si="178"/>
        <v>15244.479851364076</v>
      </c>
      <c r="M990" s="74">
        <f t="shared" si="179"/>
        <v>66858.636438565649</v>
      </c>
      <c r="N990" s="74">
        <f t="shared" si="180"/>
        <v>-50097.48920262327</v>
      </c>
      <c r="O990" s="74">
        <f t="shared" si="181"/>
        <v>-39755.520148635922</v>
      </c>
      <c r="P990" s="74">
        <f t="shared" si="182"/>
        <v>63955.139017091911</v>
      </c>
    </row>
    <row r="991" spans="1:16" x14ac:dyDescent="0.3">
      <c r="A991" s="72">
        <f t="shared" si="169"/>
        <v>341</v>
      </c>
      <c r="B991" s="74">
        <f t="shared" si="170"/>
        <v>41329.256962560852</v>
      </c>
      <c r="C991" s="74">
        <f t="shared" si="171"/>
        <v>4872.3997751717816</v>
      </c>
      <c r="D991" s="74">
        <f t="shared" si="172"/>
        <v>-7536.4644801248432</v>
      </c>
      <c r="E991" s="74">
        <f t="shared" si="173"/>
        <v>233.75925307171417</v>
      </c>
      <c r="F991" s="74">
        <f t="shared" si="167"/>
        <v>-5397.9591607020411</v>
      </c>
      <c r="G991" s="74">
        <f t="shared" si="168"/>
        <v>2310.5556062285914</v>
      </c>
      <c r="H991" s="74">
        <f t="shared" si="174"/>
        <v>-21329.256962560852</v>
      </c>
      <c r="I991" s="74">
        <f t="shared" si="175"/>
        <v>15127.600224828218</v>
      </c>
      <c r="J991" s="74">
        <f t="shared" si="176"/>
        <v>26149.215879968055</v>
      </c>
      <c r="K991" s="74">
        <f t="shared" si="177"/>
        <v>-61329.256962560852</v>
      </c>
      <c r="L991" s="74">
        <f t="shared" si="178"/>
        <v>15127.600224828218</v>
      </c>
      <c r="M991" s="74">
        <f t="shared" si="179"/>
        <v>63167.412865670238</v>
      </c>
      <c r="N991" s="74">
        <f t="shared" si="180"/>
        <v>-46329.256962560852</v>
      </c>
      <c r="O991" s="74">
        <f t="shared" si="181"/>
        <v>-39872.399775171783</v>
      </c>
      <c r="P991" s="74">
        <f t="shared" si="182"/>
        <v>61124.531200935293</v>
      </c>
    </row>
    <row r="992" spans="1:16" x14ac:dyDescent="0.3">
      <c r="A992" s="72">
        <f t="shared" si="169"/>
        <v>341.5</v>
      </c>
      <c r="B992" s="74">
        <f t="shared" si="170"/>
        <v>36211.534932322924</v>
      </c>
      <c r="C992" s="74">
        <f t="shared" si="171"/>
        <v>5566.9183032647861</v>
      </c>
      <c r="D992" s="74">
        <f t="shared" si="172"/>
        <v>-10235.444060475864</v>
      </c>
      <c r="E992" s="74">
        <f t="shared" si="173"/>
        <v>1389.03705618601</v>
      </c>
      <c r="F992" s="74">
        <f t="shared" si="167"/>
        <v>-6428.8991782493486</v>
      </c>
      <c r="G992" s="74">
        <f t="shared" si="168"/>
        <v>3742.6583375136684</v>
      </c>
      <c r="H992" s="74">
        <f t="shared" si="174"/>
        <v>-16211.534932322924</v>
      </c>
      <c r="I992" s="74">
        <f t="shared" si="175"/>
        <v>14433.081696735215</v>
      </c>
      <c r="J992" s="74">
        <f t="shared" si="176"/>
        <v>21705.476546866219</v>
      </c>
      <c r="K992" s="74">
        <f t="shared" si="177"/>
        <v>-56211.534932322924</v>
      </c>
      <c r="L992" s="74">
        <f t="shared" si="178"/>
        <v>14433.081696735215</v>
      </c>
      <c r="M992" s="74">
        <f t="shared" si="179"/>
        <v>58034.907656619849</v>
      </c>
      <c r="N992" s="74">
        <f t="shared" si="180"/>
        <v>-41211.534932322924</v>
      </c>
      <c r="O992" s="74">
        <f t="shared" si="181"/>
        <v>-40566.918303264785</v>
      </c>
      <c r="P992" s="74">
        <f t="shared" si="182"/>
        <v>57827.895276430667</v>
      </c>
    </row>
    <row r="993" spans="1:16" x14ac:dyDescent="0.3">
      <c r="A993" s="72">
        <f t="shared" si="169"/>
        <v>342</v>
      </c>
      <c r="B993" s="74">
        <f t="shared" si="170"/>
        <v>29486.588107522653</v>
      </c>
      <c r="C993" s="74">
        <f t="shared" si="171"/>
        <v>7197.1014157362079</v>
      </c>
      <c r="D993" s="74">
        <f t="shared" si="172"/>
        <v>-13449.893649600537</v>
      </c>
      <c r="E993" s="74">
        <f t="shared" si="173"/>
        <v>3260.3662249428444</v>
      </c>
      <c r="F993" s="74">
        <f t="shared" si="167"/>
        <v>-7584.0316209114444</v>
      </c>
      <c r="G993" s="74">
        <f t="shared" si="168"/>
        <v>7213.9724935229679</v>
      </c>
      <c r="H993" s="74">
        <f t="shared" si="174"/>
        <v>-9486.5881075226534</v>
      </c>
      <c r="I993" s="74">
        <f t="shared" si="175"/>
        <v>12802.898584263792</v>
      </c>
      <c r="J993" s="74">
        <f t="shared" si="176"/>
        <v>15934.540033547692</v>
      </c>
      <c r="K993" s="74">
        <f t="shared" si="177"/>
        <v>-49486.58810752265</v>
      </c>
      <c r="L993" s="74">
        <f t="shared" si="178"/>
        <v>12802.898584263792</v>
      </c>
      <c r="M993" s="74">
        <f t="shared" si="179"/>
        <v>51115.913517050103</v>
      </c>
      <c r="N993" s="74">
        <f t="shared" si="180"/>
        <v>-34486.58810752265</v>
      </c>
      <c r="O993" s="74">
        <f t="shared" si="181"/>
        <v>-42197.101415736208</v>
      </c>
      <c r="P993" s="74">
        <f t="shared" si="182"/>
        <v>54496.973559894584</v>
      </c>
    </row>
    <row r="994" spans="1:16" x14ac:dyDescent="0.3">
      <c r="A994" s="72">
        <f t="shared" si="169"/>
        <v>342.5</v>
      </c>
      <c r="B994" s="74">
        <f t="shared" si="170"/>
        <v>20865.633377494523</v>
      </c>
      <c r="C994" s="74">
        <f t="shared" si="171"/>
        <v>10630.777651588372</v>
      </c>
      <c r="D994" s="74">
        <f t="shared" si="172"/>
        <v>-17241.90946005626</v>
      </c>
      <c r="E994" s="74">
        <f t="shared" si="173"/>
        <v>6867.3524717043283</v>
      </c>
      <c r="F994" s="74">
        <f t="shared" si="167"/>
        <v>-3239.4850390793708</v>
      </c>
      <c r="G994" s="74">
        <f t="shared" si="168"/>
        <v>14163.52598614763</v>
      </c>
      <c r="H994" s="74">
        <f t="shared" si="174"/>
        <v>-865.6333774945233</v>
      </c>
      <c r="I994" s="74">
        <f t="shared" si="175"/>
        <v>9369.2223484116275</v>
      </c>
      <c r="J994" s="74">
        <f t="shared" si="176"/>
        <v>9409.1258126463836</v>
      </c>
      <c r="K994" s="74">
        <f t="shared" si="177"/>
        <v>-40865.633377494523</v>
      </c>
      <c r="L994" s="74">
        <f t="shared" si="178"/>
        <v>9369.2223484116275</v>
      </c>
      <c r="M994" s="74">
        <f t="shared" si="179"/>
        <v>41925.914644259945</v>
      </c>
      <c r="N994" s="74">
        <f t="shared" si="180"/>
        <v>-25865.633377494523</v>
      </c>
      <c r="O994" s="74">
        <f t="shared" si="181"/>
        <v>-45630.777651588374</v>
      </c>
      <c r="P994" s="74">
        <f t="shared" si="182"/>
        <v>52451.871836071354</v>
      </c>
    </row>
    <row r="995" spans="1:16" x14ac:dyDescent="0.3">
      <c r="A995" s="72">
        <f t="shared" si="169"/>
        <v>343</v>
      </c>
      <c r="B995" s="74">
        <f t="shared" si="170"/>
        <v>11434.80738769655</v>
      </c>
      <c r="C995" s="74">
        <f t="shared" si="171"/>
        <v>17605.335383977443</v>
      </c>
      <c r="D995" s="74">
        <f t="shared" si="172"/>
        <v>-18861.651979595947</v>
      </c>
      <c r="E995" s="74">
        <f t="shared" si="173"/>
        <v>13949.115464778144</v>
      </c>
      <c r="F995" s="74">
        <f t="shared" si="167"/>
        <v>12617.929945321785</v>
      </c>
      <c r="G995" s="74">
        <f t="shared" si="168"/>
        <v>3080.427878747174</v>
      </c>
      <c r="H995" s="74">
        <f t="shared" si="174"/>
        <v>8565.19261230345</v>
      </c>
      <c r="I995" s="74">
        <f t="shared" si="175"/>
        <v>2394.6646160225573</v>
      </c>
      <c r="J995" s="74">
        <f t="shared" si="176"/>
        <v>8893.6462212687566</v>
      </c>
      <c r="K995" s="74">
        <f t="shared" si="177"/>
        <v>-31434.80738769655</v>
      </c>
      <c r="L995" s="74">
        <f t="shared" si="178"/>
        <v>2394.6646160225573</v>
      </c>
      <c r="M995" s="74">
        <f t="shared" si="179"/>
        <v>31525.886730190668</v>
      </c>
      <c r="N995" s="74">
        <f t="shared" si="180"/>
        <v>-16434.80738769655</v>
      </c>
      <c r="O995" s="74">
        <f t="shared" si="181"/>
        <v>-52605.335383977443</v>
      </c>
      <c r="P995" s="74">
        <f t="shared" si="182"/>
        <v>55112.831579691439</v>
      </c>
    </row>
    <row r="996" spans="1:16" x14ac:dyDescent="0.3">
      <c r="A996" s="72">
        <f t="shared" si="169"/>
        <v>343.5</v>
      </c>
      <c r="B996" s="74">
        <f t="shared" si="170"/>
        <v>5158.4638842290224</v>
      </c>
      <c r="C996" s="74">
        <f t="shared" si="171"/>
        <v>25350.000086053307</v>
      </c>
      <c r="D996" s="74">
        <f t="shared" si="172"/>
        <v>-12552.687006935055</v>
      </c>
      <c r="E996" s="74">
        <f t="shared" si="173"/>
        <v>15489.329404151731</v>
      </c>
      <c r="F996" s="74">
        <f t="shared" si="167"/>
        <v>6600.3728444203753</v>
      </c>
      <c r="G996" s="74">
        <f t="shared" si="168"/>
        <v>-5085.9913580254852</v>
      </c>
      <c r="H996" s="74">
        <f t="shared" si="174"/>
        <v>14841.536115770978</v>
      </c>
      <c r="I996" s="74">
        <f t="shared" si="175"/>
        <v>-5350.0000860533073</v>
      </c>
      <c r="J996" s="74">
        <f t="shared" si="176"/>
        <v>15776.365081871827</v>
      </c>
      <c r="K996" s="74">
        <f t="shared" si="177"/>
        <v>-25158.463884229022</v>
      </c>
      <c r="L996" s="74">
        <f t="shared" si="178"/>
        <v>-5350.0000860533073</v>
      </c>
      <c r="M996" s="74">
        <f t="shared" si="179"/>
        <v>25721.018757716938</v>
      </c>
      <c r="N996" s="74">
        <f t="shared" si="180"/>
        <v>-10158.463884229022</v>
      </c>
      <c r="O996" s="74">
        <f t="shared" si="181"/>
        <v>-60350.000086053304</v>
      </c>
      <c r="P996" s="74">
        <f t="shared" si="182"/>
        <v>61198.994263580993</v>
      </c>
    </row>
    <row r="997" spans="1:16" x14ac:dyDescent="0.3">
      <c r="A997" s="72">
        <f t="shared" si="169"/>
        <v>344</v>
      </c>
      <c r="B997" s="74">
        <f t="shared" si="170"/>
        <v>532.21359186658856</v>
      </c>
      <c r="C997" s="74">
        <f t="shared" si="171"/>
        <v>31823.166948622802</v>
      </c>
      <c r="D997" s="74">
        <f t="shared" si="172"/>
        <v>-9252.5005847248685</v>
      </c>
      <c r="E997" s="74">
        <f t="shared" si="173"/>
        <v>12946.333725138989</v>
      </c>
      <c r="F997" s="74">
        <f t="shared" si="167"/>
        <v>2407.674039423483</v>
      </c>
      <c r="G997" s="74">
        <f t="shared" si="168"/>
        <v>-5737.2780661869483</v>
      </c>
      <c r="H997" s="74">
        <f t="shared" si="174"/>
        <v>19467.786408133412</v>
      </c>
      <c r="I997" s="74">
        <f t="shared" si="175"/>
        <v>-11823.166948622802</v>
      </c>
      <c r="J997" s="74">
        <f t="shared" si="176"/>
        <v>22776.786084250576</v>
      </c>
      <c r="K997" s="74">
        <f t="shared" si="177"/>
        <v>-20532.213591866588</v>
      </c>
      <c r="L997" s="74">
        <f t="shared" si="178"/>
        <v>-11823.166948622802</v>
      </c>
      <c r="M997" s="74">
        <f t="shared" si="179"/>
        <v>23693.017361177062</v>
      </c>
      <c r="N997" s="74">
        <f t="shared" si="180"/>
        <v>-5532.2135918665881</v>
      </c>
      <c r="O997" s="74">
        <f t="shared" si="181"/>
        <v>-66823.166948622806</v>
      </c>
      <c r="P997" s="74">
        <f t="shared" si="182"/>
        <v>67051.778710706465</v>
      </c>
    </row>
    <row r="998" spans="1:16" x14ac:dyDescent="0.3">
      <c r="A998" s="72">
        <f t="shared" si="169"/>
        <v>344.5</v>
      </c>
      <c r="B998" s="74">
        <f t="shared" si="170"/>
        <v>-3492.1181906399752</v>
      </c>
      <c r="C998" s="74">
        <f t="shared" si="171"/>
        <v>36862.014294645553</v>
      </c>
      <c r="D998" s="74">
        <f t="shared" si="172"/>
        <v>-8048.6635650131266</v>
      </c>
      <c r="E998" s="74">
        <f t="shared" si="173"/>
        <v>10077.694692045516</v>
      </c>
      <c r="F998" s="74">
        <f t="shared" si="167"/>
        <v>1130.0119638468816</v>
      </c>
      <c r="G998" s="74">
        <f t="shared" si="168"/>
        <v>-5591.0805594082085</v>
      </c>
      <c r="H998" s="74">
        <f t="shared" si="174"/>
        <v>23492.118190639976</v>
      </c>
      <c r="I998" s="74">
        <f t="shared" si="175"/>
        <v>-16862.014294645553</v>
      </c>
      <c r="J998" s="74">
        <f t="shared" si="176"/>
        <v>28917.246465661781</v>
      </c>
      <c r="K998" s="74">
        <f t="shared" si="177"/>
        <v>-16507.881809360024</v>
      </c>
      <c r="L998" s="74">
        <f t="shared" si="178"/>
        <v>-16862.014294645553</v>
      </c>
      <c r="M998" s="74">
        <f t="shared" si="179"/>
        <v>23597.408499761801</v>
      </c>
      <c r="N998" s="74">
        <f t="shared" si="180"/>
        <v>-1507.8818093600248</v>
      </c>
      <c r="O998" s="74">
        <f t="shared" si="181"/>
        <v>-71862.014294645545</v>
      </c>
      <c r="P998" s="74">
        <f t="shared" si="182"/>
        <v>71877.832507907748</v>
      </c>
    </row>
    <row r="999" spans="1:16" x14ac:dyDescent="0.3">
      <c r="A999" s="72">
        <f t="shared" si="169"/>
        <v>345</v>
      </c>
      <c r="B999" s="74">
        <f t="shared" si="170"/>
        <v>-7233.9469821848179</v>
      </c>
      <c r="C999" s="74">
        <f t="shared" si="171"/>
        <v>40503.091500816263</v>
      </c>
      <c r="D999" s="74">
        <f t="shared" si="172"/>
        <v>-7483.6575830896854</v>
      </c>
      <c r="E999" s="74">
        <f t="shared" si="173"/>
        <v>7282.1544123414114</v>
      </c>
      <c r="F999" s="74">
        <f t="shared" si="167"/>
        <v>903.20987079001532</v>
      </c>
      <c r="G999" s="74">
        <f t="shared" si="168"/>
        <v>-5300.2051051123435</v>
      </c>
      <c r="H999" s="74">
        <f t="shared" si="174"/>
        <v>27233.946982184818</v>
      </c>
      <c r="I999" s="74">
        <f t="shared" si="175"/>
        <v>-20503.091500816263</v>
      </c>
      <c r="J999" s="74">
        <f t="shared" si="176"/>
        <v>34089.069059147063</v>
      </c>
      <c r="K999" s="74">
        <f t="shared" si="177"/>
        <v>-12766.053017815182</v>
      </c>
      <c r="L999" s="74">
        <f t="shared" si="178"/>
        <v>-20503.091500816263</v>
      </c>
      <c r="M999" s="74">
        <f t="shared" si="179"/>
        <v>24152.616229810636</v>
      </c>
      <c r="N999" s="74">
        <f t="shared" si="180"/>
        <v>2233.9469821848179</v>
      </c>
      <c r="O999" s="74">
        <f t="shared" si="181"/>
        <v>-75503.091500816256</v>
      </c>
      <c r="P999" s="74">
        <f t="shared" si="182"/>
        <v>75536.13271342295</v>
      </c>
    </row>
    <row r="1000" spans="1:16" x14ac:dyDescent="0.3">
      <c r="A1000" s="72">
        <f t="shared" si="169"/>
        <v>345.5</v>
      </c>
      <c r="B1000" s="74">
        <f t="shared" si="170"/>
        <v>-10749.973306032156</v>
      </c>
      <c r="C1000" s="74">
        <f t="shared" si="171"/>
        <v>42819.11743070888</v>
      </c>
      <c r="D1000" s="74">
        <f t="shared" si="172"/>
        <v>-7032.0526476946779</v>
      </c>
      <c r="E1000" s="74">
        <f t="shared" si="173"/>
        <v>4632.0518597852397</v>
      </c>
      <c r="F1000" s="74">
        <f t="shared" si="167"/>
        <v>984.20620409859612</v>
      </c>
      <c r="G1000" s="74">
        <f t="shared" si="168"/>
        <v>-5031.7029121925052</v>
      </c>
      <c r="H1000" s="74">
        <f t="shared" si="174"/>
        <v>30749.973306032156</v>
      </c>
      <c r="I1000" s="74">
        <f t="shared" si="175"/>
        <v>-22819.11743070888</v>
      </c>
      <c r="J1000" s="74">
        <f t="shared" si="176"/>
        <v>38291.944043599724</v>
      </c>
      <c r="K1000" s="74">
        <f t="shared" si="177"/>
        <v>-9250.026693967844</v>
      </c>
      <c r="L1000" s="74">
        <f t="shared" si="178"/>
        <v>-22819.11743070888</v>
      </c>
      <c r="M1000" s="74">
        <f t="shared" si="179"/>
        <v>24622.654490440291</v>
      </c>
      <c r="N1000" s="74">
        <f t="shared" si="180"/>
        <v>5749.973306032156</v>
      </c>
      <c r="O1000" s="74">
        <f t="shared" si="181"/>
        <v>-77819.11743070888</v>
      </c>
      <c r="P1000" s="74">
        <f t="shared" si="182"/>
        <v>78031.25803621611</v>
      </c>
    </row>
    <row r="1001" spans="1:16" x14ac:dyDescent="0.3">
      <c r="A1001" s="72">
        <f t="shared" si="169"/>
        <v>346</v>
      </c>
      <c r="B1001" s="74">
        <f t="shared" si="170"/>
        <v>-14019.948078854844</v>
      </c>
      <c r="C1001" s="74">
        <f t="shared" si="171"/>
        <v>43877.217632553373</v>
      </c>
      <c r="D1001" s="74">
        <f t="shared" si="172"/>
        <v>-6539.9495456453797</v>
      </c>
      <c r="E1001" s="74">
        <f t="shared" si="173"/>
        <v>2116.2004036889871</v>
      </c>
      <c r="F1001" s="74">
        <f t="shared" si="167"/>
        <v>1158.1059624535769</v>
      </c>
      <c r="G1001" s="74">
        <f t="shared" si="168"/>
        <v>-4878.6603922112008</v>
      </c>
      <c r="H1001" s="74">
        <f t="shared" si="174"/>
        <v>34019.948078854846</v>
      </c>
      <c r="I1001" s="74">
        <f t="shared" si="175"/>
        <v>-23877.217632553373</v>
      </c>
      <c r="J1001" s="74">
        <f t="shared" si="176"/>
        <v>41562.944904810312</v>
      </c>
      <c r="K1001" s="74">
        <f t="shared" si="177"/>
        <v>-5980.0519211451556</v>
      </c>
      <c r="L1001" s="74">
        <f t="shared" si="178"/>
        <v>-23877.217632553373</v>
      </c>
      <c r="M1001" s="74">
        <f t="shared" si="179"/>
        <v>24614.681449328356</v>
      </c>
      <c r="N1001" s="74">
        <f t="shared" si="180"/>
        <v>9019.9480788548444</v>
      </c>
      <c r="O1001" s="74">
        <f t="shared" si="181"/>
        <v>-78877.217632553366</v>
      </c>
      <c r="P1001" s="74">
        <f t="shared" si="182"/>
        <v>79391.277384851448</v>
      </c>
    </row>
    <row r="1002" spans="1:16" x14ac:dyDescent="0.3">
      <c r="A1002" s="72">
        <f t="shared" si="169"/>
        <v>346.5</v>
      </c>
      <c r="B1002" s="74">
        <f t="shared" si="170"/>
        <v>-17000.39636106414</v>
      </c>
      <c r="C1002" s="74">
        <f t="shared" si="171"/>
        <v>43715.652736345066</v>
      </c>
      <c r="D1002" s="74">
        <f t="shared" si="172"/>
        <v>-5960.896564418591</v>
      </c>
      <c r="E1002" s="74">
        <f t="shared" si="173"/>
        <v>-323.12979241661333</v>
      </c>
      <c r="F1002" s="74">
        <f t="shared" si="167"/>
        <v>1388.3438800291808</v>
      </c>
      <c r="G1002" s="74">
        <f t="shared" si="168"/>
        <v>-4898.2836588789332</v>
      </c>
      <c r="H1002" s="74">
        <f t="shared" si="174"/>
        <v>37000.396361064137</v>
      </c>
      <c r="I1002" s="74">
        <f t="shared" si="175"/>
        <v>-23715.652736345066</v>
      </c>
      <c r="J1002" s="74">
        <f t="shared" si="176"/>
        <v>43948.396052492739</v>
      </c>
      <c r="K1002" s="74">
        <f t="shared" si="177"/>
        <v>-2999.6036389358596</v>
      </c>
      <c r="L1002" s="74">
        <f t="shared" si="178"/>
        <v>-23715.652736345066</v>
      </c>
      <c r="M1002" s="74">
        <f t="shared" si="179"/>
        <v>23904.598024263625</v>
      </c>
      <c r="N1002" s="74">
        <f t="shared" si="180"/>
        <v>12000.39636106414</v>
      </c>
      <c r="O1002" s="74">
        <f t="shared" si="181"/>
        <v>-78715.652736345073</v>
      </c>
      <c r="P1002" s="74">
        <f t="shared" si="182"/>
        <v>79625.143632721389</v>
      </c>
    </row>
    <row r="1003" spans="1:16" x14ac:dyDescent="0.3">
      <c r="A1003" s="72">
        <f t="shared" si="169"/>
        <v>347</v>
      </c>
      <c r="B1003" s="74">
        <f t="shared" si="170"/>
        <v>-19633.75867326614</v>
      </c>
      <c r="C1003" s="74">
        <f t="shared" si="171"/>
        <v>42329.516925417025</v>
      </c>
      <c r="D1003" s="74">
        <f t="shared" si="172"/>
        <v>-5266.7246244040007</v>
      </c>
      <c r="E1003" s="74">
        <f t="shared" si="173"/>
        <v>-2772.2716218560799</v>
      </c>
      <c r="F1003" s="74">
        <f t="shared" si="167"/>
        <v>1706.8986739697557</v>
      </c>
      <c r="G1003" s="74">
        <f t="shared" si="168"/>
        <v>-5161.7040314816568</v>
      </c>
      <c r="H1003" s="74">
        <f t="shared" si="174"/>
        <v>39633.758673266144</v>
      </c>
      <c r="I1003" s="74">
        <f t="shared" si="175"/>
        <v>-22329.516925417025</v>
      </c>
      <c r="J1003" s="74">
        <f t="shared" si="176"/>
        <v>45491.121690866064</v>
      </c>
      <c r="K1003" s="74">
        <f t="shared" si="177"/>
        <v>-366.24132673385975</v>
      </c>
      <c r="L1003" s="74">
        <f t="shared" si="178"/>
        <v>-22329.516925417025</v>
      </c>
      <c r="M1003" s="74">
        <f t="shared" si="179"/>
        <v>22332.52020780219</v>
      </c>
      <c r="N1003" s="74">
        <f t="shared" si="180"/>
        <v>14633.75867326614</v>
      </c>
      <c r="O1003" s="74">
        <f t="shared" si="181"/>
        <v>-77329.516925417032</v>
      </c>
      <c r="P1003" s="74">
        <f t="shared" si="182"/>
        <v>78701.976346377414</v>
      </c>
    </row>
    <row r="1004" spans="1:16" x14ac:dyDescent="0.3">
      <c r="A1004" s="72">
        <f t="shared" si="169"/>
        <v>347.5</v>
      </c>
      <c r="B1004" s="74">
        <f t="shared" si="170"/>
        <v>-21840.396316975701</v>
      </c>
      <c r="C1004" s="74">
        <f t="shared" si="171"/>
        <v>39652.955106618567</v>
      </c>
      <c r="D1004" s="74">
        <f t="shared" si="172"/>
        <v>-4413.2752874191228</v>
      </c>
      <c r="E1004" s="74">
        <f t="shared" si="173"/>
        <v>-5353.1236375969083</v>
      </c>
      <c r="F1004" s="74">
        <f t="shared" si="167"/>
        <v>2218.6041923870807</v>
      </c>
      <c r="G1004" s="74">
        <f t="shared" si="168"/>
        <v>-5820.8789580726734</v>
      </c>
      <c r="H1004" s="74">
        <f t="shared" si="174"/>
        <v>41840.396316975704</v>
      </c>
      <c r="I1004" s="74">
        <f t="shared" si="175"/>
        <v>-19652.955106618567</v>
      </c>
      <c r="J1004" s="74">
        <f t="shared" si="176"/>
        <v>46226.1550248813</v>
      </c>
      <c r="K1004" s="74">
        <f t="shared" si="177"/>
        <v>1840.3963169757008</v>
      </c>
      <c r="L1004" s="74">
        <f t="shared" si="178"/>
        <v>-19652.955106618567</v>
      </c>
      <c r="M1004" s="74">
        <f t="shared" si="179"/>
        <v>19738.938751267822</v>
      </c>
      <c r="N1004" s="74">
        <f t="shared" si="180"/>
        <v>16840.396316975701</v>
      </c>
      <c r="O1004" s="74">
        <f t="shared" si="181"/>
        <v>-74652.955106618567</v>
      </c>
      <c r="P1004" s="74">
        <f t="shared" si="182"/>
        <v>76528.835443012038</v>
      </c>
    </row>
    <row r="1005" spans="1:16" x14ac:dyDescent="0.3">
      <c r="A1005" s="72">
        <f t="shared" si="169"/>
        <v>348</v>
      </c>
      <c r="B1005" s="74">
        <f t="shared" si="170"/>
        <v>-23492.382912588491</v>
      </c>
      <c r="C1005" s="74">
        <f t="shared" si="171"/>
        <v>35521.173548301944</v>
      </c>
      <c r="D1005" s="74">
        <f t="shared" si="172"/>
        <v>-3303.9731912255825</v>
      </c>
      <c r="E1005" s="74">
        <f t="shared" si="173"/>
        <v>-8263.563116633246</v>
      </c>
      <c r="F1005" s="74">
        <f t="shared" si="167"/>
        <v>3247.8916250996367</v>
      </c>
      <c r="G1005" s="74">
        <f t="shared" si="168"/>
        <v>-7252.6042869912599</v>
      </c>
      <c r="H1005" s="74">
        <f t="shared" si="174"/>
        <v>43492.382912588495</v>
      </c>
      <c r="I1005" s="74">
        <f t="shared" si="175"/>
        <v>-15521.173548301944</v>
      </c>
      <c r="J1005" s="74">
        <f t="shared" si="176"/>
        <v>46178.936754019443</v>
      </c>
      <c r="K1005" s="74">
        <f t="shared" si="177"/>
        <v>3492.3829125884913</v>
      </c>
      <c r="L1005" s="74">
        <f t="shared" si="178"/>
        <v>-15521.173548301944</v>
      </c>
      <c r="M1005" s="74">
        <f t="shared" si="179"/>
        <v>15909.228979578113</v>
      </c>
      <c r="N1005" s="74">
        <f t="shared" si="180"/>
        <v>18492.382912588491</v>
      </c>
      <c r="O1005" s="74">
        <f t="shared" si="181"/>
        <v>-70521.173548301944</v>
      </c>
      <c r="P1005" s="74">
        <f t="shared" si="182"/>
        <v>72905.446603223798</v>
      </c>
    </row>
    <row r="1006" spans="1:16" x14ac:dyDescent="0.3">
      <c r="A1006" s="72">
        <f t="shared" si="169"/>
        <v>348.5</v>
      </c>
      <c r="B1006" s="74">
        <f t="shared" si="170"/>
        <v>-24332.396601926372</v>
      </c>
      <c r="C1006" s="74">
        <f t="shared" si="171"/>
        <v>29576.240918237505</v>
      </c>
      <c r="D1006" s="74">
        <f t="shared" si="172"/>
        <v>-1680.0273786757641</v>
      </c>
      <c r="E1006" s="74">
        <f t="shared" si="173"/>
        <v>-11889.865260128876</v>
      </c>
      <c r="F1006" s="74">
        <f t="shared" si="167"/>
        <v>6141.2095359341984</v>
      </c>
      <c r="G1006" s="74">
        <f t="shared" si="168"/>
        <v>-10166.794158046911</v>
      </c>
      <c r="H1006" s="74">
        <f t="shared" si="174"/>
        <v>44332.396601926375</v>
      </c>
      <c r="I1006" s="74">
        <f t="shared" si="175"/>
        <v>-9576.240918237505</v>
      </c>
      <c r="J1006" s="74">
        <f t="shared" si="176"/>
        <v>45354.887042022492</v>
      </c>
      <c r="K1006" s="74">
        <f t="shared" si="177"/>
        <v>4332.3966019263717</v>
      </c>
      <c r="L1006" s="74">
        <f t="shared" si="178"/>
        <v>-9576.240918237505</v>
      </c>
      <c r="M1006" s="74">
        <f t="shared" si="179"/>
        <v>10510.663653666663</v>
      </c>
      <c r="N1006" s="74">
        <f t="shared" si="180"/>
        <v>19332.396601926372</v>
      </c>
      <c r="O1006" s="74">
        <f t="shared" si="181"/>
        <v>-64576.240918237505</v>
      </c>
      <c r="P1006" s="74">
        <f t="shared" si="182"/>
        <v>67407.955387360809</v>
      </c>
    </row>
    <row r="1007" spans="1:16" x14ac:dyDescent="0.3">
      <c r="A1007" s="72">
        <f t="shared" si="169"/>
        <v>349</v>
      </c>
      <c r="B1007" s="74">
        <f t="shared" si="170"/>
        <v>-23637.107907280704</v>
      </c>
      <c r="C1007" s="74">
        <f t="shared" si="171"/>
        <v>21089.60974866134</v>
      </c>
      <c r="D1007" s="74">
        <f t="shared" si="172"/>
        <v>1390.5773892913351</v>
      </c>
      <c r="E1007" s="74">
        <f t="shared" si="173"/>
        <v>-16973.26233915233</v>
      </c>
      <c r="F1007" s="74">
        <f t="shared" si="167"/>
        <v>13631.163360914688</v>
      </c>
      <c r="G1007" s="74">
        <f t="shared" si="168"/>
        <v>-4506.8510369188516</v>
      </c>
      <c r="H1007" s="74">
        <f t="shared" si="174"/>
        <v>43637.107907280704</v>
      </c>
      <c r="I1007" s="74">
        <f t="shared" si="175"/>
        <v>-1089.6097486613398</v>
      </c>
      <c r="J1007" s="74">
        <f t="shared" si="176"/>
        <v>43650.709454899334</v>
      </c>
      <c r="K1007" s="74">
        <f t="shared" si="177"/>
        <v>3637.1079072807042</v>
      </c>
      <c r="L1007" s="74">
        <f t="shared" si="178"/>
        <v>-1089.6097486613398</v>
      </c>
      <c r="M1007" s="74">
        <f t="shared" si="179"/>
        <v>3796.8148932469239</v>
      </c>
      <c r="N1007" s="74">
        <f t="shared" si="180"/>
        <v>18637.107907280704</v>
      </c>
      <c r="O1007" s="74">
        <f t="shared" si="181"/>
        <v>-56089.609748661343</v>
      </c>
      <c r="P1007" s="74">
        <f t="shared" si="182"/>
        <v>59104.873850679614</v>
      </c>
    </row>
    <row r="1008" spans="1:16" x14ac:dyDescent="0.3">
      <c r="A1008" s="72">
        <f t="shared" si="169"/>
        <v>349.5</v>
      </c>
      <c r="B1008" s="74">
        <f t="shared" si="170"/>
        <v>-19534.028372406363</v>
      </c>
      <c r="C1008" s="74">
        <f t="shared" si="171"/>
        <v>11476.265819855462</v>
      </c>
      <c r="D1008" s="74">
        <f t="shared" si="172"/>
        <v>8206.159069748679</v>
      </c>
      <c r="E1008" s="74">
        <f t="shared" si="173"/>
        <v>-19226.687857611756</v>
      </c>
      <c r="F1008" s="74">
        <f t="shared" si="167"/>
        <v>2161.7355807848812</v>
      </c>
      <c r="G1008" s="74">
        <f t="shared" si="168"/>
        <v>10325.304427542815</v>
      </c>
      <c r="H1008" s="74">
        <f t="shared" si="174"/>
        <v>39534.028372406363</v>
      </c>
      <c r="I1008" s="74">
        <f t="shared" si="175"/>
        <v>8523.7341801445382</v>
      </c>
      <c r="J1008" s="74">
        <f t="shared" si="176"/>
        <v>40442.470791532949</v>
      </c>
      <c r="K1008" s="74">
        <f t="shared" si="177"/>
        <v>-465.97162759363709</v>
      </c>
      <c r="L1008" s="74">
        <f t="shared" si="178"/>
        <v>8523.7341801445382</v>
      </c>
      <c r="M1008" s="74">
        <f t="shared" si="179"/>
        <v>8536.461440871537</v>
      </c>
      <c r="N1008" s="74">
        <f t="shared" si="180"/>
        <v>14534.028372406363</v>
      </c>
      <c r="O1008" s="74">
        <f t="shared" si="181"/>
        <v>-46476.265819855464</v>
      </c>
      <c r="P1008" s="74">
        <f t="shared" si="182"/>
        <v>48695.803364230254</v>
      </c>
    </row>
    <row r="1009" spans="1:16" x14ac:dyDescent="0.3">
      <c r="A1009" s="72">
        <f t="shared" si="169"/>
        <v>350</v>
      </c>
      <c r="B1009" s="74">
        <f t="shared" si="170"/>
        <v>-14890.514942335803</v>
      </c>
      <c r="C1009" s="74">
        <f t="shared" si="171"/>
        <v>4444.2479979352875</v>
      </c>
      <c r="D1009" s="74">
        <f t="shared" si="172"/>
        <v>9287.026860141119</v>
      </c>
      <c r="E1009" s="74">
        <f t="shared" si="173"/>
        <v>-14064.035643840349</v>
      </c>
      <c r="F1009" s="74">
        <f t="shared" si="167"/>
        <v>1126.9003916147819</v>
      </c>
      <c r="G1009" s="74">
        <f t="shared" si="168"/>
        <v>4321.1428835600091</v>
      </c>
      <c r="H1009" s="74">
        <f t="shared" si="174"/>
        <v>34890.514942335802</v>
      </c>
      <c r="I1009" s="74">
        <f t="shared" si="175"/>
        <v>15555.752002064713</v>
      </c>
      <c r="J1009" s="74">
        <f t="shared" si="176"/>
        <v>38201.170836652353</v>
      </c>
      <c r="K1009" s="74">
        <f t="shared" si="177"/>
        <v>-5109.4850576641966</v>
      </c>
      <c r="L1009" s="74">
        <f t="shared" si="178"/>
        <v>15555.752002064713</v>
      </c>
      <c r="M1009" s="74">
        <f t="shared" si="179"/>
        <v>16373.400926632012</v>
      </c>
      <c r="N1009" s="74">
        <f t="shared" si="180"/>
        <v>9890.5149423358034</v>
      </c>
      <c r="O1009" s="74">
        <f t="shared" si="181"/>
        <v>-39444.247997935287</v>
      </c>
      <c r="P1009" s="74">
        <f t="shared" si="182"/>
        <v>40665.353631158672</v>
      </c>
    </row>
    <row r="1010" spans="1:16" x14ac:dyDescent="0.3">
      <c r="A1010" s="72">
        <f t="shared" si="169"/>
        <v>350.5</v>
      </c>
      <c r="B1010" s="74">
        <f t="shared" si="170"/>
        <v>-9965.2764143615477</v>
      </c>
      <c r="C1010" s="74">
        <f t="shared" si="171"/>
        <v>-1507.4841030948846</v>
      </c>
      <c r="D1010" s="74">
        <f t="shared" si="172"/>
        <v>9850.4770559485096</v>
      </c>
      <c r="E1010" s="74">
        <f t="shared" si="173"/>
        <v>-11903.464202060344</v>
      </c>
      <c r="F1010" s="74">
        <f t="shared" si="167"/>
        <v>1351.6114180378243</v>
      </c>
      <c r="G1010" s="74">
        <f t="shared" si="168"/>
        <v>1361.96309333008</v>
      </c>
      <c r="H1010" s="74">
        <f t="shared" si="174"/>
        <v>29965.27641436155</v>
      </c>
      <c r="I1010" s="74">
        <f t="shared" si="175"/>
        <v>21507.484103094885</v>
      </c>
      <c r="J1010" s="74">
        <f t="shared" si="176"/>
        <v>36884.816158332302</v>
      </c>
      <c r="K1010" s="74">
        <f t="shared" si="177"/>
        <v>-10034.723585638452</v>
      </c>
      <c r="L1010" s="74">
        <f t="shared" si="178"/>
        <v>21507.484103094885</v>
      </c>
      <c r="M1010" s="74">
        <f t="shared" si="179"/>
        <v>23733.25830738476</v>
      </c>
      <c r="N1010" s="74">
        <f t="shared" si="180"/>
        <v>4965.2764143615477</v>
      </c>
      <c r="O1010" s="74">
        <f t="shared" si="181"/>
        <v>-33492.515896905112</v>
      </c>
      <c r="P1010" s="74">
        <f t="shared" si="182"/>
        <v>33858.56746785748</v>
      </c>
    </row>
    <row r="1011" spans="1:16" x14ac:dyDescent="0.3">
      <c r="A1011" s="72">
        <f t="shared" si="169"/>
        <v>351</v>
      </c>
      <c r="B1011" s="74">
        <f t="shared" si="170"/>
        <v>-4702.1350318778368</v>
      </c>
      <c r="C1011" s="74">
        <f t="shared" si="171"/>
        <v>-7118.7254307925368</v>
      </c>
      <c r="D1011" s="74">
        <f t="shared" si="172"/>
        <v>10526.282764967422</v>
      </c>
      <c r="E1011" s="74">
        <f t="shared" si="173"/>
        <v>-11222.482655395304</v>
      </c>
      <c r="F1011" s="74">
        <f t="shared" si="167"/>
        <v>846.98389410597952</v>
      </c>
      <c r="G1011" s="74">
        <f t="shared" si="168"/>
        <v>-675.96912865908098</v>
      </c>
      <c r="H1011" s="74">
        <f t="shared" si="174"/>
        <v>24702.135031877835</v>
      </c>
      <c r="I1011" s="74">
        <f t="shared" si="175"/>
        <v>27118.725430792536</v>
      </c>
      <c r="J1011" s="74">
        <f t="shared" si="176"/>
        <v>36682.703609791904</v>
      </c>
      <c r="K1011" s="74">
        <f t="shared" si="177"/>
        <v>-15297.864968122163</v>
      </c>
      <c r="L1011" s="74">
        <f t="shared" si="178"/>
        <v>27118.725430792536</v>
      </c>
      <c r="M1011" s="74">
        <f t="shared" si="179"/>
        <v>31135.991096697293</v>
      </c>
      <c r="N1011" s="74">
        <f t="shared" si="180"/>
        <v>-297.86496812216319</v>
      </c>
      <c r="O1011" s="74">
        <f t="shared" si="181"/>
        <v>-27881.274569207464</v>
      </c>
      <c r="P1011" s="74">
        <f t="shared" si="182"/>
        <v>27882.865619278971</v>
      </c>
    </row>
    <row r="1012" spans="1:16" x14ac:dyDescent="0.3">
      <c r="A1012" s="72">
        <f t="shared" si="169"/>
        <v>351.5</v>
      </c>
      <c r="B1012" s="74">
        <f t="shared" si="170"/>
        <v>772.75232413236904</v>
      </c>
      <c r="C1012" s="74">
        <f t="shared" si="171"/>
        <v>-12898.95904065496</v>
      </c>
      <c r="D1012" s="74">
        <f t="shared" si="172"/>
        <v>10949.774712020411</v>
      </c>
      <c r="E1012" s="74">
        <f t="shared" si="173"/>
        <v>-11560.467219724846</v>
      </c>
      <c r="F1012" s="74">
        <f t="shared" si="167"/>
        <v>-953.20708062736844</v>
      </c>
      <c r="G1012" s="74">
        <f t="shared" si="168"/>
        <v>-2591.3963242422151</v>
      </c>
      <c r="H1012" s="74">
        <f t="shared" si="174"/>
        <v>19227.247675867631</v>
      </c>
      <c r="I1012" s="74">
        <f t="shared" si="175"/>
        <v>32898.959040654961</v>
      </c>
      <c r="J1012" s="74">
        <f t="shared" si="176"/>
        <v>38105.492506302158</v>
      </c>
      <c r="K1012" s="74">
        <f t="shared" si="177"/>
        <v>-20772.752324132369</v>
      </c>
      <c r="L1012" s="74">
        <f t="shared" si="178"/>
        <v>32898.959040654961</v>
      </c>
      <c r="M1012" s="74">
        <f t="shared" si="179"/>
        <v>38908.209224769511</v>
      </c>
      <c r="N1012" s="74">
        <f t="shared" si="180"/>
        <v>-5772.7523241323688</v>
      </c>
      <c r="O1012" s="74">
        <f t="shared" si="181"/>
        <v>-22101.040959345039</v>
      </c>
      <c r="P1012" s="74">
        <f t="shared" si="182"/>
        <v>22842.519144840895</v>
      </c>
    </row>
    <row r="1013" spans="1:16" x14ac:dyDescent="0.3">
      <c r="A1013" s="72">
        <f t="shared" si="169"/>
        <v>352</v>
      </c>
      <c r="B1013" s="74">
        <f t="shared" si="170"/>
        <v>6009.337909985732</v>
      </c>
      <c r="C1013" s="74">
        <f t="shared" si="171"/>
        <v>-19327.041731577938</v>
      </c>
      <c r="D1013" s="74">
        <f t="shared" si="172"/>
        <v>10473.171171706726</v>
      </c>
      <c r="E1013" s="74">
        <f t="shared" si="173"/>
        <v>-12856.165381845953</v>
      </c>
      <c r="F1013" s="74">
        <f t="shared" si="167"/>
        <v>-4340.7099910206261</v>
      </c>
      <c r="G1013" s="74">
        <f t="shared" si="168"/>
        <v>-3654.182780471212</v>
      </c>
      <c r="H1013" s="74">
        <f t="shared" si="174"/>
        <v>13990.662090014268</v>
      </c>
      <c r="I1013" s="74">
        <f t="shared" si="175"/>
        <v>39327.041731577934</v>
      </c>
      <c r="J1013" s="74">
        <f t="shared" si="176"/>
        <v>41741.524134538195</v>
      </c>
      <c r="K1013" s="74">
        <f t="shared" si="177"/>
        <v>-26009.337909985734</v>
      </c>
      <c r="L1013" s="74">
        <f t="shared" si="178"/>
        <v>39327.041731577934</v>
      </c>
      <c r="M1013" s="74">
        <f t="shared" si="179"/>
        <v>47149.781228263339</v>
      </c>
      <c r="N1013" s="74">
        <f t="shared" si="180"/>
        <v>-11009.337909985732</v>
      </c>
      <c r="O1013" s="74">
        <f t="shared" si="181"/>
        <v>-15672.958268422062</v>
      </c>
      <c r="P1013" s="74">
        <f t="shared" si="182"/>
        <v>19153.25408644569</v>
      </c>
    </row>
    <row r="1014" spans="1:16" x14ac:dyDescent="0.3">
      <c r="A1014" s="72">
        <f t="shared" si="169"/>
        <v>352.5</v>
      </c>
      <c r="B1014" s="74">
        <f t="shared" si="170"/>
        <v>10160.745998083939</v>
      </c>
      <c r="C1014" s="74">
        <f t="shared" si="171"/>
        <v>-26668.670117618716</v>
      </c>
      <c r="D1014" s="74">
        <f t="shared" si="172"/>
        <v>8302.8161761964129</v>
      </c>
      <c r="E1014" s="74">
        <f t="shared" si="173"/>
        <v>-14683.256772081559</v>
      </c>
      <c r="F1014" s="74">
        <f t="shared" ref="F1014:F1077" si="183">$C$23*(H1014/(J1014^2+$C$24^2)^1.5)+$C$32*(K1014/(M1014^2+$C$33^2)^1.5)+C$41*(N1014/(P1014^2+$C$42^2)^1.5)</f>
        <v>-7969.7042642385086</v>
      </c>
      <c r="G1014" s="74">
        <f t="shared" ref="G1014:G1077" si="184">$C$23*(I1014/(J1014^2+$C$24^2)^1.5)+$C$32*(L1014/(M1014^2+$C$33^2)^1.5)+C$41*(O1014/(P1014^2+$C$42^2)^1.5)</f>
        <v>-2119.5309791388086</v>
      </c>
      <c r="H1014" s="74">
        <f t="shared" si="174"/>
        <v>9839.2540019160606</v>
      </c>
      <c r="I1014" s="74">
        <f t="shared" si="175"/>
        <v>46668.67011761872</v>
      </c>
      <c r="J1014" s="74">
        <f t="shared" si="176"/>
        <v>47694.608603712644</v>
      </c>
      <c r="K1014" s="74">
        <f t="shared" si="177"/>
        <v>-30160.745998083941</v>
      </c>
      <c r="L1014" s="74">
        <f t="shared" si="178"/>
        <v>46668.67011761872</v>
      </c>
      <c r="M1014" s="74">
        <f t="shared" si="179"/>
        <v>55566.495028101737</v>
      </c>
      <c r="N1014" s="74">
        <f t="shared" si="180"/>
        <v>-15160.745998083939</v>
      </c>
      <c r="O1014" s="74">
        <f t="shared" si="181"/>
        <v>-8331.3298823812838</v>
      </c>
      <c r="P1014" s="74">
        <f t="shared" si="182"/>
        <v>17299.112024247879</v>
      </c>
    </row>
    <row r="1015" spans="1:16" x14ac:dyDescent="0.3">
      <c r="A1015" s="72">
        <f t="shared" ref="A1015:A1078" si="185">A1014+$C$5</f>
        <v>353</v>
      </c>
      <c r="B1015" s="74">
        <f t="shared" ref="B1015:B1078" si="186">B1014+D1014*(A1015-A1014)+F1014*(A1015-A1014)^2</f>
        <v>12319.728020122519</v>
      </c>
      <c r="C1015" s="74">
        <f t="shared" ref="C1015:C1078" si="187">C1014+E1014*(A1015-A1014)+G1014*(A1015-A1014)^2</f>
        <v>-34540.181248444198</v>
      </c>
      <c r="D1015" s="74">
        <f t="shared" ref="D1015:D1078" si="188">D1014+F1014*(A1015-A1014)</f>
        <v>4317.9640440771582</v>
      </c>
      <c r="E1015" s="74">
        <f t="shared" ref="E1015:E1078" si="189">E1014+G1014*(A1015-A1014)</f>
        <v>-15743.022261650964</v>
      </c>
      <c r="F1015" s="74">
        <f t="shared" si="183"/>
        <v>-9144.5818424177578</v>
      </c>
      <c r="G1015" s="74">
        <f t="shared" si="184"/>
        <v>1510.0872954507363</v>
      </c>
      <c r="H1015" s="74">
        <f t="shared" ref="H1015:H1078" si="190">$C$19-B1015</f>
        <v>7680.2719798774815</v>
      </c>
      <c r="I1015" s="74">
        <f t="shared" ref="I1015:I1078" si="191">$D$19-C1015</f>
        <v>54540.181248444198</v>
      </c>
      <c r="J1015" s="74">
        <f t="shared" ref="J1015:J1078" si="192">SQRT(H1015^2+I1015^2)</f>
        <v>55078.28926444643</v>
      </c>
      <c r="K1015" s="74">
        <f t="shared" ref="K1015:K1078" si="193">$C$28-B1015</f>
        <v>-32319.728020122519</v>
      </c>
      <c r="L1015" s="74">
        <f t="shared" ref="L1015:L1078" si="194">$D$28-C1015</f>
        <v>54540.181248444198</v>
      </c>
      <c r="M1015" s="74">
        <f t="shared" ref="M1015:M1078" si="195">SQRT(K1015^2+L1015^2)</f>
        <v>63397.130770310388</v>
      </c>
      <c r="N1015" s="74">
        <f t="shared" ref="N1015:N1078" si="196">$C$37-B1015</f>
        <v>-17319.728020122519</v>
      </c>
      <c r="O1015" s="74">
        <f t="shared" ref="O1015:O1078" si="197">$D$37-C1015</f>
        <v>-459.81875155580201</v>
      </c>
      <c r="P1015" s="74">
        <f t="shared" ref="P1015:P1078" si="198">SQRT(N1015^2+O1015^2)</f>
        <v>17325.83077301921</v>
      </c>
    </row>
    <row r="1016" spans="1:16" x14ac:dyDescent="0.3">
      <c r="A1016" s="72">
        <f t="shared" si="185"/>
        <v>353.5</v>
      </c>
      <c r="B1016" s="74">
        <f t="shared" si="186"/>
        <v>12192.564581556659</v>
      </c>
      <c r="C1016" s="74">
        <f t="shared" si="187"/>
        <v>-42034.170555406992</v>
      </c>
      <c r="D1016" s="74">
        <f t="shared" si="188"/>
        <v>-254.32687713172072</v>
      </c>
      <c r="E1016" s="74">
        <f t="shared" si="189"/>
        <v>-14987.978613925596</v>
      </c>
      <c r="F1016" s="74">
        <f t="shared" si="183"/>
        <v>-7739.51075191992</v>
      </c>
      <c r="G1016" s="74">
        <f t="shared" si="184"/>
        <v>4543.896121644786</v>
      </c>
      <c r="H1016" s="74">
        <f t="shared" si="190"/>
        <v>7807.4354184433414</v>
      </c>
      <c r="I1016" s="74">
        <f t="shared" si="191"/>
        <v>62034.170555406992</v>
      </c>
      <c r="J1016" s="74">
        <f t="shared" si="192"/>
        <v>62523.550477483986</v>
      </c>
      <c r="K1016" s="74">
        <f t="shared" si="193"/>
        <v>-32192.56458155666</v>
      </c>
      <c r="L1016" s="74">
        <f t="shared" si="194"/>
        <v>62034.170555406992</v>
      </c>
      <c r="M1016" s="74">
        <f t="shared" si="195"/>
        <v>69889.910078887784</v>
      </c>
      <c r="N1016" s="74">
        <f t="shared" si="196"/>
        <v>-17192.56458155666</v>
      </c>
      <c r="O1016" s="74">
        <f t="shared" si="197"/>
        <v>7034.1705554069922</v>
      </c>
      <c r="P1016" s="74">
        <f t="shared" si="198"/>
        <v>18575.893849114</v>
      </c>
    </row>
    <row r="1017" spans="1:16" x14ac:dyDescent="0.3">
      <c r="A1017" s="72">
        <f t="shared" si="185"/>
        <v>354</v>
      </c>
      <c r="B1017" s="74">
        <f t="shared" si="186"/>
        <v>10130.523455010818</v>
      </c>
      <c r="C1017" s="74">
        <f t="shared" si="187"/>
        <v>-48392.185831958595</v>
      </c>
      <c r="D1017" s="74">
        <f t="shared" si="188"/>
        <v>-4124.0822530916812</v>
      </c>
      <c r="E1017" s="74">
        <f t="shared" si="189"/>
        <v>-12716.030553103203</v>
      </c>
      <c r="F1017" s="74">
        <f t="shared" si="183"/>
        <v>-5561.4693544045613</v>
      </c>
      <c r="G1017" s="74">
        <f t="shared" si="184"/>
        <v>6082.4378287376912</v>
      </c>
      <c r="H1017" s="74">
        <f t="shared" si="190"/>
        <v>9869.476544989182</v>
      </c>
      <c r="I1017" s="74">
        <f t="shared" si="191"/>
        <v>68392.185831958603</v>
      </c>
      <c r="J1017" s="74">
        <f t="shared" si="192"/>
        <v>69100.634223900226</v>
      </c>
      <c r="K1017" s="74">
        <f t="shared" si="193"/>
        <v>-30130.523455010818</v>
      </c>
      <c r="L1017" s="74">
        <f t="shared" si="194"/>
        <v>68392.185831958603</v>
      </c>
      <c r="M1017" s="74">
        <f t="shared" si="195"/>
        <v>74735.129133133349</v>
      </c>
      <c r="N1017" s="74">
        <f t="shared" si="196"/>
        <v>-15130.523455010818</v>
      </c>
      <c r="O1017" s="74">
        <f t="shared" si="197"/>
        <v>13392.185831958595</v>
      </c>
      <c r="P1017" s="74">
        <f t="shared" si="198"/>
        <v>20206.023393541469</v>
      </c>
    </row>
    <row r="1018" spans="1:16" x14ac:dyDescent="0.3">
      <c r="A1018" s="72">
        <f t="shared" si="185"/>
        <v>354.5</v>
      </c>
      <c r="B1018" s="74">
        <f t="shared" si="186"/>
        <v>6678.1149898638369</v>
      </c>
      <c r="C1018" s="74">
        <f t="shared" si="187"/>
        <v>-53229.591651325776</v>
      </c>
      <c r="D1018" s="74">
        <f t="shared" si="188"/>
        <v>-6904.8169302939623</v>
      </c>
      <c r="E1018" s="74">
        <f t="shared" si="189"/>
        <v>-9674.811638734358</v>
      </c>
      <c r="F1018" s="74">
        <f t="shared" si="183"/>
        <v>-3594.1818761456343</v>
      </c>
      <c r="G1018" s="74">
        <f t="shared" si="184"/>
        <v>6681.228522332116</v>
      </c>
      <c r="H1018" s="74">
        <f t="shared" si="190"/>
        <v>13321.885010136164</v>
      </c>
      <c r="I1018" s="74">
        <f t="shared" si="191"/>
        <v>73229.591651325783</v>
      </c>
      <c r="J1018" s="74">
        <f t="shared" si="192"/>
        <v>74431.483349743969</v>
      </c>
      <c r="K1018" s="74">
        <f t="shared" si="193"/>
        <v>-26678.114989863836</v>
      </c>
      <c r="L1018" s="74">
        <f t="shared" si="194"/>
        <v>73229.591651325783</v>
      </c>
      <c r="M1018" s="74">
        <f t="shared" si="195"/>
        <v>77937.763073059265</v>
      </c>
      <c r="N1018" s="74">
        <f t="shared" si="196"/>
        <v>-11678.114989863836</v>
      </c>
      <c r="O1018" s="74">
        <f t="shared" si="197"/>
        <v>18229.591651325776</v>
      </c>
      <c r="P1018" s="74">
        <f t="shared" si="198"/>
        <v>21649.396792764663</v>
      </c>
    </row>
    <row r="1019" spans="1:16" x14ac:dyDescent="0.3">
      <c r="A1019" s="72">
        <f t="shared" si="185"/>
        <v>355</v>
      </c>
      <c r="B1019" s="74">
        <f t="shared" si="186"/>
        <v>2327.1610556804471</v>
      </c>
      <c r="C1019" s="74">
        <f t="shared" si="187"/>
        <v>-56396.690340109926</v>
      </c>
      <c r="D1019" s="74">
        <f t="shared" si="188"/>
        <v>-8701.9078683667794</v>
      </c>
      <c r="E1019" s="74">
        <f t="shared" si="189"/>
        <v>-6334.1973775683</v>
      </c>
      <c r="F1019" s="74">
        <f t="shared" si="183"/>
        <v>-1973.3427789530751</v>
      </c>
      <c r="G1019" s="74">
        <f t="shared" si="184"/>
        <v>6894.9254522733509</v>
      </c>
      <c r="H1019" s="74">
        <f t="shared" si="190"/>
        <v>17672.838944319552</v>
      </c>
      <c r="I1019" s="74">
        <f t="shared" si="191"/>
        <v>76396.690340109926</v>
      </c>
      <c r="J1019" s="74">
        <f t="shared" si="192"/>
        <v>78414.179401907299</v>
      </c>
      <c r="K1019" s="74">
        <f t="shared" si="193"/>
        <v>-22327.161055680448</v>
      </c>
      <c r="L1019" s="74">
        <f t="shared" si="194"/>
        <v>76396.690340109926</v>
      </c>
      <c r="M1019" s="74">
        <f t="shared" si="195"/>
        <v>79592.439438233952</v>
      </c>
      <c r="N1019" s="74">
        <f t="shared" si="196"/>
        <v>-7327.1610556804471</v>
      </c>
      <c r="O1019" s="74">
        <f t="shared" si="197"/>
        <v>21396.690340109926</v>
      </c>
      <c r="P1019" s="74">
        <f t="shared" si="198"/>
        <v>22616.490590859441</v>
      </c>
    </row>
    <row r="1020" spans="1:16" x14ac:dyDescent="0.3">
      <c r="A1020" s="72">
        <f t="shared" si="185"/>
        <v>355.5</v>
      </c>
      <c r="B1020" s="74">
        <f t="shared" si="186"/>
        <v>-2517.1285732412116</v>
      </c>
      <c r="C1020" s="74">
        <f t="shared" si="187"/>
        <v>-57840.057665825741</v>
      </c>
      <c r="D1020" s="74">
        <f t="shared" si="188"/>
        <v>-9688.5792578433175</v>
      </c>
      <c r="E1020" s="74">
        <f t="shared" si="189"/>
        <v>-2886.7346514316246</v>
      </c>
      <c r="F1020" s="74">
        <f t="shared" si="183"/>
        <v>-560.55809947938803</v>
      </c>
      <c r="G1020" s="74">
        <f t="shared" si="184"/>
        <v>7004.5783337736902</v>
      </c>
      <c r="H1020" s="74">
        <f t="shared" si="190"/>
        <v>22517.128573241211</v>
      </c>
      <c r="I1020" s="74">
        <f t="shared" si="191"/>
        <v>77840.057665825734</v>
      </c>
      <c r="J1020" s="74">
        <f t="shared" si="192"/>
        <v>81031.448565374623</v>
      </c>
      <c r="K1020" s="74">
        <f t="shared" si="193"/>
        <v>-17482.871426758789</v>
      </c>
      <c r="L1020" s="74">
        <f t="shared" si="194"/>
        <v>77840.057665825734</v>
      </c>
      <c r="M1020" s="74">
        <f t="shared" si="195"/>
        <v>79779.228943025359</v>
      </c>
      <c r="N1020" s="74">
        <f t="shared" si="196"/>
        <v>-2482.8714267587884</v>
      </c>
      <c r="O1020" s="74">
        <f t="shared" si="197"/>
        <v>22840.057665825741</v>
      </c>
      <c r="P1020" s="74">
        <f t="shared" si="198"/>
        <v>22974.613918411349</v>
      </c>
    </row>
    <row r="1021" spans="1:16" x14ac:dyDescent="0.3">
      <c r="A1021" s="72">
        <f t="shared" si="185"/>
        <v>356</v>
      </c>
      <c r="B1021" s="74">
        <f t="shared" si="186"/>
        <v>-7501.5577270327176</v>
      </c>
      <c r="C1021" s="74">
        <f t="shared" si="187"/>
        <v>-57532.280408098137</v>
      </c>
      <c r="D1021" s="74">
        <f t="shared" si="188"/>
        <v>-9968.858307583012</v>
      </c>
      <c r="E1021" s="74">
        <f t="shared" si="189"/>
        <v>615.55451545522055</v>
      </c>
      <c r="F1021" s="74">
        <f t="shared" si="183"/>
        <v>836.71291990571103</v>
      </c>
      <c r="G1021" s="74">
        <f t="shared" si="184"/>
        <v>7112.8209072069048</v>
      </c>
      <c r="H1021" s="74">
        <f t="shared" si="190"/>
        <v>27501.557727032719</v>
      </c>
      <c r="I1021" s="74">
        <f t="shared" si="191"/>
        <v>77532.28040809813</v>
      </c>
      <c r="J1021" s="74">
        <f t="shared" si="192"/>
        <v>82265.364417191216</v>
      </c>
      <c r="K1021" s="74">
        <f t="shared" si="193"/>
        <v>-12498.442272967282</v>
      </c>
      <c r="L1021" s="74">
        <f t="shared" si="194"/>
        <v>77532.28040809813</v>
      </c>
      <c r="M1021" s="74">
        <f t="shared" si="195"/>
        <v>78533.213130055054</v>
      </c>
      <c r="N1021" s="74">
        <f t="shared" si="196"/>
        <v>2501.5577270327176</v>
      </c>
      <c r="O1021" s="74">
        <f t="shared" si="197"/>
        <v>22532.280408098137</v>
      </c>
      <c r="P1021" s="74">
        <f t="shared" si="198"/>
        <v>22670.717929762177</v>
      </c>
    </row>
    <row r="1022" spans="1:16" x14ac:dyDescent="0.3">
      <c r="A1022" s="72">
        <f t="shared" si="185"/>
        <v>356.5</v>
      </c>
      <c r="B1022" s="74">
        <f t="shared" si="186"/>
        <v>-12276.808650847797</v>
      </c>
      <c r="C1022" s="74">
        <f t="shared" si="187"/>
        <v>-55446.297923568796</v>
      </c>
      <c r="D1022" s="74">
        <f t="shared" si="188"/>
        <v>-9550.5018476301557</v>
      </c>
      <c r="E1022" s="74">
        <f t="shared" si="189"/>
        <v>4171.964969058673</v>
      </c>
      <c r="F1022" s="74">
        <f t="shared" si="183"/>
        <v>2435.9129538156903</v>
      </c>
      <c r="G1022" s="74">
        <f t="shared" si="184"/>
        <v>7201.1274184310787</v>
      </c>
      <c r="H1022" s="74">
        <f t="shared" si="190"/>
        <v>32276.808650847797</v>
      </c>
      <c r="I1022" s="74">
        <f t="shared" si="191"/>
        <v>75446.297923568796</v>
      </c>
      <c r="J1022" s="74">
        <f t="shared" si="192"/>
        <v>82060.564506072857</v>
      </c>
      <c r="K1022" s="74">
        <f t="shared" si="193"/>
        <v>-7723.1913491522027</v>
      </c>
      <c r="L1022" s="74">
        <f t="shared" si="194"/>
        <v>75446.297923568796</v>
      </c>
      <c r="M1022" s="74">
        <f t="shared" si="195"/>
        <v>75840.566684245714</v>
      </c>
      <c r="N1022" s="74">
        <f t="shared" si="196"/>
        <v>7276.8086508477973</v>
      </c>
      <c r="O1022" s="74">
        <f t="shared" si="197"/>
        <v>20446.297923568796</v>
      </c>
      <c r="P1022" s="74">
        <f t="shared" si="198"/>
        <v>21702.604519282631</v>
      </c>
    </row>
    <row r="1023" spans="1:16" x14ac:dyDescent="0.3">
      <c r="A1023" s="72">
        <f t="shared" si="185"/>
        <v>357</v>
      </c>
      <c r="B1023" s="74">
        <f t="shared" si="186"/>
        <v>-16443.081336208954</v>
      </c>
      <c r="C1023" s="74">
        <f t="shared" si="187"/>
        <v>-51560.033584431694</v>
      </c>
      <c r="D1023" s="74">
        <f t="shared" si="188"/>
        <v>-8332.5453707223096</v>
      </c>
      <c r="E1023" s="74">
        <f t="shared" si="189"/>
        <v>7772.5286782742123</v>
      </c>
      <c r="F1023" s="74">
        <f t="shared" si="183"/>
        <v>4489.1499448185841</v>
      </c>
      <c r="G1023" s="74">
        <f t="shared" si="184"/>
        <v>7084.3401865935011</v>
      </c>
      <c r="H1023" s="74">
        <f t="shared" si="190"/>
        <v>36443.081336208954</v>
      </c>
      <c r="I1023" s="74">
        <f t="shared" si="191"/>
        <v>71560.033584431687</v>
      </c>
      <c r="J1023" s="74">
        <f t="shared" si="192"/>
        <v>80305.271208573424</v>
      </c>
      <c r="K1023" s="74">
        <f t="shared" si="193"/>
        <v>-3556.9186637910461</v>
      </c>
      <c r="L1023" s="74">
        <f t="shared" si="194"/>
        <v>71560.033584431687</v>
      </c>
      <c r="M1023" s="74">
        <f t="shared" si="195"/>
        <v>71648.37804853516</v>
      </c>
      <c r="N1023" s="74">
        <f t="shared" si="196"/>
        <v>11443.081336208954</v>
      </c>
      <c r="O1023" s="74">
        <f t="shared" si="197"/>
        <v>16560.033584431694</v>
      </c>
      <c r="P1023" s="74">
        <f t="shared" si="198"/>
        <v>20129.05419498391</v>
      </c>
    </row>
    <row r="1024" spans="1:16" x14ac:dyDescent="0.3">
      <c r="A1024" s="72">
        <f t="shared" si="185"/>
        <v>357.5</v>
      </c>
      <c r="B1024" s="74">
        <f t="shared" si="186"/>
        <v>-19487.066535365462</v>
      </c>
      <c r="C1024" s="74">
        <f t="shared" si="187"/>
        <v>-45902.68419864621</v>
      </c>
      <c r="D1024" s="74">
        <f t="shared" si="188"/>
        <v>-6087.9703983130175</v>
      </c>
      <c r="E1024" s="74">
        <f t="shared" si="189"/>
        <v>11314.698771570962</v>
      </c>
      <c r="F1024" s="74">
        <f t="shared" si="183"/>
        <v>7187.454084051722</v>
      </c>
      <c r="G1024" s="74">
        <f t="shared" si="184"/>
        <v>6220.9475151049028</v>
      </c>
      <c r="H1024" s="74">
        <f t="shared" si="190"/>
        <v>39487.066535365462</v>
      </c>
      <c r="I1024" s="74">
        <f t="shared" si="191"/>
        <v>65902.68419864621</v>
      </c>
      <c r="J1024" s="74">
        <f t="shared" si="192"/>
        <v>76827.027849285383</v>
      </c>
      <c r="K1024" s="74">
        <f t="shared" si="193"/>
        <v>-512.93346463453781</v>
      </c>
      <c r="L1024" s="74">
        <f t="shared" si="194"/>
        <v>65902.68419864621</v>
      </c>
      <c r="M1024" s="74">
        <f t="shared" si="195"/>
        <v>65904.680299092826</v>
      </c>
      <c r="N1024" s="74">
        <f t="shared" si="196"/>
        <v>14487.066535365462</v>
      </c>
      <c r="O1024" s="74">
        <f t="shared" si="197"/>
        <v>10902.68419864621</v>
      </c>
      <c r="P1024" s="74">
        <f t="shared" si="198"/>
        <v>18131.288413555048</v>
      </c>
    </row>
    <row r="1025" spans="1:16" x14ac:dyDescent="0.3">
      <c r="A1025" s="72">
        <f t="shared" si="185"/>
        <v>358</v>
      </c>
      <c r="B1025" s="74">
        <f t="shared" si="186"/>
        <v>-20734.188213509042</v>
      </c>
      <c r="C1025" s="74">
        <f t="shared" si="187"/>
        <v>-38690.097934084508</v>
      </c>
      <c r="D1025" s="74">
        <f t="shared" si="188"/>
        <v>-2494.2433562871565</v>
      </c>
      <c r="E1025" s="74">
        <f t="shared" si="189"/>
        <v>14425.172529123414</v>
      </c>
      <c r="F1025" s="74">
        <f t="shared" si="183"/>
        <v>10063.733277590612</v>
      </c>
      <c r="G1025" s="74">
        <f t="shared" si="184"/>
        <v>3512.2701955438401</v>
      </c>
      <c r="H1025" s="74">
        <f t="shared" si="190"/>
        <v>40734.188213509042</v>
      </c>
      <c r="I1025" s="74">
        <f t="shared" si="191"/>
        <v>58690.097934084508</v>
      </c>
      <c r="J1025" s="74">
        <f t="shared" si="192"/>
        <v>71440.896445425504</v>
      </c>
      <c r="K1025" s="74">
        <f t="shared" si="193"/>
        <v>734.18821350904182</v>
      </c>
      <c r="L1025" s="74">
        <f t="shared" si="194"/>
        <v>58690.097934084508</v>
      </c>
      <c r="M1025" s="74">
        <f t="shared" si="195"/>
        <v>58694.68994589959</v>
      </c>
      <c r="N1025" s="74">
        <f t="shared" si="196"/>
        <v>15734.188213509042</v>
      </c>
      <c r="O1025" s="74">
        <f t="shared" si="197"/>
        <v>3690.0979340845079</v>
      </c>
      <c r="P1025" s="74">
        <f t="shared" si="198"/>
        <v>16161.110775601459</v>
      </c>
    </row>
    <row r="1026" spans="1:16" x14ac:dyDescent="0.3">
      <c r="A1026" s="72">
        <f t="shared" si="185"/>
        <v>358.5</v>
      </c>
      <c r="B1026" s="74">
        <f t="shared" si="186"/>
        <v>-19465.376572254969</v>
      </c>
      <c r="C1026" s="74">
        <f t="shared" si="187"/>
        <v>-30599.444120636839</v>
      </c>
      <c r="D1026" s="74">
        <f t="shared" si="188"/>
        <v>2537.6232825081497</v>
      </c>
      <c r="E1026" s="74">
        <f t="shared" si="189"/>
        <v>16181.307626895334</v>
      </c>
      <c r="F1026" s="74">
        <f t="shared" si="183"/>
        <v>10766.658522360513</v>
      </c>
      <c r="G1026" s="74">
        <f t="shared" si="184"/>
        <v>-1513.5362689042011</v>
      </c>
      <c r="H1026" s="74">
        <f t="shared" si="190"/>
        <v>39465.376572254972</v>
      </c>
      <c r="I1026" s="74">
        <f t="shared" si="191"/>
        <v>50599.444120636836</v>
      </c>
      <c r="J1026" s="74">
        <f t="shared" si="192"/>
        <v>64170.239934936668</v>
      </c>
      <c r="K1026" s="74">
        <f t="shared" si="193"/>
        <v>-534.62342774503122</v>
      </c>
      <c r="L1026" s="74">
        <f t="shared" si="194"/>
        <v>50599.444120636836</v>
      </c>
      <c r="M1026" s="74">
        <f t="shared" si="195"/>
        <v>50602.268402977184</v>
      </c>
      <c r="N1026" s="74">
        <f t="shared" si="196"/>
        <v>14465.376572254969</v>
      </c>
      <c r="O1026" s="74">
        <f t="shared" si="197"/>
        <v>-4400.5558793631608</v>
      </c>
      <c r="P1026" s="74">
        <f t="shared" si="198"/>
        <v>15119.921012509973</v>
      </c>
    </row>
    <row r="1027" spans="1:16" x14ac:dyDescent="0.3">
      <c r="A1027" s="72">
        <f t="shared" si="185"/>
        <v>359</v>
      </c>
      <c r="B1027" s="74">
        <f t="shared" si="186"/>
        <v>-15504.900300410767</v>
      </c>
      <c r="C1027" s="74">
        <f t="shared" si="187"/>
        <v>-22887.174374415219</v>
      </c>
      <c r="D1027" s="74">
        <f t="shared" si="188"/>
        <v>7920.952543688406</v>
      </c>
      <c r="E1027" s="74">
        <f t="shared" si="189"/>
        <v>15424.539492443233</v>
      </c>
      <c r="F1027" s="74">
        <f t="shared" si="183"/>
        <v>7228.7935387568632</v>
      </c>
      <c r="G1027" s="74">
        <f t="shared" si="184"/>
        <v>-5436.9072807783796</v>
      </c>
      <c r="H1027" s="74">
        <f t="shared" si="190"/>
        <v>35504.900300410765</v>
      </c>
      <c r="I1027" s="74">
        <f t="shared" si="191"/>
        <v>42887.174374415219</v>
      </c>
      <c r="J1027" s="74">
        <f t="shared" si="192"/>
        <v>55676.814484699156</v>
      </c>
      <c r="K1027" s="74">
        <f t="shared" si="193"/>
        <v>-4495.0996995892328</v>
      </c>
      <c r="L1027" s="74">
        <f t="shared" si="194"/>
        <v>42887.174374415219</v>
      </c>
      <c r="M1027" s="74">
        <f t="shared" si="195"/>
        <v>43122.101608464596</v>
      </c>
      <c r="N1027" s="74">
        <f t="shared" si="196"/>
        <v>10504.900300410767</v>
      </c>
      <c r="O1027" s="74">
        <f t="shared" si="197"/>
        <v>-12112.825625584781</v>
      </c>
      <c r="P1027" s="74">
        <f t="shared" si="198"/>
        <v>16033.51099907296</v>
      </c>
    </row>
    <row r="1028" spans="1:16" x14ac:dyDescent="0.3">
      <c r="A1028" s="72">
        <f t="shared" si="185"/>
        <v>359.5</v>
      </c>
      <c r="B1028" s="74">
        <f t="shared" si="186"/>
        <v>-9737.2256438773475</v>
      </c>
      <c r="C1028" s="74">
        <f t="shared" si="187"/>
        <v>-16534.131448388198</v>
      </c>
      <c r="D1028" s="74">
        <f t="shared" si="188"/>
        <v>11535.349313066838</v>
      </c>
      <c r="E1028" s="74">
        <f t="shared" si="189"/>
        <v>12706.085852054042</v>
      </c>
      <c r="F1028" s="74">
        <f t="shared" si="183"/>
        <v>2727.0652729036601</v>
      </c>
      <c r="G1028" s="74">
        <f t="shared" si="184"/>
        <v>-5039.6566536895871</v>
      </c>
      <c r="H1028" s="74">
        <f t="shared" si="190"/>
        <v>29737.225643877347</v>
      </c>
      <c r="I1028" s="74">
        <f t="shared" si="191"/>
        <v>36534.131448388202</v>
      </c>
      <c r="J1028" s="74">
        <f t="shared" si="192"/>
        <v>47106.744205930685</v>
      </c>
      <c r="K1028" s="74">
        <f t="shared" si="193"/>
        <v>-10262.774356122653</v>
      </c>
      <c r="L1028" s="74">
        <f t="shared" si="194"/>
        <v>36534.131448388202</v>
      </c>
      <c r="M1028" s="74">
        <f t="shared" si="195"/>
        <v>37948.218642945503</v>
      </c>
      <c r="N1028" s="74">
        <f t="shared" si="196"/>
        <v>4737.2256438773475</v>
      </c>
      <c r="O1028" s="74">
        <f t="shared" si="197"/>
        <v>-18465.868551611802</v>
      </c>
      <c r="P1028" s="74">
        <f t="shared" si="198"/>
        <v>19063.829839945982</v>
      </c>
    </row>
    <row r="1029" spans="1:16" x14ac:dyDescent="0.3">
      <c r="A1029" s="72">
        <f t="shared" si="185"/>
        <v>360</v>
      </c>
      <c r="B1029" s="74">
        <f t="shared" si="186"/>
        <v>-3287.7846691180139</v>
      </c>
      <c r="C1029" s="74">
        <f t="shared" si="187"/>
        <v>-11441.002685783573</v>
      </c>
      <c r="D1029" s="74">
        <f t="shared" si="188"/>
        <v>12898.881949518667</v>
      </c>
      <c r="E1029" s="74">
        <f t="shared" si="189"/>
        <v>10186.257525209248</v>
      </c>
      <c r="F1029" s="74">
        <f t="shared" si="183"/>
        <v>318.74324047555479</v>
      </c>
      <c r="G1029" s="74">
        <f t="shared" si="184"/>
        <v>-2460.1913657284585</v>
      </c>
      <c r="H1029" s="74">
        <f t="shared" si="190"/>
        <v>23287.784669118013</v>
      </c>
      <c r="I1029" s="74">
        <f t="shared" si="191"/>
        <v>31441.002685783573</v>
      </c>
      <c r="J1029" s="74">
        <f t="shared" si="192"/>
        <v>39126.174930379508</v>
      </c>
      <c r="K1029" s="74">
        <f t="shared" si="193"/>
        <v>-16712.215330881987</v>
      </c>
      <c r="L1029" s="74">
        <f t="shared" si="194"/>
        <v>31441.002685783573</v>
      </c>
      <c r="M1029" s="74">
        <f t="shared" si="195"/>
        <v>35606.667790643041</v>
      </c>
      <c r="N1029" s="74">
        <f t="shared" si="196"/>
        <v>-1712.2153308819861</v>
      </c>
      <c r="O1029" s="74">
        <f t="shared" si="197"/>
        <v>-23558.997314216427</v>
      </c>
      <c r="P1029" s="74">
        <f t="shared" si="198"/>
        <v>23621.135362013491</v>
      </c>
    </row>
    <row r="1030" spans="1:16" x14ac:dyDescent="0.3">
      <c r="A1030" s="72">
        <f t="shared" si="185"/>
        <v>360.5</v>
      </c>
      <c r="B1030" s="74">
        <f t="shared" si="186"/>
        <v>3241.3421157602083</v>
      </c>
      <c r="C1030" s="74">
        <f t="shared" si="187"/>
        <v>-6962.9217646110628</v>
      </c>
      <c r="D1030" s="74">
        <f t="shared" si="188"/>
        <v>13058.253569756445</v>
      </c>
      <c r="E1030" s="74">
        <f t="shared" si="189"/>
        <v>8956.16184234502</v>
      </c>
      <c r="F1030" s="74">
        <f t="shared" si="183"/>
        <v>-294.13426945458195</v>
      </c>
      <c r="G1030" s="74">
        <f t="shared" si="184"/>
        <v>267.87955950379592</v>
      </c>
      <c r="H1030" s="74">
        <f t="shared" si="190"/>
        <v>16758.65788423979</v>
      </c>
      <c r="I1030" s="74">
        <f t="shared" si="191"/>
        <v>26962.921764611063</v>
      </c>
      <c r="J1030" s="74">
        <f t="shared" si="192"/>
        <v>31746.681151980742</v>
      </c>
      <c r="K1030" s="74">
        <f t="shared" si="193"/>
        <v>-23241.34211576021</v>
      </c>
      <c r="L1030" s="74">
        <f t="shared" si="194"/>
        <v>26962.921764611063</v>
      </c>
      <c r="M1030" s="74">
        <f t="shared" si="195"/>
        <v>35597.178728465915</v>
      </c>
      <c r="N1030" s="74">
        <f t="shared" si="196"/>
        <v>-8241.3421157602079</v>
      </c>
      <c r="O1030" s="74">
        <f t="shared" si="197"/>
        <v>-28037.078235388937</v>
      </c>
      <c r="P1030" s="74">
        <f t="shared" si="198"/>
        <v>29223.23520499267</v>
      </c>
    </row>
    <row r="1031" spans="1:16" x14ac:dyDescent="0.3">
      <c r="A1031" s="72">
        <f t="shared" si="185"/>
        <v>361</v>
      </c>
      <c r="B1031" s="74">
        <f t="shared" si="186"/>
        <v>9696.9353332747851</v>
      </c>
      <c r="C1031" s="74">
        <f t="shared" si="187"/>
        <v>-2417.870953562604</v>
      </c>
      <c r="D1031" s="74">
        <f t="shared" si="188"/>
        <v>12911.186435029154</v>
      </c>
      <c r="E1031" s="74">
        <f t="shared" si="189"/>
        <v>9090.1016220969177</v>
      </c>
      <c r="F1031" s="74">
        <f t="shared" si="183"/>
        <v>-71.915863631228831</v>
      </c>
      <c r="G1031" s="74">
        <f t="shared" si="184"/>
        <v>3180.0178919662476</v>
      </c>
      <c r="H1031" s="74">
        <f t="shared" si="190"/>
        <v>10303.064666725215</v>
      </c>
      <c r="I1031" s="74">
        <f t="shared" si="191"/>
        <v>22417.870953562604</v>
      </c>
      <c r="J1031" s="74">
        <f t="shared" si="192"/>
        <v>24672.131639104624</v>
      </c>
      <c r="K1031" s="74">
        <f t="shared" si="193"/>
        <v>-29696.935333274785</v>
      </c>
      <c r="L1031" s="74">
        <f t="shared" si="194"/>
        <v>22417.870953562604</v>
      </c>
      <c r="M1031" s="74">
        <f t="shared" si="195"/>
        <v>37208.452081204479</v>
      </c>
      <c r="N1031" s="74">
        <f t="shared" si="196"/>
        <v>-14696.935333274785</v>
      </c>
      <c r="O1031" s="74">
        <f t="shared" si="197"/>
        <v>-32582.129046437396</v>
      </c>
      <c r="P1031" s="74">
        <f t="shared" si="198"/>
        <v>35743.461519404642</v>
      </c>
    </row>
    <row r="1032" spans="1:16" x14ac:dyDescent="0.3">
      <c r="A1032" s="72">
        <f t="shared" si="185"/>
        <v>361.5</v>
      </c>
      <c r="B1032" s="74">
        <f t="shared" si="186"/>
        <v>16134.549584881555</v>
      </c>
      <c r="C1032" s="74">
        <f t="shared" si="187"/>
        <v>2922.1843304774166</v>
      </c>
      <c r="D1032" s="74">
        <f t="shared" si="188"/>
        <v>12875.228503213541</v>
      </c>
      <c r="E1032" s="74">
        <f t="shared" si="189"/>
        <v>10680.110568080041</v>
      </c>
      <c r="F1032" s="74">
        <f t="shared" si="183"/>
        <v>-170.70574265654534</v>
      </c>
      <c r="G1032" s="74">
        <f t="shared" si="184"/>
        <v>7469.7044135397746</v>
      </c>
      <c r="H1032" s="74">
        <f t="shared" si="190"/>
        <v>3865.4504151184447</v>
      </c>
      <c r="I1032" s="74">
        <f t="shared" si="191"/>
        <v>17077.815669522584</v>
      </c>
      <c r="J1032" s="74">
        <f t="shared" si="192"/>
        <v>17509.811391158113</v>
      </c>
      <c r="K1032" s="74">
        <f t="shared" si="193"/>
        <v>-36134.549584881555</v>
      </c>
      <c r="L1032" s="74">
        <f t="shared" si="194"/>
        <v>17077.815669522584</v>
      </c>
      <c r="M1032" s="74">
        <f t="shared" si="195"/>
        <v>39966.954621842968</v>
      </c>
      <c r="N1032" s="74">
        <f t="shared" si="196"/>
        <v>-21134.549584881555</v>
      </c>
      <c r="O1032" s="74">
        <f t="shared" si="197"/>
        <v>-37922.184330477416</v>
      </c>
      <c r="P1032" s="74">
        <f t="shared" si="198"/>
        <v>43413.837086239262</v>
      </c>
    </row>
    <row r="1033" spans="1:16" x14ac:dyDescent="0.3">
      <c r="A1033" s="72">
        <f t="shared" si="185"/>
        <v>362</v>
      </c>
      <c r="B1033" s="74">
        <f t="shared" si="186"/>
        <v>22529.48740082419</v>
      </c>
      <c r="C1033" s="74">
        <f t="shared" si="187"/>
        <v>10129.66571790238</v>
      </c>
      <c r="D1033" s="74">
        <f t="shared" si="188"/>
        <v>12789.875631885268</v>
      </c>
      <c r="E1033" s="74">
        <f t="shared" si="189"/>
        <v>14414.962774849928</v>
      </c>
      <c r="F1033" s="74">
        <f t="shared" si="183"/>
        <v>-5424.6974681737056</v>
      </c>
      <c r="G1033" s="74">
        <f t="shared" si="184"/>
        <v>13236.559132087405</v>
      </c>
      <c r="H1033" s="74">
        <f t="shared" si="190"/>
        <v>-2529.4874008241895</v>
      </c>
      <c r="I1033" s="74">
        <f t="shared" si="191"/>
        <v>9870.3342820976195</v>
      </c>
      <c r="J1033" s="74">
        <f t="shared" si="192"/>
        <v>10189.298570131305</v>
      </c>
      <c r="K1033" s="74">
        <f t="shared" si="193"/>
        <v>-42529.48740082419</v>
      </c>
      <c r="L1033" s="74">
        <f t="shared" si="194"/>
        <v>9870.3342820976195</v>
      </c>
      <c r="M1033" s="74">
        <f t="shared" si="195"/>
        <v>43659.830478567084</v>
      </c>
      <c r="N1033" s="74">
        <f t="shared" si="196"/>
        <v>-27529.48740082419</v>
      </c>
      <c r="O1033" s="74">
        <f t="shared" si="197"/>
        <v>-45129.665717902382</v>
      </c>
      <c r="P1033" s="74">
        <f t="shared" si="198"/>
        <v>52863.592427697826</v>
      </c>
    </row>
    <row r="1034" spans="1:16" x14ac:dyDescent="0.3">
      <c r="A1034" s="72">
        <f t="shared" si="185"/>
        <v>362.5</v>
      </c>
      <c r="B1034" s="74">
        <f t="shared" si="186"/>
        <v>27568.250849723398</v>
      </c>
      <c r="C1034" s="74">
        <f t="shared" si="187"/>
        <v>20646.286888349197</v>
      </c>
      <c r="D1034" s="74">
        <f t="shared" si="188"/>
        <v>10077.526897798416</v>
      </c>
      <c r="E1034" s="74">
        <f t="shared" si="189"/>
        <v>21033.24234089363</v>
      </c>
      <c r="F1034" s="74">
        <f t="shared" si="183"/>
        <v>-17408.440645128161</v>
      </c>
      <c r="G1034" s="74">
        <f t="shared" si="184"/>
        <v>-2218.5387907450995</v>
      </c>
      <c r="H1034" s="74">
        <f t="shared" si="190"/>
        <v>-7568.2508497233976</v>
      </c>
      <c r="I1034" s="74">
        <f t="shared" si="191"/>
        <v>-646.2868883491974</v>
      </c>
      <c r="J1034" s="74">
        <f t="shared" si="192"/>
        <v>7595.7953939262352</v>
      </c>
      <c r="K1034" s="74">
        <f t="shared" si="193"/>
        <v>-47568.250849723394</v>
      </c>
      <c r="L1034" s="74">
        <f t="shared" si="194"/>
        <v>-646.2868883491974</v>
      </c>
      <c r="M1034" s="74">
        <f t="shared" si="195"/>
        <v>47572.641041298753</v>
      </c>
      <c r="N1034" s="74">
        <f t="shared" si="196"/>
        <v>-32568.250849723398</v>
      </c>
      <c r="O1034" s="74">
        <f t="shared" si="197"/>
        <v>-55646.286888349197</v>
      </c>
      <c r="P1034" s="74">
        <f t="shared" si="198"/>
        <v>64476.353866134312</v>
      </c>
    </row>
    <row r="1035" spans="1:16" x14ac:dyDescent="0.3">
      <c r="A1035" s="72">
        <f t="shared" si="185"/>
        <v>363</v>
      </c>
      <c r="B1035" s="74">
        <f t="shared" si="186"/>
        <v>28254.904137340563</v>
      </c>
      <c r="C1035" s="74">
        <f t="shared" si="187"/>
        <v>30608.273361109739</v>
      </c>
      <c r="D1035" s="74">
        <f t="shared" si="188"/>
        <v>1373.3065752343355</v>
      </c>
      <c r="E1035" s="74">
        <f t="shared" si="189"/>
        <v>19923.97294552108</v>
      </c>
      <c r="F1035" s="74">
        <f t="shared" si="183"/>
        <v>-8519.3201947286452</v>
      </c>
      <c r="G1035" s="74">
        <f t="shared" si="184"/>
        <v>-10303.032779585263</v>
      </c>
      <c r="H1035" s="74">
        <f t="shared" si="190"/>
        <v>-8254.9041373405635</v>
      </c>
      <c r="I1035" s="74">
        <f t="shared" si="191"/>
        <v>-10608.273361109739</v>
      </c>
      <c r="J1035" s="74">
        <f t="shared" si="192"/>
        <v>13441.685386167646</v>
      </c>
      <c r="K1035" s="74">
        <f t="shared" si="193"/>
        <v>-48254.904137340563</v>
      </c>
      <c r="L1035" s="74">
        <f t="shared" si="194"/>
        <v>-10608.273361109739</v>
      </c>
      <c r="M1035" s="74">
        <f t="shared" si="195"/>
        <v>49407.198230702757</v>
      </c>
      <c r="N1035" s="74">
        <f t="shared" si="196"/>
        <v>-33254.904137340563</v>
      </c>
      <c r="O1035" s="74">
        <f t="shared" si="197"/>
        <v>-65608.273361109736</v>
      </c>
      <c r="P1035" s="74">
        <f t="shared" si="198"/>
        <v>73554.973880831545</v>
      </c>
    </row>
    <row r="1036" spans="1:16" x14ac:dyDescent="0.3">
      <c r="A1036" s="72">
        <f t="shared" si="185"/>
        <v>363.5</v>
      </c>
      <c r="B1036" s="74">
        <f t="shared" si="186"/>
        <v>26811.727376275572</v>
      </c>
      <c r="C1036" s="74">
        <f t="shared" si="187"/>
        <v>37994.501638973969</v>
      </c>
      <c r="D1036" s="74">
        <f t="shared" si="188"/>
        <v>-2886.3535221299871</v>
      </c>
      <c r="E1036" s="74">
        <f t="shared" si="189"/>
        <v>14772.456555728448</v>
      </c>
      <c r="F1036" s="74">
        <f t="shared" si="183"/>
        <v>-3822.7700426732463</v>
      </c>
      <c r="G1036" s="74">
        <f t="shared" si="184"/>
        <v>-8278.9240937416271</v>
      </c>
      <c r="H1036" s="74">
        <f t="shared" si="190"/>
        <v>-6811.7273762755722</v>
      </c>
      <c r="I1036" s="74">
        <f t="shared" si="191"/>
        <v>-17994.501638973969</v>
      </c>
      <c r="J1036" s="74">
        <f t="shared" si="192"/>
        <v>19240.626785106011</v>
      </c>
      <c r="K1036" s="74">
        <f t="shared" si="193"/>
        <v>-46811.727376275572</v>
      </c>
      <c r="L1036" s="74">
        <f t="shared" si="194"/>
        <v>-17994.501638973969</v>
      </c>
      <c r="M1036" s="74">
        <f t="shared" si="195"/>
        <v>50151.170566456218</v>
      </c>
      <c r="N1036" s="74">
        <f t="shared" si="196"/>
        <v>-31811.727376275572</v>
      </c>
      <c r="O1036" s="74">
        <f t="shared" si="197"/>
        <v>-72994.501638973976</v>
      </c>
      <c r="P1036" s="74">
        <f t="shared" si="198"/>
        <v>79625.267774649619</v>
      </c>
    </row>
    <row r="1037" spans="1:16" x14ac:dyDescent="0.3">
      <c r="A1037" s="72">
        <f t="shared" si="185"/>
        <v>364</v>
      </c>
      <c r="B1037" s="74">
        <f t="shared" si="186"/>
        <v>24412.858104542265</v>
      </c>
      <c r="C1037" s="74">
        <f t="shared" si="187"/>
        <v>43310.998893402786</v>
      </c>
      <c r="D1037" s="74">
        <f t="shared" si="188"/>
        <v>-4797.7385434666103</v>
      </c>
      <c r="E1037" s="74">
        <f t="shared" si="189"/>
        <v>10632.994508857635</v>
      </c>
      <c r="F1037" s="74">
        <f t="shared" si="183"/>
        <v>-2015.9952242192037</v>
      </c>
      <c r="G1037" s="74">
        <f t="shared" si="184"/>
        <v>-6651.4709106232513</v>
      </c>
      <c r="H1037" s="74">
        <f t="shared" si="190"/>
        <v>-4412.8581045422652</v>
      </c>
      <c r="I1037" s="74">
        <f t="shared" si="191"/>
        <v>-23310.998893402786</v>
      </c>
      <c r="J1037" s="74">
        <f t="shared" si="192"/>
        <v>23725.007609251683</v>
      </c>
      <c r="K1037" s="74">
        <f t="shared" si="193"/>
        <v>-44412.858104542262</v>
      </c>
      <c r="L1037" s="74">
        <f t="shared" si="194"/>
        <v>-23310.998893402786</v>
      </c>
      <c r="M1037" s="74">
        <f t="shared" si="195"/>
        <v>50158.794188281987</v>
      </c>
      <c r="N1037" s="74">
        <f t="shared" si="196"/>
        <v>-29412.858104542265</v>
      </c>
      <c r="O1037" s="74">
        <f t="shared" si="197"/>
        <v>-78310.998893402779</v>
      </c>
      <c r="P1037" s="74">
        <f t="shared" si="198"/>
        <v>83652.428354235293</v>
      </c>
    </row>
    <row r="1038" spans="1:16" x14ac:dyDescent="0.3">
      <c r="A1038" s="72">
        <f t="shared" si="185"/>
        <v>364.5</v>
      </c>
      <c r="B1038" s="74">
        <f t="shared" si="186"/>
        <v>21509.990026754156</v>
      </c>
      <c r="C1038" s="74">
        <f t="shared" si="187"/>
        <v>46964.628420175788</v>
      </c>
      <c r="D1038" s="74">
        <f t="shared" si="188"/>
        <v>-5805.7361555762118</v>
      </c>
      <c r="E1038" s="74">
        <f t="shared" si="189"/>
        <v>7307.2590535460095</v>
      </c>
      <c r="F1038" s="74">
        <f t="shared" si="183"/>
        <v>-1141.2487474808643</v>
      </c>
      <c r="G1038" s="74">
        <f t="shared" si="184"/>
        <v>-5714.0129345739797</v>
      </c>
      <c r="H1038" s="74">
        <f t="shared" si="190"/>
        <v>-1509.9900267541561</v>
      </c>
      <c r="I1038" s="74">
        <f t="shared" si="191"/>
        <v>-26964.628420175788</v>
      </c>
      <c r="J1038" s="74">
        <f t="shared" si="192"/>
        <v>27006.874230814807</v>
      </c>
      <c r="K1038" s="74">
        <f t="shared" si="193"/>
        <v>-41509.990026754152</v>
      </c>
      <c r="L1038" s="74">
        <f t="shared" si="194"/>
        <v>-26964.628420175788</v>
      </c>
      <c r="M1038" s="74">
        <f t="shared" si="195"/>
        <v>49499.196537513424</v>
      </c>
      <c r="N1038" s="74">
        <f t="shared" si="196"/>
        <v>-26509.990026754156</v>
      </c>
      <c r="O1038" s="74">
        <f t="shared" si="197"/>
        <v>-81964.628420175781</v>
      </c>
      <c r="P1038" s="74">
        <f t="shared" si="198"/>
        <v>86145.109456521634</v>
      </c>
    </row>
    <row r="1039" spans="1:16" x14ac:dyDescent="0.3">
      <c r="A1039" s="72">
        <f t="shared" si="185"/>
        <v>365</v>
      </c>
      <c r="B1039" s="74">
        <f t="shared" si="186"/>
        <v>18321.809762095836</v>
      </c>
      <c r="C1039" s="74">
        <f t="shared" si="187"/>
        <v>49189.754713305294</v>
      </c>
      <c r="D1039" s="74">
        <f t="shared" si="188"/>
        <v>-6376.3605293166438</v>
      </c>
      <c r="E1039" s="74">
        <f t="shared" si="189"/>
        <v>4450.2525862590192</v>
      </c>
      <c r="F1039" s="74">
        <f t="shared" si="183"/>
        <v>-611.24485443032734</v>
      </c>
      <c r="G1039" s="74">
        <f t="shared" si="184"/>
        <v>-5200.2322104213999</v>
      </c>
      <c r="H1039" s="74">
        <f t="shared" si="190"/>
        <v>1678.190237904164</v>
      </c>
      <c r="I1039" s="74">
        <f t="shared" si="191"/>
        <v>-29189.754713305294</v>
      </c>
      <c r="J1039" s="74">
        <f t="shared" si="192"/>
        <v>29237.956541070471</v>
      </c>
      <c r="K1039" s="74">
        <f t="shared" si="193"/>
        <v>-38321.809762095836</v>
      </c>
      <c r="L1039" s="74">
        <f t="shared" si="194"/>
        <v>-29189.754713305294</v>
      </c>
      <c r="M1039" s="74">
        <f t="shared" si="195"/>
        <v>48172.636254051868</v>
      </c>
      <c r="N1039" s="74">
        <f t="shared" si="196"/>
        <v>-23321.809762095836</v>
      </c>
      <c r="O1039" s="74">
        <f t="shared" si="197"/>
        <v>-84189.754713305301</v>
      </c>
      <c r="P1039" s="74">
        <f t="shared" si="198"/>
        <v>87360.297671573324</v>
      </c>
    </row>
    <row r="1040" spans="1:16" x14ac:dyDescent="0.3">
      <c r="A1040" s="72">
        <f t="shared" si="185"/>
        <v>365.5</v>
      </c>
      <c r="B1040" s="74">
        <f t="shared" si="186"/>
        <v>14980.818283829933</v>
      </c>
      <c r="C1040" s="74">
        <f t="shared" si="187"/>
        <v>50114.822953829454</v>
      </c>
      <c r="D1040" s="74">
        <f t="shared" si="188"/>
        <v>-6681.9829565318078</v>
      </c>
      <c r="E1040" s="74">
        <f t="shared" si="189"/>
        <v>1850.1364810483192</v>
      </c>
      <c r="F1040" s="74">
        <f t="shared" si="183"/>
        <v>-218.4825375910697</v>
      </c>
      <c r="G1040" s="74">
        <f t="shared" si="184"/>
        <v>-4955.8555385305644</v>
      </c>
      <c r="H1040" s="74">
        <f t="shared" si="190"/>
        <v>5019.1817161700674</v>
      </c>
      <c r="I1040" s="74">
        <f t="shared" si="191"/>
        <v>-30114.822953829454</v>
      </c>
      <c r="J1040" s="74">
        <f t="shared" si="192"/>
        <v>30530.226770209705</v>
      </c>
      <c r="K1040" s="74">
        <f t="shared" si="193"/>
        <v>-34980.818283829933</v>
      </c>
      <c r="L1040" s="74">
        <f t="shared" si="194"/>
        <v>-30114.822953829454</v>
      </c>
      <c r="M1040" s="74">
        <f t="shared" si="195"/>
        <v>46157.991825325589</v>
      </c>
      <c r="N1040" s="74">
        <f t="shared" si="196"/>
        <v>-19980.818283829933</v>
      </c>
      <c r="O1040" s="74">
        <f t="shared" si="197"/>
        <v>-85114.822953829454</v>
      </c>
      <c r="P1040" s="74">
        <f t="shared" si="198"/>
        <v>87428.634815792277</v>
      </c>
    </row>
    <row r="1041" spans="1:16" x14ac:dyDescent="0.3">
      <c r="A1041" s="72">
        <f t="shared" si="185"/>
        <v>366</v>
      </c>
      <c r="B1041" s="74">
        <f t="shared" si="186"/>
        <v>11585.206171166261</v>
      </c>
      <c r="C1041" s="74">
        <f t="shared" si="187"/>
        <v>49800.927309720973</v>
      </c>
      <c r="D1041" s="74">
        <f t="shared" si="188"/>
        <v>-6791.2242253273425</v>
      </c>
      <c r="E1041" s="74">
        <f t="shared" si="189"/>
        <v>-627.79128821696304</v>
      </c>
      <c r="F1041" s="74">
        <f t="shared" si="183"/>
        <v>130.54086940390616</v>
      </c>
      <c r="G1041" s="74">
        <f t="shared" si="184"/>
        <v>-4904.8132253478343</v>
      </c>
      <c r="H1041" s="74">
        <f t="shared" si="190"/>
        <v>8414.7938288337391</v>
      </c>
      <c r="I1041" s="74">
        <f t="shared" si="191"/>
        <v>-29800.927309720973</v>
      </c>
      <c r="J1041" s="74">
        <f t="shared" si="192"/>
        <v>30966.175477463337</v>
      </c>
      <c r="K1041" s="74">
        <f t="shared" si="193"/>
        <v>-31585.206171166261</v>
      </c>
      <c r="L1041" s="74">
        <f t="shared" si="194"/>
        <v>-29800.927309720973</v>
      </c>
      <c r="M1041" s="74">
        <f t="shared" si="195"/>
        <v>43424.883619813561</v>
      </c>
      <c r="N1041" s="74">
        <f t="shared" si="196"/>
        <v>-16585.206171166261</v>
      </c>
      <c r="O1041" s="74">
        <f t="shared" si="197"/>
        <v>-84800.927309720981</v>
      </c>
      <c r="P1041" s="74">
        <f t="shared" si="198"/>
        <v>86407.559486011829</v>
      </c>
    </row>
    <row r="1042" spans="1:16" x14ac:dyDescent="0.3">
      <c r="A1042" s="72">
        <f t="shared" si="185"/>
        <v>366.5</v>
      </c>
      <c r="B1042" s="74">
        <f t="shared" si="186"/>
        <v>8222.2292758535659</v>
      </c>
      <c r="C1042" s="74">
        <f t="shared" si="187"/>
        <v>48260.828359275532</v>
      </c>
      <c r="D1042" s="74">
        <f t="shared" si="188"/>
        <v>-6725.953790625389</v>
      </c>
      <c r="E1042" s="74">
        <f t="shared" si="189"/>
        <v>-3080.1979008908802</v>
      </c>
      <c r="F1042" s="74">
        <f t="shared" si="183"/>
        <v>490.39701405070281</v>
      </c>
      <c r="G1042" s="74">
        <f t="shared" si="184"/>
        <v>-5009.7426323477603</v>
      </c>
      <c r="H1042" s="74">
        <f t="shared" si="190"/>
        <v>11777.770724146434</v>
      </c>
      <c r="I1042" s="74">
        <f t="shared" si="191"/>
        <v>-28260.828359275532</v>
      </c>
      <c r="J1042" s="74">
        <f t="shared" si="192"/>
        <v>30616.830384332618</v>
      </c>
      <c r="K1042" s="74">
        <f t="shared" si="193"/>
        <v>-28222.229275853566</v>
      </c>
      <c r="L1042" s="74">
        <f t="shared" si="194"/>
        <v>-28260.828359275532</v>
      </c>
      <c r="M1042" s="74">
        <f t="shared" si="195"/>
        <v>39939.562401850104</v>
      </c>
      <c r="N1042" s="74">
        <f t="shared" si="196"/>
        <v>-13222.229275853566</v>
      </c>
      <c r="O1042" s="74">
        <f t="shared" si="197"/>
        <v>-83260.828359275532</v>
      </c>
      <c r="P1042" s="74">
        <f t="shared" si="198"/>
        <v>84304.168853598094</v>
      </c>
    </row>
    <row r="1043" spans="1:16" x14ac:dyDescent="0.3">
      <c r="A1043" s="72">
        <f t="shared" si="185"/>
        <v>367</v>
      </c>
      <c r="B1043" s="74">
        <f t="shared" si="186"/>
        <v>4981.8516340535471</v>
      </c>
      <c r="C1043" s="74">
        <f t="shared" si="187"/>
        <v>45468.293750743149</v>
      </c>
      <c r="D1043" s="74">
        <f t="shared" si="188"/>
        <v>-6480.7552836000377</v>
      </c>
      <c r="E1043" s="74">
        <f t="shared" si="189"/>
        <v>-5585.0692170647599</v>
      </c>
      <c r="F1043" s="74">
        <f t="shared" si="183"/>
        <v>895.98839388549118</v>
      </c>
      <c r="G1043" s="74">
        <f t="shared" si="184"/>
        <v>-5244.2915908426276</v>
      </c>
      <c r="H1043" s="74">
        <f t="shared" si="190"/>
        <v>15018.148365946454</v>
      </c>
      <c r="I1043" s="74">
        <f t="shared" si="191"/>
        <v>-25468.293750743149</v>
      </c>
      <c r="J1043" s="74">
        <f t="shared" si="192"/>
        <v>29566.514284164827</v>
      </c>
      <c r="K1043" s="74">
        <f t="shared" si="193"/>
        <v>-24981.851634053546</v>
      </c>
      <c r="L1043" s="74">
        <f t="shared" si="194"/>
        <v>-25468.293750743149</v>
      </c>
      <c r="M1043" s="74">
        <f t="shared" si="195"/>
        <v>35675.298143673681</v>
      </c>
      <c r="N1043" s="74">
        <f t="shared" si="196"/>
        <v>-9981.8516340535461</v>
      </c>
      <c r="O1043" s="74">
        <f t="shared" si="197"/>
        <v>-80468.293750743149</v>
      </c>
      <c r="P1043" s="74">
        <f t="shared" si="198"/>
        <v>81085.039687972938</v>
      </c>
    </row>
    <row r="1044" spans="1:16" x14ac:dyDescent="0.3">
      <c r="A1044" s="72">
        <f t="shared" si="185"/>
        <v>367.5</v>
      </c>
      <c r="B1044" s="74">
        <f t="shared" si="186"/>
        <v>1965.4710907249009</v>
      </c>
      <c r="C1044" s="74">
        <f t="shared" si="187"/>
        <v>41364.68624450011</v>
      </c>
      <c r="D1044" s="74">
        <f t="shared" si="188"/>
        <v>-6032.7610866572923</v>
      </c>
      <c r="E1044" s="74">
        <f t="shared" si="189"/>
        <v>-8207.2150124860746</v>
      </c>
      <c r="F1044" s="74">
        <f t="shared" si="183"/>
        <v>1339.2035572492846</v>
      </c>
      <c r="G1044" s="74">
        <f t="shared" si="184"/>
        <v>-5552.5960251633387</v>
      </c>
      <c r="H1044" s="74">
        <f t="shared" si="190"/>
        <v>18034.528909275097</v>
      </c>
      <c r="I1044" s="74">
        <f t="shared" si="191"/>
        <v>-21364.68624450011</v>
      </c>
      <c r="J1044" s="74">
        <f t="shared" si="192"/>
        <v>27958.792021570094</v>
      </c>
      <c r="K1044" s="74">
        <f t="shared" si="193"/>
        <v>-21965.471090724903</v>
      </c>
      <c r="L1044" s="74">
        <f t="shared" si="194"/>
        <v>-21364.68624450011</v>
      </c>
      <c r="M1044" s="74">
        <f t="shared" si="195"/>
        <v>30641.993057949145</v>
      </c>
      <c r="N1044" s="74">
        <f t="shared" si="196"/>
        <v>-6965.4710907249009</v>
      </c>
      <c r="O1044" s="74">
        <f t="shared" si="197"/>
        <v>-76364.686244500102</v>
      </c>
      <c r="P1044" s="74">
        <f t="shared" si="198"/>
        <v>76681.699855550076</v>
      </c>
    </row>
    <row r="1045" spans="1:16" x14ac:dyDescent="0.3">
      <c r="A1045" s="72">
        <f t="shared" si="185"/>
        <v>368</v>
      </c>
      <c r="B1045" s="74">
        <f t="shared" si="186"/>
        <v>-716.10856329142405</v>
      </c>
      <c r="C1045" s="74">
        <f t="shared" si="187"/>
        <v>35872.929731966236</v>
      </c>
      <c r="D1045" s="74">
        <f t="shared" si="188"/>
        <v>-5363.1593080326502</v>
      </c>
      <c r="E1045" s="74">
        <f t="shared" si="189"/>
        <v>-10983.513025067743</v>
      </c>
      <c r="F1045" s="74">
        <f t="shared" si="183"/>
        <v>1633.5919063194904</v>
      </c>
      <c r="G1045" s="74">
        <f t="shared" si="184"/>
        <v>-5738.0908317714893</v>
      </c>
      <c r="H1045" s="74">
        <f t="shared" si="190"/>
        <v>20716.108563291426</v>
      </c>
      <c r="I1045" s="74">
        <f t="shared" si="191"/>
        <v>-15872.929731966236</v>
      </c>
      <c r="J1045" s="74">
        <f t="shared" si="192"/>
        <v>26098.027746977627</v>
      </c>
      <c r="K1045" s="74">
        <f t="shared" si="193"/>
        <v>-19283.891436708574</v>
      </c>
      <c r="L1045" s="74">
        <f t="shared" si="194"/>
        <v>-15872.929731966236</v>
      </c>
      <c r="M1045" s="74">
        <f t="shared" si="195"/>
        <v>24976.356163754153</v>
      </c>
      <c r="N1045" s="74">
        <f t="shared" si="196"/>
        <v>-4283.8914367085763</v>
      </c>
      <c r="O1045" s="74">
        <f t="shared" si="197"/>
        <v>-70872.929731966229</v>
      </c>
      <c r="P1045" s="74">
        <f t="shared" si="198"/>
        <v>71002.28091148712</v>
      </c>
    </row>
    <row r="1046" spans="1:16" x14ac:dyDescent="0.3">
      <c r="A1046" s="72">
        <f t="shared" si="185"/>
        <v>368.5</v>
      </c>
      <c r="B1046" s="74">
        <f t="shared" si="186"/>
        <v>-2989.2902407278766</v>
      </c>
      <c r="C1046" s="74">
        <f t="shared" si="187"/>
        <v>28946.65051148949</v>
      </c>
      <c r="D1046" s="74">
        <f t="shared" si="188"/>
        <v>-4546.3633548729049</v>
      </c>
      <c r="E1046" s="74">
        <f t="shared" si="189"/>
        <v>-13852.558440953488</v>
      </c>
      <c r="F1046" s="74">
        <f t="shared" si="183"/>
        <v>1031.4047503522597</v>
      </c>
      <c r="G1046" s="74">
        <f t="shared" si="184"/>
        <v>-5100.0018934051532</v>
      </c>
      <c r="H1046" s="74">
        <f t="shared" si="190"/>
        <v>22989.290240727878</v>
      </c>
      <c r="I1046" s="74">
        <f t="shared" si="191"/>
        <v>-8946.6505114894899</v>
      </c>
      <c r="J1046" s="74">
        <f t="shared" si="192"/>
        <v>24668.806642137377</v>
      </c>
      <c r="K1046" s="74">
        <f t="shared" si="193"/>
        <v>-17010.709759272122</v>
      </c>
      <c r="L1046" s="74">
        <f t="shared" si="194"/>
        <v>-8946.6505114894899</v>
      </c>
      <c r="M1046" s="74">
        <f t="shared" si="195"/>
        <v>19219.958425785706</v>
      </c>
      <c r="N1046" s="74">
        <f t="shared" si="196"/>
        <v>-2010.7097592721234</v>
      </c>
      <c r="O1046" s="74">
        <f t="shared" si="197"/>
        <v>-63946.65051148949</v>
      </c>
      <c r="P1046" s="74">
        <f t="shared" si="198"/>
        <v>63978.254629011339</v>
      </c>
    </row>
    <row r="1047" spans="1:16" x14ac:dyDescent="0.3">
      <c r="A1047" s="72">
        <f t="shared" si="185"/>
        <v>369</v>
      </c>
      <c r="B1047" s="74">
        <f t="shared" si="186"/>
        <v>-5004.6207305762637</v>
      </c>
      <c r="C1047" s="74">
        <f t="shared" si="187"/>
        <v>20745.37081766146</v>
      </c>
      <c r="D1047" s="74">
        <f t="shared" si="188"/>
        <v>-4030.660979696775</v>
      </c>
      <c r="E1047" s="74">
        <f t="shared" si="189"/>
        <v>-16402.559387656063</v>
      </c>
      <c r="F1047" s="74">
        <f t="shared" si="183"/>
        <v>-1174.973828810525</v>
      </c>
      <c r="G1047" s="74">
        <f t="shared" si="184"/>
        <v>-1769.750112436308</v>
      </c>
      <c r="H1047" s="74">
        <f t="shared" si="190"/>
        <v>25004.620730576265</v>
      </c>
      <c r="I1047" s="74">
        <f t="shared" si="191"/>
        <v>-745.37081766146002</v>
      </c>
      <c r="J1047" s="74">
        <f t="shared" si="192"/>
        <v>25015.727763464842</v>
      </c>
      <c r="K1047" s="74">
        <f t="shared" si="193"/>
        <v>-14995.379269423736</v>
      </c>
      <c r="L1047" s="74">
        <f t="shared" si="194"/>
        <v>-745.37081766146002</v>
      </c>
      <c r="M1047" s="74">
        <f t="shared" si="195"/>
        <v>15013.892802657294</v>
      </c>
      <c r="N1047" s="74">
        <f t="shared" si="196"/>
        <v>4.6207305762636679</v>
      </c>
      <c r="O1047" s="74">
        <f t="shared" si="197"/>
        <v>-55745.37081766146</v>
      </c>
      <c r="P1047" s="74">
        <f t="shared" si="198"/>
        <v>55745.371009167502</v>
      </c>
    </row>
    <row r="1048" spans="1:16" x14ac:dyDescent="0.3">
      <c r="A1048" s="72">
        <f t="shared" si="185"/>
        <v>369.5</v>
      </c>
      <c r="B1048" s="74">
        <f t="shared" si="186"/>
        <v>-7313.6946776272825</v>
      </c>
      <c r="C1048" s="74">
        <f t="shared" si="187"/>
        <v>12101.65359572435</v>
      </c>
      <c r="D1048" s="74">
        <f t="shared" si="188"/>
        <v>-4618.1478941020378</v>
      </c>
      <c r="E1048" s="74">
        <f t="shared" si="189"/>
        <v>-17287.434443874219</v>
      </c>
      <c r="F1048" s="74">
        <f t="shared" si="183"/>
        <v>-1321.208567494343</v>
      </c>
      <c r="G1048" s="74">
        <f t="shared" si="184"/>
        <v>2925.2326727199115</v>
      </c>
      <c r="H1048" s="74">
        <f t="shared" si="190"/>
        <v>27313.694677627282</v>
      </c>
      <c r="I1048" s="74">
        <f t="shared" si="191"/>
        <v>7898.3464042756495</v>
      </c>
      <c r="J1048" s="74">
        <f t="shared" si="192"/>
        <v>28432.759149695252</v>
      </c>
      <c r="K1048" s="74">
        <f t="shared" si="193"/>
        <v>-12686.305322372718</v>
      </c>
      <c r="L1048" s="74">
        <f t="shared" si="194"/>
        <v>7898.3464042756495</v>
      </c>
      <c r="M1048" s="74">
        <f t="shared" si="195"/>
        <v>14944.103139847384</v>
      </c>
      <c r="N1048" s="74">
        <f t="shared" si="196"/>
        <v>2313.6946776272825</v>
      </c>
      <c r="O1048" s="74">
        <f t="shared" si="197"/>
        <v>-47101.653595724347</v>
      </c>
      <c r="P1048" s="74">
        <f t="shared" si="198"/>
        <v>47158.445208815923</v>
      </c>
    </row>
    <row r="1049" spans="1:16" x14ac:dyDescent="0.3">
      <c r="A1049" s="72">
        <f t="shared" si="185"/>
        <v>370</v>
      </c>
      <c r="B1049" s="74">
        <f t="shared" si="186"/>
        <v>-9953.0707665518876</v>
      </c>
      <c r="C1049" s="74">
        <f t="shared" si="187"/>
        <v>4189.2445419672185</v>
      </c>
      <c r="D1049" s="74">
        <f t="shared" si="188"/>
        <v>-5278.7521778492091</v>
      </c>
      <c r="E1049" s="74">
        <f t="shared" si="189"/>
        <v>-15824.818107514264</v>
      </c>
      <c r="F1049" s="74">
        <f t="shared" si="183"/>
        <v>605.91190544143672</v>
      </c>
      <c r="G1049" s="74">
        <f t="shared" si="184"/>
        <v>3089.2915263925706</v>
      </c>
      <c r="H1049" s="74">
        <f t="shared" si="190"/>
        <v>29953.070766551886</v>
      </c>
      <c r="I1049" s="74">
        <f t="shared" si="191"/>
        <v>15810.755458032781</v>
      </c>
      <c r="J1049" s="74">
        <f t="shared" si="192"/>
        <v>33869.845534040724</v>
      </c>
      <c r="K1049" s="74">
        <f t="shared" si="193"/>
        <v>-10046.929233448112</v>
      </c>
      <c r="L1049" s="74">
        <f t="shared" si="194"/>
        <v>15810.755458032781</v>
      </c>
      <c r="M1049" s="74">
        <f t="shared" si="195"/>
        <v>18732.87952172937</v>
      </c>
      <c r="N1049" s="74">
        <f t="shared" si="196"/>
        <v>4953.0707665518876</v>
      </c>
      <c r="O1049" s="74">
        <f t="shared" si="197"/>
        <v>-39189.244541967215</v>
      </c>
      <c r="P1049" s="74">
        <f t="shared" si="198"/>
        <v>39501.010085674745</v>
      </c>
    </row>
    <row r="1050" spans="1:16" x14ac:dyDescent="0.3">
      <c r="A1050" s="72">
        <f t="shared" si="185"/>
        <v>370.5</v>
      </c>
      <c r="B1050" s="74">
        <f t="shared" si="186"/>
        <v>-12440.968879116133</v>
      </c>
      <c r="C1050" s="74">
        <f t="shared" si="187"/>
        <v>-2950.8416301917705</v>
      </c>
      <c r="D1050" s="74">
        <f t="shared" si="188"/>
        <v>-4975.7962251284907</v>
      </c>
      <c r="E1050" s="74">
        <f t="shared" si="189"/>
        <v>-14280.172344317978</v>
      </c>
      <c r="F1050" s="74">
        <f t="shared" si="183"/>
        <v>1758.325724491287</v>
      </c>
      <c r="G1050" s="74">
        <f t="shared" si="184"/>
        <v>1080.6011678131749</v>
      </c>
      <c r="H1050" s="74">
        <f t="shared" si="190"/>
        <v>32440.968879116132</v>
      </c>
      <c r="I1050" s="74">
        <f t="shared" si="191"/>
        <v>22950.841630191771</v>
      </c>
      <c r="J1050" s="74">
        <f t="shared" si="192"/>
        <v>39738.615896252915</v>
      </c>
      <c r="K1050" s="74">
        <f t="shared" si="193"/>
        <v>-7559.0311208838666</v>
      </c>
      <c r="L1050" s="74">
        <f t="shared" si="194"/>
        <v>22950.841630191771</v>
      </c>
      <c r="M1050" s="74">
        <f t="shared" si="195"/>
        <v>24163.610719853823</v>
      </c>
      <c r="N1050" s="74">
        <f t="shared" si="196"/>
        <v>7440.9688791161334</v>
      </c>
      <c r="O1050" s="74">
        <f t="shared" si="197"/>
        <v>-32049.158369808229</v>
      </c>
      <c r="P1050" s="74">
        <f t="shared" si="198"/>
        <v>32901.619566109868</v>
      </c>
    </row>
    <row r="1051" spans="1:16" x14ac:dyDescent="0.3">
      <c r="A1051" s="72">
        <f t="shared" si="185"/>
        <v>371</v>
      </c>
      <c r="B1051" s="74">
        <f t="shared" si="186"/>
        <v>-14489.285560557557</v>
      </c>
      <c r="C1051" s="74">
        <f t="shared" si="187"/>
        <v>-9820.7775103974654</v>
      </c>
      <c r="D1051" s="74">
        <f t="shared" si="188"/>
        <v>-4096.633362882847</v>
      </c>
      <c r="E1051" s="74">
        <f t="shared" si="189"/>
        <v>-13739.87176041139</v>
      </c>
      <c r="F1051" s="74">
        <f t="shared" si="183"/>
        <v>2717.7825310502189</v>
      </c>
      <c r="G1051" s="74">
        <f t="shared" si="184"/>
        <v>-1157.3671301806858</v>
      </c>
      <c r="H1051" s="74">
        <f t="shared" si="190"/>
        <v>34489.285560557561</v>
      </c>
      <c r="I1051" s="74">
        <f t="shared" si="191"/>
        <v>29820.777510397464</v>
      </c>
      <c r="J1051" s="74">
        <f t="shared" si="192"/>
        <v>45593.745073225902</v>
      </c>
      <c r="K1051" s="74">
        <f t="shared" si="193"/>
        <v>-5510.7144394424431</v>
      </c>
      <c r="L1051" s="74">
        <f t="shared" si="194"/>
        <v>29820.777510397464</v>
      </c>
      <c r="M1051" s="74">
        <f t="shared" si="195"/>
        <v>30325.677980182183</v>
      </c>
      <c r="N1051" s="74">
        <f t="shared" si="196"/>
        <v>9489.2855605575569</v>
      </c>
      <c r="O1051" s="74">
        <f t="shared" si="197"/>
        <v>-25179.222489602536</v>
      </c>
      <c r="P1051" s="74">
        <f t="shared" si="198"/>
        <v>26907.987394651282</v>
      </c>
    </row>
    <row r="1052" spans="1:16" x14ac:dyDescent="0.3">
      <c r="A1052" s="72">
        <f t="shared" si="185"/>
        <v>371.5</v>
      </c>
      <c r="B1052" s="74">
        <f t="shared" si="186"/>
        <v>-15858.156609236428</v>
      </c>
      <c r="C1052" s="74">
        <f t="shared" si="187"/>
        <v>-16980.055173148332</v>
      </c>
      <c r="D1052" s="74">
        <f t="shared" si="188"/>
        <v>-2737.7420973577373</v>
      </c>
      <c r="E1052" s="74">
        <f t="shared" si="189"/>
        <v>-14318.555325501733</v>
      </c>
      <c r="F1052" s="74">
        <f t="shared" si="183"/>
        <v>4476.9047198555018</v>
      </c>
      <c r="G1052" s="74">
        <f t="shared" si="184"/>
        <v>-3461.1968090683267</v>
      </c>
      <c r="H1052" s="74">
        <f t="shared" si="190"/>
        <v>35858.15660923643</v>
      </c>
      <c r="I1052" s="74">
        <f t="shared" si="191"/>
        <v>36980.055173148328</v>
      </c>
      <c r="J1052" s="74">
        <f t="shared" si="192"/>
        <v>51510.502579780958</v>
      </c>
      <c r="K1052" s="74">
        <f t="shared" si="193"/>
        <v>-4141.8433907635717</v>
      </c>
      <c r="L1052" s="74">
        <f t="shared" si="194"/>
        <v>36980.055173148328</v>
      </c>
      <c r="M1052" s="74">
        <f t="shared" si="195"/>
        <v>37211.279839353905</v>
      </c>
      <c r="N1052" s="74">
        <f t="shared" si="196"/>
        <v>10858.156609236428</v>
      </c>
      <c r="O1052" s="74">
        <f t="shared" si="197"/>
        <v>-18019.944826851668</v>
      </c>
      <c r="P1052" s="74">
        <f t="shared" si="198"/>
        <v>21038.487980686325</v>
      </c>
    </row>
    <row r="1053" spans="1:16" x14ac:dyDescent="0.3">
      <c r="A1053" s="72">
        <f t="shared" si="185"/>
        <v>372</v>
      </c>
      <c r="B1053" s="74">
        <f t="shared" si="186"/>
        <v>-16107.80147795142</v>
      </c>
      <c r="C1053" s="74">
        <f t="shared" si="187"/>
        <v>-25004.632038166281</v>
      </c>
      <c r="D1053" s="74">
        <f t="shared" si="188"/>
        <v>-499.28973742998642</v>
      </c>
      <c r="E1053" s="74">
        <f t="shared" si="189"/>
        <v>-16049.153730035896</v>
      </c>
      <c r="F1053" s="74">
        <f t="shared" si="183"/>
        <v>8671.0949378602909</v>
      </c>
      <c r="G1053" s="74">
        <f t="shared" si="184"/>
        <v>-5264.2660148092618</v>
      </c>
      <c r="H1053" s="74">
        <f t="shared" si="190"/>
        <v>36107.80147795142</v>
      </c>
      <c r="I1053" s="74">
        <f t="shared" si="191"/>
        <v>45004.632038166281</v>
      </c>
      <c r="J1053" s="74">
        <f t="shared" si="192"/>
        <v>57699.135456797732</v>
      </c>
      <c r="K1053" s="74">
        <f t="shared" si="193"/>
        <v>-3892.1985220485803</v>
      </c>
      <c r="L1053" s="74">
        <f t="shared" si="194"/>
        <v>45004.632038166281</v>
      </c>
      <c r="M1053" s="74">
        <f t="shared" si="195"/>
        <v>45172.625717637668</v>
      </c>
      <c r="N1053" s="74">
        <f t="shared" si="196"/>
        <v>11107.80147795142</v>
      </c>
      <c r="O1053" s="74">
        <f t="shared" si="197"/>
        <v>-9995.3679618337192</v>
      </c>
      <c r="P1053" s="74">
        <f t="shared" si="198"/>
        <v>14942.912512828003</v>
      </c>
    </row>
    <row r="1054" spans="1:16" x14ac:dyDescent="0.3">
      <c r="A1054" s="72">
        <f t="shared" si="185"/>
        <v>372.5</v>
      </c>
      <c r="B1054" s="74">
        <f t="shared" si="186"/>
        <v>-14189.672612201341</v>
      </c>
      <c r="C1054" s="74">
        <f t="shared" si="187"/>
        <v>-34345.27540688654</v>
      </c>
      <c r="D1054" s="74">
        <f t="shared" si="188"/>
        <v>3836.257731500159</v>
      </c>
      <c r="E1054" s="74">
        <f t="shared" si="189"/>
        <v>-18681.286737440525</v>
      </c>
      <c r="F1054" s="74">
        <f t="shared" si="183"/>
        <v>15760.968058236671</v>
      </c>
      <c r="G1054" s="74">
        <f t="shared" si="184"/>
        <v>430.26418098254408</v>
      </c>
      <c r="H1054" s="74">
        <f t="shared" si="190"/>
        <v>34189.672612201342</v>
      </c>
      <c r="I1054" s="74">
        <f t="shared" si="191"/>
        <v>54345.27540688654</v>
      </c>
      <c r="J1054" s="74">
        <f t="shared" si="192"/>
        <v>64205.472293098639</v>
      </c>
      <c r="K1054" s="74">
        <f t="shared" si="193"/>
        <v>-5810.3273877986594</v>
      </c>
      <c r="L1054" s="74">
        <f t="shared" si="194"/>
        <v>54345.27540688654</v>
      </c>
      <c r="M1054" s="74">
        <f t="shared" si="195"/>
        <v>54654.998521670001</v>
      </c>
      <c r="N1054" s="74">
        <f t="shared" si="196"/>
        <v>9189.6726122013406</v>
      </c>
      <c r="O1054" s="74">
        <f t="shared" si="197"/>
        <v>-654.72459311346029</v>
      </c>
      <c r="P1054" s="74">
        <f t="shared" si="198"/>
        <v>9212.966243955907</v>
      </c>
    </row>
    <row r="1055" spans="1:16" x14ac:dyDescent="0.3">
      <c r="A1055" s="72">
        <f t="shared" si="185"/>
        <v>373</v>
      </c>
      <c r="B1055" s="74">
        <f t="shared" si="186"/>
        <v>-8331.3017318920938</v>
      </c>
      <c r="C1055" s="74">
        <f t="shared" si="187"/>
        <v>-43578.352730361163</v>
      </c>
      <c r="D1055" s="74">
        <f t="shared" si="188"/>
        <v>11716.741760618494</v>
      </c>
      <c r="E1055" s="74">
        <f t="shared" si="189"/>
        <v>-18466.154646949253</v>
      </c>
      <c r="F1055" s="74">
        <f t="shared" si="183"/>
        <v>5810.4392495773436</v>
      </c>
      <c r="G1055" s="74">
        <f t="shared" si="184"/>
        <v>15576.041559759124</v>
      </c>
      <c r="H1055" s="74">
        <f t="shared" si="190"/>
        <v>28331.301731892094</v>
      </c>
      <c r="I1055" s="74">
        <f t="shared" si="191"/>
        <v>63578.352730361163</v>
      </c>
      <c r="J1055" s="74">
        <f t="shared" si="192"/>
        <v>69605.097469436354</v>
      </c>
      <c r="K1055" s="74">
        <f t="shared" si="193"/>
        <v>-11668.698268107906</v>
      </c>
      <c r="L1055" s="74">
        <f t="shared" si="194"/>
        <v>63578.352730361163</v>
      </c>
      <c r="M1055" s="74">
        <f t="shared" si="195"/>
        <v>64640.277344534712</v>
      </c>
      <c r="N1055" s="74">
        <f t="shared" si="196"/>
        <v>3331.3017318920938</v>
      </c>
      <c r="O1055" s="74">
        <f t="shared" si="197"/>
        <v>8578.3527303611627</v>
      </c>
      <c r="P1055" s="74">
        <f t="shared" si="198"/>
        <v>9202.4837297004797</v>
      </c>
    </row>
    <row r="1056" spans="1:16" x14ac:dyDescent="0.3">
      <c r="A1056" s="72">
        <f t="shared" si="185"/>
        <v>373.5</v>
      </c>
      <c r="B1056" s="74">
        <f t="shared" si="186"/>
        <v>-1020.3210391885111</v>
      </c>
      <c r="C1056" s="74">
        <f t="shared" si="187"/>
        <v>-48917.419663896013</v>
      </c>
      <c r="D1056" s="74">
        <f t="shared" si="188"/>
        <v>14621.961385407165</v>
      </c>
      <c r="E1056" s="74">
        <f t="shared" si="189"/>
        <v>-10678.133867069691</v>
      </c>
      <c r="F1056" s="74">
        <f t="shared" si="183"/>
        <v>-2941.7254261500734</v>
      </c>
      <c r="G1056" s="74">
        <f t="shared" si="184"/>
        <v>11852.185465609888</v>
      </c>
      <c r="H1056" s="74">
        <f t="shared" si="190"/>
        <v>21020.321039188511</v>
      </c>
      <c r="I1056" s="74">
        <f t="shared" si="191"/>
        <v>68917.419663896013</v>
      </c>
      <c r="J1056" s="74">
        <f t="shared" si="192"/>
        <v>72051.819059064088</v>
      </c>
      <c r="K1056" s="74">
        <f t="shared" si="193"/>
        <v>-18979.678960811489</v>
      </c>
      <c r="L1056" s="74">
        <f t="shared" si="194"/>
        <v>68917.419663896013</v>
      </c>
      <c r="M1056" s="74">
        <f t="shared" si="195"/>
        <v>71483.137498189259</v>
      </c>
      <c r="N1056" s="74">
        <f t="shared" si="196"/>
        <v>-3979.6789608114887</v>
      </c>
      <c r="O1056" s="74">
        <f t="shared" si="197"/>
        <v>13917.419663896013</v>
      </c>
      <c r="P1056" s="74">
        <f t="shared" si="198"/>
        <v>14475.234531161317</v>
      </c>
    </row>
    <row r="1057" spans="1:16" x14ac:dyDescent="0.3">
      <c r="A1057" s="72">
        <f t="shared" si="185"/>
        <v>374</v>
      </c>
      <c r="B1057" s="74">
        <f t="shared" si="186"/>
        <v>5555.2282969775524</v>
      </c>
      <c r="C1057" s="74">
        <f t="shared" si="187"/>
        <v>-51293.440231028384</v>
      </c>
      <c r="D1057" s="74">
        <f t="shared" si="188"/>
        <v>13151.098672332128</v>
      </c>
      <c r="E1057" s="74">
        <f t="shared" si="189"/>
        <v>-4752.0411342647476</v>
      </c>
      <c r="F1057" s="74">
        <f t="shared" si="183"/>
        <v>-4216.7543784398586</v>
      </c>
      <c r="G1057" s="74">
        <f t="shared" si="184"/>
        <v>7654.069895384413</v>
      </c>
      <c r="H1057" s="74">
        <f t="shared" si="190"/>
        <v>14444.771703022448</v>
      </c>
      <c r="I1057" s="74">
        <f t="shared" si="191"/>
        <v>71293.440231028391</v>
      </c>
      <c r="J1057" s="74">
        <f t="shared" si="192"/>
        <v>72742.051452565283</v>
      </c>
      <c r="K1057" s="74">
        <f t="shared" si="193"/>
        <v>-25555.228296977552</v>
      </c>
      <c r="L1057" s="74">
        <f t="shared" si="194"/>
        <v>71293.440231028391</v>
      </c>
      <c r="M1057" s="74">
        <f t="shared" si="195"/>
        <v>75735.225049417131</v>
      </c>
      <c r="N1057" s="74">
        <f t="shared" si="196"/>
        <v>-10555.228296977552</v>
      </c>
      <c r="O1057" s="74">
        <f t="shared" si="197"/>
        <v>16293.440231028384</v>
      </c>
      <c r="P1057" s="74">
        <f t="shared" si="198"/>
        <v>19413.630236599489</v>
      </c>
    </row>
    <row r="1058" spans="1:16" x14ac:dyDescent="0.3">
      <c r="A1058" s="72">
        <f t="shared" si="185"/>
        <v>374.5</v>
      </c>
      <c r="B1058" s="74">
        <f t="shared" si="186"/>
        <v>11076.589038533652</v>
      </c>
      <c r="C1058" s="74">
        <f t="shared" si="187"/>
        <v>-51755.943324314649</v>
      </c>
      <c r="D1058" s="74">
        <f t="shared" si="188"/>
        <v>11042.721483112198</v>
      </c>
      <c r="E1058" s="74">
        <f t="shared" si="189"/>
        <v>-925.00618657254108</v>
      </c>
      <c r="F1058" s="74">
        <f t="shared" si="183"/>
        <v>-4207.9914584546559</v>
      </c>
      <c r="G1058" s="74">
        <f t="shared" si="184"/>
        <v>5432.5436342683743</v>
      </c>
      <c r="H1058" s="74">
        <f t="shared" si="190"/>
        <v>8923.4109614663485</v>
      </c>
      <c r="I1058" s="74">
        <f t="shared" si="191"/>
        <v>71755.943324314649</v>
      </c>
      <c r="J1058" s="74">
        <f t="shared" si="192"/>
        <v>72308.662451669472</v>
      </c>
      <c r="K1058" s="74">
        <f t="shared" si="193"/>
        <v>-31076.589038533653</v>
      </c>
      <c r="L1058" s="74">
        <f t="shared" si="194"/>
        <v>71755.943324314649</v>
      </c>
      <c r="M1058" s="74">
        <f t="shared" si="195"/>
        <v>78196.35406227177</v>
      </c>
      <c r="N1058" s="74">
        <f t="shared" si="196"/>
        <v>-16076.589038533652</v>
      </c>
      <c r="O1058" s="74">
        <f t="shared" si="197"/>
        <v>16755.943324314649</v>
      </c>
      <c r="P1058" s="74">
        <f t="shared" si="198"/>
        <v>23221.075595276481</v>
      </c>
    </row>
    <row r="1059" spans="1:16" x14ac:dyDescent="0.3">
      <c r="A1059" s="72">
        <f t="shared" si="185"/>
        <v>375</v>
      </c>
      <c r="B1059" s="74">
        <f t="shared" si="186"/>
        <v>15545.951915476087</v>
      </c>
      <c r="C1059" s="74">
        <f t="shared" si="187"/>
        <v>-50860.310509033829</v>
      </c>
      <c r="D1059" s="74">
        <f t="shared" si="188"/>
        <v>8938.7257538848698</v>
      </c>
      <c r="E1059" s="74">
        <f t="shared" si="189"/>
        <v>1791.265630561646</v>
      </c>
      <c r="F1059" s="74">
        <f t="shared" si="183"/>
        <v>-4099.2429609269529</v>
      </c>
      <c r="G1059" s="74">
        <f t="shared" si="184"/>
        <v>4192.7694953139307</v>
      </c>
      <c r="H1059" s="74">
        <f t="shared" si="190"/>
        <v>4454.0480845239126</v>
      </c>
      <c r="I1059" s="74">
        <f t="shared" si="191"/>
        <v>70860.310509033821</v>
      </c>
      <c r="J1059" s="74">
        <f t="shared" si="192"/>
        <v>71000.155984166267</v>
      </c>
      <c r="K1059" s="74">
        <f t="shared" si="193"/>
        <v>-35545.951915476086</v>
      </c>
      <c r="L1059" s="74">
        <f t="shared" si="194"/>
        <v>70860.310509033821</v>
      </c>
      <c r="M1059" s="74">
        <f t="shared" si="195"/>
        <v>79276.089100144367</v>
      </c>
      <c r="N1059" s="74">
        <f t="shared" si="196"/>
        <v>-20545.951915476086</v>
      </c>
      <c r="O1059" s="74">
        <f t="shared" si="197"/>
        <v>15860.310509033829</v>
      </c>
      <c r="P1059" s="74">
        <f t="shared" si="198"/>
        <v>25955.453946252303</v>
      </c>
    </row>
    <row r="1060" spans="1:16" x14ac:dyDescent="0.3">
      <c r="A1060" s="72">
        <f t="shared" si="185"/>
        <v>375.5</v>
      </c>
      <c r="B1060" s="74">
        <f t="shared" si="186"/>
        <v>18990.504052186785</v>
      </c>
      <c r="C1060" s="74">
        <f t="shared" si="187"/>
        <v>-48916.485319924526</v>
      </c>
      <c r="D1060" s="74">
        <f t="shared" si="188"/>
        <v>6889.1042734213934</v>
      </c>
      <c r="E1060" s="74">
        <f t="shared" si="189"/>
        <v>3887.6503782186114</v>
      </c>
      <c r="F1060" s="74">
        <f t="shared" si="183"/>
        <v>-4074.7538094961201</v>
      </c>
      <c r="G1060" s="74">
        <f t="shared" si="184"/>
        <v>3422.4826306715704</v>
      </c>
      <c r="H1060" s="74">
        <f t="shared" si="190"/>
        <v>1009.495947813215</v>
      </c>
      <c r="I1060" s="74">
        <f t="shared" si="191"/>
        <v>68916.485319924526</v>
      </c>
      <c r="J1060" s="74">
        <f t="shared" si="192"/>
        <v>68923.878524935208</v>
      </c>
      <c r="K1060" s="74">
        <f t="shared" si="193"/>
        <v>-38990.504052186785</v>
      </c>
      <c r="L1060" s="74">
        <f t="shared" si="194"/>
        <v>68916.485319924526</v>
      </c>
      <c r="M1060" s="74">
        <f t="shared" si="195"/>
        <v>79181.698359500777</v>
      </c>
      <c r="N1060" s="74">
        <f t="shared" si="196"/>
        <v>-23990.504052186785</v>
      </c>
      <c r="O1060" s="74">
        <f t="shared" si="197"/>
        <v>13916.485319924526</v>
      </c>
      <c r="P1060" s="74">
        <f t="shared" si="198"/>
        <v>27734.686735884821</v>
      </c>
    </row>
    <row r="1061" spans="1:16" x14ac:dyDescent="0.3">
      <c r="A1061" s="72">
        <f t="shared" si="185"/>
        <v>376</v>
      </c>
      <c r="B1061" s="74">
        <f t="shared" si="186"/>
        <v>21416.367736523451</v>
      </c>
      <c r="C1061" s="74">
        <f t="shared" si="187"/>
        <v>-46117.039473147328</v>
      </c>
      <c r="D1061" s="74">
        <f t="shared" si="188"/>
        <v>4851.7273686733333</v>
      </c>
      <c r="E1061" s="74">
        <f t="shared" si="189"/>
        <v>5598.8916935543966</v>
      </c>
      <c r="F1061" s="74">
        <f t="shared" si="183"/>
        <v>-4160.181104497291</v>
      </c>
      <c r="G1061" s="74">
        <f t="shared" si="184"/>
        <v>2884.5088088420835</v>
      </c>
      <c r="H1061" s="74">
        <f t="shared" si="190"/>
        <v>-1416.3677365234507</v>
      </c>
      <c r="I1061" s="74">
        <f t="shared" si="191"/>
        <v>66117.039473147335</v>
      </c>
      <c r="J1061" s="74">
        <f t="shared" si="192"/>
        <v>66132.208539098312</v>
      </c>
      <c r="K1061" s="74">
        <f t="shared" si="193"/>
        <v>-41416.367736523447</v>
      </c>
      <c r="L1061" s="74">
        <f t="shared" si="194"/>
        <v>66117.039473147335</v>
      </c>
      <c r="M1061" s="74">
        <f t="shared" si="195"/>
        <v>78017.808384885197</v>
      </c>
      <c r="N1061" s="74">
        <f t="shared" si="196"/>
        <v>-26416.367736523451</v>
      </c>
      <c r="O1061" s="74">
        <f t="shared" si="197"/>
        <v>11117.039473147328</v>
      </c>
      <c r="P1061" s="74">
        <f t="shared" si="198"/>
        <v>28660.304447768049</v>
      </c>
    </row>
    <row r="1062" spans="1:16" x14ac:dyDescent="0.3">
      <c r="A1062" s="72">
        <f t="shared" si="185"/>
        <v>376.5</v>
      </c>
      <c r="B1062" s="74">
        <f t="shared" si="186"/>
        <v>22802.186144735795</v>
      </c>
      <c r="C1062" s="74">
        <f t="shared" si="187"/>
        <v>-42596.466424159611</v>
      </c>
      <c r="D1062" s="74">
        <f t="shared" si="188"/>
        <v>2771.6368164246878</v>
      </c>
      <c r="E1062" s="74">
        <f t="shared" si="189"/>
        <v>7041.1460979754384</v>
      </c>
      <c r="F1062" s="74">
        <f t="shared" si="183"/>
        <v>-4354.804554452674</v>
      </c>
      <c r="G1062" s="74">
        <f t="shared" si="184"/>
        <v>2449.9107716096187</v>
      </c>
      <c r="H1062" s="74">
        <f t="shared" si="190"/>
        <v>-2802.1861447357951</v>
      </c>
      <c r="I1062" s="74">
        <f t="shared" si="191"/>
        <v>62596.466424159611</v>
      </c>
      <c r="J1062" s="74">
        <f t="shared" si="192"/>
        <v>62659.156202271755</v>
      </c>
      <c r="K1062" s="74">
        <f t="shared" si="193"/>
        <v>-42802.186144735795</v>
      </c>
      <c r="L1062" s="74">
        <f t="shared" si="194"/>
        <v>62596.466424159611</v>
      </c>
      <c r="M1062" s="74">
        <f t="shared" si="195"/>
        <v>75831.027604533723</v>
      </c>
      <c r="N1062" s="74">
        <f t="shared" si="196"/>
        <v>-27802.186144735795</v>
      </c>
      <c r="O1062" s="74">
        <f t="shared" si="197"/>
        <v>7596.4664241596111</v>
      </c>
      <c r="P1062" s="74">
        <f t="shared" si="198"/>
        <v>28821.309070892727</v>
      </c>
    </row>
    <row r="1063" spans="1:16" x14ac:dyDescent="0.3">
      <c r="A1063" s="72">
        <f t="shared" si="185"/>
        <v>377</v>
      </c>
      <c r="B1063" s="74">
        <f t="shared" si="186"/>
        <v>23099.303414334972</v>
      </c>
      <c r="C1063" s="74">
        <f t="shared" si="187"/>
        <v>-38463.415682269493</v>
      </c>
      <c r="D1063" s="74">
        <f t="shared" si="188"/>
        <v>594.23453919835083</v>
      </c>
      <c r="E1063" s="74">
        <f t="shared" si="189"/>
        <v>8266.1014837802468</v>
      </c>
      <c r="F1063" s="74">
        <f t="shared" si="183"/>
        <v>-4646.8520786583522</v>
      </c>
      <c r="G1063" s="74">
        <f t="shared" si="184"/>
        <v>2026.122505749765</v>
      </c>
      <c r="H1063" s="74">
        <f t="shared" si="190"/>
        <v>-3099.3034143349723</v>
      </c>
      <c r="I1063" s="74">
        <f t="shared" si="191"/>
        <v>58463.415682269493</v>
      </c>
      <c r="J1063" s="74">
        <f t="shared" si="192"/>
        <v>58545.509263238484</v>
      </c>
      <c r="K1063" s="74">
        <f t="shared" si="193"/>
        <v>-43099.303414334972</v>
      </c>
      <c r="L1063" s="74">
        <f t="shared" si="194"/>
        <v>58463.415682269493</v>
      </c>
      <c r="M1063" s="74">
        <f t="shared" si="195"/>
        <v>72632.781359650136</v>
      </c>
      <c r="N1063" s="74">
        <f t="shared" si="196"/>
        <v>-28099.303414334972</v>
      </c>
      <c r="O1063" s="74">
        <f t="shared" si="197"/>
        <v>3463.4156822694931</v>
      </c>
      <c r="P1063" s="74">
        <f t="shared" si="198"/>
        <v>28311.94271962006</v>
      </c>
    </row>
    <row r="1064" spans="1:16" x14ac:dyDescent="0.3">
      <c r="A1064" s="72">
        <f t="shared" si="185"/>
        <v>377.5</v>
      </c>
      <c r="B1064" s="74">
        <f t="shared" si="186"/>
        <v>22234.707664269561</v>
      </c>
      <c r="C1064" s="74">
        <f t="shared" si="187"/>
        <v>-33823.83431394193</v>
      </c>
      <c r="D1064" s="74">
        <f t="shared" si="188"/>
        <v>-1729.1915001308253</v>
      </c>
      <c r="E1064" s="74">
        <f t="shared" si="189"/>
        <v>9279.1627366551293</v>
      </c>
      <c r="F1064" s="74">
        <f t="shared" si="183"/>
        <v>-4994.021733224251</v>
      </c>
      <c r="G1064" s="74">
        <f t="shared" si="184"/>
        <v>1522.6601608010978</v>
      </c>
      <c r="H1064" s="74">
        <f t="shared" si="190"/>
        <v>-2234.7076642695611</v>
      </c>
      <c r="I1064" s="74">
        <f t="shared" si="191"/>
        <v>53823.83431394193</v>
      </c>
      <c r="J1064" s="74">
        <f t="shared" si="192"/>
        <v>53870.205666949318</v>
      </c>
      <c r="K1064" s="74">
        <f t="shared" si="193"/>
        <v>-42234.707664269561</v>
      </c>
      <c r="L1064" s="74">
        <f t="shared" si="194"/>
        <v>53823.83431394193</v>
      </c>
      <c r="M1064" s="74">
        <f t="shared" si="195"/>
        <v>68416.194513733251</v>
      </c>
      <c r="N1064" s="74">
        <f t="shared" si="196"/>
        <v>-27234.707664269561</v>
      </c>
      <c r="O1064" s="74">
        <f t="shared" si="197"/>
        <v>-1176.1656860580697</v>
      </c>
      <c r="P1064" s="74">
        <f t="shared" si="198"/>
        <v>27260.092943335381</v>
      </c>
    </row>
    <row r="1065" spans="1:16" x14ac:dyDescent="0.3">
      <c r="A1065" s="72">
        <f t="shared" si="185"/>
        <v>378</v>
      </c>
      <c r="B1065" s="74">
        <f t="shared" si="186"/>
        <v>20121.606480898088</v>
      </c>
      <c r="C1065" s="74">
        <f t="shared" si="187"/>
        <v>-28803.587905414093</v>
      </c>
      <c r="D1065" s="74">
        <f t="shared" si="188"/>
        <v>-4226.2023667429512</v>
      </c>
      <c r="E1065" s="74">
        <f t="shared" si="189"/>
        <v>10040.492817055678</v>
      </c>
      <c r="F1065" s="74">
        <f t="shared" si="183"/>
        <v>-5267.1086058109395</v>
      </c>
      <c r="G1065" s="74">
        <f t="shared" si="184"/>
        <v>842.7330769030757</v>
      </c>
      <c r="H1065" s="74">
        <f t="shared" si="190"/>
        <v>-121.60648089808819</v>
      </c>
      <c r="I1065" s="74">
        <f t="shared" si="191"/>
        <v>48803.587905414097</v>
      </c>
      <c r="J1065" s="74">
        <f t="shared" si="192"/>
        <v>48803.739411828654</v>
      </c>
      <c r="K1065" s="74">
        <f t="shared" si="193"/>
        <v>-40121.606480898088</v>
      </c>
      <c r="L1065" s="74">
        <f t="shared" si="194"/>
        <v>48803.587905414097</v>
      </c>
      <c r="M1065" s="74">
        <f t="shared" si="195"/>
        <v>63178.584180476253</v>
      </c>
      <c r="N1065" s="74">
        <f t="shared" si="196"/>
        <v>-25121.606480898088</v>
      </c>
      <c r="O1065" s="74">
        <f t="shared" si="197"/>
        <v>-6196.4120945859067</v>
      </c>
      <c r="P1065" s="74">
        <f t="shared" si="198"/>
        <v>25874.517097465439</v>
      </c>
    </row>
    <row r="1066" spans="1:16" x14ac:dyDescent="0.3">
      <c r="A1066" s="72">
        <f t="shared" si="185"/>
        <v>378.5</v>
      </c>
      <c r="B1066" s="74">
        <f t="shared" si="186"/>
        <v>16691.728146073878</v>
      </c>
      <c r="C1066" s="74">
        <f t="shared" si="187"/>
        <v>-23572.658227660486</v>
      </c>
      <c r="D1066" s="74">
        <f t="shared" si="188"/>
        <v>-6859.7566696484209</v>
      </c>
      <c r="E1066" s="74">
        <f t="shared" si="189"/>
        <v>10461.859355507215</v>
      </c>
      <c r="F1066" s="74">
        <f t="shared" si="183"/>
        <v>-5153.9946269018983</v>
      </c>
      <c r="G1066" s="74">
        <f t="shared" si="184"/>
        <v>-61.313005777797116</v>
      </c>
      <c r="H1066" s="74">
        <f t="shared" si="190"/>
        <v>3308.2718539261223</v>
      </c>
      <c r="I1066" s="74">
        <f t="shared" si="191"/>
        <v>43572.65822766049</v>
      </c>
      <c r="J1066" s="74">
        <f t="shared" si="192"/>
        <v>43698.068695126436</v>
      </c>
      <c r="K1066" s="74">
        <f t="shared" si="193"/>
        <v>-36691.728146073874</v>
      </c>
      <c r="L1066" s="74">
        <f t="shared" si="194"/>
        <v>43572.65822766049</v>
      </c>
      <c r="M1066" s="74">
        <f t="shared" si="195"/>
        <v>56963.667889014127</v>
      </c>
      <c r="N1066" s="74">
        <f t="shared" si="196"/>
        <v>-21691.728146073878</v>
      </c>
      <c r="O1066" s="74">
        <f t="shared" si="197"/>
        <v>-11427.341772339514</v>
      </c>
      <c r="P1066" s="74">
        <f t="shared" si="198"/>
        <v>24517.650987503457</v>
      </c>
    </row>
    <row r="1067" spans="1:16" x14ac:dyDescent="0.3">
      <c r="A1067" s="72">
        <f t="shared" si="185"/>
        <v>379</v>
      </c>
      <c r="B1067" s="74">
        <f t="shared" si="186"/>
        <v>11973.351154524193</v>
      </c>
      <c r="C1067" s="74">
        <f t="shared" si="187"/>
        <v>-18357.056801351329</v>
      </c>
      <c r="D1067" s="74">
        <f t="shared" si="188"/>
        <v>-9436.7539830993701</v>
      </c>
      <c r="E1067" s="74">
        <f t="shared" si="189"/>
        <v>10431.202852618317</v>
      </c>
      <c r="F1067" s="74">
        <f t="shared" si="183"/>
        <v>-4167.0972701294559</v>
      </c>
      <c r="G1067" s="74">
        <f t="shared" si="184"/>
        <v>-999.72938086994782</v>
      </c>
      <c r="H1067" s="74">
        <f t="shared" si="190"/>
        <v>8026.6488454758073</v>
      </c>
      <c r="I1067" s="74">
        <f t="shared" si="191"/>
        <v>38357.056801351326</v>
      </c>
      <c r="J1067" s="74">
        <f t="shared" si="192"/>
        <v>39187.892239193854</v>
      </c>
      <c r="K1067" s="74">
        <f t="shared" si="193"/>
        <v>-31973.351154524193</v>
      </c>
      <c r="L1067" s="74">
        <f t="shared" si="194"/>
        <v>38357.056801351326</v>
      </c>
      <c r="M1067" s="74">
        <f t="shared" si="195"/>
        <v>49935.548364993505</v>
      </c>
      <c r="N1067" s="74">
        <f t="shared" si="196"/>
        <v>-16973.351154524193</v>
      </c>
      <c r="O1067" s="74">
        <f t="shared" si="197"/>
        <v>-16642.943198648671</v>
      </c>
      <c r="P1067" s="74">
        <f t="shared" si="198"/>
        <v>23771.45783767234</v>
      </c>
    </row>
    <row r="1068" spans="1:16" x14ac:dyDescent="0.3">
      <c r="A1068" s="72">
        <f t="shared" si="185"/>
        <v>379.5</v>
      </c>
      <c r="B1068" s="74">
        <f t="shared" si="186"/>
        <v>6213.1998454421437</v>
      </c>
      <c r="C1068" s="74">
        <f t="shared" si="187"/>
        <v>-13391.387720259658</v>
      </c>
      <c r="D1068" s="74">
        <f t="shared" si="188"/>
        <v>-11520.302618164098</v>
      </c>
      <c r="E1068" s="74">
        <f t="shared" si="189"/>
        <v>9931.3381621833432</v>
      </c>
      <c r="F1068" s="74">
        <f t="shared" si="183"/>
        <v>-2177.3815087081289</v>
      </c>
      <c r="G1068" s="74">
        <f t="shared" si="184"/>
        <v>-1421.0374573246327</v>
      </c>
      <c r="H1068" s="74">
        <f t="shared" si="190"/>
        <v>13786.800154557855</v>
      </c>
      <c r="I1068" s="74">
        <f t="shared" si="191"/>
        <v>33391.387720259656</v>
      </c>
      <c r="J1068" s="74">
        <f t="shared" si="192"/>
        <v>36125.622934233594</v>
      </c>
      <c r="K1068" s="74">
        <f t="shared" si="193"/>
        <v>-26213.199845442145</v>
      </c>
      <c r="L1068" s="74">
        <f t="shared" si="194"/>
        <v>33391.387720259656</v>
      </c>
      <c r="M1068" s="74">
        <f t="shared" si="195"/>
        <v>42451.344148587283</v>
      </c>
      <c r="N1068" s="74">
        <f t="shared" si="196"/>
        <v>-11213.199845442145</v>
      </c>
      <c r="O1068" s="74">
        <f t="shared" si="197"/>
        <v>-21608.612279740344</v>
      </c>
      <c r="P1068" s="74">
        <f t="shared" si="198"/>
        <v>24344.773061788212</v>
      </c>
    </row>
    <row r="1069" spans="1:16" x14ac:dyDescent="0.3">
      <c r="A1069" s="72">
        <f t="shared" si="185"/>
        <v>380</v>
      </c>
      <c r="B1069" s="74">
        <f t="shared" si="186"/>
        <v>-91.296840816937561</v>
      </c>
      <c r="C1069" s="74">
        <f t="shared" si="187"/>
        <v>-8780.9780034991436</v>
      </c>
      <c r="D1069" s="74">
        <f t="shared" si="188"/>
        <v>-12608.993372518162</v>
      </c>
      <c r="E1069" s="74">
        <f t="shared" si="189"/>
        <v>9220.8194335210264</v>
      </c>
      <c r="F1069" s="74">
        <f t="shared" si="183"/>
        <v>-81.175685766169636</v>
      </c>
      <c r="G1069" s="74">
        <f t="shared" si="184"/>
        <v>-936.42284490570273</v>
      </c>
      <c r="H1069" s="74">
        <f t="shared" si="190"/>
        <v>20091.296840816936</v>
      </c>
      <c r="I1069" s="74">
        <f t="shared" si="191"/>
        <v>28780.978003499142</v>
      </c>
      <c r="J1069" s="74">
        <f t="shared" si="192"/>
        <v>35099.927401402441</v>
      </c>
      <c r="K1069" s="74">
        <f t="shared" si="193"/>
        <v>-19908.703159183064</v>
      </c>
      <c r="L1069" s="74">
        <f t="shared" si="194"/>
        <v>28780.978003499142</v>
      </c>
      <c r="M1069" s="74">
        <f t="shared" si="195"/>
        <v>34995.730544144484</v>
      </c>
      <c r="N1069" s="74">
        <f t="shared" si="196"/>
        <v>-4908.7031591830628</v>
      </c>
      <c r="O1069" s="74">
        <f t="shared" si="197"/>
        <v>-26219.021996500858</v>
      </c>
      <c r="P1069" s="74">
        <f t="shared" si="198"/>
        <v>26674.566185000454</v>
      </c>
    </row>
    <row r="1070" spans="1:16" x14ac:dyDescent="0.3">
      <c r="A1070" s="72">
        <f t="shared" si="185"/>
        <v>380.5</v>
      </c>
      <c r="B1070" s="74">
        <f t="shared" si="186"/>
        <v>-6416.0874485175609</v>
      </c>
      <c r="C1070" s="74">
        <f t="shared" si="187"/>
        <v>-4404.6739979650556</v>
      </c>
      <c r="D1070" s="74">
        <f t="shared" si="188"/>
        <v>-12649.581215401247</v>
      </c>
      <c r="E1070" s="74">
        <f t="shared" si="189"/>
        <v>8752.608011068176</v>
      </c>
      <c r="F1070" s="74">
        <f t="shared" si="183"/>
        <v>1116.8155453443444</v>
      </c>
      <c r="G1070" s="74">
        <f t="shared" si="184"/>
        <v>267.8209900423285</v>
      </c>
      <c r="H1070" s="74">
        <f t="shared" si="190"/>
        <v>26416.087448517559</v>
      </c>
      <c r="I1070" s="74">
        <f t="shared" si="191"/>
        <v>24404.673997965056</v>
      </c>
      <c r="J1070" s="74">
        <f t="shared" si="192"/>
        <v>35963.840020702446</v>
      </c>
      <c r="K1070" s="74">
        <f t="shared" si="193"/>
        <v>-13583.912551482439</v>
      </c>
      <c r="L1070" s="74">
        <f t="shared" si="194"/>
        <v>24404.673997965056</v>
      </c>
      <c r="M1070" s="74">
        <f t="shared" si="195"/>
        <v>27930.463532732032</v>
      </c>
      <c r="N1070" s="74">
        <f t="shared" si="196"/>
        <v>1416.0874485175609</v>
      </c>
      <c r="O1070" s="74">
        <f t="shared" si="197"/>
        <v>-30595.326002034944</v>
      </c>
      <c r="P1070" s="74">
        <f t="shared" si="198"/>
        <v>30628.079875053292</v>
      </c>
    </row>
    <row r="1071" spans="1:16" x14ac:dyDescent="0.3">
      <c r="A1071" s="72">
        <f t="shared" si="185"/>
        <v>381</v>
      </c>
      <c r="B1071" s="74">
        <f t="shared" si="186"/>
        <v>-12461.674169882099</v>
      </c>
      <c r="C1071" s="74">
        <f t="shared" si="187"/>
        <v>38.585255079614512</v>
      </c>
      <c r="D1071" s="74">
        <f t="shared" si="188"/>
        <v>-12091.173442729076</v>
      </c>
      <c r="E1071" s="74">
        <f t="shared" si="189"/>
        <v>8886.51850608934</v>
      </c>
      <c r="F1071" s="74">
        <f t="shared" si="183"/>
        <v>1464.683234679429</v>
      </c>
      <c r="G1071" s="74">
        <f t="shared" si="184"/>
        <v>2132.5517491534124</v>
      </c>
      <c r="H1071" s="74">
        <f t="shared" si="190"/>
        <v>32461.674169882099</v>
      </c>
      <c r="I1071" s="74">
        <f t="shared" si="191"/>
        <v>19961.414744920385</v>
      </c>
      <c r="J1071" s="74">
        <f t="shared" si="192"/>
        <v>38107.983002650712</v>
      </c>
      <c r="K1071" s="74">
        <f t="shared" si="193"/>
        <v>-7538.3258301179012</v>
      </c>
      <c r="L1071" s="74">
        <f t="shared" si="194"/>
        <v>19961.414744920385</v>
      </c>
      <c r="M1071" s="74">
        <f t="shared" si="195"/>
        <v>21337.395223872751</v>
      </c>
      <c r="N1071" s="74">
        <f t="shared" si="196"/>
        <v>7461.6741698820988</v>
      </c>
      <c r="O1071" s="74">
        <f t="shared" si="197"/>
        <v>-35038.585255079612</v>
      </c>
      <c r="P1071" s="74">
        <f t="shared" si="198"/>
        <v>35824.280008047172</v>
      </c>
    </row>
    <row r="1072" spans="1:16" x14ac:dyDescent="0.3">
      <c r="A1072" s="72">
        <f t="shared" si="185"/>
        <v>381.5</v>
      </c>
      <c r="B1072" s="74">
        <f t="shared" si="186"/>
        <v>-18141.090082576782</v>
      </c>
      <c r="C1072" s="74">
        <f t="shared" si="187"/>
        <v>5014.9824454126374</v>
      </c>
      <c r="D1072" s="74">
        <f t="shared" si="188"/>
        <v>-11358.831825389361</v>
      </c>
      <c r="E1072" s="74">
        <f t="shared" si="189"/>
        <v>9952.794380666046</v>
      </c>
      <c r="F1072" s="74">
        <f t="shared" si="183"/>
        <v>2008.2991525604625</v>
      </c>
      <c r="G1072" s="74">
        <f t="shared" si="184"/>
        <v>5210.6281796888397</v>
      </c>
      <c r="H1072" s="74">
        <f t="shared" si="190"/>
        <v>38141.090082576782</v>
      </c>
      <c r="I1072" s="74">
        <f t="shared" si="191"/>
        <v>14985.017554587363</v>
      </c>
      <c r="J1072" s="74">
        <f t="shared" si="192"/>
        <v>40979.183786387555</v>
      </c>
      <c r="K1072" s="74">
        <f t="shared" si="193"/>
        <v>-1858.9099174232178</v>
      </c>
      <c r="L1072" s="74">
        <f t="shared" si="194"/>
        <v>14985.017554587363</v>
      </c>
      <c r="M1072" s="74">
        <f t="shared" si="195"/>
        <v>15099.877389978563</v>
      </c>
      <c r="N1072" s="74">
        <f t="shared" si="196"/>
        <v>13141.090082576782</v>
      </c>
      <c r="O1072" s="74">
        <f t="shared" si="197"/>
        <v>-40014.982445412636</v>
      </c>
      <c r="P1072" s="74">
        <f t="shared" si="198"/>
        <v>42117.538729905376</v>
      </c>
    </row>
    <row r="1073" spans="1:16" x14ac:dyDescent="0.3">
      <c r="A1073" s="72">
        <f t="shared" si="185"/>
        <v>382</v>
      </c>
      <c r="B1073" s="74">
        <f t="shared" si="186"/>
        <v>-23318.431207131347</v>
      </c>
      <c r="C1073" s="74">
        <f t="shared" si="187"/>
        <v>11294.036680667868</v>
      </c>
      <c r="D1073" s="74">
        <f t="shared" si="188"/>
        <v>-10354.68224910913</v>
      </c>
      <c r="E1073" s="74">
        <f t="shared" si="189"/>
        <v>12558.108470510466</v>
      </c>
      <c r="F1073" s="74">
        <f t="shared" si="183"/>
        <v>6380.5861437578387</v>
      </c>
      <c r="G1073" s="74">
        <f t="shared" si="184"/>
        <v>8993.4262723695301</v>
      </c>
      <c r="H1073" s="74">
        <f t="shared" si="190"/>
        <v>43318.431207131347</v>
      </c>
      <c r="I1073" s="74">
        <f t="shared" si="191"/>
        <v>8705.9633193321315</v>
      </c>
      <c r="J1073" s="74">
        <f t="shared" si="192"/>
        <v>44184.615869831068</v>
      </c>
      <c r="K1073" s="74">
        <f t="shared" si="193"/>
        <v>3318.431207131347</v>
      </c>
      <c r="L1073" s="74">
        <f t="shared" si="194"/>
        <v>8705.9633193321315</v>
      </c>
      <c r="M1073" s="74">
        <f t="shared" si="195"/>
        <v>9316.9621118699288</v>
      </c>
      <c r="N1073" s="74">
        <f t="shared" si="196"/>
        <v>18318.431207131347</v>
      </c>
      <c r="O1073" s="74">
        <f t="shared" si="197"/>
        <v>-46294.036680667865</v>
      </c>
      <c r="P1073" s="74">
        <f t="shared" si="198"/>
        <v>49786.572025812595</v>
      </c>
    </row>
    <row r="1074" spans="1:16" x14ac:dyDescent="0.3">
      <c r="A1074" s="72">
        <f t="shared" si="185"/>
        <v>382.5</v>
      </c>
      <c r="B1074" s="74">
        <f t="shared" si="186"/>
        <v>-26900.625795746451</v>
      </c>
      <c r="C1074" s="74">
        <f t="shared" si="187"/>
        <v>19821.447484015483</v>
      </c>
      <c r="D1074" s="74">
        <f t="shared" si="188"/>
        <v>-7164.3891772302104</v>
      </c>
      <c r="E1074" s="74">
        <f t="shared" si="189"/>
        <v>17054.82160669523</v>
      </c>
      <c r="F1074" s="74">
        <f t="shared" si="183"/>
        <v>14753.342033040146</v>
      </c>
      <c r="G1074" s="74">
        <f t="shared" si="184"/>
        <v>-738.42349974780404</v>
      </c>
      <c r="H1074" s="74">
        <f t="shared" si="190"/>
        <v>46900.625795746455</v>
      </c>
      <c r="I1074" s="74">
        <f t="shared" si="191"/>
        <v>178.5525159845165</v>
      </c>
      <c r="J1074" s="74">
        <f t="shared" si="192"/>
        <v>46900.96567271938</v>
      </c>
      <c r="K1074" s="74">
        <f t="shared" si="193"/>
        <v>6900.6257957464513</v>
      </c>
      <c r="L1074" s="74">
        <f t="shared" si="194"/>
        <v>178.5525159845165</v>
      </c>
      <c r="M1074" s="74">
        <f t="shared" si="195"/>
        <v>6902.9354171892519</v>
      </c>
      <c r="N1074" s="74">
        <f t="shared" si="196"/>
        <v>21900.625795746451</v>
      </c>
      <c r="O1074" s="74">
        <f t="shared" si="197"/>
        <v>-54821.447484015487</v>
      </c>
      <c r="P1074" s="74">
        <f t="shared" si="198"/>
        <v>59034.130081572162</v>
      </c>
    </row>
    <row r="1075" spans="1:16" x14ac:dyDescent="0.3">
      <c r="A1075" s="72">
        <f t="shared" si="185"/>
        <v>383</v>
      </c>
      <c r="B1075" s="74">
        <f t="shared" si="186"/>
        <v>-26794.48487610152</v>
      </c>
      <c r="C1075" s="74">
        <f t="shared" si="187"/>
        <v>28164.252412426147</v>
      </c>
      <c r="D1075" s="74">
        <f t="shared" si="188"/>
        <v>212.28183928986255</v>
      </c>
      <c r="E1075" s="74">
        <f t="shared" si="189"/>
        <v>16685.609856821327</v>
      </c>
      <c r="F1075" s="74">
        <f t="shared" si="183"/>
        <v>8207.1583311744525</v>
      </c>
      <c r="G1075" s="74">
        <f t="shared" si="184"/>
        <v>-8603.818526851217</v>
      </c>
      <c r="H1075" s="74">
        <f t="shared" si="190"/>
        <v>46794.484876101516</v>
      </c>
      <c r="I1075" s="74">
        <f t="shared" si="191"/>
        <v>-8164.2524124261472</v>
      </c>
      <c r="J1075" s="74">
        <f t="shared" si="192"/>
        <v>47501.356109836481</v>
      </c>
      <c r="K1075" s="74">
        <f t="shared" si="193"/>
        <v>6794.4848761015201</v>
      </c>
      <c r="L1075" s="74">
        <f t="shared" si="194"/>
        <v>-8164.2524124261472</v>
      </c>
      <c r="M1075" s="74">
        <f t="shared" si="195"/>
        <v>10621.677936436336</v>
      </c>
      <c r="N1075" s="74">
        <f t="shared" si="196"/>
        <v>21794.48487610152</v>
      </c>
      <c r="O1075" s="74">
        <f t="shared" si="197"/>
        <v>-63164.252412426147</v>
      </c>
      <c r="P1075" s="74">
        <f t="shared" si="198"/>
        <v>66818.577909405562</v>
      </c>
    </row>
    <row r="1076" spans="1:16" x14ac:dyDescent="0.3">
      <c r="A1076" s="72">
        <f t="shared" si="185"/>
        <v>383.5</v>
      </c>
      <c r="B1076" s="74">
        <f t="shared" si="186"/>
        <v>-24636.554373662977</v>
      </c>
      <c r="C1076" s="74">
        <f t="shared" si="187"/>
        <v>34356.102709124003</v>
      </c>
      <c r="D1076" s="74">
        <f t="shared" si="188"/>
        <v>4315.8610048770888</v>
      </c>
      <c r="E1076" s="74">
        <f t="shared" si="189"/>
        <v>12383.700593395719</v>
      </c>
      <c r="F1076" s="74">
        <f t="shared" si="183"/>
        <v>3907.1571785152382</v>
      </c>
      <c r="G1076" s="74">
        <f t="shared" si="184"/>
        <v>-7482.8761282466203</v>
      </c>
      <c r="H1076" s="74">
        <f t="shared" si="190"/>
        <v>44636.554373662977</v>
      </c>
      <c r="I1076" s="74">
        <f t="shared" si="191"/>
        <v>-14356.102709124003</v>
      </c>
      <c r="J1076" s="74">
        <f t="shared" si="192"/>
        <v>46888.37458632885</v>
      </c>
      <c r="K1076" s="74">
        <f t="shared" si="193"/>
        <v>4636.554373662977</v>
      </c>
      <c r="L1076" s="74">
        <f t="shared" si="194"/>
        <v>-14356.102709124003</v>
      </c>
      <c r="M1076" s="74">
        <f t="shared" si="195"/>
        <v>15086.262673533522</v>
      </c>
      <c r="N1076" s="74">
        <f t="shared" si="196"/>
        <v>19636.554373662977</v>
      </c>
      <c r="O1076" s="74">
        <f t="shared" si="197"/>
        <v>-69356.10270912401</v>
      </c>
      <c r="P1076" s="74">
        <f t="shared" si="198"/>
        <v>72082.336606608296</v>
      </c>
    </row>
    <row r="1077" spans="1:16" x14ac:dyDescent="0.3">
      <c r="A1077" s="72">
        <f t="shared" si="185"/>
        <v>384</v>
      </c>
      <c r="B1077" s="74">
        <f t="shared" si="186"/>
        <v>-21501.834576595626</v>
      </c>
      <c r="C1077" s="74">
        <f t="shared" si="187"/>
        <v>38677.233973760209</v>
      </c>
      <c r="D1077" s="74">
        <f t="shared" si="188"/>
        <v>6269.4395941347084</v>
      </c>
      <c r="E1077" s="74">
        <f t="shared" si="189"/>
        <v>8642.2625292724078</v>
      </c>
      <c r="F1077" s="74">
        <f t="shared" si="183"/>
        <v>2255.5957503806385</v>
      </c>
      <c r="G1077" s="74">
        <f t="shared" si="184"/>
        <v>-6208.2736618252738</v>
      </c>
      <c r="H1077" s="74">
        <f t="shared" si="190"/>
        <v>41501.834576595626</v>
      </c>
      <c r="I1077" s="74">
        <f t="shared" si="191"/>
        <v>-18677.233973760209</v>
      </c>
      <c r="J1077" s="74">
        <f t="shared" si="192"/>
        <v>45510.892565776943</v>
      </c>
      <c r="K1077" s="74">
        <f t="shared" si="193"/>
        <v>1501.8345765956255</v>
      </c>
      <c r="L1077" s="74">
        <f t="shared" si="194"/>
        <v>-18677.233973760209</v>
      </c>
      <c r="M1077" s="74">
        <f t="shared" si="195"/>
        <v>18737.517872067277</v>
      </c>
      <c r="N1077" s="74">
        <f t="shared" si="196"/>
        <v>16501.834576595626</v>
      </c>
      <c r="O1077" s="74">
        <f t="shared" si="197"/>
        <v>-73677.233973760216</v>
      </c>
      <c r="P1077" s="74">
        <f t="shared" si="198"/>
        <v>75502.618169289548</v>
      </c>
    </row>
    <row r="1078" spans="1:16" x14ac:dyDescent="0.3">
      <c r="A1078" s="72">
        <f t="shared" si="185"/>
        <v>384.5</v>
      </c>
      <c r="B1078" s="74">
        <f t="shared" si="186"/>
        <v>-17803.21584193311</v>
      </c>
      <c r="C1078" s="74">
        <f t="shared" si="187"/>
        <v>41446.296822940094</v>
      </c>
      <c r="D1078" s="74">
        <f t="shared" si="188"/>
        <v>7397.2374693250276</v>
      </c>
      <c r="E1078" s="74">
        <f t="shared" si="189"/>
        <v>5538.1256983597705</v>
      </c>
      <c r="F1078" s="74">
        <f t="shared" ref="F1078:F1141" si="199">$C$23*(H1078/(J1078^2+$C$24^2)^1.5)+$C$32*(K1078/(M1078^2+$C$33^2)^1.5)+C$41*(N1078/(P1078^2+$C$42^2)^1.5)</f>
        <v>1509.9449224786626</v>
      </c>
      <c r="G1078" s="74">
        <f t="shared" ref="G1078:G1141" si="200">$C$23*(I1078/(J1078^2+$C$24^2)^1.5)+$C$32*(L1078/(M1078^2+$C$33^2)^1.5)+C$41*(O1078/(P1078^2+$C$42^2)^1.5)</f>
        <v>-5466.2919126937604</v>
      </c>
      <c r="H1078" s="74">
        <f t="shared" si="190"/>
        <v>37803.21584193311</v>
      </c>
      <c r="I1078" s="74">
        <f t="shared" si="191"/>
        <v>-21446.296822940094</v>
      </c>
      <c r="J1078" s="74">
        <f t="shared" si="192"/>
        <v>43462.935651074389</v>
      </c>
      <c r="K1078" s="74">
        <f t="shared" si="193"/>
        <v>-2196.7841580668901</v>
      </c>
      <c r="L1078" s="74">
        <f t="shared" si="194"/>
        <v>-21446.296822940094</v>
      </c>
      <c r="M1078" s="74">
        <f t="shared" si="195"/>
        <v>21558.513586395144</v>
      </c>
      <c r="N1078" s="74">
        <f t="shared" si="196"/>
        <v>12803.21584193311</v>
      </c>
      <c r="O1078" s="74">
        <f t="shared" si="197"/>
        <v>-76446.296822940087</v>
      </c>
      <c r="P1078" s="74">
        <f t="shared" si="198"/>
        <v>77511.022660239672</v>
      </c>
    </row>
    <row r="1079" spans="1:16" x14ac:dyDescent="0.3">
      <c r="A1079" s="72">
        <f t="shared" ref="A1079:A1142" si="201">A1078+$C$5</f>
        <v>385</v>
      </c>
      <c r="B1079" s="74">
        <f t="shared" ref="B1079:B1142" si="202">B1078+D1078*(A1079-A1078)+F1078*(A1079-A1078)^2</f>
        <v>-13727.11087665093</v>
      </c>
      <c r="C1079" s="74">
        <f t="shared" ref="C1079:C1142" si="203">C1078+E1078*(A1079-A1078)+G1078*(A1079-A1078)^2</f>
        <v>42848.786693946538</v>
      </c>
      <c r="D1079" s="74">
        <f t="shared" ref="D1079:D1142" si="204">D1078+F1078*(A1079-A1078)</f>
        <v>8152.2099305643587</v>
      </c>
      <c r="E1079" s="74">
        <f t="shared" ref="E1079:E1142" si="205">E1078+G1078*(A1079-A1078)</f>
        <v>2804.9797420128903</v>
      </c>
      <c r="F1079" s="74">
        <f t="shared" si="199"/>
        <v>1128.1221210813171</v>
      </c>
      <c r="G1079" s="74">
        <f t="shared" si="200"/>
        <v>-5091.8387310568442</v>
      </c>
      <c r="H1079" s="74">
        <f t="shared" ref="H1079:H1142" si="206">$C$19-B1079</f>
        <v>33727.110876650928</v>
      </c>
      <c r="I1079" s="74">
        <f t="shared" ref="I1079:I1142" si="207">$D$19-C1079</f>
        <v>-22848.786693946538</v>
      </c>
      <c r="J1079" s="74">
        <f t="shared" ref="J1079:J1142" si="208">SQRT(H1079^2+I1079^2)</f>
        <v>40738.005123856688</v>
      </c>
      <c r="K1079" s="74">
        <f t="shared" ref="K1079:K1142" si="209">$C$28-B1079</f>
        <v>-6272.8891233490704</v>
      </c>
      <c r="L1079" s="74">
        <f t="shared" ref="L1079:L1142" si="210">$D$28-C1079</f>
        <v>-22848.786693946538</v>
      </c>
      <c r="M1079" s="74">
        <f t="shared" ref="M1079:M1142" si="211">SQRT(K1079^2+L1079^2)</f>
        <v>23694.222741826739</v>
      </c>
      <c r="N1079" s="74">
        <f t="shared" ref="N1079:N1142" si="212">$C$37-B1079</f>
        <v>8727.1108766509296</v>
      </c>
      <c r="O1079" s="74">
        <f t="shared" ref="O1079:O1142" si="213">$D$37-C1079</f>
        <v>-77848.786693946546</v>
      </c>
      <c r="P1079" s="74">
        <f t="shared" ref="P1079:P1142" si="214">SQRT(N1079^2+O1079^2)</f>
        <v>78336.428652147195</v>
      </c>
    </row>
    <row r="1080" spans="1:16" x14ac:dyDescent="0.3">
      <c r="A1080" s="72">
        <f t="shared" si="201"/>
        <v>385.5</v>
      </c>
      <c r="B1080" s="74">
        <f t="shared" si="202"/>
        <v>-9368.9753810984203</v>
      </c>
      <c r="C1080" s="74">
        <f t="shared" si="203"/>
        <v>42978.316882188774</v>
      </c>
      <c r="D1080" s="74">
        <f t="shared" si="204"/>
        <v>8716.2709911050169</v>
      </c>
      <c r="E1080" s="74">
        <f t="shared" si="205"/>
        <v>259.06037648446818</v>
      </c>
      <c r="F1080" s="74">
        <f t="shared" si="199"/>
        <v>957.31362830958676</v>
      </c>
      <c r="G1080" s="74">
        <f t="shared" si="200"/>
        <v>-4974.2486203952749</v>
      </c>
      <c r="H1080" s="74">
        <f t="shared" si="206"/>
        <v>29368.975381098418</v>
      </c>
      <c r="I1080" s="74">
        <f t="shared" si="207"/>
        <v>-22978.316882188774</v>
      </c>
      <c r="J1080" s="74">
        <f t="shared" si="208"/>
        <v>37289.941829853349</v>
      </c>
      <c r="K1080" s="74">
        <f t="shared" si="209"/>
        <v>-10631.02461890158</v>
      </c>
      <c r="L1080" s="74">
        <f t="shared" si="210"/>
        <v>-22978.316882188774</v>
      </c>
      <c r="M1080" s="74">
        <f t="shared" si="211"/>
        <v>25318.406963827187</v>
      </c>
      <c r="N1080" s="74">
        <f t="shared" si="212"/>
        <v>4368.9753810984203</v>
      </c>
      <c r="O1080" s="74">
        <f t="shared" si="213"/>
        <v>-77978.316882188781</v>
      </c>
      <c r="P1080" s="74">
        <f t="shared" si="214"/>
        <v>78100.613631774308</v>
      </c>
    </row>
    <row r="1081" spans="1:16" x14ac:dyDescent="0.3">
      <c r="A1081" s="72">
        <f t="shared" si="201"/>
        <v>386</v>
      </c>
      <c r="B1081" s="74">
        <f t="shared" si="202"/>
        <v>-4771.5114784685147</v>
      </c>
      <c r="C1081" s="74">
        <f t="shared" si="203"/>
        <v>41864.284915332188</v>
      </c>
      <c r="D1081" s="74">
        <f t="shared" si="204"/>
        <v>9194.9278052598111</v>
      </c>
      <c r="E1081" s="74">
        <f t="shared" si="205"/>
        <v>-2228.0639337131693</v>
      </c>
      <c r="F1081" s="74">
        <f t="shared" si="199"/>
        <v>1003.4394663810865</v>
      </c>
      <c r="G1081" s="74">
        <f t="shared" si="200"/>
        <v>-5095.48790198813</v>
      </c>
      <c r="H1081" s="74">
        <f t="shared" si="206"/>
        <v>24771.511478468514</v>
      </c>
      <c r="I1081" s="74">
        <f t="shared" si="207"/>
        <v>-21864.284915332188</v>
      </c>
      <c r="J1081" s="74">
        <f t="shared" si="208"/>
        <v>33040.501445751695</v>
      </c>
      <c r="K1081" s="74">
        <f t="shared" si="209"/>
        <v>-15228.488521531486</v>
      </c>
      <c r="L1081" s="74">
        <f t="shared" si="210"/>
        <v>-21864.284915332188</v>
      </c>
      <c r="M1081" s="74">
        <f t="shared" si="211"/>
        <v>26644.958575858938</v>
      </c>
      <c r="N1081" s="74">
        <f t="shared" si="212"/>
        <v>-228.48852153148528</v>
      </c>
      <c r="O1081" s="74">
        <f t="shared" si="213"/>
        <v>-76864.284915332188</v>
      </c>
      <c r="P1081" s="74">
        <f t="shared" si="214"/>
        <v>76864.624519669873</v>
      </c>
    </row>
    <row r="1082" spans="1:16" x14ac:dyDescent="0.3">
      <c r="A1082" s="72">
        <f t="shared" si="201"/>
        <v>386.5</v>
      </c>
      <c r="B1082" s="74">
        <f t="shared" si="202"/>
        <v>76.812290756662435</v>
      </c>
      <c r="C1082" s="74">
        <f t="shared" si="203"/>
        <v>39476.380972978572</v>
      </c>
      <c r="D1082" s="74">
        <f t="shared" si="204"/>
        <v>9696.6475384503537</v>
      </c>
      <c r="E1082" s="74">
        <f t="shared" si="205"/>
        <v>-4775.8078847072338</v>
      </c>
      <c r="F1082" s="74">
        <f t="shared" si="199"/>
        <v>1418.9828531237188</v>
      </c>
      <c r="G1082" s="74">
        <f t="shared" si="200"/>
        <v>-5571.6626544840665</v>
      </c>
      <c r="H1082" s="74">
        <f t="shared" si="206"/>
        <v>19923.187709243339</v>
      </c>
      <c r="I1082" s="74">
        <f t="shared" si="207"/>
        <v>-19476.380972978572</v>
      </c>
      <c r="J1082" s="74">
        <f t="shared" si="208"/>
        <v>27861.493576302521</v>
      </c>
      <c r="K1082" s="74">
        <f t="shared" si="209"/>
        <v>-20076.812290756661</v>
      </c>
      <c r="L1082" s="74">
        <f t="shared" si="210"/>
        <v>-19476.380972978572</v>
      </c>
      <c r="M1082" s="74">
        <f t="shared" si="211"/>
        <v>27971.553542177084</v>
      </c>
      <c r="N1082" s="74">
        <f t="shared" si="212"/>
        <v>-5076.8122907566622</v>
      </c>
      <c r="O1082" s="74">
        <f t="shared" si="213"/>
        <v>-74476.380972978572</v>
      </c>
      <c r="P1082" s="74">
        <f t="shared" si="214"/>
        <v>74649.215306443934</v>
      </c>
    </row>
    <row r="1083" spans="1:16" x14ac:dyDescent="0.3">
      <c r="A1083" s="72">
        <f t="shared" si="201"/>
        <v>387</v>
      </c>
      <c r="B1083" s="74">
        <f t="shared" si="202"/>
        <v>5279.8817732627685</v>
      </c>
      <c r="C1083" s="74">
        <f t="shared" si="203"/>
        <v>35695.561367003938</v>
      </c>
      <c r="D1083" s="74">
        <f t="shared" si="204"/>
        <v>10406.138965012213</v>
      </c>
      <c r="E1083" s="74">
        <f t="shared" si="205"/>
        <v>-7561.6392119492666</v>
      </c>
      <c r="F1083" s="74">
        <f t="shared" si="199"/>
        <v>2647.2876849177746</v>
      </c>
      <c r="G1083" s="74">
        <f t="shared" si="200"/>
        <v>-6860.710511896179</v>
      </c>
      <c r="H1083" s="74">
        <f t="shared" si="206"/>
        <v>14720.118226737231</v>
      </c>
      <c r="I1083" s="74">
        <f t="shared" si="207"/>
        <v>-15695.561367003938</v>
      </c>
      <c r="J1083" s="74">
        <f t="shared" si="208"/>
        <v>21518.19061246805</v>
      </c>
      <c r="K1083" s="74">
        <f t="shared" si="209"/>
        <v>-25279.881773262769</v>
      </c>
      <c r="L1083" s="74">
        <f t="shared" si="210"/>
        <v>-15695.561367003938</v>
      </c>
      <c r="M1083" s="74">
        <f t="shared" si="211"/>
        <v>29756.05936772424</v>
      </c>
      <c r="N1083" s="74">
        <f t="shared" si="212"/>
        <v>-10279.881773262769</v>
      </c>
      <c r="O1083" s="74">
        <f t="shared" si="213"/>
        <v>-70695.561367003946</v>
      </c>
      <c r="P1083" s="74">
        <f t="shared" si="214"/>
        <v>71439.053509044199</v>
      </c>
    </row>
    <row r="1084" spans="1:16" x14ac:dyDescent="0.3">
      <c r="A1084" s="72">
        <f t="shared" si="201"/>
        <v>387.5</v>
      </c>
      <c r="B1084" s="74">
        <f t="shared" si="202"/>
        <v>11144.77317699832</v>
      </c>
      <c r="C1084" s="74">
        <f t="shared" si="203"/>
        <v>30199.564133055261</v>
      </c>
      <c r="D1084" s="74">
        <f t="shared" si="204"/>
        <v>11729.7828074711</v>
      </c>
      <c r="E1084" s="74">
        <f t="shared" si="205"/>
        <v>-10991.994467897355</v>
      </c>
      <c r="F1084" s="74">
        <f t="shared" si="199"/>
        <v>5858.4027035634153</v>
      </c>
      <c r="G1084" s="74">
        <f t="shared" si="200"/>
        <v>-10442.355253110707</v>
      </c>
      <c r="H1084" s="74">
        <f t="shared" si="206"/>
        <v>8855.2268230016798</v>
      </c>
      <c r="I1084" s="74">
        <f t="shared" si="207"/>
        <v>-10199.564133055261</v>
      </c>
      <c r="J1084" s="74">
        <f t="shared" si="208"/>
        <v>13507.262883023923</v>
      </c>
      <c r="K1084" s="74">
        <f t="shared" si="209"/>
        <v>-31144.773176998322</v>
      </c>
      <c r="L1084" s="74">
        <f t="shared" si="210"/>
        <v>-10199.564133055261</v>
      </c>
      <c r="M1084" s="74">
        <f t="shared" si="211"/>
        <v>32772.36648078655</v>
      </c>
      <c r="N1084" s="74">
        <f t="shared" si="212"/>
        <v>-16144.77317699832</v>
      </c>
      <c r="O1084" s="74">
        <f t="shared" si="213"/>
        <v>-65199.564133055261</v>
      </c>
      <c r="P1084" s="74">
        <f t="shared" si="214"/>
        <v>67168.719386907396</v>
      </c>
    </row>
    <row r="1085" spans="1:16" x14ac:dyDescent="0.3">
      <c r="A1085" s="72">
        <f t="shared" si="201"/>
        <v>388</v>
      </c>
      <c r="B1085" s="74">
        <f t="shared" si="202"/>
        <v>18474.265256624727</v>
      </c>
      <c r="C1085" s="74">
        <f t="shared" si="203"/>
        <v>22092.978085828905</v>
      </c>
      <c r="D1085" s="74">
        <f t="shared" si="204"/>
        <v>14658.984159252806</v>
      </c>
      <c r="E1085" s="74">
        <f t="shared" si="205"/>
        <v>-16213.172094452708</v>
      </c>
      <c r="F1085" s="74">
        <f t="shared" si="199"/>
        <v>4041.8705252159134</v>
      </c>
      <c r="G1085" s="74">
        <f t="shared" si="200"/>
        <v>-9005.0056309917254</v>
      </c>
      <c r="H1085" s="74">
        <f t="shared" si="206"/>
        <v>1525.734743375273</v>
      </c>
      <c r="I1085" s="74">
        <f t="shared" si="207"/>
        <v>-2092.978085828905</v>
      </c>
      <c r="J1085" s="74">
        <f t="shared" si="208"/>
        <v>2590.06250405322</v>
      </c>
      <c r="K1085" s="74">
        <f t="shared" si="209"/>
        <v>-38474.265256624727</v>
      </c>
      <c r="L1085" s="74">
        <f t="shared" si="210"/>
        <v>-2092.978085828905</v>
      </c>
      <c r="M1085" s="74">
        <f t="shared" si="211"/>
        <v>38531.151608859043</v>
      </c>
      <c r="N1085" s="74">
        <f t="shared" si="212"/>
        <v>-23474.265256624727</v>
      </c>
      <c r="O1085" s="74">
        <f t="shared" si="213"/>
        <v>-57092.978085828901</v>
      </c>
      <c r="P1085" s="74">
        <f t="shared" si="214"/>
        <v>61730.456632421876</v>
      </c>
    </row>
    <row r="1086" spans="1:16" x14ac:dyDescent="0.3">
      <c r="A1086" s="72">
        <f t="shared" si="201"/>
        <v>388.5</v>
      </c>
      <c r="B1086" s="74">
        <f t="shared" si="202"/>
        <v>26814.22496755511</v>
      </c>
      <c r="C1086" s="74">
        <f t="shared" si="203"/>
        <v>11735.140630854619</v>
      </c>
      <c r="D1086" s="74">
        <f t="shared" si="204"/>
        <v>16679.919421860763</v>
      </c>
      <c r="E1086" s="74">
        <f t="shared" si="205"/>
        <v>-20715.674909948571</v>
      </c>
      <c r="F1086" s="74">
        <f t="shared" si="199"/>
        <v>-10670.867970738685</v>
      </c>
      <c r="G1086" s="74">
        <f t="shared" si="200"/>
        <v>10125.274229525772</v>
      </c>
      <c r="H1086" s="74">
        <f t="shared" si="206"/>
        <v>-6814.2249675551102</v>
      </c>
      <c r="I1086" s="74">
        <f t="shared" si="207"/>
        <v>8264.8593691453807</v>
      </c>
      <c r="J1086" s="74">
        <f t="shared" si="208"/>
        <v>10711.748797474744</v>
      </c>
      <c r="K1086" s="74">
        <f t="shared" si="209"/>
        <v>-46814.224967555114</v>
      </c>
      <c r="L1086" s="74">
        <f t="shared" si="210"/>
        <v>8264.8593691453807</v>
      </c>
      <c r="M1086" s="74">
        <f t="shared" si="211"/>
        <v>47538.19053881427</v>
      </c>
      <c r="N1086" s="74">
        <f t="shared" si="212"/>
        <v>-31814.22496755511</v>
      </c>
      <c r="O1086" s="74">
        <f t="shared" si="213"/>
        <v>-46735.140630854621</v>
      </c>
      <c r="P1086" s="74">
        <f t="shared" si="214"/>
        <v>56535.991015210522</v>
      </c>
    </row>
    <row r="1087" spans="1:16" x14ac:dyDescent="0.3">
      <c r="A1087" s="72">
        <f t="shared" si="201"/>
        <v>389</v>
      </c>
      <c r="B1087" s="74">
        <f t="shared" si="202"/>
        <v>32486.467685800821</v>
      </c>
      <c r="C1087" s="74">
        <f t="shared" si="203"/>
        <v>3908.6217332617766</v>
      </c>
      <c r="D1087" s="74">
        <f t="shared" si="204"/>
        <v>11344.485436491421</v>
      </c>
      <c r="E1087" s="74">
        <f t="shared" si="205"/>
        <v>-15653.037795185686</v>
      </c>
      <c r="F1087" s="74">
        <f t="shared" si="199"/>
        <v>-6083.0851700520616</v>
      </c>
      <c r="G1087" s="74">
        <f t="shared" si="200"/>
        <v>4989.551247035939</v>
      </c>
      <c r="H1087" s="74">
        <f t="shared" si="206"/>
        <v>-12486.467685800821</v>
      </c>
      <c r="I1087" s="74">
        <f t="shared" si="207"/>
        <v>16091.378266738224</v>
      </c>
      <c r="J1087" s="74">
        <f t="shared" si="208"/>
        <v>20367.727654105242</v>
      </c>
      <c r="K1087" s="74">
        <f t="shared" si="209"/>
        <v>-52486.467685800817</v>
      </c>
      <c r="L1087" s="74">
        <f t="shared" si="210"/>
        <v>16091.378266738224</v>
      </c>
      <c r="M1087" s="74">
        <f t="shared" si="211"/>
        <v>54897.738975807268</v>
      </c>
      <c r="N1087" s="74">
        <f t="shared" si="212"/>
        <v>-37486.467685800817</v>
      </c>
      <c r="O1087" s="74">
        <f t="shared" si="213"/>
        <v>-38908.621733261774</v>
      </c>
      <c r="P1087" s="74">
        <f t="shared" si="214"/>
        <v>54028.845117591023</v>
      </c>
    </row>
    <row r="1088" spans="1:16" x14ac:dyDescent="0.3">
      <c r="A1088" s="72">
        <f t="shared" si="201"/>
        <v>389.5</v>
      </c>
      <c r="B1088" s="74">
        <f t="shared" si="202"/>
        <v>36637.939111533517</v>
      </c>
      <c r="C1088" s="74">
        <f t="shared" si="203"/>
        <v>-2670.5093525720818</v>
      </c>
      <c r="D1088" s="74">
        <f t="shared" si="204"/>
        <v>8302.94285146539</v>
      </c>
      <c r="E1088" s="74">
        <f t="shared" si="205"/>
        <v>-13158.262171667717</v>
      </c>
      <c r="F1088" s="74">
        <f t="shared" si="199"/>
        <v>-4272.0005546572547</v>
      </c>
      <c r="G1088" s="74">
        <f t="shared" si="200"/>
        <v>2903.94199188939</v>
      </c>
      <c r="H1088" s="74">
        <f t="shared" si="206"/>
        <v>-16637.939111533517</v>
      </c>
      <c r="I1088" s="74">
        <f t="shared" si="207"/>
        <v>22670.50935257208</v>
      </c>
      <c r="J1088" s="74">
        <f t="shared" si="208"/>
        <v>28120.686552503565</v>
      </c>
      <c r="K1088" s="74">
        <f t="shared" si="209"/>
        <v>-56637.939111533517</v>
      </c>
      <c r="L1088" s="74">
        <f t="shared" si="210"/>
        <v>22670.50935257208</v>
      </c>
      <c r="M1088" s="74">
        <f t="shared" si="211"/>
        <v>61006.623747809841</v>
      </c>
      <c r="N1088" s="74">
        <f t="shared" si="212"/>
        <v>-41637.939111533517</v>
      </c>
      <c r="O1088" s="74">
        <f t="shared" si="213"/>
        <v>-32329.49064742792</v>
      </c>
      <c r="P1088" s="74">
        <f t="shared" si="214"/>
        <v>52715.405139085313</v>
      </c>
    </row>
    <row r="1089" spans="1:16" x14ac:dyDescent="0.3">
      <c r="A1089" s="72">
        <f t="shared" si="201"/>
        <v>390</v>
      </c>
      <c r="B1089" s="74">
        <f t="shared" si="202"/>
        <v>39721.410398601896</v>
      </c>
      <c r="C1089" s="74">
        <f t="shared" si="203"/>
        <v>-8523.6549404335929</v>
      </c>
      <c r="D1089" s="74">
        <f t="shared" si="204"/>
        <v>6166.9425741367631</v>
      </c>
      <c r="E1089" s="74">
        <f t="shared" si="205"/>
        <v>-11706.291175723021</v>
      </c>
      <c r="F1089" s="74">
        <f t="shared" si="199"/>
        <v>-3453.2678609456625</v>
      </c>
      <c r="G1089" s="74">
        <f t="shared" si="200"/>
        <v>1999.9659186144918</v>
      </c>
      <c r="H1089" s="74">
        <f t="shared" si="206"/>
        <v>-19721.410398601896</v>
      </c>
      <c r="I1089" s="74">
        <f t="shared" si="207"/>
        <v>28523.654940433593</v>
      </c>
      <c r="J1089" s="74">
        <f t="shared" si="208"/>
        <v>34677.556420125751</v>
      </c>
      <c r="K1089" s="74">
        <f t="shared" si="209"/>
        <v>-59721.410398601896</v>
      </c>
      <c r="L1089" s="74">
        <f t="shared" si="210"/>
        <v>28523.654940433593</v>
      </c>
      <c r="M1089" s="74">
        <f t="shared" si="211"/>
        <v>66183.42504856603</v>
      </c>
      <c r="N1089" s="74">
        <f t="shared" si="212"/>
        <v>-44721.410398601896</v>
      </c>
      <c r="O1089" s="74">
        <f t="shared" si="213"/>
        <v>-26476.345059566407</v>
      </c>
      <c r="P1089" s="74">
        <f t="shared" si="214"/>
        <v>51971.159268900323</v>
      </c>
    </row>
    <row r="1090" spans="1:16" x14ac:dyDescent="0.3">
      <c r="A1090" s="72">
        <f t="shared" si="201"/>
        <v>390.5</v>
      </c>
      <c r="B1090" s="74">
        <f t="shared" si="202"/>
        <v>41941.56472043386</v>
      </c>
      <c r="C1090" s="74">
        <f t="shared" si="203"/>
        <v>-13876.80904864148</v>
      </c>
      <c r="D1090" s="74">
        <f t="shared" si="204"/>
        <v>4440.3086436639314</v>
      </c>
      <c r="E1090" s="74">
        <f t="shared" si="205"/>
        <v>-10706.308216415775</v>
      </c>
      <c r="F1090" s="74">
        <f t="shared" si="199"/>
        <v>-3012.3596814297089</v>
      </c>
      <c r="G1090" s="74">
        <f t="shared" si="200"/>
        <v>1562.5589049946952</v>
      </c>
      <c r="H1090" s="74">
        <f t="shared" si="206"/>
        <v>-21941.56472043386</v>
      </c>
      <c r="I1090" s="74">
        <f t="shared" si="207"/>
        <v>33876.80904864148</v>
      </c>
      <c r="J1090" s="74">
        <f t="shared" si="208"/>
        <v>40361.744928819731</v>
      </c>
      <c r="K1090" s="74">
        <f t="shared" si="209"/>
        <v>-61941.56472043386</v>
      </c>
      <c r="L1090" s="74">
        <f t="shared" si="210"/>
        <v>33876.80904864148</v>
      </c>
      <c r="M1090" s="74">
        <f t="shared" si="211"/>
        <v>70600.252346105772</v>
      </c>
      <c r="N1090" s="74">
        <f t="shared" si="212"/>
        <v>-46941.56472043386</v>
      </c>
      <c r="O1090" s="74">
        <f t="shared" si="213"/>
        <v>-21123.19095135852</v>
      </c>
      <c r="P1090" s="74">
        <f t="shared" si="214"/>
        <v>51475.233796168766</v>
      </c>
    </row>
    <row r="1091" spans="1:16" x14ac:dyDescent="0.3">
      <c r="A1091" s="72">
        <f t="shared" si="201"/>
        <v>391</v>
      </c>
      <c r="B1091" s="74">
        <f t="shared" si="202"/>
        <v>43408.629121908394</v>
      </c>
      <c r="C1091" s="74">
        <f t="shared" si="203"/>
        <v>-18839.323430600693</v>
      </c>
      <c r="D1091" s="74">
        <f t="shared" si="204"/>
        <v>2934.128802949077</v>
      </c>
      <c r="E1091" s="74">
        <f t="shared" si="205"/>
        <v>-9925.028763918428</v>
      </c>
      <c r="F1091" s="74">
        <f t="shared" si="199"/>
        <v>-2745.9333021194598</v>
      </c>
      <c r="G1091" s="74">
        <f t="shared" si="200"/>
        <v>1342.4587813077796</v>
      </c>
      <c r="H1091" s="74">
        <f t="shared" si="206"/>
        <v>-23408.629121908394</v>
      </c>
      <c r="I1091" s="74">
        <f t="shared" si="207"/>
        <v>38839.323430600693</v>
      </c>
      <c r="J1091" s="74">
        <f t="shared" si="208"/>
        <v>45348.174846556569</v>
      </c>
      <c r="K1091" s="74">
        <f t="shared" si="209"/>
        <v>-63408.629121908394</v>
      </c>
      <c r="L1091" s="74">
        <f t="shared" si="210"/>
        <v>38839.323430600693</v>
      </c>
      <c r="M1091" s="74">
        <f t="shared" si="211"/>
        <v>74358.236205994937</v>
      </c>
      <c r="N1091" s="74">
        <f t="shared" si="212"/>
        <v>-48408.629121908394</v>
      </c>
      <c r="O1091" s="74">
        <f t="shared" si="213"/>
        <v>-16160.676569399307</v>
      </c>
      <c r="P1091" s="74">
        <f t="shared" si="214"/>
        <v>51034.917856730302</v>
      </c>
    </row>
    <row r="1092" spans="1:16" x14ac:dyDescent="0.3">
      <c r="A1092" s="72">
        <f t="shared" si="201"/>
        <v>391.5</v>
      </c>
      <c r="B1092" s="74">
        <f t="shared" si="202"/>
        <v>44189.21019785307</v>
      </c>
      <c r="C1092" s="74">
        <f t="shared" si="203"/>
        <v>-23466.223117232959</v>
      </c>
      <c r="D1092" s="74">
        <f t="shared" si="204"/>
        <v>1561.1621518893471</v>
      </c>
      <c r="E1092" s="74">
        <f t="shared" si="205"/>
        <v>-9253.7993732645373</v>
      </c>
      <c r="F1092" s="74">
        <f t="shared" si="199"/>
        <v>-2574.6974297500101</v>
      </c>
      <c r="G1092" s="74">
        <f t="shared" si="200"/>
        <v>1237.1721604849433</v>
      </c>
      <c r="H1092" s="74">
        <f t="shared" si="206"/>
        <v>-24189.21019785307</v>
      </c>
      <c r="I1092" s="74">
        <f t="shared" si="207"/>
        <v>43466.223117232963</v>
      </c>
      <c r="J1092" s="74">
        <f t="shared" si="208"/>
        <v>49743.647253423187</v>
      </c>
      <c r="K1092" s="74">
        <f t="shared" si="209"/>
        <v>-64189.21019785307</v>
      </c>
      <c r="L1092" s="74">
        <f t="shared" si="210"/>
        <v>43466.223117232963</v>
      </c>
      <c r="M1092" s="74">
        <f t="shared" si="211"/>
        <v>77521.398709654619</v>
      </c>
      <c r="N1092" s="74">
        <f t="shared" si="212"/>
        <v>-49189.21019785307</v>
      </c>
      <c r="O1092" s="74">
        <f t="shared" si="213"/>
        <v>-11533.776882767041</v>
      </c>
      <c r="P1092" s="74">
        <f t="shared" si="214"/>
        <v>50523.325395999265</v>
      </c>
    </row>
    <row r="1093" spans="1:16" x14ac:dyDescent="0.3">
      <c r="A1093" s="72">
        <f t="shared" si="201"/>
        <v>392</v>
      </c>
      <c r="B1093" s="74">
        <f t="shared" si="202"/>
        <v>44326.116916360246</v>
      </c>
      <c r="C1093" s="74">
        <f t="shared" si="203"/>
        <v>-27783.82976374399</v>
      </c>
      <c r="D1093" s="74">
        <f t="shared" si="204"/>
        <v>273.81343701434207</v>
      </c>
      <c r="E1093" s="74">
        <f t="shared" si="205"/>
        <v>-8635.213293022065</v>
      </c>
      <c r="F1093" s="74">
        <f t="shared" si="199"/>
        <v>-2464.054499062785</v>
      </c>
      <c r="G1093" s="74">
        <f t="shared" si="200"/>
        <v>1199.7245480871377</v>
      </c>
      <c r="H1093" s="74">
        <f t="shared" si="206"/>
        <v>-24326.116916360246</v>
      </c>
      <c r="I1093" s="74">
        <f t="shared" si="207"/>
        <v>47783.82976374399</v>
      </c>
      <c r="J1093" s="74">
        <f t="shared" si="208"/>
        <v>53619.533298219729</v>
      </c>
      <c r="K1093" s="74">
        <f t="shared" si="209"/>
        <v>-64326.116916360246</v>
      </c>
      <c r="L1093" s="74">
        <f t="shared" si="210"/>
        <v>47783.82976374399</v>
      </c>
      <c r="M1093" s="74">
        <f t="shared" si="211"/>
        <v>80132.0391880034</v>
      </c>
      <c r="N1093" s="74">
        <f t="shared" si="212"/>
        <v>-49326.116916360246</v>
      </c>
      <c r="O1093" s="74">
        <f t="shared" si="213"/>
        <v>-7216.17023625601</v>
      </c>
      <c r="P1093" s="74">
        <f t="shared" si="214"/>
        <v>49851.167718771321</v>
      </c>
    </row>
    <row r="1094" spans="1:16" x14ac:dyDescent="0.3">
      <c r="A1094" s="72">
        <f t="shared" si="201"/>
        <v>392.5</v>
      </c>
      <c r="B1094" s="74">
        <f t="shared" si="202"/>
        <v>43847.010010101716</v>
      </c>
      <c r="C1094" s="74">
        <f t="shared" si="203"/>
        <v>-31801.505273233241</v>
      </c>
      <c r="D1094" s="74">
        <f t="shared" si="204"/>
        <v>-958.21381251705043</v>
      </c>
      <c r="E1094" s="74">
        <f t="shared" si="205"/>
        <v>-8035.3510189784965</v>
      </c>
      <c r="F1094" s="74">
        <f t="shared" si="199"/>
        <v>-2398.1715364942461</v>
      </c>
      <c r="G1094" s="74">
        <f t="shared" si="200"/>
        <v>1207.7109636497087</v>
      </c>
      <c r="H1094" s="74">
        <f t="shared" si="206"/>
        <v>-23847.010010101716</v>
      </c>
      <c r="I1094" s="74">
        <f t="shared" si="207"/>
        <v>51801.505273233241</v>
      </c>
      <c r="J1094" s="74">
        <f t="shared" si="208"/>
        <v>57026.974626002229</v>
      </c>
      <c r="K1094" s="74">
        <f t="shared" si="209"/>
        <v>-63847.010010101716</v>
      </c>
      <c r="L1094" s="74">
        <f t="shared" si="210"/>
        <v>51801.505273233241</v>
      </c>
      <c r="M1094" s="74">
        <f t="shared" si="211"/>
        <v>82218.225691161933</v>
      </c>
      <c r="N1094" s="74">
        <f t="shared" si="212"/>
        <v>-48847.010010101716</v>
      </c>
      <c r="O1094" s="74">
        <f t="shared" si="213"/>
        <v>-3198.4947267667594</v>
      </c>
      <c r="P1094" s="74">
        <f t="shared" si="214"/>
        <v>48951.616474271119</v>
      </c>
    </row>
    <row r="1095" spans="1:16" x14ac:dyDescent="0.3">
      <c r="A1095" s="72">
        <f t="shared" si="201"/>
        <v>393</v>
      </c>
      <c r="B1095" s="74">
        <f t="shared" si="202"/>
        <v>42768.360219719631</v>
      </c>
      <c r="C1095" s="74">
        <f t="shared" si="203"/>
        <v>-35517.253041810065</v>
      </c>
      <c r="D1095" s="74">
        <f t="shared" si="204"/>
        <v>-2157.2995807641737</v>
      </c>
      <c r="E1095" s="74">
        <f t="shared" si="205"/>
        <v>-7431.4955371536425</v>
      </c>
      <c r="F1095" s="74">
        <f t="shared" si="199"/>
        <v>-2370.3915044803307</v>
      </c>
      <c r="G1095" s="74">
        <f t="shared" si="200"/>
        <v>1251.2802970613423</v>
      </c>
      <c r="H1095" s="74">
        <f t="shared" si="206"/>
        <v>-22768.360219719631</v>
      </c>
      <c r="I1095" s="74">
        <f t="shared" si="207"/>
        <v>55517.253041810065</v>
      </c>
      <c r="J1095" s="74">
        <f t="shared" si="208"/>
        <v>60004.696586211321</v>
      </c>
      <c r="K1095" s="74">
        <f t="shared" si="209"/>
        <v>-62768.360219719631</v>
      </c>
      <c r="L1095" s="74">
        <f t="shared" si="210"/>
        <v>55517.253041810065</v>
      </c>
      <c r="M1095" s="74">
        <f t="shared" si="211"/>
        <v>83797.568162691037</v>
      </c>
      <c r="N1095" s="74">
        <f t="shared" si="212"/>
        <v>-47768.360219719631</v>
      </c>
      <c r="O1095" s="74">
        <f t="shared" si="213"/>
        <v>517.25304181006504</v>
      </c>
      <c r="P1095" s="74">
        <f t="shared" si="214"/>
        <v>47771.160638926864</v>
      </c>
    </row>
    <row r="1096" spans="1:16" x14ac:dyDescent="0.3">
      <c r="A1096" s="72">
        <f t="shared" si="201"/>
        <v>393.5</v>
      </c>
      <c r="B1096" s="74">
        <f t="shared" si="202"/>
        <v>41097.112553217463</v>
      </c>
      <c r="C1096" s="74">
        <f t="shared" si="203"/>
        <v>-38920.180736121554</v>
      </c>
      <c r="D1096" s="74">
        <f t="shared" si="204"/>
        <v>-3342.495333004339</v>
      </c>
      <c r="E1096" s="74">
        <f t="shared" si="205"/>
        <v>-6805.8553886229711</v>
      </c>
      <c r="F1096" s="74">
        <f t="shared" si="199"/>
        <v>-2379.5569619189791</v>
      </c>
      <c r="G1096" s="74">
        <f t="shared" si="200"/>
        <v>1328.2881645969649</v>
      </c>
      <c r="H1096" s="74">
        <f t="shared" si="206"/>
        <v>-21097.112553217463</v>
      </c>
      <c r="I1096" s="74">
        <f t="shared" si="207"/>
        <v>58920.180736121554</v>
      </c>
      <c r="J1096" s="74">
        <f t="shared" si="208"/>
        <v>62583.351269010476</v>
      </c>
      <c r="K1096" s="74">
        <f t="shared" si="209"/>
        <v>-61097.112553217463</v>
      </c>
      <c r="L1096" s="74">
        <f t="shared" si="210"/>
        <v>58920.180736121554</v>
      </c>
      <c r="M1096" s="74">
        <f t="shared" si="211"/>
        <v>84879.001291943539</v>
      </c>
      <c r="N1096" s="74">
        <f t="shared" si="212"/>
        <v>-46097.112553217463</v>
      </c>
      <c r="O1096" s="74">
        <f t="shared" si="213"/>
        <v>3920.1807361215542</v>
      </c>
      <c r="P1096" s="74">
        <f t="shared" si="214"/>
        <v>46263.501842682184</v>
      </c>
    </row>
    <row r="1097" spans="1:16" x14ac:dyDescent="0.3">
      <c r="A1097" s="72">
        <f t="shared" si="201"/>
        <v>394</v>
      </c>
      <c r="B1097" s="74">
        <f t="shared" si="202"/>
        <v>38830.975646235551</v>
      </c>
      <c r="C1097" s="74">
        <f t="shared" si="203"/>
        <v>-41991.0363892838</v>
      </c>
      <c r="D1097" s="74">
        <f t="shared" si="204"/>
        <v>-4532.2738139638286</v>
      </c>
      <c r="E1097" s="74">
        <f t="shared" si="205"/>
        <v>-6141.7113063244888</v>
      </c>
      <c r="F1097" s="74">
        <f t="shared" si="199"/>
        <v>-2428.9058403031681</v>
      </c>
      <c r="G1097" s="74">
        <f t="shared" si="200"/>
        <v>1442.8584756302794</v>
      </c>
      <c r="H1097" s="74">
        <f t="shared" si="206"/>
        <v>-18830.975646235551</v>
      </c>
      <c r="I1097" s="74">
        <f t="shared" si="207"/>
        <v>61991.0363892838</v>
      </c>
      <c r="J1097" s="74">
        <f t="shared" si="208"/>
        <v>64788.07171390907</v>
      </c>
      <c r="K1097" s="74">
        <f t="shared" si="209"/>
        <v>-58830.975646235551</v>
      </c>
      <c r="L1097" s="74">
        <f t="shared" si="210"/>
        <v>61991.0363892838</v>
      </c>
      <c r="M1097" s="74">
        <f t="shared" si="211"/>
        <v>85463.280349548178</v>
      </c>
      <c r="N1097" s="74">
        <f t="shared" si="212"/>
        <v>-43830.975646235551</v>
      </c>
      <c r="O1097" s="74">
        <f t="shared" si="213"/>
        <v>6991.0363892837995</v>
      </c>
      <c r="P1097" s="74">
        <f t="shared" si="214"/>
        <v>44385.008909508899</v>
      </c>
    </row>
    <row r="1098" spans="1:16" x14ac:dyDescent="0.3">
      <c r="A1098" s="72">
        <f t="shared" si="201"/>
        <v>394.5</v>
      </c>
      <c r="B1098" s="74">
        <f t="shared" si="202"/>
        <v>35957.612279177847</v>
      </c>
      <c r="C1098" s="74">
        <f t="shared" si="203"/>
        <v>-44701.177423538473</v>
      </c>
      <c r="D1098" s="74">
        <f t="shared" si="204"/>
        <v>-5746.7267341154129</v>
      </c>
      <c r="E1098" s="74">
        <f t="shared" si="205"/>
        <v>-5420.2820685093493</v>
      </c>
      <c r="F1098" s="74">
        <f t="shared" si="199"/>
        <v>-2526.4824532559846</v>
      </c>
      <c r="G1098" s="74">
        <f t="shared" si="200"/>
        <v>1606.3665304707615</v>
      </c>
      <c r="H1098" s="74">
        <f t="shared" si="206"/>
        <v>-15957.612279177847</v>
      </c>
      <c r="I1098" s="74">
        <f t="shared" si="207"/>
        <v>64701.177423538473</v>
      </c>
      <c r="J1098" s="74">
        <f t="shared" si="208"/>
        <v>66639.98611678106</v>
      </c>
      <c r="K1098" s="74">
        <f t="shared" si="209"/>
        <v>-55957.612279177847</v>
      </c>
      <c r="L1098" s="74">
        <f t="shared" si="210"/>
        <v>64701.177423538473</v>
      </c>
      <c r="M1098" s="74">
        <f t="shared" si="211"/>
        <v>85542.368052205566</v>
      </c>
      <c r="N1098" s="74">
        <f t="shared" si="212"/>
        <v>-40957.612279177847</v>
      </c>
      <c r="O1098" s="74">
        <f t="shared" si="213"/>
        <v>9701.1774235384728</v>
      </c>
      <c r="P1098" s="74">
        <f t="shared" si="214"/>
        <v>42090.840417060244</v>
      </c>
    </row>
    <row r="1099" spans="1:16" x14ac:dyDescent="0.3">
      <c r="A1099" s="72">
        <f t="shared" si="201"/>
        <v>395</v>
      </c>
      <c r="B1099" s="74">
        <f t="shared" si="202"/>
        <v>32452.628298806147</v>
      </c>
      <c r="C1099" s="74">
        <f t="shared" si="203"/>
        <v>-47009.726825175458</v>
      </c>
      <c r="D1099" s="74">
        <f t="shared" si="204"/>
        <v>-7009.9679607434055</v>
      </c>
      <c r="E1099" s="74">
        <f t="shared" si="205"/>
        <v>-4617.0988032739688</v>
      </c>
      <c r="F1099" s="74">
        <f t="shared" si="199"/>
        <v>-2686.9589150491956</v>
      </c>
      <c r="G1099" s="74">
        <f t="shared" si="200"/>
        <v>1841.4872002851739</v>
      </c>
      <c r="H1099" s="74">
        <f t="shared" si="206"/>
        <v>-12452.628298806147</v>
      </c>
      <c r="I1099" s="74">
        <f t="shared" si="207"/>
        <v>67009.726825175458</v>
      </c>
      <c r="J1099" s="74">
        <f t="shared" si="208"/>
        <v>68156.961792122645</v>
      </c>
      <c r="K1099" s="74">
        <f t="shared" si="209"/>
        <v>-52452.628298806143</v>
      </c>
      <c r="L1099" s="74">
        <f t="shared" si="210"/>
        <v>67009.726825175458</v>
      </c>
      <c r="M1099" s="74">
        <f t="shared" si="211"/>
        <v>85097.483538806002</v>
      </c>
      <c r="N1099" s="74">
        <f t="shared" si="212"/>
        <v>-37452.628298806143</v>
      </c>
      <c r="O1099" s="74">
        <f t="shared" si="213"/>
        <v>12009.726825175458</v>
      </c>
      <c r="P1099" s="74">
        <f t="shared" si="214"/>
        <v>39331.067934952815</v>
      </c>
    </row>
    <row r="1100" spans="1:16" x14ac:dyDescent="0.3">
      <c r="A1100" s="72">
        <f t="shared" si="201"/>
        <v>395.5</v>
      </c>
      <c r="B1100" s="74">
        <f t="shared" si="202"/>
        <v>28275.904589672144</v>
      </c>
      <c r="C1100" s="74">
        <f t="shared" si="203"/>
        <v>-48857.904426741152</v>
      </c>
      <c r="D1100" s="74">
        <f t="shared" si="204"/>
        <v>-8353.4474182680024</v>
      </c>
      <c r="E1100" s="74">
        <f t="shared" si="205"/>
        <v>-3696.355203131382</v>
      </c>
      <c r="F1100" s="74">
        <f t="shared" si="199"/>
        <v>-2935.3222870175327</v>
      </c>
      <c r="G1100" s="74">
        <f t="shared" si="200"/>
        <v>2192.2840293005602</v>
      </c>
      <c r="H1100" s="74">
        <f t="shared" si="206"/>
        <v>-8275.9045896721436</v>
      </c>
      <c r="I1100" s="74">
        <f t="shared" si="207"/>
        <v>68857.904426741152</v>
      </c>
      <c r="J1100" s="74">
        <f t="shared" si="208"/>
        <v>69353.454123205534</v>
      </c>
      <c r="K1100" s="74">
        <f t="shared" si="209"/>
        <v>-48275.904589672144</v>
      </c>
      <c r="L1100" s="74">
        <f t="shared" si="210"/>
        <v>68857.904426741152</v>
      </c>
      <c r="M1100" s="74">
        <f t="shared" si="211"/>
        <v>84095.029377445055</v>
      </c>
      <c r="N1100" s="74">
        <f t="shared" si="212"/>
        <v>-33275.904589672144</v>
      </c>
      <c r="O1100" s="74">
        <f t="shared" si="213"/>
        <v>13857.904426741152</v>
      </c>
      <c r="P1100" s="74">
        <f t="shared" si="214"/>
        <v>36046.183450701901</v>
      </c>
    </row>
    <row r="1101" spans="1:16" x14ac:dyDescent="0.3">
      <c r="A1101" s="72">
        <f t="shared" si="201"/>
        <v>396</v>
      </c>
      <c r="B1101" s="74">
        <f t="shared" si="202"/>
        <v>23365.35030878376</v>
      </c>
      <c r="C1101" s="74">
        <f t="shared" si="203"/>
        <v>-50158.011020981707</v>
      </c>
      <c r="D1101" s="74">
        <f t="shared" si="204"/>
        <v>-9821.1085617767694</v>
      </c>
      <c r="E1101" s="74">
        <f t="shared" si="205"/>
        <v>-2600.213188481102</v>
      </c>
      <c r="F1101" s="74">
        <f t="shared" si="199"/>
        <v>-3312.8575527573221</v>
      </c>
      <c r="G1101" s="74">
        <f t="shared" si="200"/>
        <v>2749.2665681874837</v>
      </c>
      <c r="H1101" s="74">
        <f t="shared" si="206"/>
        <v>-3365.3503087837598</v>
      </c>
      <c r="I1101" s="74">
        <f t="shared" si="207"/>
        <v>70158.011020981707</v>
      </c>
      <c r="J1101" s="74">
        <f t="shared" si="208"/>
        <v>70238.679465953959</v>
      </c>
      <c r="K1101" s="74">
        <f t="shared" si="209"/>
        <v>-43365.35030878376</v>
      </c>
      <c r="L1101" s="74">
        <f t="shared" si="210"/>
        <v>70158.011020981707</v>
      </c>
      <c r="M1101" s="74">
        <f t="shared" si="211"/>
        <v>82478.482756557321</v>
      </c>
      <c r="N1101" s="74">
        <f t="shared" si="212"/>
        <v>-28365.35030878376</v>
      </c>
      <c r="O1101" s="74">
        <f t="shared" si="213"/>
        <v>15158.011020981707</v>
      </c>
      <c r="P1101" s="74">
        <f t="shared" si="214"/>
        <v>32161.442695442347</v>
      </c>
    </row>
    <row r="1102" spans="1:16" x14ac:dyDescent="0.3">
      <c r="A1102" s="72">
        <f t="shared" si="201"/>
        <v>396.5</v>
      </c>
      <c r="B1102" s="74">
        <f t="shared" si="202"/>
        <v>17626.581639706044</v>
      </c>
      <c r="C1102" s="74">
        <f t="shared" si="203"/>
        <v>-50770.800973175385</v>
      </c>
      <c r="D1102" s="74">
        <f t="shared" si="204"/>
        <v>-11477.537338155431</v>
      </c>
      <c r="E1102" s="74">
        <f t="shared" si="205"/>
        <v>-1225.5799043873601</v>
      </c>
      <c r="F1102" s="74">
        <f t="shared" si="199"/>
        <v>-3880.7929385445805</v>
      </c>
      <c r="G1102" s="74">
        <f t="shared" si="200"/>
        <v>3717.2247317008882</v>
      </c>
      <c r="H1102" s="74">
        <f t="shared" si="206"/>
        <v>2373.4183602939556</v>
      </c>
      <c r="I1102" s="74">
        <f t="shared" si="207"/>
        <v>70770.800973175385</v>
      </c>
      <c r="J1102" s="74">
        <f t="shared" si="208"/>
        <v>70810.58808608909</v>
      </c>
      <c r="K1102" s="74">
        <f t="shared" si="209"/>
        <v>-37626.581639706041</v>
      </c>
      <c r="L1102" s="74">
        <f t="shared" si="210"/>
        <v>70770.800973175385</v>
      </c>
      <c r="M1102" s="74">
        <f t="shared" si="211"/>
        <v>80151.518490133836</v>
      </c>
      <c r="N1102" s="74">
        <f t="shared" si="212"/>
        <v>-22626.581639706044</v>
      </c>
      <c r="O1102" s="74">
        <f t="shared" si="213"/>
        <v>15770.800973175385</v>
      </c>
      <c r="P1102" s="74">
        <f t="shared" si="214"/>
        <v>27580.434369925944</v>
      </c>
    </row>
    <row r="1103" spans="1:16" x14ac:dyDescent="0.3">
      <c r="A1103" s="72">
        <f t="shared" si="201"/>
        <v>397</v>
      </c>
      <c r="B1103" s="74">
        <f t="shared" si="202"/>
        <v>10917.614735992183</v>
      </c>
      <c r="C1103" s="74">
        <f t="shared" si="203"/>
        <v>-50454.284742443837</v>
      </c>
      <c r="D1103" s="74">
        <f t="shared" si="204"/>
        <v>-13417.933807427722</v>
      </c>
      <c r="E1103" s="74">
        <f t="shared" si="205"/>
        <v>633.03246146308402</v>
      </c>
      <c r="F1103" s="74">
        <f t="shared" si="199"/>
        <v>-4666.7639481351052</v>
      </c>
      <c r="G1103" s="74">
        <f t="shared" si="200"/>
        <v>5617.7154704652012</v>
      </c>
      <c r="H1103" s="74">
        <f t="shared" si="206"/>
        <v>9082.3852640078167</v>
      </c>
      <c r="I1103" s="74">
        <f t="shared" si="207"/>
        <v>70454.284742443837</v>
      </c>
      <c r="J1103" s="74">
        <f t="shared" si="208"/>
        <v>71037.285707248273</v>
      </c>
      <c r="K1103" s="74">
        <f t="shared" si="209"/>
        <v>-30917.614735992182</v>
      </c>
      <c r="L1103" s="74">
        <f t="shared" si="210"/>
        <v>70454.284742443837</v>
      </c>
      <c r="M1103" s="74">
        <f t="shared" si="211"/>
        <v>76939.620089603995</v>
      </c>
      <c r="N1103" s="74">
        <f t="shared" si="212"/>
        <v>-15917.614735992183</v>
      </c>
      <c r="O1103" s="74">
        <f t="shared" si="213"/>
        <v>15454.284742443837</v>
      </c>
      <c r="P1103" s="74">
        <f t="shared" si="214"/>
        <v>22185.702057496579</v>
      </c>
    </row>
    <row r="1104" spans="1:16" x14ac:dyDescent="0.3">
      <c r="A1104" s="72">
        <f t="shared" si="201"/>
        <v>397.5</v>
      </c>
      <c r="B1104" s="74">
        <f t="shared" si="202"/>
        <v>3041.956845244546</v>
      </c>
      <c r="C1104" s="74">
        <f t="shared" si="203"/>
        <v>-48733.339644095999</v>
      </c>
      <c r="D1104" s="74">
        <f t="shared" si="204"/>
        <v>-15751.315781495276</v>
      </c>
      <c r="E1104" s="74">
        <f t="shared" si="205"/>
        <v>3441.8901966956846</v>
      </c>
      <c r="F1104" s="74">
        <f t="shared" si="199"/>
        <v>-5006.156655698519</v>
      </c>
      <c r="G1104" s="74">
        <f t="shared" si="200"/>
        <v>9831.1691443723212</v>
      </c>
      <c r="H1104" s="74">
        <f t="shared" si="206"/>
        <v>16958.043154755454</v>
      </c>
      <c r="I1104" s="74">
        <f t="shared" si="207"/>
        <v>68733.339644096006</v>
      </c>
      <c r="J1104" s="74">
        <f t="shared" si="208"/>
        <v>70794.400952823999</v>
      </c>
      <c r="K1104" s="74">
        <f t="shared" si="209"/>
        <v>-23041.956845244546</v>
      </c>
      <c r="L1104" s="74">
        <f t="shared" si="210"/>
        <v>68733.339644096006</v>
      </c>
      <c r="M1104" s="74">
        <f t="shared" si="211"/>
        <v>72492.784150484746</v>
      </c>
      <c r="N1104" s="74">
        <f t="shared" si="212"/>
        <v>-8041.9568452445455</v>
      </c>
      <c r="O1104" s="74">
        <f t="shared" si="213"/>
        <v>13733.339644095999</v>
      </c>
      <c r="P1104" s="74">
        <f t="shared" si="214"/>
        <v>15914.70036415623</v>
      </c>
    </row>
    <row r="1105" spans="1:16" x14ac:dyDescent="0.3">
      <c r="A1105" s="72">
        <f t="shared" si="201"/>
        <v>398</v>
      </c>
      <c r="B1105" s="74">
        <f t="shared" si="202"/>
        <v>-6085.2402094277222</v>
      </c>
      <c r="C1105" s="74">
        <f t="shared" si="203"/>
        <v>-44554.602259655076</v>
      </c>
      <c r="D1105" s="74">
        <f t="shared" si="204"/>
        <v>-18254.394109344536</v>
      </c>
      <c r="E1105" s="74">
        <f t="shared" si="205"/>
        <v>8357.4747688818461</v>
      </c>
      <c r="F1105" s="74">
        <f t="shared" si="199"/>
        <v>1915.030653742496</v>
      </c>
      <c r="G1105" s="74">
        <f t="shared" si="200"/>
        <v>16235.991831596029</v>
      </c>
      <c r="H1105" s="74">
        <f t="shared" si="206"/>
        <v>26085.24020942772</v>
      </c>
      <c r="I1105" s="74">
        <f t="shared" si="207"/>
        <v>64554.602259655076</v>
      </c>
      <c r="J1105" s="74">
        <f t="shared" si="208"/>
        <v>69625.688001525763</v>
      </c>
      <c r="K1105" s="74">
        <f t="shared" si="209"/>
        <v>-13914.759790572278</v>
      </c>
      <c r="L1105" s="74">
        <f t="shared" si="210"/>
        <v>64554.602259655076</v>
      </c>
      <c r="M1105" s="74">
        <f t="shared" si="211"/>
        <v>66037.241106299945</v>
      </c>
      <c r="N1105" s="74">
        <f t="shared" si="212"/>
        <v>1085.2402094277222</v>
      </c>
      <c r="O1105" s="74">
        <f t="shared" si="213"/>
        <v>9554.6022596550756</v>
      </c>
      <c r="P1105" s="74">
        <f t="shared" si="214"/>
        <v>9616.0371594729513</v>
      </c>
    </row>
    <row r="1106" spans="1:16" x14ac:dyDescent="0.3">
      <c r="A1106" s="72">
        <f t="shared" si="201"/>
        <v>398.5</v>
      </c>
      <c r="B1106" s="74">
        <f t="shared" si="202"/>
        <v>-14733.679600664365</v>
      </c>
      <c r="C1106" s="74">
        <f t="shared" si="203"/>
        <v>-36316.866917315143</v>
      </c>
      <c r="D1106" s="74">
        <f t="shared" si="204"/>
        <v>-17296.878782473286</v>
      </c>
      <c r="E1106" s="74">
        <f t="shared" si="205"/>
        <v>16475.470684679862</v>
      </c>
      <c r="F1106" s="74">
        <f t="shared" si="199"/>
        <v>15229.397936292096</v>
      </c>
      <c r="G1106" s="74">
        <f t="shared" si="200"/>
        <v>3438.0138336673444</v>
      </c>
      <c r="H1106" s="74">
        <f t="shared" si="206"/>
        <v>34733.679600664364</v>
      </c>
      <c r="I1106" s="74">
        <f t="shared" si="207"/>
        <v>56316.866917315143</v>
      </c>
      <c r="J1106" s="74">
        <f t="shared" si="208"/>
        <v>66166.592763903085</v>
      </c>
      <c r="K1106" s="74">
        <f t="shared" si="209"/>
        <v>-5266.3203993356346</v>
      </c>
      <c r="L1106" s="74">
        <f t="shared" si="210"/>
        <v>56316.866917315143</v>
      </c>
      <c r="M1106" s="74">
        <f t="shared" si="211"/>
        <v>56562.56385570798</v>
      </c>
      <c r="N1106" s="74">
        <f t="shared" si="212"/>
        <v>9733.6796006643654</v>
      </c>
      <c r="O1106" s="74">
        <f t="shared" si="213"/>
        <v>1316.8669173151429</v>
      </c>
      <c r="P1106" s="74">
        <f t="shared" si="214"/>
        <v>9822.3549643814385</v>
      </c>
    </row>
    <row r="1107" spans="1:16" x14ac:dyDescent="0.3">
      <c r="A1107" s="72">
        <f t="shared" si="201"/>
        <v>399</v>
      </c>
      <c r="B1107" s="74">
        <f t="shared" si="202"/>
        <v>-19574.769507827983</v>
      </c>
      <c r="C1107" s="74">
        <f t="shared" si="203"/>
        <v>-27219.628116558375</v>
      </c>
      <c r="D1107" s="74">
        <f t="shared" si="204"/>
        <v>-9682.179814327239</v>
      </c>
      <c r="E1107" s="74">
        <f t="shared" si="205"/>
        <v>18194.477601513536</v>
      </c>
      <c r="F1107" s="74">
        <f t="shared" si="199"/>
        <v>9149.5954008720473</v>
      </c>
      <c r="G1107" s="74">
        <f t="shared" si="200"/>
        <v>-2789.6110482813992</v>
      </c>
      <c r="H1107" s="74">
        <f t="shared" si="206"/>
        <v>39574.769507827979</v>
      </c>
      <c r="I1107" s="74">
        <f t="shared" si="207"/>
        <v>47219.628116558379</v>
      </c>
      <c r="J1107" s="74">
        <f t="shared" si="208"/>
        <v>61610.515831826808</v>
      </c>
      <c r="K1107" s="74">
        <f t="shared" si="209"/>
        <v>-425.23049217201697</v>
      </c>
      <c r="L1107" s="74">
        <f t="shared" si="210"/>
        <v>47219.628116558379</v>
      </c>
      <c r="M1107" s="74">
        <f t="shared" si="211"/>
        <v>47221.54275791446</v>
      </c>
      <c r="N1107" s="74">
        <f t="shared" si="212"/>
        <v>14574.769507827983</v>
      </c>
      <c r="O1107" s="74">
        <f t="shared" si="213"/>
        <v>-7780.371883441625</v>
      </c>
      <c r="P1107" s="74">
        <f t="shared" si="214"/>
        <v>16521.443425166013</v>
      </c>
    </row>
    <row r="1108" spans="1:16" x14ac:dyDescent="0.3">
      <c r="A1108" s="72">
        <f t="shared" si="201"/>
        <v>399.5</v>
      </c>
      <c r="B1108" s="74">
        <f t="shared" si="202"/>
        <v>-22128.460564773592</v>
      </c>
      <c r="C1108" s="74">
        <f t="shared" si="203"/>
        <v>-18819.792077871956</v>
      </c>
      <c r="D1108" s="74">
        <f t="shared" si="204"/>
        <v>-5107.3821138912153</v>
      </c>
      <c r="E1108" s="74">
        <f t="shared" si="205"/>
        <v>16799.672077372838</v>
      </c>
      <c r="F1108" s="74">
        <f t="shared" si="199"/>
        <v>5248.527471925011</v>
      </c>
      <c r="G1108" s="74">
        <f t="shared" si="200"/>
        <v>-1883.2088442044669</v>
      </c>
      <c r="H1108" s="74">
        <f t="shared" si="206"/>
        <v>42128.460564773588</v>
      </c>
      <c r="I1108" s="74">
        <f t="shared" si="207"/>
        <v>38819.792077871956</v>
      </c>
      <c r="J1108" s="74">
        <f t="shared" si="208"/>
        <v>57286.852300740822</v>
      </c>
      <c r="K1108" s="74">
        <f t="shared" si="209"/>
        <v>2128.4605647735916</v>
      </c>
      <c r="L1108" s="74">
        <f t="shared" si="210"/>
        <v>38819.792077871956</v>
      </c>
      <c r="M1108" s="74">
        <f t="shared" si="211"/>
        <v>38878.099250670763</v>
      </c>
      <c r="N1108" s="74">
        <f t="shared" si="212"/>
        <v>17128.460564773592</v>
      </c>
      <c r="O1108" s="74">
        <f t="shared" si="213"/>
        <v>-16180.207922128044</v>
      </c>
      <c r="P1108" s="74">
        <f t="shared" si="214"/>
        <v>23562.32776536094</v>
      </c>
    </row>
    <row r="1109" spans="1:16" x14ac:dyDescent="0.3">
      <c r="A1109" s="72">
        <f t="shared" si="201"/>
        <v>400</v>
      </c>
      <c r="B1109" s="74">
        <f t="shared" si="202"/>
        <v>-23370.019753737946</v>
      </c>
      <c r="C1109" s="74">
        <f t="shared" si="203"/>
        <v>-10890.758250236655</v>
      </c>
      <c r="D1109" s="74">
        <f t="shared" si="204"/>
        <v>-2483.1183779287098</v>
      </c>
      <c r="E1109" s="74">
        <f t="shared" si="205"/>
        <v>15858.067655270605</v>
      </c>
      <c r="F1109" s="74">
        <f t="shared" si="199"/>
        <v>3727.7575583090224</v>
      </c>
      <c r="G1109" s="74">
        <f t="shared" si="200"/>
        <v>-286.9198681773596</v>
      </c>
      <c r="H1109" s="74">
        <f t="shared" si="206"/>
        <v>43370.019753737943</v>
      </c>
      <c r="I1109" s="74">
        <f t="shared" si="207"/>
        <v>30890.758250236657</v>
      </c>
      <c r="J1109" s="74">
        <f t="shared" si="208"/>
        <v>53246.573210998125</v>
      </c>
      <c r="K1109" s="74">
        <f t="shared" si="209"/>
        <v>3370.0197537379463</v>
      </c>
      <c r="L1109" s="74">
        <f t="shared" si="210"/>
        <v>30890.758250236657</v>
      </c>
      <c r="M1109" s="74">
        <f t="shared" si="211"/>
        <v>31074.040265391111</v>
      </c>
      <c r="N1109" s="74">
        <f t="shared" si="212"/>
        <v>18370.019753737946</v>
      </c>
      <c r="O1109" s="74">
        <f t="shared" si="213"/>
        <v>-24109.241749763343</v>
      </c>
      <c r="P1109" s="74">
        <f t="shared" si="214"/>
        <v>30310.28148172257</v>
      </c>
    </row>
    <row r="1110" spans="1:16" x14ac:dyDescent="0.3">
      <c r="A1110" s="72">
        <f t="shared" si="201"/>
        <v>400.5</v>
      </c>
      <c r="B1110" s="74">
        <f t="shared" si="202"/>
        <v>-23679.639553125045</v>
      </c>
      <c r="C1110" s="74">
        <f t="shared" si="203"/>
        <v>-3033.4543896456926</v>
      </c>
      <c r="D1110" s="74">
        <f t="shared" si="204"/>
        <v>-619.23959877419861</v>
      </c>
      <c r="E1110" s="74">
        <f t="shared" si="205"/>
        <v>15714.607721181925</v>
      </c>
      <c r="F1110" s="74">
        <f t="shared" si="199"/>
        <v>3344.0511435785847</v>
      </c>
      <c r="G1110" s="74">
        <f t="shared" si="200"/>
        <v>1674.9112059655467</v>
      </c>
      <c r="H1110" s="74">
        <f t="shared" si="206"/>
        <v>43679.639553125045</v>
      </c>
      <c r="I1110" s="74">
        <f t="shared" si="207"/>
        <v>23033.454389645693</v>
      </c>
      <c r="J1110" s="74">
        <f t="shared" si="208"/>
        <v>49380.673675141516</v>
      </c>
      <c r="K1110" s="74">
        <f t="shared" si="209"/>
        <v>3679.6395531250455</v>
      </c>
      <c r="L1110" s="74">
        <f t="shared" si="210"/>
        <v>23033.454389645693</v>
      </c>
      <c r="M1110" s="74">
        <f t="shared" si="211"/>
        <v>23325.517536826719</v>
      </c>
      <c r="N1110" s="74">
        <f t="shared" si="212"/>
        <v>18679.639553125045</v>
      </c>
      <c r="O1110" s="74">
        <f t="shared" si="213"/>
        <v>-31966.545610354307</v>
      </c>
      <c r="P1110" s="74">
        <f t="shared" si="214"/>
        <v>37024.167405811248</v>
      </c>
    </row>
    <row r="1111" spans="1:16" x14ac:dyDescent="0.3">
      <c r="A1111" s="72">
        <f t="shared" si="201"/>
        <v>401</v>
      </c>
      <c r="B1111" s="74">
        <f t="shared" si="202"/>
        <v>-23153.246566617498</v>
      </c>
      <c r="C1111" s="74">
        <f t="shared" si="203"/>
        <v>5242.5772724366561</v>
      </c>
      <c r="D1111" s="74">
        <f t="shared" si="204"/>
        <v>1052.7859730150938</v>
      </c>
      <c r="E1111" s="74">
        <f t="shared" si="205"/>
        <v>16552.063324164697</v>
      </c>
      <c r="F1111" s="74">
        <f t="shared" si="199"/>
        <v>3952.9945693355376</v>
      </c>
      <c r="G1111" s="74">
        <f t="shared" si="200"/>
        <v>5141.8727982917717</v>
      </c>
      <c r="H1111" s="74">
        <f t="shared" si="206"/>
        <v>43153.246566617498</v>
      </c>
      <c r="I1111" s="74">
        <f t="shared" si="207"/>
        <v>14757.422727563344</v>
      </c>
      <c r="J1111" s="74">
        <f t="shared" si="208"/>
        <v>45606.843946926296</v>
      </c>
      <c r="K1111" s="74">
        <f t="shared" si="209"/>
        <v>3153.2465666174976</v>
      </c>
      <c r="L1111" s="74">
        <f t="shared" si="210"/>
        <v>14757.422727563344</v>
      </c>
      <c r="M1111" s="74">
        <f t="shared" si="211"/>
        <v>15090.543047547631</v>
      </c>
      <c r="N1111" s="74">
        <f t="shared" si="212"/>
        <v>18153.246566617498</v>
      </c>
      <c r="O1111" s="74">
        <f t="shared" si="213"/>
        <v>-40242.577272436654</v>
      </c>
      <c r="P1111" s="74">
        <f t="shared" si="214"/>
        <v>44147.541114273234</v>
      </c>
    </row>
    <row r="1112" spans="1:16" x14ac:dyDescent="0.3">
      <c r="A1112" s="72">
        <f t="shared" si="201"/>
        <v>401.5</v>
      </c>
      <c r="B1112" s="74">
        <f t="shared" si="202"/>
        <v>-21638.604937776065</v>
      </c>
      <c r="C1112" s="74">
        <f t="shared" si="203"/>
        <v>14804.077134091947</v>
      </c>
      <c r="D1112" s="74">
        <f t="shared" si="204"/>
        <v>3029.2832576828623</v>
      </c>
      <c r="E1112" s="74">
        <f t="shared" si="205"/>
        <v>19122.999723310582</v>
      </c>
      <c r="F1112" s="74">
        <f t="shared" si="199"/>
        <v>6504.89950513649</v>
      </c>
      <c r="G1112" s="74">
        <f t="shared" si="200"/>
        <v>11194.694874849822</v>
      </c>
      <c r="H1112" s="74">
        <f t="shared" si="206"/>
        <v>41638.604937776065</v>
      </c>
      <c r="I1112" s="74">
        <f t="shared" si="207"/>
        <v>5195.9228659080527</v>
      </c>
      <c r="J1112" s="74">
        <f t="shared" si="208"/>
        <v>41961.542340489053</v>
      </c>
      <c r="K1112" s="74">
        <f t="shared" si="209"/>
        <v>1638.6049377760646</v>
      </c>
      <c r="L1112" s="74">
        <f t="shared" si="210"/>
        <v>5195.9228659080527</v>
      </c>
      <c r="M1112" s="74">
        <f t="shared" si="211"/>
        <v>5448.1777293486175</v>
      </c>
      <c r="N1112" s="74">
        <f t="shared" si="212"/>
        <v>16638.604937776065</v>
      </c>
      <c r="O1112" s="74">
        <f t="shared" si="213"/>
        <v>-49804.077134091945</v>
      </c>
      <c r="P1112" s="74">
        <f t="shared" si="214"/>
        <v>52509.896909572832</v>
      </c>
    </row>
    <row r="1113" spans="1:16" x14ac:dyDescent="0.3">
      <c r="A1113" s="72">
        <f t="shared" si="201"/>
        <v>402</v>
      </c>
      <c r="B1113" s="74">
        <f t="shared" si="202"/>
        <v>-18497.738432650509</v>
      </c>
      <c r="C1113" s="74">
        <f t="shared" si="203"/>
        <v>27164.250714459693</v>
      </c>
      <c r="D1113" s="74">
        <f t="shared" si="204"/>
        <v>6281.7330102511078</v>
      </c>
      <c r="E1113" s="74">
        <f t="shared" si="205"/>
        <v>24720.347160735495</v>
      </c>
      <c r="F1113" s="74">
        <f t="shared" si="199"/>
        <v>127.63701950644636</v>
      </c>
      <c r="G1113" s="74">
        <f t="shared" si="200"/>
        <v>-13480.45452917888</v>
      </c>
      <c r="H1113" s="74">
        <f t="shared" si="206"/>
        <v>38497.738432650513</v>
      </c>
      <c r="I1113" s="74">
        <f t="shared" si="207"/>
        <v>-7164.250714459693</v>
      </c>
      <c r="J1113" s="74">
        <f t="shared" si="208"/>
        <v>39158.68170314742</v>
      </c>
      <c r="K1113" s="74">
        <f t="shared" si="209"/>
        <v>-1502.2615673494911</v>
      </c>
      <c r="L1113" s="74">
        <f t="shared" si="210"/>
        <v>-7164.250714459693</v>
      </c>
      <c r="M1113" s="74">
        <f t="shared" si="211"/>
        <v>7320.0599803807327</v>
      </c>
      <c r="N1113" s="74">
        <f t="shared" si="212"/>
        <v>13497.738432650509</v>
      </c>
      <c r="O1113" s="74">
        <f t="shared" si="213"/>
        <v>-62164.250714459689</v>
      </c>
      <c r="P1113" s="74">
        <f t="shared" si="214"/>
        <v>63612.758230456042</v>
      </c>
    </row>
    <row r="1114" spans="1:16" x14ac:dyDescent="0.3">
      <c r="A1114" s="72">
        <f t="shared" si="201"/>
        <v>402.5</v>
      </c>
      <c r="B1114" s="74">
        <f t="shared" si="202"/>
        <v>-15324.962672648344</v>
      </c>
      <c r="C1114" s="74">
        <f t="shared" si="203"/>
        <v>36154.31066253272</v>
      </c>
      <c r="D1114" s="74">
        <f t="shared" si="204"/>
        <v>6345.551520004331</v>
      </c>
      <c r="E1114" s="74">
        <f t="shared" si="205"/>
        <v>17980.119896146054</v>
      </c>
      <c r="F1114" s="74">
        <f t="shared" si="199"/>
        <v>853.7429868702659</v>
      </c>
      <c r="G1114" s="74">
        <f t="shared" si="200"/>
        <v>-7191.864662526521</v>
      </c>
      <c r="H1114" s="74">
        <f t="shared" si="206"/>
        <v>35324.96267264834</v>
      </c>
      <c r="I1114" s="74">
        <f t="shared" si="207"/>
        <v>-16154.31066253272</v>
      </c>
      <c r="J1114" s="74">
        <f t="shared" si="208"/>
        <v>38843.4645829336</v>
      </c>
      <c r="K1114" s="74">
        <f t="shared" si="209"/>
        <v>-4675.0373273516561</v>
      </c>
      <c r="L1114" s="74">
        <f t="shared" si="210"/>
        <v>-16154.31066253272</v>
      </c>
      <c r="M1114" s="74">
        <f t="shared" si="211"/>
        <v>16817.185465878338</v>
      </c>
      <c r="N1114" s="74">
        <f t="shared" si="212"/>
        <v>10324.962672648344</v>
      </c>
      <c r="O1114" s="74">
        <f t="shared" si="213"/>
        <v>-71154.31066253272</v>
      </c>
      <c r="P1114" s="74">
        <f t="shared" si="214"/>
        <v>71899.518635744695</v>
      </c>
    </row>
    <row r="1115" spans="1:16" x14ac:dyDescent="0.3">
      <c r="A1115" s="72">
        <f t="shared" si="201"/>
        <v>403</v>
      </c>
      <c r="B1115" s="74">
        <f t="shared" si="202"/>
        <v>-11938.751165928612</v>
      </c>
      <c r="C1115" s="74">
        <f t="shared" si="203"/>
        <v>43346.40444497412</v>
      </c>
      <c r="D1115" s="74">
        <f t="shared" si="204"/>
        <v>6772.4230134394638</v>
      </c>
      <c r="E1115" s="74">
        <f t="shared" si="205"/>
        <v>14384.187564882794</v>
      </c>
      <c r="F1115" s="74">
        <f t="shared" si="199"/>
        <v>1039.3001061075897</v>
      </c>
      <c r="G1115" s="74">
        <f t="shared" si="200"/>
        <v>-4958.8997916651952</v>
      </c>
      <c r="H1115" s="74">
        <f t="shared" si="206"/>
        <v>31938.75116592861</v>
      </c>
      <c r="I1115" s="74">
        <f t="shared" si="207"/>
        <v>-23346.40444497412</v>
      </c>
      <c r="J1115" s="74">
        <f t="shared" si="208"/>
        <v>39561.83042463295</v>
      </c>
      <c r="K1115" s="74">
        <f t="shared" si="209"/>
        <v>-8061.248834071388</v>
      </c>
      <c r="L1115" s="74">
        <f t="shared" si="210"/>
        <v>-23346.40444497412</v>
      </c>
      <c r="M1115" s="74">
        <f t="shared" si="211"/>
        <v>24698.954092696407</v>
      </c>
      <c r="N1115" s="74">
        <f t="shared" si="212"/>
        <v>6938.751165928612</v>
      </c>
      <c r="O1115" s="74">
        <f t="shared" si="213"/>
        <v>-78346.40444497412</v>
      </c>
      <c r="P1115" s="74">
        <f t="shared" si="214"/>
        <v>78653.0695980655</v>
      </c>
    </row>
    <row r="1116" spans="1:16" x14ac:dyDescent="0.3">
      <c r="A1116" s="72">
        <f t="shared" si="201"/>
        <v>403.5</v>
      </c>
      <c r="B1116" s="74">
        <f t="shared" si="202"/>
        <v>-8292.714632681982</v>
      </c>
      <c r="C1116" s="74">
        <f t="shared" si="203"/>
        <v>49298.773279499219</v>
      </c>
      <c r="D1116" s="74">
        <f t="shared" si="204"/>
        <v>7292.0730664932589</v>
      </c>
      <c r="E1116" s="74">
        <f t="shared" si="205"/>
        <v>11904.737669050195</v>
      </c>
      <c r="F1116" s="74">
        <f t="shared" si="199"/>
        <v>901.00254244491953</v>
      </c>
      <c r="G1116" s="74">
        <f t="shared" si="200"/>
        <v>-4061.7221869578134</v>
      </c>
      <c r="H1116" s="74">
        <f t="shared" si="206"/>
        <v>28292.714632681982</v>
      </c>
      <c r="I1116" s="74">
        <f t="shared" si="207"/>
        <v>-29298.773279499219</v>
      </c>
      <c r="J1116" s="74">
        <f t="shared" si="208"/>
        <v>40729.544767525629</v>
      </c>
      <c r="K1116" s="74">
        <f t="shared" si="209"/>
        <v>-11707.285367318018</v>
      </c>
      <c r="L1116" s="74">
        <f t="shared" si="210"/>
        <v>-29298.773279499219</v>
      </c>
      <c r="M1116" s="74">
        <f t="shared" si="211"/>
        <v>31551.206733741834</v>
      </c>
      <c r="N1116" s="74">
        <f t="shared" si="212"/>
        <v>3292.714632681982</v>
      </c>
      <c r="O1116" s="74">
        <f t="shared" si="213"/>
        <v>-84298.773279499219</v>
      </c>
      <c r="P1116" s="74">
        <f t="shared" si="214"/>
        <v>84363.055575771374</v>
      </c>
    </row>
    <row r="1117" spans="1:16" x14ac:dyDescent="0.3">
      <c r="A1117" s="72">
        <f t="shared" si="201"/>
        <v>404</v>
      </c>
      <c r="B1117" s="74">
        <f t="shared" si="202"/>
        <v>-4421.4274638241222</v>
      </c>
      <c r="C1117" s="74">
        <f t="shared" si="203"/>
        <v>54235.711567284867</v>
      </c>
      <c r="D1117" s="74">
        <f t="shared" si="204"/>
        <v>7742.5743377157187</v>
      </c>
      <c r="E1117" s="74">
        <f t="shared" si="205"/>
        <v>9873.8765755712884</v>
      </c>
      <c r="F1117" s="74">
        <f t="shared" si="199"/>
        <v>675.67255950854735</v>
      </c>
      <c r="G1117" s="74">
        <f t="shared" si="200"/>
        <v>-3582.9613924863961</v>
      </c>
      <c r="H1117" s="74">
        <f t="shared" si="206"/>
        <v>24421.427463824122</v>
      </c>
      <c r="I1117" s="74">
        <f t="shared" si="207"/>
        <v>-34235.711567284867</v>
      </c>
      <c r="J1117" s="74">
        <f t="shared" si="208"/>
        <v>42053.419193796195</v>
      </c>
      <c r="K1117" s="74">
        <f t="shared" si="209"/>
        <v>-15578.572536175878</v>
      </c>
      <c r="L1117" s="74">
        <f t="shared" si="210"/>
        <v>-34235.711567284867</v>
      </c>
      <c r="M1117" s="74">
        <f t="shared" si="211"/>
        <v>37613.506467533924</v>
      </c>
      <c r="N1117" s="74">
        <f t="shared" si="212"/>
        <v>-578.57253617587776</v>
      </c>
      <c r="O1117" s="74">
        <f t="shared" si="213"/>
        <v>-89235.711567284859</v>
      </c>
      <c r="P1117" s="74">
        <f t="shared" si="214"/>
        <v>89237.587176588728</v>
      </c>
    </row>
    <row r="1118" spans="1:16" x14ac:dyDescent="0.3">
      <c r="A1118" s="72">
        <f t="shared" si="201"/>
        <v>404.5</v>
      </c>
      <c r="B1118" s="74">
        <f t="shared" si="202"/>
        <v>-381.22215508912609</v>
      </c>
      <c r="C1118" s="74">
        <f t="shared" si="203"/>
        <v>58276.909506948912</v>
      </c>
      <c r="D1118" s="74">
        <f t="shared" si="204"/>
        <v>8080.4106174699928</v>
      </c>
      <c r="E1118" s="74">
        <f t="shared" si="205"/>
        <v>8082.3958793280908</v>
      </c>
      <c r="F1118" s="74">
        <f t="shared" si="199"/>
        <v>442.79459117620581</v>
      </c>
      <c r="G1118" s="74">
        <f t="shared" si="200"/>
        <v>-3270.9847188431527</v>
      </c>
      <c r="H1118" s="74">
        <f t="shared" si="206"/>
        <v>20381.222155089126</v>
      </c>
      <c r="I1118" s="74">
        <f t="shared" si="207"/>
        <v>-38276.909506948912</v>
      </c>
      <c r="J1118" s="74">
        <f t="shared" si="208"/>
        <v>43364.916902240824</v>
      </c>
      <c r="K1118" s="74">
        <f t="shared" si="209"/>
        <v>-19618.777844910874</v>
      </c>
      <c r="L1118" s="74">
        <f t="shared" si="210"/>
        <v>-38276.909506948912</v>
      </c>
      <c r="M1118" s="74">
        <f t="shared" si="211"/>
        <v>43011.838434681231</v>
      </c>
      <c r="N1118" s="74">
        <f t="shared" si="212"/>
        <v>-4618.7778449108737</v>
      </c>
      <c r="O1118" s="74">
        <f t="shared" si="213"/>
        <v>-93276.909506948912</v>
      </c>
      <c r="P1118" s="74">
        <f t="shared" si="214"/>
        <v>93391.193139118725</v>
      </c>
    </row>
    <row r="1119" spans="1:16" x14ac:dyDescent="0.3">
      <c r="A1119" s="72">
        <f t="shared" si="201"/>
        <v>405</v>
      </c>
      <c r="B1119" s="74">
        <f t="shared" si="202"/>
        <v>3769.6818014399219</v>
      </c>
      <c r="C1119" s="74">
        <f t="shared" si="203"/>
        <v>61500.361266902168</v>
      </c>
      <c r="D1119" s="74">
        <f t="shared" si="204"/>
        <v>8301.8079130580954</v>
      </c>
      <c r="E1119" s="74">
        <f t="shared" si="205"/>
        <v>6446.9035199065147</v>
      </c>
      <c r="F1119" s="74">
        <f t="shared" si="199"/>
        <v>226.87296710090888</v>
      </c>
      <c r="G1119" s="74">
        <f t="shared" si="200"/>
        <v>-3042.9336632145896</v>
      </c>
      <c r="H1119" s="74">
        <f t="shared" si="206"/>
        <v>16230.318198560079</v>
      </c>
      <c r="I1119" s="74">
        <f t="shared" si="207"/>
        <v>-41500.361266902168</v>
      </c>
      <c r="J1119" s="74">
        <f t="shared" si="208"/>
        <v>44561.2299438638</v>
      </c>
      <c r="K1119" s="74">
        <f t="shared" si="209"/>
        <v>-23769.681801439921</v>
      </c>
      <c r="L1119" s="74">
        <f t="shared" si="210"/>
        <v>-41500.361266902168</v>
      </c>
      <c r="M1119" s="74">
        <f t="shared" si="211"/>
        <v>47825.492765104864</v>
      </c>
      <c r="N1119" s="74">
        <f t="shared" si="212"/>
        <v>-8769.6818014399214</v>
      </c>
      <c r="O1119" s="74">
        <f t="shared" si="213"/>
        <v>-96500.361266902168</v>
      </c>
      <c r="P1119" s="74">
        <f t="shared" si="214"/>
        <v>96898.023940331914</v>
      </c>
    </row>
    <row r="1120" spans="1:16" x14ac:dyDescent="0.3">
      <c r="A1120" s="72">
        <f t="shared" si="201"/>
        <v>405.5</v>
      </c>
      <c r="B1120" s="74">
        <f t="shared" si="202"/>
        <v>7977.3039997441965</v>
      </c>
      <c r="C1120" s="74">
        <f t="shared" si="203"/>
        <v>63963.079611051777</v>
      </c>
      <c r="D1120" s="74">
        <f t="shared" si="204"/>
        <v>8415.2443966085502</v>
      </c>
      <c r="E1120" s="74">
        <f t="shared" si="205"/>
        <v>4925.4366882992199</v>
      </c>
      <c r="F1120" s="74">
        <f t="shared" si="199"/>
        <v>32.370643164980649</v>
      </c>
      <c r="G1120" s="74">
        <f t="shared" si="200"/>
        <v>-2866.725118306389</v>
      </c>
      <c r="H1120" s="74">
        <f t="shared" si="206"/>
        <v>12022.696000255804</v>
      </c>
      <c r="I1120" s="74">
        <f t="shared" si="207"/>
        <v>-43963.079611051777</v>
      </c>
      <c r="J1120" s="74">
        <f t="shared" si="208"/>
        <v>45577.380223113345</v>
      </c>
      <c r="K1120" s="74">
        <f t="shared" si="209"/>
        <v>-27977.303999744196</v>
      </c>
      <c r="L1120" s="74">
        <f t="shared" si="210"/>
        <v>-43963.079611051777</v>
      </c>
      <c r="M1120" s="74">
        <f t="shared" si="211"/>
        <v>52110.286009402975</v>
      </c>
      <c r="N1120" s="74">
        <f t="shared" si="212"/>
        <v>-12977.303999744196</v>
      </c>
      <c r="O1120" s="74">
        <f t="shared" si="213"/>
        <v>-98963.079611051769</v>
      </c>
      <c r="P1120" s="74">
        <f t="shared" si="214"/>
        <v>99810.327848400266</v>
      </c>
    </row>
    <row r="1121" spans="1:16" x14ac:dyDescent="0.3">
      <c r="A1121" s="72">
        <f t="shared" si="201"/>
        <v>406</v>
      </c>
      <c r="B1121" s="74">
        <f t="shared" si="202"/>
        <v>12193.018858839716</v>
      </c>
      <c r="C1121" s="74">
        <f t="shared" si="203"/>
        <v>65709.116675624784</v>
      </c>
      <c r="D1121" s="74">
        <f t="shared" si="204"/>
        <v>8431.4297181910406</v>
      </c>
      <c r="E1121" s="74">
        <f t="shared" si="205"/>
        <v>3492.0741291460254</v>
      </c>
      <c r="F1121" s="74">
        <f t="shared" si="199"/>
        <v>-143.48293536604237</v>
      </c>
      <c r="G1121" s="74">
        <f t="shared" si="200"/>
        <v>-2727.7878143549046</v>
      </c>
      <c r="H1121" s="74">
        <f t="shared" si="206"/>
        <v>7806.9811411602841</v>
      </c>
      <c r="I1121" s="74">
        <f t="shared" si="207"/>
        <v>-45709.116675624784</v>
      </c>
      <c r="J1121" s="74">
        <f t="shared" si="208"/>
        <v>46371.028690382875</v>
      </c>
      <c r="K1121" s="74">
        <f t="shared" si="209"/>
        <v>-32193.018858839714</v>
      </c>
      <c r="L1121" s="74">
        <f t="shared" si="210"/>
        <v>-45709.116675624784</v>
      </c>
      <c r="M1121" s="74">
        <f t="shared" si="211"/>
        <v>55908.083588256617</v>
      </c>
      <c r="N1121" s="74">
        <f t="shared" si="212"/>
        <v>-17193.018858839714</v>
      </c>
      <c r="O1121" s="74">
        <f t="shared" si="213"/>
        <v>-100709.11667562478</v>
      </c>
      <c r="P1121" s="74">
        <f t="shared" si="214"/>
        <v>102166.16895560401</v>
      </c>
    </row>
    <row r="1122" spans="1:16" x14ac:dyDescent="0.3">
      <c r="A1122" s="72">
        <f t="shared" si="201"/>
        <v>406.5</v>
      </c>
      <c r="B1122" s="74">
        <f t="shared" si="202"/>
        <v>16372.862984093726</v>
      </c>
      <c r="C1122" s="74">
        <f t="shared" si="203"/>
        <v>66773.206786609066</v>
      </c>
      <c r="D1122" s="74">
        <f t="shared" si="204"/>
        <v>8359.6882505080193</v>
      </c>
      <c r="E1122" s="74">
        <f t="shared" si="205"/>
        <v>2128.1802219685733</v>
      </c>
      <c r="F1122" s="74">
        <f t="shared" si="199"/>
        <v>-305.83600450947154</v>
      </c>
      <c r="G1122" s="74">
        <f t="shared" si="200"/>
        <v>-2618.387244959265</v>
      </c>
      <c r="H1122" s="74">
        <f t="shared" si="206"/>
        <v>3627.1370159062735</v>
      </c>
      <c r="I1122" s="74">
        <f t="shared" si="207"/>
        <v>-46773.206786609066</v>
      </c>
      <c r="J1122" s="74">
        <f t="shared" si="208"/>
        <v>46913.633370642376</v>
      </c>
      <c r="K1122" s="74">
        <f t="shared" si="209"/>
        <v>-36372.862984093728</v>
      </c>
      <c r="L1122" s="74">
        <f t="shared" si="210"/>
        <v>-46773.206786609066</v>
      </c>
      <c r="M1122" s="74">
        <f t="shared" si="211"/>
        <v>59251.31251510424</v>
      </c>
      <c r="N1122" s="74">
        <f t="shared" si="212"/>
        <v>-21372.862984093728</v>
      </c>
      <c r="O1122" s="74">
        <f t="shared" si="213"/>
        <v>-101773.20678660907</v>
      </c>
      <c r="P1122" s="74">
        <f t="shared" si="214"/>
        <v>103993.19637248744</v>
      </c>
    </row>
    <row r="1123" spans="1:16" x14ac:dyDescent="0.3">
      <c r="A1123" s="72">
        <f t="shared" si="201"/>
        <v>407</v>
      </c>
      <c r="B1123" s="74">
        <f t="shared" si="202"/>
        <v>20476.248108220367</v>
      </c>
      <c r="C1123" s="74">
        <f t="shared" si="203"/>
        <v>67182.700086353536</v>
      </c>
      <c r="D1123" s="74">
        <f t="shared" si="204"/>
        <v>8206.7702482532841</v>
      </c>
      <c r="E1123" s="74">
        <f t="shared" si="205"/>
        <v>818.98659948894078</v>
      </c>
      <c r="F1123" s="74">
        <f t="shared" si="199"/>
        <v>-460.47050246018671</v>
      </c>
      <c r="G1123" s="74">
        <f t="shared" si="200"/>
        <v>-2533.8412738584725</v>
      </c>
      <c r="H1123" s="74">
        <f t="shared" si="206"/>
        <v>-476.2481082203667</v>
      </c>
      <c r="I1123" s="74">
        <f t="shared" si="207"/>
        <v>-47182.700086353536</v>
      </c>
      <c r="J1123" s="74">
        <f t="shared" si="208"/>
        <v>47185.103578347364</v>
      </c>
      <c r="K1123" s="74">
        <f t="shared" si="209"/>
        <v>-40476.248108220367</v>
      </c>
      <c r="L1123" s="74">
        <f t="shared" si="210"/>
        <v>-47182.700086353536</v>
      </c>
      <c r="M1123" s="74">
        <f t="shared" si="211"/>
        <v>62165.374995708014</v>
      </c>
      <c r="N1123" s="74">
        <f t="shared" si="212"/>
        <v>-25476.248108220367</v>
      </c>
      <c r="O1123" s="74">
        <f t="shared" si="213"/>
        <v>-102182.70008635354</v>
      </c>
      <c r="P1123" s="74">
        <f t="shared" si="214"/>
        <v>105310.69943082363</v>
      </c>
    </row>
    <row r="1124" spans="1:16" x14ac:dyDescent="0.3">
      <c r="A1124" s="72">
        <f t="shared" si="201"/>
        <v>407.5</v>
      </c>
      <c r="B1124" s="74">
        <f t="shared" si="202"/>
        <v>24464.515606731962</v>
      </c>
      <c r="C1124" s="74">
        <f t="shared" si="203"/>
        <v>66958.733067633395</v>
      </c>
      <c r="D1124" s="74">
        <f t="shared" si="204"/>
        <v>7976.534997023191</v>
      </c>
      <c r="E1124" s="74">
        <f t="shared" si="205"/>
        <v>-447.93403744029547</v>
      </c>
      <c r="F1124" s="74">
        <f t="shared" si="199"/>
        <v>-613.33326451798348</v>
      </c>
      <c r="G1124" s="74">
        <f t="shared" si="200"/>
        <v>-2471.0413123929375</v>
      </c>
      <c r="H1124" s="74">
        <f t="shared" si="206"/>
        <v>-4464.5156067319622</v>
      </c>
      <c r="I1124" s="74">
        <f t="shared" si="207"/>
        <v>-46958.733067633395</v>
      </c>
      <c r="J1124" s="74">
        <f t="shared" si="208"/>
        <v>47170.483471340413</v>
      </c>
      <c r="K1124" s="74">
        <f t="shared" si="209"/>
        <v>-44464.515606731962</v>
      </c>
      <c r="L1124" s="74">
        <f t="shared" si="210"/>
        <v>-46958.733067633395</v>
      </c>
      <c r="M1124" s="74">
        <f t="shared" si="211"/>
        <v>64670.053034295219</v>
      </c>
      <c r="N1124" s="74">
        <f t="shared" si="212"/>
        <v>-29464.515606731962</v>
      </c>
      <c r="O1124" s="74">
        <f t="shared" si="213"/>
        <v>-101958.73306763339</v>
      </c>
      <c r="P1124" s="74">
        <f t="shared" si="214"/>
        <v>106130.77276971214</v>
      </c>
    </row>
    <row r="1125" spans="1:16" x14ac:dyDescent="0.3">
      <c r="A1125" s="72">
        <f t="shared" si="201"/>
        <v>408</v>
      </c>
      <c r="B1125" s="74">
        <f t="shared" si="202"/>
        <v>28299.449789114064</v>
      </c>
      <c r="C1125" s="74">
        <f t="shared" si="203"/>
        <v>66117.005720815025</v>
      </c>
      <c r="D1125" s="74">
        <f t="shared" si="204"/>
        <v>7669.8683647641992</v>
      </c>
      <c r="E1125" s="74">
        <f t="shared" si="205"/>
        <v>-1683.4546936367642</v>
      </c>
      <c r="F1125" s="74">
        <f t="shared" si="199"/>
        <v>-770.62256729563319</v>
      </c>
      <c r="G1125" s="74">
        <f t="shared" si="200"/>
        <v>-2427.7926028250281</v>
      </c>
      <c r="H1125" s="74">
        <f t="shared" si="206"/>
        <v>-8299.4497891140636</v>
      </c>
      <c r="I1125" s="74">
        <f t="shared" si="207"/>
        <v>-46117.005720815025</v>
      </c>
      <c r="J1125" s="74">
        <f t="shared" si="208"/>
        <v>46857.860423366656</v>
      </c>
      <c r="K1125" s="74">
        <f t="shared" si="209"/>
        <v>-48299.449789114064</v>
      </c>
      <c r="L1125" s="74">
        <f t="shared" si="210"/>
        <v>-46117.005720815025</v>
      </c>
      <c r="M1125" s="74">
        <f t="shared" si="211"/>
        <v>66780.34940448303</v>
      </c>
      <c r="N1125" s="74">
        <f t="shared" si="212"/>
        <v>-33299.449789114064</v>
      </c>
      <c r="O1125" s="74">
        <f t="shared" si="213"/>
        <v>-101117.00572081502</v>
      </c>
      <c r="P1125" s="74">
        <f t="shared" si="214"/>
        <v>106458.92260492338</v>
      </c>
    </row>
    <row r="1126" spans="1:16" x14ac:dyDescent="0.3">
      <c r="A1126" s="72">
        <f t="shared" si="201"/>
        <v>408.5</v>
      </c>
      <c r="B1126" s="74">
        <f t="shared" si="202"/>
        <v>31941.728329672256</v>
      </c>
      <c r="C1126" s="74">
        <f t="shared" si="203"/>
        <v>64668.330223290381</v>
      </c>
      <c r="D1126" s="74">
        <f t="shared" si="204"/>
        <v>7284.5570811163825</v>
      </c>
      <c r="E1126" s="74">
        <f t="shared" si="205"/>
        <v>-2897.350995049278</v>
      </c>
      <c r="F1126" s="74">
        <f t="shared" si="199"/>
        <v>-939.16535265139976</v>
      </c>
      <c r="G1126" s="74">
        <f t="shared" si="200"/>
        <v>-2402.4410078495644</v>
      </c>
      <c r="H1126" s="74">
        <f t="shared" si="206"/>
        <v>-11941.728329672256</v>
      </c>
      <c r="I1126" s="74">
        <f t="shared" si="207"/>
        <v>-44668.330223290381</v>
      </c>
      <c r="J1126" s="74">
        <f t="shared" si="208"/>
        <v>46237.047920867677</v>
      </c>
      <c r="K1126" s="74">
        <f t="shared" si="209"/>
        <v>-51941.72832967226</v>
      </c>
      <c r="L1126" s="74">
        <f t="shared" si="210"/>
        <v>-44668.330223290381</v>
      </c>
      <c r="M1126" s="74">
        <f t="shared" si="211"/>
        <v>68506.95487912446</v>
      </c>
      <c r="N1126" s="74">
        <f t="shared" si="212"/>
        <v>-36941.72832967226</v>
      </c>
      <c r="O1126" s="74">
        <f t="shared" si="213"/>
        <v>-99668.330223290381</v>
      </c>
      <c r="P1126" s="74">
        <f t="shared" si="214"/>
        <v>106294.24886362466</v>
      </c>
    </row>
    <row r="1127" spans="1:16" x14ac:dyDescent="0.3">
      <c r="A1127" s="72">
        <f t="shared" si="201"/>
        <v>409</v>
      </c>
      <c r="B1127" s="74">
        <f t="shared" si="202"/>
        <v>35349.215532067596</v>
      </c>
      <c r="C1127" s="74">
        <f t="shared" si="203"/>
        <v>62619.044473803355</v>
      </c>
      <c r="D1127" s="74">
        <f t="shared" si="204"/>
        <v>6814.9744047906825</v>
      </c>
      <c r="E1127" s="74">
        <f t="shared" si="205"/>
        <v>-4098.57149897406</v>
      </c>
      <c r="F1127" s="74">
        <f t="shared" si="199"/>
        <v>-1127.0251981729311</v>
      </c>
      <c r="G1127" s="74">
        <f t="shared" si="200"/>
        <v>-2393.5555666271543</v>
      </c>
      <c r="H1127" s="74">
        <f t="shared" si="206"/>
        <v>-15349.215532067596</v>
      </c>
      <c r="I1127" s="74">
        <f t="shared" si="207"/>
        <v>-42619.044473803355</v>
      </c>
      <c r="J1127" s="74">
        <f t="shared" si="208"/>
        <v>45298.800969892058</v>
      </c>
      <c r="K1127" s="74">
        <f t="shared" si="209"/>
        <v>-55349.215532067596</v>
      </c>
      <c r="L1127" s="74">
        <f t="shared" si="210"/>
        <v>-42619.044473803355</v>
      </c>
      <c r="M1127" s="74">
        <f t="shared" si="211"/>
        <v>69856.414250055095</v>
      </c>
      <c r="N1127" s="74">
        <f t="shared" si="212"/>
        <v>-40349.215532067596</v>
      </c>
      <c r="O1127" s="74">
        <f t="shared" si="213"/>
        <v>-97619.044473803355</v>
      </c>
      <c r="P1127" s="74">
        <f t="shared" si="214"/>
        <v>105629.24329006454</v>
      </c>
    </row>
    <row r="1128" spans="1:16" x14ac:dyDescent="0.3">
      <c r="A1128" s="72">
        <f t="shared" si="201"/>
        <v>409.5</v>
      </c>
      <c r="B1128" s="74">
        <f t="shared" si="202"/>
        <v>38474.946434919708</v>
      </c>
      <c r="C1128" s="74">
        <f t="shared" si="203"/>
        <v>59971.369832659533</v>
      </c>
      <c r="D1128" s="74">
        <f t="shared" si="204"/>
        <v>6251.4618057042171</v>
      </c>
      <c r="E1128" s="74">
        <f t="shared" si="205"/>
        <v>-5295.3492822876369</v>
      </c>
      <c r="F1128" s="74">
        <f t="shared" si="199"/>
        <v>-1344.3944107083828</v>
      </c>
      <c r="G1128" s="74">
        <f t="shared" si="200"/>
        <v>-2399.5056569742746</v>
      </c>
      <c r="H1128" s="74">
        <f t="shared" si="206"/>
        <v>-18474.946434919708</v>
      </c>
      <c r="I1128" s="74">
        <f t="shared" si="207"/>
        <v>-39971.369832659533</v>
      </c>
      <c r="J1128" s="74">
        <f t="shared" si="208"/>
        <v>44034.464366816101</v>
      </c>
      <c r="K1128" s="74">
        <f t="shared" si="209"/>
        <v>-58474.946434919708</v>
      </c>
      <c r="L1128" s="74">
        <f t="shared" si="210"/>
        <v>-39971.369832659533</v>
      </c>
      <c r="M1128" s="74">
        <f t="shared" si="211"/>
        <v>70830.994394163165</v>
      </c>
      <c r="N1128" s="74">
        <f t="shared" si="212"/>
        <v>-43474.946434919708</v>
      </c>
      <c r="O1128" s="74">
        <f t="shared" si="213"/>
        <v>-94971.369832659533</v>
      </c>
      <c r="P1128" s="74">
        <f t="shared" si="214"/>
        <v>104449.18408207376</v>
      </c>
    </row>
    <row r="1129" spans="1:16" x14ac:dyDescent="0.3">
      <c r="A1129" s="72">
        <f t="shared" si="201"/>
        <v>410</v>
      </c>
      <c r="B1129" s="74">
        <f t="shared" si="202"/>
        <v>41264.578735094721</v>
      </c>
      <c r="C1129" s="74">
        <f t="shared" si="203"/>
        <v>56723.818777272143</v>
      </c>
      <c r="D1129" s="74">
        <f t="shared" si="204"/>
        <v>5579.2646003500258</v>
      </c>
      <c r="E1129" s="74">
        <f t="shared" si="205"/>
        <v>-6495.1021107747747</v>
      </c>
      <c r="F1129" s="74">
        <f t="shared" si="199"/>
        <v>-1604.913230902798</v>
      </c>
      <c r="G1129" s="74">
        <f t="shared" si="200"/>
        <v>-2417.7156902428442</v>
      </c>
      <c r="H1129" s="74">
        <f t="shared" si="206"/>
        <v>-21264.578735094721</v>
      </c>
      <c r="I1129" s="74">
        <f t="shared" si="207"/>
        <v>-36723.818777272143</v>
      </c>
      <c r="J1129" s="74">
        <f t="shared" si="208"/>
        <v>42436.083400414893</v>
      </c>
      <c r="K1129" s="74">
        <f t="shared" si="209"/>
        <v>-61264.578735094721</v>
      </c>
      <c r="L1129" s="74">
        <f t="shared" si="210"/>
        <v>-36723.818777272143</v>
      </c>
      <c r="M1129" s="74">
        <f t="shared" si="211"/>
        <v>71428.198025531528</v>
      </c>
      <c r="N1129" s="74">
        <f t="shared" si="212"/>
        <v>-46264.578735094721</v>
      </c>
      <c r="O1129" s="74">
        <f t="shared" si="213"/>
        <v>-91723.818777272143</v>
      </c>
      <c r="P1129" s="74">
        <f t="shared" si="214"/>
        <v>102731.0575075602</v>
      </c>
    </row>
    <row r="1130" spans="1:16" x14ac:dyDescent="0.3">
      <c r="A1130" s="72">
        <f t="shared" si="201"/>
        <v>410.5</v>
      </c>
      <c r="B1130" s="74">
        <f t="shared" si="202"/>
        <v>43652.982727544033</v>
      </c>
      <c r="C1130" s="74">
        <f t="shared" si="203"/>
        <v>52871.838799324039</v>
      </c>
      <c r="D1130" s="74">
        <f t="shared" si="204"/>
        <v>4776.8079848986272</v>
      </c>
      <c r="E1130" s="74">
        <f t="shared" si="205"/>
        <v>-7703.9599558961963</v>
      </c>
      <c r="F1130" s="74">
        <f t="shared" si="199"/>
        <v>-1927.6494937761008</v>
      </c>
      <c r="G1130" s="74">
        <f t="shared" si="200"/>
        <v>-2443.1755172677094</v>
      </c>
      <c r="H1130" s="74">
        <f t="shared" si="206"/>
        <v>-23652.982727544033</v>
      </c>
      <c r="I1130" s="74">
        <f t="shared" si="207"/>
        <v>-32871.838799324039</v>
      </c>
      <c r="J1130" s="74">
        <f t="shared" si="208"/>
        <v>40497.177407298914</v>
      </c>
      <c r="K1130" s="74">
        <f t="shared" si="209"/>
        <v>-63652.982727544033</v>
      </c>
      <c r="L1130" s="74">
        <f t="shared" si="210"/>
        <v>-32871.838799324039</v>
      </c>
      <c r="M1130" s="74">
        <f t="shared" si="211"/>
        <v>71639.793384415651</v>
      </c>
      <c r="N1130" s="74">
        <f t="shared" si="212"/>
        <v>-48652.982727544033</v>
      </c>
      <c r="O1130" s="74">
        <f t="shared" si="213"/>
        <v>-87871.838799324032</v>
      </c>
      <c r="P1130" s="74">
        <f t="shared" si="214"/>
        <v>100441.88758810284</v>
      </c>
    </row>
    <row r="1131" spans="1:16" x14ac:dyDescent="0.3">
      <c r="A1131" s="72">
        <f t="shared" si="201"/>
        <v>411</v>
      </c>
      <c r="B1131" s="74">
        <f t="shared" si="202"/>
        <v>45559.474346549323</v>
      </c>
      <c r="C1131" s="74">
        <f t="shared" si="203"/>
        <v>48409.064942059013</v>
      </c>
      <c r="D1131" s="74">
        <f t="shared" si="204"/>
        <v>3812.9832380105768</v>
      </c>
      <c r="E1131" s="74">
        <f t="shared" si="205"/>
        <v>-8925.5477145300501</v>
      </c>
      <c r="F1131" s="74">
        <f t="shared" si="199"/>
        <v>-2340.0279001259537</v>
      </c>
      <c r="G1131" s="74">
        <f t="shared" si="200"/>
        <v>-2465.28324185679</v>
      </c>
      <c r="H1131" s="74">
        <f t="shared" si="206"/>
        <v>-25559.474346549323</v>
      </c>
      <c r="I1131" s="74">
        <f t="shared" si="207"/>
        <v>-28409.064942059013</v>
      </c>
      <c r="J1131" s="74">
        <f t="shared" si="208"/>
        <v>38214.679113581988</v>
      </c>
      <c r="K1131" s="74">
        <f t="shared" si="209"/>
        <v>-65559.474346549323</v>
      </c>
      <c r="L1131" s="74">
        <f t="shared" si="210"/>
        <v>-28409.064942059013</v>
      </c>
      <c r="M1131" s="74">
        <f t="shared" si="211"/>
        <v>71450.119996246227</v>
      </c>
      <c r="N1131" s="74">
        <f t="shared" si="212"/>
        <v>-50559.474346549323</v>
      </c>
      <c r="O1131" s="74">
        <f t="shared" si="213"/>
        <v>-83409.06494205902</v>
      </c>
      <c r="P1131" s="74">
        <f t="shared" si="214"/>
        <v>97536.314061522731</v>
      </c>
    </row>
    <row r="1132" spans="1:16" x14ac:dyDescent="0.3">
      <c r="A1132" s="72">
        <f t="shared" si="201"/>
        <v>411.5</v>
      </c>
      <c r="B1132" s="74">
        <f t="shared" si="202"/>
        <v>46880.958990523126</v>
      </c>
      <c r="C1132" s="74">
        <f t="shared" si="203"/>
        <v>43329.970274329789</v>
      </c>
      <c r="D1132" s="74">
        <f t="shared" si="204"/>
        <v>2642.9692879475997</v>
      </c>
      <c r="E1132" s="74">
        <f t="shared" si="205"/>
        <v>-10158.189335458444</v>
      </c>
      <c r="F1132" s="74">
        <f t="shared" si="199"/>
        <v>-2881.7747301294412</v>
      </c>
      <c r="G1132" s="74">
        <f t="shared" si="200"/>
        <v>-2460.9231247166422</v>
      </c>
      <c r="H1132" s="74">
        <f t="shared" si="206"/>
        <v>-26880.958990523126</v>
      </c>
      <c r="I1132" s="74">
        <f t="shared" si="207"/>
        <v>-23329.970274329789</v>
      </c>
      <c r="J1132" s="74">
        <f t="shared" si="208"/>
        <v>35593.166047027873</v>
      </c>
      <c r="K1132" s="74">
        <f t="shared" si="209"/>
        <v>-66880.958990523126</v>
      </c>
      <c r="L1132" s="74">
        <f t="shared" si="210"/>
        <v>-23329.970274329789</v>
      </c>
      <c r="M1132" s="74">
        <f t="shared" si="211"/>
        <v>70833.256232458691</v>
      </c>
      <c r="N1132" s="74">
        <f t="shared" si="212"/>
        <v>-51880.958990523126</v>
      </c>
      <c r="O1132" s="74">
        <f t="shared" si="213"/>
        <v>-78329.970274329797</v>
      </c>
      <c r="P1132" s="74">
        <f t="shared" si="214"/>
        <v>93953.276414150299</v>
      </c>
    </row>
    <row r="1133" spans="1:16" x14ac:dyDescent="0.3">
      <c r="A1133" s="72">
        <f t="shared" si="201"/>
        <v>412</v>
      </c>
      <c r="B1133" s="74">
        <f t="shared" si="202"/>
        <v>47481.999951964572</v>
      </c>
      <c r="C1133" s="74">
        <f t="shared" si="203"/>
        <v>37635.644825421405</v>
      </c>
      <c r="D1133" s="74">
        <f t="shared" si="204"/>
        <v>1202.0819228828791</v>
      </c>
      <c r="E1133" s="74">
        <f t="shared" si="205"/>
        <v>-11388.650897816766</v>
      </c>
      <c r="F1133" s="74">
        <f t="shared" si="199"/>
        <v>-3608.3643395477052</v>
      </c>
      <c r="G1133" s="74">
        <f t="shared" si="200"/>
        <v>-2379.0501837835395</v>
      </c>
      <c r="H1133" s="74">
        <f t="shared" si="206"/>
        <v>-27481.999951964572</v>
      </c>
      <c r="I1133" s="74">
        <f t="shared" si="207"/>
        <v>-17635.644825421405</v>
      </c>
      <c r="J1133" s="74">
        <f t="shared" si="208"/>
        <v>32653.886288896661</v>
      </c>
      <c r="K1133" s="74">
        <f t="shared" si="209"/>
        <v>-67481.999951964564</v>
      </c>
      <c r="L1133" s="74">
        <f t="shared" si="210"/>
        <v>-17635.644825421405</v>
      </c>
      <c r="M1133" s="74">
        <f t="shared" si="211"/>
        <v>69748.37837487951</v>
      </c>
      <c r="N1133" s="74">
        <f t="shared" si="212"/>
        <v>-52481.999951964572</v>
      </c>
      <c r="O1133" s="74">
        <f t="shared" si="213"/>
        <v>-72635.644825421405</v>
      </c>
      <c r="P1133" s="74">
        <f t="shared" si="214"/>
        <v>89611.925646996213</v>
      </c>
    </row>
    <row r="1134" spans="1:16" x14ac:dyDescent="0.3">
      <c r="A1134" s="72">
        <f t="shared" si="201"/>
        <v>412.5</v>
      </c>
      <c r="B1134" s="74">
        <f t="shared" si="202"/>
        <v>47180.949828519086</v>
      </c>
      <c r="C1134" s="74">
        <f t="shared" si="203"/>
        <v>31346.556830567137</v>
      </c>
      <c r="D1134" s="74">
        <f t="shared" si="204"/>
        <v>-602.10024689097349</v>
      </c>
      <c r="E1134" s="74">
        <f t="shared" si="205"/>
        <v>-12578.175989708536</v>
      </c>
      <c r="F1134" s="74">
        <f t="shared" si="199"/>
        <v>-4585.2987910255815</v>
      </c>
      <c r="G1134" s="74">
        <f t="shared" si="200"/>
        <v>-2107.1607234300554</v>
      </c>
      <c r="H1134" s="74">
        <f t="shared" si="206"/>
        <v>-27180.949828519086</v>
      </c>
      <c r="I1134" s="74">
        <f t="shared" si="207"/>
        <v>-11346.556830567137</v>
      </c>
      <c r="J1134" s="74">
        <f t="shared" si="208"/>
        <v>29454.174330470742</v>
      </c>
      <c r="K1134" s="74">
        <f t="shared" si="209"/>
        <v>-67180.949828519078</v>
      </c>
      <c r="L1134" s="74">
        <f t="shared" si="210"/>
        <v>-11346.556830567137</v>
      </c>
      <c r="M1134" s="74">
        <f t="shared" si="211"/>
        <v>68132.403243767112</v>
      </c>
      <c r="N1134" s="74">
        <f t="shared" si="212"/>
        <v>-52180.949828519086</v>
      </c>
      <c r="O1134" s="74">
        <f t="shared" si="213"/>
        <v>-66346.556830567133</v>
      </c>
      <c r="P1134" s="74">
        <f t="shared" si="214"/>
        <v>84408.039476569407</v>
      </c>
    </row>
    <row r="1135" spans="1:16" x14ac:dyDescent="0.3">
      <c r="A1135" s="72">
        <f t="shared" si="201"/>
        <v>413</v>
      </c>
      <c r="B1135" s="74">
        <f t="shared" si="202"/>
        <v>45733.575007317202</v>
      </c>
      <c r="C1135" s="74">
        <f t="shared" si="203"/>
        <v>24530.678654855354</v>
      </c>
      <c r="D1135" s="74">
        <f t="shared" si="204"/>
        <v>-2894.7496424037645</v>
      </c>
      <c r="E1135" s="74">
        <f t="shared" si="205"/>
        <v>-13631.756351423563</v>
      </c>
      <c r="F1135" s="74">
        <f t="shared" si="199"/>
        <v>-5837.7683960756922</v>
      </c>
      <c r="G1135" s="74">
        <f t="shared" si="200"/>
        <v>-1408.4358598715594</v>
      </c>
      <c r="H1135" s="74">
        <f t="shared" si="206"/>
        <v>-25733.575007317202</v>
      </c>
      <c r="I1135" s="74">
        <f t="shared" si="207"/>
        <v>-4530.6786548553537</v>
      </c>
      <c r="J1135" s="74">
        <f t="shared" si="208"/>
        <v>26129.369141461921</v>
      </c>
      <c r="K1135" s="74">
        <f t="shared" si="209"/>
        <v>-65733.575007317209</v>
      </c>
      <c r="L1135" s="74">
        <f t="shared" si="210"/>
        <v>-4530.6786548553537</v>
      </c>
      <c r="M1135" s="74">
        <f t="shared" si="211"/>
        <v>65889.528244753426</v>
      </c>
      <c r="N1135" s="74">
        <f t="shared" si="212"/>
        <v>-50733.575007317202</v>
      </c>
      <c r="O1135" s="74">
        <f t="shared" si="213"/>
        <v>-59530.67865485535</v>
      </c>
      <c r="P1135" s="74">
        <f t="shared" si="214"/>
        <v>78216.34953211977</v>
      </c>
    </row>
    <row r="1136" spans="1:16" x14ac:dyDescent="0.3">
      <c r="A1136" s="72">
        <f t="shared" si="201"/>
        <v>413.5</v>
      </c>
      <c r="B1136" s="74">
        <f t="shared" si="202"/>
        <v>42826.758087096394</v>
      </c>
      <c r="C1136" s="74">
        <f t="shared" si="203"/>
        <v>17362.691514175684</v>
      </c>
      <c r="D1136" s="74">
        <f t="shared" si="204"/>
        <v>-5813.633840441611</v>
      </c>
      <c r="E1136" s="74">
        <f t="shared" si="205"/>
        <v>-14335.974281359342</v>
      </c>
      <c r="F1136" s="74">
        <f t="shared" si="199"/>
        <v>-7149.7856420428334</v>
      </c>
      <c r="G1136" s="74">
        <f t="shared" si="200"/>
        <v>127.05928439574234</v>
      </c>
      <c r="H1136" s="74">
        <f t="shared" si="206"/>
        <v>-22826.758087096394</v>
      </c>
      <c r="I1136" s="74">
        <f t="shared" si="207"/>
        <v>2637.3084858243164</v>
      </c>
      <c r="J1136" s="74">
        <f t="shared" si="208"/>
        <v>22978.604849211832</v>
      </c>
      <c r="K1136" s="74">
        <f t="shared" si="209"/>
        <v>-62826.758087096394</v>
      </c>
      <c r="L1136" s="74">
        <f t="shared" si="210"/>
        <v>2637.3084858243164</v>
      </c>
      <c r="M1136" s="74">
        <f t="shared" si="211"/>
        <v>62882.087495438107</v>
      </c>
      <c r="N1136" s="74">
        <f t="shared" si="212"/>
        <v>-47826.758087096394</v>
      </c>
      <c r="O1136" s="74">
        <f t="shared" si="213"/>
        <v>-52362.691514175684</v>
      </c>
      <c r="P1136" s="74">
        <f t="shared" si="214"/>
        <v>70917.207021500537</v>
      </c>
    </row>
    <row r="1137" spans="1:16" x14ac:dyDescent="0.3">
      <c r="A1137" s="72">
        <f t="shared" si="201"/>
        <v>414</v>
      </c>
      <c r="B1137" s="74">
        <f t="shared" si="202"/>
        <v>38132.494756364875</v>
      </c>
      <c r="C1137" s="74">
        <f t="shared" si="203"/>
        <v>10226.469194594949</v>
      </c>
      <c r="D1137" s="74">
        <f t="shared" si="204"/>
        <v>-9388.5266614630273</v>
      </c>
      <c r="E1137" s="74">
        <f t="shared" si="205"/>
        <v>-14272.444639161471</v>
      </c>
      <c r="F1137" s="74">
        <f t="shared" si="199"/>
        <v>-7631.3365440258267</v>
      </c>
      <c r="G1137" s="74">
        <f t="shared" si="200"/>
        <v>2762.3941115813623</v>
      </c>
      <c r="H1137" s="74">
        <f t="shared" si="206"/>
        <v>-18132.494756364875</v>
      </c>
      <c r="I1137" s="74">
        <f t="shared" si="207"/>
        <v>9773.5308054050511</v>
      </c>
      <c r="J1137" s="74">
        <f t="shared" si="208"/>
        <v>20598.768664505194</v>
      </c>
      <c r="K1137" s="74">
        <f t="shared" si="209"/>
        <v>-58132.494756364875</v>
      </c>
      <c r="L1137" s="74">
        <f t="shared" si="210"/>
        <v>9773.5308054050511</v>
      </c>
      <c r="M1137" s="74">
        <f t="shared" si="211"/>
        <v>58948.357491986077</v>
      </c>
      <c r="N1137" s="74">
        <f t="shared" si="212"/>
        <v>-43132.494756364875</v>
      </c>
      <c r="O1137" s="74">
        <f t="shared" si="213"/>
        <v>-45226.469194594945</v>
      </c>
      <c r="P1137" s="74">
        <f t="shared" si="214"/>
        <v>62496.764874011591</v>
      </c>
    </row>
    <row r="1138" spans="1:16" x14ac:dyDescent="0.3">
      <c r="A1138" s="72">
        <f t="shared" si="201"/>
        <v>414.5</v>
      </c>
      <c r="B1138" s="74">
        <f t="shared" si="202"/>
        <v>31530.397289626908</v>
      </c>
      <c r="C1138" s="74">
        <f t="shared" si="203"/>
        <v>3780.8454029095537</v>
      </c>
      <c r="D1138" s="74">
        <f t="shared" si="204"/>
        <v>-13204.194933475941</v>
      </c>
      <c r="E1138" s="74">
        <f t="shared" si="205"/>
        <v>-12891.24758337079</v>
      </c>
      <c r="F1138" s="74">
        <f t="shared" si="199"/>
        <v>-6011.3437192297188</v>
      </c>
      <c r="G1138" s="74">
        <f t="shared" si="200"/>
        <v>5343.7856734944817</v>
      </c>
      <c r="H1138" s="74">
        <f t="shared" si="206"/>
        <v>-11530.397289626908</v>
      </c>
      <c r="I1138" s="74">
        <f t="shared" si="207"/>
        <v>16219.154597090446</v>
      </c>
      <c r="J1138" s="74">
        <f t="shared" si="208"/>
        <v>19900.026067846135</v>
      </c>
      <c r="K1138" s="74">
        <f t="shared" si="209"/>
        <v>-51530.397289626912</v>
      </c>
      <c r="L1138" s="74">
        <f t="shared" si="210"/>
        <v>16219.154597090446</v>
      </c>
      <c r="M1138" s="74">
        <f t="shared" si="211"/>
        <v>54022.613974807893</v>
      </c>
      <c r="N1138" s="74">
        <f t="shared" si="212"/>
        <v>-36530.397289626912</v>
      </c>
      <c r="O1138" s="74">
        <f t="shared" si="213"/>
        <v>-38780.845402909552</v>
      </c>
      <c r="P1138" s="74">
        <f t="shared" si="214"/>
        <v>53276.860796243913</v>
      </c>
    </row>
    <row r="1139" spans="1:16" x14ac:dyDescent="0.3">
      <c r="A1139" s="72">
        <f t="shared" si="201"/>
        <v>415</v>
      </c>
      <c r="B1139" s="74">
        <f t="shared" si="202"/>
        <v>23425.463893081509</v>
      </c>
      <c r="C1139" s="74">
        <f t="shared" si="203"/>
        <v>-1328.831970402221</v>
      </c>
      <c r="D1139" s="74">
        <f t="shared" si="204"/>
        <v>-16209.866793090801</v>
      </c>
      <c r="E1139" s="74">
        <f t="shared" si="205"/>
        <v>-10219.35474662355</v>
      </c>
      <c r="F1139" s="74">
        <f t="shared" si="199"/>
        <v>-3144.1250041664071</v>
      </c>
      <c r="G1139" s="74">
        <f t="shared" si="200"/>
        <v>5482.5332508317979</v>
      </c>
      <c r="H1139" s="74">
        <f t="shared" si="206"/>
        <v>-3425.463893081509</v>
      </c>
      <c r="I1139" s="74">
        <f t="shared" si="207"/>
        <v>21328.831970402221</v>
      </c>
      <c r="J1139" s="74">
        <f t="shared" si="208"/>
        <v>21602.149802842701</v>
      </c>
      <c r="K1139" s="74">
        <f t="shared" si="209"/>
        <v>-43425.463893081513</v>
      </c>
      <c r="L1139" s="74">
        <f t="shared" si="210"/>
        <v>21328.831970402221</v>
      </c>
      <c r="M1139" s="74">
        <f t="shared" si="211"/>
        <v>48380.677832694513</v>
      </c>
      <c r="N1139" s="74">
        <f t="shared" si="212"/>
        <v>-28425.463893081509</v>
      </c>
      <c r="O1139" s="74">
        <f t="shared" si="213"/>
        <v>-33671.168029597779</v>
      </c>
      <c r="P1139" s="74">
        <f t="shared" si="214"/>
        <v>44065.34413815791</v>
      </c>
    </row>
    <row r="1140" spans="1:16" x14ac:dyDescent="0.3">
      <c r="A1140" s="72">
        <f t="shared" si="201"/>
        <v>415.5</v>
      </c>
      <c r="B1140" s="74">
        <f t="shared" si="202"/>
        <v>14534.499245494506</v>
      </c>
      <c r="C1140" s="74">
        <f t="shared" si="203"/>
        <v>-5067.876031006047</v>
      </c>
      <c r="D1140" s="74">
        <f t="shared" si="204"/>
        <v>-17781.929295174006</v>
      </c>
      <c r="E1140" s="74">
        <f t="shared" si="205"/>
        <v>-7478.0881212076511</v>
      </c>
      <c r="F1140" s="74">
        <f t="shared" si="199"/>
        <v>-1408.9777243823014</v>
      </c>
      <c r="G1140" s="74">
        <f t="shared" si="200"/>
        <v>3233.4584280111849</v>
      </c>
      <c r="H1140" s="74">
        <f t="shared" si="206"/>
        <v>5465.5007545054941</v>
      </c>
      <c r="I1140" s="74">
        <f t="shared" si="207"/>
        <v>25067.876031006046</v>
      </c>
      <c r="J1140" s="74">
        <f t="shared" si="208"/>
        <v>25656.775074108351</v>
      </c>
      <c r="K1140" s="74">
        <f t="shared" si="209"/>
        <v>-34534.499245494502</v>
      </c>
      <c r="L1140" s="74">
        <f t="shared" si="210"/>
        <v>25067.876031006046</v>
      </c>
      <c r="M1140" s="74">
        <f t="shared" si="211"/>
        <v>42673.528642976642</v>
      </c>
      <c r="N1140" s="74">
        <f t="shared" si="212"/>
        <v>-19534.499245494506</v>
      </c>
      <c r="O1140" s="74">
        <f t="shared" si="213"/>
        <v>-29932.123968993954</v>
      </c>
      <c r="P1140" s="74">
        <f t="shared" si="214"/>
        <v>35742.533570907479</v>
      </c>
    </row>
    <row r="1141" spans="1:16" x14ac:dyDescent="0.3">
      <c r="A1141" s="72">
        <f t="shared" si="201"/>
        <v>416</v>
      </c>
      <c r="B1141" s="74">
        <f t="shared" si="202"/>
        <v>5291.2901668119275</v>
      </c>
      <c r="C1141" s="74">
        <f t="shared" si="203"/>
        <v>-7998.5554846070763</v>
      </c>
      <c r="D1141" s="74">
        <f t="shared" si="204"/>
        <v>-18486.418157365159</v>
      </c>
      <c r="E1141" s="74">
        <f t="shared" si="205"/>
        <v>-5861.3589072020586</v>
      </c>
      <c r="F1141" s="74">
        <f t="shared" si="199"/>
        <v>-765.04118612619322</v>
      </c>
      <c r="G1141" s="74">
        <f t="shared" si="200"/>
        <v>304.00463076984306</v>
      </c>
      <c r="H1141" s="74">
        <f t="shared" si="206"/>
        <v>14708.709833188073</v>
      </c>
      <c r="I1141" s="74">
        <f t="shared" si="207"/>
        <v>27998.555484607077</v>
      </c>
      <c r="J1141" s="74">
        <f t="shared" si="208"/>
        <v>31626.970360462041</v>
      </c>
      <c r="K1141" s="74">
        <f t="shared" si="209"/>
        <v>-25291.290166811927</v>
      </c>
      <c r="L1141" s="74">
        <f t="shared" si="210"/>
        <v>27998.555484607077</v>
      </c>
      <c r="M1141" s="74">
        <f t="shared" si="211"/>
        <v>37730.20630113886</v>
      </c>
      <c r="N1141" s="74">
        <f t="shared" si="212"/>
        <v>-10291.290166811927</v>
      </c>
      <c r="O1141" s="74">
        <f t="shared" si="213"/>
        <v>-27001.444515392923</v>
      </c>
      <c r="P1141" s="74">
        <f t="shared" si="214"/>
        <v>28896.170320915578</v>
      </c>
    </row>
    <row r="1142" spans="1:16" x14ac:dyDescent="0.3">
      <c r="A1142" s="72">
        <f t="shared" si="201"/>
        <v>416.5</v>
      </c>
      <c r="B1142" s="74">
        <f t="shared" si="202"/>
        <v>-4143.1792084021999</v>
      </c>
      <c r="C1142" s="74">
        <f t="shared" si="203"/>
        <v>-10853.233780515644</v>
      </c>
      <c r="D1142" s="74">
        <f t="shared" si="204"/>
        <v>-18868.938750428257</v>
      </c>
      <c r="E1142" s="74">
        <f t="shared" si="205"/>
        <v>-5709.3565918171371</v>
      </c>
      <c r="F1142" s="74">
        <f t="shared" ref="F1142:F1205" si="215">$C$23*(H1142/(J1142^2+$C$24^2)^1.5)+$C$32*(K1142/(M1142^2+$C$33^2)^1.5)+C$41*(N1142/(P1142^2+$C$42^2)^1.5)</f>
        <v>575.498165489234</v>
      </c>
      <c r="G1142" s="74">
        <f t="shared" ref="G1142:G1205" si="216">$C$23*(I1142/(J1142^2+$C$24^2)^1.5)+$C$32*(L1142/(M1142^2+$C$33^2)^1.5)+C$41*(O1142/(P1142^2+$C$42^2)^1.5)</f>
        <v>-2234.8058360872537</v>
      </c>
      <c r="H1142" s="74">
        <f t="shared" si="206"/>
        <v>24143.179208402202</v>
      </c>
      <c r="I1142" s="74">
        <f t="shared" si="207"/>
        <v>30853.233780515642</v>
      </c>
      <c r="J1142" s="74">
        <f t="shared" si="208"/>
        <v>39176.716771625666</v>
      </c>
      <c r="K1142" s="74">
        <f t="shared" si="209"/>
        <v>-15856.8207915978</v>
      </c>
      <c r="L1142" s="74">
        <f t="shared" si="210"/>
        <v>30853.233780515642</v>
      </c>
      <c r="M1142" s="74">
        <f t="shared" si="211"/>
        <v>34689.49120889495</v>
      </c>
      <c r="N1142" s="74">
        <f t="shared" si="212"/>
        <v>-856.82079159780005</v>
      </c>
      <c r="O1142" s="74">
        <f t="shared" si="213"/>
        <v>-24146.766219484358</v>
      </c>
      <c r="P1142" s="74">
        <f t="shared" si="214"/>
        <v>24161.963097549527</v>
      </c>
    </row>
    <row r="1143" spans="1:16" x14ac:dyDescent="0.3">
      <c r="A1143" s="72">
        <f t="shared" ref="A1143:A1206" si="217">A1142+$C$5</f>
        <v>417</v>
      </c>
      <c r="B1143" s="74">
        <f t="shared" ref="B1143:B1206" si="218">B1142+D1142*(A1143-A1142)+F1142*(A1143-A1142)^2</f>
        <v>-13433.77404224402</v>
      </c>
      <c r="C1143" s="74">
        <f t="shared" ref="C1143:C1206" si="219">C1142+E1142*(A1143-A1142)+G1142*(A1143-A1142)^2</f>
        <v>-14266.613535446026</v>
      </c>
      <c r="D1143" s="74">
        <f t="shared" ref="D1143:D1206" si="220">D1142+F1142*(A1143-A1142)</f>
        <v>-18581.18966768364</v>
      </c>
      <c r="E1143" s="74">
        <f t="shared" ref="E1143:E1206" si="221">E1142+G1142*(A1143-A1142)</f>
        <v>-6826.7595098607635</v>
      </c>
      <c r="F1143" s="74">
        <f t="shared" si="215"/>
        <v>3287.7660647842677</v>
      </c>
      <c r="G1143" s="74">
        <f t="shared" si="216"/>
        <v>-3065.2583462369184</v>
      </c>
      <c r="H1143" s="74">
        <f t="shared" ref="H1143:H1206" si="222">$C$19-B1143</f>
        <v>33433.774042244018</v>
      </c>
      <c r="I1143" s="74">
        <f t="shared" ref="I1143:I1206" si="223">$D$19-C1143</f>
        <v>34266.613535446028</v>
      </c>
      <c r="J1143" s="74">
        <f t="shared" ref="J1143:J1206" si="224">SQRT(H1143^2+I1143^2)</f>
        <v>47875.025325272079</v>
      </c>
      <c r="K1143" s="74">
        <f t="shared" ref="K1143:K1206" si="225">$C$28-B1143</f>
        <v>-6566.2259577559798</v>
      </c>
      <c r="L1143" s="74">
        <f t="shared" ref="L1143:L1206" si="226">$D$28-C1143</f>
        <v>34266.613535446028</v>
      </c>
      <c r="M1143" s="74">
        <f t="shared" ref="M1143:M1206" si="227">SQRT(K1143^2+L1143^2)</f>
        <v>34890.057702960614</v>
      </c>
      <c r="N1143" s="74">
        <f t="shared" ref="N1143:N1206" si="228">$C$37-B1143</f>
        <v>8433.7740422440202</v>
      </c>
      <c r="O1143" s="74">
        <f t="shared" ref="O1143:O1206" si="229">$D$37-C1143</f>
        <v>-20733.386464553972</v>
      </c>
      <c r="P1143" s="74">
        <f t="shared" ref="P1143:P1206" si="230">SQRT(N1143^2+O1143^2)</f>
        <v>22383.070809971068</v>
      </c>
    </row>
    <row r="1144" spans="1:16" x14ac:dyDescent="0.3">
      <c r="A1144" s="72">
        <f t="shared" si="217"/>
        <v>417.5</v>
      </c>
      <c r="B1144" s="74">
        <f t="shared" si="218"/>
        <v>-21902.427359889774</v>
      </c>
      <c r="C1144" s="74">
        <f t="shared" si="219"/>
        <v>-18446.307876935636</v>
      </c>
      <c r="D1144" s="74">
        <f t="shared" si="220"/>
        <v>-16937.306635291505</v>
      </c>
      <c r="E1144" s="74">
        <f t="shared" si="221"/>
        <v>-8359.3886829792227</v>
      </c>
      <c r="F1144" s="74">
        <f t="shared" si="215"/>
        <v>5157.2397707609352</v>
      </c>
      <c r="G1144" s="74">
        <f t="shared" si="216"/>
        <v>-1898.7476382787841</v>
      </c>
      <c r="H1144" s="74">
        <f t="shared" si="222"/>
        <v>41902.427359889771</v>
      </c>
      <c r="I1144" s="74">
        <f t="shared" si="223"/>
        <v>38446.307876935636</v>
      </c>
      <c r="J1144" s="74">
        <f t="shared" si="224"/>
        <v>56867.671026858152</v>
      </c>
      <c r="K1144" s="74">
        <f t="shared" si="225"/>
        <v>1902.4273598897744</v>
      </c>
      <c r="L1144" s="74">
        <f t="shared" si="226"/>
        <v>38446.307876935636</v>
      </c>
      <c r="M1144" s="74">
        <f t="shared" si="227"/>
        <v>38493.347726948617</v>
      </c>
      <c r="N1144" s="74">
        <f t="shared" si="228"/>
        <v>16902.427359889774</v>
      </c>
      <c r="O1144" s="74">
        <f t="shared" si="229"/>
        <v>-16553.692123064364</v>
      </c>
      <c r="P1144" s="74">
        <f t="shared" si="230"/>
        <v>23658.334124818542</v>
      </c>
    </row>
    <row r="1145" spans="1:16" x14ac:dyDescent="0.3">
      <c r="A1145" s="72">
        <f t="shared" si="217"/>
        <v>418</v>
      </c>
      <c r="B1145" s="74">
        <f t="shared" si="218"/>
        <v>-29081.770734845293</v>
      </c>
      <c r="C1145" s="74">
        <f t="shared" si="219"/>
        <v>-23100.689127994945</v>
      </c>
      <c r="D1145" s="74">
        <f t="shared" si="220"/>
        <v>-14358.686749911038</v>
      </c>
      <c r="E1145" s="74">
        <f t="shared" si="221"/>
        <v>-9308.7625021186141</v>
      </c>
      <c r="F1145" s="74">
        <f t="shared" si="215"/>
        <v>5213.5420649592079</v>
      </c>
      <c r="G1145" s="74">
        <f t="shared" si="216"/>
        <v>-460.86448456223252</v>
      </c>
      <c r="H1145" s="74">
        <f t="shared" si="222"/>
        <v>49081.770734845297</v>
      </c>
      <c r="I1145" s="74">
        <f t="shared" si="223"/>
        <v>43100.689127994949</v>
      </c>
      <c r="J1145" s="74">
        <f t="shared" si="224"/>
        <v>65319.902187434251</v>
      </c>
      <c r="K1145" s="74">
        <f t="shared" si="225"/>
        <v>9081.7707348452932</v>
      </c>
      <c r="L1145" s="74">
        <f t="shared" si="226"/>
        <v>43100.689127994949</v>
      </c>
      <c r="M1145" s="74">
        <f t="shared" si="227"/>
        <v>44047.110722365825</v>
      </c>
      <c r="N1145" s="74">
        <f t="shared" si="228"/>
        <v>24081.770734845293</v>
      </c>
      <c r="O1145" s="74">
        <f t="shared" si="229"/>
        <v>-11899.310872005055</v>
      </c>
      <c r="P1145" s="74">
        <f t="shared" si="230"/>
        <v>26861.222625827533</v>
      </c>
    </row>
    <row r="1146" spans="1:16" x14ac:dyDescent="0.3">
      <c r="A1146" s="72">
        <f t="shared" si="217"/>
        <v>418.5</v>
      </c>
      <c r="B1146" s="74">
        <f t="shared" si="218"/>
        <v>-34957.728593561005</v>
      </c>
      <c r="C1146" s="74">
        <f t="shared" si="219"/>
        <v>-27870.286500194812</v>
      </c>
      <c r="D1146" s="74">
        <f t="shared" si="220"/>
        <v>-11751.915717431433</v>
      </c>
      <c r="E1146" s="74">
        <f t="shared" si="221"/>
        <v>-9539.1947443997306</v>
      </c>
      <c r="F1146" s="74">
        <f t="shared" si="215"/>
        <v>4520.2836867156884</v>
      </c>
      <c r="G1146" s="74">
        <f t="shared" si="216"/>
        <v>407.48954886636636</v>
      </c>
      <c r="H1146" s="74">
        <f t="shared" si="222"/>
        <v>54957.728593561005</v>
      </c>
      <c r="I1146" s="74">
        <f t="shared" si="223"/>
        <v>47870.286500194808</v>
      </c>
      <c r="J1146" s="74">
        <f t="shared" si="224"/>
        <v>72882.894164366488</v>
      </c>
      <c r="K1146" s="74">
        <f t="shared" si="225"/>
        <v>14957.728593561005</v>
      </c>
      <c r="L1146" s="74">
        <f t="shared" si="226"/>
        <v>47870.286500194808</v>
      </c>
      <c r="M1146" s="74">
        <f t="shared" si="227"/>
        <v>50152.746428180442</v>
      </c>
      <c r="N1146" s="74">
        <f t="shared" si="228"/>
        <v>29957.728593561005</v>
      </c>
      <c r="O1146" s="74">
        <f t="shared" si="229"/>
        <v>-7129.7134998051879</v>
      </c>
      <c r="P1146" s="74">
        <f t="shared" si="230"/>
        <v>30794.45269971147</v>
      </c>
    </row>
    <row r="1147" spans="1:16" x14ac:dyDescent="0.3">
      <c r="A1147" s="72">
        <f t="shared" si="217"/>
        <v>419</v>
      </c>
      <c r="B1147" s="74">
        <f t="shared" si="218"/>
        <v>-39703.615530597795</v>
      </c>
      <c r="C1147" s="74">
        <f t="shared" si="219"/>
        <v>-32538.011485178085</v>
      </c>
      <c r="D1147" s="74">
        <f t="shared" si="220"/>
        <v>-9491.7738740735895</v>
      </c>
      <c r="E1147" s="74">
        <f t="shared" si="221"/>
        <v>-9335.4499699665466</v>
      </c>
      <c r="F1147" s="74">
        <f t="shared" si="215"/>
        <v>3782.1883988422137</v>
      </c>
      <c r="G1147" s="74">
        <f t="shared" si="216"/>
        <v>828.77046814540279</v>
      </c>
      <c r="H1147" s="74">
        <f t="shared" si="222"/>
        <v>59703.615530597795</v>
      </c>
      <c r="I1147" s="74">
        <f t="shared" si="223"/>
        <v>52538.011485178082</v>
      </c>
      <c r="J1147" s="74">
        <f t="shared" si="224"/>
        <v>79528.387122097105</v>
      </c>
      <c r="K1147" s="74">
        <f t="shared" si="225"/>
        <v>19703.615530597795</v>
      </c>
      <c r="L1147" s="74">
        <f t="shared" si="226"/>
        <v>52538.011485178082</v>
      </c>
      <c r="M1147" s="74">
        <f t="shared" si="227"/>
        <v>56111.274408930673</v>
      </c>
      <c r="N1147" s="74">
        <f t="shared" si="228"/>
        <v>34703.615530597795</v>
      </c>
      <c r="O1147" s="74">
        <f t="shared" si="229"/>
        <v>-2461.9885148219146</v>
      </c>
      <c r="P1147" s="74">
        <f t="shared" si="230"/>
        <v>34790.836700813386</v>
      </c>
    </row>
    <row r="1148" spans="1:16" x14ac:dyDescent="0.3">
      <c r="A1148" s="72">
        <f t="shared" si="217"/>
        <v>419.5</v>
      </c>
      <c r="B1148" s="74">
        <f t="shared" si="218"/>
        <v>-43503.955367924042</v>
      </c>
      <c r="C1148" s="74">
        <f t="shared" si="219"/>
        <v>-36998.543853125004</v>
      </c>
      <c r="D1148" s="74">
        <f t="shared" si="220"/>
        <v>-7600.6796746524824</v>
      </c>
      <c r="E1148" s="74">
        <f t="shared" si="221"/>
        <v>-8921.0647358938459</v>
      </c>
      <c r="F1148" s="74">
        <f t="shared" si="215"/>
        <v>3181.3933928291112</v>
      </c>
      <c r="G1148" s="74">
        <f t="shared" si="216"/>
        <v>1017.6284759441069</v>
      </c>
      <c r="H1148" s="74">
        <f t="shared" si="222"/>
        <v>63503.955367924042</v>
      </c>
      <c r="I1148" s="74">
        <f t="shared" si="223"/>
        <v>56998.543853125004</v>
      </c>
      <c r="J1148" s="74">
        <f t="shared" si="224"/>
        <v>85332.211671489582</v>
      </c>
      <c r="K1148" s="74">
        <f t="shared" si="225"/>
        <v>23503.955367924042</v>
      </c>
      <c r="L1148" s="74">
        <f t="shared" si="226"/>
        <v>56998.543853125004</v>
      </c>
      <c r="M1148" s="74">
        <f t="shared" si="227"/>
        <v>61654.439575053955</v>
      </c>
      <c r="N1148" s="74">
        <f t="shared" si="228"/>
        <v>38503.955367924042</v>
      </c>
      <c r="O1148" s="74">
        <f t="shared" si="229"/>
        <v>1998.5438531250038</v>
      </c>
      <c r="P1148" s="74">
        <f t="shared" si="230"/>
        <v>38555.787587701416</v>
      </c>
    </row>
    <row r="1149" spans="1:16" x14ac:dyDescent="0.3">
      <c r="A1149" s="72">
        <f t="shared" si="217"/>
        <v>420</v>
      </c>
      <c r="B1149" s="74">
        <f t="shared" si="218"/>
        <v>-46508.946857043004</v>
      </c>
      <c r="C1149" s="74">
        <f t="shared" si="219"/>
        <v>-41204.6691020859</v>
      </c>
      <c r="D1149" s="74">
        <f t="shared" si="220"/>
        <v>-6009.9829782379265</v>
      </c>
      <c r="E1149" s="74">
        <f t="shared" si="221"/>
        <v>-8412.250497921792</v>
      </c>
      <c r="F1149" s="74">
        <f t="shared" si="215"/>
        <v>2722.9153787449641</v>
      </c>
      <c r="G1149" s="74">
        <f t="shared" si="216"/>
        <v>1097.5253520431961</v>
      </c>
      <c r="H1149" s="74">
        <f t="shared" si="222"/>
        <v>66508.946857043004</v>
      </c>
      <c r="I1149" s="74">
        <f t="shared" si="223"/>
        <v>61204.6691020859</v>
      </c>
      <c r="J1149" s="74">
        <f t="shared" si="224"/>
        <v>90385.018293568981</v>
      </c>
      <c r="K1149" s="74">
        <f t="shared" si="225"/>
        <v>26508.946857043004</v>
      </c>
      <c r="L1149" s="74">
        <f t="shared" si="226"/>
        <v>61204.6691020859</v>
      </c>
      <c r="M1149" s="74">
        <f t="shared" si="227"/>
        <v>66698.843943245054</v>
      </c>
      <c r="N1149" s="74">
        <f t="shared" si="228"/>
        <v>41508.946857043004</v>
      </c>
      <c r="O1149" s="74">
        <f t="shared" si="229"/>
        <v>6204.6691020858998</v>
      </c>
      <c r="P1149" s="74">
        <f t="shared" si="230"/>
        <v>41970.115413794134</v>
      </c>
    </row>
    <row r="1150" spans="1:16" x14ac:dyDescent="0.3">
      <c r="A1150" s="72">
        <f t="shared" si="217"/>
        <v>420.5</v>
      </c>
      <c r="B1150" s="74">
        <f t="shared" si="218"/>
        <v>-48833.209501475721</v>
      </c>
      <c r="C1150" s="74">
        <f t="shared" si="219"/>
        <v>-45136.413013035999</v>
      </c>
      <c r="D1150" s="74">
        <f t="shared" si="220"/>
        <v>-4648.525288865445</v>
      </c>
      <c r="E1150" s="74">
        <f t="shared" si="221"/>
        <v>-7863.4878219001939</v>
      </c>
      <c r="F1150" s="74">
        <f t="shared" si="215"/>
        <v>2376.6543507019305</v>
      </c>
      <c r="G1150" s="74">
        <f t="shared" si="216"/>
        <v>1128.3210857761421</v>
      </c>
      <c r="H1150" s="74">
        <f t="shared" si="222"/>
        <v>68833.209501475721</v>
      </c>
      <c r="I1150" s="74">
        <f t="shared" si="223"/>
        <v>65136.413013035999</v>
      </c>
      <c r="J1150" s="74">
        <f t="shared" si="224"/>
        <v>94766.887837888047</v>
      </c>
      <c r="K1150" s="74">
        <f t="shared" si="225"/>
        <v>28833.209501475721</v>
      </c>
      <c r="L1150" s="74">
        <f t="shared" si="226"/>
        <v>65136.413013035999</v>
      </c>
      <c r="M1150" s="74">
        <f t="shared" si="227"/>
        <v>71232.761215334016</v>
      </c>
      <c r="N1150" s="74">
        <f t="shared" si="228"/>
        <v>43833.209501475721</v>
      </c>
      <c r="O1150" s="74">
        <f t="shared" si="229"/>
        <v>10136.413013035999</v>
      </c>
      <c r="P1150" s="74">
        <f t="shared" si="230"/>
        <v>44989.966925650289</v>
      </c>
    </row>
    <row r="1151" spans="1:16" x14ac:dyDescent="0.3">
      <c r="A1151" s="72">
        <f t="shared" si="217"/>
        <v>421</v>
      </c>
      <c r="B1151" s="74">
        <f t="shared" si="218"/>
        <v>-50563.308558232966</v>
      </c>
      <c r="C1151" s="74">
        <f t="shared" si="219"/>
        <v>-48786.076652542062</v>
      </c>
      <c r="D1151" s="74">
        <f t="shared" si="220"/>
        <v>-3460.1981135144797</v>
      </c>
      <c r="E1151" s="74">
        <f t="shared" si="221"/>
        <v>-7299.3272790121227</v>
      </c>
      <c r="F1151" s="74">
        <f t="shared" si="215"/>
        <v>2113.6031687650243</v>
      </c>
      <c r="G1151" s="74">
        <f t="shared" si="216"/>
        <v>1138.4080789923323</v>
      </c>
      <c r="H1151" s="74">
        <f t="shared" si="222"/>
        <v>70563.308558232966</v>
      </c>
      <c r="I1151" s="74">
        <f t="shared" si="223"/>
        <v>68786.076652542062</v>
      </c>
      <c r="J1151" s="74">
        <f t="shared" si="224"/>
        <v>98542.908704451111</v>
      </c>
      <c r="K1151" s="74">
        <f t="shared" si="225"/>
        <v>30563.308558232966</v>
      </c>
      <c r="L1151" s="74">
        <f t="shared" si="226"/>
        <v>68786.076652542062</v>
      </c>
      <c r="M1151" s="74">
        <f t="shared" si="227"/>
        <v>75270.446865121965</v>
      </c>
      <c r="N1151" s="74">
        <f t="shared" si="228"/>
        <v>45563.308558232966</v>
      </c>
      <c r="O1151" s="74">
        <f t="shared" si="229"/>
        <v>13786.076652542062</v>
      </c>
      <c r="P1151" s="74">
        <f t="shared" si="230"/>
        <v>47603.266655162552</v>
      </c>
    </row>
    <row r="1152" spans="1:16" x14ac:dyDescent="0.3">
      <c r="A1152" s="72">
        <f t="shared" si="217"/>
        <v>421.5</v>
      </c>
      <c r="B1152" s="74">
        <f t="shared" si="218"/>
        <v>-51765.006822798947</v>
      </c>
      <c r="C1152" s="74">
        <f t="shared" si="219"/>
        <v>-52151.138272300042</v>
      </c>
      <c r="D1152" s="74">
        <f t="shared" si="220"/>
        <v>-2403.3965291319673</v>
      </c>
      <c r="E1152" s="74">
        <f t="shared" si="221"/>
        <v>-6730.1232395159568</v>
      </c>
      <c r="F1152" s="74">
        <f t="shared" si="215"/>
        <v>1911.897824909265</v>
      </c>
      <c r="G1152" s="74">
        <f t="shared" si="216"/>
        <v>1141.5482463251947</v>
      </c>
      <c r="H1152" s="74">
        <f t="shared" si="222"/>
        <v>71765.006822798954</v>
      </c>
      <c r="I1152" s="74">
        <f t="shared" si="223"/>
        <v>72151.138272300042</v>
      </c>
      <c r="J1152" s="74">
        <f t="shared" si="224"/>
        <v>101764.44840053396</v>
      </c>
      <c r="K1152" s="74">
        <f t="shared" si="225"/>
        <v>31765.006822798947</v>
      </c>
      <c r="L1152" s="74">
        <f t="shared" si="226"/>
        <v>72151.138272300042</v>
      </c>
      <c r="M1152" s="74">
        <f t="shared" si="227"/>
        <v>78834.018116806794</v>
      </c>
      <c r="N1152" s="74">
        <f t="shared" si="228"/>
        <v>46765.006822798947</v>
      </c>
      <c r="O1152" s="74">
        <f t="shared" si="229"/>
        <v>17151.138272300042</v>
      </c>
      <c r="P1152" s="74">
        <f t="shared" si="230"/>
        <v>49810.916546194843</v>
      </c>
    </row>
    <row r="1153" spans="1:16" x14ac:dyDescent="0.3">
      <c r="A1153" s="72">
        <f t="shared" si="217"/>
        <v>422</v>
      </c>
      <c r="B1153" s="74">
        <f t="shared" si="218"/>
        <v>-52488.730631137609</v>
      </c>
      <c r="C1153" s="74">
        <f t="shared" si="219"/>
        <v>-55230.812830476723</v>
      </c>
      <c r="D1153" s="74">
        <f t="shared" si="220"/>
        <v>-1447.4476166773347</v>
      </c>
      <c r="E1153" s="74">
        <f t="shared" si="221"/>
        <v>-6159.3491163533599</v>
      </c>
      <c r="F1153" s="74">
        <f t="shared" si="215"/>
        <v>1756.0654975515745</v>
      </c>
      <c r="G1153" s="74">
        <f t="shared" si="216"/>
        <v>1144.6968002109872</v>
      </c>
      <c r="H1153" s="74">
        <f t="shared" si="222"/>
        <v>72488.730631137616</v>
      </c>
      <c r="I1153" s="74">
        <f t="shared" si="223"/>
        <v>75230.812830476731</v>
      </c>
      <c r="J1153" s="74">
        <f t="shared" si="224"/>
        <v>104471.48542855056</v>
      </c>
      <c r="K1153" s="74">
        <f t="shared" si="225"/>
        <v>32488.730631137609</v>
      </c>
      <c r="L1153" s="74">
        <f t="shared" si="226"/>
        <v>75230.812830476731</v>
      </c>
      <c r="M1153" s="74">
        <f t="shared" si="227"/>
        <v>81946.280069060129</v>
      </c>
      <c r="N1153" s="74">
        <f t="shared" si="228"/>
        <v>47488.730631137609</v>
      </c>
      <c r="O1153" s="74">
        <f t="shared" si="229"/>
        <v>20230.812830476723</v>
      </c>
      <c r="P1153" s="74">
        <f t="shared" si="230"/>
        <v>51618.459147271424</v>
      </c>
    </row>
    <row r="1154" spans="1:16" x14ac:dyDescent="0.3">
      <c r="A1154" s="72">
        <f t="shared" si="217"/>
        <v>422.5</v>
      </c>
      <c r="B1154" s="74">
        <f t="shared" si="218"/>
        <v>-52773.438065088383</v>
      </c>
      <c r="C1154" s="74">
        <f t="shared" si="219"/>
        <v>-58024.313188600659</v>
      </c>
      <c r="D1154" s="74">
        <f t="shared" si="220"/>
        <v>-569.4148679015475</v>
      </c>
      <c r="E1154" s="74">
        <f t="shared" si="221"/>
        <v>-5587.000716247866</v>
      </c>
      <c r="F1154" s="74">
        <f t="shared" si="215"/>
        <v>1635.328358697242</v>
      </c>
      <c r="G1154" s="74">
        <f t="shared" si="216"/>
        <v>1151.6182135584163</v>
      </c>
      <c r="H1154" s="74">
        <f t="shared" si="222"/>
        <v>72773.438065088383</v>
      </c>
      <c r="I1154" s="74">
        <f t="shared" si="223"/>
        <v>78024.313188600659</v>
      </c>
      <c r="J1154" s="74">
        <f t="shared" si="224"/>
        <v>106694.73621676984</v>
      </c>
      <c r="K1154" s="74">
        <f t="shared" si="225"/>
        <v>32773.438065088383</v>
      </c>
      <c r="L1154" s="74">
        <f t="shared" si="226"/>
        <v>78024.313188600659</v>
      </c>
      <c r="M1154" s="74">
        <f t="shared" si="227"/>
        <v>84627.960457280467</v>
      </c>
      <c r="N1154" s="74">
        <f t="shared" si="228"/>
        <v>47773.438065088383</v>
      </c>
      <c r="O1154" s="74">
        <f t="shared" si="229"/>
        <v>23024.313188600659</v>
      </c>
      <c r="P1154" s="74">
        <f t="shared" si="230"/>
        <v>53032.257941422838</v>
      </c>
    </row>
    <row r="1155" spans="1:16" x14ac:dyDescent="0.3">
      <c r="A1155" s="72">
        <f t="shared" si="217"/>
        <v>423</v>
      </c>
      <c r="B1155" s="74">
        <f t="shared" si="218"/>
        <v>-52649.313409364848</v>
      </c>
      <c r="C1155" s="74">
        <f t="shared" si="219"/>
        <v>-60529.90899333499</v>
      </c>
      <c r="D1155" s="74">
        <f t="shared" si="220"/>
        <v>248.24931144707352</v>
      </c>
      <c r="E1155" s="74">
        <f t="shared" si="221"/>
        <v>-5011.1916094686576</v>
      </c>
      <c r="F1155" s="74">
        <f t="shared" si="215"/>
        <v>1542.1972881717365</v>
      </c>
      <c r="G1155" s="74">
        <f t="shared" si="216"/>
        <v>1164.613366217473</v>
      </c>
      <c r="H1155" s="74">
        <f t="shared" si="222"/>
        <v>72649.31340936484</v>
      </c>
      <c r="I1155" s="74">
        <f t="shared" si="223"/>
        <v>80529.90899333499</v>
      </c>
      <c r="J1155" s="74">
        <f t="shared" si="224"/>
        <v>108457.31409788338</v>
      </c>
      <c r="K1155" s="74">
        <f t="shared" si="225"/>
        <v>32649.313409364848</v>
      </c>
      <c r="L1155" s="74">
        <f t="shared" si="226"/>
        <v>80529.90899333499</v>
      </c>
      <c r="M1155" s="74">
        <f t="shared" si="227"/>
        <v>86896.742796135615</v>
      </c>
      <c r="N1155" s="74">
        <f t="shared" si="228"/>
        <v>47649.313409364848</v>
      </c>
      <c r="O1155" s="74">
        <f t="shared" si="229"/>
        <v>25529.90899333499</v>
      </c>
      <c r="P1155" s="74">
        <f t="shared" si="230"/>
        <v>54057.685129793004</v>
      </c>
    </row>
    <row r="1156" spans="1:16" x14ac:dyDescent="0.3">
      <c r="A1156" s="72">
        <f t="shared" si="217"/>
        <v>423.5</v>
      </c>
      <c r="B1156" s="74">
        <f t="shared" si="218"/>
        <v>-52139.639431598378</v>
      </c>
      <c r="C1156" s="74">
        <f t="shared" si="219"/>
        <v>-62744.351456514953</v>
      </c>
      <c r="D1156" s="74">
        <f t="shared" si="220"/>
        <v>1019.3479555329418</v>
      </c>
      <c r="E1156" s="74">
        <f t="shared" si="221"/>
        <v>-4428.8849263599213</v>
      </c>
      <c r="F1156" s="74">
        <f t="shared" si="215"/>
        <v>1471.486436729369</v>
      </c>
      <c r="G1156" s="74">
        <f t="shared" si="216"/>
        <v>1185.3954527823266</v>
      </c>
      <c r="H1156" s="74">
        <f t="shared" si="222"/>
        <v>72139.639431598378</v>
      </c>
      <c r="I1156" s="74">
        <f t="shared" si="223"/>
        <v>82744.351456514953</v>
      </c>
      <c r="J1156" s="74">
        <f t="shared" si="224"/>
        <v>109775.93213122945</v>
      </c>
      <c r="K1156" s="74">
        <f t="shared" si="225"/>
        <v>32139.639431598378</v>
      </c>
      <c r="L1156" s="74">
        <f t="shared" si="226"/>
        <v>82744.351456514953</v>
      </c>
      <c r="M1156" s="74">
        <f t="shared" si="227"/>
        <v>88767.021583200723</v>
      </c>
      <c r="N1156" s="74">
        <f t="shared" si="228"/>
        <v>47139.639431598378</v>
      </c>
      <c r="O1156" s="74">
        <f t="shared" si="229"/>
        <v>27744.351456514953</v>
      </c>
      <c r="P1156" s="74">
        <f t="shared" si="230"/>
        <v>54698.214262293135</v>
      </c>
    </row>
    <row r="1157" spans="1:16" x14ac:dyDescent="0.3">
      <c r="A1157" s="72">
        <f t="shared" si="217"/>
        <v>424</v>
      </c>
      <c r="B1157" s="74">
        <f t="shared" si="218"/>
        <v>-51262.093844649564</v>
      </c>
      <c r="C1157" s="74">
        <f t="shared" si="219"/>
        <v>-64662.445056499331</v>
      </c>
      <c r="D1157" s="74">
        <f t="shared" si="220"/>
        <v>1755.0911738976263</v>
      </c>
      <c r="E1157" s="74">
        <f t="shared" si="221"/>
        <v>-3836.1871999687583</v>
      </c>
      <c r="F1157" s="74">
        <f t="shared" si="215"/>
        <v>1419.6623818262992</v>
      </c>
      <c r="G1157" s="74">
        <f t="shared" si="216"/>
        <v>1215.5840260731006</v>
      </c>
      <c r="H1157" s="74">
        <f t="shared" si="222"/>
        <v>71262.093844649557</v>
      </c>
      <c r="I1157" s="74">
        <f t="shared" si="223"/>
        <v>84662.445056499331</v>
      </c>
      <c r="J1157" s="74">
        <f t="shared" si="224"/>
        <v>110661.71705729316</v>
      </c>
      <c r="K1157" s="74">
        <f t="shared" si="225"/>
        <v>31262.093844649564</v>
      </c>
      <c r="L1157" s="74">
        <f t="shared" si="226"/>
        <v>84662.445056499331</v>
      </c>
      <c r="M1157" s="74">
        <f t="shared" si="227"/>
        <v>90249.920301884165</v>
      </c>
      <c r="N1157" s="74">
        <f t="shared" si="228"/>
        <v>46262.093844649564</v>
      </c>
      <c r="O1157" s="74">
        <f t="shared" si="229"/>
        <v>29662.445056499331</v>
      </c>
      <c r="P1157" s="74">
        <f t="shared" si="230"/>
        <v>54954.908548927677</v>
      </c>
    </row>
    <row r="1158" spans="1:16" x14ac:dyDescent="0.3">
      <c r="A1158" s="72">
        <f t="shared" si="217"/>
        <v>424.5</v>
      </c>
      <c r="B1158" s="74">
        <f t="shared" si="218"/>
        <v>-50029.632662244177</v>
      </c>
      <c r="C1158" s="74">
        <f t="shared" si="219"/>
        <v>-66276.642649965434</v>
      </c>
      <c r="D1158" s="74">
        <f t="shared" si="220"/>
        <v>2464.9223648107759</v>
      </c>
      <c r="E1158" s="74">
        <f t="shared" si="221"/>
        <v>-3228.3951869322082</v>
      </c>
      <c r="F1158" s="74">
        <f t="shared" si="215"/>
        <v>1384.4310100262339</v>
      </c>
      <c r="G1158" s="74">
        <f t="shared" si="216"/>
        <v>1257.0426468289018</v>
      </c>
      <c r="H1158" s="74">
        <f t="shared" si="222"/>
        <v>70029.63266224417</v>
      </c>
      <c r="I1158" s="74">
        <f t="shared" si="223"/>
        <v>86276.642649965434</v>
      </c>
      <c r="J1158" s="74">
        <f t="shared" si="224"/>
        <v>111120.69347227225</v>
      </c>
      <c r="K1158" s="74">
        <f t="shared" si="225"/>
        <v>30029.632662244177</v>
      </c>
      <c r="L1158" s="74">
        <f t="shared" si="226"/>
        <v>86276.642649965434</v>
      </c>
      <c r="M1158" s="74">
        <f t="shared" si="227"/>
        <v>91353.368327496049</v>
      </c>
      <c r="N1158" s="74">
        <f t="shared" si="228"/>
        <v>45029.632662244177</v>
      </c>
      <c r="O1158" s="74">
        <f t="shared" si="229"/>
        <v>31276.642649965434</v>
      </c>
      <c r="P1158" s="74">
        <f t="shared" si="230"/>
        <v>54826.05396296805</v>
      </c>
    </row>
    <row r="1159" spans="1:16" x14ac:dyDescent="0.3">
      <c r="A1159" s="72">
        <f t="shared" si="217"/>
        <v>425</v>
      </c>
      <c r="B1159" s="74">
        <f t="shared" si="218"/>
        <v>-48451.063727332235</v>
      </c>
      <c r="C1159" s="74">
        <f t="shared" si="219"/>
        <v>-67576.579581724305</v>
      </c>
      <c r="D1159" s="74">
        <f t="shared" si="220"/>
        <v>3157.1378698238927</v>
      </c>
      <c r="E1159" s="74">
        <f t="shared" si="221"/>
        <v>-2599.8738635177574</v>
      </c>
      <c r="F1159" s="74">
        <f t="shared" si="215"/>
        <v>1364.4930261234447</v>
      </c>
      <c r="G1159" s="74">
        <f t="shared" si="216"/>
        <v>1312.184907702971</v>
      </c>
      <c r="H1159" s="74">
        <f t="shared" si="222"/>
        <v>68451.063727332235</v>
      </c>
      <c r="I1159" s="74">
        <f t="shared" si="223"/>
        <v>87576.579581724305</v>
      </c>
      <c r="J1159" s="74">
        <f t="shared" si="224"/>
        <v>111153.97166380241</v>
      </c>
      <c r="K1159" s="74">
        <f t="shared" si="225"/>
        <v>28451.063727332235</v>
      </c>
      <c r="L1159" s="74">
        <f t="shared" si="226"/>
        <v>87576.579581724305</v>
      </c>
      <c r="M1159" s="74">
        <f t="shared" si="227"/>
        <v>92082.138976300994</v>
      </c>
      <c r="N1159" s="74">
        <f t="shared" si="228"/>
        <v>43451.063727332235</v>
      </c>
      <c r="O1159" s="74">
        <f t="shared" si="229"/>
        <v>32576.579581724305</v>
      </c>
      <c r="P1159" s="74">
        <f t="shared" si="230"/>
        <v>54306.799540030937</v>
      </c>
    </row>
    <row r="1160" spans="1:16" x14ac:dyDescent="0.3">
      <c r="A1160" s="72">
        <f t="shared" si="217"/>
        <v>425.5</v>
      </c>
      <c r="B1160" s="74">
        <f t="shared" si="218"/>
        <v>-46531.371535889426</v>
      </c>
      <c r="C1160" s="74">
        <f t="shared" si="219"/>
        <v>-68548.470286557436</v>
      </c>
      <c r="D1160" s="74">
        <f t="shared" si="220"/>
        <v>3839.3843828856152</v>
      </c>
      <c r="E1160" s="74">
        <f t="shared" si="221"/>
        <v>-1943.7814096662719</v>
      </c>
      <c r="F1160" s="74">
        <f t="shared" si="215"/>
        <v>1359.4273784709919</v>
      </c>
      <c r="G1160" s="74">
        <f t="shared" si="216"/>
        <v>1384.3417457519786</v>
      </c>
      <c r="H1160" s="74">
        <f t="shared" si="222"/>
        <v>66531.371535889426</v>
      </c>
      <c r="I1160" s="74">
        <f t="shared" si="223"/>
        <v>88548.470286557436</v>
      </c>
      <c r="J1160" s="74">
        <f t="shared" si="224"/>
        <v>110757.64076819217</v>
      </c>
      <c r="K1160" s="74">
        <f t="shared" si="225"/>
        <v>26531.371535889426</v>
      </c>
      <c r="L1160" s="74">
        <f t="shared" si="226"/>
        <v>88548.470286557436</v>
      </c>
      <c r="M1160" s="74">
        <f t="shared" si="227"/>
        <v>92437.791328356339</v>
      </c>
      <c r="N1160" s="74">
        <f t="shared" si="228"/>
        <v>41531.371535889426</v>
      </c>
      <c r="O1160" s="74">
        <f t="shared" si="229"/>
        <v>33548.470286557436</v>
      </c>
      <c r="P1160" s="74">
        <f t="shared" si="230"/>
        <v>53388.71304142959</v>
      </c>
    </row>
    <row r="1161" spans="1:16" x14ac:dyDescent="0.3">
      <c r="A1161" s="72">
        <f t="shared" si="217"/>
        <v>426</v>
      </c>
      <c r="B1161" s="74">
        <f t="shared" si="218"/>
        <v>-44271.822499828872</v>
      </c>
      <c r="C1161" s="74">
        <f t="shared" si="219"/>
        <v>-69174.275554952575</v>
      </c>
      <c r="D1161" s="74">
        <f t="shared" si="220"/>
        <v>4519.0980721211108</v>
      </c>
      <c r="E1161" s="74">
        <f t="shared" si="221"/>
        <v>-1251.6105367902826</v>
      </c>
      <c r="F1161" s="74">
        <f t="shared" si="215"/>
        <v>1369.6856032911173</v>
      </c>
      <c r="G1161" s="74">
        <f t="shared" si="216"/>
        <v>1478.295244420264</v>
      </c>
      <c r="H1161" s="74">
        <f t="shared" si="222"/>
        <v>64271.822499828872</v>
      </c>
      <c r="I1161" s="74">
        <f t="shared" si="223"/>
        <v>89174.275554952575</v>
      </c>
      <c r="J1161" s="74">
        <f t="shared" si="224"/>
        <v>109922.32979790831</v>
      </c>
      <c r="K1161" s="74">
        <f t="shared" si="225"/>
        <v>24271.822499828872</v>
      </c>
      <c r="L1161" s="74">
        <f t="shared" si="226"/>
        <v>89174.275554952575</v>
      </c>
      <c r="M1161" s="74">
        <f t="shared" si="227"/>
        <v>92418.465623563621</v>
      </c>
      <c r="N1161" s="74">
        <f t="shared" si="228"/>
        <v>39271.822499828872</v>
      </c>
      <c r="O1161" s="74">
        <f t="shared" si="229"/>
        <v>34174.275554952575</v>
      </c>
      <c r="P1161" s="74">
        <f t="shared" si="230"/>
        <v>52059.169722191065</v>
      </c>
    </row>
    <row r="1162" spans="1:16" x14ac:dyDescent="0.3">
      <c r="A1162" s="72">
        <f t="shared" si="217"/>
        <v>426.5</v>
      </c>
      <c r="B1162" s="74">
        <f t="shared" si="218"/>
        <v>-41669.852062945538</v>
      </c>
      <c r="C1162" s="74">
        <f t="shared" si="219"/>
        <v>-69430.507012242655</v>
      </c>
      <c r="D1162" s="74">
        <f t="shared" si="220"/>
        <v>5203.940873766669</v>
      </c>
      <c r="E1162" s="74">
        <f t="shared" si="221"/>
        <v>-512.4629145801506</v>
      </c>
      <c r="F1162" s="74">
        <f t="shared" si="215"/>
        <v>1396.701186358046</v>
      </c>
      <c r="G1162" s="74">
        <f t="shared" si="216"/>
        <v>1601.1452663259561</v>
      </c>
      <c r="H1162" s="74">
        <f t="shared" si="222"/>
        <v>61669.852062945538</v>
      </c>
      <c r="I1162" s="74">
        <f t="shared" si="223"/>
        <v>89430.507012242655</v>
      </c>
      <c r="J1162" s="74">
        <f t="shared" si="224"/>
        <v>108632.34434519202</v>
      </c>
      <c r="K1162" s="74">
        <f t="shared" si="225"/>
        <v>21669.852062945538</v>
      </c>
      <c r="L1162" s="74">
        <f t="shared" si="226"/>
        <v>89430.507012242655</v>
      </c>
      <c r="M1162" s="74">
        <f t="shared" si="227"/>
        <v>92018.465934271735</v>
      </c>
      <c r="N1162" s="74">
        <f t="shared" si="228"/>
        <v>36669.852062945538</v>
      </c>
      <c r="O1162" s="74">
        <f t="shared" si="229"/>
        <v>34430.507012242655</v>
      </c>
      <c r="P1162" s="74">
        <f t="shared" si="230"/>
        <v>50300.475777455649</v>
      </c>
    </row>
    <row r="1163" spans="1:16" x14ac:dyDescent="0.3">
      <c r="A1163" s="72">
        <f t="shared" si="217"/>
        <v>427</v>
      </c>
      <c r="B1163" s="74">
        <f t="shared" si="218"/>
        <v>-38718.70632947269</v>
      </c>
      <c r="C1163" s="74">
        <f t="shared" si="219"/>
        <v>-69286.452152951242</v>
      </c>
      <c r="D1163" s="74">
        <f t="shared" si="220"/>
        <v>5902.2914669456923</v>
      </c>
      <c r="E1163" s="74">
        <f t="shared" si="221"/>
        <v>288.10971858282744</v>
      </c>
      <c r="F1163" s="74">
        <f t="shared" si="215"/>
        <v>1443.1388955085231</v>
      </c>
      <c r="G1163" s="74">
        <f t="shared" si="216"/>
        <v>1763.8238084479776</v>
      </c>
      <c r="H1163" s="74">
        <f t="shared" si="222"/>
        <v>58718.70632947269</v>
      </c>
      <c r="I1163" s="74">
        <f t="shared" si="223"/>
        <v>89286.452152951242</v>
      </c>
      <c r="J1163" s="74">
        <f t="shared" si="224"/>
        <v>106864.19892119207</v>
      </c>
      <c r="K1163" s="74">
        <f t="shared" si="225"/>
        <v>18718.70632947269</v>
      </c>
      <c r="L1163" s="74">
        <f t="shared" si="226"/>
        <v>89286.452152951242</v>
      </c>
      <c r="M1163" s="74">
        <f t="shared" si="227"/>
        <v>91227.520544571933</v>
      </c>
      <c r="N1163" s="74">
        <f t="shared" si="228"/>
        <v>33718.70632947269</v>
      </c>
      <c r="O1163" s="74">
        <f t="shared" si="229"/>
        <v>34286.452152951242</v>
      </c>
      <c r="P1163" s="74">
        <f t="shared" si="230"/>
        <v>48088.584484988081</v>
      </c>
    </row>
    <row r="1164" spans="1:16" x14ac:dyDescent="0.3">
      <c r="A1164" s="72">
        <f t="shared" si="217"/>
        <v>427.5</v>
      </c>
      <c r="B1164" s="74">
        <f t="shared" si="218"/>
        <v>-35406.775872122715</v>
      </c>
      <c r="C1164" s="74">
        <f t="shared" si="219"/>
        <v>-68701.441341547834</v>
      </c>
      <c r="D1164" s="74">
        <f t="shared" si="220"/>
        <v>6623.8609146999534</v>
      </c>
      <c r="E1164" s="74">
        <f t="shared" si="221"/>
        <v>1170.0216228068161</v>
      </c>
      <c r="F1164" s="74">
        <f t="shared" si="215"/>
        <v>1513.3258259671236</v>
      </c>
      <c r="G1164" s="74">
        <f t="shared" si="216"/>
        <v>1983.917939439526</v>
      </c>
      <c r="H1164" s="74">
        <f t="shared" si="222"/>
        <v>55406.775872122715</v>
      </c>
      <c r="I1164" s="74">
        <f t="shared" si="223"/>
        <v>88701.441341547834</v>
      </c>
      <c r="J1164" s="74">
        <f t="shared" si="224"/>
        <v>104584.20774003927</v>
      </c>
      <c r="K1164" s="74">
        <f t="shared" si="225"/>
        <v>15406.775872122715</v>
      </c>
      <c r="L1164" s="74">
        <f t="shared" si="226"/>
        <v>88701.441341547834</v>
      </c>
      <c r="M1164" s="74">
        <f t="shared" si="227"/>
        <v>90029.519819011999</v>
      </c>
      <c r="N1164" s="74">
        <f t="shared" si="228"/>
        <v>30406.775872122715</v>
      </c>
      <c r="O1164" s="74">
        <f t="shared" si="229"/>
        <v>33701.441341547834</v>
      </c>
      <c r="P1164" s="74">
        <f t="shared" si="230"/>
        <v>45391.179401237125</v>
      </c>
    </row>
    <row r="1165" spans="1:16" x14ac:dyDescent="0.3">
      <c r="A1165" s="72">
        <f t="shared" si="217"/>
        <v>428</v>
      </c>
      <c r="B1165" s="74">
        <f t="shared" si="218"/>
        <v>-31716.513958280957</v>
      </c>
      <c r="C1165" s="74">
        <f t="shared" si="219"/>
        <v>-67620.451045284542</v>
      </c>
      <c r="D1165" s="74">
        <f t="shared" si="220"/>
        <v>7380.5238276835153</v>
      </c>
      <c r="E1165" s="74">
        <f t="shared" si="221"/>
        <v>2161.9805925265791</v>
      </c>
      <c r="F1165" s="74">
        <f t="shared" si="215"/>
        <v>1613.8819896540244</v>
      </c>
      <c r="G1165" s="74">
        <f t="shared" si="216"/>
        <v>2291.3107038552889</v>
      </c>
      <c r="H1165" s="74">
        <f t="shared" si="222"/>
        <v>51716.513958280957</v>
      </c>
      <c r="I1165" s="74">
        <f t="shared" si="223"/>
        <v>87620.451045284542</v>
      </c>
      <c r="J1165" s="74">
        <f t="shared" si="224"/>
        <v>101744.49005905024</v>
      </c>
      <c r="K1165" s="74">
        <f t="shared" si="225"/>
        <v>11716.513958280957</v>
      </c>
      <c r="L1165" s="74">
        <f t="shared" si="226"/>
        <v>87620.451045284542</v>
      </c>
      <c r="M1165" s="74">
        <f t="shared" si="227"/>
        <v>88400.340161753324</v>
      </c>
      <c r="N1165" s="74">
        <f t="shared" si="228"/>
        <v>26716.513958280957</v>
      </c>
      <c r="O1165" s="74">
        <f t="shared" si="229"/>
        <v>32620.451045284542</v>
      </c>
      <c r="P1165" s="74">
        <f t="shared" si="230"/>
        <v>42164.747651098623</v>
      </c>
    </row>
    <row r="1166" spans="1:16" x14ac:dyDescent="0.3">
      <c r="A1166" s="72">
        <f t="shared" si="217"/>
        <v>428.5</v>
      </c>
      <c r="B1166" s="74">
        <f t="shared" si="218"/>
        <v>-27622.781547025694</v>
      </c>
      <c r="C1166" s="74">
        <f t="shared" si="219"/>
        <v>-65966.633073057426</v>
      </c>
      <c r="D1166" s="74">
        <f t="shared" si="220"/>
        <v>8187.4648225105275</v>
      </c>
      <c r="E1166" s="74">
        <f t="shared" si="221"/>
        <v>3307.6359444542236</v>
      </c>
      <c r="F1166" s="74">
        <f t="shared" si="215"/>
        <v>1754.2978828291216</v>
      </c>
      <c r="G1166" s="74">
        <f t="shared" si="216"/>
        <v>2740.4090562839287</v>
      </c>
      <c r="H1166" s="74">
        <f t="shared" si="222"/>
        <v>47622.78154702569</v>
      </c>
      <c r="I1166" s="74">
        <f t="shared" si="223"/>
        <v>85966.633073057426</v>
      </c>
      <c r="J1166" s="74">
        <f t="shared" si="224"/>
        <v>98276.09742044819</v>
      </c>
      <c r="K1166" s="74">
        <f t="shared" si="225"/>
        <v>7622.7815470256937</v>
      </c>
      <c r="L1166" s="74">
        <f t="shared" si="226"/>
        <v>85966.633073057426</v>
      </c>
      <c r="M1166" s="74">
        <f t="shared" si="227"/>
        <v>86303.932705476211</v>
      </c>
      <c r="N1166" s="74">
        <f t="shared" si="228"/>
        <v>22622.781547025694</v>
      </c>
      <c r="O1166" s="74">
        <f t="shared" si="229"/>
        <v>30966.633073057426</v>
      </c>
      <c r="P1166" s="74">
        <f t="shared" si="230"/>
        <v>38350.001418589549</v>
      </c>
    </row>
    <row r="1167" spans="1:16" x14ac:dyDescent="0.3">
      <c r="A1167" s="72">
        <f t="shared" si="217"/>
        <v>429</v>
      </c>
      <c r="B1167" s="74">
        <f t="shared" si="218"/>
        <v>-23090.47466506315</v>
      </c>
      <c r="C1167" s="74">
        <f t="shared" si="219"/>
        <v>-63627.712836759332</v>
      </c>
      <c r="D1167" s="74">
        <f t="shared" si="220"/>
        <v>9064.6137639250883</v>
      </c>
      <c r="E1167" s="74">
        <f t="shared" si="221"/>
        <v>4677.8404725961882</v>
      </c>
      <c r="F1167" s="74">
        <f t="shared" si="215"/>
        <v>1945.5415875679043</v>
      </c>
      <c r="G1167" s="74">
        <f t="shared" si="216"/>
        <v>3439.3708302137511</v>
      </c>
      <c r="H1167" s="74">
        <f t="shared" si="222"/>
        <v>43090.47466506315</v>
      </c>
      <c r="I1167" s="74">
        <f t="shared" si="223"/>
        <v>83627.71283675934</v>
      </c>
      <c r="J1167" s="74">
        <f t="shared" si="224"/>
        <v>94076.476130688126</v>
      </c>
      <c r="K1167" s="74">
        <f t="shared" si="225"/>
        <v>3090.4746650631496</v>
      </c>
      <c r="L1167" s="74">
        <f t="shared" si="226"/>
        <v>83627.71283675934</v>
      </c>
      <c r="M1167" s="74">
        <f t="shared" si="227"/>
        <v>83684.797830686555</v>
      </c>
      <c r="N1167" s="74">
        <f t="shared" si="228"/>
        <v>18090.47466506315</v>
      </c>
      <c r="O1167" s="74">
        <f t="shared" si="229"/>
        <v>28627.712836759332</v>
      </c>
      <c r="P1167" s="74">
        <f t="shared" si="230"/>
        <v>33864.601221205114</v>
      </c>
    </row>
    <row r="1168" spans="1:16" x14ac:dyDescent="0.3">
      <c r="A1168" s="72">
        <f t="shared" si="217"/>
        <v>429.5</v>
      </c>
      <c r="B1168" s="74">
        <f t="shared" si="218"/>
        <v>-18071.78238620863</v>
      </c>
      <c r="C1168" s="74">
        <f t="shared" si="219"/>
        <v>-60428.949892907804</v>
      </c>
      <c r="D1168" s="74">
        <f t="shared" si="220"/>
        <v>10037.38455770904</v>
      </c>
      <c r="E1168" s="74">
        <f t="shared" si="221"/>
        <v>6397.5258877030637</v>
      </c>
      <c r="F1168" s="74">
        <f t="shared" si="215"/>
        <v>2184.4944396626688</v>
      </c>
      <c r="G1168" s="74">
        <f t="shared" si="216"/>
        <v>4628.3314591685303</v>
      </c>
      <c r="H1168" s="74">
        <f t="shared" si="222"/>
        <v>38071.78238620863</v>
      </c>
      <c r="I1168" s="74">
        <f t="shared" si="223"/>
        <v>80428.949892907811</v>
      </c>
      <c r="J1168" s="74">
        <f t="shared" si="224"/>
        <v>88984.698656222361</v>
      </c>
      <c r="K1168" s="74">
        <f t="shared" si="225"/>
        <v>-1928.2176137913702</v>
      </c>
      <c r="L1168" s="74">
        <f t="shared" si="226"/>
        <v>80428.949892907811</v>
      </c>
      <c r="M1168" s="74">
        <f t="shared" si="227"/>
        <v>80452.060284631676</v>
      </c>
      <c r="N1168" s="74">
        <f t="shared" si="228"/>
        <v>13071.78238620863</v>
      </c>
      <c r="O1168" s="74">
        <f t="shared" si="229"/>
        <v>25428.949892907804</v>
      </c>
      <c r="P1168" s="74">
        <f t="shared" si="230"/>
        <v>28592.009153055507</v>
      </c>
    </row>
    <row r="1169" spans="1:16" x14ac:dyDescent="0.3">
      <c r="A1169" s="72">
        <f t="shared" si="217"/>
        <v>430</v>
      </c>
      <c r="B1169" s="74">
        <f t="shared" si="218"/>
        <v>-12506.966497438443</v>
      </c>
      <c r="C1169" s="74">
        <f t="shared" si="219"/>
        <v>-56073.104084264145</v>
      </c>
      <c r="D1169" s="74">
        <f t="shared" si="220"/>
        <v>11129.631777540373</v>
      </c>
      <c r="E1169" s="74">
        <f t="shared" si="221"/>
        <v>8711.691617287328</v>
      </c>
      <c r="F1169" s="74">
        <f t="shared" si="215"/>
        <v>2337.1992409311461</v>
      </c>
      <c r="G1169" s="74">
        <f t="shared" si="216"/>
        <v>6909.6661068518169</v>
      </c>
      <c r="H1169" s="74">
        <f t="shared" si="222"/>
        <v>32506.966497438443</v>
      </c>
      <c r="I1169" s="74">
        <f t="shared" si="223"/>
        <v>76073.104084264138</v>
      </c>
      <c r="J1169" s="74">
        <f t="shared" si="224"/>
        <v>82727.383833171407</v>
      </c>
      <c r="K1169" s="74">
        <f t="shared" si="225"/>
        <v>-7493.0335025615568</v>
      </c>
      <c r="L1169" s="74">
        <f t="shared" si="226"/>
        <v>76073.104084264138</v>
      </c>
      <c r="M1169" s="74">
        <f t="shared" si="227"/>
        <v>76441.237013053338</v>
      </c>
      <c r="N1169" s="74">
        <f t="shared" si="228"/>
        <v>7506.9664974384432</v>
      </c>
      <c r="O1169" s="74">
        <f t="shared" si="229"/>
        <v>21073.104084264145</v>
      </c>
      <c r="P1169" s="74">
        <f t="shared" si="230"/>
        <v>22370.298651110883</v>
      </c>
    </row>
    <row r="1170" spans="1:16" x14ac:dyDescent="0.3">
      <c r="A1170" s="72">
        <f t="shared" si="217"/>
        <v>430.5</v>
      </c>
      <c r="B1170" s="74">
        <f t="shared" si="218"/>
        <v>-6357.8507984354701</v>
      </c>
      <c r="C1170" s="74">
        <f t="shared" si="219"/>
        <v>-49989.841748907522</v>
      </c>
      <c r="D1170" s="74">
        <f t="shared" si="220"/>
        <v>12298.231398005946</v>
      </c>
      <c r="E1170" s="74">
        <f t="shared" si="221"/>
        <v>12166.524670713236</v>
      </c>
      <c r="F1170" s="74">
        <f t="shared" si="215"/>
        <v>1141.7287080456347</v>
      </c>
      <c r="G1170" s="74">
        <f t="shared" si="216"/>
        <v>11729.769677572211</v>
      </c>
      <c r="H1170" s="74">
        <f t="shared" si="222"/>
        <v>26357.850798435469</v>
      </c>
      <c r="I1170" s="74">
        <f t="shared" si="223"/>
        <v>69989.841748907522</v>
      </c>
      <c r="J1170" s="74">
        <f t="shared" si="224"/>
        <v>74788.463326569981</v>
      </c>
      <c r="K1170" s="74">
        <f t="shared" si="225"/>
        <v>-13642.149201564531</v>
      </c>
      <c r="L1170" s="74">
        <f t="shared" si="226"/>
        <v>69989.841748907522</v>
      </c>
      <c r="M1170" s="74">
        <f t="shared" si="227"/>
        <v>71306.985512464802</v>
      </c>
      <c r="N1170" s="74">
        <f t="shared" si="228"/>
        <v>1357.8507984354701</v>
      </c>
      <c r="O1170" s="74">
        <f t="shared" si="229"/>
        <v>14989.841748907522</v>
      </c>
      <c r="P1170" s="74">
        <f t="shared" si="230"/>
        <v>15051.216377691962</v>
      </c>
    </row>
    <row r="1171" spans="1:16" x14ac:dyDescent="0.3">
      <c r="A1171" s="72">
        <f t="shared" si="217"/>
        <v>431</v>
      </c>
      <c r="B1171" s="74">
        <f t="shared" si="218"/>
        <v>76.69707757891166</v>
      </c>
      <c r="C1171" s="74">
        <f t="shared" si="219"/>
        <v>-40974.136994157852</v>
      </c>
      <c r="D1171" s="74">
        <f t="shared" si="220"/>
        <v>12869.095752028763</v>
      </c>
      <c r="E1171" s="74">
        <f t="shared" si="221"/>
        <v>18031.409509499339</v>
      </c>
      <c r="F1171" s="74">
        <f t="shared" si="215"/>
        <v>-10218.823910070669</v>
      </c>
      <c r="G1171" s="74">
        <f t="shared" si="216"/>
        <v>13613.453088440012</v>
      </c>
      <c r="H1171" s="74">
        <f t="shared" si="222"/>
        <v>19923.302922421088</v>
      </c>
      <c r="I1171" s="74">
        <f t="shared" si="223"/>
        <v>60974.136994157852</v>
      </c>
      <c r="J1171" s="74">
        <f t="shared" si="224"/>
        <v>64146.57731727299</v>
      </c>
      <c r="K1171" s="74">
        <f t="shared" si="225"/>
        <v>-20076.697077578912</v>
      </c>
      <c r="L1171" s="74">
        <f t="shared" si="226"/>
        <v>60974.136994157852</v>
      </c>
      <c r="M1171" s="74">
        <f t="shared" si="227"/>
        <v>64194.385640234883</v>
      </c>
      <c r="N1171" s="74">
        <f t="shared" si="228"/>
        <v>-5076.6970775789114</v>
      </c>
      <c r="O1171" s="74">
        <f t="shared" si="229"/>
        <v>5974.1369941578523</v>
      </c>
      <c r="P1171" s="74">
        <f t="shared" si="230"/>
        <v>7839.8447715795801</v>
      </c>
    </row>
    <row r="1172" spans="1:16" x14ac:dyDescent="0.3">
      <c r="A1172" s="72">
        <f t="shared" si="217"/>
        <v>431.5</v>
      </c>
      <c r="B1172" s="74">
        <f t="shared" si="218"/>
        <v>3956.5389760756257</v>
      </c>
      <c r="C1172" s="74">
        <f t="shared" si="219"/>
        <v>-28555.068967298179</v>
      </c>
      <c r="D1172" s="74">
        <f t="shared" si="220"/>
        <v>7759.6837969934286</v>
      </c>
      <c r="E1172" s="74">
        <f t="shared" si="221"/>
        <v>24838.136053719347</v>
      </c>
      <c r="F1172" s="74">
        <f t="shared" si="215"/>
        <v>-11199.261726909011</v>
      </c>
      <c r="G1172" s="74">
        <f t="shared" si="216"/>
        <v>-6102.1977368992957</v>
      </c>
      <c r="H1172" s="74">
        <f t="shared" si="222"/>
        <v>16043.461023924374</v>
      </c>
      <c r="I1172" s="74">
        <f t="shared" si="223"/>
        <v>48555.068967298183</v>
      </c>
      <c r="J1172" s="74">
        <f t="shared" si="224"/>
        <v>51136.947152184046</v>
      </c>
      <c r="K1172" s="74">
        <f t="shared" si="225"/>
        <v>-23956.538976075626</v>
      </c>
      <c r="L1172" s="74">
        <f t="shared" si="226"/>
        <v>48555.068967298183</v>
      </c>
      <c r="M1172" s="74">
        <f t="shared" si="227"/>
        <v>54143.425105282302</v>
      </c>
      <c r="N1172" s="74">
        <f t="shared" si="228"/>
        <v>-8956.5389760756261</v>
      </c>
      <c r="O1172" s="74">
        <f t="shared" si="229"/>
        <v>-6444.9310327018211</v>
      </c>
      <c r="P1172" s="74">
        <f t="shared" si="230"/>
        <v>11034.343045521324</v>
      </c>
    </row>
    <row r="1173" spans="1:16" x14ac:dyDescent="0.3">
      <c r="A1173" s="72">
        <f t="shared" si="217"/>
        <v>432</v>
      </c>
      <c r="B1173" s="74">
        <f t="shared" si="218"/>
        <v>5036.5654428450871</v>
      </c>
      <c r="C1173" s="74">
        <f t="shared" si="219"/>
        <v>-17661.550374663329</v>
      </c>
      <c r="D1173" s="74">
        <f t="shared" si="220"/>
        <v>2160.0529335389228</v>
      </c>
      <c r="E1173" s="74">
        <f t="shared" si="221"/>
        <v>21787.037185269699</v>
      </c>
      <c r="F1173" s="74">
        <f t="shared" si="215"/>
        <v>-3437.4857158872528</v>
      </c>
      <c r="G1173" s="74">
        <f t="shared" si="216"/>
        <v>-3466.618873975779</v>
      </c>
      <c r="H1173" s="74">
        <f t="shared" si="222"/>
        <v>14963.434557154913</v>
      </c>
      <c r="I1173" s="74">
        <f t="shared" si="223"/>
        <v>37661.550374663333</v>
      </c>
      <c r="J1173" s="74">
        <f t="shared" si="224"/>
        <v>40525.260645300747</v>
      </c>
      <c r="K1173" s="74">
        <f t="shared" si="225"/>
        <v>-25036.565442845087</v>
      </c>
      <c r="L1173" s="74">
        <f t="shared" si="226"/>
        <v>37661.550374663333</v>
      </c>
      <c r="M1173" s="74">
        <f t="shared" si="227"/>
        <v>45224.130569831505</v>
      </c>
      <c r="N1173" s="74">
        <f t="shared" si="228"/>
        <v>-10036.565442845087</v>
      </c>
      <c r="O1173" s="74">
        <f t="shared" si="229"/>
        <v>-17338.449625336671</v>
      </c>
      <c r="P1173" s="74">
        <f t="shared" si="230"/>
        <v>20033.833414972021</v>
      </c>
    </row>
    <row r="1174" spans="1:16" x14ac:dyDescent="0.3">
      <c r="A1174" s="72">
        <f t="shared" si="217"/>
        <v>432.5</v>
      </c>
      <c r="B1174" s="74">
        <f t="shared" si="218"/>
        <v>5257.2204806427344</v>
      </c>
      <c r="C1174" s="74">
        <f t="shared" si="219"/>
        <v>-7634.6865005224245</v>
      </c>
      <c r="D1174" s="74">
        <f t="shared" si="220"/>
        <v>441.31007559529644</v>
      </c>
      <c r="E1174" s="74">
        <f t="shared" si="221"/>
        <v>20053.72774828181</v>
      </c>
      <c r="F1174" s="74">
        <f t="shared" si="215"/>
        <v>-685.93576669621336</v>
      </c>
      <c r="G1174" s="74">
        <f t="shared" si="216"/>
        <v>423.37232921516079</v>
      </c>
      <c r="H1174" s="74">
        <f t="shared" si="222"/>
        <v>14742.779519357266</v>
      </c>
      <c r="I1174" s="74">
        <f t="shared" si="223"/>
        <v>27634.686500522424</v>
      </c>
      <c r="J1174" s="74">
        <f t="shared" si="224"/>
        <v>31321.325737243886</v>
      </c>
      <c r="K1174" s="74">
        <f t="shared" si="225"/>
        <v>-25257.220480642733</v>
      </c>
      <c r="L1174" s="74">
        <f t="shared" si="226"/>
        <v>27634.686500522424</v>
      </c>
      <c r="M1174" s="74">
        <f t="shared" si="227"/>
        <v>37437.989855091779</v>
      </c>
      <c r="N1174" s="74">
        <f t="shared" si="228"/>
        <v>-10257.220480642734</v>
      </c>
      <c r="O1174" s="74">
        <f t="shared" si="229"/>
        <v>-27365.313499477576</v>
      </c>
      <c r="P1174" s="74">
        <f t="shared" si="230"/>
        <v>29224.492380761832</v>
      </c>
    </row>
    <row r="1175" spans="1:16" x14ac:dyDescent="0.3">
      <c r="A1175" s="72">
        <f t="shared" si="217"/>
        <v>433</v>
      </c>
      <c r="B1175" s="74">
        <f t="shared" si="218"/>
        <v>5306.3915767663293</v>
      </c>
      <c r="C1175" s="74">
        <f t="shared" si="219"/>
        <v>2498.0204559222707</v>
      </c>
      <c r="D1175" s="74">
        <f t="shared" si="220"/>
        <v>98.342192247189757</v>
      </c>
      <c r="E1175" s="74">
        <f t="shared" si="221"/>
        <v>20265.413912889391</v>
      </c>
      <c r="F1175" s="74">
        <f t="shared" si="215"/>
        <v>1609.6643388309772</v>
      </c>
      <c r="G1175" s="74">
        <f t="shared" si="216"/>
        <v>3465.4132630880276</v>
      </c>
      <c r="H1175" s="74">
        <f t="shared" si="222"/>
        <v>14693.608423233671</v>
      </c>
      <c r="I1175" s="74">
        <f t="shared" si="223"/>
        <v>17501.979544077731</v>
      </c>
      <c r="J1175" s="74">
        <f t="shared" si="224"/>
        <v>22852.164371381517</v>
      </c>
      <c r="K1175" s="74">
        <f t="shared" si="225"/>
        <v>-25306.391576766327</v>
      </c>
      <c r="L1175" s="74">
        <f t="shared" si="226"/>
        <v>17501.979544077731</v>
      </c>
      <c r="M1175" s="74">
        <f t="shared" si="227"/>
        <v>30769.022451126799</v>
      </c>
      <c r="N1175" s="74">
        <f t="shared" si="228"/>
        <v>-10306.391576766329</v>
      </c>
      <c r="O1175" s="74">
        <f t="shared" si="229"/>
        <v>-37498.020455922269</v>
      </c>
      <c r="P1175" s="74">
        <f t="shared" si="230"/>
        <v>38888.600456257162</v>
      </c>
    </row>
    <row r="1176" spans="1:16" x14ac:dyDescent="0.3">
      <c r="A1176" s="72">
        <f t="shared" si="217"/>
        <v>433.5</v>
      </c>
      <c r="B1176" s="74">
        <f t="shared" si="218"/>
        <v>5757.9787575976688</v>
      </c>
      <c r="C1176" s="74">
        <f t="shared" si="219"/>
        <v>13497.080728138973</v>
      </c>
      <c r="D1176" s="74">
        <f t="shared" si="220"/>
        <v>903.17436166267839</v>
      </c>
      <c r="E1176" s="74">
        <f t="shared" si="221"/>
        <v>21998.120544433405</v>
      </c>
      <c r="F1176" s="74">
        <f t="shared" si="215"/>
        <v>6371.6498990647915</v>
      </c>
      <c r="G1176" s="74">
        <f t="shared" si="216"/>
        <v>3340.227586871576</v>
      </c>
      <c r="H1176" s="74">
        <f t="shared" si="222"/>
        <v>14242.02124240233</v>
      </c>
      <c r="I1176" s="74">
        <f t="shared" si="223"/>
        <v>6502.9192718610266</v>
      </c>
      <c r="J1176" s="74">
        <f t="shared" si="224"/>
        <v>15656.40853214366</v>
      </c>
      <c r="K1176" s="74">
        <f t="shared" si="225"/>
        <v>-25757.97875759767</v>
      </c>
      <c r="L1176" s="74">
        <f t="shared" si="226"/>
        <v>6502.9192718610266</v>
      </c>
      <c r="M1176" s="74">
        <f t="shared" si="227"/>
        <v>26566.170757811415</v>
      </c>
      <c r="N1176" s="74">
        <f t="shared" si="228"/>
        <v>-10757.97875759767</v>
      </c>
      <c r="O1176" s="74">
        <f t="shared" si="229"/>
        <v>-48497.080728138972</v>
      </c>
      <c r="P1176" s="74">
        <f t="shared" si="230"/>
        <v>49675.95943814826</v>
      </c>
    </row>
    <row r="1177" spans="1:16" x14ac:dyDescent="0.3">
      <c r="A1177" s="72">
        <f t="shared" si="217"/>
        <v>434</v>
      </c>
      <c r="B1177" s="74">
        <f t="shared" si="218"/>
        <v>7802.4784131952065</v>
      </c>
      <c r="C1177" s="74">
        <f t="shared" si="219"/>
        <v>25331.197897073569</v>
      </c>
      <c r="D1177" s="74">
        <f t="shared" si="220"/>
        <v>4088.9993111950744</v>
      </c>
      <c r="E1177" s="74">
        <f t="shared" si="221"/>
        <v>23668.234337869191</v>
      </c>
      <c r="F1177" s="74">
        <f t="shared" si="215"/>
        <v>8508.4783031936713</v>
      </c>
      <c r="G1177" s="74">
        <f t="shared" si="216"/>
        <v>-6323.8386151314371</v>
      </c>
      <c r="H1177" s="74">
        <f t="shared" si="222"/>
        <v>12197.521586804793</v>
      </c>
      <c r="I1177" s="74">
        <f t="shared" si="223"/>
        <v>-5331.197897073569</v>
      </c>
      <c r="J1177" s="74">
        <f t="shared" si="224"/>
        <v>13311.694252736223</v>
      </c>
      <c r="K1177" s="74">
        <f t="shared" si="225"/>
        <v>-27802.478413195207</v>
      </c>
      <c r="L1177" s="74">
        <f t="shared" si="226"/>
        <v>-5331.197897073569</v>
      </c>
      <c r="M1177" s="74">
        <f t="shared" si="227"/>
        <v>28308.999928184447</v>
      </c>
      <c r="N1177" s="74">
        <f t="shared" si="228"/>
        <v>-12802.478413195207</v>
      </c>
      <c r="O1177" s="74">
        <f t="shared" si="229"/>
        <v>-60331.197897073565</v>
      </c>
      <c r="P1177" s="74">
        <f t="shared" si="230"/>
        <v>61674.604929550893</v>
      </c>
    </row>
    <row r="1178" spans="1:16" x14ac:dyDescent="0.3">
      <c r="A1178" s="72">
        <f t="shared" si="217"/>
        <v>434.5</v>
      </c>
      <c r="B1178" s="74">
        <f t="shared" si="218"/>
        <v>11974.097644591162</v>
      </c>
      <c r="C1178" s="74">
        <f t="shared" si="219"/>
        <v>35584.355412225304</v>
      </c>
      <c r="D1178" s="74">
        <f t="shared" si="220"/>
        <v>8343.2384627919091</v>
      </c>
      <c r="E1178" s="74">
        <f t="shared" si="221"/>
        <v>20506.315030303471</v>
      </c>
      <c r="F1178" s="74">
        <f t="shared" si="215"/>
        <v>2494.3825019389174</v>
      </c>
      <c r="G1178" s="74">
        <f t="shared" si="216"/>
        <v>-9382.9059811094012</v>
      </c>
      <c r="H1178" s="74">
        <f t="shared" si="222"/>
        <v>8025.902355408838</v>
      </c>
      <c r="I1178" s="74">
        <f t="shared" si="223"/>
        <v>-15584.355412225304</v>
      </c>
      <c r="J1178" s="74">
        <f t="shared" si="224"/>
        <v>17529.610441567529</v>
      </c>
      <c r="K1178" s="74">
        <f t="shared" si="225"/>
        <v>-31974.097644591162</v>
      </c>
      <c r="L1178" s="74">
        <f t="shared" si="226"/>
        <v>-15584.355412225304</v>
      </c>
      <c r="M1178" s="74">
        <f t="shared" si="227"/>
        <v>35569.861593776353</v>
      </c>
      <c r="N1178" s="74">
        <f t="shared" si="228"/>
        <v>-16974.097644591162</v>
      </c>
      <c r="O1178" s="74">
        <f t="shared" si="229"/>
        <v>-70584.355412225297</v>
      </c>
      <c r="P1178" s="74">
        <f t="shared" si="230"/>
        <v>72596.633667184957</v>
      </c>
    </row>
    <row r="1179" spans="1:16" x14ac:dyDescent="0.3">
      <c r="A1179" s="72">
        <f t="shared" si="217"/>
        <v>435</v>
      </c>
      <c r="B1179" s="74">
        <f t="shared" si="218"/>
        <v>16769.312501471846</v>
      </c>
      <c r="C1179" s="74">
        <f t="shared" si="219"/>
        <v>43491.786432099696</v>
      </c>
      <c r="D1179" s="74">
        <f t="shared" si="220"/>
        <v>9590.4297137613685</v>
      </c>
      <c r="E1179" s="74">
        <f t="shared" si="221"/>
        <v>15814.86203974877</v>
      </c>
      <c r="F1179" s="74">
        <f t="shared" si="215"/>
        <v>-274.37328230479488</v>
      </c>
      <c r="G1179" s="74">
        <f t="shared" si="216"/>
        <v>-6945.2762307843559</v>
      </c>
      <c r="H1179" s="74">
        <f t="shared" si="222"/>
        <v>3230.6874985281538</v>
      </c>
      <c r="I1179" s="74">
        <f t="shared" si="223"/>
        <v>-23491.786432099696</v>
      </c>
      <c r="J1179" s="74">
        <f t="shared" si="224"/>
        <v>23712.894624750676</v>
      </c>
      <c r="K1179" s="74">
        <f t="shared" si="225"/>
        <v>-36769.312501471846</v>
      </c>
      <c r="L1179" s="74">
        <f t="shared" si="226"/>
        <v>-23491.786432099696</v>
      </c>
      <c r="M1179" s="74">
        <f t="shared" si="227"/>
        <v>43633.088036515102</v>
      </c>
      <c r="N1179" s="74">
        <f t="shared" si="228"/>
        <v>-21769.312501471846</v>
      </c>
      <c r="O1179" s="74">
        <f t="shared" si="229"/>
        <v>-78491.786432099703</v>
      </c>
      <c r="P1179" s="74">
        <f t="shared" si="230"/>
        <v>81454.671468793546</v>
      </c>
    </row>
    <row r="1180" spans="1:16" x14ac:dyDescent="0.3">
      <c r="A1180" s="72">
        <f t="shared" si="217"/>
        <v>435.5</v>
      </c>
      <c r="B1180" s="74">
        <f t="shared" si="218"/>
        <v>21495.934037776333</v>
      </c>
      <c r="C1180" s="74">
        <f t="shared" si="219"/>
        <v>49662.898394277989</v>
      </c>
      <c r="D1180" s="74">
        <f t="shared" si="220"/>
        <v>9453.2430726089715</v>
      </c>
      <c r="E1180" s="74">
        <f t="shared" si="221"/>
        <v>12342.223924356593</v>
      </c>
      <c r="F1180" s="74">
        <f t="shared" si="215"/>
        <v>-1006.156791922543</v>
      </c>
      <c r="G1180" s="74">
        <f t="shared" si="216"/>
        <v>-4997.5699033645233</v>
      </c>
      <c r="H1180" s="74">
        <f t="shared" si="222"/>
        <v>-1495.9340377763328</v>
      </c>
      <c r="I1180" s="74">
        <f t="shared" si="223"/>
        <v>-29662.898394277989</v>
      </c>
      <c r="J1180" s="74">
        <f t="shared" si="224"/>
        <v>29700.595276772441</v>
      </c>
      <c r="K1180" s="74">
        <f t="shared" si="225"/>
        <v>-41495.934037776329</v>
      </c>
      <c r="L1180" s="74">
        <f t="shared" si="226"/>
        <v>-29662.898394277989</v>
      </c>
      <c r="M1180" s="74">
        <f t="shared" si="227"/>
        <v>51007.843346065354</v>
      </c>
      <c r="N1180" s="74">
        <f t="shared" si="228"/>
        <v>-26495.934037776333</v>
      </c>
      <c r="O1180" s="74">
        <f t="shared" si="229"/>
        <v>-84662.898394277989</v>
      </c>
      <c r="P1180" s="74">
        <f t="shared" si="230"/>
        <v>88712.123664435145</v>
      </c>
    </row>
    <row r="1181" spans="1:16" x14ac:dyDescent="0.3">
      <c r="A1181" s="72">
        <f t="shared" si="217"/>
        <v>436</v>
      </c>
      <c r="B1181" s="74">
        <f t="shared" si="218"/>
        <v>25971.016376100182</v>
      </c>
      <c r="C1181" s="74">
        <f t="shared" si="219"/>
        <v>54584.617880615158</v>
      </c>
      <c r="D1181" s="74">
        <f t="shared" si="220"/>
        <v>8950.1646766477006</v>
      </c>
      <c r="E1181" s="74">
        <f t="shared" si="221"/>
        <v>9843.438972674332</v>
      </c>
      <c r="F1181" s="74">
        <f t="shared" si="215"/>
        <v>-1167.6585817210912</v>
      </c>
      <c r="G1181" s="74">
        <f t="shared" si="216"/>
        <v>-3792.7694377925154</v>
      </c>
      <c r="H1181" s="74">
        <f t="shared" si="222"/>
        <v>-5971.0163761001822</v>
      </c>
      <c r="I1181" s="74">
        <f t="shared" si="223"/>
        <v>-34584.617880615158</v>
      </c>
      <c r="J1181" s="74">
        <f t="shared" si="224"/>
        <v>35096.279439732956</v>
      </c>
      <c r="K1181" s="74">
        <f t="shared" si="225"/>
        <v>-45971.016376100182</v>
      </c>
      <c r="L1181" s="74">
        <f t="shared" si="226"/>
        <v>-34584.617880615158</v>
      </c>
      <c r="M1181" s="74">
        <f t="shared" si="227"/>
        <v>57527.646750061285</v>
      </c>
      <c r="N1181" s="74">
        <f t="shared" si="228"/>
        <v>-30971.016376100182</v>
      </c>
      <c r="O1181" s="74">
        <f t="shared" si="229"/>
        <v>-89584.617880615158</v>
      </c>
      <c r="P1181" s="74">
        <f t="shared" si="230"/>
        <v>94787.170103260796</v>
      </c>
    </row>
    <row r="1182" spans="1:16" x14ac:dyDescent="0.3">
      <c r="A1182" s="72">
        <f t="shared" si="217"/>
        <v>436.5</v>
      </c>
      <c r="B1182" s="74">
        <f t="shared" si="218"/>
        <v>30154.18406899376</v>
      </c>
      <c r="C1182" s="74">
        <f t="shared" si="219"/>
        <v>58558.145007504201</v>
      </c>
      <c r="D1182" s="74">
        <f t="shared" si="220"/>
        <v>8366.3353857871552</v>
      </c>
      <c r="E1182" s="74">
        <f t="shared" si="221"/>
        <v>7947.0542537780748</v>
      </c>
      <c r="F1182" s="74">
        <f t="shared" si="215"/>
        <v>-1172.4591350510937</v>
      </c>
      <c r="G1182" s="74">
        <f t="shared" si="216"/>
        <v>-3030.7308414276276</v>
      </c>
      <c r="H1182" s="74">
        <f t="shared" si="222"/>
        <v>-10154.18406899376</v>
      </c>
      <c r="I1182" s="74">
        <f t="shared" si="223"/>
        <v>-38558.145007504201</v>
      </c>
      <c r="J1182" s="74">
        <f t="shared" si="224"/>
        <v>39872.772671670675</v>
      </c>
      <c r="K1182" s="74">
        <f t="shared" si="225"/>
        <v>-50154.18406899376</v>
      </c>
      <c r="L1182" s="74">
        <f t="shared" si="226"/>
        <v>-38558.145007504201</v>
      </c>
      <c r="M1182" s="74">
        <f t="shared" si="227"/>
        <v>63262.727779050343</v>
      </c>
      <c r="N1182" s="74">
        <f t="shared" si="228"/>
        <v>-35154.18406899376</v>
      </c>
      <c r="O1182" s="74">
        <f t="shared" si="229"/>
        <v>-93558.145007504208</v>
      </c>
      <c r="P1182" s="74">
        <f t="shared" si="230"/>
        <v>99944.700483826949</v>
      </c>
    </row>
    <row r="1183" spans="1:16" x14ac:dyDescent="0.3">
      <c r="A1183" s="72">
        <f t="shared" si="217"/>
        <v>437</v>
      </c>
      <c r="B1183" s="74">
        <f t="shared" si="218"/>
        <v>34044.236978124565</v>
      </c>
      <c r="C1183" s="74">
        <f t="shared" si="219"/>
        <v>61773.989424036328</v>
      </c>
      <c r="D1183" s="74">
        <f t="shared" si="220"/>
        <v>7780.1058182616089</v>
      </c>
      <c r="E1183" s="74">
        <f t="shared" si="221"/>
        <v>6431.6888330642614</v>
      </c>
      <c r="F1183" s="74">
        <f t="shared" si="215"/>
        <v>-1135.6689294326175</v>
      </c>
      <c r="G1183" s="74">
        <f t="shared" si="216"/>
        <v>-2523.1698165997941</v>
      </c>
      <c r="H1183" s="74">
        <f t="shared" si="222"/>
        <v>-14044.236978124565</v>
      </c>
      <c r="I1183" s="74">
        <f t="shared" si="223"/>
        <v>-41773.989424036328</v>
      </c>
      <c r="J1183" s="74">
        <f t="shared" si="224"/>
        <v>44071.609735715581</v>
      </c>
      <c r="K1183" s="74">
        <f t="shared" si="225"/>
        <v>-54044.236978124565</v>
      </c>
      <c r="L1183" s="74">
        <f t="shared" si="226"/>
        <v>-41773.989424036328</v>
      </c>
      <c r="M1183" s="74">
        <f t="shared" si="227"/>
        <v>68306.99629574694</v>
      </c>
      <c r="N1183" s="74">
        <f t="shared" si="228"/>
        <v>-39044.236978124565</v>
      </c>
      <c r="O1183" s="74">
        <f t="shared" si="229"/>
        <v>-96773.989424036321</v>
      </c>
      <c r="P1183" s="74">
        <f t="shared" si="230"/>
        <v>104353.52159964436</v>
      </c>
    </row>
    <row r="1184" spans="1:16" x14ac:dyDescent="0.3">
      <c r="A1184" s="72">
        <f t="shared" si="217"/>
        <v>437.5</v>
      </c>
      <c r="B1184" s="74">
        <f t="shared" si="218"/>
        <v>37650.372654897219</v>
      </c>
      <c r="C1184" s="74">
        <f t="shared" si="219"/>
        <v>64359.041386418518</v>
      </c>
      <c r="D1184" s="74">
        <f t="shared" si="220"/>
        <v>7212.2713535453004</v>
      </c>
      <c r="E1184" s="74">
        <f t="shared" si="221"/>
        <v>5170.1039247643639</v>
      </c>
      <c r="F1184" s="74">
        <f t="shared" si="215"/>
        <v>-1092.0802123923008</v>
      </c>
      <c r="G1184" s="74">
        <f t="shared" si="216"/>
        <v>-2168.8683697908273</v>
      </c>
      <c r="H1184" s="74">
        <f t="shared" si="222"/>
        <v>-17650.372654897219</v>
      </c>
      <c r="I1184" s="74">
        <f t="shared" si="223"/>
        <v>-44359.041386418518</v>
      </c>
      <c r="J1184" s="74">
        <f t="shared" si="224"/>
        <v>47741.598293089584</v>
      </c>
      <c r="K1184" s="74">
        <f t="shared" si="225"/>
        <v>-57650.372654897219</v>
      </c>
      <c r="L1184" s="74">
        <f t="shared" si="226"/>
        <v>-44359.041386418518</v>
      </c>
      <c r="M1184" s="74">
        <f t="shared" si="227"/>
        <v>72741.253907054081</v>
      </c>
      <c r="N1184" s="74">
        <f t="shared" si="228"/>
        <v>-42650.372654897219</v>
      </c>
      <c r="O1184" s="74">
        <f t="shared" si="229"/>
        <v>-99359.04138641851</v>
      </c>
      <c r="P1184" s="74">
        <f t="shared" si="230"/>
        <v>108126.19198339332</v>
      </c>
    </row>
    <row r="1185" spans="1:16" x14ac:dyDescent="0.3">
      <c r="A1185" s="72">
        <f t="shared" si="217"/>
        <v>438</v>
      </c>
      <c r="B1185" s="74">
        <f t="shared" si="218"/>
        <v>40983.4882785718</v>
      </c>
      <c r="C1185" s="74">
        <f t="shared" si="219"/>
        <v>66401.876256352989</v>
      </c>
      <c r="D1185" s="74">
        <f t="shared" si="220"/>
        <v>6666.2312473491502</v>
      </c>
      <c r="E1185" s="74">
        <f t="shared" si="221"/>
        <v>4085.6697398689503</v>
      </c>
      <c r="F1185" s="74">
        <f t="shared" si="215"/>
        <v>-1052.6336556501467</v>
      </c>
      <c r="G1185" s="74">
        <f t="shared" si="216"/>
        <v>-1912.1080783362052</v>
      </c>
      <c r="H1185" s="74">
        <f t="shared" si="222"/>
        <v>-20983.4882785718</v>
      </c>
      <c r="I1185" s="74">
        <f t="shared" si="223"/>
        <v>-46401.876256352989</v>
      </c>
      <c r="J1185" s="74">
        <f t="shared" si="224"/>
        <v>50925.837258182175</v>
      </c>
      <c r="K1185" s="74">
        <f t="shared" si="225"/>
        <v>-60983.4882785718</v>
      </c>
      <c r="L1185" s="74">
        <f t="shared" si="226"/>
        <v>-46401.876256352989</v>
      </c>
      <c r="M1185" s="74">
        <f t="shared" si="227"/>
        <v>76629.758989132926</v>
      </c>
      <c r="N1185" s="74">
        <f t="shared" si="228"/>
        <v>-45983.4882785718</v>
      </c>
      <c r="O1185" s="74">
        <f t="shared" si="229"/>
        <v>-101401.87625635299</v>
      </c>
      <c r="P1185" s="74">
        <f t="shared" si="230"/>
        <v>111341.01536529238</v>
      </c>
    </row>
    <row r="1186" spans="1:16" x14ac:dyDescent="0.3">
      <c r="A1186" s="72">
        <f t="shared" si="217"/>
        <v>438.5</v>
      </c>
      <c r="B1186" s="74">
        <f t="shared" si="218"/>
        <v>44053.44548833384</v>
      </c>
      <c r="C1186" s="74">
        <f t="shared" si="219"/>
        <v>67966.684106703411</v>
      </c>
      <c r="D1186" s="74">
        <f t="shared" si="220"/>
        <v>6139.9144195240769</v>
      </c>
      <c r="E1186" s="74">
        <f t="shared" si="221"/>
        <v>3129.6157007008478</v>
      </c>
      <c r="F1186" s="74">
        <f t="shared" si="215"/>
        <v>-1020.5716819818234</v>
      </c>
      <c r="G1186" s="74">
        <f t="shared" si="216"/>
        <v>-1720.6581427285626</v>
      </c>
      <c r="H1186" s="74">
        <f t="shared" si="222"/>
        <v>-24053.44548833384</v>
      </c>
      <c r="I1186" s="74">
        <f t="shared" si="223"/>
        <v>-47966.684106703411</v>
      </c>
      <c r="J1186" s="74">
        <f t="shared" si="224"/>
        <v>53659.771002609777</v>
      </c>
      <c r="K1186" s="74">
        <f t="shared" si="225"/>
        <v>-64053.44548833384</v>
      </c>
      <c r="L1186" s="74">
        <f t="shared" si="226"/>
        <v>-47966.684106703411</v>
      </c>
      <c r="M1186" s="74">
        <f t="shared" si="227"/>
        <v>80022.78839880068</v>
      </c>
      <c r="N1186" s="74">
        <f t="shared" si="228"/>
        <v>-49053.44548833384</v>
      </c>
      <c r="O1186" s="74">
        <f t="shared" si="229"/>
        <v>-102966.68410670341</v>
      </c>
      <c r="P1186" s="74">
        <f t="shared" si="230"/>
        <v>114054.27896491472</v>
      </c>
    </row>
    <row r="1187" spans="1:16" x14ac:dyDescent="0.3">
      <c r="A1187" s="72">
        <f t="shared" si="217"/>
        <v>439</v>
      </c>
      <c r="B1187" s="74">
        <f t="shared" si="218"/>
        <v>46868.259777600426</v>
      </c>
      <c r="C1187" s="74">
        <f t="shared" si="219"/>
        <v>69101.327421371694</v>
      </c>
      <c r="D1187" s="74">
        <f t="shared" si="220"/>
        <v>5629.6285785331656</v>
      </c>
      <c r="E1187" s="74">
        <f t="shared" si="221"/>
        <v>2269.2866293365664</v>
      </c>
      <c r="F1187" s="74">
        <f t="shared" si="215"/>
        <v>-996.56870693490544</v>
      </c>
      <c r="G1187" s="74">
        <f t="shared" si="216"/>
        <v>-1574.940137532662</v>
      </c>
      <c r="H1187" s="74">
        <f t="shared" si="222"/>
        <v>-26868.259777600426</v>
      </c>
      <c r="I1187" s="74">
        <f t="shared" si="223"/>
        <v>-49101.327421371694</v>
      </c>
      <c r="J1187" s="74">
        <f t="shared" si="224"/>
        <v>55971.811995122764</v>
      </c>
      <c r="K1187" s="74">
        <f t="shared" si="225"/>
        <v>-66868.259777600426</v>
      </c>
      <c r="L1187" s="74">
        <f t="shared" si="226"/>
        <v>-49101.327421371694</v>
      </c>
      <c r="M1187" s="74">
        <f t="shared" si="227"/>
        <v>82959.655979430157</v>
      </c>
      <c r="N1187" s="74">
        <f t="shared" si="228"/>
        <v>-51868.259777600426</v>
      </c>
      <c r="O1187" s="74">
        <f t="shared" si="229"/>
        <v>-104101.32742137169</v>
      </c>
      <c r="P1187" s="74">
        <f t="shared" si="230"/>
        <v>116307.3632374506</v>
      </c>
    </row>
    <row r="1188" spans="1:16" x14ac:dyDescent="0.3">
      <c r="A1188" s="72">
        <f t="shared" si="217"/>
        <v>439.5</v>
      </c>
      <c r="B1188" s="74">
        <f t="shared" si="218"/>
        <v>49433.931890133288</v>
      </c>
      <c r="C1188" s="74">
        <f t="shared" si="219"/>
        <v>69842.235701656813</v>
      </c>
      <c r="D1188" s="74">
        <f t="shared" si="220"/>
        <v>5131.3442250657126</v>
      </c>
      <c r="E1188" s="74">
        <f t="shared" si="221"/>
        <v>1481.8165605702354</v>
      </c>
      <c r="F1188" s="74">
        <f t="shared" si="215"/>
        <v>-980.49784571497833</v>
      </c>
      <c r="G1188" s="74">
        <f t="shared" si="216"/>
        <v>-1462.5474313506402</v>
      </c>
      <c r="H1188" s="74">
        <f t="shared" si="222"/>
        <v>-29433.931890133288</v>
      </c>
      <c r="I1188" s="74">
        <f t="shared" si="223"/>
        <v>-49842.235701656813</v>
      </c>
      <c r="J1188" s="74">
        <f t="shared" si="224"/>
        <v>57884.409008406728</v>
      </c>
      <c r="K1188" s="74">
        <f t="shared" si="225"/>
        <v>-69433.931890133288</v>
      </c>
      <c r="L1188" s="74">
        <f t="shared" si="226"/>
        <v>-49842.235701656813</v>
      </c>
      <c r="M1188" s="74">
        <f t="shared" si="227"/>
        <v>85471.160969435659</v>
      </c>
      <c r="N1188" s="74">
        <f t="shared" si="228"/>
        <v>-54433.931890133288</v>
      </c>
      <c r="O1188" s="74">
        <f t="shared" si="229"/>
        <v>-104842.23570165681</v>
      </c>
      <c r="P1188" s="74">
        <f t="shared" si="230"/>
        <v>118131.05996282872</v>
      </c>
    </row>
    <row r="1189" spans="1:16" x14ac:dyDescent="0.3">
      <c r="A1189" s="72">
        <f t="shared" si="217"/>
        <v>440</v>
      </c>
      <c r="B1189" s="74">
        <f t="shared" si="218"/>
        <v>51754.479541237401</v>
      </c>
      <c r="C1189" s="74">
        <f t="shared" si="219"/>
        <v>70217.507124104275</v>
      </c>
      <c r="D1189" s="74">
        <f t="shared" si="220"/>
        <v>4641.0953022082231</v>
      </c>
      <c r="E1189" s="74">
        <f t="shared" si="221"/>
        <v>750.54284489491533</v>
      </c>
      <c r="F1189" s="74">
        <f t="shared" si="215"/>
        <v>-972.07468336572583</v>
      </c>
      <c r="G1189" s="74">
        <f t="shared" si="216"/>
        <v>-1375.3435375794618</v>
      </c>
      <c r="H1189" s="74">
        <f t="shared" si="222"/>
        <v>-31754.479541237401</v>
      </c>
      <c r="I1189" s="74">
        <f t="shared" si="223"/>
        <v>-50217.507124104275</v>
      </c>
      <c r="J1189" s="74">
        <f t="shared" si="224"/>
        <v>59415.023291204125</v>
      </c>
      <c r="K1189" s="74">
        <f t="shared" si="225"/>
        <v>-71754.479541237408</v>
      </c>
      <c r="L1189" s="74">
        <f t="shared" si="226"/>
        <v>-50217.507124104275</v>
      </c>
      <c r="M1189" s="74">
        <f t="shared" si="227"/>
        <v>87581.409876715974</v>
      </c>
      <c r="N1189" s="74">
        <f t="shared" si="228"/>
        <v>-56754.479541237401</v>
      </c>
      <c r="O1189" s="74">
        <f t="shared" si="229"/>
        <v>-105217.50712410428</v>
      </c>
      <c r="P1189" s="74">
        <f t="shared" si="230"/>
        <v>119548.29464868024</v>
      </c>
    </row>
    <row r="1190" spans="1:16" x14ac:dyDescent="0.3">
      <c r="A1190" s="72">
        <f t="shared" si="217"/>
        <v>440.5</v>
      </c>
      <c r="B1190" s="74">
        <f t="shared" si="218"/>
        <v>53832.00852150008</v>
      </c>
      <c r="C1190" s="74">
        <f t="shared" si="219"/>
        <v>70248.942662156871</v>
      </c>
      <c r="D1190" s="74">
        <f t="shared" si="220"/>
        <v>4155.0579605253606</v>
      </c>
      <c r="E1190" s="74">
        <f t="shared" si="221"/>
        <v>62.871076105184443</v>
      </c>
      <c r="F1190" s="74">
        <f t="shared" si="215"/>
        <v>-971.10252569192301</v>
      </c>
      <c r="G1190" s="74">
        <f t="shared" si="216"/>
        <v>-1307.8538650475109</v>
      </c>
      <c r="H1190" s="74">
        <f t="shared" si="222"/>
        <v>-33832.00852150008</v>
      </c>
      <c r="I1190" s="74">
        <f t="shared" si="223"/>
        <v>-50248.942662156871</v>
      </c>
      <c r="J1190" s="74">
        <f t="shared" si="224"/>
        <v>60576.901862538187</v>
      </c>
      <c r="K1190" s="74">
        <f t="shared" si="225"/>
        <v>-73832.008521500073</v>
      </c>
      <c r="L1190" s="74">
        <f t="shared" si="226"/>
        <v>-50248.942662156871</v>
      </c>
      <c r="M1190" s="74">
        <f t="shared" si="227"/>
        <v>89309.135708412199</v>
      </c>
      <c r="N1190" s="74">
        <f t="shared" si="228"/>
        <v>-58832.00852150008</v>
      </c>
      <c r="O1190" s="74">
        <f t="shared" si="229"/>
        <v>-105248.94266215687</v>
      </c>
      <c r="P1190" s="74">
        <f t="shared" si="230"/>
        <v>120575.88962216221</v>
      </c>
    </row>
    <row r="1191" spans="1:16" x14ac:dyDescent="0.3">
      <c r="A1191" s="72">
        <f t="shared" si="217"/>
        <v>441</v>
      </c>
      <c r="B1191" s="74">
        <f t="shared" si="218"/>
        <v>55666.761870339782</v>
      </c>
      <c r="C1191" s="74">
        <f t="shared" si="219"/>
        <v>69953.414733947589</v>
      </c>
      <c r="D1191" s="74">
        <f t="shared" si="220"/>
        <v>3669.5066976793992</v>
      </c>
      <c r="E1191" s="74">
        <f t="shared" si="221"/>
        <v>-591.05585641857101</v>
      </c>
      <c r="F1191" s="74">
        <f t="shared" si="215"/>
        <v>-977.57396311008984</v>
      </c>
      <c r="G1191" s="74">
        <f t="shared" si="216"/>
        <v>-1256.3376730859725</v>
      </c>
      <c r="H1191" s="74">
        <f t="shared" si="222"/>
        <v>-35666.761870339782</v>
      </c>
      <c r="I1191" s="74">
        <f t="shared" si="223"/>
        <v>-49953.414733947589</v>
      </c>
      <c r="J1191" s="74">
        <f t="shared" si="224"/>
        <v>61379.65091051998</v>
      </c>
      <c r="K1191" s="74">
        <f t="shared" si="225"/>
        <v>-75666.761870339775</v>
      </c>
      <c r="L1191" s="74">
        <f t="shared" si="226"/>
        <v>-49953.414733947589</v>
      </c>
      <c r="M1191" s="74">
        <f t="shared" si="227"/>
        <v>90668.641191563453</v>
      </c>
      <c r="N1191" s="74">
        <f t="shared" si="228"/>
        <v>-60666.761870339782</v>
      </c>
      <c r="O1191" s="74">
        <f t="shared" si="229"/>
        <v>-104953.41473394759</v>
      </c>
      <c r="P1191" s="74">
        <f t="shared" si="230"/>
        <v>121225.72029131657</v>
      </c>
    </row>
    <row r="1192" spans="1:16" x14ac:dyDescent="0.3">
      <c r="A1192" s="72">
        <f t="shared" si="217"/>
        <v>441.5</v>
      </c>
      <c r="B1192" s="74">
        <f t="shared" si="218"/>
        <v>57257.121728401959</v>
      </c>
      <c r="C1192" s="74">
        <f t="shared" si="219"/>
        <v>69343.802387466814</v>
      </c>
      <c r="D1192" s="74">
        <f t="shared" si="220"/>
        <v>3180.7197161243544</v>
      </c>
      <c r="E1192" s="74">
        <f t="shared" si="221"/>
        <v>-1219.2246929615571</v>
      </c>
      <c r="F1192" s="74">
        <f t="shared" si="215"/>
        <v>-991.72574987684993</v>
      </c>
      <c r="G1192" s="74">
        <f t="shared" si="216"/>
        <v>-1218.2352491954546</v>
      </c>
      <c r="H1192" s="74">
        <f t="shared" si="222"/>
        <v>-37257.121728401959</v>
      </c>
      <c r="I1192" s="74">
        <f t="shared" si="223"/>
        <v>-49343.802387466814</v>
      </c>
      <c r="J1192" s="74">
        <f t="shared" si="224"/>
        <v>61829.63653086064</v>
      </c>
      <c r="K1192" s="74">
        <f t="shared" si="225"/>
        <v>-77257.121728401951</v>
      </c>
      <c r="L1192" s="74">
        <f t="shared" si="226"/>
        <v>-49343.802387466814</v>
      </c>
      <c r="M1192" s="74">
        <f t="shared" si="227"/>
        <v>91670.462482800285</v>
      </c>
      <c r="N1192" s="74">
        <f t="shared" si="228"/>
        <v>-62257.121728401959</v>
      </c>
      <c r="O1192" s="74">
        <f t="shared" si="229"/>
        <v>-104343.80238746681</v>
      </c>
      <c r="P1192" s="74">
        <f t="shared" si="230"/>
        <v>121505.46614280275</v>
      </c>
    </row>
    <row r="1193" spans="1:16" x14ac:dyDescent="0.3">
      <c r="A1193" s="72">
        <f t="shared" si="217"/>
        <v>442</v>
      </c>
      <c r="B1193" s="74">
        <f t="shared" si="218"/>
        <v>58599.550148994924</v>
      </c>
      <c r="C1193" s="74">
        <f t="shared" si="219"/>
        <v>68429.631228687169</v>
      </c>
      <c r="D1193" s="74">
        <f t="shared" si="220"/>
        <v>2684.8568411859296</v>
      </c>
      <c r="E1193" s="74">
        <f t="shared" si="221"/>
        <v>-1828.3423175592843</v>
      </c>
      <c r="F1193" s="74">
        <f t="shared" si="215"/>
        <v>-1014.0881715957801</v>
      </c>
      <c r="G1193" s="74">
        <f t="shared" si="216"/>
        <v>-1191.8323121643202</v>
      </c>
      <c r="H1193" s="74">
        <f t="shared" si="222"/>
        <v>-38599.550148994924</v>
      </c>
      <c r="I1193" s="74">
        <f t="shared" si="223"/>
        <v>-48429.631228687169</v>
      </c>
      <c r="J1193" s="74">
        <f t="shared" si="224"/>
        <v>61930.238596758252</v>
      </c>
      <c r="K1193" s="74">
        <f t="shared" si="225"/>
        <v>-78599.550148994924</v>
      </c>
      <c r="L1193" s="74">
        <f t="shared" si="226"/>
        <v>-48429.631228687169</v>
      </c>
      <c r="M1193" s="74">
        <f t="shared" si="227"/>
        <v>92321.820089137109</v>
      </c>
      <c r="N1193" s="74">
        <f t="shared" si="228"/>
        <v>-63599.550148994924</v>
      </c>
      <c r="O1193" s="74">
        <f t="shared" si="229"/>
        <v>-103429.63122868717</v>
      </c>
      <c r="P1193" s="74">
        <f t="shared" si="230"/>
        <v>121419.07344094147</v>
      </c>
    </row>
    <row r="1194" spans="1:16" x14ac:dyDescent="0.3">
      <c r="A1194" s="72">
        <f t="shared" si="217"/>
        <v>442.5</v>
      </c>
      <c r="B1194" s="74">
        <f t="shared" si="218"/>
        <v>59688.456526688948</v>
      </c>
      <c r="C1194" s="74">
        <f t="shared" si="219"/>
        <v>67217.501991866447</v>
      </c>
      <c r="D1194" s="74">
        <f t="shared" si="220"/>
        <v>2177.8127553880395</v>
      </c>
      <c r="E1194" s="74">
        <f t="shared" si="221"/>
        <v>-2424.2584736414447</v>
      </c>
      <c r="F1194" s="74">
        <f t="shared" si="215"/>
        <v>-1045.550887487683</v>
      </c>
      <c r="G1194" s="74">
        <f t="shared" si="216"/>
        <v>-1176.0570652191795</v>
      </c>
      <c r="H1194" s="74">
        <f t="shared" si="222"/>
        <v>-39688.456526688948</v>
      </c>
      <c r="I1194" s="74">
        <f t="shared" si="223"/>
        <v>-47217.501991866447</v>
      </c>
      <c r="J1194" s="74">
        <f t="shared" si="224"/>
        <v>61681.975291188515</v>
      </c>
      <c r="K1194" s="74">
        <f t="shared" si="225"/>
        <v>-79688.45652668894</v>
      </c>
      <c r="L1194" s="74">
        <f t="shared" si="226"/>
        <v>-47217.501991866447</v>
      </c>
      <c r="M1194" s="74">
        <f t="shared" si="227"/>
        <v>92626.899969489998</v>
      </c>
      <c r="N1194" s="74">
        <f t="shared" si="228"/>
        <v>-64688.456526688948</v>
      </c>
      <c r="O1194" s="74">
        <f t="shared" si="229"/>
        <v>-102217.50199186645</v>
      </c>
      <c r="P1194" s="74">
        <f t="shared" si="230"/>
        <v>120966.99599999393</v>
      </c>
    </row>
    <row r="1195" spans="1:16" x14ac:dyDescent="0.3">
      <c r="A1195" s="72">
        <f t="shared" si="217"/>
        <v>443</v>
      </c>
      <c r="B1195" s="74">
        <f t="shared" si="218"/>
        <v>60515.975182511043</v>
      </c>
      <c r="C1195" s="74">
        <f t="shared" si="219"/>
        <v>65711.358488740938</v>
      </c>
      <c r="D1195" s="74">
        <f t="shared" si="220"/>
        <v>1655.0373116441979</v>
      </c>
      <c r="E1195" s="74">
        <f t="shared" si="221"/>
        <v>-3012.2870062510347</v>
      </c>
      <c r="F1195" s="74">
        <f t="shared" si="215"/>
        <v>-1087.4632086780737</v>
      </c>
      <c r="G1195" s="74">
        <f t="shared" si="216"/>
        <v>-1170.3639334954948</v>
      </c>
      <c r="H1195" s="74">
        <f t="shared" si="222"/>
        <v>-40515.975182511043</v>
      </c>
      <c r="I1195" s="74">
        <f t="shared" si="223"/>
        <v>-45711.358488740938</v>
      </c>
      <c r="J1195" s="74">
        <f t="shared" si="224"/>
        <v>61082.506005206094</v>
      </c>
      <c r="K1195" s="74">
        <f t="shared" si="225"/>
        <v>-80515.975182511043</v>
      </c>
      <c r="L1195" s="74">
        <f t="shared" si="226"/>
        <v>-45711.358488740938</v>
      </c>
      <c r="M1195" s="74">
        <f t="shared" si="227"/>
        <v>92586.989120917642</v>
      </c>
      <c r="N1195" s="74">
        <f t="shared" si="228"/>
        <v>-65515.975182511043</v>
      </c>
      <c r="O1195" s="74">
        <f t="shared" si="229"/>
        <v>-100711.35848874094</v>
      </c>
      <c r="P1195" s="74">
        <f t="shared" si="230"/>
        <v>120146.24726874783</v>
      </c>
    </row>
    <row r="1196" spans="1:16" x14ac:dyDescent="0.3">
      <c r="A1196" s="72">
        <f t="shared" si="217"/>
        <v>443.5</v>
      </c>
      <c r="B1196" s="74">
        <f t="shared" si="218"/>
        <v>61071.628036163624</v>
      </c>
      <c r="C1196" s="74">
        <f t="shared" si="219"/>
        <v>63912.624002241544</v>
      </c>
      <c r="D1196" s="74">
        <f t="shared" si="220"/>
        <v>1111.3057073051609</v>
      </c>
      <c r="E1196" s="74">
        <f t="shared" si="221"/>
        <v>-3597.4689729987822</v>
      </c>
      <c r="F1196" s="74">
        <f t="shared" si="215"/>
        <v>-1141.7913857180656</v>
      </c>
      <c r="G1196" s="74">
        <f t="shared" si="216"/>
        <v>-1174.6796488648215</v>
      </c>
      <c r="H1196" s="74">
        <f t="shared" si="222"/>
        <v>-41071.628036163624</v>
      </c>
      <c r="I1196" s="74">
        <f t="shared" si="223"/>
        <v>-43912.624002241544</v>
      </c>
      <c r="J1196" s="74">
        <f t="shared" si="224"/>
        <v>60126.509763191993</v>
      </c>
      <c r="K1196" s="74">
        <f t="shared" si="225"/>
        <v>-81071.628036163631</v>
      </c>
      <c r="L1196" s="74">
        <f t="shared" si="226"/>
        <v>-43912.624002241544</v>
      </c>
      <c r="M1196" s="74">
        <f t="shared" si="227"/>
        <v>92200.474072513927</v>
      </c>
      <c r="N1196" s="74">
        <f t="shared" si="228"/>
        <v>-66071.628036163631</v>
      </c>
      <c r="O1196" s="74">
        <f t="shared" si="229"/>
        <v>-98912.624002241544</v>
      </c>
      <c r="P1196" s="74">
        <f t="shared" si="230"/>
        <v>118950.27203986536</v>
      </c>
    </row>
    <row r="1197" spans="1:16" x14ac:dyDescent="0.3">
      <c r="A1197" s="72">
        <f t="shared" si="217"/>
        <v>444</v>
      </c>
      <c r="B1197" s="74">
        <f t="shared" si="218"/>
        <v>61341.833043386687</v>
      </c>
      <c r="C1197" s="74">
        <f t="shared" si="219"/>
        <v>61820.219603525948</v>
      </c>
      <c r="D1197" s="74">
        <f t="shared" si="220"/>
        <v>540.41001444612812</v>
      </c>
      <c r="E1197" s="74">
        <f t="shared" si="221"/>
        <v>-4184.8087974311929</v>
      </c>
      <c r="F1197" s="74">
        <f t="shared" si="215"/>
        <v>-1211.3686740731755</v>
      </c>
      <c r="G1197" s="74">
        <f t="shared" si="216"/>
        <v>-1189.4005885132515</v>
      </c>
      <c r="H1197" s="74">
        <f t="shared" si="222"/>
        <v>-41341.833043386687</v>
      </c>
      <c r="I1197" s="74">
        <f t="shared" si="223"/>
        <v>-41820.219603525948</v>
      </c>
      <c r="J1197" s="74">
        <f t="shared" si="224"/>
        <v>58805.424299756523</v>
      </c>
      <c r="K1197" s="74">
        <f t="shared" si="225"/>
        <v>-81341.833043386694</v>
      </c>
      <c r="L1197" s="74">
        <f t="shared" si="226"/>
        <v>-41820.219603525948</v>
      </c>
      <c r="M1197" s="74">
        <f t="shared" si="227"/>
        <v>91462.694966556344</v>
      </c>
      <c r="N1197" s="74">
        <f t="shared" si="228"/>
        <v>-66341.833043386694</v>
      </c>
      <c r="O1197" s="74">
        <f t="shared" si="229"/>
        <v>-96820.21960352594</v>
      </c>
      <c r="P1197" s="74">
        <f t="shared" si="230"/>
        <v>117368.62330125367</v>
      </c>
    </row>
    <row r="1198" spans="1:16" x14ac:dyDescent="0.3">
      <c r="A1198" s="72">
        <f t="shared" si="217"/>
        <v>444.5</v>
      </c>
      <c r="B1198" s="74">
        <f t="shared" si="218"/>
        <v>61309.195882091459</v>
      </c>
      <c r="C1198" s="74">
        <f t="shared" si="219"/>
        <v>59430.465057682035</v>
      </c>
      <c r="D1198" s="74">
        <f t="shared" si="220"/>
        <v>-65.274322590459633</v>
      </c>
      <c r="E1198" s="74">
        <f t="shared" si="221"/>
        <v>-4779.5090916878189</v>
      </c>
      <c r="F1198" s="74">
        <f t="shared" si="215"/>
        <v>-1300.3006852638264</v>
      </c>
      <c r="G1198" s="74">
        <f t="shared" si="216"/>
        <v>-1215.4394053948386</v>
      </c>
      <c r="H1198" s="74">
        <f t="shared" si="222"/>
        <v>-41309.195882091459</v>
      </c>
      <c r="I1198" s="74">
        <f t="shared" si="223"/>
        <v>-39430.465057682035</v>
      </c>
      <c r="J1198" s="74">
        <f t="shared" si="224"/>
        <v>57107.015673120986</v>
      </c>
      <c r="K1198" s="74">
        <f t="shared" si="225"/>
        <v>-81309.195882091459</v>
      </c>
      <c r="L1198" s="74">
        <f t="shared" si="226"/>
        <v>-39430.465057682035</v>
      </c>
      <c r="M1198" s="74">
        <f t="shared" si="227"/>
        <v>90365.629028173105</v>
      </c>
      <c r="N1198" s="74">
        <f t="shared" si="228"/>
        <v>-66309.195882091459</v>
      </c>
      <c r="O1198" s="74">
        <f t="shared" si="229"/>
        <v>-94430.465057682042</v>
      </c>
      <c r="P1198" s="74">
        <f t="shared" si="230"/>
        <v>115386.40383311929</v>
      </c>
    </row>
    <row r="1199" spans="1:16" x14ac:dyDescent="0.3">
      <c r="A1199" s="72">
        <f t="shared" si="217"/>
        <v>445</v>
      </c>
      <c r="B1199" s="74">
        <f t="shared" si="218"/>
        <v>60951.483549480276</v>
      </c>
      <c r="C1199" s="74">
        <f t="shared" si="219"/>
        <v>56736.850660489414</v>
      </c>
      <c r="D1199" s="74">
        <f t="shared" si="220"/>
        <v>-715.42466522237282</v>
      </c>
      <c r="E1199" s="74">
        <f t="shared" si="221"/>
        <v>-5387.228794385238</v>
      </c>
      <c r="F1199" s="74">
        <f t="shared" si="215"/>
        <v>-1414.6415689750527</v>
      </c>
      <c r="G1199" s="74">
        <f t="shared" si="216"/>
        <v>-1254.3257607692817</v>
      </c>
      <c r="H1199" s="74">
        <f t="shared" si="222"/>
        <v>-40951.483549480276</v>
      </c>
      <c r="I1199" s="74">
        <f t="shared" si="223"/>
        <v>-36736.850660489414</v>
      </c>
      <c r="J1199" s="74">
        <f t="shared" si="224"/>
        <v>55014.727131509571</v>
      </c>
      <c r="K1199" s="74">
        <f t="shared" si="225"/>
        <v>-80951.483549480268</v>
      </c>
      <c r="L1199" s="74">
        <f t="shared" si="226"/>
        <v>-36736.850660489414</v>
      </c>
      <c r="M1199" s="74">
        <f t="shared" si="227"/>
        <v>88897.350271607516</v>
      </c>
      <c r="N1199" s="74">
        <f t="shared" si="228"/>
        <v>-65951.483549480268</v>
      </c>
      <c r="O1199" s="74">
        <f t="shared" si="229"/>
        <v>-91736.850660489406</v>
      </c>
      <c r="P1199" s="74">
        <f t="shared" si="230"/>
        <v>112983.3967956456</v>
      </c>
    </row>
    <row r="1200" spans="1:16" x14ac:dyDescent="0.3">
      <c r="A1200" s="72">
        <f t="shared" si="217"/>
        <v>445.5</v>
      </c>
      <c r="B1200" s="74">
        <f t="shared" si="218"/>
        <v>60240.110824625328</v>
      </c>
      <c r="C1200" s="74">
        <f t="shared" si="219"/>
        <v>53729.654823104473</v>
      </c>
      <c r="D1200" s="74">
        <f t="shared" si="220"/>
        <v>-1422.7454497098993</v>
      </c>
      <c r="E1200" s="74">
        <f t="shared" si="221"/>
        <v>-6014.3916747698786</v>
      </c>
      <c r="F1200" s="74">
        <f t="shared" si="215"/>
        <v>-1563.5656726545785</v>
      </c>
      <c r="G1200" s="74">
        <f t="shared" si="216"/>
        <v>-1308.369003026291</v>
      </c>
      <c r="H1200" s="74">
        <f t="shared" si="222"/>
        <v>-40240.110824625328</v>
      </c>
      <c r="I1200" s="74">
        <f t="shared" si="223"/>
        <v>-33729.654823104473</v>
      </c>
      <c r="J1200" s="74">
        <f t="shared" si="224"/>
        <v>52506.724651837721</v>
      </c>
      <c r="K1200" s="74">
        <f t="shared" si="225"/>
        <v>-80240.110824625328</v>
      </c>
      <c r="L1200" s="74">
        <f t="shared" si="226"/>
        <v>-33729.654823104473</v>
      </c>
      <c r="M1200" s="74">
        <f t="shared" si="227"/>
        <v>87041.168418363552</v>
      </c>
      <c r="N1200" s="74">
        <f t="shared" si="228"/>
        <v>-65240.110824625328</v>
      </c>
      <c r="O1200" s="74">
        <f t="shared" si="229"/>
        <v>-88729.654823104473</v>
      </c>
      <c r="P1200" s="74">
        <f t="shared" si="230"/>
        <v>110132.75491622218</v>
      </c>
    </row>
    <row r="1201" spans="1:16" x14ac:dyDescent="0.3">
      <c r="A1201" s="72">
        <f t="shared" si="217"/>
        <v>446</v>
      </c>
      <c r="B1201" s="74">
        <f t="shared" si="218"/>
        <v>59137.846681606738</v>
      </c>
      <c r="C1201" s="74">
        <f t="shared" si="219"/>
        <v>50395.366734962961</v>
      </c>
      <c r="D1201" s="74">
        <f t="shared" si="220"/>
        <v>-2204.5282860371885</v>
      </c>
      <c r="E1201" s="74">
        <f t="shared" si="221"/>
        <v>-6668.5761762830243</v>
      </c>
      <c r="F1201" s="74">
        <f t="shared" si="215"/>
        <v>-1761.4963987531121</v>
      </c>
      <c r="G1201" s="74">
        <f t="shared" si="216"/>
        <v>-1380.8796951437416</v>
      </c>
      <c r="H1201" s="74">
        <f t="shared" si="222"/>
        <v>-39137.846681606738</v>
      </c>
      <c r="I1201" s="74">
        <f t="shared" si="223"/>
        <v>-30395.366734962961</v>
      </c>
      <c r="J1201" s="74">
        <f t="shared" si="224"/>
        <v>49554.508995911245</v>
      </c>
      <c r="K1201" s="74">
        <f t="shared" si="225"/>
        <v>-79137.846681606738</v>
      </c>
      <c r="L1201" s="74">
        <f t="shared" si="226"/>
        <v>-30395.366734962961</v>
      </c>
      <c r="M1201" s="74">
        <f t="shared" si="227"/>
        <v>84774.271429215994</v>
      </c>
      <c r="N1201" s="74">
        <f t="shared" si="228"/>
        <v>-64137.846681606738</v>
      </c>
      <c r="O1201" s="74">
        <f t="shared" si="229"/>
        <v>-85395.366734962969</v>
      </c>
      <c r="P1201" s="74">
        <f t="shared" si="230"/>
        <v>106799.02638485105</v>
      </c>
    </row>
    <row r="1202" spans="1:16" x14ac:dyDescent="0.3">
      <c r="A1202" s="72">
        <f t="shared" si="217"/>
        <v>446.5</v>
      </c>
      <c r="B1202" s="74">
        <f t="shared" si="218"/>
        <v>57595.208438899863</v>
      </c>
      <c r="C1202" s="74">
        <f t="shared" si="219"/>
        <v>46715.858723035512</v>
      </c>
      <c r="D1202" s="74">
        <f t="shared" si="220"/>
        <v>-3085.2764854137445</v>
      </c>
      <c r="E1202" s="74">
        <f t="shared" si="221"/>
        <v>-7359.0160238548951</v>
      </c>
      <c r="F1202" s="74">
        <f t="shared" si="215"/>
        <v>-2032.2041717262825</v>
      </c>
      <c r="G1202" s="74">
        <f t="shared" si="216"/>
        <v>-1476.3784914564935</v>
      </c>
      <c r="H1202" s="74">
        <f t="shared" si="222"/>
        <v>-37595.208438899863</v>
      </c>
      <c r="I1202" s="74">
        <f t="shared" si="223"/>
        <v>-26715.858723035512</v>
      </c>
      <c r="J1202" s="74">
        <f t="shared" si="224"/>
        <v>46120.893365952055</v>
      </c>
      <c r="K1202" s="74">
        <f t="shared" si="225"/>
        <v>-77595.208438899863</v>
      </c>
      <c r="L1202" s="74">
        <f t="shared" si="226"/>
        <v>-26715.858723035512</v>
      </c>
      <c r="M1202" s="74">
        <f t="shared" si="227"/>
        <v>82065.543804848508</v>
      </c>
      <c r="N1202" s="74">
        <f t="shared" si="228"/>
        <v>-62595.208438899863</v>
      </c>
      <c r="O1202" s="74">
        <f t="shared" si="229"/>
        <v>-81715.858723035519</v>
      </c>
      <c r="P1202" s="74">
        <f t="shared" si="230"/>
        <v>102935.13339162883</v>
      </c>
    </row>
    <row r="1203" spans="1:16" x14ac:dyDescent="0.3">
      <c r="A1203" s="72">
        <f t="shared" si="217"/>
        <v>447</v>
      </c>
      <c r="B1203" s="74">
        <f t="shared" si="218"/>
        <v>55544.519153261419</v>
      </c>
      <c r="C1203" s="74">
        <f t="shared" si="219"/>
        <v>42667.256088243936</v>
      </c>
      <c r="D1203" s="74">
        <f t="shared" si="220"/>
        <v>-4101.3785712768859</v>
      </c>
      <c r="E1203" s="74">
        <f t="shared" si="221"/>
        <v>-8097.2052695831417</v>
      </c>
      <c r="F1203" s="74">
        <f t="shared" si="215"/>
        <v>-2417.2626640638173</v>
      </c>
      <c r="G1203" s="74">
        <f t="shared" si="216"/>
        <v>-1600.4131828211553</v>
      </c>
      <c r="H1203" s="74">
        <f t="shared" si="222"/>
        <v>-35544.519153261419</v>
      </c>
      <c r="I1203" s="74">
        <f t="shared" si="223"/>
        <v>-22667.256088243936</v>
      </c>
      <c r="J1203" s="74">
        <f t="shared" si="224"/>
        <v>42157.055642046442</v>
      </c>
      <c r="K1203" s="74">
        <f t="shared" si="225"/>
        <v>-75544.519153261412</v>
      </c>
      <c r="L1203" s="74">
        <f t="shared" si="226"/>
        <v>-22667.256088243936</v>
      </c>
      <c r="M1203" s="74">
        <f t="shared" si="227"/>
        <v>78871.914346410485</v>
      </c>
      <c r="N1203" s="74">
        <f t="shared" si="228"/>
        <v>-60544.519153261419</v>
      </c>
      <c r="O1203" s="74">
        <f t="shared" si="229"/>
        <v>-77667.256088243943</v>
      </c>
      <c r="P1203" s="74">
        <f t="shared" si="230"/>
        <v>98477.61912118156</v>
      </c>
    </row>
    <row r="1204" spans="1:16" x14ac:dyDescent="0.3">
      <c r="A1204" s="72">
        <f t="shared" si="217"/>
        <v>447.5</v>
      </c>
      <c r="B1204" s="74">
        <f t="shared" si="218"/>
        <v>52889.514201607024</v>
      </c>
      <c r="C1204" s="74">
        <f t="shared" si="219"/>
        <v>38218.550157747079</v>
      </c>
      <c r="D1204" s="74">
        <f t="shared" si="220"/>
        <v>-5310.0099033087945</v>
      </c>
      <c r="E1204" s="74">
        <f t="shared" si="221"/>
        <v>-8897.4118609937195</v>
      </c>
      <c r="F1204" s="74">
        <f t="shared" si="215"/>
        <v>-2995.0003985343619</v>
      </c>
      <c r="G1204" s="74">
        <f t="shared" si="216"/>
        <v>-1757.2362895881674</v>
      </c>
      <c r="H1204" s="74">
        <f t="shared" si="222"/>
        <v>-32889.514201607024</v>
      </c>
      <c r="I1204" s="74">
        <f t="shared" si="223"/>
        <v>-18218.550157747079</v>
      </c>
      <c r="J1204" s="74">
        <f t="shared" si="224"/>
        <v>37598.347227877668</v>
      </c>
      <c r="K1204" s="74">
        <f t="shared" si="225"/>
        <v>-72889.514201607031</v>
      </c>
      <c r="L1204" s="74">
        <f t="shared" si="226"/>
        <v>-18218.550157747079</v>
      </c>
      <c r="M1204" s="74">
        <f t="shared" si="227"/>
        <v>75131.863083492208</v>
      </c>
      <c r="N1204" s="74">
        <f t="shared" si="228"/>
        <v>-57889.514201607024</v>
      </c>
      <c r="O1204" s="74">
        <f t="shared" si="229"/>
        <v>-73218.550157747086</v>
      </c>
      <c r="P1204" s="74">
        <f t="shared" si="230"/>
        <v>93338.909044945394</v>
      </c>
    </row>
    <row r="1205" spans="1:16" x14ac:dyDescent="0.3">
      <c r="A1205" s="72">
        <f t="shared" si="217"/>
        <v>448</v>
      </c>
      <c r="B1205" s="74">
        <f t="shared" si="218"/>
        <v>49485.759150319042</v>
      </c>
      <c r="C1205" s="74">
        <f t="shared" si="219"/>
        <v>33330.535154853176</v>
      </c>
      <c r="D1205" s="74">
        <f t="shared" si="220"/>
        <v>-6807.5101025759759</v>
      </c>
      <c r="E1205" s="74">
        <f t="shared" si="221"/>
        <v>-9776.030005787803</v>
      </c>
      <c r="F1205" s="74">
        <f t="shared" si="215"/>
        <v>-3927.1248556723617</v>
      </c>
      <c r="G1205" s="74">
        <f t="shared" si="216"/>
        <v>-1936.9407955536885</v>
      </c>
      <c r="H1205" s="74">
        <f t="shared" si="222"/>
        <v>-29485.759150319042</v>
      </c>
      <c r="I1205" s="74">
        <f t="shared" si="223"/>
        <v>-13330.535154853176</v>
      </c>
      <c r="J1205" s="74">
        <f t="shared" si="224"/>
        <v>32359.127926836958</v>
      </c>
      <c r="K1205" s="74">
        <f t="shared" si="225"/>
        <v>-69485.759150319034</v>
      </c>
      <c r="L1205" s="74">
        <f t="shared" si="226"/>
        <v>-13330.535154853176</v>
      </c>
      <c r="M1205" s="74">
        <f t="shared" si="227"/>
        <v>70752.907305713743</v>
      </c>
      <c r="N1205" s="74">
        <f t="shared" si="228"/>
        <v>-54485.759150319042</v>
      </c>
      <c r="O1205" s="74">
        <f t="shared" si="229"/>
        <v>-68330.535154853176</v>
      </c>
      <c r="P1205" s="74">
        <f t="shared" si="230"/>
        <v>87394.27890162605</v>
      </c>
    </row>
    <row r="1206" spans="1:16" x14ac:dyDescent="0.3">
      <c r="A1206" s="72">
        <f t="shared" si="217"/>
        <v>448.5</v>
      </c>
      <c r="B1206" s="74">
        <f t="shared" si="218"/>
        <v>45100.222885112962</v>
      </c>
      <c r="C1206" s="74">
        <f t="shared" si="219"/>
        <v>27958.284953070852</v>
      </c>
      <c r="D1206" s="74">
        <f t="shared" si="220"/>
        <v>-8771.072530412157</v>
      </c>
      <c r="E1206" s="74">
        <f t="shared" si="221"/>
        <v>-10744.500403564647</v>
      </c>
      <c r="F1206" s="74">
        <f t="shared" ref="F1206:F1269" si="231">$C$23*(H1206/(J1206^2+$C$24^2)^1.5)+$C$32*(K1206/(M1206^2+$C$33^2)^1.5)+C$41*(N1206/(P1206^2+$C$42^2)^1.5)</f>
        <v>-5582.8595738991089</v>
      </c>
      <c r="G1206" s="74">
        <f t="shared" ref="G1206:G1269" si="232">$C$23*(I1206/(J1206^2+$C$24^2)^1.5)+$C$32*(L1206/(M1206^2+$C$33^2)^1.5)+C$41*(O1206/(P1206^2+$C$42^2)^1.5)</f>
        <v>-2045.7492007562596</v>
      </c>
      <c r="H1206" s="74">
        <f t="shared" si="222"/>
        <v>-25100.222885112962</v>
      </c>
      <c r="I1206" s="74">
        <f t="shared" si="223"/>
        <v>-7958.2849530708518</v>
      </c>
      <c r="J1206" s="74">
        <f t="shared" si="224"/>
        <v>26331.644238000448</v>
      </c>
      <c r="K1206" s="74">
        <f t="shared" si="225"/>
        <v>-65100.222885112962</v>
      </c>
      <c r="L1206" s="74">
        <f t="shared" si="226"/>
        <v>-7958.2849530708518</v>
      </c>
      <c r="M1206" s="74">
        <f t="shared" si="227"/>
        <v>65584.855866927537</v>
      </c>
      <c r="N1206" s="74">
        <f t="shared" si="228"/>
        <v>-50100.222885112962</v>
      </c>
      <c r="O1206" s="74">
        <f t="shared" si="229"/>
        <v>-62958.284953070848</v>
      </c>
      <c r="P1206" s="74">
        <f t="shared" si="230"/>
        <v>80459.791059696785</v>
      </c>
    </row>
    <row r="1207" spans="1:16" x14ac:dyDescent="0.3">
      <c r="A1207" s="72">
        <f t="shared" ref="A1207:A1270" si="233">A1206+$C$5</f>
        <v>449</v>
      </c>
      <c r="B1207" s="74">
        <f t="shared" ref="B1207:B1270" si="234">B1206+D1206*(A1207-A1206)+F1206*(A1207-A1206)^2</f>
        <v>39318.971726432108</v>
      </c>
      <c r="C1207" s="74">
        <f t="shared" ref="C1207:C1270" si="235">C1206+E1206*(A1207-A1206)+G1206*(A1207-A1206)^2</f>
        <v>22074.597451099464</v>
      </c>
      <c r="D1207" s="74">
        <f t="shared" ref="D1207:D1270" si="236">D1206+F1206*(A1207-A1206)</f>
        <v>-11562.502317361712</v>
      </c>
      <c r="E1207" s="74">
        <f t="shared" ref="E1207:E1270" si="237">E1206+G1206*(A1207-A1206)</f>
        <v>-11767.375003942776</v>
      </c>
      <c r="F1207" s="74">
        <f t="shared" si="231"/>
        <v>-8825.266444928744</v>
      </c>
      <c r="G1207" s="74">
        <f t="shared" si="232"/>
        <v>-1469.3085279417805</v>
      </c>
      <c r="H1207" s="74">
        <f t="shared" ref="H1207:H1270" si="238">$C$19-B1207</f>
        <v>-19318.971726432108</v>
      </c>
      <c r="I1207" s="74">
        <f t="shared" ref="I1207:I1270" si="239">$D$19-C1207</f>
        <v>-2074.5974510994638</v>
      </c>
      <c r="J1207" s="74">
        <f t="shared" ref="J1207:J1270" si="240">SQRT(H1207^2+I1207^2)</f>
        <v>19430.044342481353</v>
      </c>
      <c r="K1207" s="74">
        <f t="shared" ref="K1207:K1270" si="241">$C$28-B1207</f>
        <v>-59318.971726432108</v>
      </c>
      <c r="L1207" s="74">
        <f t="shared" ref="L1207:L1270" si="242">$D$28-C1207</f>
        <v>-2074.5974510994638</v>
      </c>
      <c r="M1207" s="74">
        <f t="shared" ref="M1207:M1270" si="243">SQRT(K1207^2+L1207^2)</f>
        <v>59355.238701106748</v>
      </c>
      <c r="N1207" s="74">
        <f t="shared" ref="N1207:N1270" si="244">$C$37-B1207</f>
        <v>-44318.971726432108</v>
      </c>
      <c r="O1207" s="74">
        <f t="shared" ref="O1207:O1270" si="245">$D$37-C1207</f>
        <v>-57074.597451099464</v>
      </c>
      <c r="P1207" s="74">
        <f t="shared" ref="P1207:P1270" si="246">SQRT(N1207^2+O1207^2)</f>
        <v>72261.199333344441</v>
      </c>
    </row>
    <row r="1208" spans="1:16" x14ac:dyDescent="0.3">
      <c r="A1208" s="72">
        <f t="shared" si="233"/>
        <v>449.5</v>
      </c>
      <c r="B1208" s="74">
        <f t="shared" si="234"/>
        <v>31331.403956519069</v>
      </c>
      <c r="C1208" s="74">
        <f t="shared" si="235"/>
        <v>15823.582817142631</v>
      </c>
      <c r="D1208" s="74">
        <f t="shared" si="236"/>
        <v>-15975.135539826084</v>
      </c>
      <c r="E1208" s="74">
        <f t="shared" si="237"/>
        <v>-12502.029267913666</v>
      </c>
      <c r="F1208" s="74">
        <f t="shared" si="231"/>
        <v>-13692.096190901599</v>
      </c>
      <c r="G1208" s="74">
        <f t="shared" si="232"/>
        <v>3761.1228712432458</v>
      </c>
      <c r="H1208" s="74">
        <f t="shared" si="238"/>
        <v>-11331.403956519069</v>
      </c>
      <c r="I1208" s="74">
        <f t="shared" si="239"/>
        <v>4176.417182857369</v>
      </c>
      <c r="J1208" s="74">
        <f t="shared" si="240"/>
        <v>12076.554811331014</v>
      </c>
      <c r="K1208" s="74">
        <f t="shared" si="241"/>
        <v>-51331.403956519069</v>
      </c>
      <c r="L1208" s="74">
        <f t="shared" si="242"/>
        <v>4176.417182857369</v>
      </c>
      <c r="M1208" s="74">
        <f t="shared" si="243"/>
        <v>51501.024190132448</v>
      </c>
      <c r="N1208" s="74">
        <f t="shared" si="244"/>
        <v>-36331.403956519069</v>
      </c>
      <c r="O1208" s="74">
        <f t="shared" si="245"/>
        <v>-50823.582817142633</v>
      </c>
      <c r="P1208" s="74">
        <f t="shared" si="246"/>
        <v>62474.054485223904</v>
      </c>
    </row>
    <row r="1209" spans="1:16" x14ac:dyDescent="0.3">
      <c r="A1209" s="72">
        <f t="shared" si="233"/>
        <v>450</v>
      </c>
      <c r="B1209" s="74">
        <f t="shared" si="234"/>
        <v>19920.812138880625</v>
      </c>
      <c r="C1209" s="74">
        <f t="shared" si="235"/>
        <v>10512.848900996611</v>
      </c>
      <c r="D1209" s="74">
        <f t="shared" si="236"/>
        <v>-22821.183635276884</v>
      </c>
      <c r="E1209" s="74">
        <f t="shared" si="237"/>
        <v>-10621.467832292043</v>
      </c>
      <c r="F1209" s="74">
        <f t="shared" si="231"/>
        <v>-1752.5991180488886</v>
      </c>
      <c r="G1209" s="74">
        <f t="shared" si="232"/>
        <v>14158.864620510041</v>
      </c>
      <c r="H1209" s="74">
        <f t="shared" si="238"/>
        <v>79.187861119375157</v>
      </c>
      <c r="I1209" s="74">
        <f t="shared" si="239"/>
        <v>9487.1510990033894</v>
      </c>
      <c r="J1209" s="74">
        <f t="shared" si="240"/>
        <v>9487.481577988432</v>
      </c>
      <c r="K1209" s="74">
        <f t="shared" si="241"/>
        <v>-39920.812138880625</v>
      </c>
      <c r="L1209" s="74">
        <f t="shared" si="242"/>
        <v>9487.1510990033894</v>
      </c>
      <c r="M1209" s="74">
        <f t="shared" si="243"/>
        <v>41032.636739589623</v>
      </c>
      <c r="N1209" s="74">
        <f t="shared" si="244"/>
        <v>-24920.812138880625</v>
      </c>
      <c r="O1209" s="74">
        <f t="shared" si="245"/>
        <v>-45512.848900996614</v>
      </c>
      <c r="P1209" s="74">
        <f t="shared" si="246"/>
        <v>51888.980455837911</v>
      </c>
    </row>
    <row r="1210" spans="1:16" x14ac:dyDescent="0.3">
      <c r="A1210" s="72">
        <f t="shared" si="233"/>
        <v>450.5</v>
      </c>
      <c r="B1210" s="74">
        <f t="shared" si="234"/>
        <v>8072.0705417299605</v>
      </c>
      <c r="C1210" s="74">
        <f t="shared" si="235"/>
        <v>8741.8311399780996</v>
      </c>
      <c r="D1210" s="74">
        <f t="shared" si="236"/>
        <v>-23697.483194301327</v>
      </c>
      <c r="E1210" s="74">
        <f t="shared" si="237"/>
        <v>-3542.035522037022</v>
      </c>
      <c r="F1210" s="74">
        <f t="shared" si="231"/>
        <v>4545.6827161462516</v>
      </c>
      <c r="G1210" s="74">
        <f t="shared" si="232"/>
        <v>5645.9886683488476</v>
      </c>
      <c r="H1210" s="74">
        <f t="shared" si="238"/>
        <v>11927.929458270039</v>
      </c>
      <c r="I1210" s="74">
        <f t="shared" si="239"/>
        <v>11258.1688600219</v>
      </c>
      <c r="J1210" s="74">
        <f t="shared" si="240"/>
        <v>16401.886087954426</v>
      </c>
      <c r="K1210" s="74">
        <f t="shared" si="241"/>
        <v>-28072.070541729961</v>
      </c>
      <c r="L1210" s="74">
        <f t="shared" si="242"/>
        <v>11258.1688600219</v>
      </c>
      <c r="M1210" s="74">
        <f t="shared" si="243"/>
        <v>30245.454378809223</v>
      </c>
      <c r="N1210" s="74">
        <f t="shared" si="244"/>
        <v>-13072.070541729961</v>
      </c>
      <c r="O1210" s="74">
        <f t="shared" si="245"/>
        <v>-43741.831139978101</v>
      </c>
      <c r="P1210" s="74">
        <f t="shared" si="246"/>
        <v>45653.333062617916</v>
      </c>
    </row>
    <row r="1211" spans="1:16" x14ac:dyDescent="0.3">
      <c r="A1211" s="72">
        <f t="shared" si="233"/>
        <v>451</v>
      </c>
      <c r="B1211" s="74">
        <f t="shared" si="234"/>
        <v>-2640.2503763841401</v>
      </c>
      <c r="C1211" s="74">
        <f t="shared" si="235"/>
        <v>8382.3105460467996</v>
      </c>
      <c r="D1211" s="74">
        <f t="shared" si="236"/>
        <v>-21424.641836228202</v>
      </c>
      <c r="E1211" s="74">
        <f t="shared" si="237"/>
        <v>-719.04118786259824</v>
      </c>
      <c r="F1211" s="74">
        <f t="shared" si="231"/>
        <v>1201.6340762054788</v>
      </c>
      <c r="G1211" s="74">
        <f t="shared" si="232"/>
        <v>2556.5321183109563</v>
      </c>
      <c r="H1211" s="74">
        <f t="shared" si="238"/>
        <v>22640.250376384141</v>
      </c>
      <c r="I1211" s="74">
        <f t="shared" si="239"/>
        <v>11617.6894539532</v>
      </c>
      <c r="J1211" s="74">
        <f t="shared" si="240"/>
        <v>25447.036081906623</v>
      </c>
      <c r="K1211" s="74">
        <f t="shared" si="241"/>
        <v>-17359.749623615859</v>
      </c>
      <c r="L1211" s="74">
        <f t="shared" si="242"/>
        <v>11617.6894539532</v>
      </c>
      <c r="M1211" s="74">
        <f t="shared" si="243"/>
        <v>20888.552253402493</v>
      </c>
      <c r="N1211" s="74">
        <f t="shared" si="244"/>
        <v>-2359.7496236158599</v>
      </c>
      <c r="O1211" s="74">
        <f t="shared" si="245"/>
        <v>-43382.3105460468</v>
      </c>
      <c r="P1211" s="74">
        <f t="shared" si="246"/>
        <v>43446.441587312976</v>
      </c>
    </row>
    <row r="1212" spans="1:16" x14ac:dyDescent="0.3">
      <c r="A1212" s="72">
        <f t="shared" si="233"/>
        <v>451.5</v>
      </c>
      <c r="B1212" s="74">
        <f t="shared" si="234"/>
        <v>-13052.162775446872</v>
      </c>
      <c r="C1212" s="74">
        <f t="shared" si="235"/>
        <v>8661.9229816932402</v>
      </c>
      <c r="D1212" s="74">
        <f t="shared" si="236"/>
        <v>-20823.824798125461</v>
      </c>
      <c r="E1212" s="74">
        <f t="shared" si="237"/>
        <v>559.22487129287993</v>
      </c>
      <c r="F1212" s="74">
        <f t="shared" si="231"/>
        <v>-745.67637202092419</v>
      </c>
      <c r="G1212" s="74">
        <f t="shared" si="232"/>
        <v>5555.4231277927584</v>
      </c>
      <c r="H1212" s="74">
        <f t="shared" si="238"/>
        <v>33052.162775446872</v>
      </c>
      <c r="I1212" s="74">
        <f t="shared" si="239"/>
        <v>11338.07701830676</v>
      </c>
      <c r="J1212" s="74">
        <f t="shared" si="240"/>
        <v>34942.773997032513</v>
      </c>
      <c r="K1212" s="74">
        <f t="shared" si="241"/>
        <v>-6947.8372245531282</v>
      </c>
      <c r="L1212" s="74">
        <f t="shared" si="242"/>
        <v>11338.07701830676</v>
      </c>
      <c r="M1212" s="74">
        <f t="shared" si="243"/>
        <v>13297.534830634662</v>
      </c>
      <c r="N1212" s="74">
        <f t="shared" si="244"/>
        <v>8052.1627754468718</v>
      </c>
      <c r="O1212" s="74">
        <f t="shared" si="245"/>
        <v>-43661.922981693242</v>
      </c>
      <c r="P1212" s="74">
        <f t="shared" si="246"/>
        <v>44398.207664517322</v>
      </c>
    </row>
    <row r="1213" spans="1:16" x14ac:dyDescent="0.3">
      <c r="A1213" s="72">
        <f t="shared" si="233"/>
        <v>452</v>
      </c>
      <c r="B1213" s="74">
        <f t="shared" si="234"/>
        <v>-23650.494267514834</v>
      </c>
      <c r="C1213" s="74">
        <f t="shared" si="235"/>
        <v>10330.391199287871</v>
      </c>
      <c r="D1213" s="74">
        <f t="shared" si="236"/>
        <v>-21196.662984135924</v>
      </c>
      <c r="E1213" s="74">
        <f t="shared" si="237"/>
        <v>3336.9364351892591</v>
      </c>
      <c r="F1213" s="74">
        <f t="shared" si="231"/>
        <v>6031.9957768527465</v>
      </c>
      <c r="G1213" s="74">
        <f t="shared" si="232"/>
        <v>8192.8273746787945</v>
      </c>
      <c r="H1213" s="74">
        <f t="shared" si="238"/>
        <v>43650.494267514834</v>
      </c>
      <c r="I1213" s="74">
        <f t="shared" si="239"/>
        <v>9669.6088007121289</v>
      </c>
      <c r="J1213" s="74">
        <f t="shared" si="240"/>
        <v>44708.69025320642</v>
      </c>
      <c r="K1213" s="74">
        <f t="shared" si="241"/>
        <v>3650.4942675148341</v>
      </c>
      <c r="L1213" s="74">
        <f t="shared" si="242"/>
        <v>9669.6088007121289</v>
      </c>
      <c r="M1213" s="74">
        <f t="shared" si="243"/>
        <v>10335.736198063887</v>
      </c>
      <c r="N1213" s="74">
        <f t="shared" si="244"/>
        <v>18650.494267514834</v>
      </c>
      <c r="O1213" s="74">
        <f t="shared" si="245"/>
        <v>-45330.391199287871</v>
      </c>
      <c r="P1213" s="74">
        <f t="shared" si="246"/>
        <v>49017.193949705841</v>
      </c>
    </row>
    <row r="1214" spans="1:16" x14ac:dyDescent="0.3">
      <c r="A1214" s="72">
        <f t="shared" si="233"/>
        <v>452.5</v>
      </c>
      <c r="B1214" s="74">
        <f t="shared" si="234"/>
        <v>-32740.826815369608</v>
      </c>
      <c r="C1214" s="74">
        <f t="shared" si="235"/>
        <v>14047.066260552199</v>
      </c>
      <c r="D1214" s="74">
        <f t="shared" si="236"/>
        <v>-18180.665095709552</v>
      </c>
      <c r="E1214" s="74">
        <f t="shared" si="237"/>
        <v>7433.3501225286564</v>
      </c>
      <c r="F1214" s="74">
        <f t="shared" si="231"/>
        <v>8474.0731297131442</v>
      </c>
      <c r="G1214" s="74">
        <f t="shared" si="232"/>
        <v>2076.7002334452945</v>
      </c>
      <c r="H1214" s="74">
        <f t="shared" si="238"/>
        <v>52740.826815369612</v>
      </c>
      <c r="I1214" s="74">
        <f t="shared" si="239"/>
        <v>5952.9337394478007</v>
      </c>
      <c r="J1214" s="74">
        <f t="shared" si="240"/>
        <v>53075.721693398256</v>
      </c>
      <c r="K1214" s="74">
        <f t="shared" si="241"/>
        <v>12740.826815369608</v>
      </c>
      <c r="L1214" s="74">
        <f t="shared" si="242"/>
        <v>5952.9337394478007</v>
      </c>
      <c r="M1214" s="74">
        <f t="shared" si="243"/>
        <v>14062.933123836479</v>
      </c>
      <c r="N1214" s="74">
        <f t="shared" si="244"/>
        <v>27740.826815369608</v>
      </c>
      <c r="O1214" s="74">
        <f t="shared" si="245"/>
        <v>-49047.066260552201</v>
      </c>
      <c r="P1214" s="74">
        <f t="shared" si="246"/>
        <v>56348.630694696811</v>
      </c>
    </row>
    <row r="1215" spans="1:16" x14ac:dyDescent="0.3">
      <c r="A1215" s="72">
        <f t="shared" si="233"/>
        <v>453</v>
      </c>
      <c r="B1215" s="74">
        <f t="shared" si="234"/>
        <v>-39712.641080796093</v>
      </c>
      <c r="C1215" s="74">
        <f t="shared" si="235"/>
        <v>18282.916380177852</v>
      </c>
      <c r="D1215" s="74">
        <f t="shared" si="236"/>
        <v>-13943.62853085298</v>
      </c>
      <c r="E1215" s="74">
        <f t="shared" si="237"/>
        <v>8471.7002392513041</v>
      </c>
      <c r="F1215" s="74">
        <f t="shared" si="231"/>
        <v>6019.0219886182913</v>
      </c>
      <c r="G1215" s="74">
        <f t="shared" si="232"/>
        <v>-425.51441704252358</v>
      </c>
      <c r="H1215" s="74">
        <f t="shared" si="238"/>
        <v>59712.641080796093</v>
      </c>
      <c r="I1215" s="74">
        <f t="shared" si="239"/>
        <v>1717.0836198221477</v>
      </c>
      <c r="J1215" s="74">
        <f t="shared" si="240"/>
        <v>59737.324019422216</v>
      </c>
      <c r="K1215" s="74">
        <f t="shared" si="241"/>
        <v>19712.641080796093</v>
      </c>
      <c r="L1215" s="74">
        <f t="shared" si="242"/>
        <v>1717.0836198221477</v>
      </c>
      <c r="M1215" s="74">
        <f t="shared" si="243"/>
        <v>19787.283657383377</v>
      </c>
      <c r="N1215" s="74">
        <f t="shared" si="244"/>
        <v>34712.641080796093</v>
      </c>
      <c r="O1215" s="74">
        <f t="shared" si="245"/>
        <v>-53282.916380177849</v>
      </c>
      <c r="P1215" s="74">
        <f t="shared" si="246"/>
        <v>63592.740377980233</v>
      </c>
    </row>
    <row r="1216" spans="1:16" x14ac:dyDescent="0.3">
      <c r="A1216" s="72">
        <f t="shared" si="233"/>
        <v>453.5</v>
      </c>
      <c r="B1216" s="74">
        <f t="shared" si="234"/>
        <v>-45179.699849068005</v>
      </c>
      <c r="C1216" s="74">
        <f t="shared" si="235"/>
        <v>22412.387895542874</v>
      </c>
      <c r="D1216" s="74">
        <f t="shared" si="236"/>
        <v>-10934.117536543836</v>
      </c>
      <c r="E1216" s="74">
        <f t="shared" si="237"/>
        <v>8258.9430307300427</v>
      </c>
      <c r="F1216" s="74">
        <f t="shared" si="231"/>
        <v>4316.7935531663588</v>
      </c>
      <c r="G1216" s="74">
        <f t="shared" si="232"/>
        <v>-990.29374957228686</v>
      </c>
      <c r="H1216" s="74">
        <f t="shared" si="238"/>
        <v>65179.699849068005</v>
      </c>
      <c r="I1216" s="74">
        <f t="shared" si="239"/>
        <v>-2412.3878955428736</v>
      </c>
      <c r="J1216" s="74">
        <f t="shared" si="240"/>
        <v>65224.327422926777</v>
      </c>
      <c r="K1216" s="74">
        <f t="shared" si="241"/>
        <v>25179.699849068005</v>
      </c>
      <c r="L1216" s="74">
        <f t="shared" si="242"/>
        <v>-2412.3878955428736</v>
      </c>
      <c r="M1216" s="74">
        <f t="shared" si="243"/>
        <v>25294.9975261457</v>
      </c>
      <c r="N1216" s="74">
        <f t="shared" si="244"/>
        <v>40179.699849068005</v>
      </c>
      <c r="O1216" s="74">
        <f t="shared" si="245"/>
        <v>-57412.387895542874</v>
      </c>
      <c r="P1216" s="74">
        <f t="shared" si="246"/>
        <v>70075.606053957701</v>
      </c>
    </row>
    <row r="1217" spans="1:16" x14ac:dyDescent="0.3">
      <c r="A1217" s="72">
        <f t="shared" si="233"/>
        <v>454</v>
      </c>
      <c r="B1217" s="74">
        <f t="shared" si="234"/>
        <v>-49567.560229048337</v>
      </c>
      <c r="C1217" s="74">
        <f t="shared" si="235"/>
        <v>26294.285973514823</v>
      </c>
      <c r="D1217" s="74">
        <f t="shared" si="236"/>
        <v>-8775.7207599606554</v>
      </c>
      <c r="E1217" s="74">
        <f t="shared" si="237"/>
        <v>7763.7961559438991</v>
      </c>
      <c r="F1217" s="74">
        <f t="shared" si="231"/>
        <v>3321.0863797818479</v>
      </c>
      <c r="G1217" s="74">
        <f t="shared" si="232"/>
        <v>-1091.3110132682893</v>
      </c>
      <c r="H1217" s="74">
        <f t="shared" si="238"/>
        <v>69567.560229048337</v>
      </c>
      <c r="I1217" s="74">
        <f t="shared" si="239"/>
        <v>-6294.2859735148231</v>
      </c>
      <c r="J1217" s="74">
        <f t="shared" si="240"/>
        <v>69851.724904533708</v>
      </c>
      <c r="K1217" s="74">
        <f t="shared" si="241"/>
        <v>29567.560229048337</v>
      </c>
      <c r="L1217" s="74">
        <f t="shared" si="242"/>
        <v>-6294.2859735148231</v>
      </c>
      <c r="M1217" s="74">
        <f t="shared" si="243"/>
        <v>30230.095167147363</v>
      </c>
      <c r="N1217" s="74">
        <f t="shared" si="244"/>
        <v>44567.560229048337</v>
      </c>
      <c r="O1217" s="74">
        <f t="shared" si="245"/>
        <v>-61294.285973514823</v>
      </c>
      <c r="P1217" s="74">
        <f t="shared" si="246"/>
        <v>75784.278829931922</v>
      </c>
    </row>
    <row r="1218" spans="1:16" x14ac:dyDescent="0.3">
      <c r="A1218" s="72">
        <f t="shared" si="233"/>
        <v>454.5</v>
      </c>
      <c r="B1218" s="74">
        <f t="shared" si="234"/>
        <v>-53125.149014083196</v>
      </c>
      <c r="C1218" s="74">
        <f t="shared" si="235"/>
        <v>29903.3562981697</v>
      </c>
      <c r="D1218" s="74">
        <f t="shared" si="236"/>
        <v>-7115.1775700697317</v>
      </c>
      <c r="E1218" s="74">
        <f t="shared" si="237"/>
        <v>7218.1406493097547</v>
      </c>
      <c r="F1218" s="74">
        <f t="shared" si="231"/>
        <v>2704.9261529242858</v>
      </c>
      <c r="G1218" s="74">
        <f t="shared" si="232"/>
        <v>-1079.4774469254053</v>
      </c>
      <c r="H1218" s="74">
        <f t="shared" si="238"/>
        <v>73125.149014083203</v>
      </c>
      <c r="I1218" s="74">
        <f t="shared" si="239"/>
        <v>-9903.3562981696996</v>
      </c>
      <c r="J1218" s="74">
        <f t="shared" si="240"/>
        <v>73792.708883062223</v>
      </c>
      <c r="K1218" s="74">
        <f t="shared" si="241"/>
        <v>33125.149014083196</v>
      </c>
      <c r="L1218" s="74">
        <f t="shared" si="242"/>
        <v>-9903.3562981696996</v>
      </c>
      <c r="M1218" s="74">
        <f t="shared" si="243"/>
        <v>34573.862427760578</v>
      </c>
      <c r="N1218" s="74">
        <f t="shared" si="244"/>
        <v>48125.149014083196</v>
      </c>
      <c r="O1218" s="74">
        <f t="shared" si="245"/>
        <v>-64903.356298169703</v>
      </c>
      <c r="P1218" s="74">
        <f t="shared" si="246"/>
        <v>80798.982830199529</v>
      </c>
    </row>
    <row r="1219" spans="1:16" x14ac:dyDescent="0.3">
      <c r="A1219" s="72">
        <f t="shared" si="233"/>
        <v>455</v>
      </c>
      <c r="B1219" s="74">
        <f t="shared" si="234"/>
        <v>-56006.506260886992</v>
      </c>
      <c r="C1219" s="74">
        <f t="shared" si="235"/>
        <v>33242.557261093221</v>
      </c>
      <c r="D1219" s="74">
        <f t="shared" si="236"/>
        <v>-5762.7144936075892</v>
      </c>
      <c r="E1219" s="74">
        <f t="shared" si="237"/>
        <v>6678.4019258470526</v>
      </c>
      <c r="F1219" s="74">
        <f t="shared" si="231"/>
        <v>2297.6184414689119</v>
      </c>
      <c r="G1219" s="74">
        <f t="shared" si="232"/>
        <v>-1042.5051974120206</v>
      </c>
      <c r="H1219" s="74">
        <f t="shared" si="238"/>
        <v>76006.506260886992</v>
      </c>
      <c r="I1219" s="74">
        <f t="shared" si="239"/>
        <v>-13242.557261093221</v>
      </c>
      <c r="J1219" s="74">
        <f t="shared" si="240"/>
        <v>77151.502362556668</v>
      </c>
      <c r="K1219" s="74">
        <f t="shared" si="241"/>
        <v>36006.506260886992</v>
      </c>
      <c r="L1219" s="74">
        <f t="shared" si="242"/>
        <v>-13242.557261093221</v>
      </c>
      <c r="M1219" s="74">
        <f t="shared" si="243"/>
        <v>38364.4863894804</v>
      </c>
      <c r="N1219" s="74">
        <f t="shared" si="244"/>
        <v>51006.506260886992</v>
      </c>
      <c r="O1219" s="74">
        <f t="shared" si="245"/>
        <v>-68242.557261093229</v>
      </c>
      <c r="P1219" s="74">
        <f t="shared" si="246"/>
        <v>85198.065133402488</v>
      </c>
    </row>
    <row r="1220" spans="1:16" x14ac:dyDescent="0.3">
      <c r="A1220" s="72">
        <f t="shared" si="233"/>
        <v>455.5</v>
      </c>
      <c r="B1220" s="74">
        <f t="shared" si="234"/>
        <v>-58313.458897323559</v>
      </c>
      <c r="C1220" s="74">
        <f t="shared" si="235"/>
        <v>36321.131924663743</v>
      </c>
      <c r="D1220" s="74">
        <f t="shared" si="236"/>
        <v>-4613.9052728731331</v>
      </c>
      <c r="E1220" s="74">
        <f t="shared" si="237"/>
        <v>6157.1493271410418</v>
      </c>
      <c r="F1220" s="74">
        <f t="shared" si="231"/>
        <v>2013.9668554631573</v>
      </c>
      <c r="G1220" s="74">
        <f t="shared" si="232"/>
        <v>-1004.7316765603136</v>
      </c>
      <c r="H1220" s="74">
        <f t="shared" si="238"/>
        <v>78313.458897323551</v>
      </c>
      <c r="I1220" s="74">
        <f t="shared" si="239"/>
        <v>-16321.131924663743</v>
      </c>
      <c r="J1220" s="74">
        <f t="shared" si="240"/>
        <v>79996.107353827305</v>
      </c>
      <c r="K1220" s="74">
        <f t="shared" si="241"/>
        <v>38313.458897323559</v>
      </c>
      <c r="L1220" s="74">
        <f t="shared" si="242"/>
        <v>-16321.131924663743</v>
      </c>
      <c r="M1220" s="74">
        <f t="shared" si="243"/>
        <v>41644.933425078016</v>
      </c>
      <c r="N1220" s="74">
        <f t="shared" si="244"/>
        <v>53313.458897323559</v>
      </c>
      <c r="O1220" s="74">
        <f t="shared" si="245"/>
        <v>-71321.131924663743</v>
      </c>
      <c r="P1220" s="74">
        <f t="shared" si="246"/>
        <v>89045.09396149739</v>
      </c>
    </row>
    <row r="1221" spans="1:16" x14ac:dyDescent="0.3">
      <c r="A1221" s="72">
        <f t="shared" si="233"/>
        <v>456</v>
      </c>
      <c r="B1221" s="74">
        <f t="shared" si="234"/>
        <v>-60116.919819894334</v>
      </c>
      <c r="C1221" s="74">
        <f t="shared" si="235"/>
        <v>39148.523669094189</v>
      </c>
      <c r="D1221" s="74">
        <f t="shared" si="236"/>
        <v>-3606.9218451415545</v>
      </c>
      <c r="E1221" s="74">
        <f t="shared" si="237"/>
        <v>5654.783488860885</v>
      </c>
      <c r="F1221" s="74">
        <f t="shared" si="231"/>
        <v>1808.8136261408226</v>
      </c>
      <c r="G1221" s="74">
        <f t="shared" si="232"/>
        <v>-973.10186278129459</v>
      </c>
      <c r="H1221" s="74">
        <f t="shared" si="238"/>
        <v>80116.919819894334</v>
      </c>
      <c r="I1221" s="74">
        <f t="shared" si="239"/>
        <v>-19148.523669094189</v>
      </c>
      <c r="J1221" s="74">
        <f t="shared" si="240"/>
        <v>82373.45931872254</v>
      </c>
      <c r="K1221" s="74">
        <f t="shared" si="241"/>
        <v>40116.919819894334</v>
      </c>
      <c r="L1221" s="74">
        <f t="shared" si="242"/>
        <v>-19148.523669094189</v>
      </c>
      <c r="M1221" s="74">
        <f t="shared" si="243"/>
        <v>44452.595138435856</v>
      </c>
      <c r="N1221" s="74">
        <f t="shared" si="244"/>
        <v>55116.919819894334</v>
      </c>
      <c r="O1221" s="74">
        <f t="shared" si="245"/>
        <v>-74148.523669094197</v>
      </c>
      <c r="P1221" s="74">
        <f t="shared" si="246"/>
        <v>92389.817689715579</v>
      </c>
    </row>
    <row r="1222" spans="1:16" x14ac:dyDescent="0.3">
      <c r="A1222" s="72">
        <f t="shared" si="233"/>
        <v>456.5</v>
      </c>
      <c r="B1222" s="74">
        <f t="shared" si="234"/>
        <v>-61468.177335929904</v>
      </c>
      <c r="C1222" s="74">
        <f t="shared" si="235"/>
        <v>41732.63994782931</v>
      </c>
      <c r="D1222" s="74">
        <f t="shared" si="236"/>
        <v>-2702.5150320711432</v>
      </c>
      <c r="E1222" s="74">
        <f t="shared" si="237"/>
        <v>5168.2325574702372</v>
      </c>
      <c r="F1222" s="74">
        <f t="shared" si="231"/>
        <v>1656.5766744191233</v>
      </c>
      <c r="G1222" s="74">
        <f t="shared" si="232"/>
        <v>-949.34844194572452</v>
      </c>
      <c r="H1222" s="74">
        <f t="shared" si="238"/>
        <v>81468.177335929911</v>
      </c>
      <c r="I1222" s="74">
        <f t="shared" si="239"/>
        <v>-21732.63994782931</v>
      </c>
      <c r="J1222" s="74">
        <f t="shared" si="240"/>
        <v>84317.089356431839</v>
      </c>
      <c r="K1222" s="74">
        <f t="shared" si="241"/>
        <v>41468.177335929904</v>
      </c>
      <c r="L1222" s="74">
        <f t="shared" si="242"/>
        <v>-21732.63994782931</v>
      </c>
      <c r="M1222" s="74">
        <f t="shared" si="243"/>
        <v>46817.917197010342</v>
      </c>
      <c r="N1222" s="74">
        <f t="shared" si="244"/>
        <v>56468.177335929904</v>
      </c>
      <c r="O1222" s="74">
        <f t="shared" si="245"/>
        <v>-76732.639947829302</v>
      </c>
      <c r="P1222" s="74">
        <f t="shared" si="246"/>
        <v>95270.945649789981</v>
      </c>
    </row>
    <row r="1223" spans="1:16" x14ac:dyDescent="0.3">
      <c r="A1223" s="72">
        <f t="shared" si="233"/>
        <v>457</v>
      </c>
      <c r="B1223" s="74">
        <f t="shared" si="234"/>
        <v>-62405.29068336069</v>
      </c>
      <c r="C1223" s="74">
        <f t="shared" si="235"/>
        <v>44079.419116077996</v>
      </c>
      <c r="D1223" s="74">
        <f t="shared" si="236"/>
        <v>-1874.2266948615816</v>
      </c>
      <c r="E1223" s="74">
        <f t="shared" si="237"/>
        <v>4693.5583364973754</v>
      </c>
      <c r="F1223" s="74">
        <f t="shared" si="231"/>
        <v>1541.9152487453</v>
      </c>
      <c r="G1223" s="74">
        <f t="shared" si="232"/>
        <v>-933.63735591356317</v>
      </c>
      <c r="H1223" s="74">
        <f t="shared" si="238"/>
        <v>82405.290683360683</v>
      </c>
      <c r="I1223" s="74">
        <f t="shared" si="239"/>
        <v>-24079.419116077996</v>
      </c>
      <c r="J1223" s="74">
        <f t="shared" si="240"/>
        <v>85851.32705775091</v>
      </c>
      <c r="K1223" s="74">
        <f t="shared" si="241"/>
        <v>42405.29068336069</v>
      </c>
      <c r="L1223" s="74">
        <f t="shared" si="242"/>
        <v>-24079.419116077996</v>
      </c>
      <c r="M1223" s="74">
        <f t="shared" si="243"/>
        <v>48765.019254667161</v>
      </c>
      <c r="N1223" s="74">
        <f t="shared" si="244"/>
        <v>57405.29068336069</v>
      </c>
      <c r="O1223" s="74">
        <f t="shared" si="245"/>
        <v>-79079.419116078003</v>
      </c>
      <c r="P1223" s="74">
        <f t="shared" si="246"/>
        <v>97718.585367254782</v>
      </c>
    </row>
    <row r="1224" spans="1:16" x14ac:dyDescent="0.3">
      <c r="A1224" s="72">
        <f t="shared" si="233"/>
        <v>457.5</v>
      </c>
      <c r="B1224" s="74">
        <f t="shared" si="234"/>
        <v>-62956.92521860516</v>
      </c>
      <c r="C1224" s="74">
        <f t="shared" si="235"/>
        <v>46192.788945348293</v>
      </c>
      <c r="D1224" s="74">
        <f t="shared" si="236"/>
        <v>-1103.2690704889314</v>
      </c>
      <c r="E1224" s="74">
        <f t="shared" si="237"/>
        <v>4226.7396585405941</v>
      </c>
      <c r="F1224" s="74">
        <f t="shared" si="231"/>
        <v>1455.2117267176345</v>
      </c>
      <c r="G1224" s="74">
        <f t="shared" si="232"/>
        <v>-925.75960512671838</v>
      </c>
      <c r="H1224" s="74">
        <f t="shared" si="238"/>
        <v>82956.92521860516</v>
      </c>
      <c r="I1224" s="74">
        <f t="shared" si="239"/>
        <v>-26192.788945348293</v>
      </c>
      <c r="J1224" s="74">
        <f t="shared" si="240"/>
        <v>86993.756295844636</v>
      </c>
      <c r="K1224" s="74">
        <f t="shared" si="241"/>
        <v>42956.92521860516</v>
      </c>
      <c r="L1224" s="74">
        <f t="shared" si="242"/>
        <v>-26192.788945348293</v>
      </c>
      <c r="M1224" s="74">
        <f t="shared" si="243"/>
        <v>50312.618864181539</v>
      </c>
      <c r="N1224" s="74">
        <f t="shared" si="244"/>
        <v>57956.92521860516</v>
      </c>
      <c r="O1224" s="74">
        <f t="shared" si="245"/>
        <v>-81192.788945348293</v>
      </c>
      <c r="P1224" s="74">
        <f t="shared" si="246"/>
        <v>99756.07328638625</v>
      </c>
    </row>
    <row r="1225" spans="1:16" x14ac:dyDescent="0.3">
      <c r="A1225" s="72">
        <f t="shared" si="233"/>
        <v>458</v>
      </c>
      <c r="B1225" s="74">
        <f t="shared" si="234"/>
        <v>-63144.756822170217</v>
      </c>
      <c r="C1225" s="74">
        <f t="shared" si="235"/>
        <v>48074.718873336911</v>
      </c>
      <c r="D1225" s="74">
        <f t="shared" si="236"/>
        <v>-375.66320713011419</v>
      </c>
      <c r="E1225" s="74">
        <f t="shared" si="237"/>
        <v>3763.8598559772349</v>
      </c>
      <c r="F1225" s="74">
        <f t="shared" si="231"/>
        <v>1390.2467528097372</v>
      </c>
      <c r="G1225" s="74">
        <f t="shared" si="232"/>
        <v>-925.54716892505382</v>
      </c>
      <c r="H1225" s="74">
        <f t="shared" si="238"/>
        <v>83144.756822170224</v>
      </c>
      <c r="I1225" s="74">
        <f t="shared" si="239"/>
        <v>-28074.718873336911</v>
      </c>
      <c r="J1225" s="74">
        <f t="shared" si="240"/>
        <v>87756.711577147886</v>
      </c>
      <c r="K1225" s="74">
        <f t="shared" si="241"/>
        <v>43144.756822170217</v>
      </c>
      <c r="L1225" s="74">
        <f t="shared" si="242"/>
        <v>-28074.718873336911</v>
      </c>
      <c r="M1225" s="74">
        <f t="shared" si="243"/>
        <v>51474.847071760239</v>
      </c>
      <c r="N1225" s="74">
        <f t="shared" si="244"/>
        <v>58144.756822170217</v>
      </c>
      <c r="O1225" s="74">
        <f t="shared" si="245"/>
        <v>-83074.718873336911</v>
      </c>
      <c r="P1225" s="74">
        <f t="shared" si="246"/>
        <v>101401.29023732031</v>
      </c>
    </row>
    <row r="1226" spans="1:16" x14ac:dyDescent="0.3">
      <c r="A1226" s="72">
        <f t="shared" si="233"/>
        <v>458.5</v>
      </c>
      <c r="B1226" s="74">
        <f t="shared" si="234"/>
        <v>-62985.02673753284</v>
      </c>
      <c r="C1226" s="74">
        <f t="shared" si="235"/>
        <v>49725.262009094266</v>
      </c>
      <c r="D1226" s="74">
        <f t="shared" si="236"/>
        <v>319.46016927475443</v>
      </c>
      <c r="E1226" s="74">
        <f t="shared" si="237"/>
        <v>3301.0862715147082</v>
      </c>
      <c r="F1226" s="74">
        <f t="shared" si="231"/>
        <v>1342.9385812578489</v>
      </c>
      <c r="G1226" s="74">
        <f t="shared" si="232"/>
        <v>-933.03190281299726</v>
      </c>
      <c r="H1226" s="74">
        <f t="shared" si="238"/>
        <v>82985.02673753284</v>
      </c>
      <c r="I1226" s="74">
        <f t="shared" si="239"/>
        <v>-29725.262009094266</v>
      </c>
      <c r="J1226" s="74">
        <f t="shared" si="240"/>
        <v>88148.203975681448</v>
      </c>
      <c r="K1226" s="74">
        <f t="shared" si="241"/>
        <v>42985.02673753284</v>
      </c>
      <c r="L1226" s="74">
        <f t="shared" si="242"/>
        <v>-29725.262009094266</v>
      </c>
      <c r="M1226" s="74">
        <f t="shared" si="243"/>
        <v>52261.876402744245</v>
      </c>
      <c r="N1226" s="74">
        <f t="shared" si="244"/>
        <v>57985.02673753284</v>
      </c>
      <c r="O1226" s="74">
        <f t="shared" si="245"/>
        <v>-84725.262009094266</v>
      </c>
      <c r="P1226" s="74">
        <f t="shared" si="246"/>
        <v>102667.58664866954</v>
      </c>
    </row>
    <row r="1227" spans="1:16" x14ac:dyDescent="0.3">
      <c r="A1227" s="72">
        <f t="shared" si="233"/>
        <v>459</v>
      </c>
      <c r="B1227" s="74">
        <f t="shared" si="234"/>
        <v>-62489.562007581</v>
      </c>
      <c r="C1227" s="74">
        <f t="shared" si="235"/>
        <v>51142.547169148369</v>
      </c>
      <c r="D1227" s="74">
        <f t="shared" si="236"/>
        <v>990.92945990367889</v>
      </c>
      <c r="E1227" s="74">
        <f t="shared" si="237"/>
        <v>2834.5703201082097</v>
      </c>
      <c r="F1227" s="74">
        <f t="shared" si="231"/>
        <v>1310.6325267901375</v>
      </c>
      <c r="G1227" s="74">
        <f t="shared" si="232"/>
        <v>-948.52463819157049</v>
      </c>
      <c r="H1227" s="74">
        <f t="shared" si="238"/>
        <v>82489.562007581</v>
      </c>
      <c r="I1227" s="74">
        <f t="shared" si="239"/>
        <v>-31142.547169148369</v>
      </c>
      <c r="J1227" s="74">
        <f t="shared" si="240"/>
        <v>88172.479177945221</v>
      </c>
      <c r="K1227" s="74">
        <f t="shared" si="241"/>
        <v>42489.562007581</v>
      </c>
      <c r="L1227" s="74">
        <f t="shared" si="242"/>
        <v>-31142.547169148369</v>
      </c>
      <c r="M1227" s="74">
        <f t="shared" si="243"/>
        <v>52680.367536480815</v>
      </c>
      <c r="N1227" s="74">
        <f t="shared" si="244"/>
        <v>57489.562007581</v>
      </c>
      <c r="O1227" s="74">
        <f t="shared" si="245"/>
        <v>-86142.547169148369</v>
      </c>
      <c r="P1227" s="74">
        <f t="shared" si="246"/>
        <v>103564.41557123978</v>
      </c>
    </row>
    <row r="1228" spans="1:16" x14ac:dyDescent="0.3">
      <c r="A1228" s="72">
        <f t="shared" si="233"/>
        <v>459.5</v>
      </c>
      <c r="B1228" s="74">
        <f t="shared" si="234"/>
        <v>-61666.439145931625</v>
      </c>
      <c r="C1228" s="74">
        <f t="shared" si="235"/>
        <v>52322.701169654581</v>
      </c>
      <c r="D1228" s="74">
        <f t="shared" si="236"/>
        <v>1646.2457232987476</v>
      </c>
      <c r="E1228" s="74">
        <f t="shared" si="237"/>
        <v>2360.3080010124245</v>
      </c>
      <c r="F1228" s="74">
        <f t="shared" si="231"/>
        <v>1291.6936630278435</v>
      </c>
      <c r="G1228" s="74">
        <f t="shared" si="232"/>
        <v>-972.68291048615311</v>
      </c>
      <c r="H1228" s="74">
        <f t="shared" si="238"/>
        <v>81666.439145931625</v>
      </c>
      <c r="I1228" s="74">
        <f t="shared" si="239"/>
        <v>-32322.701169654581</v>
      </c>
      <c r="J1228" s="74">
        <f t="shared" si="240"/>
        <v>87830.315345437208</v>
      </c>
      <c r="K1228" s="74">
        <f t="shared" si="241"/>
        <v>41666.439145931625</v>
      </c>
      <c r="L1228" s="74">
        <f t="shared" si="242"/>
        <v>-32322.701169654581</v>
      </c>
      <c r="M1228" s="74">
        <f t="shared" si="243"/>
        <v>52733.757328720778</v>
      </c>
      <c r="N1228" s="74">
        <f t="shared" si="244"/>
        <v>56666.439145931625</v>
      </c>
      <c r="O1228" s="74">
        <f t="shared" si="245"/>
        <v>-87322.701169654581</v>
      </c>
      <c r="P1228" s="74">
        <f t="shared" si="246"/>
        <v>104097.73996127084</v>
      </c>
    </row>
    <row r="1229" spans="1:16" x14ac:dyDescent="0.3">
      <c r="A1229" s="72">
        <f t="shared" si="233"/>
        <v>460</v>
      </c>
      <c r="B1229" s="74">
        <f t="shared" si="234"/>
        <v>-60520.39286852529</v>
      </c>
      <c r="C1229" s="74">
        <f t="shared" si="235"/>
        <v>53259.684442539256</v>
      </c>
      <c r="D1229" s="74">
        <f t="shared" si="236"/>
        <v>2292.0925548126693</v>
      </c>
      <c r="E1229" s="74">
        <f t="shared" si="237"/>
        <v>1873.9665457693479</v>
      </c>
      <c r="F1229" s="74">
        <f t="shared" si="231"/>
        <v>1285.2794999794121</v>
      </c>
      <c r="G1229" s="74">
        <f t="shared" si="232"/>
        <v>-1006.6013213933393</v>
      </c>
      <c r="H1229" s="74">
        <f t="shared" si="238"/>
        <v>80520.39286852529</v>
      </c>
      <c r="I1229" s="74">
        <f t="shared" si="239"/>
        <v>-33259.684442539256</v>
      </c>
      <c r="J1229" s="74">
        <f t="shared" si="240"/>
        <v>87119.11545073759</v>
      </c>
      <c r="K1229" s="74">
        <f t="shared" si="241"/>
        <v>40520.39286852529</v>
      </c>
      <c r="L1229" s="74">
        <f t="shared" si="242"/>
        <v>-33259.684442539256</v>
      </c>
      <c r="M1229" s="74">
        <f t="shared" si="243"/>
        <v>52422.407875229488</v>
      </c>
      <c r="N1229" s="74">
        <f t="shared" si="244"/>
        <v>55520.39286852529</v>
      </c>
      <c r="O1229" s="74">
        <f t="shared" si="245"/>
        <v>-88259.684442539263</v>
      </c>
      <c r="P1229" s="74">
        <f t="shared" si="246"/>
        <v>104270.25425389544</v>
      </c>
    </row>
    <row r="1230" spans="1:16" x14ac:dyDescent="0.3">
      <c r="A1230" s="72">
        <f t="shared" si="233"/>
        <v>460.5</v>
      </c>
      <c r="B1230" s="74">
        <f t="shared" si="234"/>
        <v>-59053.026716124106</v>
      </c>
      <c r="C1230" s="74">
        <f t="shared" si="235"/>
        <v>53945.017385075596</v>
      </c>
      <c r="D1230" s="74">
        <f t="shared" si="236"/>
        <v>2934.7323048023754</v>
      </c>
      <c r="E1230" s="74">
        <f t="shared" si="237"/>
        <v>1370.6658850726783</v>
      </c>
      <c r="F1230" s="74">
        <f t="shared" si="231"/>
        <v>1291.2306609673196</v>
      </c>
      <c r="G1230" s="74">
        <f t="shared" si="232"/>
        <v>-1051.9520002208772</v>
      </c>
      <c r="H1230" s="74">
        <f t="shared" si="238"/>
        <v>79053.026716124106</v>
      </c>
      <c r="I1230" s="74">
        <f t="shared" si="239"/>
        <v>-33945.017385075596</v>
      </c>
      <c r="J1230" s="74">
        <f t="shared" si="240"/>
        <v>86032.814892070775</v>
      </c>
      <c r="K1230" s="74">
        <f t="shared" si="241"/>
        <v>39053.026716124106</v>
      </c>
      <c r="L1230" s="74">
        <f t="shared" si="242"/>
        <v>-33945.017385075596</v>
      </c>
      <c r="M1230" s="74">
        <f t="shared" si="243"/>
        <v>51743.628602595971</v>
      </c>
      <c r="N1230" s="74">
        <f t="shared" si="244"/>
        <v>54053.026716124106</v>
      </c>
      <c r="O1230" s="74">
        <f t="shared" si="245"/>
        <v>-88945.017385075596</v>
      </c>
      <c r="P1230" s="74">
        <f t="shared" si="246"/>
        <v>104081.43837786556</v>
      </c>
    </row>
    <row r="1231" spans="1:16" x14ac:dyDescent="0.3">
      <c r="A1231" s="72">
        <f t="shared" si="233"/>
        <v>461</v>
      </c>
      <c r="B1231" s="74">
        <f t="shared" si="234"/>
        <v>-57262.852898481091</v>
      </c>
      <c r="C1231" s="74">
        <f t="shared" si="235"/>
        <v>54367.362327556715</v>
      </c>
      <c r="D1231" s="74">
        <f t="shared" si="236"/>
        <v>3580.3476352860353</v>
      </c>
      <c r="E1231" s="74">
        <f t="shared" si="237"/>
        <v>844.68988496223972</v>
      </c>
      <c r="F1231" s="74">
        <f t="shared" si="231"/>
        <v>1310.0508315893287</v>
      </c>
      <c r="G1231" s="74">
        <f t="shared" si="232"/>
        <v>-1111.2111824345664</v>
      </c>
      <c r="H1231" s="74">
        <f t="shared" si="238"/>
        <v>77262.852898481098</v>
      </c>
      <c r="I1231" s="74">
        <f t="shared" si="239"/>
        <v>-34367.362327556715</v>
      </c>
      <c r="J1231" s="74">
        <f t="shared" si="240"/>
        <v>84561.599035057836</v>
      </c>
      <c r="K1231" s="74">
        <f t="shared" si="241"/>
        <v>37262.852898481091</v>
      </c>
      <c r="L1231" s="74">
        <f t="shared" si="242"/>
        <v>-34367.362327556715</v>
      </c>
      <c r="M1231" s="74">
        <f t="shared" si="243"/>
        <v>50691.575231860814</v>
      </c>
      <c r="N1231" s="74">
        <f t="shared" si="244"/>
        <v>52262.852898481091</v>
      </c>
      <c r="O1231" s="74">
        <f t="shared" si="245"/>
        <v>-89367.362327556708</v>
      </c>
      <c r="P1231" s="74">
        <f t="shared" si="246"/>
        <v>103527.44197783057</v>
      </c>
    </row>
    <row r="1232" spans="1:16" x14ac:dyDescent="0.3">
      <c r="A1232" s="72">
        <f t="shared" si="233"/>
        <v>461.5</v>
      </c>
      <c r="B1232" s="74">
        <f t="shared" si="234"/>
        <v>-55145.166372940745</v>
      </c>
      <c r="C1232" s="74">
        <f t="shared" si="235"/>
        <v>54511.90447442919</v>
      </c>
      <c r="D1232" s="74">
        <f t="shared" si="236"/>
        <v>4235.3730510807</v>
      </c>
      <c r="E1232" s="74">
        <f t="shared" si="237"/>
        <v>289.08429374495654</v>
      </c>
      <c r="F1232" s="74">
        <f t="shared" si="231"/>
        <v>1342.9677462226291</v>
      </c>
      <c r="G1232" s="74">
        <f t="shared" si="232"/>
        <v>-1188.0320941560535</v>
      </c>
      <c r="H1232" s="74">
        <f t="shared" si="238"/>
        <v>75145.166372940745</v>
      </c>
      <c r="I1232" s="74">
        <f t="shared" si="239"/>
        <v>-34511.90447442919</v>
      </c>
      <c r="J1232" s="74">
        <f t="shared" si="240"/>
        <v>82691.399671725652</v>
      </c>
      <c r="K1232" s="74">
        <f t="shared" si="241"/>
        <v>35145.166372940745</v>
      </c>
      <c r="L1232" s="74">
        <f t="shared" si="242"/>
        <v>-34511.90447442919</v>
      </c>
      <c r="M1232" s="74">
        <f t="shared" si="243"/>
        <v>49257.022543326857</v>
      </c>
      <c r="N1232" s="74">
        <f t="shared" si="244"/>
        <v>50145.166372940745</v>
      </c>
      <c r="O1232" s="74">
        <f t="shared" si="245"/>
        <v>-89511.90447442919</v>
      </c>
      <c r="P1232" s="74">
        <f t="shared" si="246"/>
        <v>102600.77364820035</v>
      </c>
    </row>
    <row r="1233" spans="1:16" x14ac:dyDescent="0.3">
      <c r="A1233" s="72">
        <f t="shared" si="233"/>
        <v>462</v>
      </c>
      <c r="B1233" s="74">
        <f t="shared" si="234"/>
        <v>-52691.737910844735</v>
      </c>
      <c r="C1233" s="74">
        <f t="shared" si="235"/>
        <v>54359.438597762659</v>
      </c>
      <c r="D1233" s="74">
        <f t="shared" si="236"/>
        <v>4906.856924192014</v>
      </c>
      <c r="E1233" s="74">
        <f t="shared" si="237"/>
        <v>-304.93175333307022</v>
      </c>
      <c r="F1233" s="74">
        <f t="shared" si="231"/>
        <v>1392.0813459767151</v>
      </c>
      <c r="G1233" s="74">
        <f t="shared" si="232"/>
        <v>-1287.8750587846382</v>
      </c>
      <c r="H1233" s="74">
        <f t="shared" si="238"/>
        <v>72691.737910844735</v>
      </c>
      <c r="I1233" s="74">
        <f t="shared" si="239"/>
        <v>-34359.438597762659</v>
      </c>
      <c r="J1233" s="74">
        <f t="shared" si="240"/>
        <v>80403.108032291668</v>
      </c>
      <c r="K1233" s="74">
        <f t="shared" si="241"/>
        <v>32691.737910844735</v>
      </c>
      <c r="L1233" s="74">
        <f t="shared" si="242"/>
        <v>-34359.438597762659</v>
      </c>
      <c r="M1233" s="74">
        <f t="shared" si="243"/>
        <v>47427.004421371435</v>
      </c>
      <c r="N1233" s="74">
        <f t="shared" si="244"/>
        <v>47691.737910844735</v>
      </c>
      <c r="O1233" s="74">
        <f t="shared" si="245"/>
        <v>-89359.438597762666</v>
      </c>
      <c r="P1233" s="74">
        <f t="shared" si="246"/>
        <v>101289.73852994203</v>
      </c>
    </row>
    <row r="1234" spans="1:16" x14ac:dyDescent="0.3">
      <c r="A1234" s="72">
        <f t="shared" si="233"/>
        <v>462.5</v>
      </c>
      <c r="B1234" s="74">
        <f t="shared" si="234"/>
        <v>-49890.289112254548</v>
      </c>
      <c r="C1234" s="74">
        <f t="shared" si="235"/>
        <v>53885.00395639996</v>
      </c>
      <c r="D1234" s="74">
        <f t="shared" si="236"/>
        <v>5602.897597180372</v>
      </c>
      <c r="E1234" s="74">
        <f t="shared" si="237"/>
        <v>-948.86928272538933</v>
      </c>
      <c r="F1234" s="74">
        <f t="shared" si="231"/>
        <v>1460.6134611802638</v>
      </c>
      <c r="G1234" s="74">
        <f t="shared" si="232"/>
        <v>-1419.1115574851542</v>
      </c>
      <c r="H1234" s="74">
        <f t="shared" si="238"/>
        <v>69890.289112254541</v>
      </c>
      <c r="I1234" s="74">
        <f t="shared" si="239"/>
        <v>-33885.00395639996</v>
      </c>
      <c r="J1234" s="74">
        <f t="shared" si="240"/>
        <v>77671.3976011747</v>
      </c>
      <c r="K1234" s="74">
        <f t="shared" si="241"/>
        <v>29890.289112254548</v>
      </c>
      <c r="L1234" s="74">
        <f t="shared" si="242"/>
        <v>-33885.00395639996</v>
      </c>
      <c r="M1234" s="74">
        <f t="shared" si="243"/>
        <v>45184.321133988546</v>
      </c>
      <c r="N1234" s="74">
        <f t="shared" si="244"/>
        <v>44890.289112254548</v>
      </c>
      <c r="O1234" s="74">
        <f t="shared" si="245"/>
        <v>-88885.00395639996</v>
      </c>
      <c r="P1234" s="74">
        <f t="shared" si="246"/>
        <v>99577.517467102152</v>
      </c>
    </row>
    <row r="1235" spans="1:16" x14ac:dyDescent="0.3">
      <c r="A1235" s="72">
        <f t="shared" si="233"/>
        <v>463</v>
      </c>
      <c r="B1235" s="74">
        <f t="shared" si="234"/>
        <v>-46723.686948369294</v>
      </c>
      <c r="C1235" s="74">
        <f t="shared" si="235"/>
        <v>53055.791425665979</v>
      </c>
      <c r="D1235" s="74">
        <f t="shared" si="236"/>
        <v>6333.2043277705043</v>
      </c>
      <c r="E1235" s="74">
        <f t="shared" si="237"/>
        <v>-1658.4250614679663</v>
      </c>
      <c r="F1235" s="74">
        <f t="shared" si="231"/>
        <v>1553.2607397197523</v>
      </c>
      <c r="G1235" s="74">
        <f t="shared" si="232"/>
        <v>-1595.0493609749963</v>
      </c>
      <c r="H1235" s="74">
        <f t="shared" si="238"/>
        <v>66723.686948369286</v>
      </c>
      <c r="I1235" s="74">
        <f t="shared" si="239"/>
        <v>-33055.791425665979</v>
      </c>
      <c r="J1235" s="74">
        <f t="shared" si="240"/>
        <v>74462.982392334496</v>
      </c>
      <c r="K1235" s="74">
        <f t="shared" si="241"/>
        <v>26723.686948369294</v>
      </c>
      <c r="L1235" s="74">
        <f t="shared" si="242"/>
        <v>-33055.791425665979</v>
      </c>
      <c r="M1235" s="74">
        <f t="shared" si="243"/>
        <v>42506.949912826909</v>
      </c>
      <c r="N1235" s="74">
        <f t="shared" si="244"/>
        <v>41723.686948369294</v>
      </c>
      <c r="O1235" s="74">
        <f t="shared" si="245"/>
        <v>-88055.791425665986</v>
      </c>
      <c r="P1235" s="74">
        <f t="shared" si="246"/>
        <v>97440.691993468077</v>
      </c>
    </row>
    <row r="1236" spans="1:16" x14ac:dyDescent="0.3">
      <c r="A1236" s="72">
        <f t="shared" si="233"/>
        <v>463.5</v>
      </c>
      <c r="B1236" s="74">
        <f t="shared" si="234"/>
        <v>-43168.7695995541</v>
      </c>
      <c r="C1236" s="74">
        <f t="shared" si="235"/>
        <v>51827.816554688252</v>
      </c>
      <c r="D1236" s="74">
        <f t="shared" si="236"/>
        <v>7109.8346976303801</v>
      </c>
      <c r="E1236" s="74">
        <f t="shared" si="237"/>
        <v>-2455.9497419554646</v>
      </c>
      <c r="F1236" s="74">
        <f t="shared" si="231"/>
        <v>1676.5497255610899</v>
      </c>
      <c r="G1236" s="74">
        <f t="shared" si="232"/>
        <v>-1837.8557230941608</v>
      </c>
      <c r="H1236" s="74">
        <f t="shared" si="238"/>
        <v>63168.7695995541</v>
      </c>
      <c r="I1236" s="74">
        <f t="shared" si="239"/>
        <v>-31827.816554688252</v>
      </c>
      <c r="J1236" s="74">
        <f t="shared" si="240"/>
        <v>70734.032539933978</v>
      </c>
      <c r="K1236" s="74">
        <f t="shared" si="241"/>
        <v>23168.7695995541</v>
      </c>
      <c r="L1236" s="74">
        <f t="shared" si="242"/>
        <v>-31827.816554688252</v>
      </c>
      <c r="M1236" s="74">
        <f t="shared" si="243"/>
        <v>39367.5220377929</v>
      </c>
      <c r="N1236" s="74">
        <f t="shared" si="244"/>
        <v>38168.7695995541</v>
      </c>
      <c r="O1236" s="74">
        <f t="shared" si="245"/>
        <v>-86827.816554688252</v>
      </c>
      <c r="P1236" s="74">
        <f t="shared" si="246"/>
        <v>94846.848658236617</v>
      </c>
    </row>
    <row r="1237" spans="1:16" x14ac:dyDescent="0.3">
      <c r="A1237" s="72">
        <f t="shared" si="233"/>
        <v>464</v>
      </c>
      <c r="B1237" s="74">
        <f t="shared" si="234"/>
        <v>-39194.714819348643</v>
      </c>
      <c r="C1237" s="74">
        <f t="shared" si="235"/>
        <v>50140.377752936976</v>
      </c>
      <c r="D1237" s="74">
        <f t="shared" si="236"/>
        <v>7948.109560410925</v>
      </c>
      <c r="E1237" s="74">
        <f t="shared" si="237"/>
        <v>-3374.8776035025448</v>
      </c>
      <c r="F1237" s="74">
        <f t="shared" si="231"/>
        <v>1838.5976849102544</v>
      </c>
      <c r="G1237" s="74">
        <f t="shared" si="232"/>
        <v>-2186.6417608996844</v>
      </c>
      <c r="H1237" s="74">
        <f t="shared" si="238"/>
        <v>59194.714819348643</v>
      </c>
      <c r="I1237" s="74">
        <f t="shared" si="239"/>
        <v>-30140.377752936976</v>
      </c>
      <c r="J1237" s="74">
        <f t="shared" si="240"/>
        <v>66426.324854185266</v>
      </c>
      <c r="K1237" s="74">
        <f t="shared" si="241"/>
        <v>19194.714819348643</v>
      </c>
      <c r="L1237" s="74">
        <f t="shared" si="242"/>
        <v>-30140.377752936976</v>
      </c>
      <c r="M1237" s="74">
        <f t="shared" si="243"/>
        <v>35733.449988573178</v>
      </c>
      <c r="N1237" s="74">
        <f t="shared" si="244"/>
        <v>34194.714819348643</v>
      </c>
      <c r="O1237" s="74">
        <f t="shared" si="245"/>
        <v>-85140.377752936969</v>
      </c>
      <c r="P1237" s="74">
        <f t="shared" si="246"/>
        <v>91750.544660450847</v>
      </c>
    </row>
    <row r="1238" spans="1:16" x14ac:dyDescent="0.3">
      <c r="A1238" s="72">
        <f t="shared" si="233"/>
        <v>464.5</v>
      </c>
      <c r="B1238" s="74">
        <f t="shared" si="234"/>
        <v>-34761.010617915614</v>
      </c>
      <c r="C1238" s="74">
        <f t="shared" si="235"/>
        <v>47906.278510960779</v>
      </c>
      <c r="D1238" s="74">
        <f t="shared" si="236"/>
        <v>8867.4084028660527</v>
      </c>
      <c r="E1238" s="74">
        <f t="shared" si="237"/>
        <v>-4468.1984839523866</v>
      </c>
      <c r="F1238" s="74">
        <f t="shared" si="231"/>
        <v>2045.4029131503564</v>
      </c>
      <c r="G1238" s="74">
        <f t="shared" si="232"/>
        <v>-2715.1849849932823</v>
      </c>
      <c r="H1238" s="74">
        <f t="shared" si="238"/>
        <v>54761.010617915614</v>
      </c>
      <c r="I1238" s="74">
        <f t="shared" si="239"/>
        <v>-27906.278510960779</v>
      </c>
      <c r="J1238" s="74">
        <f t="shared" si="240"/>
        <v>61461.603170001821</v>
      </c>
      <c r="K1238" s="74">
        <f t="shared" si="241"/>
        <v>14761.010617915614</v>
      </c>
      <c r="L1238" s="74">
        <f t="shared" si="242"/>
        <v>-27906.278510960779</v>
      </c>
      <c r="M1238" s="74">
        <f t="shared" si="243"/>
        <v>31569.729406403356</v>
      </c>
      <c r="N1238" s="74">
        <f t="shared" si="244"/>
        <v>29761.010617915614</v>
      </c>
      <c r="O1238" s="74">
        <f t="shared" si="245"/>
        <v>-82906.278510960779</v>
      </c>
      <c r="P1238" s="74">
        <f t="shared" si="246"/>
        <v>88086.144026950584</v>
      </c>
    </row>
    <row r="1239" spans="1:16" x14ac:dyDescent="0.3">
      <c r="A1239" s="72">
        <f t="shared" si="233"/>
        <v>465</v>
      </c>
      <c r="B1239" s="74">
        <f t="shared" si="234"/>
        <v>-29815.955688194997</v>
      </c>
      <c r="C1239" s="74">
        <f t="shared" si="235"/>
        <v>44993.383022736271</v>
      </c>
      <c r="D1239" s="74">
        <f t="shared" si="236"/>
        <v>9890.1098594412306</v>
      </c>
      <c r="E1239" s="74">
        <f t="shared" si="237"/>
        <v>-5825.7909764490278</v>
      </c>
      <c r="F1239" s="74">
        <f t="shared" si="231"/>
        <v>2279.6830388861631</v>
      </c>
      <c r="G1239" s="74">
        <f t="shared" si="232"/>
        <v>-3572.0160745540106</v>
      </c>
      <c r="H1239" s="74">
        <f t="shared" si="238"/>
        <v>49815.955688194997</v>
      </c>
      <c r="I1239" s="74">
        <f t="shared" si="239"/>
        <v>-24993.383022736271</v>
      </c>
      <c r="J1239" s="74">
        <f t="shared" si="240"/>
        <v>55734.178347306864</v>
      </c>
      <c r="K1239" s="74">
        <f t="shared" si="241"/>
        <v>9815.9556881949975</v>
      </c>
      <c r="L1239" s="74">
        <f t="shared" si="242"/>
        <v>-24993.383022736271</v>
      </c>
      <c r="M1239" s="74">
        <f t="shared" si="243"/>
        <v>26851.856192706851</v>
      </c>
      <c r="N1239" s="74">
        <f t="shared" si="244"/>
        <v>24815.955688194997</v>
      </c>
      <c r="O1239" s="74">
        <f t="shared" si="245"/>
        <v>-79993.383022736263</v>
      </c>
      <c r="P1239" s="74">
        <f t="shared" si="246"/>
        <v>83754.24158895266</v>
      </c>
    </row>
    <row r="1240" spans="1:16" x14ac:dyDescent="0.3">
      <c r="A1240" s="72">
        <f t="shared" si="233"/>
        <v>465.5</v>
      </c>
      <c r="B1240" s="74">
        <f t="shared" si="234"/>
        <v>-24300.979998752842</v>
      </c>
      <c r="C1240" s="74">
        <f t="shared" si="235"/>
        <v>41187.483515873253</v>
      </c>
      <c r="D1240" s="74">
        <f t="shared" si="236"/>
        <v>11029.951378884312</v>
      </c>
      <c r="E1240" s="74">
        <f t="shared" si="237"/>
        <v>-7611.7990137260331</v>
      </c>
      <c r="F1240" s="74">
        <f t="shared" si="231"/>
        <v>2389.9158066617779</v>
      </c>
      <c r="G1240" s="74">
        <f t="shared" si="232"/>
        <v>-5056.1767744745439</v>
      </c>
      <c r="H1240" s="74">
        <f t="shared" si="238"/>
        <v>44300.979998752839</v>
      </c>
      <c r="I1240" s="74">
        <f t="shared" si="239"/>
        <v>-21187.483515873253</v>
      </c>
      <c r="J1240" s="74">
        <f t="shared" si="240"/>
        <v>49106.886345860905</v>
      </c>
      <c r="K1240" s="74">
        <f t="shared" si="241"/>
        <v>4300.9799987528422</v>
      </c>
      <c r="L1240" s="74">
        <f t="shared" si="242"/>
        <v>-21187.483515873253</v>
      </c>
      <c r="M1240" s="74">
        <f t="shared" si="243"/>
        <v>21619.618097576858</v>
      </c>
      <c r="N1240" s="74">
        <f t="shared" si="244"/>
        <v>19300.979998752842</v>
      </c>
      <c r="O1240" s="74">
        <f t="shared" si="245"/>
        <v>-76187.48351587326</v>
      </c>
      <c r="P1240" s="74">
        <f t="shared" si="246"/>
        <v>78594.277612264603</v>
      </c>
    </row>
    <row r="1241" spans="1:16" x14ac:dyDescent="0.3">
      <c r="A1241" s="72">
        <f t="shared" si="233"/>
        <v>466</v>
      </c>
      <c r="B1241" s="74">
        <f t="shared" si="234"/>
        <v>-18188.525357645241</v>
      </c>
      <c r="C1241" s="74">
        <f t="shared" si="235"/>
        <v>36117.539815391603</v>
      </c>
      <c r="D1241" s="74">
        <f t="shared" si="236"/>
        <v>12224.909282215202</v>
      </c>
      <c r="E1241" s="74">
        <f t="shared" si="237"/>
        <v>-10139.887400963305</v>
      </c>
      <c r="F1241" s="74">
        <f t="shared" si="231"/>
        <v>1548.4567629313838</v>
      </c>
      <c r="G1241" s="74">
        <f t="shared" si="232"/>
        <v>-7480.2285195509967</v>
      </c>
      <c r="H1241" s="74">
        <f t="shared" si="238"/>
        <v>38188.525357645238</v>
      </c>
      <c r="I1241" s="74">
        <f t="shared" si="239"/>
        <v>-16117.539815391603</v>
      </c>
      <c r="J1241" s="74">
        <f t="shared" si="240"/>
        <v>41450.434963848653</v>
      </c>
      <c r="K1241" s="74">
        <f t="shared" si="241"/>
        <v>-1811.4746423547585</v>
      </c>
      <c r="L1241" s="74">
        <f t="shared" si="242"/>
        <v>-16117.539815391603</v>
      </c>
      <c r="M1241" s="74">
        <f t="shared" si="243"/>
        <v>16219.017543631546</v>
      </c>
      <c r="N1241" s="74">
        <f t="shared" si="244"/>
        <v>13188.525357645241</v>
      </c>
      <c r="O1241" s="74">
        <f t="shared" si="245"/>
        <v>-71117.539815391603</v>
      </c>
      <c r="P1241" s="74">
        <f t="shared" si="246"/>
        <v>72330.088279381089</v>
      </c>
    </row>
    <row r="1242" spans="1:16" x14ac:dyDescent="0.3">
      <c r="A1242" s="72">
        <f t="shared" si="233"/>
        <v>466.5</v>
      </c>
      <c r="B1242" s="74">
        <f t="shared" si="234"/>
        <v>-11688.956525804795</v>
      </c>
      <c r="C1242" s="74">
        <f t="shared" si="235"/>
        <v>29177.538985022202</v>
      </c>
      <c r="D1242" s="74">
        <f t="shared" si="236"/>
        <v>12999.137663680893</v>
      </c>
      <c r="E1242" s="74">
        <f t="shared" si="237"/>
        <v>-13880.001660738804</v>
      </c>
      <c r="F1242" s="74">
        <f t="shared" si="231"/>
        <v>-2223.8212829735166</v>
      </c>
      <c r="G1242" s="74">
        <f t="shared" si="232"/>
        <v>-8048.5931721247889</v>
      </c>
      <c r="H1242" s="74">
        <f t="shared" si="238"/>
        <v>31688.956525804795</v>
      </c>
      <c r="I1242" s="74">
        <f t="shared" si="239"/>
        <v>-9177.5389850222018</v>
      </c>
      <c r="J1242" s="74">
        <f t="shared" si="240"/>
        <v>32991.168326022475</v>
      </c>
      <c r="K1242" s="74">
        <f t="shared" si="241"/>
        <v>-8311.0434741952049</v>
      </c>
      <c r="L1242" s="74">
        <f t="shared" si="242"/>
        <v>-9177.5389850222018</v>
      </c>
      <c r="M1242" s="74">
        <f t="shared" si="243"/>
        <v>12381.464592347911</v>
      </c>
      <c r="N1242" s="74">
        <f t="shared" si="244"/>
        <v>6688.9565258047951</v>
      </c>
      <c r="O1242" s="74">
        <f t="shared" si="245"/>
        <v>-64177.538985022198</v>
      </c>
      <c r="P1242" s="74">
        <f t="shared" si="246"/>
        <v>64525.178415701812</v>
      </c>
    </row>
    <row r="1243" spans="1:16" x14ac:dyDescent="0.3">
      <c r="A1243" s="72">
        <f t="shared" si="233"/>
        <v>467</v>
      </c>
      <c r="B1243" s="74">
        <f t="shared" si="234"/>
        <v>-5745.3430147077279</v>
      </c>
      <c r="C1243" s="74">
        <f t="shared" si="235"/>
        <v>20225.389861621603</v>
      </c>
      <c r="D1243" s="74">
        <f t="shared" si="236"/>
        <v>11887.227022194134</v>
      </c>
      <c r="E1243" s="74">
        <f t="shared" si="237"/>
        <v>-17904.298246801198</v>
      </c>
      <c r="F1243" s="74">
        <f t="shared" si="231"/>
        <v>-1861.8355096711175</v>
      </c>
      <c r="G1243" s="74">
        <f t="shared" si="232"/>
        <v>-1463.6650187612227</v>
      </c>
      <c r="H1243" s="74">
        <f t="shared" si="238"/>
        <v>25745.343014707727</v>
      </c>
      <c r="I1243" s="74">
        <f t="shared" si="239"/>
        <v>-225.3898616216029</v>
      </c>
      <c r="J1243" s="74">
        <f t="shared" si="240"/>
        <v>25746.329593452381</v>
      </c>
      <c r="K1243" s="74">
        <f t="shared" si="241"/>
        <v>-14254.656985292273</v>
      </c>
      <c r="L1243" s="74">
        <f t="shared" si="242"/>
        <v>-225.3898616216029</v>
      </c>
      <c r="M1243" s="74">
        <f t="shared" si="243"/>
        <v>14256.438768432445</v>
      </c>
      <c r="N1243" s="74">
        <f t="shared" si="244"/>
        <v>745.34301470772789</v>
      </c>
      <c r="O1243" s="74">
        <f t="shared" si="245"/>
        <v>-55225.389861621603</v>
      </c>
      <c r="P1243" s="74">
        <f t="shared" si="246"/>
        <v>55230.419350007403</v>
      </c>
    </row>
    <row r="1244" spans="1:16" x14ac:dyDescent="0.3">
      <c r="A1244" s="72">
        <f t="shared" si="233"/>
        <v>467.5</v>
      </c>
      <c r="B1244" s="74">
        <f t="shared" si="234"/>
        <v>-267.18838102844006</v>
      </c>
      <c r="C1244" s="74">
        <f t="shared" si="235"/>
        <v>10907.324483530698</v>
      </c>
      <c r="D1244" s="74">
        <f t="shared" si="236"/>
        <v>10956.309267358576</v>
      </c>
      <c r="E1244" s="74">
        <f t="shared" si="237"/>
        <v>-18636.13075618181</v>
      </c>
      <c r="F1244" s="74">
        <f t="shared" si="231"/>
        <v>2274.4268545926079</v>
      </c>
      <c r="G1244" s="74">
        <f t="shared" si="232"/>
        <v>2379.6261275296411</v>
      </c>
      <c r="H1244" s="74">
        <f t="shared" si="238"/>
        <v>20267.188381028442</v>
      </c>
      <c r="I1244" s="74">
        <f t="shared" si="239"/>
        <v>9092.6755164693022</v>
      </c>
      <c r="J1244" s="74">
        <f t="shared" si="240"/>
        <v>22213.412005360515</v>
      </c>
      <c r="K1244" s="74">
        <f t="shared" si="241"/>
        <v>-19732.811618971558</v>
      </c>
      <c r="L1244" s="74">
        <f t="shared" si="242"/>
        <v>9092.6755164693022</v>
      </c>
      <c r="M1244" s="74">
        <f t="shared" si="243"/>
        <v>21726.9556642807</v>
      </c>
      <c r="N1244" s="74">
        <f t="shared" si="244"/>
        <v>-4732.8116189715602</v>
      </c>
      <c r="O1244" s="74">
        <f t="shared" si="245"/>
        <v>-45907.324483530698</v>
      </c>
      <c r="P1244" s="74">
        <f t="shared" si="246"/>
        <v>46150.644058960315</v>
      </c>
    </row>
    <row r="1245" spans="1:16" x14ac:dyDescent="0.3">
      <c r="A1245" s="72">
        <f t="shared" si="233"/>
        <v>468</v>
      </c>
      <c r="B1245" s="74">
        <f t="shared" si="234"/>
        <v>5779.5729662989997</v>
      </c>
      <c r="C1245" s="74">
        <f t="shared" si="235"/>
        <v>2184.1656373222031</v>
      </c>
      <c r="D1245" s="74">
        <f t="shared" si="236"/>
        <v>12093.522694654879</v>
      </c>
      <c r="E1245" s="74">
        <f t="shared" si="237"/>
        <v>-17446.317692416989</v>
      </c>
      <c r="F1245" s="74">
        <f t="shared" si="231"/>
        <v>1521.348791873334</v>
      </c>
      <c r="G1245" s="74">
        <f t="shared" si="232"/>
        <v>3531.5695181697656</v>
      </c>
      <c r="H1245" s="74">
        <f t="shared" si="238"/>
        <v>14220.427033701</v>
      </c>
      <c r="I1245" s="74">
        <f t="shared" si="239"/>
        <v>17815.834362677797</v>
      </c>
      <c r="J1245" s="74">
        <f t="shared" si="240"/>
        <v>22795.273612290446</v>
      </c>
      <c r="K1245" s="74">
        <f t="shared" si="241"/>
        <v>-25779.572966298998</v>
      </c>
      <c r="L1245" s="74">
        <f t="shared" si="242"/>
        <v>17815.834362677797</v>
      </c>
      <c r="M1245" s="74">
        <f t="shared" si="243"/>
        <v>31336.725042082893</v>
      </c>
      <c r="N1245" s="74">
        <f t="shared" si="244"/>
        <v>-10779.572966299</v>
      </c>
      <c r="O1245" s="74">
        <f t="shared" si="245"/>
        <v>-37184.165637322207</v>
      </c>
      <c r="P1245" s="74">
        <f t="shared" si="246"/>
        <v>38715.130988795296</v>
      </c>
    </row>
    <row r="1246" spans="1:16" x14ac:dyDescent="0.3">
      <c r="A1246" s="72">
        <f t="shared" si="233"/>
        <v>468.5</v>
      </c>
      <c r="B1246" s="74">
        <f t="shared" si="234"/>
        <v>12206.671511594774</v>
      </c>
      <c r="C1246" s="74">
        <f t="shared" si="235"/>
        <v>-5656.1008293438499</v>
      </c>
      <c r="D1246" s="74">
        <f t="shared" si="236"/>
        <v>12854.197090591546</v>
      </c>
      <c r="E1246" s="74">
        <f t="shared" si="237"/>
        <v>-15680.532933332106</v>
      </c>
      <c r="F1246" s="74">
        <f t="shared" si="231"/>
        <v>-1160.025119684427</v>
      </c>
      <c r="G1246" s="74">
        <f t="shared" si="232"/>
        <v>2573.2971851418497</v>
      </c>
      <c r="H1246" s="74">
        <f t="shared" si="238"/>
        <v>7793.3284884052264</v>
      </c>
      <c r="I1246" s="74">
        <f t="shared" si="239"/>
        <v>25656.10082934385</v>
      </c>
      <c r="J1246" s="74">
        <f t="shared" si="240"/>
        <v>26813.643517687906</v>
      </c>
      <c r="K1246" s="74">
        <f t="shared" si="241"/>
        <v>-32206.671511594774</v>
      </c>
      <c r="L1246" s="74">
        <f t="shared" si="242"/>
        <v>25656.10082934385</v>
      </c>
      <c r="M1246" s="74">
        <f t="shared" si="243"/>
        <v>41176.512718068159</v>
      </c>
      <c r="N1246" s="74">
        <f t="shared" si="244"/>
        <v>-17206.671511594774</v>
      </c>
      <c r="O1246" s="74">
        <f t="shared" si="245"/>
        <v>-29343.89917065615</v>
      </c>
      <c r="P1246" s="74">
        <f t="shared" si="246"/>
        <v>34016.671839637129</v>
      </c>
    </row>
    <row r="1247" spans="1:16" x14ac:dyDescent="0.3">
      <c r="A1247" s="72">
        <f t="shared" si="233"/>
        <v>469</v>
      </c>
      <c r="B1247" s="74">
        <f t="shared" si="234"/>
        <v>18343.763776969437</v>
      </c>
      <c r="C1247" s="74">
        <f t="shared" si="235"/>
        <v>-12853.042999724441</v>
      </c>
      <c r="D1247" s="74">
        <f t="shared" si="236"/>
        <v>12274.184530749333</v>
      </c>
      <c r="E1247" s="74">
        <f t="shared" si="237"/>
        <v>-14393.884340761182</v>
      </c>
      <c r="F1247" s="74">
        <f t="shared" si="231"/>
        <v>-3000.5489675724111</v>
      </c>
      <c r="G1247" s="74">
        <f t="shared" si="232"/>
        <v>1488.6897393271274</v>
      </c>
      <c r="H1247" s="74">
        <f t="shared" si="238"/>
        <v>1656.2362230305625</v>
      </c>
      <c r="I1247" s="74">
        <f t="shared" si="239"/>
        <v>32853.042999724443</v>
      </c>
      <c r="J1247" s="74">
        <f t="shared" si="240"/>
        <v>32894.764823117701</v>
      </c>
      <c r="K1247" s="74">
        <f t="shared" si="241"/>
        <v>-38343.763776969441</v>
      </c>
      <c r="L1247" s="74">
        <f t="shared" si="242"/>
        <v>32853.042999724443</v>
      </c>
      <c r="M1247" s="74">
        <f t="shared" si="243"/>
        <v>50493.233753897926</v>
      </c>
      <c r="N1247" s="74">
        <f t="shared" si="244"/>
        <v>-23343.763776969437</v>
      </c>
      <c r="O1247" s="74">
        <f t="shared" si="245"/>
        <v>-22146.957000275557</v>
      </c>
      <c r="P1247" s="74">
        <f t="shared" si="246"/>
        <v>32177.927398249329</v>
      </c>
    </row>
    <row r="1248" spans="1:16" x14ac:dyDescent="0.3">
      <c r="A1248" s="72">
        <f t="shared" si="233"/>
        <v>469.5</v>
      </c>
      <c r="B1248" s="74">
        <f t="shared" si="234"/>
        <v>23730.718800451003</v>
      </c>
      <c r="C1248" s="74">
        <f t="shared" si="235"/>
        <v>-19677.812735273252</v>
      </c>
      <c r="D1248" s="74">
        <f t="shared" si="236"/>
        <v>10773.910046963127</v>
      </c>
      <c r="E1248" s="74">
        <f t="shared" si="237"/>
        <v>-13649.539471097618</v>
      </c>
      <c r="F1248" s="74">
        <f t="shared" si="231"/>
        <v>-3713.8045980762263</v>
      </c>
      <c r="G1248" s="74">
        <f t="shared" si="232"/>
        <v>1174.1278198174618</v>
      </c>
      <c r="H1248" s="74">
        <f t="shared" si="238"/>
        <v>-3730.7188004510026</v>
      </c>
      <c r="I1248" s="74">
        <f t="shared" si="239"/>
        <v>39677.812735273255</v>
      </c>
      <c r="J1248" s="74">
        <f t="shared" si="240"/>
        <v>39852.817795275798</v>
      </c>
      <c r="K1248" s="74">
        <f t="shared" si="241"/>
        <v>-43730.718800451003</v>
      </c>
      <c r="L1248" s="74">
        <f t="shared" si="242"/>
        <v>39677.812735273255</v>
      </c>
      <c r="M1248" s="74">
        <f t="shared" si="243"/>
        <v>59048.324195183828</v>
      </c>
      <c r="N1248" s="74">
        <f t="shared" si="244"/>
        <v>-28730.718800451003</v>
      </c>
      <c r="O1248" s="74">
        <f t="shared" si="245"/>
        <v>-15322.187264726748</v>
      </c>
      <c r="P1248" s="74">
        <f t="shared" si="246"/>
        <v>32561.075310344764</v>
      </c>
    </row>
    <row r="1249" spans="1:16" x14ac:dyDescent="0.3">
      <c r="A1249" s="72">
        <f t="shared" si="233"/>
        <v>470</v>
      </c>
      <c r="B1249" s="74">
        <f t="shared" si="234"/>
        <v>28189.222674413508</v>
      </c>
      <c r="C1249" s="74">
        <f t="shared" si="235"/>
        <v>-26209.050515867697</v>
      </c>
      <c r="D1249" s="74">
        <f t="shared" si="236"/>
        <v>8917.007747925014</v>
      </c>
      <c r="E1249" s="74">
        <f t="shared" si="237"/>
        <v>-13062.475561188887</v>
      </c>
      <c r="F1249" s="74">
        <f t="shared" si="231"/>
        <v>-3690.4781849042843</v>
      </c>
      <c r="G1249" s="74">
        <f t="shared" si="232"/>
        <v>1272.8453354342853</v>
      </c>
      <c r="H1249" s="74">
        <f t="shared" si="238"/>
        <v>-8189.2226744135078</v>
      </c>
      <c r="I1249" s="74">
        <f t="shared" si="239"/>
        <v>46209.050515867697</v>
      </c>
      <c r="J1249" s="74">
        <f t="shared" si="240"/>
        <v>46929.092443697875</v>
      </c>
      <c r="K1249" s="74">
        <f t="shared" si="241"/>
        <v>-48189.222674413511</v>
      </c>
      <c r="L1249" s="74">
        <f t="shared" si="242"/>
        <v>46209.050515867697</v>
      </c>
      <c r="M1249" s="74">
        <f t="shared" si="243"/>
        <v>66764.343264516749</v>
      </c>
      <c r="N1249" s="74">
        <f t="shared" si="244"/>
        <v>-33189.222674413511</v>
      </c>
      <c r="O1249" s="74">
        <f t="shared" si="245"/>
        <v>-8790.949484132303</v>
      </c>
      <c r="P1249" s="74">
        <f t="shared" si="246"/>
        <v>34333.734060896582</v>
      </c>
    </row>
    <row r="1250" spans="1:16" x14ac:dyDescent="0.3">
      <c r="A1250" s="72">
        <f t="shared" si="233"/>
        <v>470.5</v>
      </c>
      <c r="B1250" s="74">
        <f t="shared" si="234"/>
        <v>31725.107002149944</v>
      </c>
      <c r="C1250" s="74">
        <f t="shared" si="235"/>
        <v>-32422.076962603569</v>
      </c>
      <c r="D1250" s="74">
        <f t="shared" si="236"/>
        <v>7071.7686554728716</v>
      </c>
      <c r="E1250" s="74">
        <f t="shared" si="237"/>
        <v>-12426.052893471744</v>
      </c>
      <c r="F1250" s="74">
        <f t="shared" si="231"/>
        <v>-3344.6495927758083</v>
      </c>
      <c r="G1250" s="74">
        <f t="shared" si="232"/>
        <v>1428.1448088430157</v>
      </c>
      <c r="H1250" s="74">
        <f t="shared" si="238"/>
        <v>-11725.107002149944</v>
      </c>
      <c r="I1250" s="74">
        <f t="shared" si="239"/>
        <v>52422.076962603569</v>
      </c>
      <c r="J1250" s="74">
        <f t="shared" si="240"/>
        <v>53717.336934038321</v>
      </c>
      <c r="K1250" s="74">
        <f t="shared" si="241"/>
        <v>-51725.107002149947</v>
      </c>
      <c r="L1250" s="74">
        <f t="shared" si="242"/>
        <v>52422.076962603569</v>
      </c>
      <c r="M1250" s="74">
        <f t="shared" si="243"/>
        <v>73644.829061224606</v>
      </c>
      <c r="N1250" s="74">
        <f t="shared" si="244"/>
        <v>-36725.107002149947</v>
      </c>
      <c r="O1250" s="74">
        <f t="shared" si="245"/>
        <v>-2577.923037396431</v>
      </c>
      <c r="P1250" s="74">
        <f t="shared" si="246"/>
        <v>36815.474620139044</v>
      </c>
    </row>
    <row r="1251" spans="1:16" x14ac:dyDescent="0.3">
      <c r="A1251" s="72">
        <f t="shared" si="233"/>
        <v>471</v>
      </c>
      <c r="B1251" s="74">
        <f t="shared" si="234"/>
        <v>34424.828931692427</v>
      </c>
      <c r="C1251" s="74">
        <f t="shared" si="235"/>
        <v>-38278.06720712869</v>
      </c>
      <c r="D1251" s="74">
        <f t="shared" si="236"/>
        <v>5399.4438590849677</v>
      </c>
      <c r="E1251" s="74">
        <f t="shared" si="237"/>
        <v>-11711.980489050236</v>
      </c>
      <c r="F1251" s="74">
        <f t="shared" si="231"/>
        <v>-2925.3685410502976</v>
      </c>
      <c r="G1251" s="74">
        <f t="shared" si="232"/>
        <v>1527.6542318393517</v>
      </c>
      <c r="H1251" s="74">
        <f t="shared" si="238"/>
        <v>-14424.828931692427</v>
      </c>
      <c r="I1251" s="74">
        <f t="shared" si="239"/>
        <v>58278.06720712869</v>
      </c>
      <c r="J1251" s="74">
        <f t="shared" si="240"/>
        <v>60036.728817509698</v>
      </c>
      <c r="K1251" s="74">
        <f t="shared" si="241"/>
        <v>-54424.828931692427</v>
      </c>
      <c r="L1251" s="74">
        <f t="shared" si="242"/>
        <v>58278.06720712869</v>
      </c>
      <c r="M1251" s="74">
        <f t="shared" si="243"/>
        <v>79739.54553195418</v>
      </c>
      <c r="N1251" s="74">
        <f t="shared" si="244"/>
        <v>-39424.828931692427</v>
      </c>
      <c r="O1251" s="74">
        <f t="shared" si="245"/>
        <v>3278.0672071286899</v>
      </c>
      <c r="P1251" s="74">
        <f t="shared" si="246"/>
        <v>39560.875380957696</v>
      </c>
    </row>
    <row r="1252" spans="1:16" x14ac:dyDescent="0.3">
      <c r="A1252" s="72">
        <f t="shared" si="233"/>
        <v>471.5</v>
      </c>
      <c r="B1252" s="74">
        <f t="shared" si="234"/>
        <v>36393.208725972334</v>
      </c>
      <c r="C1252" s="74">
        <f t="shared" si="235"/>
        <v>-43752.143893693974</v>
      </c>
      <c r="D1252" s="74">
        <f t="shared" si="236"/>
        <v>3936.7595885598189</v>
      </c>
      <c r="E1252" s="74">
        <f t="shared" si="237"/>
        <v>-10948.153373130561</v>
      </c>
      <c r="F1252" s="74">
        <f t="shared" si="231"/>
        <v>-2536.4272893925436</v>
      </c>
      <c r="G1252" s="74">
        <f t="shared" si="232"/>
        <v>1569.7565168244478</v>
      </c>
      <c r="H1252" s="74">
        <f t="shared" si="238"/>
        <v>-16393.208725972334</v>
      </c>
      <c r="I1252" s="74">
        <f t="shared" si="239"/>
        <v>63752.143893693974</v>
      </c>
      <c r="J1252" s="74">
        <f t="shared" si="240"/>
        <v>65826.082546172824</v>
      </c>
      <c r="K1252" s="74">
        <f t="shared" si="241"/>
        <v>-56393.208725972334</v>
      </c>
      <c r="L1252" s="74">
        <f t="shared" si="242"/>
        <v>63752.143893693974</v>
      </c>
      <c r="M1252" s="74">
        <f t="shared" si="243"/>
        <v>85114.803891293457</v>
      </c>
      <c r="N1252" s="74">
        <f t="shared" si="244"/>
        <v>-41393.208725972334</v>
      </c>
      <c r="O1252" s="74">
        <f t="shared" si="245"/>
        <v>8752.143893693974</v>
      </c>
      <c r="P1252" s="74">
        <f t="shared" si="246"/>
        <v>42308.365028299508</v>
      </c>
    </row>
    <row r="1253" spans="1:16" x14ac:dyDescent="0.3">
      <c r="A1253" s="72">
        <f t="shared" si="233"/>
        <v>472</v>
      </c>
      <c r="B1253" s="74">
        <f t="shared" si="234"/>
        <v>37727.481697904106</v>
      </c>
      <c r="C1253" s="74">
        <f t="shared" si="235"/>
        <v>-48833.781451053139</v>
      </c>
      <c r="D1253" s="74">
        <f t="shared" si="236"/>
        <v>2668.5459438635471</v>
      </c>
      <c r="E1253" s="74">
        <f t="shared" si="237"/>
        <v>-10163.275114718337</v>
      </c>
      <c r="F1253" s="74">
        <f t="shared" si="231"/>
        <v>-2206.963520870574</v>
      </c>
      <c r="G1253" s="74">
        <f t="shared" si="232"/>
        <v>1575.7337694110126</v>
      </c>
      <c r="H1253" s="74">
        <f t="shared" si="238"/>
        <v>-17727.481697904106</v>
      </c>
      <c r="I1253" s="74">
        <f t="shared" si="239"/>
        <v>68833.781451053132</v>
      </c>
      <c r="J1253" s="74">
        <f t="shared" si="240"/>
        <v>71079.906275971356</v>
      </c>
      <c r="K1253" s="74">
        <f t="shared" si="241"/>
        <v>-57727.481697904106</v>
      </c>
      <c r="L1253" s="74">
        <f t="shared" si="242"/>
        <v>68833.781451053132</v>
      </c>
      <c r="M1253" s="74">
        <f t="shared" si="243"/>
        <v>89836.248875569145</v>
      </c>
      <c r="N1253" s="74">
        <f t="shared" si="244"/>
        <v>-42727.481697904106</v>
      </c>
      <c r="O1253" s="74">
        <f t="shared" si="245"/>
        <v>13833.781451053139</v>
      </c>
      <c r="P1253" s="74">
        <f t="shared" si="246"/>
        <v>44911.147853069087</v>
      </c>
    </row>
    <row r="1254" spans="1:16" x14ac:dyDescent="0.3">
      <c r="A1254" s="72">
        <f t="shared" si="233"/>
        <v>472.5</v>
      </c>
      <c r="B1254" s="74">
        <f t="shared" si="234"/>
        <v>38510.013789618235</v>
      </c>
      <c r="C1254" s="74">
        <f t="shared" si="235"/>
        <v>-53521.485566059557</v>
      </c>
      <c r="D1254" s="74">
        <f t="shared" si="236"/>
        <v>1565.0641834282601</v>
      </c>
      <c r="E1254" s="74">
        <f t="shared" si="237"/>
        <v>-9375.4082300128302</v>
      </c>
      <c r="F1254" s="74">
        <f t="shared" si="231"/>
        <v>-1937.0752282318067</v>
      </c>
      <c r="G1254" s="74">
        <f t="shared" si="232"/>
        <v>1563.7401125916124</v>
      </c>
      <c r="H1254" s="74">
        <f t="shared" si="238"/>
        <v>-18510.013789618235</v>
      </c>
      <c r="I1254" s="74">
        <f t="shared" si="239"/>
        <v>73521.485566059564</v>
      </c>
      <c r="J1254" s="74">
        <f t="shared" si="240"/>
        <v>75815.759907371248</v>
      </c>
      <c r="K1254" s="74">
        <f t="shared" si="241"/>
        <v>-58510.013789618235</v>
      </c>
      <c r="L1254" s="74">
        <f t="shared" si="242"/>
        <v>73521.485566059564</v>
      </c>
      <c r="M1254" s="74">
        <f t="shared" si="243"/>
        <v>93961.856907479334</v>
      </c>
      <c r="N1254" s="74">
        <f t="shared" si="244"/>
        <v>-43510.013789618235</v>
      </c>
      <c r="O1254" s="74">
        <f t="shared" si="245"/>
        <v>18521.485566059557</v>
      </c>
      <c r="P1254" s="74">
        <f t="shared" si="246"/>
        <v>47288.12459324774</v>
      </c>
    </row>
    <row r="1255" spans="1:16" x14ac:dyDescent="0.3">
      <c r="A1255" s="72">
        <f t="shared" si="233"/>
        <v>473</v>
      </c>
      <c r="B1255" s="74">
        <f t="shared" si="234"/>
        <v>38808.277074274411</v>
      </c>
      <c r="C1255" s="74">
        <f t="shared" si="235"/>
        <v>-57818.254652918069</v>
      </c>
      <c r="D1255" s="74">
        <f t="shared" si="236"/>
        <v>596.52656931235674</v>
      </c>
      <c r="E1255" s="74">
        <f t="shared" si="237"/>
        <v>-8593.5381737170246</v>
      </c>
      <c r="F1255" s="74">
        <f t="shared" si="231"/>
        <v>-1718.1850334537694</v>
      </c>
      <c r="G1255" s="74">
        <f t="shared" si="232"/>
        <v>1545.4312937606242</v>
      </c>
      <c r="H1255" s="74">
        <f t="shared" si="238"/>
        <v>-18808.277074274411</v>
      </c>
      <c r="I1255" s="74">
        <f t="shared" si="239"/>
        <v>77818.254652918069</v>
      </c>
      <c r="J1255" s="74">
        <f t="shared" si="240"/>
        <v>80058.928569704716</v>
      </c>
      <c r="K1255" s="74">
        <f t="shared" si="241"/>
        <v>-58808.277074274411</v>
      </c>
      <c r="L1255" s="74">
        <f t="shared" si="242"/>
        <v>77818.254652918069</v>
      </c>
      <c r="M1255" s="74">
        <f t="shared" si="243"/>
        <v>97540.218421280122</v>
      </c>
      <c r="N1255" s="74">
        <f t="shared" si="244"/>
        <v>-43808.277074274411</v>
      </c>
      <c r="O1255" s="74">
        <f t="shared" si="245"/>
        <v>22818.254652918069</v>
      </c>
      <c r="P1255" s="74">
        <f t="shared" si="246"/>
        <v>49394.715158828621</v>
      </c>
    </row>
    <row r="1256" spans="1:16" x14ac:dyDescent="0.3">
      <c r="A1256" s="72">
        <f t="shared" si="233"/>
        <v>473.5</v>
      </c>
      <c r="B1256" s="74">
        <f t="shared" si="234"/>
        <v>38676.994100567143</v>
      </c>
      <c r="C1256" s="74">
        <f t="shared" si="235"/>
        <v>-61728.665916336424</v>
      </c>
      <c r="D1256" s="74">
        <f t="shared" si="236"/>
        <v>-262.56594741452795</v>
      </c>
      <c r="E1256" s="74">
        <f t="shared" si="237"/>
        <v>-7820.8225268367123</v>
      </c>
      <c r="F1256" s="74">
        <f t="shared" si="231"/>
        <v>-1540.5948656674748</v>
      </c>
      <c r="G1256" s="74">
        <f t="shared" si="232"/>
        <v>1527.6390642486508</v>
      </c>
      <c r="H1256" s="74">
        <f t="shared" si="238"/>
        <v>-18676.994100567143</v>
      </c>
      <c r="I1256" s="74">
        <f t="shared" si="239"/>
        <v>81728.665916336424</v>
      </c>
      <c r="J1256" s="74">
        <f t="shared" si="240"/>
        <v>83835.582786169922</v>
      </c>
      <c r="K1256" s="74">
        <f t="shared" si="241"/>
        <v>-58676.994100567143</v>
      </c>
      <c r="L1256" s="74">
        <f t="shared" si="242"/>
        <v>81728.665916336424</v>
      </c>
      <c r="M1256" s="74">
        <f t="shared" si="243"/>
        <v>100610.95600948299</v>
      </c>
      <c r="N1256" s="74">
        <f t="shared" si="244"/>
        <v>-43676.994100567143</v>
      </c>
      <c r="O1256" s="74">
        <f t="shared" si="245"/>
        <v>26728.665916336424</v>
      </c>
      <c r="P1256" s="74">
        <f t="shared" si="246"/>
        <v>51206.458531401106</v>
      </c>
    </row>
    <row r="1257" spans="1:16" x14ac:dyDescent="0.3">
      <c r="A1257" s="72">
        <f t="shared" si="233"/>
        <v>474</v>
      </c>
      <c r="B1257" s="74">
        <f t="shared" si="234"/>
        <v>38160.56241044301</v>
      </c>
      <c r="C1257" s="74">
        <f t="shared" si="235"/>
        <v>-65257.167413692616</v>
      </c>
      <c r="D1257" s="74">
        <f t="shared" si="236"/>
        <v>-1032.8633802482655</v>
      </c>
      <c r="E1257" s="74">
        <f t="shared" si="237"/>
        <v>-7057.0029947123867</v>
      </c>
      <c r="F1257" s="74">
        <f t="shared" si="231"/>
        <v>-1395.8211905129685</v>
      </c>
      <c r="G1257" s="74">
        <f t="shared" si="232"/>
        <v>1514.2771328211613</v>
      </c>
      <c r="H1257" s="74">
        <f t="shared" si="238"/>
        <v>-18160.56241044301</v>
      </c>
      <c r="I1257" s="74">
        <f t="shared" si="239"/>
        <v>85257.167413692616</v>
      </c>
      <c r="J1257" s="74">
        <f t="shared" si="240"/>
        <v>87169.895161517808</v>
      </c>
      <c r="K1257" s="74">
        <f t="shared" si="241"/>
        <v>-58160.56241044301</v>
      </c>
      <c r="L1257" s="74">
        <f t="shared" si="242"/>
        <v>85257.167413692616</v>
      </c>
      <c r="M1257" s="74">
        <f t="shared" si="243"/>
        <v>103205.7925472473</v>
      </c>
      <c r="N1257" s="74">
        <f t="shared" si="244"/>
        <v>-43160.56241044301</v>
      </c>
      <c r="O1257" s="74">
        <f t="shared" si="245"/>
        <v>30257.167413692616</v>
      </c>
      <c r="P1257" s="74">
        <f t="shared" si="246"/>
        <v>52709.86935561469</v>
      </c>
    </row>
    <row r="1258" spans="1:16" x14ac:dyDescent="0.3">
      <c r="A1258" s="72">
        <f t="shared" si="233"/>
        <v>474.5</v>
      </c>
      <c r="B1258" s="74">
        <f t="shared" si="234"/>
        <v>37295.175422690634</v>
      </c>
      <c r="C1258" s="74">
        <f t="shared" si="235"/>
        <v>-68407.09962784352</v>
      </c>
      <c r="D1258" s="74">
        <f t="shared" si="236"/>
        <v>-1730.7739755047496</v>
      </c>
      <c r="E1258" s="74">
        <f t="shared" si="237"/>
        <v>-6299.8644283018057</v>
      </c>
      <c r="F1258" s="74">
        <f t="shared" si="231"/>
        <v>-1277.0407229620716</v>
      </c>
      <c r="G1258" s="74">
        <f t="shared" si="232"/>
        <v>1507.6567533585423</v>
      </c>
      <c r="H1258" s="74">
        <f t="shared" si="238"/>
        <v>-17295.175422690634</v>
      </c>
      <c r="I1258" s="74">
        <f t="shared" si="239"/>
        <v>88407.09962784352</v>
      </c>
      <c r="J1258" s="74">
        <f t="shared" si="240"/>
        <v>90082.952646486287</v>
      </c>
      <c r="K1258" s="74">
        <f t="shared" si="241"/>
        <v>-57295.175422690634</v>
      </c>
      <c r="L1258" s="74">
        <f t="shared" si="242"/>
        <v>88407.09962784352</v>
      </c>
      <c r="M1258" s="74">
        <f t="shared" si="243"/>
        <v>105349.66725777705</v>
      </c>
      <c r="N1258" s="74">
        <f t="shared" si="244"/>
        <v>-42295.175422690634</v>
      </c>
      <c r="O1258" s="74">
        <f t="shared" si="245"/>
        <v>33407.09962784352</v>
      </c>
      <c r="P1258" s="74">
        <f t="shared" si="246"/>
        <v>53897.274231456606</v>
      </c>
    </row>
    <row r="1259" spans="1:16" x14ac:dyDescent="0.3">
      <c r="A1259" s="72">
        <f t="shared" si="233"/>
        <v>475</v>
      </c>
      <c r="B1259" s="74">
        <f t="shared" si="234"/>
        <v>36110.528254197743</v>
      </c>
      <c r="C1259" s="74">
        <f t="shared" si="235"/>
        <v>-71180.117653654786</v>
      </c>
      <c r="D1259" s="74">
        <f t="shared" si="236"/>
        <v>-2369.2943369857853</v>
      </c>
      <c r="E1259" s="74">
        <f t="shared" si="237"/>
        <v>-5546.0360516225346</v>
      </c>
      <c r="F1259" s="74">
        <f t="shared" si="231"/>
        <v>-1178.9347995211001</v>
      </c>
      <c r="G1259" s="74">
        <f t="shared" si="232"/>
        <v>1509.2949539236156</v>
      </c>
      <c r="H1259" s="74">
        <f t="shared" si="238"/>
        <v>-16110.528254197743</v>
      </c>
      <c r="I1259" s="74">
        <f t="shared" si="239"/>
        <v>91180.117653654786</v>
      </c>
      <c r="J1259" s="74">
        <f t="shared" si="240"/>
        <v>92592.456366399711</v>
      </c>
      <c r="K1259" s="74">
        <f t="shared" si="241"/>
        <v>-56110.528254197743</v>
      </c>
      <c r="L1259" s="74">
        <f t="shared" si="242"/>
        <v>91180.117653654786</v>
      </c>
      <c r="M1259" s="74">
        <f t="shared" si="243"/>
        <v>107061.68892885752</v>
      </c>
      <c r="N1259" s="74">
        <f t="shared" si="244"/>
        <v>-41110.528254197743</v>
      </c>
      <c r="O1259" s="74">
        <f t="shared" si="245"/>
        <v>36180.117653654786</v>
      </c>
      <c r="P1259" s="74">
        <f t="shared" si="246"/>
        <v>54763.824252616745</v>
      </c>
    </row>
    <row r="1260" spans="1:16" x14ac:dyDescent="0.3">
      <c r="A1260" s="72">
        <f t="shared" si="233"/>
        <v>475.5</v>
      </c>
      <c r="B1260" s="74">
        <f t="shared" si="234"/>
        <v>34631.147385824574</v>
      </c>
      <c r="C1260" s="74">
        <f t="shared" si="235"/>
        <v>-73575.81194098515</v>
      </c>
      <c r="D1260" s="74">
        <f t="shared" si="236"/>
        <v>-2958.7617367463354</v>
      </c>
      <c r="E1260" s="74">
        <f t="shared" si="237"/>
        <v>-4791.3885746607266</v>
      </c>
      <c r="F1260" s="74">
        <f t="shared" si="231"/>
        <v>-1097.3935274860921</v>
      </c>
      <c r="G1260" s="74">
        <f t="shared" si="232"/>
        <v>1520.4051107443488</v>
      </c>
      <c r="H1260" s="74">
        <f t="shared" si="238"/>
        <v>-14631.147385824574</v>
      </c>
      <c r="I1260" s="74">
        <f t="shared" si="239"/>
        <v>93575.81194098515</v>
      </c>
      <c r="J1260" s="74">
        <f t="shared" si="240"/>
        <v>94712.739661781205</v>
      </c>
      <c r="K1260" s="74">
        <f t="shared" si="241"/>
        <v>-54631.147385824574</v>
      </c>
      <c r="L1260" s="74">
        <f t="shared" si="242"/>
        <v>93575.81194098515</v>
      </c>
      <c r="M1260" s="74">
        <f t="shared" si="243"/>
        <v>108355.87129964997</v>
      </c>
      <c r="N1260" s="74">
        <f t="shared" si="244"/>
        <v>-39631.147385824574</v>
      </c>
      <c r="O1260" s="74">
        <f t="shared" si="245"/>
        <v>38575.81194098515</v>
      </c>
      <c r="P1260" s="74">
        <f t="shared" si="246"/>
        <v>55305.705944533445</v>
      </c>
    </row>
    <row r="1261" spans="1:16" x14ac:dyDescent="0.3">
      <c r="A1261" s="72">
        <f t="shared" si="233"/>
        <v>476</v>
      </c>
      <c r="B1261" s="74">
        <f t="shared" si="234"/>
        <v>32877.418135579879</v>
      </c>
      <c r="C1261" s="74">
        <f t="shared" si="235"/>
        <v>-75591.404950629425</v>
      </c>
      <c r="D1261" s="74">
        <f t="shared" si="236"/>
        <v>-3507.4585004893815</v>
      </c>
      <c r="E1261" s="74">
        <f t="shared" si="237"/>
        <v>-4031.1860192885524</v>
      </c>
      <c r="F1261" s="74">
        <f t="shared" si="231"/>
        <v>-1029.2285982582241</v>
      </c>
      <c r="G1261" s="74">
        <f t="shared" si="232"/>
        <v>1542.213941276148</v>
      </c>
      <c r="H1261" s="74">
        <f t="shared" si="238"/>
        <v>-12877.418135579879</v>
      </c>
      <c r="I1261" s="74">
        <f t="shared" si="239"/>
        <v>95591.404950629425</v>
      </c>
      <c r="J1261" s="74">
        <f t="shared" si="240"/>
        <v>96454.883745063838</v>
      </c>
      <c r="K1261" s="74">
        <f t="shared" si="241"/>
        <v>-52877.418135579879</v>
      </c>
      <c r="L1261" s="74">
        <f t="shared" si="242"/>
        <v>95591.404950629425</v>
      </c>
      <c r="M1261" s="74">
        <f t="shared" si="243"/>
        <v>109241.64979127774</v>
      </c>
      <c r="N1261" s="74">
        <f t="shared" si="244"/>
        <v>-37877.418135579879</v>
      </c>
      <c r="O1261" s="74">
        <f t="shared" si="245"/>
        <v>40591.404950629425</v>
      </c>
      <c r="P1261" s="74">
        <f t="shared" si="246"/>
        <v>55519.014404828355</v>
      </c>
    </row>
    <row r="1262" spans="1:16" x14ac:dyDescent="0.3">
      <c r="A1262" s="72">
        <f t="shared" si="233"/>
        <v>476.5</v>
      </c>
      <c r="B1262" s="74">
        <f t="shared" si="234"/>
        <v>30866.381735770632</v>
      </c>
      <c r="C1262" s="74">
        <f t="shared" si="235"/>
        <v>-77221.444474954667</v>
      </c>
      <c r="D1262" s="74">
        <f t="shared" si="236"/>
        <v>-4022.0727996184937</v>
      </c>
      <c r="E1262" s="74">
        <f t="shared" si="237"/>
        <v>-3260.0790486504784</v>
      </c>
      <c r="F1262" s="74">
        <f t="shared" si="231"/>
        <v>-971.9308572781772</v>
      </c>
      <c r="G1262" s="74">
        <f t="shared" si="232"/>
        <v>1576.199488153708</v>
      </c>
      <c r="H1262" s="74">
        <f t="shared" si="238"/>
        <v>-10866.381735770632</v>
      </c>
      <c r="I1262" s="74">
        <f t="shared" si="239"/>
        <v>97221.444474954667</v>
      </c>
      <c r="J1262" s="74">
        <f t="shared" si="240"/>
        <v>97826.824122140359</v>
      </c>
      <c r="K1262" s="74">
        <f t="shared" si="241"/>
        <v>-50866.381735770628</v>
      </c>
      <c r="L1262" s="74">
        <f t="shared" si="242"/>
        <v>97221.444474954667</v>
      </c>
      <c r="M1262" s="74">
        <f t="shared" si="243"/>
        <v>109724.19084543678</v>
      </c>
      <c r="N1262" s="74">
        <f t="shared" si="244"/>
        <v>-35866.381735770628</v>
      </c>
      <c r="O1262" s="74">
        <f t="shared" si="245"/>
        <v>42221.444474954667</v>
      </c>
      <c r="P1262" s="74">
        <f t="shared" si="246"/>
        <v>55398.986564446292</v>
      </c>
    </row>
    <row r="1263" spans="1:16" x14ac:dyDescent="0.3">
      <c r="A1263" s="72">
        <f t="shared" si="233"/>
        <v>477</v>
      </c>
      <c r="B1263" s="74">
        <f t="shared" si="234"/>
        <v>28612.362621641842</v>
      </c>
      <c r="C1263" s="74">
        <f t="shared" si="235"/>
        <v>-78457.434127241489</v>
      </c>
      <c r="D1263" s="74">
        <f t="shared" si="236"/>
        <v>-4508.038228257582</v>
      </c>
      <c r="E1263" s="74">
        <f t="shared" si="237"/>
        <v>-2471.9793045736242</v>
      </c>
      <c r="F1263" s="74">
        <f t="shared" si="231"/>
        <v>-923.46946320218581</v>
      </c>
      <c r="G1263" s="74">
        <f t="shared" si="232"/>
        <v>1624.3151810700635</v>
      </c>
      <c r="H1263" s="74">
        <f t="shared" si="238"/>
        <v>-8612.3626216418415</v>
      </c>
      <c r="I1263" s="74">
        <f t="shared" si="239"/>
        <v>98457.434127241489</v>
      </c>
      <c r="J1263" s="74">
        <f t="shared" si="240"/>
        <v>98833.390738387345</v>
      </c>
      <c r="K1263" s="74">
        <f t="shared" si="241"/>
        <v>-48612.362621641842</v>
      </c>
      <c r="L1263" s="74">
        <f t="shared" si="242"/>
        <v>98457.434127241489</v>
      </c>
      <c r="M1263" s="74">
        <f t="shared" si="243"/>
        <v>109804.49960988892</v>
      </c>
      <c r="N1263" s="74">
        <f t="shared" si="244"/>
        <v>-33612.362621641842</v>
      </c>
      <c r="O1263" s="74">
        <f t="shared" si="245"/>
        <v>43457.434127241489</v>
      </c>
      <c r="P1263" s="74">
        <f t="shared" si="246"/>
        <v>54939.416650818916</v>
      </c>
    </row>
    <row r="1264" spans="1:16" x14ac:dyDescent="0.3">
      <c r="A1264" s="72">
        <f t="shared" si="233"/>
        <v>477.5</v>
      </c>
      <c r="B1264" s="74">
        <f t="shared" si="234"/>
        <v>26127.476141712505</v>
      </c>
      <c r="C1264" s="74">
        <f t="shared" si="235"/>
        <v>-79287.344984260781</v>
      </c>
      <c r="D1264" s="74">
        <f t="shared" si="236"/>
        <v>-4969.7729598586748</v>
      </c>
      <c r="E1264" s="74">
        <f t="shared" si="237"/>
        <v>-1659.8217140385923</v>
      </c>
      <c r="F1264" s="74">
        <f t="shared" si="231"/>
        <v>-882.11507130702989</v>
      </c>
      <c r="G1264" s="74">
        <f t="shared" si="232"/>
        <v>1689.2548167131445</v>
      </c>
      <c r="H1264" s="74">
        <f t="shared" si="238"/>
        <v>-6127.4761417125046</v>
      </c>
      <c r="I1264" s="74">
        <f t="shared" si="239"/>
        <v>99287.344984260781</v>
      </c>
      <c r="J1264" s="74">
        <f t="shared" si="240"/>
        <v>99476.242580280799</v>
      </c>
      <c r="K1264" s="74">
        <f t="shared" si="241"/>
        <v>-46127.476141712505</v>
      </c>
      <c r="L1264" s="74">
        <f t="shared" si="242"/>
        <v>99287.344984260781</v>
      </c>
      <c r="M1264" s="74">
        <f t="shared" si="243"/>
        <v>109479.3173582475</v>
      </c>
      <c r="N1264" s="74">
        <f t="shared" si="244"/>
        <v>-31127.476141712505</v>
      </c>
      <c r="O1264" s="74">
        <f t="shared" si="245"/>
        <v>44287.344984260781</v>
      </c>
      <c r="P1264" s="74">
        <f t="shared" si="246"/>
        <v>54132.141068941746</v>
      </c>
    </row>
    <row r="1265" spans="1:16" x14ac:dyDescent="0.3">
      <c r="A1265" s="72">
        <f t="shared" si="233"/>
        <v>478</v>
      </c>
      <c r="B1265" s="74">
        <f t="shared" si="234"/>
        <v>23422.060893956412</v>
      </c>
      <c r="C1265" s="74">
        <f t="shared" si="235"/>
        <v>-79694.942137101782</v>
      </c>
      <c r="D1265" s="74">
        <f t="shared" si="236"/>
        <v>-5410.8304955121894</v>
      </c>
      <c r="E1265" s="74">
        <f t="shared" si="237"/>
        <v>-815.19430568202006</v>
      </c>
      <c r="F1265" s="74">
        <f t="shared" si="231"/>
        <v>-846.26005878200954</v>
      </c>
      <c r="G1265" s="74">
        <f t="shared" si="232"/>
        <v>1774.8208644123131</v>
      </c>
      <c r="H1265" s="74">
        <f t="shared" si="238"/>
        <v>-3422.0608939564117</v>
      </c>
      <c r="I1265" s="74">
        <f t="shared" si="239"/>
        <v>99694.942137101782</v>
      </c>
      <c r="J1265" s="74">
        <f t="shared" si="240"/>
        <v>99753.656516851639</v>
      </c>
      <c r="K1265" s="74">
        <f t="shared" si="241"/>
        <v>-43422.060893956412</v>
      </c>
      <c r="L1265" s="74">
        <f t="shared" si="242"/>
        <v>99694.942137101782</v>
      </c>
      <c r="M1265" s="74">
        <f t="shared" si="243"/>
        <v>108740.77827567048</v>
      </c>
      <c r="N1265" s="74">
        <f t="shared" si="244"/>
        <v>-28422.060893956412</v>
      </c>
      <c r="O1265" s="74">
        <f t="shared" si="245"/>
        <v>44694.942137101782</v>
      </c>
      <c r="P1265" s="74">
        <f t="shared" si="246"/>
        <v>52966.512043919247</v>
      </c>
    </row>
    <row r="1266" spans="1:16" x14ac:dyDescent="0.3">
      <c r="A1266" s="72">
        <f t="shared" si="233"/>
        <v>478.5</v>
      </c>
      <c r="B1266" s="74">
        <f t="shared" si="234"/>
        <v>20505.080631504818</v>
      </c>
      <c r="C1266" s="74">
        <f t="shared" si="235"/>
        <v>-79658.834073839724</v>
      </c>
      <c r="D1266" s="74">
        <f t="shared" si="236"/>
        <v>-5833.9605249031938</v>
      </c>
      <c r="E1266" s="74">
        <f t="shared" si="237"/>
        <v>72.216126524136484</v>
      </c>
      <c r="F1266" s="74">
        <f t="shared" si="231"/>
        <v>-814.19300718198031</v>
      </c>
      <c r="G1266" s="74">
        <f t="shared" si="232"/>
        <v>1886.4880389348382</v>
      </c>
      <c r="H1266" s="74">
        <f t="shared" si="238"/>
        <v>-505.08063150481757</v>
      </c>
      <c r="I1266" s="74">
        <f t="shared" si="239"/>
        <v>99658.834073839724</v>
      </c>
      <c r="J1266" s="74">
        <f t="shared" si="240"/>
        <v>99660.113964421282</v>
      </c>
      <c r="K1266" s="74">
        <f t="shared" si="241"/>
        <v>-40505.080631504818</v>
      </c>
      <c r="L1266" s="74">
        <f t="shared" si="242"/>
        <v>99658.834073839724</v>
      </c>
      <c r="M1266" s="74">
        <f t="shared" si="243"/>
        <v>107575.76291117727</v>
      </c>
      <c r="N1266" s="74">
        <f t="shared" si="244"/>
        <v>-25505.080631504818</v>
      </c>
      <c r="O1266" s="74">
        <f t="shared" si="245"/>
        <v>44658.834073839724</v>
      </c>
      <c r="P1266" s="74">
        <f t="shared" si="246"/>
        <v>51428.791536009383</v>
      </c>
    </row>
    <row r="1267" spans="1:16" x14ac:dyDescent="0.3">
      <c r="A1267" s="72">
        <f t="shared" si="233"/>
        <v>479</v>
      </c>
      <c r="B1267" s="74">
        <f t="shared" si="234"/>
        <v>17384.552117257725</v>
      </c>
      <c r="C1267" s="74">
        <f t="shared" si="235"/>
        <v>-79151.104000843945</v>
      </c>
      <c r="D1267" s="74">
        <f t="shared" si="236"/>
        <v>-6241.0570284941841</v>
      </c>
      <c r="E1267" s="74">
        <f t="shared" si="237"/>
        <v>1015.4601459915556</v>
      </c>
      <c r="F1267" s="74">
        <f t="shared" si="231"/>
        <v>-783.74834855684674</v>
      </c>
      <c r="G1267" s="74">
        <f t="shared" si="232"/>
        <v>2032.3201161037844</v>
      </c>
      <c r="H1267" s="74">
        <f t="shared" si="238"/>
        <v>2615.4478827422754</v>
      </c>
      <c r="I1267" s="74">
        <f t="shared" si="239"/>
        <v>99151.104000843945</v>
      </c>
      <c r="J1267" s="74">
        <f t="shared" si="240"/>
        <v>99185.593672738149</v>
      </c>
      <c r="K1267" s="74">
        <f t="shared" si="241"/>
        <v>-37384.552117257728</v>
      </c>
      <c r="L1267" s="74">
        <f t="shared" si="242"/>
        <v>99151.104000843945</v>
      </c>
      <c r="M1267" s="74">
        <f t="shared" si="243"/>
        <v>105964.83455181785</v>
      </c>
      <c r="N1267" s="74">
        <f t="shared" si="244"/>
        <v>-22384.552117257725</v>
      </c>
      <c r="O1267" s="74">
        <f t="shared" si="245"/>
        <v>44151.104000843945</v>
      </c>
      <c r="P1267" s="74">
        <f t="shared" si="246"/>
        <v>49501.395515516182</v>
      </c>
    </row>
    <row r="1268" spans="1:16" x14ac:dyDescent="0.3">
      <c r="A1268" s="72">
        <f t="shared" si="233"/>
        <v>479.5</v>
      </c>
      <c r="B1268" s="74">
        <f t="shared" si="234"/>
        <v>14068.08651587142</v>
      </c>
      <c r="C1268" s="74">
        <f t="shared" si="235"/>
        <v>-78135.293898822216</v>
      </c>
      <c r="D1268" s="74">
        <f t="shared" si="236"/>
        <v>-6632.9312027726073</v>
      </c>
      <c r="E1268" s="74">
        <f t="shared" si="237"/>
        <v>2031.6202040434478</v>
      </c>
      <c r="F1268" s="74">
        <f t="shared" si="231"/>
        <v>-751.66405187225439</v>
      </c>
      <c r="G1268" s="74">
        <f t="shared" si="232"/>
        <v>2224.536068801795</v>
      </c>
      <c r="H1268" s="74">
        <f t="shared" si="238"/>
        <v>5931.9134841285795</v>
      </c>
      <c r="I1268" s="74">
        <f t="shared" si="239"/>
        <v>98135.293898822216</v>
      </c>
      <c r="J1268" s="74">
        <f t="shared" si="240"/>
        <v>98314.411487794612</v>
      </c>
      <c r="K1268" s="74">
        <f t="shared" si="241"/>
        <v>-34068.086515871422</v>
      </c>
      <c r="L1268" s="74">
        <f t="shared" si="242"/>
        <v>98135.293898822216</v>
      </c>
      <c r="M1268" s="74">
        <f t="shared" si="243"/>
        <v>103880.55846721807</v>
      </c>
      <c r="N1268" s="74">
        <f t="shared" si="244"/>
        <v>-19068.086515871422</v>
      </c>
      <c r="O1268" s="74">
        <f t="shared" si="245"/>
        <v>43135.293898822216</v>
      </c>
      <c r="P1268" s="74">
        <f t="shared" si="246"/>
        <v>47161.907331176997</v>
      </c>
    </row>
    <row r="1269" spans="1:16" x14ac:dyDescent="0.3">
      <c r="A1269" s="72">
        <f t="shared" si="233"/>
        <v>480</v>
      </c>
      <c r="B1269" s="74">
        <f t="shared" si="234"/>
        <v>10563.704901517052</v>
      </c>
      <c r="C1269" s="74">
        <f t="shared" si="235"/>
        <v>-76563.349779600045</v>
      </c>
      <c r="D1269" s="74">
        <f t="shared" si="236"/>
        <v>-7008.7632287087345</v>
      </c>
      <c r="E1269" s="74">
        <f t="shared" si="237"/>
        <v>3143.888238444345</v>
      </c>
      <c r="F1269" s="74">
        <f t="shared" si="231"/>
        <v>-712.25608959007855</v>
      </c>
      <c r="G1269" s="74">
        <f t="shared" si="232"/>
        <v>2482.3150043745964</v>
      </c>
      <c r="H1269" s="74">
        <f t="shared" si="238"/>
        <v>9436.2950984829477</v>
      </c>
      <c r="I1269" s="74">
        <f t="shared" si="239"/>
        <v>96563.349779600045</v>
      </c>
      <c r="J1269" s="74">
        <f t="shared" si="240"/>
        <v>97023.317742917032</v>
      </c>
      <c r="K1269" s="74">
        <f t="shared" si="241"/>
        <v>-30563.704901517052</v>
      </c>
      <c r="L1269" s="74">
        <f t="shared" si="242"/>
        <v>96563.349779600045</v>
      </c>
      <c r="M1269" s="74">
        <f t="shared" si="243"/>
        <v>101284.8487087995</v>
      </c>
      <c r="N1269" s="74">
        <f t="shared" si="244"/>
        <v>-15563.704901517052</v>
      </c>
      <c r="O1269" s="74">
        <f t="shared" si="245"/>
        <v>41563.349779600045</v>
      </c>
      <c r="P1269" s="74">
        <f t="shared" si="246"/>
        <v>44381.763768048753</v>
      </c>
    </row>
    <row r="1270" spans="1:16" x14ac:dyDescent="0.3">
      <c r="A1270" s="72">
        <f t="shared" si="233"/>
        <v>480.5</v>
      </c>
      <c r="B1270" s="74">
        <f t="shared" si="234"/>
        <v>6881.2592647651654</v>
      </c>
      <c r="C1270" s="74">
        <f t="shared" si="235"/>
        <v>-74370.826909284224</v>
      </c>
      <c r="D1270" s="74">
        <f t="shared" si="236"/>
        <v>-7364.8912735037738</v>
      </c>
      <c r="E1270" s="74">
        <f t="shared" si="237"/>
        <v>4385.0457406316436</v>
      </c>
      <c r="F1270" s="74">
        <f t="shared" ref="F1270:F1309" si="247">$C$23*(H1270/(J1270^2+$C$24^2)^1.5)+$C$32*(K1270/(M1270^2+$C$33^2)^1.5)+C$41*(N1270/(P1270^2+$C$42^2)^1.5)</f>
        <v>-654.40524383111847</v>
      </c>
      <c r="G1270" s="74">
        <f t="shared" ref="G1270:G1309" si="248">$C$23*(I1270/(J1270^2+$C$24^2)^1.5)+$C$32*(L1270/(M1270^2+$C$33^2)^1.5)+C$41*(O1270/(P1270^2+$C$42^2)^1.5)</f>
        <v>2837.0745965359661</v>
      </c>
      <c r="H1270" s="74">
        <f t="shared" si="238"/>
        <v>13118.740735234835</v>
      </c>
      <c r="I1270" s="74">
        <f t="shared" si="239"/>
        <v>94370.826909284224</v>
      </c>
      <c r="J1270" s="74">
        <f t="shared" si="240"/>
        <v>95278.299365702333</v>
      </c>
      <c r="K1270" s="74">
        <f t="shared" si="241"/>
        <v>-26881.259264765165</v>
      </c>
      <c r="L1270" s="74">
        <f t="shared" si="242"/>
        <v>94370.826909284224</v>
      </c>
      <c r="M1270" s="74">
        <f t="shared" si="243"/>
        <v>98124.691445128163</v>
      </c>
      <c r="N1270" s="74">
        <f t="shared" si="244"/>
        <v>-11881.259264765165</v>
      </c>
      <c r="O1270" s="74">
        <f t="shared" si="245"/>
        <v>39370.826909284224</v>
      </c>
      <c r="P1270" s="74">
        <f t="shared" si="246"/>
        <v>41124.522285825849</v>
      </c>
    </row>
    <row r="1271" spans="1:16" x14ac:dyDescent="0.3">
      <c r="A1271" s="72">
        <f t="shared" ref="A1271:A1309" si="249">A1270+$C$5</f>
        <v>481</v>
      </c>
      <c r="B1271" s="74">
        <f t="shared" ref="B1271:B1309" si="250">B1270+D1270*(A1271-A1270)+F1270*(A1271-A1270)^2</f>
        <v>3035.2123170554987</v>
      </c>
      <c r="C1271" s="74">
        <f t="shared" ref="C1271:C1309" si="251">C1270+E1270*(A1271-A1270)+G1270*(A1271-A1270)^2</f>
        <v>-71469.035389834418</v>
      </c>
      <c r="D1271" s="74">
        <f t="shared" ref="D1271:D1309" si="252">D1270+F1270*(A1271-A1270)</f>
        <v>-7692.0938954193334</v>
      </c>
      <c r="E1271" s="74">
        <f t="shared" ref="E1271:E1309" si="253">E1270+G1270*(A1271-A1270)</f>
        <v>5803.5830388996264</v>
      </c>
      <c r="F1271" s="74">
        <f t="shared" si="247"/>
        <v>-554.01117759934777</v>
      </c>
      <c r="G1271" s="74">
        <f t="shared" si="248"/>
        <v>3342.9112307090677</v>
      </c>
      <c r="H1271" s="74">
        <f t="shared" ref="H1271:H1309" si="254">$C$19-B1271</f>
        <v>16964.787682944501</v>
      </c>
      <c r="I1271" s="74">
        <f t="shared" ref="I1271:I1309" si="255">$D$19-C1271</f>
        <v>91469.035389834418</v>
      </c>
      <c r="J1271" s="74">
        <f t="shared" ref="J1271:J1309" si="256">SQRT(H1271^2+I1271^2)</f>
        <v>93028.965684211318</v>
      </c>
      <c r="K1271" s="74">
        <f t="shared" ref="K1271:K1309" si="257">$C$28-B1271</f>
        <v>-23035.212317055499</v>
      </c>
      <c r="L1271" s="74">
        <f t="shared" ref="L1271:L1309" si="258">$D$28-C1271</f>
        <v>91469.035389834418</v>
      </c>
      <c r="M1271" s="74">
        <f t="shared" ref="M1271:M1309" si="259">SQRT(K1271^2+L1271^2)</f>
        <v>94324.999028033955</v>
      </c>
      <c r="N1271" s="74">
        <f t="shared" ref="N1271:N1309" si="260">$C$37-B1271</f>
        <v>-8035.2123170554987</v>
      </c>
      <c r="O1271" s="74">
        <f t="shared" ref="O1271:O1309" si="261">$D$37-C1271</f>
        <v>36469.035389834418</v>
      </c>
      <c r="P1271" s="74">
        <f t="shared" ref="P1271:P1309" si="262">SQRT(N1271^2+O1271^2)</f>
        <v>37343.743508721185</v>
      </c>
    </row>
    <row r="1272" spans="1:16" x14ac:dyDescent="0.3">
      <c r="A1272" s="72">
        <f t="shared" si="249"/>
        <v>481.5</v>
      </c>
      <c r="B1272" s="74">
        <f t="shared" si="250"/>
        <v>-949.33742505400494</v>
      </c>
      <c r="C1272" s="74">
        <f t="shared" si="251"/>
        <v>-67731.516062707335</v>
      </c>
      <c r="D1272" s="74">
        <f t="shared" si="252"/>
        <v>-7969.0994842190075</v>
      </c>
      <c r="E1272" s="74">
        <f t="shared" si="253"/>
        <v>7475.0386542541601</v>
      </c>
      <c r="F1272" s="74">
        <f t="shared" si="247"/>
        <v>-352.88625561579011</v>
      </c>
      <c r="G1272" s="74">
        <f t="shared" si="248"/>
        <v>4098.0201513555021</v>
      </c>
      <c r="H1272" s="74">
        <f t="shared" si="254"/>
        <v>20949.337425054004</v>
      </c>
      <c r="I1272" s="74">
        <f t="shared" si="255"/>
        <v>87731.516062707335</v>
      </c>
      <c r="J1272" s="74">
        <f t="shared" si="256"/>
        <v>90198.080074965241</v>
      </c>
      <c r="K1272" s="74">
        <f t="shared" si="257"/>
        <v>-19050.662574945996</v>
      </c>
      <c r="L1272" s="74">
        <f t="shared" si="258"/>
        <v>87731.516062707335</v>
      </c>
      <c r="M1272" s="74">
        <f t="shared" si="259"/>
        <v>89776.091779524038</v>
      </c>
      <c r="N1272" s="74">
        <f t="shared" si="260"/>
        <v>-4050.6625749459949</v>
      </c>
      <c r="O1272" s="74">
        <f t="shared" si="261"/>
        <v>32731.516062707335</v>
      </c>
      <c r="P1272" s="74">
        <f t="shared" si="262"/>
        <v>32981.206937577896</v>
      </c>
    </row>
    <row r="1273" spans="1:16" x14ac:dyDescent="0.3">
      <c r="A1273" s="72">
        <f t="shared" si="249"/>
        <v>482</v>
      </c>
      <c r="B1273" s="74">
        <f t="shared" si="250"/>
        <v>-5022.1087310674566</v>
      </c>
      <c r="C1273" s="74">
        <f t="shared" si="251"/>
        <v>-62969.491697741374</v>
      </c>
      <c r="D1273" s="74">
        <f t="shared" si="252"/>
        <v>-8145.5426120269021</v>
      </c>
      <c r="E1273" s="74">
        <f t="shared" si="253"/>
        <v>9524.0487299319102</v>
      </c>
      <c r="F1273" s="74">
        <f t="shared" si="247"/>
        <v>108.53150695733898</v>
      </c>
      <c r="G1273" s="74">
        <f t="shared" si="248"/>
        <v>5286.93856560514</v>
      </c>
      <c r="H1273" s="74">
        <f t="shared" si="254"/>
        <v>25022.108731067456</v>
      </c>
      <c r="I1273" s="74">
        <f t="shared" si="255"/>
        <v>82969.491697741381</v>
      </c>
      <c r="J1273" s="74">
        <f t="shared" si="256"/>
        <v>86660.501255940922</v>
      </c>
      <c r="K1273" s="74">
        <f t="shared" si="257"/>
        <v>-14977.891268932544</v>
      </c>
      <c r="L1273" s="74">
        <f t="shared" si="258"/>
        <v>82969.491697741381</v>
      </c>
      <c r="M1273" s="74">
        <f t="shared" si="259"/>
        <v>84310.579285434535</v>
      </c>
      <c r="N1273" s="74">
        <f t="shared" si="260"/>
        <v>22.108731067456574</v>
      </c>
      <c r="O1273" s="74">
        <f t="shared" si="261"/>
        <v>27969.491697741374</v>
      </c>
      <c r="P1273" s="74">
        <f t="shared" si="262"/>
        <v>27969.500435760612</v>
      </c>
    </row>
    <row r="1274" spans="1:16" x14ac:dyDescent="0.3">
      <c r="A1274" s="72">
        <f t="shared" si="249"/>
        <v>482.5</v>
      </c>
      <c r="B1274" s="74">
        <f t="shared" si="250"/>
        <v>-9067.7471603415725</v>
      </c>
      <c r="C1274" s="74">
        <f t="shared" si="251"/>
        <v>-56885.732691374134</v>
      </c>
      <c r="D1274" s="74">
        <f t="shared" si="252"/>
        <v>-8091.2768585482327</v>
      </c>
      <c r="E1274" s="74">
        <f t="shared" si="253"/>
        <v>12167.518012734479</v>
      </c>
      <c r="F1274" s="74">
        <f t="shared" si="247"/>
        <v>1337.6182923518129</v>
      </c>
      <c r="G1274" s="74">
        <f t="shared" si="248"/>
        <v>7221.8223930791746</v>
      </c>
      <c r="H1274" s="74">
        <f t="shared" si="254"/>
        <v>29067.747160341572</v>
      </c>
      <c r="I1274" s="74">
        <f t="shared" si="255"/>
        <v>76885.732691374142</v>
      </c>
      <c r="J1274" s="74">
        <f t="shared" si="256"/>
        <v>82197.01829426043</v>
      </c>
      <c r="K1274" s="74">
        <f t="shared" si="257"/>
        <v>-10932.252839658428</v>
      </c>
      <c r="L1274" s="74">
        <f t="shared" si="258"/>
        <v>76885.732691374142</v>
      </c>
      <c r="M1274" s="74">
        <f t="shared" si="259"/>
        <v>77659.062855790748</v>
      </c>
      <c r="N1274" s="74">
        <f t="shared" si="260"/>
        <v>4067.7471603415725</v>
      </c>
      <c r="O1274" s="74">
        <f t="shared" si="261"/>
        <v>21885.732691374134</v>
      </c>
      <c r="P1274" s="74">
        <f t="shared" si="262"/>
        <v>22260.544970839088</v>
      </c>
    </row>
    <row r="1275" spans="1:16" x14ac:dyDescent="0.3">
      <c r="A1275" s="72">
        <f t="shared" si="249"/>
        <v>483</v>
      </c>
      <c r="B1275" s="74">
        <f t="shared" si="250"/>
        <v>-12778.981016527736</v>
      </c>
      <c r="C1275" s="74">
        <f t="shared" si="251"/>
        <v>-48996.518086737102</v>
      </c>
      <c r="D1275" s="74">
        <f t="shared" si="252"/>
        <v>-7422.4677123723259</v>
      </c>
      <c r="E1275" s="74">
        <f t="shared" si="253"/>
        <v>15778.429209274067</v>
      </c>
      <c r="F1275" s="74">
        <f t="shared" si="247"/>
        <v>5097.4096740143923</v>
      </c>
      <c r="G1275" s="74">
        <f t="shared" si="248"/>
        <v>9779.7503114673073</v>
      </c>
      <c r="H1275" s="74">
        <f t="shared" si="254"/>
        <v>32778.981016527738</v>
      </c>
      <c r="I1275" s="74">
        <f t="shared" si="255"/>
        <v>68996.518086737109</v>
      </c>
      <c r="J1275" s="74">
        <f t="shared" si="256"/>
        <v>76387.048015847075</v>
      </c>
      <c r="K1275" s="74">
        <f t="shared" si="257"/>
        <v>-7221.0189834722642</v>
      </c>
      <c r="L1275" s="74">
        <f t="shared" si="258"/>
        <v>68996.518086737109</v>
      </c>
      <c r="M1275" s="74">
        <f t="shared" si="259"/>
        <v>69373.356724704528</v>
      </c>
      <c r="N1275" s="74">
        <f t="shared" si="260"/>
        <v>7778.9810165277358</v>
      </c>
      <c r="O1275" s="74">
        <f t="shared" si="261"/>
        <v>13996.518086737102</v>
      </c>
      <c r="P1275" s="74">
        <f t="shared" si="262"/>
        <v>16012.965503236986</v>
      </c>
    </row>
    <row r="1276" spans="1:16" x14ac:dyDescent="0.3">
      <c r="A1276" s="72">
        <f t="shared" si="249"/>
        <v>483.5</v>
      </c>
      <c r="B1276" s="74">
        <f t="shared" si="250"/>
        <v>-15215.862454210301</v>
      </c>
      <c r="C1276" s="74">
        <f t="shared" si="251"/>
        <v>-38662.365904233244</v>
      </c>
      <c r="D1276" s="74">
        <f t="shared" si="252"/>
        <v>-4873.7628753651297</v>
      </c>
      <c r="E1276" s="74">
        <f t="shared" si="253"/>
        <v>20668.30436500772</v>
      </c>
      <c r="F1276" s="74">
        <f t="shared" si="247"/>
        <v>13712.357612543157</v>
      </c>
      <c r="G1276" s="74">
        <f t="shared" si="248"/>
        <v>6117.0044237385282</v>
      </c>
      <c r="H1276" s="74">
        <f t="shared" si="254"/>
        <v>35215.862454210299</v>
      </c>
      <c r="I1276" s="74">
        <f t="shared" si="255"/>
        <v>58662.365904233244</v>
      </c>
      <c r="J1276" s="74">
        <f t="shared" si="256"/>
        <v>68420.977352534261</v>
      </c>
      <c r="K1276" s="74">
        <f t="shared" si="257"/>
        <v>-4784.1375457896993</v>
      </c>
      <c r="L1276" s="74">
        <f t="shared" si="258"/>
        <v>58662.365904233244</v>
      </c>
      <c r="M1276" s="74">
        <f t="shared" si="259"/>
        <v>58857.124849411237</v>
      </c>
      <c r="N1276" s="74">
        <f t="shared" si="260"/>
        <v>10215.862454210301</v>
      </c>
      <c r="O1276" s="74">
        <f t="shared" si="261"/>
        <v>3662.3659042332438</v>
      </c>
      <c r="P1276" s="74">
        <f t="shared" si="262"/>
        <v>10852.500619665216</v>
      </c>
    </row>
    <row r="1277" spans="1:16" x14ac:dyDescent="0.3">
      <c r="A1277" s="72">
        <f t="shared" si="249"/>
        <v>484</v>
      </c>
      <c r="B1277" s="74">
        <f t="shared" si="250"/>
        <v>-14224.654488757078</v>
      </c>
      <c r="C1277" s="74">
        <f t="shared" si="251"/>
        <v>-26798.962615794753</v>
      </c>
      <c r="D1277" s="74">
        <f t="shared" si="252"/>
        <v>1982.4159309064489</v>
      </c>
      <c r="E1277" s="74">
        <f t="shared" si="253"/>
        <v>23726.806576876985</v>
      </c>
      <c r="F1277" s="74">
        <f t="shared" si="247"/>
        <v>10229.69605017098</v>
      </c>
      <c r="G1277" s="74">
        <f t="shared" si="248"/>
        <v>-6689.4120856982099</v>
      </c>
      <c r="H1277" s="74">
        <f t="shared" si="254"/>
        <v>34224.654488757078</v>
      </c>
      <c r="I1277" s="74">
        <f t="shared" si="255"/>
        <v>46798.96261579475</v>
      </c>
      <c r="J1277" s="74">
        <f t="shared" si="256"/>
        <v>57978.184490283536</v>
      </c>
      <c r="K1277" s="74">
        <f t="shared" si="257"/>
        <v>-5775.3455112429219</v>
      </c>
      <c r="L1277" s="74">
        <f t="shared" si="258"/>
        <v>46798.96261579475</v>
      </c>
      <c r="M1277" s="74">
        <f t="shared" si="259"/>
        <v>47153.976690081916</v>
      </c>
      <c r="N1277" s="74">
        <f t="shared" si="260"/>
        <v>9224.6544887570781</v>
      </c>
      <c r="O1277" s="74">
        <f t="shared" si="261"/>
        <v>-8201.0373842052468</v>
      </c>
      <c r="P1277" s="74">
        <f t="shared" si="262"/>
        <v>12343.065446398563</v>
      </c>
    </row>
    <row r="1278" spans="1:16" x14ac:dyDescent="0.3">
      <c r="A1278" s="72">
        <f t="shared" si="249"/>
        <v>484.5</v>
      </c>
      <c r="B1278" s="74">
        <f t="shared" si="250"/>
        <v>-10676.022510761108</v>
      </c>
      <c r="C1278" s="74">
        <f t="shared" si="251"/>
        <v>-16607.912348780814</v>
      </c>
      <c r="D1278" s="74">
        <f t="shared" si="252"/>
        <v>7097.2639559919389</v>
      </c>
      <c r="E1278" s="74">
        <f t="shared" si="253"/>
        <v>20382.100534027879</v>
      </c>
      <c r="F1278" s="74">
        <f t="shared" si="247"/>
        <v>3088.3361824833619</v>
      </c>
      <c r="G1278" s="74">
        <f t="shared" si="248"/>
        <v>-4865.8645161861759</v>
      </c>
      <c r="H1278" s="74">
        <f t="shared" si="254"/>
        <v>30676.022510761108</v>
      </c>
      <c r="I1278" s="74">
        <f t="shared" si="255"/>
        <v>36607.91234878081</v>
      </c>
      <c r="J1278" s="74">
        <f t="shared" si="256"/>
        <v>47761.465677015614</v>
      </c>
      <c r="K1278" s="74">
        <f t="shared" si="257"/>
        <v>-9323.9774892388923</v>
      </c>
      <c r="L1278" s="74">
        <f t="shared" si="258"/>
        <v>36607.91234878081</v>
      </c>
      <c r="M1278" s="74">
        <f t="shared" si="259"/>
        <v>37776.656849910003</v>
      </c>
      <c r="N1278" s="74">
        <f t="shared" si="260"/>
        <v>5676.0225107611077</v>
      </c>
      <c r="O1278" s="74">
        <f t="shared" si="261"/>
        <v>-18392.087651219186</v>
      </c>
      <c r="P1278" s="74">
        <f t="shared" si="262"/>
        <v>19248.015994195252</v>
      </c>
    </row>
    <row r="1279" spans="1:16" x14ac:dyDescent="0.3">
      <c r="A1279" s="72">
        <f t="shared" si="249"/>
        <v>485</v>
      </c>
      <c r="B1279" s="74">
        <f t="shared" si="250"/>
        <v>-6355.3064871442975</v>
      </c>
      <c r="C1279" s="74">
        <f t="shared" si="251"/>
        <v>-7633.3282108134181</v>
      </c>
      <c r="D1279" s="74">
        <f t="shared" si="252"/>
        <v>8641.4320472336203</v>
      </c>
      <c r="E1279" s="74">
        <f t="shared" si="253"/>
        <v>17949.16827593479</v>
      </c>
      <c r="F1279" s="74">
        <f t="shared" si="247"/>
        <v>1117.0094842317208</v>
      </c>
      <c r="G1279" s="74">
        <f t="shared" si="248"/>
        <v>-901.5869929519331</v>
      </c>
      <c r="H1279" s="74">
        <f t="shared" si="254"/>
        <v>26355.306487144298</v>
      </c>
      <c r="I1279" s="74">
        <f t="shared" si="255"/>
        <v>27633.328210813419</v>
      </c>
      <c r="J1279" s="74">
        <f t="shared" si="256"/>
        <v>38186.424394512862</v>
      </c>
      <c r="K1279" s="74">
        <f t="shared" si="257"/>
        <v>-13644.693512855702</v>
      </c>
      <c r="L1279" s="74">
        <f t="shared" si="258"/>
        <v>27633.328210813419</v>
      </c>
      <c r="M1279" s="74">
        <f t="shared" si="259"/>
        <v>30818.476423507753</v>
      </c>
      <c r="N1279" s="74">
        <f t="shared" si="260"/>
        <v>1355.3064871442975</v>
      </c>
      <c r="O1279" s="74">
        <f t="shared" si="261"/>
        <v>-27366.671789186581</v>
      </c>
      <c r="P1279" s="74">
        <f t="shared" si="262"/>
        <v>27400.211322016406</v>
      </c>
    </row>
    <row r="1280" spans="1:16" x14ac:dyDescent="0.3">
      <c r="A1280" s="72">
        <f t="shared" si="249"/>
        <v>485.5</v>
      </c>
      <c r="B1280" s="74">
        <f t="shared" si="250"/>
        <v>-1755.3380924695571</v>
      </c>
      <c r="C1280" s="74">
        <f t="shared" si="251"/>
        <v>1115.8591789159934</v>
      </c>
      <c r="D1280" s="74">
        <f t="shared" si="252"/>
        <v>9199.93678934948</v>
      </c>
      <c r="E1280" s="74">
        <f t="shared" si="253"/>
        <v>17498.374779458823</v>
      </c>
      <c r="F1280" s="74">
        <f t="shared" si="247"/>
        <v>1066.4020000990411</v>
      </c>
      <c r="G1280" s="74">
        <f t="shared" si="248"/>
        <v>1905.1398129623985</v>
      </c>
      <c r="H1280" s="74">
        <f t="shared" si="254"/>
        <v>21755.338092469556</v>
      </c>
      <c r="I1280" s="74">
        <f t="shared" si="255"/>
        <v>18884.140821084005</v>
      </c>
      <c r="J1280" s="74">
        <f t="shared" si="256"/>
        <v>28808.0806383936</v>
      </c>
      <c r="K1280" s="74">
        <f t="shared" si="257"/>
        <v>-18244.661907530444</v>
      </c>
      <c r="L1280" s="74">
        <f t="shared" si="258"/>
        <v>18884.140821084005</v>
      </c>
      <c r="M1280" s="74">
        <f t="shared" si="259"/>
        <v>26257.921903125232</v>
      </c>
      <c r="N1280" s="74">
        <f t="shared" si="260"/>
        <v>-3244.6619075304429</v>
      </c>
      <c r="O1280" s="74">
        <f t="shared" si="261"/>
        <v>-36115.859178915991</v>
      </c>
      <c r="P1280" s="74">
        <f t="shared" si="262"/>
        <v>36261.317062752554</v>
      </c>
    </row>
    <row r="1281" spans="1:16" x14ac:dyDescent="0.3">
      <c r="A1281" s="72">
        <f t="shared" si="249"/>
        <v>486</v>
      </c>
      <c r="B1281" s="74">
        <f t="shared" si="250"/>
        <v>3111.230802229943</v>
      </c>
      <c r="C1281" s="74">
        <f t="shared" si="251"/>
        <v>10341.331521886004</v>
      </c>
      <c r="D1281" s="74">
        <f t="shared" si="252"/>
        <v>9733.1377893990011</v>
      </c>
      <c r="E1281" s="74">
        <f t="shared" si="253"/>
        <v>18450.944685940023</v>
      </c>
      <c r="F1281" s="74">
        <f t="shared" si="247"/>
        <v>3707.5347694786615</v>
      </c>
      <c r="G1281" s="74">
        <f t="shared" si="248"/>
        <v>3190.6755084083134</v>
      </c>
      <c r="H1281" s="74">
        <f t="shared" si="254"/>
        <v>16888.769197770056</v>
      </c>
      <c r="I1281" s="74">
        <f t="shared" si="255"/>
        <v>9658.6684781139957</v>
      </c>
      <c r="J1281" s="74">
        <f t="shared" si="256"/>
        <v>19455.600781925485</v>
      </c>
      <c r="K1281" s="74">
        <f t="shared" si="257"/>
        <v>-23111.230802229944</v>
      </c>
      <c r="L1281" s="74">
        <f t="shared" si="258"/>
        <v>9658.6684781139957</v>
      </c>
      <c r="M1281" s="74">
        <f t="shared" si="259"/>
        <v>25048.330602338654</v>
      </c>
      <c r="N1281" s="74">
        <f t="shared" si="260"/>
        <v>-8111.230802229943</v>
      </c>
      <c r="O1281" s="74">
        <f t="shared" si="261"/>
        <v>-45341.331521886008</v>
      </c>
      <c r="P1281" s="74">
        <f t="shared" si="262"/>
        <v>46061.137733501739</v>
      </c>
    </row>
    <row r="1282" spans="1:16" x14ac:dyDescent="0.3">
      <c r="A1282" s="72">
        <f t="shared" si="249"/>
        <v>486.5</v>
      </c>
      <c r="B1282" s="74">
        <f t="shared" si="250"/>
        <v>8904.683389299109</v>
      </c>
      <c r="C1282" s="74">
        <f t="shared" si="251"/>
        <v>20364.472741958096</v>
      </c>
      <c r="D1282" s="74">
        <f t="shared" si="252"/>
        <v>11586.905174138332</v>
      </c>
      <c r="E1282" s="74">
        <f t="shared" si="253"/>
        <v>20046.282440144179</v>
      </c>
      <c r="F1282" s="74">
        <f t="shared" si="247"/>
        <v>11337.254493895896</v>
      </c>
      <c r="G1282" s="74">
        <f t="shared" si="248"/>
        <v>-1678.1748513642499</v>
      </c>
      <c r="H1282" s="74">
        <f t="shared" si="254"/>
        <v>11095.316610700891</v>
      </c>
      <c r="I1282" s="74">
        <f t="shared" si="255"/>
        <v>-364.47274195809587</v>
      </c>
      <c r="J1282" s="74">
        <f t="shared" si="256"/>
        <v>11101.301323328069</v>
      </c>
      <c r="K1282" s="74">
        <f t="shared" si="257"/>
        <v>-28904.683389299109</v>
      </c>
      <c r="L1282" s="74">
        <f t="shared" si="258"/>
        <v>-364.47274195809587</v>
      </c>
      <c r="M1282" s="74">
        <f t="shared" si="259"/>
        <v>28906.981202042774</v>
      </c>
      <c r="N1282" s="74">
        <f t="shared" si="260"/>
        <v>-13904.683389299109</v>
      </c>
      <c r="O1282" s="74">
        <f t="shared" si="261"/>
        <v>-55364.472741958096</v>
      </c>
      <c r="P1282" s="74">
        <f t="shared" si="262"/>
        <v>57083.842391272781</v>
      </c>
    </row>
    <row r="1283" spans="1:16" x14ac:dyDescent="0.3">
      <c r="A1283" s="72">
        <f t="shared" si="249"/>
        <v>487</v>
      </c>
      <c r="B1283" s="74">
        <f t="shared" si="250"/>
        <v>17532.44959984225</v>
      </c>
      <c r="C1283" s="74">
        <f t="shared" si="251"/>
        <v>29968.070249189121</v>
      </c>
      <c r="D1283" s="74">
        <f t="shared" si="252"/>
        <v>17255.532421086282</v>
      </c>
      <c r="E1283" s="74">
        <f t="shared" si="253"/>
        <v>19207.195014462053</v>
      </c>
      <c r="F1283" s="74">
        <f t="shared" si="247"/>
        <v>1937.1547555726622</v>
      </c>
      <c r="G1283" s="74">
        <f t="shared" si="248"/>
        <v>-15332.764199105295</v>
      </c>
      <c r="H1283" s="74">
        <f t="shared" si="254"/>
        <v>2467.5504001577501</v>
      </c>
      <c r="I1283" s="74">
        <f t="shared" si="255"/>
        <v>-9968.0702491891207</v>
      </c>
      <c r="J1283" s="74">
        <f t="shared" si="256"/>
        <v>10268.944905397435</v>
      </c>
      <c r="K1283" s="74">
        <f t="shared" si="257"/>
        <v>-37532.44959984225</v>
      </c>
      <c r="L1283" s="74">
        <f t="shared" si="258"/>
        <v>-9968.0702491891207</v>
      </c>
      <c r="M1283" s="74">
        <f t="shared" si="259"/>
        <v>38833.58337132266</v>
      </c>
      <c r="N1283" s="74">
        <f t="shared" si="260"/>
        <v>-22532.44959984225</v>
      </c>
      <c r="O1283" s="74">
        <f t="shared" si="261"/>
        <v>-64968.070249189121</v>
      </c>
      <c r="P1283" s="74">
        <f t="shared" si="262"/>
        <v>68764.536185980367</v>
      </c>
    </row>
    <row r="1284" spans="1:16" x14ac:dyDescent="0.3">
      <c r="A1284" s="72">
        <f t="shared" si="249"/>
        <v>487.5</v>
      </c>
      <c r="B1284" s="74">
        <f t="shared" si="250"/>
        <v>26644.504499278555</v>
      </c>
      <c r="C1284" s="74">
        <f t="shared" si="251"/>
        <v>35738.476706643822</v>
      </c>
      <c r="D1284" s="74">
        <f t="shared" si="252"/>
        <v>18224.109798872614</v>
      </c>
      <c r="E1284" s="74">
        <f t="shared" si="253"/>
        <v>11540.812914909406</v>
      </c>
      <c r="F1284" s="74">
        <f t="shared" si="247"/>
        <v>-4672.4062482711506</v>
      </c>
      <c r="G1284" s="74">
        <f t="shared" si="248"/>
        <v>-9392.3151799525367</v>
      </c>
      <c r="H1284" s="74">
        <f t="shared" si="254"/>
        <v>-6644.5044992785552</v>
      </c>
      <c r="I1284" s="74">
        <f t="shared" si="255"/>
        <v>-15738.476706643822</v>
      </c>
      <c r="J1284" s="74">
        <f t="shared" si="256"/>
        <v>17083.591223349475</v>
      </c>
      <c r="K1284" s="74">
        <f t="shared" si="257"/>
        <v>-46644.504499278555</v>
      </c>
      <c r="L1284" s="74">
        <f t="shared" si="258"/>
        <v>-15738.476706643822</v>
      </c>
      <c r="M1284" s="74">
        <f t="shared" si="259"/>
        <v>49228.136761701513</v>
      </c>
      <c r="N1284" s="74">
        <f t="shared" si="260"/>
        <v>-31644.504499278555</v>
      </c>
      <c r="O1284" s="74">
        <f t="shared" si="261"/>
        <v>-70738.476706643822</v>
      </c>
      <c r="P1284" s="74">
        <f t="shared" si="262"/>
        <v>77493.914288679793</v>
      </c>
    </row>
    <row r="1285" spans="1:16" x14ac:dyDescent="0.3">
      <c r="A1285" s="72">
        <f t="shared" si="249"/>
        <v>488</v>
      </c>
      <c r="B1285" s="74">
        <f t="shared" si="250"/>
        <v>34588.457836647074</v>
      </c>
      <c r="C1285" s="74">
        <f t="shared" si="251"/>
        <v>39160.804369110389</v>
      </c>
      <c r="D1285" s="74">
        <f t="shared" si="252"/>
        <v>15887.906674737038</v>
      </c>
      <c r="E1285" s="74">
        <f t="shared" si="253"/>
        <v>6844.6553249331373</v>
      </c>
      <c r="F1285" s="74">
        <f t="shared" si="247"/>
        <v>-4307.4295205630133</v>
      </c>
      <c r="G1285" s="74">
        <f t="shared" si="248"/>
        <v>-5244.9089680771967</v>
      </c>
      <c r="H1285" s="74">
        <f t="shared" si="254"/>
        <v>-14588.457836647074</v>
      </c>
      <c r="I1285" s="74">
        <f t="shared" si="255"/>
        <v>-19160.804369110389</v>
      </c>
      <c r="J1285" s="74">
        <f t="shared" si="256"/>
        <v>24082.348849789323</v>
      </c>
      <c r="K1285" s="74">
        <f t="shared" si="257"/>
        <v>-54588.457836647074</v>
      </c>
      <c r="L1285" s="74">
        <f t="shared" si="258"/>
        <v>-19160.804369110389</v>
      </c>
      <c r="M1285" s="74">
        <f t="shared" si="259"/>
        <v>57853.575110400183</v>
      </c>
      <c r="N1285" s="74">
        <f t="shared" si="260"/>
        <v>-39588.457836647074</v>
      </c>
      <c r="O1285" s="74">
        <f t="shared" si="261"/>
        <v>-74160.804369110381</v>
      </c>
      <c r="P1285" s="74">
        <f t="shared" si="262"/>
        <v>84065.87237730567</v>
      </c>
    </row>
    <row r="1286" spans="1:16" x14ac:dyDescent="0.3">
      <c r="A1286" s="72">
        <f t="shared" si="249"/>
        <v>488.5</v>
      </c>
      <c r="B1286" s="74">
        <f t="shared" si="250"/>
        <v>41455.553793874838</v>
      </c>
      <c r="C1286" s="74">
        <f t="shared" si="251"/>
        <v>41271.904789557659</v>
      </c>
      <c r="D1286" s="74">
        <f t="shared" si="252"/>
        <v>13734.191914455532</v>
      </c>
      <c r="E1286" s="74">
        <f t="shared" si="253"/>
        <v>4222.2008408945385</v>
      </c>
      <c r="F1286" s="74">
        <f t="shared" si="247"/>
        <v>-3524.8517275366903</v>
      </c>
      <c r="G1286" s="74">
        <f t="shared" si="248"/>
        <v>-3366.7342987114557</v>
      </c>
      <c r="H1286" s="74">
        <f t="shared" si="254"/>
        <v>-21455.553793874838</v>
      </c>
      <c r="I1286" s="74">
        <f t="shared" si="255"/>
        <v>-21271.904789557659</v>
      </c>
      <c r="J1286" s="74">
        <f t="shared" si="256"/>
        <v>30213.154783601516</v>
      </c>
      <c r="K1286" s="74">
        <f t="shared" si="257"/>
        <v>-61455.553793874838</v>
      </c>
      <c r="L1286" s="74">
        <f t="shared" si="258"/>
        <v>-21271.904789557659</v>
      </c>
      <c r="M1286" s="74">
        <f t="shared" si="259"/>
        <v>65032.907250774588</v>
      </c>
      <c r="N1286" s="74">
        <f t="shared" si="260"/>
        <v>-46455.553793874838</v>
      </c>
      <c r="O1286" s="74">
        <f t="shared" si="261"/>
        <v>-76271.904789557651</v>
      </c>
      <c r="P1286" s="74">
        <f t="shared" si="262"/>
        <v>89305.77774434835</v>
      </c>
    </row>
    <row r="1287" spans="1:16" x14ac:dyDescent="0.3">
      <c r="A1287" s="72">
        <f t="shared" si="249"/>
        <v>489</v>
      </c>
      <c r="B1287" s="74">
        <f t="shared" si="250"/>
        <v>47441.436819218434</v>
      </c>
      <c r="C1287" s="74">
        <f t="shared" si="251"/>
        <v>42541.321635327062</v>
      </c>
      <c r="D1287" s="74">
        <f t="shared" si="252"/>
        <v>11971.766050687187</v>
      </c>
      <c r="E1287" s="74">
        <f t="shared" si="253"/>
        <v>2538.8336915388109</v>
      </c>
      <c r="F1287" s="74">
        <f t="shared" si="247"/>
        <v>-2946.9919223299603</v>
      </c>
      <c r="G1287" s="74">
        <f t="shared" si="248"/>
        <v>-2401.4596191989262</v>
      </c>
      <c r="H1287" s="74">
        <f t="shared" si="254"/>
        <v>-27441.436819218434</v>
      </c>
      <c r="I1287" s="74">
        <f t="shared" si="255"/>
        <v>-22541.321635327062</v>
      </c>
      <c r="J1287" s="74">
        <f t="shared" si="256"/>
        <v>35512.584188853689</v>
      </c>
      <c r="K1287" s="74">
        <f t="shared" si="257"/>
        <v>-67441.436819218434</v>
      </c>
      <c r="L1287" s="74">
        <f t="shared" si="258"/>
        <v>-22541.321635327062</v>
      </c>
      <c r="M1287" s="74">
        <f t="shared" si="259"/>
        <v>71108.779917165608</v>
      </c>
      <c r="N1287" s="74">
        <f t="shared" si="260"/>
        <v>-52441.436819218434</v>
      </c>
      <c r="O1287" s="74">
        <f t="shared" si="261"/>
        <v>-77541.321635327069</v>
      </c>
      <c r="P1287" s="74">
        <f t="shared" si="262"/>
        <v>93609.61946625635</v>
      </c>
    </row>
    <row r="1288" spans="1:16" x14ac:dyDescent="0.3">
      <c r="A1288" s="72">
        <f t="shared" si="249"/>
        <v>489.5</v>
      </c>
      <c r="B1288" s="74">
        <f t="shared" si="250"/>
        <v>52690.571863979538</v>
      </c>
      <c r="C1288" s="74">
        <f t="shared" si="251"/>
        <v>43210.373576296734</v>
      </c>
      <c r="D1288" s="74">
        <f t="shared" si="252"/>
        <v>10498.270089522208</v>
      </c>
      <c r="E1288" s="74">
        <f t="shared" si="253"/>
        <v>1338.1038819393477</v>
      </c>
      <c r="F1288" s="74">
        <f t="shared" si="247"/>
        <v>-2545.2375107488806</v>
      </c>
      <c r="G1288" s="74">
        <f t="shared" si="248"/>
        <v>-1839.5851151033003</v>
      </c>
      <c r="H1288" s="74">
        <f t="shared" si="254"/>
        <v>-32690.571863979538</v>
      </c>
      <c r="I1288" s="74">
        <f t="shared" si="255"/>
        <v>-23210.373576296734</v>
      </c>
      <c r="J1288" s="74">
        <f t="shared" si="256"/>
        <v>40092.33006879576</v>
      </c>
      <c r="K1288" s="74">
        <f t="shared" si="257"/>
        <v>-72690.571863979538</v>
      </c>
      <c r="L1288" s="74">
        <f t="shared" si="258"/>
        <v>-23210.373576296734</v>
      </c>
      <c r="M1288" s="74">
        <f t="shared" si="259"/>
        <v>76306.229624216314</v>
      </c>
      <c r="N1288" s="74">
        <f t="shared" si="260"/>
        <v>-57690.571863979538</v>
      </c>
      <c r="O1288" s="74">
        <f t="shared" si="261"/>
        <v>-78210.373576296726</v>
      </c>
      <c r="P1288" s="74">
        <f t="shared" si="262"/>
        <v>97185.722289526064</v>
      </c>
    </row>
    <row r="1289" spans="1:16" x14ac:dyDescent="0.3">
      <c r="A1289" s="72">
        <f t="shared" si="249"/>
        <v>490</v>
      </c>
      <c r="B1289" s="74">
        <f t="shared" si="250"/>
        <v>57303.397531053422</v>
      </c>
      <c r="C1289" s="74">
        <f t="shared" si="251"/>
        <v>43419.529238490577</v>
      </c>
      <c r="D1289" s="74">
        <f t="shared" si="252"/>
        <v>9225.6513341477676</v>
      </c>
      <c r="E1289" s="74">
        <f t="shared" si="253"/>
        <v>418.3113243876976</v>
      </c>
      <c r="F1289" s="74">
        <f t="shared" si="247"/>
        <v>-2261.7882910559542</v>
      </c>
      <c r="G1289" s="74">
        <f t="shared" si="248"/>
        <v>-1480.7125852560746</v>
      </c>
      <c r="H1289" s="74">
        <f t="shared" si="254"/>
        <v>-37303.397531053422</v>
      </c>
      <c r="I1289" s="74">
        <f t="shared" si="255"/>
        <v>-23419.529238490577</v>
      </c>
      <c r="J1289" s="74">
        <f t="shared" si="256"/>
        <v>44045.633348974763</v>
      </c>
      <c r="K1289" s="74">
        <f t="shared" si="257"/>
        <v>-77303.39753105343</v>
      </c>
      <c r="L1289" s="74">
        <f t="shared" si="258"/>
        <v>-23419.529238490577</v>
      </c>
      <c r="M1289" s="74">
        <f t="shared" si="259"/>
        <v>80773.074843022987</v>
      </c>
      <c r="N1289" s="74">
        <f t="shared" si="260"/>
        <v>-62303.397531053422</v>
      </c>
      <c r="O1289" s="74">
        <f t="shared" si="261"/>
        <v>-78419.529238490577</v>
      </c>
      <c r="P1289" s="74">
        <f t="shared" si="262"/>
        <v>100156.55699902504</v>
      </c>
    </row>
    <row r="1290" spans="1:16" x14ac:dyDescent="0.3">
      <c r="A1290" s="72">
        <f t="shared" si="249"/>
        <v>490.5</v>
      </c>
      <c r="B1290" s="74">
        <f t="shared" si="250"/>
        <v>61350.776125363322</v>
      </c>
      <c r="C1290" s="74">
        <f t="shared" si="251"/>
        <v>43258.506754370406</v>
      </c>
      <c r="D1290" s="74">
        <f t="shared" si="252"/>
        <v>8094.7571886197902</v>
      </c>
      <c r="E1290" s="74">
        <f t="shared" si="253"/>
        <v>-322.0449682403397</v>
      </c>
      <c r="F1290" s="74">
        <f t="shared" si="247"/>
        <v>-2057.5484640523846</v>
      </c>
      <c r="G1290" s="74">
        <f t="shared" si="248"/>
        <v>-1235.2370333458366</v>
      </c>
      <c r="H1290" s="74">
        <f t="shared" si="254"/>
        <v>-41350.776125363322</v>
      </c>
      <c r="I1290" s="74">
        <f t="shared" si="255"/>
        <v>-23258.506754370406</v>
      </c>
      <c r="J1290" s="74">
        <f t="shared" si="256"/>
        <v>47443.069279010728</v>
      </c>
      <c r="K1290" s="74">
        <f t="shared" si="257"/>
        <v>-81350.776125363322</v>
      </c>
      <c r="L1290" s="74">
        <f t="shared" si="258"/>
        <v>-23258.506754370406</v>
      </c>
      <c r="M1290" s="74">
        <f t="shared" si="259"/>
        <v>84610.323912877662</v>
      </c>
      <c r="N1290" s="74">
        <f t="shared" si="260"/>
        <v>-66350.776125363322</v>
      </c>
      <c r="O1290" s="74">
        <f t="shared" si="261"/>
        <v>-78258.506754370406</v>
      </c>
      <c r="P1290" s="74">
        <f t="shared" si="262"/>
        <v>102600.28933615111</v>
      </c>
    </row>
    <row r="1291" spans="1:16" x14ac:dyDescent="0.3">
      <c r="A1291" s="72">
        <f t="shared" si="249"/>
        <v>491</v>
      </c>
      <c r="B1291" s="74">
        <f t="shared" si="250"/>
        <v>64883.767603660119</v>
      </c>
      <c r="C1291" s="74">
        <f t="shared" si="251"/>
        <v>42788.67501191378</v>
      </c>
      <c r="D1291" s="74">
        <f t="shared" si="252"/>
        <v>7065.9829565935979</v>
      </c>
      <c r="E1291" s="74">
        <f t="shared" si="253"/>
        <v>-939.663484913258</v>
      </c>
      <c r="F1291" s="74">
        <f t="shared" si="247"/>
        <v>-1908.2445557236424</v>
      </c>
      <c r="G1291" s="74">
        <f t="shared" si="248"/>
        <v>-1058.3797378539255</v>
      </c>
      <c r="H1291" s="74">
        <f t="shared" si="254"/>
        <v>-44883.767603660119</v>
      </c>
      <c r="I1291" s="74">
        <f t="shared" si="255"/>
        <v>-22788.67501191378</v>
      </c>
      <c r="J1291" s="74">
        <f t="shared" si="256"/>
        <v>50337.623137152521</v>
      </c>
      <c r="K1291" s="74">
        <f t="shared" si="257"/>
        <v>-84883.767603660119</v>
      </c>
      <c r="L1291" s="74">
        <f t="shared" si="258"/>
        <v>-22788.67501191378</v>
      </c>
      <c r="M1291" s="74">
        <f t="shared" si="259"/>
        <v>87889.576807439473</v>
      </c>
      <c r="N1291" s="74">
        <f t="shared" si="260"/>
        <v>-69883.767603660119</v>
      </c>
      <c r="O1291" s="74">
        <f t="shared" si="261"/>
        <v>-77788.675011913787</v>
      </c>
      <c r="P1291" s="74">
        <f t="shared" si="262"/>
        <v>104569.6845868415</v>
      </c>
    </row>
    <row r="1292" spans="1:16" x14ac:dyDescent="0.3">
      <c r="A1292" s="72">
        <f t="shared" si="249"/>
        <v>491.5</v>
      </c>
      <c r="B1292" s="74">
        <f t="shared" si="250"/>
        <v>67939.697943026011</v>
      </c>
      <c r="C1292" s="74">
        <f t="shared" si="251"/>
        <v>42054.248334993674</v>
      </c>
      <c r="D1292" s="74">
        <f t="shared" si="252"/>
        <v>6111.8606787317767</v>
      </c>
      <c r="E1292" s="74">
        <f t="shared" si="253"/>
        <v>-1468.8533538402207</v>
      </c>
      <c r="F1292" s="74">
        <f t="shared" si="247"/>
        <v>-1798.7186094623191</v>
      </c>
      <c r="G1292" s="74">
        <f t="shared" si="248"/>
        <v>-925.67635212336791</v>
      </c>
      <c r="H1292" s="74">
        <f t="shared" si="254"/>
        <v>-47939.697943026011</v>
      </c>
      <c r="I1292" s="74">
        <f t="shared" si="255"/>
        <v>-22054.248334993674</v>
      </c>
      <c r="J1292" s="74">
        <f t="shared" si="256"/>
        <v>52769.351980957123</v>
      </c>
      <c r="K1292" s="74">
        <f t="shared" si="257"/>
        <v>-87939.697943026011</v>
      </c>
      <c r="L1292" s="74">
        <f t="shared" si="258"/>
        <v>-22054.248334993674</v>
      </c>
      <c r="M1292" s="74">
        <f t="shared" si="259"/>
        <v>90663.004273696031</v>
      </c>
      <c r="N1292" s="74">
        <f t="shared" si="260"/>
        <v>-72939.697943026011</v>
      </c>
      <c r="O1292" s="74">
        <f t="shared" si="261"/>
        <v>-77054.248334993667</v>
      </c>
      <c r="P1292" s="74">
        <f t="shared" si="262"/>
        <v>106101.63392941102</v>
      </c>
    </row>
    <row r="1293" spans="1:16" x14ac:dyDescent="0.3">
      <c r="A1293" s="72">
        <f t="shared" si="249"/>
        <v>492</v>
      </c>
      <c r="B1293" s="74">
        <f t="shared" si="250"/>
        <v>70545.948630026323</v>
      </c>
      <c r="C1293" s="74">
        <f t="shared" si="251"/>
        <v>41088.402570042716</v>
      </c>
      <c r="D1293" s="74">
        <f t="shared" si="252"/>
        <v>5212.501374000617</v>
      </c>
      <c r="E1293" s="74">
        <f t="shared" si="253"/>
        <v>-1931.6915299019047</v>
      </c>
      <c r="F1293" s="74">
        <f t="shared" si="247"/>
        <v>-1719.3126205607446</v>
      </c>
      <c r="G1293" s="74">
        <f t="shared" si="248"/>
        <v>-822.76440485801754</v>
      </c>
      <c r="H1293" s="74">
        <f t="shared" si="254"/>
        <v>-50545.948630026323</v>
      </c>
      <c r="I1293" s="74">
        <f t="shared" si="255"/>
        <v>-21088.402570042716</v>
      </c>
      <c r="J1293" s="74">
        <f t="shared" si="256"/>
        <v>54768.728722378102</v>
      </c>
      <c r="K1293" s="74">
        <f t="shared" si="257"/>
        <v>-90545.948630026323</v>
      </c>
      <c r="L1293" s="74">
        <f t="shared" si="258"/>
        <v>-21088.402570042716</v>
      </c>
      <c r="M1293" s="74">
        <f t="shared" si="259"/>
        <v>92969.293512791366</v>
      </c>
      <c r="N1293" s="74">
        <f t="shared" si="260"/>
        <v>-75545.948630026323</v>
      </c>
      <c r="O1293" s="74">
        <f t="shared" si="261"/>
        <v>-76088.402570042716</v>
      </c>
      <c r="P1293" s="74">
        <f t="shared" si="262"/>
        <v>107222.36408544375</v>
      </c>
    </row>
    <row r="1294" spans="1:16" x14ac:dyDescent="0.3">
      <c r="A1294" s="72">
        <f t="shared" si="249"/>
        <v>492.5</v>
      </c>
      <c r="B1294" s="74">
        <f t="shared" si="250"/>
        <v>72722.371161886447</v>
      </c>
      <c r="C1294" s="74">
        <f t="shared" si="251"/>
        <v>39916.865703877258</v>
      </c>
      <c r="D1294" s="74">
        <f t="shared" si="252"/>
        <v>4352.845063720245</v>
      </c>
      <c r="E1294" s="74">
        <f t="shared" si="253"/>
        <v>-2343.0737323309136</v>
      </c>
      <c r="F1294" s="74">
        <f t="shared" si="247"/>
        <v>-1663.7811832679672</v>
      </c>
      <c r="G1294" s="74">
        <f t="shared" si="248"/>
        <v>-740.6920011782596</v>
      </c>
      <c r="H1294" s="74">
        <f t="shared" si="254"/>
        <v>-52722.371161886447</v>
      </c>
      <c r="I1294" s="74">
        <f t="shared" si="255"/>
        <v>-19916.865703877258</v>
      </c>
      <c r="J1294" s="74">
        <f t="shared" si="256"/>
        <v>56358.938602479</v>
      </c>
      <c r="K1294" s="74">
        <f t="shared" si="257"/>
        <v>-92722.371161886447</v>
      </c>
      <c r="L1294" s="74">
        <f t="shared" si="258"/>
        <v>-19916.865703877258</v>
      </c>
      <c r="M1294" s="74">
        <f t="shared" si="259"/>
        <v>94837.332592966326</v>
      </c>
      <c r="N1294" s="74">
        <f t="shared" si="260"/>
        <v>-77722.371161886447</v>
      </c>
      <c r="O1294" s="74">
        <f t="shared" si="261"/>
        <v>-74916.865703877265</v>
      </c>
      <c r="P1294" s="74">
        <f t="shared" si="262"/>
        <v>107950.46894719271</v>
      </c>
    </row>
    <row r="1295" spans="1:16" x14ac:dyDescent="0.3">
      <c r="A1295" s="72">
        <f t="shared" si="249"/>
        <v>493</v>
      </c>
      <c r="B1295" s="74">
        <f t="shared" si="250"/>
        <v>74482.848397929585</v>
      </c>
      <c r="C1295" s="74">
        <f t="shared" si="251"/>
        <v>38560.155837417238</v>
      </c>
      <c r="D1295" s="74">
        <f t="shared" si="252"/>
        <v>3520.9544720862614</v>
      </c>
      <c r="E1295" s="74">
        <f t="shared" si="253"/>
        <v>-2713.4197329200433</v>
      </c>
      <c r="F1295" s="74">
        <f t="shared" si="247"/>
        <v>-1628.0924208625656</v>
      </c>
      <c r="G1295" s="74">
        <f t="shared" si="248"/>
        <v>-673.57889726314738</v>
      </c>
      <c r="H1295" s="74">
        <f t="shared" si="254"/>
        <v>-54482.848397929585</v>
      </c>
      <c r="I1295" s="74">
        <f t="shared" si="255"/>
        <v>-18560.155837417238</v>
      </c>
      <c r="J1295" s="74">
        <f t="shared" si="256"/>
        <v>57557.450901347183</v>
      </c>
      <c r="K1295" s="74">
        <f t="shared" si="257"/>
        <v>-94482.848397929585</v>
      </c>
      <c r="L1295" s="74">
        <f t="shared" si="258"/>
        <v>-18560.155837417238</v>
      </c>
      <c r="M1295" s="74">
        <f t="shared" si="259"/>
        <v>96288.566434937427</v>
      </c>
      <c r="N1295" s="74">
        <f t="shared" si="260"/>
        <v>-79482.848397929585</v>
      </c>
      <c r="O1295" s="74">
        <f t="shared" si="261"/>
        <v>-73560.155837417231</v>
      </c>
      <c r="P1295" s="74">
        <f t="shared" si="262"/>
        <v>108298.75214550427</v>
      </c>
    </row>
    <row r="1296" spans="1:16" x14ac:dyDescent="0.3">
      <c r="A1296" s="72">
        <f t="shared" si="249"/>
        <v>493.5</v>
      </c>
      <c r="B1296" s="74">
        <f t="shared" si="250"/>
        <v>75836.302528757064</v>
      </c>
      <c r="C1296" s="74">
        <f t="shared" si="251"/>
        <v>37035.051246641429</v>
      </c>
      <c r="D1296" s="74">
        <f t="shared" si="252"/>
        <v>2706.9082616549786</v>
      </c>
      <c r="E1296" s="74">
        <f t="shared" si="253"/>
        <v>-3050.2091815516169</v>
      </c>
      <c r="F1296" s="74">
        <f t="shared" si="247"/>
        <v>-1609.7333774292811</v>
      </c>
      <c r="G1296" s="74">
        <f t="shared" si="248"/>
        <v>-617.36468624811528</v>
      </c>
      <c r="H1296" s="74">
        <f t="shared" si="254"/>
        <v>-55836.302528757064</v>
      </c>
      <c r="I1296" s="74">
        <f t="shared" si="255"/>
        <v>-17035.051246641429</v>
      </c>
      <c r="J1296" s="74">
        <f t="shared" si="256"/>
        <v>58377.098686544727</v>
      </c>
      <c r="K1296" s="74">
        <f t="shared" si="257"/>
        <v>-95836.302528757064</v>
      </c>
      <c r="L1296" s="74">
        <f t="shared" si="258"/>
        <v>-17035.051246641429</v>
      </c>
      <c r="M1296" s="74">
        <f t="shared" si="259"/>
        <v>97338.532212886523</v>
      </c>
      <c r="N1296" s="74">
        <f t="shared" si="260"/>
        <v>-80836.302528757064</v>
      </c>
      <c r="O1296" s="74">
        <f t="shared" si="261"/>
        <v>-72035.051246641437</v>
      </c>
      <c r="P1296" s="74">
        <f t="shared" si="262"/>
        <v>108275.3730754459</v>
      </c>
    </row>
    <row r="1297" spans="1:16" x14ac:dyDescent="0.3">
      <c r="A1297" s="72">
        <f t="shared" si="249"/>
        <v>494</v>
      </c>
      <c r="B1297" s="74">
        <f t="shared" si="250"/>
        <v>76787.32331522723</v>
      </c>
      <c r="C1297" s="74">
        <f t="shared" si="251"/>
        <v>35355.605484303589</v>
      </c>
      <c r="D1297" s="74">
        <f t="shared" si="252"/>
        <v>1902.041572940338</v>
      </c>
      <c r="E1297" s="74">
        <f t="shared" si="253"/>
        <v>-3358.8915246756746</v>
      </c>
      <c r="F1297" s="74">
        <f t="shared" si="247"/>
        <v>-1607.3105859780258</v>
      </c>
      <c r="G1297" s="74">
        <f t="shared" si="248"/>
        <v>-569.09251671007871</v>
      </c>
      <c r="H1297" s="74">
        <f t="shared" si="254"/>
        <v>-56787.32331522723</v>
      </c>
      <c r="I1297" s="74">
        <f t="shared" si="255"/>
        <v>-15355.605484303589</v>
      </c>
      <c r="J1297" s="74">
        <f t="shared" si="256"/>
        <v>58826.819641195332</v>
      </c>
      <c r="K1297" s="74">
        <f t="shared" si="257"/>
        <v>-96787.32331522723</v>
      </c>
      <c r="L1297" s="74">
        <f t="shared" si="258"/>
        <v>-15355.605484303589</v>
      </c>
      <c r="M1297" s="74">
        <f t="shared" si="259"/>
        <v>97997.860049676092</v>
      </c>
      <c r="N1297" s="74">
        <f t="shared" si="260"/>
        <v>-81787.32331522723</v>
      </c>
      <c r="O1297" s="74">
        <f t="shared" si="261"/>
        <v>-70355.605484303582</v>
      </c>
      <c r="P1297" s="74">
        <f t="shared" si="262"/>
        <v>107884.5562540463</v>
      </c>
    </row>
    <row r="1298" spans="1:16" x14ac:dyDescent="0.3">
      <c r="A1298" s="72">
        <f t="shared" si="249"/>
        <v>494.5</v>
      </c>
      <c r="B1298" s="74">
        <f t="shared" si="250"/>
        <v>77336.516455202887</v>
      </c>
      <c r="C1298" s="74">
        <f t="shared" si="251"/>
        <v>33533.886592788229</v>
      </c>
      <c r="D1298" s="74">
        <f t="shared" si="252"/>
        <v>1098.3862799513252</v>
      </c>
      <c r="E1298" s="74">
        <f t="shared" si="253"/>
        <v>-3643.4377830307139</v>
      </c>
      <c r="F1298" s="74">
        <f t="shared" si="247"/>
        <v>-1620.3344024779597</v>
      </c>
      <c r="G1298" s="74">
        <f t="shared" si="248"/>
        <v>-526.46785972384509</v>
      </c>
      <c r="H1298" s="74">
        <f t="shared" si="254"/>
        <v>-57336.516455202887</v>
      </c>
      <c r="I1298" s="74">
        <f t="shared" si="255"/>
        <v>-13533.886592788229</v>
      </c>
      <c r="J1298" s="74">
        <f t="shared" si="256"/>
        <v>58912.156687089671</v>
      </c>
      <c r="K1298" s="74">
        <f t="shared" si="257"/>
        <v>-97336.516455202887</v>
      </c>
      <c r="L1298" s="74">
        <f t="shared" si="258"/>
        <v>-13533.886592788229</v>
      </c>
      <c r="M1298" s="74">
        <f t="shared" si="259"/>
        <v>98272.903294552336</v>
      </c>
      <c r="N1298" s="74">
        <f t="shared" si="260"/>
        <v>-82336.516455202887</v>
      </c>
      <c r="O1298" s="74">
        <f t="shared" si="261"/>
        <v>-68533.886592788229</v>
      </c>
      <c r="P1298" s="74">
        <f t="shared" si="262"/>
        <v>107127.00664860872</v>
      </c>
    </row>
    <row r="1299" spans="1:16" x14ac:dyDescent="0.3">
      <c r="A1299" s="72">
        <f t="shared" si="249"/>
        <v>495</v>
      </c>
      <c r="B1299" s="74">
        <f t="shared" si="250"/>
        <v>77480.625994559057</v>
      </c>
      <c r="C1299" s="74">
        <f t="shared" si="251"/>
        <v>31580.550736341913</v>
      </c>
      <c r="D1299" s="74">
        <f t="shared" si="252"/>
        <v>288.21907871234532</v>
      </c>
      <c r="E1299" s="74">
        <f t="shared" si="253"/>
        <v>-3906.6717128926366</v>
      </c>
      <c r="F1299" s="74">
        <f t="shared" si="247"/>
        <v>-1649.1300789167358</v>
      </c>
      <c r="G1299" s="74">
        <f t="shared" si="248"/>
        <v>-487.5583191300168</v>
      </c>
      <c r="H1299" s="74">
        <f t="shared" si="254"/>
        <v>-57480.625994559057</v>
      </c>
      <c r="I1299" s="74">
        <f t="shared" si="255"/>
        <v>-11580.550736341913</v>
      </c>
      <c r="J1299" s="74">
        <f t="shared" si="256"/>
        <v>58635.582371827499</v>
      </c>
      <c r="K1299" s="74">
        <f t="shared" si="257"/>
        <v>-97480.625994559057</v>
      </c>
      <c r="L1299" s="74">
        <f t="shared" si="258"/>
        <v>-11580.550736341913</v>
      </c>
      <c r="M1299" s="74">
        <f t="shared" si="259"/>
        <v>98166.091903712309</v>
      </c>
      <c r="N1299" s="74">
        <f t="shared" si="260"/>
        <v>-82480.625994559057</v>
      </c>
      <c r="O1299" s="74">
        <f t="shared" si="261"/>
        <v>-66580.550736341916</v>
      </c>
      <c r="P1299" s="74">
        <f t="shared" si="262"/>
        <v>106000.11038111673</v>
      </c>
    </row>
    <row r="1300" spans="1:16" x14ac:dyDescent="0.3">
      <c r="A1300" s="72">
        <f t="shared" si="249"/>
        <v>495.5</v>
      </c>
      <c r="B1300" s="74">
        <f t="shared" si="250"/>
        <v>77212.453014186045</v>
      </c>
      <c r="C1300" s="74">
        <f t="shared" si="251"/>
        <v>29505.325300113091</v>
      </c>
      <c r="D1300" s="74">
        <f t="shared" si="252"/>
        <v>-536.34596074602257</v>
      </c>
      <c r="E1300" s="74">
        <f t="shared" si="253"/>
        <v>-4150.4508724576453</v>
      </c>
      <c r="F1300" s="74">
        <f t="shared" si="247"/>
        <v>-1694.8510013657349</v>
      </c>
      <c r="G1300" s="74">
        <f t="shared" si="248"/>
        <v>-450.55654003822951</v>
      </c>
      <c r="H1300" s="74">
        <f t="shared" si="254"/>
        <v>-57212.453014186045</v>
      </c>
      <c r="I1300" s="74">
        <f t="shared" si="255"/>
        <v>-9505.3253001130906</v>
      </c>
      <c r="J1300" s="74">
        <f t="shared" si="256"/>
        <v>57996.68946553256</v>
      </c>
      <c r="K1300" s="74">
        <f t="shared" si="257"/>
        <v>-97212.453014186045</v>
      </c>
      <c r="L1300" s="74">
        <f t="shared" si="258"/>
        <v>-9505.3253001130906</v>
      </c>
      <c r="M1300" s="74">
        <f t="shared" si="259"/>
        <v>97676.057609305164</v>
      </c>
      <c r="N1300" s="74">
        <f t="shared" si="260"/>
        <v>-82212.453014186045</v>
      </c>
      <c r="O1300" s="74">
        <f t="shared" si="261"/>
        <v>-64505.325300113094</v>
      </c>
      <c r="P1300" s="74">
        <f t="shared" si="262"/>
        <v>104497.96372505619</v>
      </c>
    </row>
    <row r="1301" spans="1:16" x14ac:dyDescent="0.3">
      <c r="A1301" s="72">
        <f t="shared" si="249"/>
        <v>496</v>
      </c>
      <c r="B1301" s="74">
        <f t="shared" si="250"/>
        <v>76520.567283471595</v>
      </c>
      <c r="C1301" s="74">
        <f t="shared" si="251"/>
        <v>27317.46072887471</v>
      </c>
      <c r="D1301" s="74">
        <f t="shared" si="252"/>
        <v>-1383.77146142889</v>
      </c>
      <c r="E1301" s="74">
        <f t="shared" si="253"/>
        <v>-4375.72914247676</v>
      </c>
      <c r="F1301" s="74">
        <f t="shared" si="247"/>
        <v>-1759.5922880778639</v>
      </c>
      <c r="G1301" s="74">
        <f t="shared" si="248"/>
        <v>-413.54990791316214</v>
      </c>
      <c r="H1301" s="74">
        <f t="shared" si="254"/>
        <v>-56520.567283471595</v>
      </c>
      <c r="I1301" s="74">
        <f t="shared" si="255"/>
        <v>-7317.4607288747102</v>
      </c>
      <c r="J1301" s="74">
        <f t="shared" si="256"/>
        <v>56992.278052066526</v>
      </c>
      <c r="K1301" s="74">
        <f t="shared" si="257"/>
        <v>-96520.567283471595</v>
      </c>
      <c r="L1301" s="74">
        <f t="shared" si="258"/>
        <v>-7317.4607288747102</v>
      </c>
      <c r="M1301" s="74">
        <f t="shared" si="259"/>
        <v>96797.547180916677</v>
      </c>
      <c r="N1301" s="74">
        <f t="shared" si="260"/>
        <v>-81520.567283471595</v>
      </c>
      <c r="O1301" s="74">
        <f t="shared" si="261"/>
        <v>-62317.460728874707</v>
      </c>
      <c r="P1301" s="74">
        <f t="shared" si="262"/>
        <v>102611.2508544451</v>
      </c>
    </row>
    <row r="1302" spans="1:16" x14ac:dyDescent="0.3">
      <c r="A1302" s="72">
        <f t="shared" si="249"/>
        <v>496.5</v>
      </c>
      <c r="B1302" s="74">
        <f t="shared" si="250"/>
        <v>75388.783480737678</v>
      </c>
      <c r="C1302" s="74">
        <f t="shared" si="251"/>
        <v>25026.208680658041</v>
      </c>
      <c r="D1302" s="74">
        <f t="shared" si="252"/>
        <v>-2263.567605467822</v>
      </c>
      <c r="E1302" s="74">
        <f t="shared" si="253"/>
        <v>-4582.5040964333411</v>
      </c>
      <c r="F1302" s="74">
        <f t="shared" si="247"/>
        <v>-1846.6235381268052</v>
      </c>
      <c r="G1302" s="74">
        <f t="shared" si="248"/>
        <v>-374.24026378318831</v>
      </c>
      <c r="H1302" s="74">
        <f t="shared" si="254"/>
        <v>-55388.783480737678</v>
      </c>
      <c r="I1302" s="74">
        <f t="shared" si="255"/>
        <v>-5026.208680658041</v>
      </c>
      <c r="J1302" s="74">
        <f t="shared" si="256"/>
        <v>55616.365479753898</v>
      </c>
      <c r="K1302" s="74">
        <f t="shared" si="257"/>
        <v>-95388.783480737678</v>
      </c>
      <c r="L1302" s="74">
        <f t="shared" si="258"/>
        <v>-5026.208680658041</v>
      </c>
      <c r="M1302" s="74">
        <f t="shared" si="259"/>
        <v>95521.111737859159</v>
      </c>
      <c r="N1302" s="74">
        <f t="shared" si="260"/>
        <v>-80388.783480737678</v>
      </c>
      <c r="O1302" s="74">
        <f t="shared" si="261"/>
        <v>-60026.208680658041</v>
      </c>
      <c r="P1302" s="74">
        <f t="shared" si="262"/>
        <v>100326.97662187788</v>
      </c>
    </row>
    <row r="1303" spans="1:16" x14ac:dyDescent="0.3">
      <c r="A1303" s="72">
        <f t="shared" si="249"/>
        <v>497</v>
      </c>
      <c r="B1303" s="74">
        <f t="shared" si="250"/>
        <v>73795.343793472057</v>
      </c>
      <c r="C1303" s="74">
        <f t="shared" si="251"/>
        <v>22641.396566495576</v>
      </c>
      <c r="D1303" s="74">
        <f t="shared" si="252"/>
        <v>-3186.8793745312246</v>
      </c>
      <c r="E1303" s="74">
        <f t="shared" si="253"/>
        <v>-4769.6242283249358</v>
      </c>
      <c r="F1303" s="74">
        <f t="shared" si="247"/>
        <v>-1960.7835808754696</v>
      </c>
      <c r="G1303" s="74">
        <f t="shared" si="248"/>
        <v>-329.53349739491568</v>
      </c>
      <c r="H1303" s="74">
        <f t="shared" si="254"/>
        <v>-53795.343793472057</v>
      </c>
      <c r="I1303" s="74">
        <f t="shared" si="255"/>
        <v>-2641.3965664955758</v>
      </c>
      <c r="J1303" s="74">
        <f t="shared" si="256"/>
        <v>53860.152150540263</v>
      </c>
      <c r="K1303" s="74">
        <f t="shared" si="257"/>
        <v>-93795.343793472057</v>
      </c>
      <c r="L1303" s="74">
        <f t="shared" si="258"/>
        <v>-2641.3965664955758</v>
      </c>
      <c r="M1303" s="74">
        <f t="shared" si="259"/>
        <v>93832.528971338674</v>
      </c>
      <c r="N1303" s="74">
        <f t="shared" si="260"/>
        <v>-78795.343793472057</v>
      </c>
      <c r="O1303" s="74">
        <f t="shared" si="261"/>
        <v>-57641.396566495576</v>
      </c>
      <c r="P1303" s="74">
        <f t="shared" si="262"/>
        <v>97628.05335387704</v>
      </c>
    </row>
    <row r="1304" spans="1:16" x14ac:dyDescent="0.3">
      <c r="A1304" s="72">
        <f t="shared" si="249"/>
        <v>497.5</v>
      </c>
      <c r="B1304" s="74">
        <f t="shared" si="250"/>
        <v>71711.708210987577</v>
      </c>
      <c r="C1304" s="74">
        <f t="shared" si="251"/>
        <v>20174.201077984377</v>
      </c>
      <c r="D1304" s="74">
        <f t="shared" si="252"/>
        <v>-4167.2711649689591</v>
      </c>
      <c r="E1304" s="74">
        <f t="shared" si="253"/>
        <v>-4934.3909770223936</v>
      </c>
      <c r="F1304" s="74">
        <f t="shared" si="247"/>
        <v>-2109.1124492871918</v>
      </c>
      <c r="G1304" s="74">
        <f t="shared" si="248"/>
        <v>-274.85817817949413</v>
      </c>
      <c r="H1304" s="74">
        <f t="shared" si="254"/>
        <v>-51711.708210987577</v>
      </c>
      <c r="I1304" s="74">
        <f t="shared" si="255"/>
        <v>-174.20107798437675</v>
      </c>
      <c r="J1304" s="74">
        <f t="shared" si="256"/>
        <v>51712.001625482371</v>
      </c>
      <c r="K1304" s="74">
        <f t="shared" si="257"/>
        <v>-91711.708210987577</v>
      </c>
      <c r="L1304" s="74">
        <f t="shared" si="258"/>
        <v>-174.20107798437675</v>
      </c>
      <c r="M1304" s="74">
        <f t="shared" si="259"/>
        <v>91711.873653267481</v>
      </c>
      <c r="N1304" s="74">
        <f t="shared" si="260"/>
        <v>-76711.708210987577</v>
      </c>
      <c r="O1304" s="74">
        <f t="shared" si="261"/>
        <v>-55174.201077984377</v>
      </c>
      <c r="P1304" s="74">
        <f t="shared" si="262"/>
        <v>94492.743854973072</v>
      </c>
    </row>
    <row r="1305" spans="1:16" x14ac:dyDescent="0.3">
      <c r="A1305" s="72">
        <f t="shared" si="249"/>
        <v>498</v>
      </c>
      <c r="B1305" s="74">
        <f t="shared" si="250"/>
        <v>69100.794516181297</v>
      </c>
      <c r="C1305" s="74">
        <f t="shared" si="251"/>
        <v>17638.291044928308</v>
      </c>
      <c r="D1305" s="74">
        <f t="shared" si="252"/>
        <v>-5221.8273896125547</v>
      </c>
      <c r="E1305" s="74">
        <f t="shared" si="253"/>
        <v>-5071.8200661121409</v>
      </c>
      <c r="F1305" s="74">
        <f t="shared" si="247"/>
        <v>-2301.8379958939258</v>
      </c>
      <c r="G1305" s="74">
        <f t="shared" si="248"/>
        <v>-202.93458377508657</v>
      </c>
      <c r="H1305" s="74">
        <f t="shared" si="254"/>
        <v>-49100.794516181297</v>
      </c>
      <c r="I1305" s="74">
        <f t="shared" si="255"/>
        <v>2361.7089550716919</v>
      </c>
      <c r="J1305" s="74">
        <f t="shared" si="256"/>
        <v>49157.559859178575</v>
      </c>
      <c r="K1305" s="74">
        <f t="shared" si="257"/>
        <v>-89100.794516181297</v>
      </c>
      <c r="L1305" s="74">
        <f t="shared" si="258"/>
        <v>2361.7089550716919</v>
      </c>
      <c r="M1305" s="74">
        <f t="shared" si="259"/>
        <v>89132.088792999959</v>
      </c>
      <c r="N1305" s="74">
        <f t="shared" si="260"/>
        <v>-74100.794516181297</v>
      </c>
      <c r="O1305" s="74">
        <f t="shared" si="261"/>
        <v>-52638.291044928308</v>
      </c>
      <c r="P1305" s="74">
        <f t="shared" si="262"/>
        <v>90893.990076681657</v>
      </c>
    </row>
    <row r="1306" spans="1:16" x14ac:dyDescent="0.3">
      <c r="A1306" s="72">
        <f t="shared" si="249"/>
        <v>498.5</v>
      </c>
      <c r="B1306" s="74">
        <f t="shared" si="250"/>
        <v>65914.42132240154</v>
      </c>
      <c r="C1306" s="74">
        <f t="shared" si="251"/>
        <v>15051.647365928466</v>
      </c>
      <c r="D1306" s="74">
        <f t="shared" si="252"/>
        <v>-6372.7463875595176</v>
      </c>
      <c r="E1306" s="74">
        <f t="shared" si="253"/>
        <v>-5173.287357999684</v>
      </c>
      <c r="F1306" s="74">
        <f t="shared" si="247"/>
        <v>-2553.8682908474589</v>
      </c>
      <c r="G1306" s="74">
        <f t="shared" si="248"/>
        <v>-101.40124776544511</v>
      </c>
      <c r="H1306" s="74">
        <f t="shared" si="254"/>
        <v>-45914.42132240154</v>
      </c>
      <c r="I1306" s="74">
        <f t="shared" si="255"/>
        <v>4948.3526340715343</v>
      </c>
      <c r="J1306" s="74">
        <f t="shared" si="256"/>
        <v>46180.301852219673</v>
      </c>
      <c r="K1306" s="74">
        <f t="shared" si="257"/>
        <v>-85914.42132240154</v>
      </c>
      <c r="L1306" s="74">
        <f t="shared" si="258"/>
        <v>4948.3526340715343</v>
      </c>
      <c r="M1306" s="74">
        <f t="shared" si="259"/>
        <v>86056.806732264042</v>
      </c>
      <c r="N1306" s="74">
        <f t="shared" si="260"/>
        <v>-70914.42132240154</v>
      </c>
      <c r="O1306" s="74">
        <f t="shared" si="261"/>
        <v>-50051.647365928467</v>
      </c>
      <c r="P1306" s="74">
        <f t="shared" si="262"/>
        <v>86798.747430676274</v>
      </c>
    </row>
    <row r="1307" spans="1:16" x14ac:dyDescent="0.3">
      <c r="A1307" s="72">
        <f t="shared" si="249"/>
        <v>499</v>
      </c>
      <c r="B1307" s="74">
        <f t="shared" si="250"/>
        <v>62089.581055909919</v>
      </c>
      <c r="C1307" s="74">
        <f t="shared" si="251"/>
        <v>12439.653374987261</v>
      </c>
      <c r="D1307" s="74">
        <f t="shared" si="252"/>
        <v>-7649.6805329832468</v>
      </c>
      <c r="E1307" s="74">
        <f t="shared" si="253"/>
        <v>-5223.9879818824065</v>
      </c>
      <c r="F1307" s="74">
        <f t="shared" si="247"/>
        <v>-2886.8514997577036</v>
      </c>
      <c r="G1307" s="74">
        <f t="shared" si="248"/>
        <v>52.034165555517518</v>
      </c>
      <c r="H1307" s="74">
        <f t="shared" si="254"/>
        <v>-42089.581055909919</v>
      </c>
      <c r="I1307" s="74">
        <f t="shared" si="255"/>
        <v>7560.3466250127385</v>
      </c>
      <c r="J1307" s="74">
        <f t="shared" si="256"/>
        <v>42763.204680570336</v>
      </c>
      <c r="K1307" s="74">
        <f t="shared" si="257"/>
        <v>-82089.581055909919</v>
      </c>
      <c r="L1307" s="74">
        <f t="shared" si="258"/>
        <v>7560.3466250127385</v>
      </c>
      <c r="M1307" s="74">
        <f t="shared" si="259"/>
        <v>82436.995087309842</v>
      </c>
      <c r="N1307" s="74">
        <f t="shared" si="260"/>
        <v>-67089.581055909919</v>
      </c>
      <c r="O1307" s="74">
        <f t="shared" si="261"/>
        <v>-47439.653374987261</v>
      </c>
      <c r="P1307" s="74">
        <f t="shared" si="262"/>
        <v>82167.710194433719</v>
      </c>
    </row>
    <row r="1308" spans="1:16" x14ac:dyDescent="0.3">
      <c r="A1308" s="72">
        <f t="shared" si="249"/>
        <v>499.5</v>
      </c>
      <c r="B1308" s="74">
        <f t="shared" si="250"/>
        <v>57543.027914478873</v>
      </c>
      <c r="C1308" s="74">
        <f t="shared" si="251"/>
        <v>9840.6679254349383</v>
      </c>
      <c r="D1308" s="74">
        <f t="shared" si="252"/>
        <v>-9093.1062828620979</v>
      </c>
      <c r="E1308" s="74">
        <f t="shared" si="253"/>
        <v>-5197.9708991046482</v>
      </c>
      <c r="F1308" s="74">
        <f t="shared" si="247"/>
        <v>-3331.0958776512398</v>
      </c>
      <c r="G1308" s="74">
        <f t="shared" si="248"/>
        <v>300.04204873523969</v>
      </c>
      <c r="H1308" s="74">
        <f t="shared" si="254"/>
        <v>-37543.027914478873</v>
      </c>
      <c r="I1308" s="74">
        <f t="shared" si="255"/>
        <v>10159.332074565062</v>
      </c>
      <c r="J1308" s="74">
        <f t="shared" si="256"/>
        <v>38893.328132066898</v>
      </c>
      <c r="K1308" s="74">
        <f t="shared" si="257"/>
        <v>-77543.02791447888</v>
      </c>
      <c r="L1308" s="74">
        <f t="shared" si="258"/>
        <v>10159.332074565062</v>
      </c>
      <c r="M1308" s="74">
        <f t="shared" si="259"/>
        <v>78205.710829497213</v>
      </c>
      <c r="N1308" s="74">
        <f t="shared" si="260"/>
        <v>-62543.027914478873</v>
      </c>
      <c r="O1308" s="74">
        <f t="shared" si="261"/>
        <v>-44840.667925434936</v>
      </c>
      <c r="P1308" s="74">
        <f t="shared" si="262"/>
        <v>76956.584128392889</v>
      </c>
    </row>
    <row r="1309" spans="1:16" x14ac:dyDescent="0.3">
      <c r="A1309" s="72">
        <f t="shared" si="249"/>
        <v>500</v>
      </c>
      <c r="B1309" s="74">
        <f t="shared" si="250"/>
        <v>52163.700803635016</v>
      </c>
      <c r="C1309" s="74">
        <f t="shared" si="251"/>
        <v>7316.6929880664238</v>
      </c>
      <c r="D1309" s="74">
        <f t="shared" si="252"/>
        <v>-10758.654221687717</v>
      </c>
      <c r="E1309" s="74">
        <f t="shared" si="253"/>
        <v>-5047.949874737028</v>
      </c>
      <c r="F1309" s="74">
        <f t="shared" si="247"/>
        <v>-3922.6080043164557</v>
      </c>
      <c r="G1309" s="74">
        <f t="shared" si="248"/>
        <v>729.03589048468973</v>
      </c>
      <c r="H1309" s="74">
        <f t="shared" si="254"/>
        <v>-32163.700803635016</v>
      </c>
      <c r="I1309" s="74">
        <f t="shared" si="255"/>
        <v>12683.307011933575</v>
      </c>
      <c r="J1309" s="74">
        <f t="shared" si="256"/>
        <v>34574.122203531289</v>
      </c>
      <c r="K1309" s="74">
        <f t="shared" si="257"/>
        <v>-72163.700803635016</v>
      </c>
      <c r="L1309" s="74">
        <f t="shared" si="258"/>
        <v>12683.307011933575</v>
      </c>
      <c r="M1309" s="74">
        <f t="shared" si="259"/>
        <v>73269.81636687454</v>
      </c>
      <c r="N1309" s="74">
        <f t="shared" si="260"/>
        <v>-57163.700803635016</v>
      </c>
      <c r="O1309" s="74">
        <f t="shared" si="261"/>
        <v>-42316.692988066425</v>
      </c>
      <c r="P1309" s="74">
        <f t="shared" si="262"/>
        <v>71122.367754552251</v>
      </c>
    </row>
  </sheetData>
  <mergeCells count="40">
    <mergeCell ref="A35:E35"/>
    <mergeCell ref="A281:K281"/>
    <mergeCell ref="A306:P306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N307:P307"/>
    <mergeCell ref="D307:E307"/>
    <mergeCell ref="C38:D38"/>
    <mergeCell ref="C39:D39"/>
    <mergeCell ref="C40:D40"/>
    <mergeCell ref="C41:D41"/>
    <mergeCell ref="C42:D42"/>
    <mergeCell ref="C43:D43"/>
    <mergeCell ref="B307:C307"/>
    <mergeCell ref="F307:G307"/>
    <mergeCell ref="H307:J307"/>
    <mergeCell ref="K307:M307"/>
  </mergeCells>
  <phoneticPr fontId="5" type="noConversion"/>
  <dataValidations count="1">
    <dataValidation type="list" allowBlank="1" showInputMessage="1" showErrorMessage="1" sqref="C34:D34 C43:D43 C25:D25" xr:uid="{00000000-0002-0000-0000-000000000000}">
      <formula1>$B$277:$B$278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BB1300"/>
  <sheetViews>
    <sheetView tabSelected="1" zoomScale="70" zoomScaleNormal="70" workbookViewId="0">
      <selection activeCell="R14" sqref="R14"/>
    </sheetView>
  </sheetViews>
  <sheetFormatPr baseColWidth="10" defaultRowHeight="14.4" x14ac:dyDescent="0.3"/>
  <cols>
    <col min="14" max="14" width="38.21875" bestFit="1" customWidth="1"/>
    <col min="18" max="18" width="20" bestFit="1" customWidth="1"/>
  </cols>
  <sheetData>
    <row r="2" spans="14:54" x14ac:dyDescent="0.3">
      <c r="N2" s="118">
        <v>0</v>
      </c>
      <c r="O2" s="118"/>
    </row>
    <row r="8" spans="14:54" ht="15" thickBot="1" x14ac:dyDescent="0.35"/>
    <row r="9" spans="14:54" ht="15" thickBot="1" x14ac:dyDescent="0.35">
      <c r="N9" s="75" t="s">
        <v>83</v>
      </c>
      <c r="O9" s="76">
        <v>116</v>
      </c>
    </row>
    <row r="12" spans="14:54" x14ac:dyDescent="0.3">
      <c r="AZ12" t="s">
        <v>81</v>
      </c>
      <c r="BA12">
        <f>INDEX(B300:D1300,MATCH(O9,B300:B1300),2)</f>
        <v>20657.198715108709</v>
      </c>
      <c r="BB12">
        <f>INDEX(B300:D1300,MATCH(O9,B300:B1300),3)</f>
        <v>-7023.1460525992097</v>
      </c>
    </row>
    <row r="16" spans="14:54" x14ac:dyDescent="0.3">
      <c r="BA16">
        <f>INDEX(B300:D1300,MATCH(O9-0.5,B300:B1300),2)</f>
        <v>21188.901311574173</v>
      </c>
      <c r="BB16">
        <f>INDEX(B300:D1300,MATCH(O9-0.5,B300:B1300),3)</f>
        <v>-12510.167642560273</v>
      </c>
    </row>
    <row r="17" spans="53:54" x14ac:dyDescent="0.3">
      <c r="BA17">
        <f>INDEX(B300:D1300,MATCH(O9-1,B300:B1300),2)</f>
        <v>20950.567777737688</v>
      </c>
      <c r="BB17">
        <f>INDEX(B300:D1300,MATCH(O9-1,B300:B1300),3)</f>
        <v>-17524.390468614682</v>
      </c>
    </row>
    <row r="18" spans="53:54" x14ac:dyDescent="0.3">
      <c r="BA18">
        <f>INDEX(B300:D1300,MATCH(O9-1.5,B300:B1300),2)</f>
        <v>19804.089281218512</v>
      </c>
      <c r="BB18">
        <f>INDEX(B300:D1300,MATCH(O9-1.5,B300:B1300),3)</f>
        <v>-22270.842595035436</v>
      </c>
    </row>
    <row r="19" spans="53:54" x14ac:dyDescent="0.3">
      <c r="BA19">
        <f>INDEX(B300:D1300,MATCH(O9-2,B300:B1300),2)</f>
        <v>17554.463352608065</v>
      </c>
      <c r="BB19">
        <f>INDEX(B300:D1300,MATCH(O9-2,B300:B1300),3)</f>
        <v>-26877.655044267107</v>
      </c>
    </row>
    <row r="20" spans="53:54" x14ac:dyDescent="0.3">
      <c r="BA20">
        <f>INDEX(B300:D1300,MATCH(O9-2.5,B300:B1300),2)</f>
        <v>13889.728593262003</v>
      </c>
      <c r="BB20">
        <f>INDEX(B300:D1300,MATCH(O9-2.5,B300:B1300),3)</f>
        <v>-31412.836351094116</v>
      </c>
    </row>
    <row r="21" spans="53:54" x14ac:dyDescent="0.3">
      <c r="BA21">
        <f>INDEX(B300:D1300,MATCH(O9-3,B300:B1300),2)</f>
        <v>8249.449703110351</v>
      </c>
      <c r="BB21">
        <f>INDEX(B300:D1300,MATCH(O9-3,B300:B1300),3)</f>
        <v>-35834.727900106889</v>
      </c>
    </row>
    <row r="22" spans="53:54" x14ac:dyDescent="0.3">
      <c r="BA22">
        <f>INDEX(B300:D1300,MATCH(O9-3.5,B300:B1300),2)</f>
        <v>-409.79636375853033</v>
      </c>
      <c r="BB22">
        <f>INDEX(B300:D1300,MATCH(O9-3.5,B300:B1300),3)</f>
        <v>-39646.185173968253</v>
      </c>
    </row>
    <row r="23" spans="53:54" x14ac:dyDescent="0.3">
      <c r="BA23">
        <f>INDEX(B300:D1300,MATCH(O9-4,B300:B1300),2)</f>
        <v>-11849.406380909606</v>
      </c>
      <c r="BB23">
        <f>INDEX(B300:D1300,MATCH(O9-4,B300:B1300),3)</f>
        <v>-40235.781788916545</v>
      </c>
    </row>
    <row r="24" spans="53:54" x14ac:dyDescent="0.3">
      <c r="BA24">
        <f>INDEX(B300:D1300,MATCH(O9-4.5,B300:B1300),2)</f>
        <v>-20089.620036467884</v>
      </c>
      <c r="BB24">
        <f>INDEX(B300:D1300,MATCH(O9-4.5,B300:B1300),3)</f>
        <v>-38110.004661731196</v>
      </c>
    </row>
    <row r="25" spans="53:54" x14ac:dyDescent="0.3">
      <c r="BA25">
        <f>INDEX(B300:D1300,MATCH(O9-5,B300:B1300),2)</f>
        <v>-25663.726833323628</v>
      </c>
      <c r="BB25">
        <f>INDEX(B300:D1300,MATCH(O9-5,B300:B1300),3)</f>
        <v>-35136.41323969431</v>
      </c>
    </row>
    <row r="26" spans="53:54" x14ac:dyDescent="0.3">
      <c r="BA26">
        <f>INDEX(B300:D1300,MATCH(O9-5.5,B300:B1300),2)</f>
        <v>-29305.347721150953</v>
      </c>
      <c r="BB26">
        <f>INDEX(B300:D1300,MATCH(O9-5.5,B300:B1300),3)</f>
        <v>-31829.821386970398</v>
      </c>
    </row>
    <row r="27" spans="53:54" x14ac:dyDescent="0.3">
      <c r="BA27">
        <f>INDEX(B300:D1300,MATCH(O9-6,B300:B1300),2)</f>
        <v>-31404.987837581088</v>
      </c>
      <c r="BB27">
        <f>INDEX(B300:D1300,MATCH(O9-6,B300:B1300),3)</f>
        <v>-28374.240635746282</v>
      </c>
    </row>
    <row r="54" spans="2:2" ht="0.75" customHeight="1" x14ac:dyDescent="0.3">
      <c r="B54" t="s">
        <v>74</v>
      </c>
    </row>
    <row r="298" spans="2:4" x14ac:dyDescent="0.3">
      <c r="C298" t="s">
        <v>38</v>
      </c>
    </row>
    <row r="299" spans="2:4" x14ac:dyDescent="0.3">
      <c r="B299" t="s">
        <v>34</v>
      </c>
      <c r="C299" t="s">
        <v>2</v>
      </c>
      <c r="D299" t="s">
        <v>3</v>
      </c>
    </row>
    <row r="300" spans="2:4" x14ac:dyDescent="0.3">
      <c r="B300">
        <f>Feuille1!A309</f>
        <v>0</v>
      </c>
      <c r="C300">
        <f>Feuille1!B309</f>
        <v>0</v>
      </c>
      <c r="D300">
        <f>Feuille1!C309</f>
        <v>0</v>
      </c>
    </row>
    <row r="301" spans="2:4" x14ac:dyDescent="0.3">
      <c r="B301">
        <f>Feuille1!A310</f>
        <v>0.5</v>
      </c>
      <c r="C301">
        <f>Feuille1!B310</f>
        <v>0</v>
      </c>
      <c r="D301">
        <f>Feuille1!C310</f>
        <v>0</v>
      </c>
    </row>
    <row r="302" spans="2:4" x14ac:dyDescent="0.3">
      <c r="B302">
        <f>Feuille1!A311</f>
        <v>1</v>
      </c>
      <c r="C302">
        <f>Feuille1!B311</f>
        <v>247.90360575802839</v>
      </c>
      <c r="D302">
        <f>Feuille1!C311</f>
        <v>459.02291936492315</v>
      </c>
    </row>
    <row r="303" spans="2:4" x14ac:dyDescent="0.3">
      <c r="B303">
        <f>Feuille1!A312</f>
        <v>1.5</v>
      </c>
      <c r="C303">
        <f>Feuille1!B312</f>
        <v>758.8503348282859</v>
      </c>
      <c r="D303">
        <f>Feuille1!C312</f>
        <v>1410.7150805173958</v>
      </c>
    </row>
    <row r="304" spans="2:4" x14ac:dyDescent="0.3">
      <c r="B304">
        <f>Feuille1!A313</f>
        <v>2</v>
      </c>
      <c r="C304">
        <f>Feuille1!B313</f>
        <v>1569.5618499450648</v>
      </c>
      <c r="D304">
        <f>Feuille1!C313</f>
        <v>2922.6553180301021</v>
      </c>
    </row>
    <row r="305" spans="2:4" x14ac:dyDescent="0.3">
      <c r="B305">
        <f>Feuille1!A314</f>
        <v>2.5</v>
      </c>
      <c r="C305">
        <f>Feuille1!B314</f>
        <v>2755.0455838415651</v>
      </c>
      <c r="D305">
        <f>Feuille1!C314</f>
        <v>5096.6070725219888</v>
      </c>
    </row>
    <row r="306" spans="2:4" x14ac:dyDescent="0.3">
      <c r="B306">
        <f>Feuille1!A315</f>
        <v>3</v>
      </c>
      <c r="C306">
        <f>Feuille1!B315</f>
        <v>4467.2037194457562</v>
      </c>
      <c r="D306">
        <f>Feuille1!C315</f>
        <v>8068.4169091557578</v>
      </c>
    </row>
    <row r="307" spans="2:4" x14ac:dyDescent="0.3">
      <c r="B307">
        <f>Feuille1!A316</f>
        <v>3.5</v>
      </c>
      <c r="C307">
        <f>Feuille1!B316</f>
        <v>7027.1140034927021</v>
      </c>
      <c r="D307">
        <f>Feuille1!C316</f>
        <v>12007.228632738332</v>
      </c>
    </row>
    <row r="308" spans="2:4" x14ac:dyDescent="0.3">
      <c r="B308">
        <f>Feuille1!A317</f>
        <v>4</v>
      </c>
      <c r="C308">
        <f>Feuille1!B317</f>
        <v>11151.108544382034</v>
      </c>
      <c r="D308">
        <f>Feuille1!C317</f>
        <v>17094.103817012205</v>
      </c>
    </row>
    <row r="309" spans="2:4" x14ac:dyDescent="0.3">
      <c r="B309">
        <f>Feuille1!A318</f>
        <v>4.5</v>
      </c>
      <c r="C309">
        <f>Feuille1!B318</f>
        <v>18311.022534216521</v>
      </c>
      <c r="D309">
        <f>Feuille1!C318</f>
        <v>23099.680449054587</v>
      </c>
    </row>
    <row r="310" spans="2:4" x14ac:dyDescent="0.3">
      <c r="B310">
        <f>Feuille1!A319</f>
        <v>5</v>
      </c>
      <c r="C310">
        <f>Feuille1!B319</f>
        <v>26518.712323723368</v>
      </c>
      <c r="D310">
        <f>Feuille1!C319</f>
        <v>26117.268637125748</v>
      </c>
    </row>
    <row r="311" spans="2:4" x14ac:dyDescent="0.3">
      <c r="B311">
        <f>Feuille1!A320</f>
        <v>5.5</v>
      </c>
      <c r="C311">
        <f>Feuille1!B320</f>
        <v>31567.994210569883</v>
      </c>
      <c r="D311">
        <f>Feuille1!C320</f>
        <v>26259.175328144051</v>
      </c>
    </row>
    <row r="312" spans="2:4" x14ac:dyDescent="0.3">
      <c r="B312">
        <f>Feuille1!A321</f>
        <v>6</v>
      </c>
      <c r="C312">
        <f>Feuille1!B321</f>
        <v>33638.751365539814</v>
      </c>
      <c r="D312">
        <f>Feuille1!C321</f>
        <v>24753.2354965454</v>
      </c>
    </row>
    <row r="313" spans="2:4" x14ac:dyDescent="0.3">
      <c r="B313">
        <f>Feuille1!A322</f>
        <v>6.5</v>
      </c>
      <c r="C313">
        <f>Feuille1!B322</f>
        <v>32787.75018519607</v>
      </c>
      <c r="D313">
        <f>Feuille1!C322</f>
        <v>22144.717379249552</v>
      </c>
    </row>
    <row r="314" spans="2:4" x14ac:dyDescent="0.3">
      <c r="B314">
        <f>Feuille1!A323</f>
        <v>7</v>
      </c>
      <c r="C314">
        <f>Feuille1!B323</f>
        <v>28581.89728526607</v>
      </c>
      <c r="D314">
        <f>Feuille1!C323</f>
        <v>18836.79403767296</v>
      </c>
    </row>
    <row r="315" spans="2:4" x14ac:dyDescent="0.3">
      <c r="B315">
        <f>Feuille1!A324</f>
        <v>7.5</v>
      </c>
      <c r="C315">
        <f>Feuille1!B324</f>
        <v>20143.383363127232</v>
      </c>
      <c r="D315">
        <f>Feuille1!C324</f>
        <v>15847.543364559029</v>
      </c>
    </row>
    <row r="316" spans="2:4" x14ac:dyDescent="0.3">
      <c r="B316">
        <f>Feuille1!A325</f>
        <v>8</v>
      </c>
      <c r="C316">
        <f>Feuille1!B325</f>
        <v>11139.788133438758</v>
      </c>
      <c r="D316">
        <f>Feuille1!C325</f>
        <v>16036.057731265179</v>
      </c>
    </row>
    <row r="317" spans="2:4" x14ac:dyDescent="0.3">
      <c r="B317">
        <f>Feuille1!A326</f>
        <v>8.5</v>
      </c>
      <c r="C317">
        <f>Feuille1!B326</f>
        <v>4968.4079582571931</v>
      </c>
      <c r="D317">
        <f>Feuille1!C326</f>
        <v>17489.744657370418</v>
      </c>
    </row>
    <row r="318" spans="2:4" x14ac:dyDescent="0.3">
      <c r="B318">
        <f>Feuille1!A327</f>
        <v>9</v>
      </c>
      <c r="C318">
        <f>Feuille1!B327</f>
        <v>598.53029424353872</v>
      </c>
      <c r="D318">
        <f>Feuille1!C327</f>
        <v>19108.882437530901</v>
      </c>
    </row>
    <row r="319" spans="2:4" x14ac:dyDescent="0.3">
      <c r="B319">
        <f>Feuille1!A328</f>
        <v>9.5</v>
      </c>
      <c r="C319">
        <f>Feuille1!B328</f>
        <v>-2878.1123373572618</v>
      </c>
      <c r="D319">
        <f>Feuille1!C328</f>
        <v>20526.816435753954</v>
      </c>
    </row>
    <row r="320" spans="2:4" x14ac:dyDescent="0.3">
      <c r="B320">
        <f>Feuille1!A329</f>
        <v>10</v>
      </c>
      <c r="C320">
        <f>Feuille1!B329</f>
        <v>-6187.4207175964184</v>
      </c>
      <c r="D320">
        <f>Feuille1!C329</f>
        <v>21544.453492582681</v>
      </c>
    </row>
    <row r="321" spans="2:4" x14ac:dyDescent="0.3">
      <c r="B321">
        <f>Feuille1!A330</f>
        <v>10.5</v>
      </c>
      <c r="C321">
        <f>Feuille1!B330</f>
        <v>-10046.523862348025</v>
      </c>
      <c r="D321">
        <f>Feuille1!C330</f>
        <v>21975.668910246874</v>
      </c>
    </row>
    <row r="322" spans="2:4" x14ac:dyDescent="0.3">
      <c r="B322">
        <f>Feuille1!A331</f>
        <v>11</v>
      </c>
      <c r="C322">
        <f>Feuille1!B331</f>
        <v>-15366.958117334745</v>
      </c>
      <c r="D322">
        <f>Feuille1!C331</f>
        <v>21546.411499887698</v>
      </c>
    </row>
    <row r="323" spans="2:4" x14ac:dyDescent="0.3">
      <c r="B323">
        <f>Feuille1!A332</f>
        <v>11.5</v>
      </c>
      <c r="C323">
        <f>Feuille1!B332</f>
        <v>-22905.25159175706</v>
      </c>
      <c r="D323">
        <f>Feuille1!C332</f>
        <v>19779.744036034845</v>
      </c>
    </row>
    <row r="324" spans="2:4" x14ac:dyDescent="0.3">
      <c r="B324">
        <f>Feuille1!A333</f>
        <v>12</v>
      </c>
      <c r="C324">
        <f>Feuille1!B333</f>
        <v>-27300.492047161628</v>
      </c>
      <c r="D324">
        <f>Feuille1!C333</f>
        <v>17920.477744519852</v>
      </c>
    </row>
    <row r="325" spans="2:4" x14ac:dyDescent="0.3">
      <c r="B325">
        <f>Feuille1!A334</f>
        <v>12.5</v>
      </c>
      <c r="C325">
        <f>Feuille1!B334</f>
        <v>-28222.36893006321</v>
      </c>
      <c r="D325">
        <f>Feuille1!C334</f>
        <v>16631.912867023377</v>
      </c>
    </row>
    <row r="326" spans="2:4" x14ac:dyDescent="0.3">
      <c r="B326">
        <f>Feuille1!A335</f>
        <v>13</v>
      </c>
      <c r="C326">
        <f>Feuille1!B335</f>
        <v>-26017.076231431223</v>
      </c>
      <c r="D326">
        <f>Feuille1!C335</f>
        <v>16144.689957838047</v>
      </c>
    </row>
    <row r="327" spans="2:4" x14ac:dyDescent="0.3">
      <c r="B327">
        <f>Feuille1!A336</f>
        <v>13.5</v>
      </c>
      <c r="C327">
        <f>Feuille1!B336</f>
        <v>-20617.222498779684</v>
      </c>
      <c r="D327">
        <f>Feuille1!C336</f>
        <v>17068.520131127832</v>
      </c>
    </row>
    <row r="328" spans="2:4" x14ac:dyDescent="0.3">
      <c r="B328">
        <f>Feuille1!A337</f>
        <v>14</v>
      </c>
      <c r="C328">
        <f>Feuille1!B337</f>
        <v>-14012.779831379557</v>
      </c>
      <c r="D328">
        <f>Feuille1!C337</f>
        <v>20232.398396676766</v>
      </c>
    </row>
    <row r="329" spans="2:4" x14ac:dyDescent="0.3">
      <c r="B329">
        <f>Feuille1!A338</f>
        <v>14.5</v>
      </c>
      <c r="C329">
        <f>Feuille1!B338</f>
        <v>-9772.5917110434766</v>
      </c>
      <c r="D329">
        <f>Feuille1!C338</f>
        <v>22951.217532144914</v>
      </c>
    </row>
    <row r="330" spans="2:4" x14ac:dyDescent="0.3">
      <c r="B330">
        <f>Feuille1!A339</f>
        <v>15</v>
      </c>
      <c r="C330">
        <f>Feuille1!B339</f>
        <v>-6837.4306339858904</v>
      </c>
      <c r="D330">
        <f>Feuille1!C339</f>
        <v>24605.921059293963</v>
      </c>
    </row>
    <row r="331" spans="2:4" x14ac:dyDescent="0.3">
      <c r="B331">
        <f>Feuille1!A340</f>
        <v>15.5</v>
      </c>
      <c r="C331">
        <f>Feuille1!B340</f>
        <v>-4440.548862157927</v>
      </c>
      <c r="D331">
        <f>Feuille1!C340</f>
        <v>25186.386399239804</v>
      </c>
    </row>
    <row r="332" spans="2:4" x14ac:dyDescent="0.3">
      <c r="B332">
        <f>Feuille1!A341</f>
        <v>16</v>
      </c>
      <c r="C332">
        <f>Feuille1!B341</f>
        <v>-2105.9802478575502</v>
      </c>
      <c r="D332">
        <f>Feuille1!C341</f>
        <v>24753.088972779427</v>
      </c>
    </row>
    <row r="333" spans="2:4" x14ac:dyDescent="0.3">
      <c r="B333">
        <f>Feuille1!A342</f>
        <v>16.5</v>
      </c>
      <c r="C333">
        <f>Feuille1!B342</f>
        <v>577.39633340058435</v>
      </c>
      <c r="D333">
        <f>Feuille1!C342</f>
        <v>23399.392814939623</v>
      </c>
    </row>
    <row r="334" spans="2:4" x14ac:dyDescent="0.3">
      <c r="B334">
        <f>Feuille1!A343</f>
        <v>17</v>
      </c>
      <c r="C334">
        <f>Feuille1!B343</f>
        <v>4125.3613917362909</v>
      </c>
      <c r="D334">
        <f>Feuille1!C343</f>
        <v>21262.603066345022</v>
      </c>
    </row>
    <row r="335" spans="2:4" x14ac:dyDescent="0.3">
      <c r="B335">
        <f>Feuille1!A344</f>
        <v>17.5</v>
      </c>
      <c r="C335">
        <f>Feuille1!B344</f>
        <v>9339.3241475112136</v>
      </c>
      <c r="D335">
        <f>Feuille1!C344</f>
        <v>18581.851036650874</v>
      </c>
    </row>
    <row r="336" spans="2:4" x14ac:dyDescent="0.3">
      <c r="B336">
        <f>Feuille1!A345</f>
        <v>18</v>
      </c>
      <c r="C336">
        <f>Feuille1!B345</f>
        <v>17436.861702489245</v>
      </c>
      <c r="D336">
        <f>Feuille1!C345</f>
        <v>16083.562975688666</v>
      </c>
    </row>
    <row r="337" spans="2:4" x14ac:dyDescent="0.3">
      <c r="B337">
        <f>Feuille1!A346</f>
        <v>18.5</v>
      </c>
      <c r="C337">
        <f>Feuille1!B346</f>
        <v>27047.274892384699</v>
      </c>
      <c r="D337">
        <f>Feuille1!C346</f>
        <v>16375.37585907739</v>
      </c>
    </row>
    <row r="338" spans="2:4" x14ac:dyDescent="0.3">
      <c r="B338">
        <f>Feuille1!A347</f>
        <v>19</v>
      </c>
      <c r="C338">
        <f>Feuille1!B347</f>
        <v>32729.690769326215</v>
      </c>
      <c r="D338">
        <f>Feuille1!C347</f>
        <v>18279.436224886824</v>
      </c>
    </row>
    <row r="339" spans="2:4" x14ac:dyDescent="0.3">
      <c r="B339">
        <f>Feuille1!A348</f>
        <v>19.5</v>
      </c>
      <c r="C339">
        <f>Feuille1!B348</f>
        <v>34998.854789290694</v>
      </c>
      <c r="D339">
        <f>Feuille1!C348</f>
        <v>20413.569215224117</v>
      </c>
    </row>
    <row r="340" spans="2:4" x14ac:dyDescent="0.3">
      <c r="B340">
        <f>Feuille1!A349</f>
        <v>20</v>
      </c>
      <c r="C340">
        <f>Feuille1!B349</f>
        <v>34290.046504536054</v>
      </c>
      <c r="D340">
        <f>Feuille1!C349</f>
        <v>22296.426954407198</v>
      </c>
    </row>
    <row r="341" spans="2:4" x14ac:dyDescent="0.3">
      <c r="B341">
        <f>Feuille1!A350</f>
        <v>20.5</v>
      </c>
      <c r="C341">
        <f>Feuille1!B350</f>
        <v>30537.947668897636</v>
      </c>
      <c r="D341">
        <f>Feuille1!C350</f>
        <v>23556.63145471325</v>
      </c>
    </row>
    <row r="342" spans="2:4" x14ac:dyDescent="0.3">
      <c r="B342">
        <f>Feuille1!A351</f>
        <v>21</v>
      </c>
      <c r="C342">
        <f>Feuille1!B351</f>
        <v>23174.526744141407</v>
      </c>
      <c r="D342">
        <f>Feuille1!C351</f>
        <v>23504.635804299083</v>
      </c>
    </row>
    <row r="343" spans="2:4" x14ac:dyDescent="0.3">
      <c r="B343">
        <f>Feuille1!A352</f>
        <v>21.5</v>
      </c>
      <c r="C343">
        <f>Feuille1!B352</f>
        <v>12980.120171354978</v>
      </c>
      <c r="D343">
        <f>Feuille1!C352</f>
        <v>20503.114791004009</v>
      </c>
    </row>
    <row r="344" spans="2:4" x14ac:dyDescent="0.3">
      <c r="B344">
        <f>Feuille1!A353</f>
        <v>22</v>
      </c>
      <c r="C344">
        <f>Feuille1!B353</f>
        <v>6262.948175551338</v>
      </c>
      <c r="D344">
        <f>Feuille1!C353</f>
        <v>16926.324990982474</v>
      </c>
    </row>
    <row r="345" spans="2:4" x14ac:dyDescent="0.3">
      <c r="B345">
        <f>Feuille1!A354</f>
        <v>22.5</v>
      </c>
      <c r="C345">
        <f>Feuille1!B354</f>
        <v>1597.5006399541371</v>
      </c>
      <c r="D345">
        <f>Feuille1!C354</f>
        <v>13708.852749640904</v>
      </c>
    </row>
    <row r="346" spans="2:4" x14ac:dyDescent="0.3">
      <c r="B346">
        <f>Feuille1!A355</f>
        <v>23</v>
      </c>
      <c r="C346">
        <f>Feuille1!B355</f>
        <v>-2130.8644270131626</v>
      </c>
      <c r="D346">
        <f>Feuille1!C355</f>
        <v>10965.014053227898</v>
      </c>
    </row>
    <row r="347" spans="2:4" x14ac:dyDescent="0.3">
      <c r="B347">
        <f>Feuille1!A356</f>
        <v>23.5</v>
      </c>
      <c r="C347">
        <f>Feuille1!B356</f>
        <v>-5511.4733920331319</v>
      </c>
      <c r="D347">
        <f>Feuille1!C356</f>
        <v>8788.3695273801695</v>
      </c>
    </row>
    <row r="348" spans="2:4" x14ac:dyDescent="0.3">
      <c r="B348">
        <f>Feuille1!A357</f>
        <v>24</v>
      </c>
      <c r="C348">
        <f>Feuille1!B357</f>
        <v>-8829.135148117417</v>
      </c>
      <c r="D348">
        <f>Feuille1!C357</f>
        <v>7310.683763690723</v>
      </c>
    </row>
    <row r="349" spans="2:4" x14ac:dyDescent="0.3">
      <c r="B349">
        <f>Feuille1!A358</f>
        <v>24.5</v>
      </c>
      <c r="C349">
        <f>Feuille1!B358</f>
        <v>-12177.573921510126</v>
      </c>
      <c r="D349">
        <f>Feuille1!C358</f>
        <v>6708.1273839362466</v>
      </c>
    </row>
    <row r="350" spans="2:4" x14ac:dyDescent="0.3">
      <c r="B350">
        <f>Feuille1!A359</f>
        <v>25</v>
      </c>
      <c r="C350">
        <f>Feuille1!B359</f>
        <v>-15525.305596479109</v>
      </c>
      <c r="D350">
        <f>Feuille1!C359</f>
        <v>7226.1729664799859</v>
      </c>
    </row>
    <row r="351" spans="2:4" x14ac:dyDescent="0.3">
      <c r="B351">
        <f>Feuille1!A360</f>
        <v>25.5</v>
      </c>
      <c r="C351">
        <f>Feuille1!B360</f>
        <v>-18741.996701746008</v>
      </c>
      <c r="D351">
        <f>Feuille1!C360</f>
        <v>9234.34290320746</v>
      </c>
    </row>
    <row r="352" spans="2:4" x14ac:dyDescent="0.3">
      <c r="B352">
        <f>Feuille1!A361</f>
        <v>26</v>
      </c>
      <c r="C352">
        <f>Feuille1!B361</f>
        <v>-21529.019182971238</v>
      </c>
      <c r="D352">
        <f>Feuille1!C361</f>
        <v>13326.630199583191</v>
      </c>
    </row>
    <row r="353" spans="2:4" x14ac:dyDescent="0.3">
      <c r="B353">
        <f>Feuille1!A362</f>
        <v>26.5</v>
      </c>
      <c r="C353">
        <f>Feuille1!B362</f>
        <v>-22952.882134696676</v>
      </c>
      <c r="D353">
        <f>Feuille1!C362</f>
        <v>20211.276282200055</v>
      </c>
    </row>
    <row r="354" spans="2:4" x14ac:dyDescent="0.3">
      <c r="B354">
        <f>Feuille1!A363</f>
        <v>27</v>
      </c>
      <c r="C354">
        <f>Feuille1!B363</f>
        <v>-21209.663729463769</v>
      </c>
      <c r="D354">
        <f>Feuille1!C363</f>
        <v>26628.057087696172</v>
      </c>
    </row>
    <row r="355" spans="2:4" x14ac:dyDescent="0.3">
      <c r="B355">
        <f>Feuille1!A364</f>
        <v>27.5</v>
      </c>
      <c r="C355">
        <f>Feuille1!B364</f>
        <v>-18290.544443871626</v>
      </c>
      <c r="D355">
        <f>Feuille1!C364</f>
        <v>29610.658167728972</v>
      </c>
    </row>
    <row r="356" spans="2:4" x14ac:dyDescent="0.3">
      <c r="B356">
        <f>Feuille1!A365</f>
        <v>28</v>
      </c>
      <c r="C356">
        <f>Feuille1!B365</f>
        <v>-15186.82005058219</v>
      </c>
      <c r="D356">
        <f>Feuille1!C365</f>
        <v>29653.227909637721</v>
      </c>
    </row>
    <row r="357" spans="2:4" x14ac:dyDescent="0.3">
      <c r="B357">
        <f>Feuille1!A366</f>
        <v>28.5</v>
      </c>
      <c r="C357">
        <f>Feuille1!B366</f>
        <v>-12431.359148574629</v>
      </c>
      <c r="D357">
        <f>Feuille1!C366</f>
        <v>27138.917741833673</v>
      </c>
    </row>
    <row r="358" spans="2:4" x14ac:dyDescent="0.3">
      <c r="B358">
        <f>Feuille1!A367</f>
        <v>29</v>
      </c>
      <c r="C358">
        <f>Feuille1!B367</f>
        <v>-10626.212203806455</v>
      </c>
      <c r="D358">
        <f>Feuille1!C367</f>
        <v>22496.586821125777</v>
      </c>
    </row>
    <row r="359" spans="2:4" x14ac:dyDescent="0.3">
      <c r="B359">
        <f>Feuille1!A368</f>
        <v>29.5</v>
      </c>
      <c r="C359">
        <f>Feuille1!B368</f>
        <v>-10369.547285677832</v>
      </c>
      <c r="D359">
        <f>Feuille1!C368</f>
        <v>16804.671450415557</v>
      </c>
    </row>
    <row r="360" spans="2:4" x14ac:dyDescent="0.3">
      <c r="B360">
        <f>Feuille1!A369</f>
        <v>30</v>
      </c>
      <c r="C360">
        <f>Feuille1!B369</f>
        <v>-11510.178228008752</v>
      </c>
      <c r="D360">
        <f>Feuille1!C369</f>
        <v>11644.076239818411</v>
      </c>
    </row>
    <row r="361" spans="2:4" x14ac:dyDescent="0.3">
      <c r="B361">
        <f>Feuille1!A370</f>
        <v>30.5</v>
      </c>
      <c r="C361">
        <f>Feuille1!B370</f>
        <v>-13298.138406041324</v>
      </c>
      <c r="D361">
        <f>Feuille1!C370</f>
        <v>7782.9215716800909</v>
      </c>
    </row>
    <row r="362" spans="2:4" x14ac:dyDescent="0.3">
      <c r="B362">
        <f>Feuille1!A371</f>
        <v>31</v>
      </c>
      <c r="C362">
        <f>Feuille1!B371</f>
        <v>-15158.345165047986</v>
      </c>
      <c r="D362">
        <f>Feuille1!C371</f>
        <v>5255.2941265066493</v>
      </c>
    </row>
    <row r="363" spans="2:4" x14ac:dyDescent="0.3">
      <c r="B363">
        <f>Feuille1!A372</f>
        <v>31.5</v>
      </c>
      <c r="C363">
        <f>Feuille1!B372</f>
        <v>-16768.385927091105</v>
      </c>
      <c r="D363">
        <f>Feuille1!C372</f>
        <v>3923.8321857605088</v>
      </c>
    </row>
    <row r="364" spans="2:4" x14ac:dyDescent="0.3">
      <c r="B364">
        <f>Feuille1!A373</f>
        <v>32</v>
      </c>
      <c r="C364">
        <f>Feuille1!B373</f>
        <v>-17951.536889422849</v>
      </c>
      <c r="D364">
        <f>Feuille1!C373</f>
        <v>3694.4602568520168</v>
      </c>
    </row>
    <row r="365" spans="2:4" x14ac:dyDescent="0.3">
      <c r="B365">
        <f>Feuille1!A374</f>
        <v>32.5</v>
      </c>
      <c r="C365">
        <f>Feuille1!B374</f>
        <v>-18613.916352230914</v>
      </c>
      <c r="D365">
        <f>Feuille1!C374</f>
        <v>4572.8750171397651</v>
      </c>
    </row>
    <row r="366" spans="2:4" x14ac:dyDescent="0.3">
      <c r="B366">
        <f>Feuille1!A375</f>
        <v>33</v>
      </c>
      <c r="C366">
        <f>Feuille1!B375</f>
        <v>-18720.652265641733</v>
      </c>
      <c r="D366">
        <f>Feuille1!C375</f>
        <v>6698.762145417536</v>
      </c>
    </row>
    <row r="367" spans="2:4" x14ac:dyDescent="0.3">
      <c r="B367">
        <f>Feuille1!A376</f>
        <v>33.5</v>
      </c>
      <c r="C367">
        <f>Feuille1!B376</f>
        <v>-18309.863818860798</v>
      </c>
      <c r="D367">
        <f>Feuille1!C376</f>
        <v>10420.076880065339</v>
      </c>
    </row>
    <row r="368" spans="2:4" x14ac:dyDescent="0.3">
      <c r="B368">
        <f>Feuille1!A377</f>
        <v>34</v>
      </c>
      <c r="C368">
        <f>Feuille1!B377</f>
        <v>-17636.035618288945</v>
      </c>
      <c r="D368">
        <f>Feuille1!C377</f>
        <v>16440.487619362473</v>
      </c>
    </row>
    <row r="369" spans="2:4" x14ac:dyDescent="0.3">
      <c r="B369">
        <f>Feuille1!A378</f>
        <v>34.5</v>
      </c>
      <c r="C369">
        <f>Feuille1!B378</f>
        <v>-17917.518228287325</v>
      </c>
      <c r="D369">
        <f>Feuille1!C378</f>
        <v>24737.436427703338</v>
      </c>
    </row>
    <row r="370" spans="2:4" x14ac:dyDescent="0.3">
      <c r="B370">
        <f>Feuille1!A379</f>
        <v>35</v>
      </c>
      <c r="C370">
        <f>Feuille1!B379</f>
        <v>-18788.630331805267</v>
      </c>
      <c r="D370">
        <f>Feuille1!C379</f>
        <v>29753.84059195804</v>
      </c>
    </row>
    <row r="371" spans="2:4" x14ac:dyDescent="0.3">
      <c r="B371">
        <f>Feuille1!A380</f>
        <v>35.5</v>
      </c>
      <c r="C371">
        <f>Feuille1!B380</f>
        <v>-19351.083316965367</v>
      </c>
      <c r="D371">
        <f>Feuille1!C380</f>
        <v>31829.155350049015</v>
      </c>
    </row>
    <row r="372" spans="2:4" x14ac:dyDescent="0.3">
      <c r="B372">
        <f>Feuille1!A381</f>
        <v>36</v>
      </c>
      <c r="C372">
        <f>Feuille1!B381</f>
        <v>-19442.204592617731</v>
      </c>
      <c r="D372">
        <f>Feuille1!C381</f>
        <v>31357.242383065422</v>
      </c>
    </row>
    <row r="373" spans="2:4" x14ac:dyDescent="0.3">
      <c r="B373">
        <f>Feuille1!A382</f>
        <v>36.5</v>
      </c>
      <c r="C373">
        <f>Feuille1!B382</f>
        <v>-19050.012933495193</v>
      </c>
      <c r="D373">
        <f>Feuille1!C382</f>
        <v>28246.890603059925</v>
      </c>
    </row>
    <row r="374" spans="2:4" x14ac:dyDescent="0.3">
      <c r="B374">
        <f>Feuille1!A383</f>
        <v>37</v>
      </c>
      <c r="C374">
        <f>Feuille1!B383</f>
        <v>-18350.917921847697</v>
      </c>
      <c r="D374">
        <f>Feuille1!C383</f>
        <v>21891.87748487719</v>
      </c>
    </row>
    <row r="375" spans="2:4" x14ac:dyDescent="0.3">
      <c r="B375">
        <f>Feuille1!A384</f>
        <v>37.5</v>
      </c>
      <c r="C375">
        <f>Feuille1!B384</f>
        <v>-18441.931954352254</v>
      </c>
      <c r="D375">
        <f>Feuille1!C384</f>
        <v>13498.296268596529</v>
      </c>
    </row>
    <row r="376" spans="2:4" x14ac:dyDescent="0.3">
      <c r="B376">
        <f>Feuille1!A385</f>
        <v>38</v>
      </c>
      <c r="C376">
        <f>Feuille1!B385</f>
        <v>-18548.510827491551</v>
      </c>
      <c r="D376">
        <f>Feuille1!C385</f>
        <v>7909.1518055358956</v>
      </c>
    </row>
    <row r="377" spans="2:4" x14ac:dyDescent="0.3">
      <c r="B377">
        <f>Feuille1!A386</f>
        <v>38.5</v>
      </c>
      <c r="C377">
        <f>Feuille1!B386</f>
        <v>-18201.873299589322</v>
      </c>
      <c r="D377">
        <f>Feuille1!C386</f>
        <v>4132.6198158253646</v>
      </c>
    </row>
    <row r="378" spans="2:4" x14ac:dyDescent="0.3">
      <c r="B378">
        <f>Feuille1!A387</f>
        <v>39</v>
      </c>
      <c r="C378">
        <f>Feuille1!B387</f>
        <v>-17325.245933069924</v>
      </c>
      <c r="D378">
        <f>Feuille1!C387</f>
        <v>1530.7208186824014</v>
      </c>
    </row>
    <row r="379" spans="2:4" x14ac:dyDescent="0.3">
      <c r="B379">
        <f>Feuille1!A388</f>
        <v>39.5</v>
      </c>
      <c r="C379">
        <f>Feuille1!B388</f>
        <v>-15918.128699442388</v>
      </c>
      <c r="D379">
        <f>Feuille1!C388</f>
        <v>-247.43465067857471</v>
      </c>
    </row>
    <row r="380" spans="2:4" x14ac:dyDescent="0.3">
      <c r="B380">
        <f>Feuille1!A389</f>
        <v>40</v>
      </c>
      <c r="C380">
        <f>Feuille1!B389</f>
        <v>-14007.788184008485</v>
      </c>
      <c r="D380">
        <f>Feuille1!C389</f>
        <v>-1424.1521334206882</v>
      </c>
    </row>
    <row r="381" spans="2:4" x14ac:dyDescent="0.3">
      <c r="B381">
        <f>Feuille1!A390</f>
        <v>40.5</v>
      </c>
      <c r="C381">
        <f>Feuille1!B390</f>
        <v>-11640.106582381834</v>
      </c>
      <c r="D381">
        <f>Feuille1!C390</f>
        <v>-2158.6219060891176</v>
      </c>
    </row>
    <row r="382" spans="2:4" x14ac:dyDescent="0.3">
      <c r="B382">
        <f>Feuille1!A391</f>
        <v>41</v>
      </c>
      <c r="C382">
        <f>Feuille1!B391</f>
        <v>-8875.1483470124167</v>
      </c>
      <c r="D382">
        <f>Feuille1!C391</f>
        <v>-2571.7089366545083</v>
      </c>
    </row>
    <row r="383" spans="2:4" x14ac:dyDescent="0.3">
      <c r="B383">
        <f>Feuille1!A392</f>
        <v>41.5</v>
      </c>
      <c r="C383">
        <f>Feuille1!B392</f>
        <v>-5780.8356504987469</v>
      </c>
      <c r="D383">
        <f>Feuille1!C392</f>
        <v>-2748.6064490730491</v>
      </c>
    </row>
    <row r="384" spans="2:4" x14ac:dyDescent="0.3">
      <c r="B384">
        <f>Feuille1!A393</f>
        <v>42</v>
      </c>
      <c r="C384">
        <f>Feuille1!B393</f>
        <v>-2424.7519824636379</v>
      </c>
      <c r="D384">
        <f>Feuille1!C393</f>
        <v>-2727.2220147438557</v>
      </c>
    </row>
    <row r="385" spans="2:4" x14ac:dyDescent="0.3">
      <c r="B385">
        <f>Feuille1!A394</f>
        <v>42.5</v>
      </c>
      <c r="C385">
        <f>Feuille1!B394</f>
        <v>1133.7761660597903</v>
      </c>
      <c r="D385">
        <f>Feuille1!C394</f>
        <v>-2479.6434368532887</v>
      </c>
    </row>
    <row r="386" spans="2:4" x14ac:dyDescent="0.3">
      <c r="B386">
        <f>Feuille1!A395</f>
        <v>43</v>
      </c>
      <c r="C386">
        <f>Feuille1!B395</f>
        <v>4849.8414323729476</v>
      </c>
      <c r="D386">
        <f>Feuille1!C395</f>
        <v>-1894.1975815617811</v>
      </c>
    </row>
    <row r="387" spans="2:4" x14ac:dyDescent="0.3">
      <c r="B387">
        <f>Feuille1!A396</f>
        <v>43.5</v>
      </c>
      <c r="C387">
        <f>Feuille1!B396</f>
        <v>8696.8335951259905</v>
      </c>
      <c r="D387">
        <f>Feuille1!C396</f>
        <v>-760.97958969629497</v>
      </c>
    </row>
    <row r="388" spans="2:4" x14ac:dyDescent="0.3">
      <c r="B388">
        <f>Feuille1!A397</f>
        <v>44</v>
      </c>
      <c r="C388">
        <f>Feuille1!B397</f>
        <v>12665.359788215726</v>
      </c>
      <c r="D388">
        <f>Feuille1!C397</f>
        <v>1247.7359282504349</v>
      </c>
    </row>
    <row r="389" spans="2:4" x14ac:dyDescent="0.3">
      <c r="B389">
        <f>Feuille1!A398</f>
        <v>44.5</v>
      </c>
      <c r="C389">
        <f>Feuille1!B398</f>
        <v>16745.045193405611</v>
      </c>
      <c r="D389">
        <f>Feuille1!C398</f>
        <v>4631.3016956644515</v>
      </c>
    </row>
    <row r="390" spans="2:4" x14ac:dyDescent="0.3">
      <c r="B390">
        <f>Feuille1!A399</f>
        <v>45</v>
      </c>
      <c r="C390">
        <f>Feuille1!B399</f>
        <v>20829.228796352389</v>
      </c>
      <c r="D390">
        <f>Feuille1!C399</f>
        <v>10211.651208191844</v>
      </c>
    </row>
    <row r="391" spans="2:4" x14ac:dyDescent="0.3">
      <c r="B391">
        <f>Feuille1!A400</f>
        <v>45.5</v>
      </c>
      <c r="C391">
        <f>Feuille1!B400</f>
        <v>24136.330673879605</v>
      </c>
      <c r="D391">
        <f>Feuille1!C400</f>
        <v>19262.890447357953</v>
      </c>
    </row>
    <row r="392" spans="2:4" x14ac:dyDescent="0.3">
      <c r="B392">
        <f>Feuille1!A401</f>
        <v>46</v>
      </c>
      <c r="C392">
        <f>Feuille1!B401</f>
        <v>23661.500648298923</v>
      </c>
      <c r="D392">
        <f>Feuille1!C401</f>
        <v>28689.466807424025</v>
      </c>
    </row>
    <row r="393" spans="2:4" x14ac:dyDescent="0.3">
      <c r="B393">
        <f>Feuille1!A402</f>
        <v>46.5</v>
      </c>
      <c r="C393">
        <f>Feuille1!B402</f>
        <v>21371.522218876482</v>
      </c>
      <c r="D393">
        <f>Feuille1!C402</f>
        <v>34371.277973731325</v>
      </c>
    </row>
    <row r="394" spans="2:4" x14ac:dyDescent="0.3">
      <c r="B394">
        <f>Feuille1!A403</f>
        <v>47</v>
      </c>
      <c r="C394">
        <f>Feuille1!B403</f>
        <v>18499.247539455017</v>
      </c>
      <c r="D394">
        <f>Feuille1!C403</f>
        <v>37014.214875742698</v>
      </c>
    </row>
    <row r="395" spans="2:4" x14ac:dyDescent="0.3">
      <c r="B395">
        <f>Feuille1!A404</f>
        <v>47.5</v>
      </c>
      <c r="C395">
        <f>Feuille1!B404</f>
        <v>15512.049661263754</v>
      </c>
      <c r="D395">
        <f>Feuille1!C404</f>
        <v>37074.106825686831</v>
      </c>
    </row>
    <row r="396" spans="2:4" x14ac:dyDescent="0.3">
      <c r="B396">
        <f>Feuille1!A405</f>
        <v>48</v>
      </c>
      <c r="C396">
        <f>Feuille1!B405</f>
        <v>12744.888541006892</v>
      </c>
      <c r="D396">
        <f>Feuille1!C405</f>
        <v>34677.823121001762</v>
      </c>
    </row>
    <row r="397" spans="2:4" x14ac:dyDescent="0.3">
      <c r="B397">
        <f>Feuille1!A406</f>
        <v>48.5</v>
      </c>
      <c r="C397">
        <f>Feuille1!B406</f>
        <v>10651.74871896454</v>
      </c>
      <c r="D397">
        <f>Feuille1!C406</f>
        <v>29755.80951080555</v>
      </c>
    </row>
    <row r="398" spans="2:4" x14ac:dyDescent="0.3">
      <c r="B398">
        <f>Feuille1!A407</f>
        <v>49</v>
      </c>
      <c r="C398">
        <f>Feuille1!B407</f>
        <v>10114.74239045562</v>
      </c>
      <c r="D398">
        <f>Feuille1!C407</f>
        <v>22317.499997150549</v>
      </c>
    </row>
    <row r="399" spans="2:4" x14ac:dyDescent="0.3">
      <c r="B399">
        <f>Feuille1!A408</f>
        <v>49.5</v>
      </c>
      <c r="C399">
        <f>Feuille1!B408</f>
        <v>12552.282603865731</v>
      </c>
      <c r="D399">
        <f>Feuille1!C408</f>
        <v>13723.627800557888</v>
      </c>
    </row>
    <row r="400" spans="2:4" x14ac:dyDescent="0.3">
      <c r="B400">
        <f>Feuille1!A409</f>
        <v>50</v>
      </c>
      <c r="C400">
        <f>Feuille1!B409</f>
        <v>17291.765064492847</v>
      </c>
      <c r="D400">
        <f>Feuille1!C409</f>
        <v>7283.178122799326</v>
      </c>
    </row>
    <row r="401" spans="2:4" x14ac:dyDescent="0.3">
      <c r="B401">
        <f>Feuille1!A410</f>
        <v>50.5</v>
      </c>
      <c r="C401">
        <f>Feuille1!B410</f>
        <v>22165.756287990273</v>
      </c>
      <c r="D401">
        <f>Feuille1!C410</f>
        <v>3584.9774630661709</v>
      </c>
    </row>
    <row r="402" spans="2:4" x14ac:dyDescent="0.3">
      <c r="B402">
        <f>Feuille1!A411</f>
        <v>51</v>
      </c>
      <c r="C402">
        <f>Feuille1!B411</f>
        <v>26239.871219308305</v>
      </c>
      <c r="D402">
        <f>Feuille1!C411</f>
        <v>1992.7522107824921</v>
      </c>
    </row>
    <row r="403" spans="2:4" x14ac:dyDescent="0.3">
      <c r="B403">
        <f>Feuille1!A412</f>
        <v>51.5</v>
      </c>
      <c r="C403">
        <f>Feuille1!B412</f>
        <v>29192.577699985348</v>
      </c>
      <c r="D403">
        <f>Feuille1!C412</f>
        <v>2047.6058891246555</v>
      </c>
    </row>
    <row r="404" spans="2:4" x14ac:dyDescent="0.3">
      <c r="B404">
        <f>Feuille1!A413</f>
        <v>52</v>
      </c>
      <c r="C404">
        <f>Feuille1!B413</f>
        <v>30860.370438969876</v>
      </c>
      <c r="D404">
        <f>Feuille1!C413</f>
        <v>3529.2755442687344</v>
      </c>
    </row>
    <row r="405" spans="2:4" x14ac:dyDescent="0.3">
      <c r="B405">
        <f>Feuille1!A414</f>
        <v>52.5</v>
      </c>
      <c r="C405">
        <f>Feuille1!B414</f>
        <v>31060.345747841948</v>
      </c>
      <c r="D405">
        <f>Feuille1!C414</f>
        <v>6398.4256466219476</v>
      </c>
    </row>
    <row r="406" spans="2:4" x14ac:dyDescent="0.3">
      <c r="B406">
        <f>Feuille1!A415</f>
        <v>53</v>
      </c>
      <c r="C406">
        <f>Feuille1!B415</f>
        <v>29454.805535754225</v>
      </c>
      <c r="D406">
        <f>Feuille1!C415</f>
        <v>10798.467850383175</v>
      </c>
    </row>
    <row r="407" spans="2:4" x14ac:dyDescent="0.3">
      <c r="B407">
        <f>Feuille1!A416</f>
        <v>53.5</v>
      </c>
      <c r="C407">
        <f>Feuille1!B416</f>
        <v>25283.105825351107</v>
      </c>
      <c r="D407">
        <f>Feuille1!C416</f>
        <v>17116.094192158998</v>
      </c>
    </row>
    <row r="408" spans="2:4" x14ac:dyDescent="0.3">
      <c r="B408">
        <f>Feuille1!A417</f>
        <v>54</v>
      </c>
      <c r="C408">
        <f>Feuille1!B417</f>
        <v>17244.640191922816</v>
      </c>
      <c r="D408">
        <f>Feuille1!C417</f>
        <v>25109.629852175924</v>
      </c>
    </row>
    <row r="409" spans="2:4" x14ac:dyDescent="0.3">
      <c r="B409">
        <f>Feuille1!A418</f>
        <v>54.5</v>
      </c>
      <c r="C409">
        <f>Feuille1!B418</f>
        <v>10635.552230758005</v>
      </c>
      <c r="D409">
        <f>Feuille1!C418</f>
        <v>29363.173343348437</v>
      </c>
    </row>
    <row r="410" spans="2:4" x14ac:dyDescent="0.3">
      <c r="B410">
        <f>Feuille1!A419</f>
        <v>55</v>
      </c>
      <c r="C410">
        <f>Feuille1!B419</f>
        <v>5661.8031273297693</v>
      </c>
      <c r="D410">
        <f>Feuille1!C419</f>
        <v>31107.177838533215</v>
      </c>
    </row>
    <row r="411" spans="2:4" x14ac:dyDescent="0.3">
      <c r="B411">
        <f>Feuille1!A420</f>
        <v>55.5</v>
      </c>
      <c r="C411">
        <f>Feuille1!B420</f>
        <v>1782.9072179225145</v>
      </c>
      <c r="D411">
        <f>Feuille1!C420</f>
        <v>31076.820324006945</v>
      </c>
    </row>
    <row r="412" spans="2:4" x14ac:dyDescent="0.3">
      <c r="B412">
        <f>Feuille1!A421</f>
        <v>56</v>
      </c>
      <c r="C412">
        <f>Feuille1!B421</f>
        <v>-1345.585683455316</v>
      </c>
      <c r="D412">
        <f>Feuille1!C421</f>
        <v>29580.620497313037</v>
      </c>
    </row>
    <row r="413" spans="2:4" x14ac:dyDescent="0.3">
      <c r="B413">
        <f>Feuille1!A422</f>
        <v>56.5</v>
      </c>
      <c r="C413">
        <f>Feuille1!B422</f>
        <v>-4015.3583335673243</v>
      </c>
      <c r="D413">
        <f>Feuille1!C422</f>
        <v>26779.906511101319</v>
      </c>
    </row>
    <row r="414" spans="2:4" x14ac:dyDescent="0.3">
      <c r="B414">
        <f>Feuille1!A423</f>
        <v>57</v>
      </c>
      <c r="C414">
        <f>Feuille1!B423</f>
        <v>-6621.5414708548351</v>
      </c>
      <c r="D414">
        <f>Feuille1!C423</f>
        <v>22829.649924196867</v>
      </c>
    </row>
    <row r="415" spans="2:4" x14ac:dyDescent="0.3">
      <c r="B415">
        <f>Feuille1!A424</f>
        <v>57.5</v>
      </c>
      <c r="C415">
        <f>Feuille1!B424</f>
        <v>-9828.8436211866319</v>
      </c>
      <c r="D415">
        <f>Feuille1!C424</f>
        <v>18071.63900618958</v>
      </c>
    </row>
    <row r="416" spans="2:4" x14ac:dyDescent="0.3">
      <c r="B416">
        <f>Feuille1!A425</f>
        <v>58</v>
      </c>
      <c r="C416">
        <f>Feuille1!B425</f>
        <v>-14442.028317890603</v>
      </c>
      <c r="D416">
        <f>Feuille1!C425</f>
        <v>13491.147613339681</v>
      </c>
    </row>
    <row r="417" spans="2:4" x14ac:dyDescent="0.3">
      <c r="B417">
        <f>Feuille1!A426</f>
        <v>58.5</v>
      </c>
      <c r="C417">
        <f>Feuille1!B426</f>
        <v>-20086.413672942101</v>
      </c>
      <c r="D417">
        <f>Feuille1!C426</f>
        <v>10825.074365058616</v>
      </c>
    </row>
    <row r="418" spans="2:4" x14ac:dyDescent="0.3">
      <c r="B418">
        <f>Feuille1!A427</f>
        <v>59</v>
      </c>
      <c r="C418">
        <f>Feuille1!B427</f>
        <v>-25019.234729555261</v>
      </c>
      <c r="D418">
        <f>Feuille1!C427</f>
        <v>10611.544577889807</v>
      </c>
    </row>
    <row r="419" spans="2:4" x14ac:dyDescent="0.3">
      <c r="B419">
        <f>Feuille1!A428</f>
        <v>59.5</v>
      </c>
      <c r="C419">
        <f>Feuille1!B428</f>
        <v>-28200.346275965854</v>
      </c>
      <c r="D419">
        <f>Feuille1!C428</f>
        <v>12259.666554068141</v>
      </c>
    </row>
    <row r="420" spans="2:4" x14ac:dyDescent="0.3">
      <c r="B420">
        <f>Feuille1!A429</f>
        <v>60</v>
      </c>
      <c r="C420">
        <f>Feuille1!B429</f>
        <v>-29152.106613580774</v>
      </c>
      <c r="D420">
        <f>Feuille1!C429</f>
        <v>15221.950103014195</v>
      </c>
    </row>
    <row r="421" spans="2:4" x14ac:dyDescent="0.3">
      <c r="B421">
        <f>Feuille1!A430</f>
        <v>60.5</v>
      </c>
      <c r="C421">
        <f>Feuille1!B430</f>
        <v>-27359.779732754832</v>
      </c>
      <c r="D421">
        <f>Feuille1!C430</f>
        <v>19083.354277867173</v>
      </c>
    </row>
    <row r="422" spans="2:4" x14ac:dyDescent="0.3">
      <c r="B422">
        <f>Feuille1!A431</f>
        <v>61</v>
      </c>
      <c r="C422">
        <f>Feuille1!B431</f>
        <v>-21978.957651168199</v>
      </c>
      <c r="D422">
        <f>Feuille1!C431</f>
        <v>23061.166160168603</v>
      </c>
    </row>
    <row r="423" spans="2:4" x14ac:dyDescent="0.3">
      <c r="B423">
        <f>Feuille1!A432</f>
        <v>61.5</v>
      </c>
      <c r="C423">
        <f>Feuille1!B432</f>
        <v>-14416.4539241436</v>
      </c>
      <c r="D423">
        <f>Feuille1!C432</f>
        <v>24320.004907802526</v>
      </c>
    </row>
    <row r="424" spans="2:4" x14ac:dyDescent="0.3">
      <c r="B424">
        <f>Feuille1!A433</f>
        <v>62</v>
      </c>
      <c r="C424">
        <f>Feuille1!B433</f>
        <v>-8508.906622331524</v>
      </c>
      <c r="D424">
        <f>Feuille1!C433</f>
        <v>23300.512795700055</v>
      </c>
    </row>
    <row r="425" spans="2:4" x14ac:dyDescent="0.3">
      <c r="B425">
        <f>Feuille1!A434</f>
        <v>62.5</v>
      </c>
      <c r="C425">
        <f>Feuille1!B434</f>
        <v>-3589.8283639246501</v>
      </c>
      <c r="D425">
        <f>Feuille1!C434</f>
        <v>21270.010846185833</v>
      </c>
    </row>
    <row r="426" spans="2:4" x14ac:dyDescent="0.3">
      <c r="B426">
        <f>Feuille1!A435</f>
        <v>63</v>
      </c>
      <c r="C426">
        <f>Feuille1!B435</f>
        <v>1349.034552627131</v>
      </c>
      <c r="D426">
        <f>Feuille1!C435</f>
        <v>18734.257916987666</v>
      </c>
    </row>
    <row r="427" spans="2:4" x14ac:dyDescent="0.3">
      <c r="B427">
        <f>Feuille1!A436</f>
        <v>63.5</v>
      </c>
      <c r="C427">
        <f>Feuille1!B436</f>
        <v>7336.2169364103356</v>
      </c>
      <c r="D427">
        <f>Feuille1!C436</f>
        <v>16056.847211382616</v>
      </c>
    </row>
    <row r="428" spans="2:4" x14ac:dyDescent="0.3">
      <c r="B428">
        <f>Feuille1!A437</f>
        <v>64</v>
      </c>
      <c r="C428">
        <f>Feuille1!B437</f>
        <v>15515.868053357131</v>
      </c>
      <c r="D428">
        <f>Feuille1!C437</f>
        <v>14019.550426271162</v>
      </c>
    </row>
    <row r="429" spans="2:4" x14ac:dyDescent="0.3">
      <c r="B429">
        <f>Feuille1!A438</f>
        <v>64.5</v>
      </c>
      <c r="C429">
        <f>Feuille1!B438</f>
        <v>25593.38777952789</v>
      </c>
      <c r="D429">
        <f>Feuille1!C438</f>
        <v>14939.555238224799</v>
      </c>
    </row>
    <row r="430" spans="2:4" x14ac:dyDescent="0.3">
      <c r="B430">
        <f>Feuille1!A439</f>
        <v>65</v>
      </c>
      <c r="C430">
        <f>Feuille1!B439</f>
        <v>32295.512252824738</v>
      </c>
      <c r="D430">
        <f>Feuille1!C439</f>
        <v>18333.614773041652</v>
      </c>
    </row>
    <row r="431" spans="2:4" x14ac:dyDescent="0.3">
      <c r="B431">
        <f>Feuille1!A440</f>
        <v>65.5</v>
      </c>
      <c r="C431">
        <f>Feuille1!B440</f>
        <v>35490.204506725946</v>
      </c>
      <c r="D431">
        <f>Feuille1!C440</f>
        <v>21969.235189049501</v>
      </c>
    </row>
    <row r="432" spans="2:4" x14ac:dyDescent="0.3">
      <c r="B432">
        <f>Feuille1!A441</f>
        <v>66</v>
      </c>
      <c r="C432">
        <f>Feuille1!B441</f>
        <v>35851.527012708721</v>
      </c>
      <c r="D432">
        <f>Feuille1!C441</f>
        <v>25105.911353533556</v>
      </c>
    </row>
    <row r="433" spans="2:4" x14ac:dyDescent="0.3">
      <c r="B433">
        <f>Feuille1!A442</f>
        <v>66.5</v>
      </c>
      <c r="C433">
        <f>Feuille1!B442</f>
        <v>33675.156089258657</v>
      </c>
      <c r="D433">
        <f>Feuille1!C442</f>
        <v>27338.638128399969</v>
      </c>
    </row>
    <row r="434" spans="2:4" x14ac:dyDescent="0.3">
      <c r="B434">
        <f>Feuille1!A443</f>
        <v>67</v>
      </c>
      <c r="C434">
        <f>Feuille1!B443</f>
        <v>28948.209805296574</v>
      </c>
      <c r="D434">
        <f>Feuille1!C443</f>
        <v>28165.41471507254</v>
      </c>
    </row>
    <row r="435" spans="2:4" x14ac:dyDescent="0.3">
      <c r="B435">
        <f>Feuille1!A444</f>
        <v>67.5</v>
      </c>
      <c r="C435">
        <f>Feuille1!B444</f>
        <v>21503.304104893043</v>
      </c>
      <c r="D435">
        <f>Feuille1!C444</f>
        <v>26577.296720295319</v>
      </c>
    </row>
    <row r="436" spans="2:4" x14ac:dyDescent="0.3">
      <c r="B436">
        <f>Feuille1!A445</f>
        <v>68</v>
      </c>
      <c r="C436">
        <f>Feuille1!B445</f>
        <v>12788.18294310382</v>
      </c>
      <c r="D436">
        <f>Feuille1!C445</f>
        <v>20813.409070668738</v>
      </c>
    </row>
    <row r="437" spans="2:4" x14ac:dyDescent="0.3">
      <c r="B437">
        <f>Feuille1!A446</f>
        <v>68.5</v>
      </c>
      <c r="C437">
        <f>Feuille1!B446</f>
        <v>7530.8603256751358</v>
      </c>
      <c r="D437">
        <f>Feuille1!C446</f>
        <v>14308.148755989376</v>
      </c>
    </row>
    <row r="438" spans="2:4" x14ac:dyDescent="0.3">
      <c r="B438">
        <f>Feuille1!A447</f>
        <v>69</v>
      </c>
      <c r="C438">
        <f>Feuille1!B447</f>
        <v>4261.6329589454272</v>
      </c>
      <c r="D438">
        <f>Feuille1!C447</f>
        <v>8774.966186847385</v>
      </c>
    </row>
    <row r="439" spans="2:4" x14ac:dyDescent="0.3">
      <c r="B439">
        <f>Feuille1!A448</f>
        <v>69.5</v>
      </c>
      <c r="C439">
        <f>Feuille1!B448</f>
        <v>1891.6366999649854</v>
      </c>
      <c r="D439">
        <f>Feuille1!C448</f>
        <v>4183.2865390485731</v>
      </c>
    </row>
    <row r="440" spans="2:4" x14ac:dyDescent="0.3">
      <c r="B440">
        <f>Feuille1!A449</f>
        <v>70</v>
      </c>
      <c r="C440">
        <f>Feuille1!B449</f>
        <v>-34.153755057807928</v>
      </c>
      <c r="D440">
        <f>Feuille1!C449</f>
        <v>314.71971401015674</v>
      </c>
    </row>
    <row r="441" spans="2:4" x14ac:dyDescent="0.3">
      <c r="B441">
        <f>Feuille1!A450</f>
        <v>70.5</v>
      </c>
      <c r="C441">
        <f>Feuille1!B450</f>
        <v>-1702.5021668727172</v>
      </c>
      <c r="D441">
        <f>Feuille1!C450</f>
        <v>-3078.0509791404288</v>
      </c>
    </row>
    <row r="442" spans="2:4" x14ac:dyDescent="0.3">
      <c r="B442">
        <f>Feuille1!A451</f>
        <v>71</v>
      </c>
      <c r="C442">
        <f>Feuille1!B451</f>
        <v>-3187.0034524994962</v>
      </c>
      <c r="D442">
        <f>Feuille1!C451</f>
        <v>-6256.4905122665932</v>
      </c>
    </row>
    <row r="443" spans="2:4" x14ac:dyDescent="0.3">
      <c r="B443">
        <f>Feuille1!A452</f>
        <v>71.5</v>
      </c>
      <c r="C443">
        <f>Feuille1!B452</f>
        <v>-4506.5271473726134</v>
      </c>
      <c r="D443">
        <f>Feuille1!C452</f>
        <v>-9506.2392248494816</v>
      </c>
    </row>
    <row r="444" spans="2:4" x14ac:dyDescent="0.3">
      <c r="B444">
        <f>Feuille1!A453</f>
        <v>72</v>
      </c>
      <c r="C444">
        <f>Feuille1!B453</f>
        <v>-5645.4705026413994</v>
      </c>
      <c r="D444">
        <f>Feuille1!C453</f>
        <v>-13166.225852266898</v>
      </c>
    </row>
    <row r="445" spans="2:4" x14ac:dyDescent="0.3">
      <c r="B445">
        <f>Feuille1!A454</f>
        <v>72.5</v>
      </c>
      <c r="C445">
        <f>Feuille1!B454</f>
        <v>-6552.0174396094953</v>
      </c>
      <c r="D445">
        <f>Feuille1!C454</f>
        <v>-17690.872558054121</v>
      </c>
    </row>
    <row r="446" spans="2:4" x14ac:dyDescent="0.3">
      <c r="B446">
        <f>Feuille1!A455</f>
        <v>73</v>
      </c>
      <c r="C446">
        <f>Feuille1!B455</f>
        <v>-7098.1962544886428</v>
      </c>
      <c r="D446">
        <f>Feuille1!C455</f>
        <v>-23791.023199787731</v>
      </c>
    </row>
    <row r="447" spans="2:4" x14ac:dyDescent="0.3">
      <c r="B447">
        <f>Feuille1!A456</f>
        <v>73.5</v>
      </c>
      <c r="C447">
        <f>Feuille1!B456</f>
        <v>-6887.5541122352615</v>
      </c>
      <c r="D447">
        <f>Feuille1!C456</f>
        <v>-32701.875037991551</v>
      </c>
    </row>
    <row r="448" spans="2:4" x14ac:dyDescent="0.3">
      <c r="B448">
        <f>Feuille1!A457</f>
        <v>74</v>
      </c>
      <c r="C448">
        <f>Feuille1!B457</f>
        <v>-4848.3972943751087</v>
      </c>
      <c r="D448">
        <f>Feuille1!C457</f>
        <v>-43305.75633967304</v>
      </c>
    </row>
    <row r="449" spans="2:4" x14ac:dyDescent="0.3">
      <c r="B449">
        <f>Feuille1!A458</f>
        <v>74.5</v>
      </c>
      <c r="C449">
        <f>Feuille1!B458</f>
        <v>-2830.1796668927645</v>
      </c>
      <c r="D449">
        <f>Feuille1!C458</f>
        <v>-49626.575408024743</v>
      </c>
    </row>
    <row r="450" spans="2:4" x14ac:dyDescent="0.3">
      <c r="B450">
        <f>Feuille1!A459</f>
        <v>75</v>
      </c>
      <c r="C450">
        <f>Feuille1!B459</f>
        <v>-1176.8318439018674</v>
      </c>
      <c r="D450">
        <f>Feuille1!C459</f>
        <v>-52974.912908806116</v>
      </c>
    </row>
    <row r="451" spans="2:4" x14ac:dyDescent="0.3">
      <c r="B451">
        <f>Feuille1!A460</f>
        <v>75.5</v>
      </c>
      <c r="C451">
        <f>Feuille1!B460</f>
        <v>65.406819317407781</v>
      </c>
      <c r="D451">
        <f>Feuille1!C460</f>
        <v>-54008.146588328687</v>
      </c>
    </row>
    <row r="452" spans="2:4" x14ac:dyDescent="0.3">
      <c r="B452">
        <f>Feuille1!A461</f>
        <v>76</v>
      </c>
      <c r="C452">
        <f>Feuille1!B461</f>
        <v>835.75233321961082</v>
      </c>
      <c r="D452">
        <f>Feuille1!C461</f>
        <v>-52934.639800904333</v>
      </c>
    </row>
    <row r="453" spans="2:4" x14ac:dyDescent="0.3">
      <c r="B453">
        <f>Feuille1!A462</f>
        <v>76.5</v>
      </c>
      <c r="C453">
        <f>Feuille1!B462</f>
        <v>998.31368474516796</v>
      </c>
      <c r="D453">
        <f>Feuille1!C462</f>
        <v>-49668.899068689461</v>
      </c>
    </row>
    <row r="454" spans="2:4" x14ac:dyDescent="0.3">
      <c r="B454">
        <f>Feuille1!A463</f>
        <v>77</v>
      </c>
      <c r="C454">
        <f>Feuille1!B463</f>
        <v>228.96152538753825</v>
      </c>
      <c r="D454">
        <f>Feuille1!C463</f>
        <v>-43785.240010768779</v>
      </c>
    </row>
    <row r="455" spans="2:4" x14ac:dyDescent="0.3">
      <c r="B455">
        <f>Feuille1!A464</f>
        <v>77.5</v>
      </c>
      <c r="C455">
        <f>Feuille1!B464</f>
        <v>-2380.6911325080591</v>
      </c>
      <c r="D455">
        <f>Feuille1!C464</f>
        <v>-34427.525543142794</v>
      </c>
    </row>
    <row r="456" spans="2:4" x14ac:dyDescent="0.3">
      <c r="B456">
        <f>Feuille1!A465</f>
        <v>78</v>
      </c>
      <c r="C456">
        <f>Feuille1!B465</f>
        <v>-7400.8515194719348</v>
      </c>
      <c r="D456">
        <f>Feuille1!C465</f>
        <v>-25190.657179893602</v>
      </c>
    </row>
    <row r="457" spans="2:4" x14ac:dyDescent="0.3">
      <c r="B457">
        <f>Feuille1!A466</f>
        <v>78.5</v>
      </c>
      <c r="C457">
        <f>Feuille1!B466</f>
        <v>-11423.471924943135</v>
      </c>
      <c r="D457">
        <f>Feuille1!C466</f>
        <v>-19003.226175315995</v>
      </c>
    </row>
    <row r="458" spans="2:4" x14ac:dyDescent="0.3">
      <c r="B458">
        <f>Feuille1!A467</f>
        <v>79</v>
      </c>
      <c r="C458">
        <f>Feuille1!B467</f>
        <v>-14417.310083297689</v>
      </c>
      <c r="D458">
        <f>Feuille1!C467</f>
        <v>-14316.2082911665</v>
      </c>
    </row>
    <row r="459" spans="2:4" x14ac:dyDescent="0.3">
      <c r="B459">
        <f>Feuille1!A468</f>
        <v>79.5</v>
      </c>
      <c r="C459">
        <f>Feuille1!B468</f>
        <v>-16537.816619635134</v>
      </c>
      <c r="D459">
        <f>Feuille1!C468</f>
        <v>-10344.837363210516</v>
      </c>
    </row>
    <row r="460" spans="2:4" x14ac:dyDescent="0.3">
      <c r="B460">
        <f>Feuille1!A469</f>
        <v>80</v>
      </c>
      <c r="C460">
        <f>Feuille1!B469</f>
        <v>-17887.279245130725</v>
      </c>
      <c r="D460">
        <f>Feuille1!C469</f>
        <v>-6637.2079209132289</v>
      </c>
    </row>
    <row r="461" spans="2:4" x14ac:dyDescent="0.3">
      <c r="B461">
        <f>Feuille1!A470</f>
        <v>80.5</v>
      </c>
      <c r="C461">
        <f>Feuille1!B470</f>
        <v>-18530.654484919403</v>
      </c>
      <c r="D461">
        <f>Feuille1!C470</f>
        <v>-2857.1739248303029</v>
      </c>
    </row>
    <row r="462" spans="2:4" x14ac:dyDescent="0.3">
      <c r="B462">
        <f>Feuille1!A471</f>
        <v>81</v>
      </c>
      <c r="C462">
        <f>Feuille1!B471</f>
        <v>-18515.302563676214</v>
      </c>
      <c r="D462">
        <f>Feuille1!C471</f>
        <v>1323.6494242923927</v>
      </c>
    </row>
    <row r="463" spans="2:4" x14ac:dyDescent="0.3">
      <c r="B463">
        <f>Feuille1!A472</f>
        <v>81.5</v>
      </c>
      <c r="C463">
        <f>Feuille1!B472</f>
        <v>-17898.524515139969</v>
      </c>
      <c r="D463">
        <f>Feuille1!C472</f>
        <v>6325.9572191491716</v>
      </c>
    </row>
    <row r="464" spans="2:4" x14ac:dyDescent="0.3">
      <c r="B464">
        <f>Feuille1!A473</f>
        <v>82</v>
      </c>
      <c r="C464">
        <f>Feuille1!B473</f>
        <v>-16849.043992097173</v>
      </c>
      <c r="D464">
        <f>Feuille1!C473</f>
        <v>12831.358766293346</v>
      </c>
    </row>
    <row r="465" spans="2:4" x14ac:dyDescent="0.3">
      <c r="B465">
        <f>Feuille1!A474</f>
        <v>82.5</v>
      </c>
      <c r="C465">
        <f>Feuille1!B474</f>
        <v>-16248.080098190943</v>
      </c>
      <c r="D465">
        <f>Feuille1!C474</f>
        <v>21810.557700138652</v>
      </c>
    </row>
    <row r="466" spans="2:4" x14ac:dyDescent="0.3">
      <c r="B466">
        <f>Feuille1!A475</f>
        <v>83</v>
      </c>
      <c r="C466">
        <f>Feuille1!B475</f>
        <v>-17619.023275527852</v>
      </c>
      <c r="D466">
        <f>Feuille1!C475</f>
        <v>29138.218957929934</v>
      </c>
    </row>
    <row r="467" spans="2:4" x14ac:dyDescent="0.3">
      <c r="B467">
        <f>Feuille1!A476</f>
        <v>83.5</v>
      </c>
      <c r="C467">
        <f>Feuille1!B476</f>
        <v>-19001.367876094104</v>
      </c>
      <c r="D467">
        <f>Feuille1!C476</f>
        <v>33499.426046588393</v>
      </c>
    </row>
    <row r="468" spans="2:4" x14ac:dyDescent="0.3">
      <c r="B468">
        <f>Feuille1!A477</f>
        <v>84</v>
      </c>
      <c r="C468">
        <f>Feuille1!B477</f>
        <v>-19946.505889976168</v>
      </c>
      <c r="D468">
        <f>Feuille1!C477</f>
        <v>35610.520608143939</v>
      </c>
    </row>
    <row r="469" spans="2:4" x14ac:dyDescent="0.3">
      <c r="B469">
        <f>Feuille1!A478</f>
        <v>84.5</v>
      </c>
      <c r="C469">
        <f>Feuille1!B478</f>
        <v>-20366.717112711856</v>
      </c>
      <c r="D469">
        <f>Feuille1!C478</f>
        <v>35788.321235762953</v>
      </c>
    </row>
    <row r="470" spans="2:4" x14ac:dyDescent="0.3">
      <c r="B470">
        <f>Feuille1!A479</f>
        <v>85</v>
      </c>
      <c r="C470">
        <f>Feuille1!B479</f>
        <v>-20230.08396687992</v>
      </c>
      <c r="D470">
        <f>Feuille1!C479</f>
        <v>34062.978790053057</v>
      </c>
    </row>
    <row r="471" spans="2:4" x14ac:dyDescent="0.3">
      <c r="B471">
        <f>Feuille1!A480</f>
        <v>85.5</v>
      </c>
      <c r="C471">
        <f>Feuille1!B480</f>
        <v>-19518.325290977136</v>
      </c>
      <c r="D471">
        <f>Feuille1!C480</f>
        <v>30183.797634837349</v>
      </c>
    </row>
    <row r="472" spans="2:4" x14ac:dyDescent="0.3">
      <c r="B472">
        <f>Feuille1!A481</f>
        <v>86</v>
      </c>
      <c r="C472">
        <f>Feuille1!B481</f>
        <v>-18317.946537872933</v>
      </c>
      <c r="D472">
        <f>Feuille1!C481</f>
        <v>23430.322354358676</v>
      </c>
    </row>
    <row r="473" spans="2:4" x14ac:dyDescent="0.3">
      <c r="B473">
        <f>Feuille1!A482</f>
        <v>86.5</v>
      </c>
      <c r="C473">
        <f>Feuille1!B482</f>
        <v>-17710.78479635992</v>
      </c>
      <c r="D473">
        <f>Feuille1!C482</f>
        <v>13707.289431034425</v>
      </c>
    </row>
    <row r="474" spans="2:4" x14ac:dyDescent="0.3">
      <c r="B474">
        <f>Feuille1!A483</f>
        <v>87</v>
      </c>
      <c r="C474">
        <f>Feuille1!B483</f>
        <v>-17446.240321067064</v>
      </c>
      <c r="D474">
        <f>Feuille1!C483</f>
        <v>6685.1140460306815</v>
      </c>
    </row>
    <row r="475" spans="2:4" x14ac:dyDescent="0.3">
      <c r="B475">
        <f>Feuille1!A484</f>
        <v>87.5</v>
      </c>
      <c r="C475">
        <f>Feuille1!B484</f>
        <v>-16816.433412729133</v>
      </c>
      <c r="D475">
        <f>Feuille1!C484</f>
        <v>1204.7816340869754</v>
      </c>
    </row>
    <row r="476" spans="2:4" x14ac:dyDescent="0.3">
      <c r="B476">
        <f>Feuille1!A485</f>
        <v>88</v>
      </c>
      <c r="C476">
        <f>Feuille1!B485</f>
        <v>-15675.907117530214</v>
      </c>
      <c r="D476">
        <f>Feuille1!C485</f>
        <v>-3500.2078628911777</v>
      </c>
    </row>
    <row r="477" spans="2:4" x14ac:dyDescent="0.3">
      <c r="B477">
        <f>Feuille1!A486</f>
        <v>88.5</v>
      </c>
      <c r="C477">
        <f>Feuille1!B486</f>
        <v>-13971.083660096274</v>
      </c>
      <c r="D477">
        <f>Feuille1!C486</f>
        <v>-7913.7329756881354</v>
      </c>
    </row>
    <row r="478" spans="2:4" x14ac:dyDescent="0.3">
      <c r="B478">
        <f>Feuille1!A487</f>
        <v>89</v>
      </c>
      <c r="C478">
        <f>Feuille1!B487</f>
        <v>-11662.258983532598</v>
      </c>
      <c r="D478">
        <f>Feuille1!C487</f>
        <v>-12460.891586218309</v>
      </c>
    </row>
    <row r="479" spans="2:4" x14ac:dyDescent="0.3">
      <c r="B479">
        <f>Feuille1!A488</f>
        <v>89.5</v>
      </c>
      <c r="C479">
        <f>Feuille1!B488</f>
        <v>-8712.8783640420188</v>
      </c>
      <c r="D479">
        <f>Feuille1!C488</f>
        <v>-17659.517567793177</v>
      </c>
    </row>
    <row r="480" spans="2:4" x14ac:dyDescent="0.3">
      <c r="B480">
        <f>Feuille1!A489</f>
        <v>90</v>
      </c>
      <c r="C480">
        <f>Feuille1!B489</f>
        <v>-5131.2560826823419</v>
      </c>
      <c r="D480">
        <f>Feuille1!C489</f>
        <v>-24349.649706885393</v>
      </c>
    </row>
    <row r="481" spans="2:4" x14ac:dyDescent="0.3">
      <c r="B481">
        <f>Feuille1!A490</f>
        <v>90.5</v>
      </c>
      <c r="C481">
        <f>Feuille1!B490</f>
        <v>-1392.4110192892938</v>
      </c>
      <c r="D481">
        <f>Feuille1!C490</f>
        <v>-34062.447270827899</v>
      </c>
    </row>
    <row r="482" spans="2:4" x14ac:dyDescent="0.3">
      <c r="B482">
        <f>Feuille1!A491</f>
        <v>91</v>
      </c>
      <c r="C482">
        <f>Feuille1!B491</f>
        <v>-704.41682490271978</v>
      </c>
      <c r="D482">
        <f>Feuille1!C491</f>
        <v>-44156.619940567631</v>
      </c>
    </row>
    <row r="483" spans="2:4" x14ac:dyDescent="0.3">
      <c r="B483">
        <f>Feuille1!A492</f>
        <v>91.5</v>
      </c>
      <c r="C483">
        <f>Feuille1!B492</f>
        <v>-1545.0132757626709</v>
      </c>
      <c r="D483">
        <f>Feuille1!C492</f>
        <v>-50593.957884321724</v>
      </c>
    </row>
    <row r="484" spans="2:4" x14ac:dyDescent="0.3">
      <c r="B484">
        <f>Feuille1!A493</f>
        <v>92</v>
      </c>
      <c r="C484">
        <f>Feuille1!B493</f>
        <v>-2896.697884090323</v>
      </c>
      <c r="D484">
        <f>Feuille1!C493</f>
        <v>-54316.38717643667</v>
      </c>
    </row>
    <row r="485" spans="2:4" x14ac:dyDescent="0.3">
      <c r="B485">
        <f>Feuille1!A494</f>
        <v>92.5</v>
      </c>
      <c r="C485">
        <f>Feuille1!B494</f>
        <v>-4430.0345203191382</v>
      </c>
      <c r="D485">
        <f>Feuille1!C494</f>
        <v>-55850.615348469866</v>
      </c>
    </row>
    <row r="486" spans="2:4" x14ac:dyDescent="0.3">
      <c r="B486">
        <f>Feuille1!A495</f>
        <v>93</v>
      </c>
      <c r="C486">
        <f>Feuille1!B495</f>
        <v>-5979.9063407286549</v>
      </c>
      <c r="D486">
        <f>Feuille1!C495</f>
        <v>-55381.178242113463</v>
      </c>
    </row>
    <row r="487" spans="2:4" x14ac:dyDescent="0.3">
      <c r="B487">
        <f>Feuille1!A496</f>
        <v>93.5</v>
      </c>
      <c r="C487">
        <f>Feuille1!B496</f>
        <v>-7406.2978126976741</v>
      </c>
      <c r="D487">
        <f>Feuille1!C496</f>
        <v>-52852.36712443034</v>
      </c>
    </row>
    <row r="488" spans="2:4" x14ac:dyDescent="0.3">
      <c r="B488">
        <f>Feuille1!A497</f>
        <v>94</v>
      </c>
      <c r="C488">
        <f>Feuille1!B497</f>
        <v>-8501.6112486928396</v>
      </c>
      <c r="D488">
        <f>Feuille1!C497</f>
        <v>-47933.19090931688</v>
      </c>
    </row>
    <row r="489" spans="2:4" x14ac:dyDescent="0.3">
      <c r="B489">
        <f>Feuille1!A498</f>
        <v>94.5</v>
      </c>
      <c r="C489">
        <f>Feuille1!B498</f>
        <v>-8758.1504183670113</v>
      </c>
      <c r="D489">
        <f>Feuille1!C498</f>
        <v>-39833.773497229951</v>
      </c>
    </row>
    <row r="490" spans="2:4" x14ac:dyDescent="0.3">
      <c r="B490">
        <f>Feuille1!A499</f>
        <v>95</v>
      </c>
      <c r="C490">
        <f>Feuille1!B499</f>
        <v>-6500.0123116955729</v>
      </c>
      <c r="D490">
        <f>Feuille1!C499</f>
        <v>-28248.838716283219</v>
      </c>
    </row>
    <row r="491" spans="2:4" x14ac:dyDescent="0.3">
      <c r="B491">
        <f>Feuille1!A500</f>
        <v>95.5</v>
      </c>
      <c r="C491">
        <f>Feuille1!B500</f>
        <v>-3264.8839504215075</v>
      </c>
      <c r="D491">
        <f>Feuille1!C500</f>
        <v>-20110.751966654228</v>
      </c>
    </row>
    <row r="492" spans="2:4" x14ac:dyDescent="0.3">
      <c r="B492">
        <f>Feuille1!A501</f>
        <v>96</v>
      </c>
      <c r="C492">
        <f>Feuille1!B501</f>
        <v>-216.01931184347245</v>
      </c>
      <c r="D492">
        <f>Feuille1!C501</f>
        <v>-13994.823985271245</v>
      </c>
    </row>
    <row r="493" spans="2:4" x14ac:dyDescent="0.3">
      <c r="B493">
        <f>Feuille1!A502</f>
        <v>96.5</v>
      </c>
      <c r="C493">
        <f>Feuille1!B502</f>
        <v>2606.6762688428626</v>
      </c>
      <c r="D493">
        <f>Feuille1!C502</f>
        <v>-8714.5124644873486</v>
      </c>
    </row>
    <row r="494" spans="2:4" x14ac:dyDescent="0.3">
      <c r="B494">
        <f>Feuille1!A503</f>
        <v>97</v>
      </c>
      <c r="C494">
        <f>Feuille1!B503</f>
        <v>5299.5120805771649</v>
      </c>
      <c r="D494">
        <f>Feuille1!C503</f>
        <v>-3553.7155443701695</v>
      </c>
    </row>
    <row r="495" spans="2:4" x14ac:dyDescent="0.3">
      <c r="B495">
        <f>Feuille1!A504</f>
        <v>97.5</v>
      </c>
      <c r="C495">
        <f>Feuille1!B504</f>
        <v>8026.5257868238459</v>
      </c>
      <c r="D495">
        <f>Feuille1!C504</f>
        <v>2052.3480085874912</v>
      </c>
    </row>
    <row r="496" spans="2:4" x14ac:dyDescent="0.3">
      <c r="B496">
        <f>Feuille1!A505</f>
        <v>98</v>
      </c>
      <c r="C496">
        <f>Feuille1!B505</f>
        <v>11106.352758318071</v>
      </c>
      <c r="D496">
        <f>Feuille1!C505</f>
        <v>8713.1952753505866</v>
      </c>
    </row>
    <row r="497" spans="2:4" x14ac:dyDescent="0.3">
      <c r="B497">
        <f>Feuille1!A506</f>
        <v>98.5</v>
      </c>
      <c r="C497">
        <f>Feuille1!B506</f>
        <v>15343.310314642753</v>
      </c>
      <c r="D497">
        <f>Feuille1!C506</f>
        <v>17307.043523187946</v>
      </c>
    </row>
    <row r="498" spans="2:4" x14ac:dyDescent="0.3">
      <c r="B498">
        <f>Feuille1!A507</f>
        <v>99</v>
      </c>
      <c r="C498">
        <f>Feuille1!B507</f>
        <v>22401.066273561995</v>
      </c>
      <c r="D498">
        <f>Feuille1!C507</f>
        <v>27561.48960684285</v>
      </c>
    </row>
    <row r="499" spans="2:4" x14ac:dyDescent="0.3">
      <c r="B499">
        <f>Feuille1!A508</f>
        <v>99.5</v>
      </c>
      <c r="C499">
        <f>Feuille1!B508</f>
        <v>27892.260575297303</v>
      </c>
      <c r="D499">
        <f>Feuille1!C508</f>
        <v>33761.458709296363</v>
      </c>
    </row>
    <row r="500" spans="2:4" x14ac:dyDescent="0.3">
      <c r="B500">
        <f>Feuille1!A509</f>
        <v>100</v>
      </c>
      <c r="C500">
        <f>Feuille1!B509</f>
        <v>31854.639858214705</v>
      </c>
      <c r="D500">
        <f>Feuille1!C509</f>
        <v>37560.307077420141</v>
      </c>
    </row>
    <row r="501" spans="2:4" x14ac:dyDescent="0.3">
      <c r="B501">
        <f>Feuille1!A510</f>
        <v>100.5</v>
      </c>
      <c r="C501">
        <f>Feuille1!B510</f>
        <v>34617.52198068818</v>
      </c>
      <c r="D501">
        <f>Feuille1!C510</f>
        <v>39735.771041994725</v>
      </c>
    </row>
    <row r="502" spans="2:4" x14ac:dyDescent="0.3">
      <c r="B502">
        <f>Feuille1!A511</f>
        <v>101</v>
      </c>
      <c r="C502">
        <f>Feuille1!B511</f>
        <v>36346.971899888602</v>
      </c>
      <c r="D502">
        <f>Feuille1!C511</f>
        <v>40623.678180354269</v>
      </c>
    </row>
    <row r="503" spans="2:4" x14ac:dyDescent="0.3">
      <c r="B503">
        <f>Feuille1!A512</f>
        <v>101.5</v>
      </c>
      <c r="C503">
        <f>Feuille1!B512</f>
        <v>37106.720386601781</v>
      </c>
      <c r="D503">
        <f>Feuille1!C512</f>
        <v>40372.564219108353</v>
      </c>
    </row>
    <row r="504" spans="2:4" x14ac:dyDescent="0.3">
      <c r="B504">
        <f>Feuille1!A513</f>
        <v>102</v>
      </c>
      <c r="C504">
        <f>Feuille1!B513</f>
        <v>36885.018976828003</v>
      </c>
      <c r="D504">
        <f>Feuille1!C513</f>
        <v>39024.052622511692</v>
      </c>
    </row>
    <row r="505" spans="2:4" x14ac:dyDescent="0.3">
      <c r="B505">
        <f>Feuille1!A514</f>
        <v>102.5</v>
      </c>
      <c r="C505">
        <f>Feuille1!B514</f>
        <v>35589.808396470617</v>
      </c>
      <c r="D505">
        <f>Feuille1!C514</f>
        <v>36530.344718693923</v>
      </c>
    </row>
    <row r="506" spans="2:4" x14ac:dyDescent="0.3">
      <c r="B506">
        <f>Feuille1!A515</f>
        <v>103</v>
      </c>
      <c r="C506">
        <f>Feuille1!B515</f>
        <v>33004.263729817394</v>
      </c>
      <c r="D506">
        <f>Feuille1!C515</f>
        <v>32729.319625489756</v>
      </c>
    </row>
    <row r="507" spans="2:4" x14ac:dyDescent="0.3">
      <c r="B507">
        <f>Feuille1!A516</f>
        <v>103.5</v>
      </c>
      <c r="C507">
        <f>Feuille1!B516</f>
        <v>28644.732508879053</v>
      </c>
      <c r="D507">
        <f>Feuille1!C516</f>
        <v>27250.756232211548</v>
      </c>
    </row>
    <row r="508" spans="2:4" x14ac:dyDescent="0.3">
      <c r="B508">
        <f>Feuille1!A517</f>
        <v>104</v>
      </c>
      <c r="C508">
        <f>Feuille1!B517</f>
        <v>21336.252781328458</v>
      </c>
      <c r="D508">
        <f>Feuille1!C517</f>
        <v>19346.520620250609</v>
      </c>
    </row>
    <row r="509" spans="2:4" x14ac:dyDescent="0.3">
      <c r="B509">
        <f>Feuille1!A518</f>
        <v>104.5</v>
      </c>
      <c r="C509">
        <f>Feuille1!B518</f>
        <v>12256.565253374905</v>
      </c>
      <c r="D509">
        <f>Feuille1!C518</f>
        <v>11861.086753350779</v>
      </c>
    </row>
    <row r="510" spans="2:4" x14ac:dyDescent="0.3">
      <c r="B510">
        <f>Feuille1!A519</f>
        <v>105</v>
      </c>
      <c r="C510">
        <f>Feuille1!B519</f>
        <v>4991.8283877349832</v>
      </c>
      <c r="D510">
        <f>Feuille1!C519</f>
        <v>6618.3344957744512</v>
      </c>
    </row>
    <row r="511" spans="2:4" x14ac:dyDescent="0.3">
      <c r="B511">
        <f>Feuille1!A520</f>
        <v>105.5</v>
      </c>
      <c r="C511">
        <f>Feuille1!B520</f>
        <v>-1532.6922211975661</v>
      </c>
      <c r="D511">
        <f>Feuille1!C520</f>
        <v>2380.3935140928415</v>
      </c>
    </row>
    <row r="512" spans="2:4" x14ac:dyDescent="0.3">
      <c r="B512">
        <f>Feuille1!A521</f>
        <v>106</v>
      </c>
      <c r="C512">
        <f>Feuille1!B521</f>
        <v>-7763.9693989183543</v>
      </c>
      <c r="D512">
        <f>Feuille1!C521</f>
        <v>-1317.5453861210021</v>
      </c>
    </row>
    <row r="513" spans="2:4" x14ac:dyDescent="0.3">
      <c r="B513">
        <f>Feuille1!A522</f>
        <v>106.5</v>
      </c>
      <c r="C513">
        <f>Feuille1!B522</f>
        <v>-13706.35821390582</v>
      </c>
      <c r="D513">
        <f>Feuille1!C522</f>
        <v>-4696.6908128266805</v>
      </c>
    </row>
    <row r="514" spans="2:4" x14ac:dyDescent="0.3">
      <c r="B514">
        <f>Feuille1!A523</f>
        <v>107</v>
      </c>
      <c r="C514">
        <f>Feuille1!B523</f>
        <v>-19128.838774137184</v>
      </c>
      <c r="D514">
        <f>Feuille1!C523</f>
        <v>-7931.922574654961</v>
      </c>
    </row>
    <row r="515" spans="2:4" x14ac:dyDescent="0.3">
      <c r="B515">
        <f>Feuille1!A524</f>
        <v>107.5</v>
      </c>
      <c r="C515">
        <f>Feuille1!B524</f>
        <v>-23778.179212131559</v>
      </c>
      <c r="D515">
        <f>Feuille1!C524</f>
        <v>-11164.988045719645</v>
      </c>
    </row>
    <row r="516" spans="2:4" x14ac:dyDescent="0.3">
      <c r="B516">
        <f>Feuille1!A525</f>
        <v>108</v>
      </c>
      <c r="C516">
        <f>Feuille1!B525</f>
        <v>-27484.228742353276</v>
      </c>
      <c r="D516">
        <f>Feuille1!C525</f>
        <v>-14472.159680390065</v>
      </c>
    </row>
    <row r="517" spans="2:4" x14ac:dyDescent="0.3">
      <c r="B517">
        <f>Feuille1!A526</f>
        <v>108.5</v>
      </c>
      <c r="C517">
        <f>Feuille1!B526</f>
        <v>-30154.231516098247</v>
      </c>
      <c r="D517">
        <f>Feuille1!C526</f>
        <v>-17870.824311102901</v>
      </c>
    </row>
    <row r="518" spans="2:4" x14ac:dyDescent="0.3">
      <c r="B518">
        <f>Feuille1!A527</f>
        <v>109</v>
      </c>
      <c r="C518">
        <f>Feuille1!B527</f>
        <v>-31734.108456509108</v>
      </c>
      <c r="D518">
        <f>Feuille1!C527</f>
        <v>-21344.420886046191</v>
      </c>
    </row>
    <row r="519" spans="2:4" x14ac:dyDescent="0.3">
      <c r="B519">
        <f>Feuille1!A528</f>
        <v>109.5</v>
      </c>
      <c r="C519">
        <f>Feuille1!B528</f>
        <v>-32174.622105218466</v>
      </c>
      <c r="D519">
        <f>Feuille1!C528</f>
        <v>-24859.970770271677</v>
      </c>
    </row>
    <row r="520" spans="2:4" x14ac:dyDescent="0.3">
      <c r="B520">
        <f>Feuille1!A529</f>
        <v>110</v>
      </c>
      <c r="C520">
        <f>Feuille1!B529</f>
        <v>-31404.987837581088</v>
      </c>
      <c r="D520">
        <f>Feuille1!C529</f>
        <v>-28374.240635746282</v>
      </c>
    </row>
    <row r="521" spans="2:4" x14ac:dyDescent="0.3">
      <c r="B521">
        <f>Feuille1!A530</f>
        <v>110.5</v>
      </c>
      <c r="C521">
        <f>Feuille1!B530</f>
        <v>-29305.347721150953</v>
      </c>
      <c r="D521">
        <f>Feuille1!C530</f>
        <v>-31829.821386970398</v>
      </c>
    </row>
    <row r="522" spans="2:4" x14ac:dyDescent="0.3">
      <c r="B522">
        <f>Feuille1!A531</f>
        <v>111</v>
      </c>
      <c r="C522">
        <f>Feuille1!B531</f>
        <v>-25663.726833323628</v>
      </c>
      <c r="D522">
        <f>Feuille1!C531</f>
        <v>-35136.41323969431</v>
      </c>
    </row>
    <row r="523" spans="2:4" x14ac:dyDescent="0.3">
      <c r="B523">
        <f>Feuille1!A532</f>
        <v>111.5</v>
      </c>
      <c r="C523">
        <f>Feuille1!B532</f>
        <v>-20089.620036467884</v>
      </c>
      <c r="D523">
        <f>Feuille1!C532</f>
        <v>-38110.004661731196</v>
      </c>
    </row>
    <row r="524" spans="2:4" x14ac:dyDescent="0.3">
      <c r="B524">
        <f>Feuille1!A533</f>
        <v>112</v>
      </c>
      <c r="C524">
        <f>Feuille1!B533</f>
        <v>-11849.406380909606</v>
      </c>
      <c r="D524">
        <f>Feuille1!C533</f>
        <v>-40235.781788916545</v>
      </c>
    </row>
    <row r="525" spans="2:4" x14ac:dyDescent="0.3">
      <c r="B525">
        <f>Feuille1!A534</f>
        <v>112.5</v>
      </c>
      <c r="C525">
        <f>Feuille1!B534</f>
        <v>-409.79636375853033</v>
      </c>
      <c r="D525">
        <f>Feuille1!C534</f>
        <v>-39646.185173968253</v>
      </c>
    </row>
    <row r="526" spans="2:4" x14ac:dyDescent="0.3">
      <c r="B526">
        <f>Feuille1!A535</f>
        <v>113</v>
      </c>
      <c r="C526">
        <f>Feuille1!B535</f>
        <v>8249.449703110351</v>
      </c>
      <c r="D526">
        <f>Feuille1!C535</f>
        <v>-35834.727900106889</v>
      </c>
    </row>
    <row r="527" spans="2:4" x14ac:dyDescent="0.3">
      <c r="B527">
        <f>Feuille1!A536</f>
        <v>113.5</v>
      </c>
      <c r="C527">
        <f>Feuille1!B536</f>
        <v>13889.728593262003</v>
      </c>
      <c r="D527">
        <f>Feuille1!C536</f>
        <v>-31412.836351094116</v>
      </c>
    </row>
    <row r="528" spans="2:4" x14ac:dyDescent="0.3">
      <c r="B528">
        <f>Feuille1!A537</f>
        <v>114</v>
      </c>
      <c r="C528">
        <f>Feuille1!B537</f>
        <v>17554.463352608065</v>
      </c>
      <c r="D528">
        <f>Feuille1!C537</f>
        <v>-26877.655044267107</v>
      </c>
    </row>
    <row r="529" spans="2:4" x14ac:dyDescent="0.3">
      <c r="B529">
        <f>Feuille1!A538</f>
        <v>114.5</v>
      </c>
      <c r="C529">
        <f>Feuille1!B538</f>
        <v>19804.089281218512</v>
      </c>
      <c r="D529">
        <f>Feuille1!C538</f>
        <v>-22270.842595035436</v>
      </c>
    </row>
    <row r="530" spans="2:4" x14ac:dyDescent="0.3">
      <c r="B530">
        <f>Feuille1!A539</f>
        <v>115</v>
      </c>
      <c r="C530">
        <f>Feuille1!B539</f>
        <v>20950.567777737688</v>
      </c>
      <c r="D530">
        <f>Feuille1!C539</f>
        <v>-17524.390468614682</v>
      </c>
    </row>
    <row r="531" spans="2:4" x14ac:dyDescent="0.3">
      <c r="B531">
        <f>Feuille1!A540</f>
        <v>115.5</v>
      </c>
      <c r="C531">
        <f>Feuille1!B540</f>
        <v>21188.901311574173</v>
      </c>
      <c r="D531">
        <f>Feuille1!C540</f>
        <v>-12510.167642560273</v>
      </c>
    </row>
    <row r="532" spans="2:4" x14ac:dyDescent="0.3">
      <c r="B532">
        <f>Feuille1!A541</f>
        <v>116</v>
      </c>
      <c r="C532">
        <f>Feuille1!B541</f>
        <v>20657.198715108709</v>
      </c>
      <c r="D532">
        <f>Feuille1!C541</f>
        <v>-7023.1460525992097</v>
      </c>
    </row>
    <row r="533" spans="2:4" x14ac:dyDescent="0.3">
      <c r="B533">
        <f>Feuille1!A542</f>
        <v>116.5</v>
      </c>
      <c r="C533">
        <f>Feuille1!B542</f>
        <v>19472.534829024757</v>
      </c>
      <c r="D533">
        <f>Feuille1!C542</f>
        <v>-718.77296062668461</v>
      </c>
    </row>
    <row r="534" spans="2:4" x14ac:dyDescent="0.3">
      <c r="B534">
        <f>Feuille1!A543</f>
        <v>117</v>
      </c>
      <c r="C534">
        <f>Feuille1!B543</f>
        <v>17789.533717961251</v>
      </c>
      <c r="D534">
        <f>Feuille1!C543</f>
        <v>7043.1665696586833</v>
      </c>
    </row>
    <row r="535" spans="2:4" x14ac:dyDescent="0.3">
      <c r="B535">
        <f>Feuille1!A544</f>
        <v>117.5</v>
      </c>
      <c r="C535">
        <f>Feuille1!B544</f>
        <v>16116.137743367623</v>
      </c>
      <c r="D535">
        <f>Feuille1!C544</f>
        <v>17542.217270356534</v>
      </c>
    </row>
    <row r="536" spans="2:4" x14ac:dyDescent="0.3">
      <c r="B536">
        <f>Feuille1!A545</f>
        <v>118</v>
      </c>
      <c r="C536">
        <f>Feuille1!B545</f>
        <v>16997.402568321504</v>
      </c>
      <c r="D536">
        <f>Feuille1!C545</f>
        <v>29708.477107625207</v>
      </c>
    </row>
    <row r="537" spans="2:4" x14ac:dyDescent="0.3">
      <c r="B537">
        <f>Feuille1!A546</f>
        <v>118.5</v>
      </c>
      <c r="C537">
        <f>Feuille1!B546</f>
        <v>18561.313697588874</v>
      </c>
      <c r="D537">
        <f>Feuille1!C546</f>
        <v>38073.807611422038</v>
      </c>
    </row>
    <row r="538" spans="2:4" x14ac:dyDescent="0.3">
      <c r="B538">
        <f>Feuille1!A547</f>
        <v>119</v>
      </c>
      <c r="C538">
        <f>Feuille1!B547</f>
        <v>19987.665332416604</v>
      </c>
      <c r="D538">
        <f>Feuille1!C547</f>
        <v>44023.115352542707</v>
      </c>
    </row>
    <row r="539" spans="2:4" x14ac:dyDescent="0.3">
      <c r="B539">
        <f>Feuille1!A548</f>
        <v>119.5</v>
      </c>
      <c r="C539">
        <f>Feuille1!B548</f>
        <v>21167.556032027078</v>
      </c>
      <c r="D539">
        <f>Feuille1!C548</f>
        <v>48280.893241632883</v>
      </c>
    </row>
    <row r="540" spans="2:4" x14ac:dyDescent="0.3">
      <c r="B540">
        <f>Feuille1!A549</f>
        <v>120</v>
      </c>
      <c r="C540">
        <f>Feuille1!B549</f>
        <v>22091.304550711287</v>
      </c>
      <c r="D540">
        <f>Feuille1!C549</f>
        <v>51198.208040118901</v>
      </c>
    </row>
    <row r="541" spans="2:4" x14ac:dyDescent="0.3">
      <c r="B541">
        <f>Feuille1!A550</f>
        <v>120.5</v>
      </c>
      <c r="C541">
        <f>Feuille1!B550</f>
        <v>22763.801930362446</v>
      </c>
      <c r="D541">
        <f>Feuille1!C550</f>
        <v>52959.569094256287</v>
      </c>
    </row>
    <row r="542" spans="2:4" x14ac:dyDescent="0.3">
      <c r="B542">
        <f>Feuille1!A551</f>
        <v>121</v>
      </c>
      <c r="C542">
        <f>Feuille1!B551</f>
        <v>23188.729519550925</v>
      </c>
      <c r="D542">
        <f>Feuille1!C551</f>
        <v>53660.305848090007</v>
      </c>
    </row>
    <row r="543" spans="2:4" x14ac:dyDescent="0.3">
      <c r="B543">
        <f>Feuille1!A552</f>
        <v>121.5</v>
      </c>
      <c r="C543">
        <f>Feuille1!B552</f>
        <v>23364.79637168027</v>
      </c>
      <c r="D543">
        <f>Feuille1!C552</f>
        <v>53337.048414143028</v>
      </c>
    </row>
    <row r="544" spans="2:4" x14ac:dyDescent="0.3">
      <c r="B544">
        <f>Feuille1!A553</f>
        <v>122</v>
      </c>
      <c r="C544">
        <f>Feuille1!B553</f>
        <v>23284.255489510902</v>
      </c>
      <c r="D544">
        <f>Feuille1!C553</f>
        <v>51977.585243498455</v>
      </c>
    </row>
    <row r="545" spans="2:4" x14ac:dyDescent="0.3">
      <c r="B545">
        <f>Feuille1!A554</f>
        <v>122.5</v>
      </c>
      <c r="C545">
        <f>Feuille1!B554</f>
        <v>22931.442391644439</v>
      </c>
      <c r="D545">
        <f>Feuille1!C554</f>
        <v>49517.054261983525</v>
      </c>
    </row>
    <row r="546" spans="2:4" x14ac:dyDescent="0.3">
      <c r="B546">
        <f>Feuille1!A555</f>
        <v>123</v>
      </c>
      <c r="C546">
        <f>Feuille1!B555</f>
        <v>22280.666689376299</v>
      </c>
      <c r="D546">
        <f>Feuille1!C555</f>
        <v>45817.532932605252</v>
      </c>
    </row>
    <row r="547" spans="2:4" x14ac:dyDescent="0.3">
      <c r="B547">
        <f>Feuille1!A556</f>
        <v>123.5</v>
      </c>
      <c r="C547">
        <f>Feuille1!B556</f>
        <v>21293.999707137478</v>
      </c>
      <c r="D547">
        <f>Feuille1!C556</f>
        <v>40613.816087072337</v>
      </c>
    </row>
    <row r="548" spans="2:4" x14ac:dyDescent="0.3">
      <c r="B548">
        <f>Feuille1!A557</f>
        <v>124</v>
      </c>
      <c r="C548">
        <f>Feuille1!B557</f>
        <v>19927.338759990929</v>
      </c>
      <c r="D548">
        <f>Feuille1!C557</f>
        <v>33365.442174049829</v>
      </c>
    </row>
    <row r="549" spans="2:4" x14ac:dyDescent="0.3">
      <c r="B549">
        <f>Feuille1!A558</f>
        <v>124.5</v>
      </c>
      <c r="C549">
        <f>Feuille1!B558</f>
        <v>18239.230592223816</v>
      </c>
      <c r="D549">
        <f>Feuille1!C558</f>
        <v>22836.218021116449</v>
      </c>
    </row>
    <row r="550" spans="2:4" x14ac:dyDescent="0.3">
      <c r="B550">
        <f>Feuille1!A559</f>
        <v>125</v>
      </c>
      <c r="C550">
        <f>Feuille1!B559</f>
        <v>17686.850610802743</v>
      </c>
      <c r="D550">
        <f>Feuille1!C559</f>
        <v>9506.1790053908298</v>
      </c>
    </row>
    <row r="551" spans="2:4" x14ac:dyDescent="0.3">
      <c r="B551">
        <f>Feuille1!A560</f>
        <v>125.5</v>
      </c>
      <c r="C551">
        <f>Feuille1!B560</f>
        <v>17403.27765047771</v>
      </c>
      <c r="D551">
        <f>Feuille1!C560</f>
        <v>-613.55753290823259</v>
      </c>
    </row>
    <row r="552" spans="2:4" x14ac:dyDescent="0.3">
      <c r="B552">
        <f>Feuille1!A561</f>
        <v>126</v>
      </c>
      <c r="C552">
        <f>Feuille1!B561</f>
        <v>16785.789707899643</v>
      </c>
      <c r="D552">
        <f>Feuille1!C561</f>
        <v>-9315.4369460863927</v>
      </c>
    </row>
    <row r="553" spans="2:4" x14ac:dyDescent="0.3">
      <c r="B553">
        <f>Feuille1!A562</f>
        <v>126.5</v>
      </c>
      <c r="C553">
        <f>Feuille1!B562</f>
        <v>15572.099314384055</v>
      </c>
      <c r="D553">
        <f>Feuille1!C562</f>
        <v>-17476.25450241776</v>
      </c>
    </row>
    <row r="554" spans="2:4" x14ac:dyDescent="0.3">
      <c r="B554">
        <f>Feuille1!A563</f>
        <v>127</v>
      </c>
      <c r="C554">
        <f>Feuille1!B563</f>
        <v>13402.461605908851</v>
      </c>
      <c r="D554">
        <f>Feuille1!C563</f>
        <v>-25603.933602299494</v>
      </c>
    </row>
    <row r="555" spans="2:4" x14ac:dyDescent="0.3">
      <c r="B555">
        <f>Feuille1!A564</f>
        <v>127.5</v>
      </c>
      <c r="C555">
        <f>Feuille1!B564</f>
        <v>9609.3015296031172</v>
      </c>
      <c r="D555">
        <f>Feuille1!C564</f>
        <v>-33958.113074167755</v>
      </c>
    </row>
    <row r="556" spans="2:4" x14ac:dyDescent="0.3">
      <c r="B556">
        <f>Feuille1!A565</f>
        <v>128</v>
      </c>
      <c r="C556">
        <f>Feuille1!B565</f>
        <v>3069.4125816530359</v>
      </c>
      <c r="D556">
        <f>Feuille1!C565</f>
        <v>-42062.579507371585</v>
      </c>
    </row>
    <row r="557" spans="2:4" x14ac:dyDescent="0.3">
      <c r="B557">
        <f>Feuille1!A566</f>
        <v>128.5</v>
      </c>
      <c r="C557">
        <f>Feuille1!B566</f>
        <v>-6128.4856751486295</v>
      </c>
      <c r="D557">
        <f>Feuille1!C566</f>
        <v>-47473.230625876917</v>
      </c>
    </row>
    <row r="558" spans="2:4" x14ac:dyDescent="0.3">
      <c r="B558">
        <f>Feuille1!A567</f>
        <v>129</v>
      </c>
      <c r="C558">
        <f>Feuille1!B567</f>
        <v>-14991.401886716714</v>
      </c>
      <c r="D558">
        <f>Feuille1!C567</f>
        <v>-49421.055187187842</v>
      </c>
    </row>
    <row r="559" spans="2:4" x14ac:dyDescent="0.3">
      <c r="B559">
        <f>Feuille1!A568</f>
        <v>129.5</v>
      </c>
      <c r="C559">
        <f>Feuille1!B568</f>
        <v>-22515.482397410076</v>
      </c>
      <c r="D559">
        <f>Feuille1!C568</f>
        <v>-49275.829337490104</v>
      </c>
    </row>
    <row r="560" spans="2:4" x14ac:dyDescent="0.3">
      <c r="B560">
        <f>Feuille1!A569</f>
        <v>130</v>
      </c>
      <c r="C560">
        <f>Feuille1!B569</f>
        <v>-28738.837692688932</v>
      </c>
      <c r="D560">
        <f>Feuille1!C569</f>
        <v>-47898.37025833167</v>
      </c>
    </row>
    <row r="561" spans="2:4" x14ac:dyDescent="0.3">
      <c r="B561">
        <f>Feuille1!A570</f>
        <v>130.5</v>
      </c>
      <c r="C561">
        <f>Feuille1!B570</f>
        <v>-33822.512483940394</v>
      </c>
      <c r="D561">
        <f>Feuille1!C570</f>
        <v>-45725.547322833001</v>
      </c>
    </row>
    <row r="562" spans="2:4" x14ac:dyDescent="0.3">
      <c r="B562">
        <f>Feuille1!A571</f>
        <v>131</v>
      </c>
      <c r="C562">
        <f>Feuille1!B571</f>
        <v>-37899.6897248323</v>
      </c>
      <c r="D562">
        <f>Feuille1!C571</f>
        <v>-42996.750719142881</v>
      </c>
    </row>
    <row r="563" spans="2:4" x14ac:dyDescent="0.3">
      <c r="B563">
        <f>Feuille1!A572</f>
        <v>131.5</v>
      </c>
      <c r="C563">
        <f>Feuille1!B572</f>
        <v>-41065.596152972728</v>
      </c>
      <c r="D563">
        <f>Feuille1!C572</f>
        <v>-39856.830277634057</v>
      </c>
    </row>
    <row r="564" spans="2:4" x14ac:dyDescent="0.3">
      <c r="B564">
        <f>Feuille1!A573</f>
        <v>132</v>
      </c>
      <c r="C564">
        <f>Feuille1!B573</f>
        <v>-43385.509408544691</v>
      </c>
      <c r="D564">
        <f>Feuille1!C573</f>
        <v>-36401.392133971749</v>
      </c>
    </row>
    <row r="565" spans="2:4" x14ac:dyDescent="0.3">
      <c r="B565">
        <f>Feuille1!A574</f>
        <v>132.5</v>
      </c>
      <c r="C565">
        <f>Feuille1!B574</f>
        <v>-44902.43528871172</v>
      </c>
      <c r="D565">
        <f>Feuille1!C574</f>
        <v>-32698.260850932504</v>
      </c>
    </row>
    <row r="566" spans="2:4" x14ac:dyDescent="0.3">
      <c r="B566">
        <f>Feuille1!A575</f>
        <v>133</v>
      </c>
      <c r="C566">
        <f>Feuille1!B575</f>
        <v>-45642.467695732361</v>
      </c>
      <c r="D566">
        <f>Feuille1!C575</f>
        <v>-28798.388993554738</v>
      </c>
    </row>
    <row r="567" spans="2:4" x14ac:dyDescent="0.3">
      <c r="B567">
        <f>Feuille1!A576</f>
        <v>133.5</v>
      </c>
      <c r="C567">
        <f>Feuille1!B576</f>
        <v>-45618.235942528649</v>
      </c>
      <c r="D567">
        <f>Feuille1!C576</f>
        <v>-24741.542253159136</v>
      </c>
    </row>
    <row r="568" spans="2:4" x14ac:dyDescent="0.3">
      <c r="B568">
        <f>Feuille1!A577</f>
        <v>134</v>
      </c>
      <c r="C568">
        <f>Feuille1!B577</f>
        <v>-44830.955934934209</v>
      </c>
      <c r="D568">
        <f>Feuille1!C577</f>
        <v>-20558.890039586386</v>
      </c>
    </row>
    <row r="569" spans="2:4" x14ac:dyDescent="0.3">
      <c r="B569">
        <f>Feuille1!A578</f>
        <v>134.5</v>
      </c>
      <c r="C569">
        <f>Feuille1!B578</f>
        <v>-43271.357759993814</v>
      </c>
      <c r="D569">
        <f>Feuille1!C578</f>
        <v>-16273.063899997396</v>
      </c>
    </row>
    <row r="570" spans="2:4" x14ac:dyDescent="0.3">
      <c r="B570">
        <f>Feuille1!A579</f>
        <v>135</v>
      </c>
      <c r="C570">
        <f>Feuille1!B579</f>
        <v>-40919.408702273329</v>
      </c>
      <c r="D570">
        <f>Feuille1!C579</f>
        <v>-11895.021527102552</v>
      </c>
    </row>
    <row r="571" spans="2:4" x14ac:dyDescent="0.3">
      <c r="B571">
        <f>Feuille1!A580</f>
        <v>135.5</v>
      </c>
      <c r="C571">
        <f>Feuille1!B580</f>
        <v>-37742.155126284692</v>
      </c>
      <c r="D571">
        <f>Feuille1!C580</f>
        <v>-7415.2366334954831</v>
      </c>
    </row>
    <row r="572" spans="2:4" x14ac:dyDescent="0.3">
      <c r="B572">
        <f>Feuille1!A581</f>
        <v>136</v>
      </c>
      <c r="C572">
        <f>Feuille1!B581</f>
        <v>-33687.852532961617</v>
      </c>
      <c r="D572">
        <f>Feuille1!C581</f>
        <v>-2782.5747022413066</v>
      </c>
    </row>
    <row r="573" spans="2:4" x14ac:dyDescent="0.3">
      <c r="B573">
        <f>Feuille1!A582</f>
        <v>136.5</v>
      </c>
      <c r="C573">
        <f>Feuille1!B582</f>
        <v>-28673.028929790369</v>
      </c>
      <c r="D573">
        <f>Feuille1!C582</f>
        <v>2147.9605983509286</v>
      </c>
    </row>
    <row r="574" spans="2:4" x14ac:dyDescent="0.3">
      <c r="B574">
        <f>Feuille1!A583</f>
        <v>137</v>
      </c>
      <c r="C574">
        <f>Feuille1!B583</f>
        <v>-22568.384846662379</v>
      </c>
      <c r="D574">
        <f>Feuille1!C583</f>
        <v>7760.2256916089982</v>
      </c>
    </row>
    <row r="575" spans="2:4" x14ac:dyDescent="0.3">
      <c r="B575">
        <f>Feuille1!A584</f>
        <v>137.5</v>
      </c>
      <c r="C575">
        <f>Feuille1!B584</f>
        <v>-15392.902371295455</v>
      </c>
      <c r="D575">
        <f>Feuille1!C584</f>
        <v>15091.721782537943</v>
      </c>
    </row>
    <row r="576" spans="2:4" x14ac:dyDescent="0.3">
      <c r="B576">
        <f>Feuille1!A585</f>
        <v>138</v>
      </c>
      <c r="C576">
        <f>Feuille1!B585</f>
        <v>-9576.2489476534211</v>
      </c>
      <c r="D576">
        <f>Feuille1!C585</f>
        <v>24455.980770889448</v>
      </c>
    </row>
    <row r="577" spans="2:4" x14ac:dyDescent="0.3">
      <c r="B577">
        <f>Feuille1!A586</f>
        <v>138.5</v>
      </c>
      <c r="C577">
        <f>Feuille1!B586</f>
        <v>-4842.9029449769951</v>
      </c>
      <c r="D577">
        <f>Feuille1!C586</f>
        <v>32495.359477380622</v>
      </c>
    </row>
    <row r="578" spans="2:4" x14ac:dyDescent="0.3">
      <c r="B578">
        <f>Feuille1!A587</f>
        <v>139</v>
      </c>
      <c r="C578">
        <f>Feuille1!B587</f>
        <v>46.286734325831787</v>
      </c>
      <c r="D578">
        <f>Feuille1!C587</f>
        <v>39103.087026172841</v>
      </c>
    </row>
    <row r="579" spans="2:4" x14ac:dyDescent="0.3">
      <c r="B579">
        <f>Feuille1!A588</f>
        <v>139.5</v>
      </c>
      <c r="C579">
        <f>Feuille1!B588</f>
        <v>5298.1656844919444</v>
      </c>
      <c r="D579">
        <f>Feuille1!C588</f>
        <v>44309.771062426953</v>
      </c>
    </row>
    <row r="580" spans="2:4" x14ac:dyDescent="0.3">
      <c r="B580">
        <f>Feuille1!A589</f>
        <v>140</v>
      </c>
      <c r="C580">
        <f>Feuille1!B589</f>
        <v>10801.896447573192</v>
      </c>
      <c r="D580">
        <f>Feuille1!C589</f>
        <v>48146.332304239368</v>
      </c>
    </row>
    <row r="581" spans="2:4" x14ac:dyDescent="0.3">
      <c r="B581">
        <f>Feuille1!A590</f>
        <v>140.5</v>
      </c>
      <c r="C581">
        <f>Feuille1!B590</f>
        <v>16379.034437470773</v>
      </c>
      <c r="D581">
        <f>Feuille1!C590</f>
        <v>50679.984291662033</v>
      </c>
    </row>
    <row r="582" spans="2:4" x14ac:dyDescent="0.3">
      <c r="B582">
        <f>Feuille1!A591</f>
        <v>141</v>
      </c>
      <c r="C582">
        <f>Feuille1!B591</f>
        <v>21861.45900258957</v>
      </c>
      <c r="D582">
        <f>Feuille1!C591</f>
        <v>52001.018827649023</v>
      </c>
    </row>
    <row r="583" spans="2:4" x14ac:dyDescent="0.3">
      <c r="B583">
        <f>Feuille1!A592</f>
        <v>141.5</v>
      </c>
      <c r="C583">
        <f>Feuille1!B592</f>
        <v>27107.536245092324</v>
      </c>
      <c r="D583">
        <f>Feuille1!C592</f>
        <v>52205.06056386065</v>
      </c>
    </row>
    <row r="584" spans="2:4" x14ac:dyDescent="0.3">
      <c r="B584">
        <f>Feuille1!A593</f>
        <v>142</v>
      </c>
      <c r="C584">
        <f>Feuille1!B593</f>
        <v>31998.573763906574</v>
      </c>
      <c r="D584">
        <f>Feuille1!C593</f>
        <v>51383.049268852352</v>
      </c>
    </row>
    <row r="585" spans="2:4" x14ac:dyDescent="0.3">
      <c r="B585">
        <f>Feuille1!A594</f>
        <v>142.5</v>
      </c>
      <c r="C585">
        <f>Feuille1!B594</f>
        <v>36430.753726494993</v>
      </c>
      <c r="D585">
        <f>Feuille1!C594</f>
        <v>49617.762274564317</v>
      </c>
    </row>
    <row r="586" spans="2:4" x14ac:dyDescent="0.3">
      <c r="B586">
        <f>Feuille1!A595</f>
        <v>143</v>
      </c>
      <c r="C586">
        <f>Feuille1!B595</f>
        <v>40307.090973586608</v>
      </c>
      <c r="D586">
        <f>Feuille1!C595</f>
        <v>46984.177335037231</v>
      </c>
    </row>
    <row r="587" spans="2:4" x14ac:dyDescent="0.3">
      <c r="B587">
        <f>Feuille1!A596</f>
        <v>143.5</v>
      </c>
      <c r="C587">
        <f>Feuille1!B596</f>
        <v>43530.267723509336</v>
      </c>
      <c r="D587">
        <f>Feuille1!C596</f>
        <v>43552.068445148172</v>
      </c>
    </row>
    <row r="588" spans="2:4" x14ac:dyDescent="0.3">
      <c r="B588">
        <f>Feuille1!A597</f>
        <v>144</v>
      </c>
      <c r="C588">
        <f>Feuille1!B597</f>
        <v>45996.132018723118</v>
      </c>
      <c r="D588">
        <f>Feuille1!C597</f>
        <v>39390.35387220751</v>
      </c>
    </row>
    <row r="589" spans="2:4" x14ac:dyDescent="0.3">
      <c r="B589">
        <f>Feuille1!A598</f>
        <v>144.5</v>
      </c>
      <c r="C589">
        <f>Feuille1!B598</f>
        <v>47587.540334143159</v>
      </c>
      <c r="D589">
        <f>Feuille1!C598</f>
        <v>34573.613689097452</v>
      </c>
    </row>
    <row r="590" spans="2:4" x14ac:dyDescent="0.3">
      <c r="B590">
        <f>Feuille1!A599</f>
        <v>145</v>
      </c>
      <c r="C590">
        <f>Feuille1!B599</f>
        <v>48168.654887702723</v>
      </c>
      <c r="D590">
        <f>Feuille1!C599</f>
        <v>29192.06911489087</v>
      </c>
    </row>
    <row r="591" spans="2:4" x14ac:dyDescent="0.3">
      <c r="B591">
        <f>Feuille1!A600</f>
        <v>145.5</v>
      </c>
      <c r="C591">
        <f>Feuille1!B600</f>
        <v>47581.085364243627</v>
      </c>
      <c r="D591">
        <f>Feuille1!C600</f>
        <v>23367.320890026407</v>
      </c>
    </row>
    <row r="592" spans="2:4" x14ac:dyDescent="0.3">
      <c r="B592">
        <f>Feuille1!A601</f>
        <v>146</v>
      </c>
      <c r="C592">
        <f>Feuille1!B601</f>
        <v>45646.53688818778</v>
      </c>
      <c r="D592">
        <f>Feuille1!C601</f>
        <v>17276.869097571409</v>
      </c>
    </row>
    <row r="593" spans="2:4" x14ac:dyDescent="0.3">
      <c r="B593">
        <f>Feuille1!A602</f>
        <v>146.5</v>
      </c>
      <c r="C593">
        <f>Feuille1!B602</f>
        <v>42187.966593479403</v>
      </c>
      <c r="D593">
        <f>Feuille1!C602</f>
        <v>11188.146810771197</v>
      </c>
    </row>
    <row r="594" spans="2:4" x14ac:dyDescent="0.3">
      <c r="B594">
        <f>Feuille1!A603</f>
        <v>147</v>
      </c>
      <c r="C594">
        <f>Feuille1!B603</f>
        <v>37092.220626556111</v>
      </c>
      <c r="D594">
        <f>Feuille1!C603</f>
        <v>5487.7932789974584</v>
      </c>
    </row>
    <row r="595" spans="2:4" x14ac:dyDescent="0.3">
      <c r="B595">
        <f>Feuille1!A604</f>
        <v>147.5</v>
      </c>
      <c r="C595">
        <f>Feuille1!B604</f>
        <v>30429.352840272655</v>
      </c>
      <c r="D595">
        <f>Feuille1!C604</f>
        <v>647.64596985327057</v>
      </c>
    </row>
    <row r="596" spans="2:4" x14ac:dyDescent="0.3">
      <c r="B596">
        <f>Feuille1!A605</f>
        <v>148</v>
      </c>
      <c r="C596">
        <f>Feuille1!B605</f>
        <v>22549.411172266875</v>
      </c>
      <c r="D596">
        <f>Feuille1!C605</f>
        <v>-2967.5744911009087</v>
      </c>
    </row>
    <row r="597" spans="2:4" x14ac:dyDescent="0.3">
      <c r="B597">
        <f>Feuille1!A606</f>
        <v>148.5</v>
      </c>
      <c r="C597">
        <f>Feuille1!B606</f>
        <v>13955.941007843932</v>
      </c>
      <c r="D597">
        <f>Feuille1!C606</f>
        <v>-5381.4376095095595</v>
      </c>
    </row>
    <row r="598" spans="2:4" x14ac:dyDescent="0.3">
      <c r="B598">
        <f>Feuille1!A607</f>
        <v>149</v>
      </c>
      <c r="C598">
        <f>Feuille1!B607</f>
        <v>5019.6299851179392</v>
      </c>
      <c r="D598">
        <f>Feuille1!C607</f>
        <v>-7042.1945639995411</v>
      </c>
    </row>
    <row r="599" spans="2:4" x14ac:dyDescent="0.3">
      <c r="B599">
        <f>Feuille1!A608</f>
        <v>149.5</v>
      </c>
      <c r="C599">
        <f>Feuille1!B608</f>
        <v>-4050.6472661277667</v>
      </c>
      <c r="D599">
        <f>Feuille1!C608</f>
        <v>-8558.11640184319</v>
      </c>
    </row>
    <row r="600" spans="2:4" x14ac:dyDescent="0.3">
      <c r="B600">
        <f>Feuille1!A609</f>
        <v>150</v>
      </c>
      <c r="C600">
        <f>Feuille1!B609</f>
        <v>-12952.661201230423</v>
      </c>
      <c r="D600">
        <f>Feuille1!C609</f>
        <v>-10378.720035966919</v>
      </c>
    </row>
    <row r="601" spans="2:4" x14ac:dyDescent="0.3">
      <c r="B601">
        <f>Feuille1!A610</f>
        <v>150.5</v>
      </c>
      <c r="C601">
        <f>Feuille1!B610</f>
        <v>-21221.363636639679</v>
      </c>
      <c r="D601">
        <f>Feuille1!C610</f>
        <v>-12590.719263967492</v>
      </c>
    </row>
    <row r="602" spans="2:4" x14ac:dyDescent="0.3">
      <c r="B602">
        <f>Feuille1!A611</f>
        <v>151</v>
      </c>
      <c r="C602">
        <f>Feuille1!B611</f>
        <v>-28523.38491263389</v>
      </c>
      <c r="D602">
        <f>Feuille1!C611</f>
        <v>-15040.214800277663</v>
      </c>
    </row>
    <row r="603" spans="2:4" x14ac:dyDescent="0.3">
      <c r="B603">
        <f>Feuille1!A612</f>
        <v>151.5</v>
      </c>
      <c r="C603">
        <f>Feuille1!B612</f>
        <v>-34785.122074283587</v>
      </c>
      <c r="D603">
        <f>Feuille1!C612</f>
        <v>-17565.544763602622</v>
      </c>
    </row>
    <row r="604" spans="2:4" x14ac:dyDescent="0.3">
      <c r="B604">
        <f>Feuille1!A613</f>
        <v>152</v>
      </c>
      <c r="C604">
        <f>Feuille1!B613</f>
        <v>-40071.551985214879</v>
      </c>
      <c r="D604">
        <f>Feuille1!C613</f>
        <v>-20065.704674061493</v>
      </c>
    </row>
    <row r="605" spans="2:4" x14ac:dyDescent="0.3">
      <c r="B605">
        <f>Feuille1!A614</f>
        <v>152.5</v>
      </c>
      <c r="C605">
        <f>Feuille1!B614</f>
        <v>-44481.414396890163</v>
      </c>
      <c r="D605">
        <f>Feuille1!C614</f>
        <v>-22485.332962842214</v>
      </c>
    </row>
    <row r="606" spans="2:4" x14ac:dyDescent="0.3">
      <c r="B606">
        <f>Feuille1!A615</f>
        <v>153</v>
      </c>
      <c r="C606">
        <f>Feuille1!B615</f>
        <v>-48106.685889451437</v>
      </c>
      <c r="D606">
        <f>Feuille1!C615</f>
        <v>-24794.397274661285</v>
      </c>
    </row>
    <row r="607" spans="2:4" x14ac:dyDescent="0.3">
      <c r="B607">
        <f>Feuille1!A616</f>
        <v>153.5</v>
      </c>
      <c r="C607">
        <f>Feuille1!B616</f>
        <v>-51022.724756884811</v>
      </c>
      <c r="D607">
        <f>Feuille1!C616</f>
        <v>-26975.910283731944</v>
      </c>
    </row>
    <row r="608" spans="2:4" x14ac:dyDescent="0.3">
      <c r="B608">
        <f>Feuille1!A617</f>
        <v>154</v>
      </c>
      <c r="C608">
        <f>Feuille1!B617</f>
        <v>-53288.310183883856</v>
      </c>
      <c r="D608">
        <f>Feuille1!C617</f>
        <v>-29019.423316994416</v>
      </c>
    </row>
    <row r="609" spans="2:4" x14ac:dyDescent="0.3">
      <c r="B609">
        <f>Feuille1!A618</f>
        <v>154.5</v>
      </c>
      <c r="C609">
        <f>Feuille1!B618</f>
        <v>-54948.006540981609</v>
      </c>
      <c r="D609">
        <f>Feuille1!C618</f>
        <v>-30917.607510367121</v>
      </c>
    </row>
    <row r="610" spans="2:4" x14ac:dyDescent="0.3">
      <c r="B610">
        <f>Feuille1!A619</f>
        <v>155</v>
      </c>
      <c r="C610">
        <f>Feuille1!B619</f>
        <v>-56034.56126030608</v>
      </c>
      <c r="D610">
        <f>Feuille1!C619</f>
        <v>-32664.388773800401</v>
      </c>
    </row>
    <row r="611" spans="2:4" x14ac:dyDescent="0.3">
      <c r="B611">
        <f>Feuille1!A620</f>
        <v>155.5</v>
      </c>
      <c r="C611">
        <f>Feuille1!B620</f>
        <v>-56570.761742578317</v>
      </c>
      <c r="D611">
        <f>Feuille1!C620</f>
        <v>-34253.856966167084</v>
      </c>
    </row>
    <row r="612" spans="2:4" x14ac:dyDescent="0.3">
      <c r="B612">
        <f>Feuille1!A621</f>
        <v>156</v>
      </c>
      <c r="C612">
        <f>Feuille1!B621</f>
        <v>-56570.672786972798</v>
      </c>
      <c r="D612">
        <f>Feuille1!C621</f>
        <v>-35679.553241104928</v>
      </c>
    </row>
    <row r="613" spans="2:4" x14ac:dyDescent="0.3">
      <c r="B613">
        <f>Feuille1!A622</f>
        <v>156.5</v>
      </c>
      <c r="C613">
        <f>Feuille1!B622</f>
        <v>-56040.281879998765</v>
      </c>
      <c r="D613">
        <f>Feuille1!C622</f>
        <v>-36933.923430295778</v>
      </c>
    </row>
    <row r="614" spans="2:4" x14ac:dyDescent="0.3">
      <c r="B614">
        <f>Feuille1!A623</f>
        <v>157</v>
      </c>
      <c r="C614">
        <f>Feuille1!B623</f>
        <v>-54977.559049912968</v>
      </c>
      <c r="D614">
        <f>Feuille1!C623</f>
        <v>-38007.809889186261</v>
      </c>
    </row>
    <row r="615" spans="2:4" x14ac:dyDescent="0.3">
      <c r="B615">
        <f>Feuille1!A624</f>
        <v>157.5</v>
      </c>
      <c r="C615">
        <f>Feuille1!B624</f>
        <v>-53371.863103556345</v>
      </c>
      <c r="D615">
        <f>Feuille1!C624</f>
        <v>-38889.886805316091</v>
      </c>
    </row>
    <row r="616" spans="2:4" x14ac:dyDescent="0.3">
      <c r="B616">
        <f>Feuille1!A625</f>
        <v>158</v>
      </c>
      <c r="C616">
        <f>Feuille1!B625</f>
        <v>-51202.496856183454</v>
      </c>
      <c r="D616">
        <f>Feuille1!C625</f>
        <v>-39565.943248757962</v>
      </c>
    </row>
    <row r="617" spans="2:4" x14ac:dyDescent="0.3">
      <c r="B617">
        <f>Feuille1!A626</f>
        <v>158.5</v>
      </c>
      <c r="C617">
        <f>Feuille1!B626</f>
        <v>-48435.980922736286</v>
      </c>
      <c r="D617">
        <f>Feuille1!C626</f>
        <v>-40017.885192637135</v>
      </c>
    </row>
    <row r="618" spans="2:4" x14ac:dyDescent="0.3">
      <c r="B618">
        <f>Feuille1!A627</f>
        <v>159</v>
      </c>
      <c r="C618">
        <f>Feuille1!B627</f>
        <v>-45021.144917732228</v>
      </c>
      <c r="D618">
        <f>Feuille1!C627</f>
        <v>-40222.244625896361</v>
      </c>
    </row>
    <row r="619" spans="2:4" x14ac:dyDescent="0.3">
      <c r="B619">
        <f>Feuille1!A628</f>
        <v>159.5</v>
      </c>
      <c r="C619">
        <f>Feuille1!B628</f>
        <v>-40880.07082446594</v>
      </c>
      <c r="D619">
        <f>Feuille1!C628</f>
        <v>-40147.796347687297</v>
      </c>
    </row>
    <row r="620" spans="2:4" x14ac:dyDescent="0.3">
      <c r="B620">
        <f>Feuille1!A629</f>
        <v>160</v>
      </c>
      <c r="C620">
        <f>Feuille1!B629</f>
        <v>-35890.219032829955</v>
      </c>
      <c r="D620">
        <f>Feuille1!C629</f>
        <v>-39751.437197897991</v>
      </c>
    </row>
    <row r="621" spans="2:4" x14ac:dyDescent="0.3">
      <c r="B621">
        <f>Feuille1!A630</f>
        <v>160.5</v>
      </c>
      <c r="C621">
        <f>Feuille1!B630</f>
        <v>-29845.192130959957</v>
      </c>
      <c r="D621">
        <f>Feuille1!C630</f>
        <v>-38970.311042807632</v>
      </c>
    </row>
    <row r="622" spans="2:4" x14ac:dyDescent="0.3">
      <c r="B622">
        <f>Feuille1!A631</f>
        <v>161</v>
      </c>
      <c r="C622">
        <f>Feuille1!B631</f>
        <v>-22354.609905317069</v>
      </c>
      <c r="D622">
        <f>Feuille1!C631</f>
        <v>-37704.794609132325</v>
      </c>
    </row>
    <row r="623" spans="2:4" x14ac:dyDescent="0.3">
      <c r="B623">
        <f>Feuille1!A632</f>
        <v>161.5</v>
      </c>
      <c r="C623">
        <f>Feuille1!B632</f>
        <v>-12538.988396076053</v>
      </c>
      <c r="D623">
        <f>Feuille1!C632</f>
        <v>-35780.056197162048</v>
      </c>
    </row>
    <row r="624" spans="2:4" x14ac:dyDescent="0.3">
      <c r="B624">
        <f>Feuille1!A633</f>
        <v>162</v>
      </c>
      <c r="C624">
        <f>Feuille1!B633</f>
        <v>1373.1818983388666</v>
      </c>
      <c r="D624">
        <f>Feuille1!C633</f>
        <v>-33069.661002828849</v>
      </c>
    </row>
    <row r="625" spans="2:4" x14ac:dyDescent="0.3">
      <c r="B625">
        <f>Feuille1!A634</f>
        <v>162.5</v>
      </c>
      <c r="C625">
        <f>Feuille1!B634</f>
        <v>11482.071561800427</v>
      </c>
      <c r="D625">
        <f>Feuille1!C634</f>
        <v>-31079.201839808782</v>
      </c>
    </row>
    <row r="626" spans="2:4" x14ac:dyDescent="0.3">
      <c r="B626">
        <f>Feuille1!A635</f>
        <v>163</v>
      </c>
      <c r="C626">
        <f>Feuille1!B635</f>
        <v>19308.81919635868</v>
      </c>
      <c r="D626">
        <f>Feuille1!C635</f>
        <v>-29139.907724710334</v>
      </c>
    </row>
    <row r="627" spans="2:4" x14ac:dyDescent="0.3">
      <c r="B627">
        <f>Feuille1!A636</f>
        <v>163.5</v>
      </c>
      <c r="C627">
        <f>Feuille1!B636</f>
        <v>25755.411898220133</v>
      </c>
      <c r="D627">
        <f>Feuille1!C636</f>
        <v>-27003.639657007137</v>
      </c>
    </row>
    <row r="628" spans="2:4" x14ac:dyDescent="0.3">
      <c r="B628">
        <f>Feuille1!A637</f>
        <v>164</v>
      </c>
      <c r="C628">
        <f>Feuille1!B637</f>
        <v>31192.744701045041</v>
      </c>
      <c r="D628">
        <f>Feuille1!C637</f>
        <v>-24572.361295827581</v>
      </c>
    </row>
    <row r="629" spans="2:4" x14ac:dyDescent="0.3">
      <c r="B629">
        <f>Feuille1!A638</f>
        <v>164.5</v>
      </c>
      <c r="C629">
        <f>Feuille1!B638</f>
        <v>35791.024864163555</v>
      </c>
      <c r="D629">
        <f>Feuille1!C638</f>
        <v>-21802.078386077403</v>
      </c>
    </row>
    <row r="630" spans="2:4" x14ac:dyDescent="0.3">
      <c r="B630">
        <f>Feuille1!A639</f>
        <v>165</v>
      </c>
      <c r="C630">
        <f>Feuille1!B639</f>
        <v>39629.854482201299</v>
      </c>
      <c r="D630">
        <f>Feuille1!C639</f>
        <v>-18672.9820690538</v>
      </c>
    </row>
    <row r="631" spans="2:4" x14ac:dyDescent="0.3">
      <c r="B631">
        <f>Feuille1!A640</f>
        <v>165.5</v>
      </c>
      <c r="C631">
        <f>Feuille1!B640</f>
        <v>42740.077587388492</v>
      </c>
      <c r="D631">
        <f>Feuille1!C640</f>
        <v>-15177.155117546525</v>
      </c>
    </row>
    <row r="632" spans="2:4" x14ac:dyDescent="0.3">
      <c r="B632">
        <f>Feuille1!A641</f>
        <v>166</v>
      </c>
      <c r="C632">
        <f>Feuille1!B641</f>
        <v>45120.85125912982</v>
      </c>
      <c r="D632">
        <f>Feuille1!C641</f>
        <v>-11312.555042034506</v>
      </c>
    </row>
    <row r="633" spans="2:4" x14ac:dyDescent="0.3">
      <c r="B633">
        <f>Feuille1!A642</f>
        <v>166.5</v>
      </c>
      <c r="C633">
        <f>Feuille1!B642</f>
        <v>46745.60032226253</v>
      </c>
      <c r="D633">
        <f>Feuille1!C642</f>
        <v>-7079.9386847129445</v>
      </c>
    </row>
    <row r="634" spans="2:4" x14ac:dyDescent="0.3">
      <c r="B634">
        <f>Feuille1!A643</f>
        <v>167</v>
      </c>
      <c r="C634">
        <f>Feuille1!B643</f>
        <v>47561.34733190015</v>
      </c>
      <c r="D634">
        <f>Feuille1!C643</f>
        <v>-2481.6787439327341</v>
      </c>
    </row>
    <row r="635" spans="2:4" x14ac:dyDescent="0.3">
      <c r="B635">
        <f>Feuille1!A644</f>
        <v>167.5</v>
      </c>
      <c r="C635">
        <f>Feuille1!B644</f>
        <v>47482.090989335426</v>
      </c>
      <c r="D635">
        <f>Feuille1!C644</f>
        <v>2477.41005921858</v>
      </c>
    </row>
    <row r="636" spans="2:4" x14ac:dyDescent="0.3">
      <c r="B636">
        <f>Feuille1!A645</f>
        <v>168</v>
      </c>
      <c r="C636">
        <f>Feuille1!B645</f>
        <v>46374.140666080391</v>
      </c>
      <c r="D636">
        <f>Feuille1!C645</f>
        <v>7785.5471880174564</v>
      </c>
    </row>
    <row r="637" spans="2:4" x14ac:dyDescent="0.3">
      <c r="B637">
        <f>Feuille1!A646</f>
        <v>168.5</v>
      </c>
      <c r="C637">
        <f>Feuille1!B646</f>
        <v>44027.616141988205</v>
      </c>
      <c r="D637">
        <f>Feuille1!C646</f>
        <v>13409.970032510331</v>
      </c>
    </row>
    <row r="638" spans="2:4" x14ac:dyDescent="0.3">
      <c r="B638">
        <f>Feuille1!A647</f>
        <v>169</v>
      </c>
      <c r="C638">
        <f>Feuille1!B647</f>
        <v>40102.804402665417</v>
      </c>
      <c r="D638">
        <f>Feuille1!C647</f>
        <v>19253.767318553317</v>
      </c>
    </row>
    <row r="639" spans="2:4" x14ac:dyDescent="0.3">
      <c r="B639">
        <f>Feuille1!A648</f>
        <v>169.5</v>
      </c>
      <c r="C639">
        <f>Feuille1!B648</f>
        <v>34046.138591873321</v>
      </c>
      <c r="D639">
        <f>Feuille1!C648</f>
        <v>25011.26502925665</v>
      </c>
    </row>
    <row r="640" spans="2:4" x14ac:dyDescent="0.3">
      <c r="B640">
        <f>Feuille1!A649</f>
        <v>170</v>
      </c>
      <c r="C640">
        <f>Feuille1!B649</f>
        <v>25164.922723729826</v>
      </c>
      <c r="D640">
        <f>Feuille1!C649</f>
        <v>29679.642895906185</v>
      </c>
    </row>
    <row r="641" spans="2:4" x14ac:dyDescent="0.3">
      <c r="B641">
        <f>Feuille1!A650</f>
        <v>170.5</v>
      </c>
      <c r="C641">
        <f>Feuille1!B650</f>
        <v>14310.915328600886</v>
      </c>
      <c r="D641">
        <f>Feuille1!C650</f>
        <v>31018.151266324647</v>
      </c>
    </row>
    <row r="642" spans="2:4" x14ac:dyDescent="0.3">
      <c r="B642">
        <f>Feuille1!A651</f>
        <v>171</v>
      </c>
      <c r="C642">
        <f>Feuille1!B651</f>
        <v>4504.7051264892252</v>
      </c>
      <c r="D642">
        <f>Feuille1!C651</f>
        <v>29179.113802046944</v>
      </c>
    </row>
    <row r="643" spans="2:4" x14ac:dyDescent="0.3">
      <c r="B643">
        <f>Feuille1!A652</f>
        <v>171.5</v>
      </c>
      <c r="C643">
        <f>Feuille1!B652</f>
        <v>-4121.7731643314946</v>
      </c>
      <c r="D643">
        <f>Feuille1!C652</f>
        <v>25762.695744083019</v>
      </c>
    </row>
    <row r="644" spans="2:4" x14ac:dyDescent="0.3">
      <c r="B644">
        <f>Feuille1!A653</f>
        <v>172</v>
      </c>
      <c r="C644">
        <f>Feuille1!B653</f>
        <v>-12735.073263376011</v>
      </c>
      <c r="D644">
        <f>Feuille1!C653</f>
        <v>21285.042709286448</v>
      </c>
    </row>
    <row r="645" spans="2:4" x14ac:dyDescent="0.3">
      <c r="B645">
        <f>Feuille1!A654</f>
        <v>172.5</v>
      </c>
      <c r="C645">
        <f>Feuille1!B654</f>
        <v>-23475.429320187883</v>
      </c>
      <c r="D645">
        <f>Feuille1!C654</f>
        <v>15932.28498098335</v>
      </c>
    </row>
    <row r="646" spans="2:4" x14ac:dyDescent="0.3">
      <c r="B646">
        <f>Feuille1!A655</f>
        <v>173</v>
      </c>
      <c r="C646">
        <f>Feuille1!B655</f>
        <v>-31503.284796807668</v>
      </c>
      <c r="D646">
        <f>Feuille1!C655</f>
        <v>12754.558045951662</v>
      </c>
    </row>
    <row r="647" spans="2:4" x14ac:dyDescent="0.3">
      <c r="B647">
        <f>Feuille1!A656</f>
        <v>173.5</v>
      </c>
      <c r="C647">
        <f>Feuille1!B656</f>
        <v>-37434.56863119387</v>
      </c>
      <c r="D647">
        <f>Feuille1!C656</f>
        <v>10325.517283917514</v>
      </c>
    </row>
    <row r="648" spans="2:4" x14ac:dyDescent="0.3">
      <c r="B648">
        <f>Feuille1!A657</f>
        <v>174</v>
      </c>
      <c r="C648">
        <f>Feuille1!B657</f>
        <v>-41944.665420783625</v>
      </c>
      <c r="D648">
        <f>Feuille1!C657</f>
        <v>8207.2419473952759</v>
      </c>
    </row>
    <row r="649" spans="2:4" x14ac:dyDescent="0.3">
      <c r="B649">
        <f>Feuille1!A658</f>
        <v>174.5</v>
      </c>
      <c r="C649">
        <f>Feuille1!B658</f>
        <v>-45347.528181531343</v>
      </c>
      <c r="D649">
        <f>Feuille1!C658</f>
        <v>6254.1041803205489</v>
      </c>
    </row>
    <row r="650" spans="2:4" x14ac:dyDescent="0.3">
      <c r="B650">
        <f>Feuille1!A659</f>
        <v>175</v>
      </c>
      <c r="C650">
        <f>Feuille1!B659</f>
        <v>-47810.55988755617</v>
      </c>
      <c r="D650">
        <f>Feuille1!C659</f>
        <v>4407.701159694042</v>
      </c>
    </row>
    <row r="651" spans="2:4" x14ac:dyDescent="0.3">
      <c r="B651">
        <f>Feuille1!A660</f>
        <v>175.5</v>
      </c>
      <c r="C651">
        <f>Feuille1!B660</f>
        <v>-49431.515333067175</v>
      </c>
      <c r="D651">
        <f>Feuille1!C660</f>
        <v>2643.144202811613</v>
      </c>
    </row>
    <row r="652" spans="2:4" x14ac:dyDescent="0.3">
      <c r="B652">
        <f>Feuille1!A661</f>
        <v>176</v>
      </c>
      <c r="C652">
        <f>Feuille1!B661</f>
        <v>-50269.081037430726</v>
      </c>
      <c r="D652">
        <f>Feuille1!C661</f>
        <v>950.99791834074051</v>
      </c>
    </row>
    <row r="653" spans="2:4" x14ac:dyDescent="0.3">
      <c r="B653">
        <f>Feuille1!A662</f>
        <v>176.5</v>
      </c>
      <c r="C653">
        <f>Feuille1!B662</f>
        <v>-50356.74074676419</v>
      </c>
      <c r="D653">
        <f>Feuille1!C662</f>
        <v>-669.83955169428555</v>
      </c>
    </row>
    <row r="654" spans="2:4" x14ac:dyDescent="0.3">
      <c r="B654">
        <f>Feuille1!A663</f>
        <v>177</v>
      </c>
      <c r="C654">
        <f>Feuille1!B663</f>
        <v>-49709.605784739084</v>
      </c>
      <c r="D654">
        <f>Feuille1!C663</f>
        <v>-2215.1757330861037</v>
      </c>
    </row>
    <row r="655" spans="2:4" x14ac:dyDescent="0.3">
      <c r="B655">
        <f>Feuille1!A664</f>
        <v>177.5</v>
      </c>
      <c r="C655">
        <f>Feuille1!B664</f>
        <v>-48327.869285499575</v>
      </c>
      <c r="D655">
        <f>Feuille1!C664</f>
        <v>-3676.817950397749</v>
      </c>
    </row>
    <row r="656" spans="2:4" x14ac:dyDescent="0.3">
      <c r="B656">
        <f>Feuille1!A665</f>
        <v>178</v>
      </c>
      <c r="C656">
        <f>Feuille1!B665</f>
        <v>-46198.50663710168</v>
      </c>
      <c r="D656">
        <f>Feuille1!C665</f>
        <v>-5043.0915943430264</v>
      </c>
    </row>
    <row r="657" spans="2:4" x14ac:dyDescent="0.3">
      <c r="B657">
        <f>Feuille1!A666</f>
        <v>178.5</v>
      </c>
      <c r="C657">
        <f>Feuille1!B666</f>
        <v>-43296.172455122891</v>
      </c>
      <c r="D657">
        <f>Feuille1!C666</f>
        <v>-6299.1914183179033</v>
      </c>
    </row>
    <row r="658" spans="2:4" x14ac:dyDescent="0.3">
      <c r="B658">
        <f>Feuille1!A667</f>
        <v>179</v>
      </c>
      <c r="C658">
        <f>Feuille1!B667</f>
        <v>-39584.252784997378</v>
      </c>
      <c r="D658">
        <f>Feuille1!C667</f>
        <v>-7428.2007424597168</v>
      </c>
    </row>
    <row r="659" spans="2:4" x14ac:dyDescent="0.3">
      <c r="B659">
        <f>Feuille1!A668</f>
        <v>179.5</v>
      </c>
      <c r="C659">
        <f>Feuille1!B668</f>
        <v>-35017.681472736214</v>
      </c>
      <c r="D659">
        <f>Feuille1!C668</f>
        <v>-8414.6966313677949</v>
      </c>
    </row>
    <row r="660" spans="2:4" x14ac:dyDescent="0.3">
      <c r="B660">
        <f>Feuille1!A669</f>
        <v>180</v>
      </c>
      <c r="C660">
        <f>Feuille1!B669</f>
        <v>-29550.626315641744</v>
      </c>
      <c r="D660">
        <f>Feuille1!C669</f>
        <v>-9255.7235447944859</v>
      </c>
    </row>
    <row r="661" spans="2:4" x14ac:dyDescent="0.3">
      <c r="B661">
        <f>Feuille1!A670</f>
        <v>180.5</v>
      </c>
      <c r="C661">
        <f>Feuille1!B670</f>
        <v>-23154.341560260433</v>
      </c>
      <c r="D661">
        <f>Feuille1!C670</f>
        <v>-9989.3809354036948</v>
      </c>
    </row>
    <row r="662" spans="2:4" x14ac:dyDescent="0.3">
      <c r="B662">
        <f>Feuille1!A671</f>
        <v>181</v>
      </c>
      <c r="C662">
        <f>Feuille1!B671</f>
        <v>-15852.449021720786</v>
      </c>
      <c r="D662">
        <f>Feuille1!C671</f>
        <v>-10752.561054533222</v>
      </c>
    </row>
    <row r="663" spans="2:4" x14ac:dyDescent="0.3">
      <c r="B663">
        <f>Feuille1!A672</f>
        <v>181.5</v>
      </c>
      <c r="C663">
        <f>Feuille1!B672</f>
        <v>-7787.6320089738092</v>
      </c>
      <c r="D663">
        <f>Feuille1!C672</f>
        <v>-11838.82588089041</v>
      </c>
    </row>
    <row r="664" spans="2:4" x14ac:dyDescent="0.3">
      <c r="B664">
        <f>Feuille1!A673</f>
        <v>182</v>
      </c>
      <c r="C664">
        <f>Feuille1!B673</f>
        <v>658.66186776296627</v>
      </c>
      <c r="D664">
        <f>Feuille1!C673</f>
        <v>-13604.081744764115</v>
      </c>
    </row>
    <row r="665" spans="2:4" x14ac:dyDescent="0.3">
      <c r="B665">
        <f>Feuille1!A674</f>
        <v>182.5</v>
      </c>
      <c r="C665">
        <f>Feuille1!B674</f>
        <v>8836.8788352012652</v>
      </c>
      <c r="D665">
        <f>Feuille1!C674</f>
        <v>-16109.093465111837</v>
      </c>
    </row>
    <row r="666" spans="2:4" x14ac:dyDescent="0.3">
      <c r="B666">
        <f>Feuille1!A675</f>
        <v>183</v>
      </c>
      <c r="C666">
        <f>Feuille1!B675</f>
        <v>16183.065166183023</v>
      </c>
      <c r="D666">
        <f>Feuille1!C675</f>
        <v>-18992.0008536797</v>
      </c>
    </row>
    <row r="667" spans="2:4" x14ac:dyDescent="0.3">
      <c r="B667">
        <f>Feuille1!A676</f>
        <v>183.5</v>
      </c>
      <c r="C667">
        <f>Feuille1!B676</f>
        <v>22493.804272270281</v>
      </c>
      <c r="D667">
        <f>Feuille1!C676</f>
        <v>-21856.924026715235</v>
      </c>
    </row>
    <row r="668" spans="2:4" x14ac:dyDescent="0.3">
      <c r="B668">
        <f>Feuille1!A677</f>
        <v>184</v>
      </c>
      <c r="C668">
        <f>Feuille1!B677</f>
        <v>27794.714541016452</v>
      </c>
      <c r="D668">
        <f>Feuille1!C677</f>
        <v>-24488.857635202497</v>
      </c>
    </row>
    <row r="669" spans="2:4" x14ac:dyDescent="0.3">
      <c r="B669">
        <f>Feuille1!A678</f>
        <v>184.5</v>
      </c>
      <c r="C669">
        <f>Feuille1!B678</f>
        <v>32178.456773224789</v>
      </c>
      <c r="D669">
        <f>Feuille1!C678</f>
        <v>-26805.087814298968</v>
      </c>
    </row>
    <row r="670" spans="2:4" x14ac:dyDescent="0.3">
      <c r="B670">
        <f>Feuille1!A679</f>
        <v>185</v>
      </c>
      <c r="C670">
        <f>Feuille1!B679</f>
        <v>35738.276281644161</v>
      </c>
      <c r="D670">
        <f>Feuille1!C679</f>
        <v>-28783.65606481543</v>
      </c>
    </row>
    <row r="671" spans="2:4" x14ac:dyDescent="0.3">
      <c r="B671">
        <f>Feuille1!A680</f>
        <v>185.5</v>
      </c>
      <c r="C671">
        <f>Feuille1!B680</f>
        <v>38550.686102800239</v>
      </c>
      <c r="D671">
        <f>Feuille1!C680</f>
        <v>-30425.710643343053</v>
      </c>
    </row>
    <row r="672" spans="2:4" x14ac:dyDescent="0.3">
      <c r="B672">
        <f>Feuille1!A681</f>
        <v>186</v>
      </c>
      <c r="C672">
        <f>Feuille1!B681</f>
        <v>40673.890579303996</v>
      </c>
      <c r="D672">
        <f>Feuille1!C681</f>
        <v>-31739.468667441961</v>
      </c>
    </row>
    <row r="673" spans="2:4" x14ac:dyDescent="0.3">
      <c r="B673">
        <f>Feuille1!A682</f>
        <v>186.5</v>
      </c>
      <c r="C673">
        <f>Feuille1!B682</f>
        <v>42149.987398440695</v>
      </c>
      <c r="D673">
        <f>Feuille1!C682</f>
        <v>-32733.790643777655</v>
      </c>
    </row>
    <row r="674" spans="2:4" x14ac:dyDescent="0.3">
      <c r="B674">
        <f>Feuille1!A683</f>
        <v>187</v>
      </c>
      <c r="C674">
        <f>Feuille1!B683</f>
        <v>43007.431968181714</v>
      </c>
      <c r="D674">
        <f>Feuille1!C683</f>
        <v>-33415.677466997971</v>
      </c>
    </row>
    <row r="675" spans="2:4" x14ac:dyDescent="0.3">
      <c r="B675">
        <f>Feuille1!A684</f>
        <v>187.5</v>
      </c>
      <c r="C675">
        <f>Feuille1!B684</f>
        <v>43262.879380887913</v>
      </c>
      <c r="D675">
        <f>Feuille1!C684</f>
        <v>-33789.330039532506</v>
      </c>
    </row>
    <row r="676" spans="2:4" x14ac:dyDescent="0.3">
      <c r="B676">
        <f>Feuille1!A685</f>
        <v>188</v>
      </c>
      <c r="C676">
        <f>Feuille1!B685</f>
        <v>42922.249152968863</v>
      </c>
      <c r="D676">
        <f>Feuille1!C685</f>
        <v>-33855.821703822432</v>
      </c>
    </row>
    <row r="677" spans="2:4" x14ac:dyDescent="0.3">
      <c r="B677">
        <f>Feuille1!A686</f>
        <v>188.5</v>
      </c>
      <c r="C677">
        <f>Feuille1!B686</f>
        <v>41981.008337199695</v>
      </c>
      <c r="D677">
        <f>Feuille1!C686</f>
        <v>-33613.019097705255</v>
      </c>
    </row>
    <row r="678" spans="2:4" x14ac:dyDescent="0.3">
      <c r="B678">
        <f>Feuille1!A687</f>
        <v>189</v>
      </c>
      <c r="C678">
        <f>Feuille1!B687</f>
        <v>40423.639401041313</v>
      </c>
      <c r="D678">
        <f>Feuille1!C687</f>
        <v>-33055.661619293882</v>
      </c>
    </row>
    <row r="679" spans="2:4" x14ac:dyDescent="0.3">
      <c r="B679">
        <f>Feuille1!A688</f>
        <v>189.5</v>
      </c>
      <c r="C679">
        <f>Feuille1!B688</f>
        <v>38222.160095972387</v>
      </c>
      <c r="D679">
        <f>Feuille1!C688</f>
        <v>-32175.71063456278</v>
      </c>
    </row>
    <row r="680" spans="2:4" x14ac:dyDescent="0.3">
      <c r="B680">
        <f>Feuille1!A689</f>
        <v>190</v>
      </c>
      <c r="C680">
        <f>Feuille1!B689</f>
        <v>35333.411928883615</v>
      </c>
      <c r="D680">
        <f>Feuille1!C689</f>
        <v>-30963.379155569208</v>
      </c>
    </row>
    <row r="681" spans="2:4" x14ac:dyDescent="0.3">
      <c r="B681">
        <f>Feuille1!A690</f>
        <v>190.5</v>
      </c>
      <c r="C681">
        <f>Feuille1!B690</f>
        <v>31694.631783444394</v>
      </c>
      <c r="D681">
        <f>Feuille1!C690</f>
        <v>-29409.930411467845</v>
      </c>
    </row>
    <row r="682" spans="2:4" x14ac:dyDescent="0.3">
      <c r="B682">
        <f>Feuille1!A691</f>
        <v>191</v>
      </c>
      <c r="C682">
        <f>Feuille1!B691</f>
        <v>27216.649177216557</v>
      </c>
      <c r="D682">
        <f>Feuille1!C691</f>
        <v>-27515.087416400056</v>
      </c>
    </row>
    <row r="683" spans="2:4" x14ac:dyDescent="0.3">
      <c r="B683">
        <f>Feuille1!A692</f>
        <v>191.5</v>
      </c>
      <c r="C683">
        <f>Feuille1!B692</f>
        <v>21774.544156774085</v>
      </c>
      <c r="D683">
        <f>Feuille1!C692</f>
        <v>-25306.635010215348</v>
      </c>
    </row>
    <row r="684" spans="2:4" x14ac:dyDescent="0.3">
      <c r="B684">
        <f>Feuille1!A693</f>
        <v>192</v>
      </c>
      <c r="C684">
        <f>Feuille1!B693</f>
        <v>15200.569003081811</v>
      </c>
      <c r="D684">
        <f>Feuille1!C693</f>
        <v>-22892.242596806311</v>
      </c>
    </row>
    <row r="685" spans="2:4" x14ac:dyDescent="0.3">
      <c r="B685">
        <f>Feuille1!A694</f>
        <v>192.5</v>
      </c>
      <c r="C685">
        <f>Feuille1!B694</f>
        <v>7314.3758240077968</v>
      </c>
      <c r="D685">
        <f>Feuille1!C694</f>
        <v>-20587.739684854252</v>
      </c>
    </row>
    <row r="686" spans="2:4" x14ac:dyDescent="0.3">
      <c r="B686">
        <f>Feuille1!A695</f>
        <v>193</v>
      </c>
      <c r="C686">
        <f>Feuille1!B695</f>
        <v>-1842.5075350853492</v>
      </c>
      <c r="D686">
        <f>Feuille1!C695</f>
        <v>-19127.708540782533</v>
      </c>
    </row>
    <row r="687" spans="2:4" x14ac:dyDescent="0.3">
      <c r="B687">
        <f>Feuille1!A696</f>
        <v>193.5</v>
      </c>
      <c r="C687">
        <f>Feuille1!B696</f>
        <v>-11358.6411039287</v>
      </c>
      <c r="D687">
        <f>Feuille1!C696</f>
        <v>-19410.160332838841</v>
      </c>
    </row>
    <row r="688" spans="2:4" x14ac:dyDescent="0.3">
      <c r="B688">
        <f>Feuille1!A697</f>
        <v>194</v>
      </c>
      <c r="C688">
        <f>Feuille1!B697</f>
        <v>-19812.063941748132</v>
      </c>
      <c r="D688">
        <f>Feuille1!C697</f>
        <v>-21258.134524505949</v>
      </c>
    </row>
    <row r="689" spans="2:4" x14ac:dyDescent="0.3">
      <c r="B689">
        <f>Feuille1!A698</f>
        <v>194.5</v>
      </c>
      <c r="C689">
        <f>Feuille1!B698</f>
        <v>-26701.587973976184</v>
      </c>
      <c r="D689">
        <f>Feuille1!C698</f>
        <v>-23844.900241494444</v>
      </c>
    </row>
    <row r="690" spans="2:4" x14ac:dyDescent="0.3">
      <c r="B690">
        <f>Feuille1!A699</f>
        <v>195</v>
      </c>
      <c r="C690">
        <f>Feuille1!B699</f>
        <v>-32133.119113050248</v>
      </c>
      <c r="D690">
        <f>Feuille1!C699</f>
        <v>-26643.429841069272</v>
      </c>
    </row>
    <row r="691" spans="2:4" x14ac:dyDescent="0.3">
      <c r="B691">
        <f>Feuille1!A700</f>
        <v>195.5</v>
      </c>
      <c r="C691">
        <f>Feuille1!B700</f>
        <v>-36312.287351565297</v>
      </c>
      <c r="D691">
        <f>Feuille1!C700</f>
        <v>-29409.943616617657</v>
      </c>
    </row>
    <row r="692" spans="2:4" x14ac:dyDescent="0.3">
      <c r="B692">
        <f>Feuille1!A701</f>
        <v>196</v>
      </c>
      <c r="C692">
        <f>Feuille1!B701</f>
        <v>-39410.304309470972</v>
      </c>
      <c r="D692">
        <f>Feuille1!C701</f>
        <v>-32032.9669696479</v>
      </c>
    </row>
    <row r="693" spans="2:4" x14ac:dyDescent="0.3">
      <c r="B693">
        <f>Feuille1!A702</f>
        <v>196.5</v>
      </c>
      <c r="C693">
        <f>Feuille1!B702</f>
        <v>-41550.929630403902</v>
      </c>
      <c r="D693">
        <f>Feuille1!C702</f>
        <v>-34456.875654366959</v>
      </c>
    </row>
    <row r="694" spans="2:4" x14ac:dyDescent="0.3">
      <c r="B694">
        <f>Feuille1!A703</f>
        <v>197</v>
      </c>
      <c r="C694">
        <f>Feuille1!B703</f>
        <v>-42818.823518646052</v>
      </c>
      <c r="D694">
        <f>Feuille1!C703</f>
        <v>-36649.361541949489</v>
      </c>
    </row>
    <row r="695" spans="2:4" x14ac:dyDescent="0.3">
      <c r="B695">
        <f>Feuille1!A704</f>
        <v>197.5</v>
      </c>
      <c r="C695">
        <f>Feuille1!B704</f>
        <v>-43268.087194247775</v>
      </c>
      <c r="D695">
        <f>Feuille1!C704</f>
        <v>-38587.099672146011</v>
      </c>
    </row>
    <row r="696" spans="2:4" x14ac:dyDescent="0.3">
      <c r="B696">
        <f>Feuille1!A705</f>
        <v>198</v>
      </c>
      <c r="C696">
        <f>Feuille1!B705</f>
        <v>-42927.722216450173</v>
      </c>
      <c r="D696">
        <f>Feuille1!C705</f>
        <v>-40248.651798809078</v>
      </c>
    </row>
    <row r="697" spans="2:4" x14ac:dyDescent="0.3">
      <c r="B697">
        <f>Feuille1!A706</f>
        <v>198.5</v>
      </c>
      <c r="C697">
        <f>Feuille1!B706</f>
        <v>-41803.910716612503</v>
      </c>
      <c r="D697">
        <f>Feuille1!C706</f>
        <v>-41610.09994708321</v>
      </c>
    </row>
    <row r="698" spans="2:4" x14ac:dyDescent="0.3">
      <c r="B698">
        <f>Feuille1!A707</f>
        <v>199</v>
      </c>
      <c r="C698">
        <f>Feuille1!B707</f>
        <v>-39879.047441093084</v>
      </c>
      <c r="D698">
        <f>Feuille1!C707</f>
        <v>-42641.25838576402</v>
      </c>
    </row>
    <row r="699" spans="2:4" x14ac:dyDescent="0.3">
      <c r="B699">
        <f>Feuille1!A708</f>
        <v>199.5</v>
      </c>
      <c r="C699">
        <f>Feuille1!B708</f>
        <v>-37106.565745393716</v>
      </c>
      <c r="D699">
        <f>Feuille1!C708</f>
        <v>-43300.899416640059</v>
      </c>
    </row>
    <row r="700" spans="2:4" x14ac:dyDescent="0.3">
      <c r="B700">
        <f>Feuille1!A709</f>
        <v>200</v>
      </c>
      <c r="C700">
        <f>Feuille1!B709</f>
        <v>-33398.627723561425</v>
      </c>
      <c r="D700">
        <f>Feuille1!C709</f>
        <v>-43528.805826368451</v>
      </c>
    </row>
    <row r="701" spans="2:4" x14ac:dyDescent="0.3">
      <c r="B701">
        <f>Feuille1!A710</f>
        <v>200.5</v>
      </c>
      <c r="C701">
        <f>Feuille1!B710</f>
        <v>-28598.769993735103</v>
      </c>
      <c r="D701">
        <f>Feuille1!C710</f>
        <v>-43229.667378153295</v>
      </c>
    </row>
    <row r="702" spans="2:4" x14ac:dyDescent="0.3">
      <c r="B702">
        <f>Feuille1!A711</f>
        <v>201</v>
      </c>
      <c r="C702">
        <f>Feuille1!B711</f>
        <v>-22416.652422214542</v>
      </c>
      <c r="D702">
        <f>Feuille1!C711</f>
        <v>-42233.730016222129</v>
      </c>
    </row>
    <row r="703" spans="2:4" x14ac:dyDescent="0.3">
      <c r="B703">
        <f>Feuille1!A712</f>
        <v>201.5</v>
      </c>
      <c r="C703">
        <f>Feuille1!B712</f>
        <v>-14252.923278548382</v>
      </c>
      <c r="D703">
        <f>Feuille1!C712</f>
        <v>-40175.621977571973</v>
      </c>
    </row>
    <row r="704" spans="2:4" x14ac:dyDescent="0.3">
      <c r="B704">
        <f>Feuille1!A713</f>
        <v>202</v>
      </c>
      <c r="C704">
        <f>Feuille1!B713</f>
        <v>-2867.882656675572</v>
      </c>
      <c r="D704">
        <f>Feuille1!C713</f>
        <v>-36040.321588036633</v>
      </c>
    </row>
    <row r="705" spans="2:4" x14ac:dyDescent="0.3">
      <c r="B705">
        <f>Feuille1!A714</f>
        <v>202.5</v>
      </c>
      <c r="C705">
        <f>Feuille1!B714</f>
        <v>6519.7863008696586</v>
      </c>
      <c r="D705">
        <f>Feuille1!C714</f>
        <v>-30502.08324566876</v>
      </c>
    </row>
    <row r="706" spans="2:4" x14ac:dyDescent="0.3">
      <c r="B706">
        <f>Feuille1!A715</f>
        <v>203</v>
      </c>
      <c r="C706">
        <f>Feuille1!B715</f>
        <v>12927.855347124623</v>
      </c>
      <c r="D706">
        <f>Feuille1!C715</f>
        <v>-25642.181829448753</v>
      </c>
    </row>
    <row r="707" spans="2:4" x14ac:dyDescent="0.3">
      <c r="B707">
        <f>Feuille1!A716</f>
        <v>203.5</v>
      </c>
      <c r="C707">
        <f>Feuille1!B716</f>
        <v>17675.019013178746</v>
      </c>
      <c r="D707">
        <f>Feuille1!C716</f>
        <v>-21049.573911954183</v>
      </c>
    </row>
    <row r="708" spans="2:4" x14ac:dyDescent="0.3">
      <c r="B708">
        <f>Feuille1!A717</f>
        <v>204</v>
      </c>
      <c r="C708">
        <f>Feuille1!B717</f>
        <v>21308.682679395923</v>
      </c>
      <c r="D708">
        <f>Feuille1!C717</f>
        <v>-16401.318373659353</v>
      </c>
    </row>
    <row r="709" spans="2:4" x14ac:dyDescent="0.3">
      <c r="B709">
        <f>Feuille1!A718</f>
        <v>204.5</v>
      </c>
      <c r="C709">
        <f>Feuille1!B718</f>
        <v>24070.715955799118</v>
      </c>
      <c r="D709">
        <f>Feuille1!C718</f>
        <v>-11439.717698827399</v>
      </c>
    </row>
    <row r="710" spans="2:4" x14ac:dyDescent="0.3">
      <c r="B710">
        <f>Feuille1!A719</f>
        <v>205</v>
      </c>
      <c r="C710">
        <f>Feuille1!B719</f>
        <v>26048.596643863108</v>
      </c>
      <c r="D710">
        <f>Feuille1!C719</f>
        <v>-5903.5748548985594</v>
      </c>
    </row>
    <row r="711" spans="2:4" x14ac:dyDescent="0.3">
      <c r="B711">
        <f>Feuille1!A720</f>
        <v>205.5</v>
      </c>
      <c r="C711">
        <f>Feuille1!B720</f>
        <v>27199.349769712946</v>
      </c>
      <c r="D711">
        <f>Feuille1!C720</f>
        <v>540.72277697516711</v>
      </c>
    </row>
    <row r="712" spans="2:4" x14ac:dyDescent="0.3">
      <c r="B712">
        <f>Feuille1!A721</f>
        <v>206</v>
      </c>
      <c r="C712">
        <f>Feuille1!B721</f>
        <v>27262.899846348362</v>
      </c>
      <c r="D712">
        <f>Feuille1!C721</f>
        <v>8411.8304458582588</v>
      </c>
    </row>
    <row r="713" spans="2:4" x14ac:dyDescent="0.3">
      <c r="B713">
        <f>Feuille1!A722</f>
        <v>206.5</v>
      </c>
      <c r="C713">
        <f>Feuille1!B722</f>
        <v>25348.155122361066</v>
      </c>
      <c r="D713">
        <f>Feuille1!C722</f>
        <v>18556.963749649363</v>
      </c>
    </row>
    <row r="714" spans="2:4" x14ac:dyDescent="0.3">
      <c r="B714">
        <f>Feuille1!A723</f>
        <v>207</v>
      </c>
      <c r="C714">
        <f>Feuille1!B723</f>
        <v>19304.936234956171</v>
      </c>
      <c r="D714">
        <f>Feuille1!C723</f>
        <v>29490.289839655321</v>
      </c>
    </row>
    <row r="715" spans="2:4" x14ac:dyDescent="0.3">
      <c r="B715">
        <f>Feuille1!A724</f>
        <v>207.5</v>
      </c>
      <c r="C715">
        <f>Feuille1!B724</f>
        <v>13162.140477389763</v>
      </c>
      <c r="D715">
        <f>Feuille1!C724</f>
        <v>36372.668998027555</v>
      </c>
    </row>
    <row r="716" spans="2:4" x14ac:dyDescent="0.3">
      <c r="B716">
        <f>Feuille1!A725</f>
        <v>208</v>
      </c>
      <c r="C716">
        <f>Feuille1!B725</f>
        <v>7492.3680942621731</v>
      </c>
      <c r="D716">
        <f>Feuille1!C725</f>
        <v>40881.614634441568</v>
      </c>
    </row>
    <row r="717" spans="2:4" x14ac:dyDescent="0.3">
      <c r="B717">
        <f>Feuille1!A726</f>
        <v>208.5</v>
      </c>
      <c r="C717">
        <f>Feuille1!B726</f>
        <v>2182.115475616642</v>
      </c>
      <c r="D717">
        <f>Feuille1!C726</f>
        <v>43768.6266868975</v>
      </c>
    </row>
    <row r="718" spans="2:4" x14ac:dyDescent="0.3">
      <c r="B718">
        <f>Feuille1!A727</f>
        <v>209</v>
      </c>
      <c r="C718">
        <f>Feuille1!B727</f>
        <v>-2853.9118999539282</v>
      </c>
      <c r="D718">
        <f>Feuille1!C727</f>
        <v>45344.993558166876</v>
      </c>
    </row>
    <row r="719" spans="2:4" x14ac:dyDescent="0.3">
      <c r="B719">
        <f>Feuille1!A728</f>
        <v>209.5</v>
      </c>
      <c r="C719">
        <f>Feuille1!B728</f>
        <v>-7652.5891142804767</v>
      </c>
      <c r="D719">
        <f>Feuille1!C728</f>
        <v>45743.367690607964</v>
      </c>
    </row>
    <row r="720" spans="2:4" x14ac:dyDescent="0.3">
      <c r="B720">
        <f>Feuille1!A729</f>
        <v>210</v>
      </c>
      <c r="C720">
        <f>Feuille1!B729</f>
        <v>-12214.961786425949</v>
      </c>
      <c r="D720">
        <f>Feuille1!C729</f>
        <v>45003.897416369044</v>
      </c>
    </row>
    <row r="721" spans="2:4" x14ac:dyDescent="0.3">
      <c r="B721">
        <f>Feuille1!A730</f>
        <v>210.5</v>
      </c>
      <c r="C721">
        <f>Feuille1!B730</f>
        <v>-16510.660782104675</v>
      </c>
      <c r="D721">
        <f>Feuille1!C730</f>
        <v>43099.801052092844</v>
      </c>
    </row>
    <row r="722" spans="2:4" x14ac:dyDescent="0.3">
      <c r="B722">
        <f>Feuille1!A731</f>
        <v>211</v>
      </c>
      <c r="C722">
        <f>Feuille1!B731</f>
        <v>-20468.29011195472</v>
      </c>
      <c r="D722">
        <f>Feuille1!C731</f>
        <v>39933.49479765947</v>
      </c>
    </row>
    <row r="723" spans="2:4" x14ac:dyDescent="0.3">
      <c r="B723">
        <f>Feuille1!A732</f>
        <v>211.5</v>
      </c>
      <c r="C723">
        <f>Feuille1!B732</f>
        <v>-23935.769413062153</v>
      </c>
      <c r="D723">
        <f>Feuille1!C732</f>
        <v>35307.012434049269</v>
      </c>
    </row>
    <row r="724" spans="2:4" x14ac:dyDescent="0.3">
      <c r="B724">
        <f>Feuille1!A733</f>
        <v>212</v>
      </c>
      <c r="C724">
        <f>Feuille1!B733</f>
        <v>-26546.754217265887</v>
      </c>
      <c r="D724">
        <f>Feuille1!C733</f>
        <v>28869.884261922241</v>
      </c>
    </row>
    <row r="725" spans="2:4" x14ac:dyDescent="0.3">
      <c r="B725">
        <f>Feuille1!A734</f>
        <v>212.5</v>
      </c>
      <c r="C725">
        <f>Feuille1!B734</f>
        <v>-27268.315888908553</v>
      </c>
      <c r="D725">
        <f>Feuille1!C734</f>
        <v>20257.785440556709</v>
      </c>
    </row>
    <row r="726" spans="2:4" x14ac:dyDescent="0.3">
      <c r="B726">
        <f>Feuille1!A735</f>
        <v>213</v>
      </c>
      <c r="C726">
        <f>Feuille1!B735</f>
        <v>-24361.750632330361</v>
      </c>
      <c r="D726">
        <f>Feuille1!C735</f>
        <v>11271.444891911797</v>
      </c>
    </row>
    <row r="727" spans="2:4" x14ac:dyDescent="0.3">
      <c r="B727">
        <f>Feuille1!A736</f>
        <v>213.5</v>
      </c>
      <c r="C727">
        <f>Feuille1!B736</f>
        <v>-19671.633129776681</v>
      </c>
      <c r="D727">
        <f>Feuille1!C736</f>
        <v>4344.5709039090198</v>
      </c>
    </row>
    <row r="728" spans="2:4" x14ac:dyDescent="0.3">
      <c r="B728">
        <f>Feuille1!A737</f>
        <v>214</v>
      </c>
      <c r="C728">
        <f>Feuille1!B737</f>
        <v>-14328.648778951061</v>
      </c>
      <c r="D728">
        <f>Feuille1!C737</f>
        <v>-1355.7049166697657</v>
      </c>
    </row>
    <row r="729" spans="2:4" x14ac:dyDescent="0.3">
      <c r="B729">
        <f>Feuille1!A738</f>
        <v>214.5</v>
      </c>
      <c r="C729">
        <f>Feuille1!B738</f>
        <v>-8518.4033543800542</v>
      </c>
      <c r="D729">
        <f>Feuille1!C738</f>
        <v>-6599.5836990951939</v>
      </c>
    </row>
    <row r="730" spans="2:4" x14ac:dyDescent="0.3">
      <c r="B730">
        <f>Feuille1!A739</f>
        <v>215</v>
      </c>
      <c r="C730">
        <f>Feuille1!B739</f>
        <v>-2344.9648689517949</v>
      </c>
      <c r="D730">
        <f>Feuille1!C739</f>
        <v>-11958.923299817816</v>
      </c>
    </row>
    <row r="731" spans="2:4" x14ac:dyDescent="0.3">
      <c r="B731">
        <f>Feuille1!A740</f>
        <v>215.5</v>
      </c>
      <c r="C731">
        <f>Feuille1!B740</f>
        <v>3833.289178638518</v>
      </c>
      <c r="D731">
        <f>Feuille1!C740</f>
        <v>-17974.646896136808</v>
      </c>
    </row>
    <row r="732" spans="2:4" x14ac:dyDescent="0.3">
      <c r="B732">
        <f>Feuille1!A741</f>
        <v>216</v>
      </c>
      <c r="C732">
        <f>Feuille1!B741</f>
        <v>9183.3377811649752</v>
      </c>
      <c r="D732">
        <f>Feuille1!C741</f>
        <v>-25017.186248808997</v>
      </c>
    </row>
    <row r="733" spans="2:4" x14ac:dyDescent="0.3">
      <c r="B733">
        <f>Feuille1!A742</f>
        <v>216.5</v>
      </c>
      <c r="C733">
        <f>Feuille1!B742</f>
        <v>12691.057857750984</v>
      </c>
      <c r="D733">
        <f>Feuille1!C742</f>
        <v>-32767.594683472205</v>
      </c>
    </row>
    <row r="734" spans="2:4" x14ac:dyDescent="0.3">
      <c r="B734">
        <f>Feuille1!A743</f>
        <v>217</v>
      </c>
      <c r="C734">
        <f>Feuille1!B743</f>
        <v>14007.221897762924</v>
      </c>
      <c r="D734">
        <f>Feuille1!C743</f>
        <v>-40329.173686736533</v>
      </c>
    </row>
    <row r="735" spans="2:4" x14ac:dyDescent="0.3">
      <c r="B735">
        <f>Feuille1!A744</f>
        <v>217.5</v>
      </c>
      <c r="C735">
        <f>Feuille1!B744</f>
        <v>13459.720858338975</v>
      </c>
      <c r="D735">
        <f>Feuille1!C744</f>
        <v>-47007.93419378101</v>
      </c>
    </row>
    <row r="736" spans="2:4" x14ac:dyDescent="0.3">
      <c r="B736">
        <f>Feuille1!A745</f>
        <v>218</v>
      </c>
      <c r="C736">
        <f>Feuille1!B745</f>
        <v>11525.573870287537</v>
      </c>
      <c r="D736">
        <f>Feuille1!C745</f>
        <v>-52491.272038949843</v>
      </c>
    </row>
    <row r="737" spans="2:4" x14ac:dyDescent="0.3">
      <c r="B737">
        <f>Feuille1!A746</f>
        <v>218.5</v>
      </c>
      <c r="C737">
        <f>Feuille1!B746</f>
        <v>8601.9167050991764</v>
      </c>
      <c r="D737">
        <f>Feuille1!C746</f>
        <v>-56672.070636244382</v>
      </c>
    </row>
    <row r="738" spans="2:4" x14ac:dyDescent="0.3">
      <c r="B738">
        <f>Feuille1!A747</f>
        <v>219</v>
      </c>
      <c r="C738">
        <f>Feuille1!B747</f>
        <v>4988.6440695883193</v>
      </c>
      <c r="D738">
        <f>Feuille1!C747</f>
        <v>-59516.091649463917</v>
      </c>
    </row>
    <row r="739" spans="2:4" x14ac:dyDescent="0.3">
      <c r="B739">
        <f>Feuille1!A748</f>
        <v>219.5</v>
      </c>
      <c r="C739">
        <f>Feuille1!B748</f>
        <v>919.97760401096195</v>
      </c>
      <c r="D739">
        <f>Feuille1!C748</f>
        <v>-61000.996503760041</v>
      </c>
    </row>
    <row r="740" spans="2:4" x14ac:dyDescent="0.3">
      <c r="B740">
        <f>Feuille1!A749</f>
        <v>220</v>
      </c>
      <c r="C740">
        <f>Feuille1!B749</f>
        <v>-3402.026123088393</v>
      </c>
      <c r="D740">
        <f>Feuille1!C749</f>
        <v>-61089.962894978067</v>
      </c>
    </row>
    <row r="741" spans="2:4" x14ac:dyDescent="0.3">
      <c r="B741">
        <f>Feuille1!A750</f>
        <v>220.5</v>
      </c>
      <c r="C741">
        <f>Feuille1!B750</f>
        <v>-7775.9271330009296</v>
      </c>
      <c r="D741">
        <f>Feuille1!C750</f>
        <v>-59718.589207248231</v>
      </c>
    </row>
    <row r="742" spans="2:4" x14ac:dyDescent="0.3">
      <c r="B742">
        <f>Feuille1!A751</f>
        <v>221</v>
      </c>
      <c r="C742">
        <f>Feuille1!B751</f>
        <v>-11963.922237493505</v>
      </c>
      <c r="D742">
        <f>Feuille1!C751</f>
        <v>-56787.596100313574</v>
      </c>
    </row>
    <row r="743" spans="2:4" x14ac:dyDescent="0.3">
      <c r="B743">
        <f>Feuille1!A752</f>
        <v>221.5</v>
      </c>
      <c r="C743">
        <f>Feuille1!B752</f>
        <v>-15635.442298722979</v>
      </c>
      <c r="D743">
        <f>Feuille1!C752</f>
        <v>-52165.229063876788</v>
      </c>
    </row>
    <row r="744" spans="2:4" x14ac:dyDescent="0.3">
      <c r="B744">
        <f>Feuille1!A753</f>
        <v>222</v>
      </c>
      <c r="C744">
        <f>Feuille1!B753</f>
        <v>-18269.673148010083</v>
      </c>
      <c r="D744">
        <f>Feuille1!C753</f>
        <v>-45729.601088925614</v>
      </c>
    </row>
    <row r="745" spans="2:4" x14ac:dyDescent="0.3">
      <c r="B745">
        <f>Feuille1!A754</f>
        <v>222.5</v>
      </c>
      <c r="C745">
        <f>Feuille1!B754</f>
        <v>-19022.449910576393</v>
      </c>
      <c r="D745">
        <f>Feuille1!C754</f>
        <v>-37568.12594503197</v>
      </c>
    </row>
    <row r="746" spans="2:4" x14ac:dyDescent="0.3">
      <c r="B746">
        <f>Feuille1!A755</f>
        <v>223</v>
      </c>
      <c r="C746">
        <f>Feuille1!B755</f>
        <v>-16879.054113968439</v>
      </c>
      <c r="D746">
        <f>Feuille1!C755</f>
        <v>-28566.38537080813</v>
      </c>
    </row>
    <row r="747" spans="2:4" x14ac:dyDescent="0.3">
      <c r="B747">
        <f>Feuille1!A756</f>
        <v>223.5</v>
      </c>
      <c r="C747">
        <f>Feuille1!B756</f>
        <v>-11966.111033947485</v>
      </c>
      <c r="D747">
        <f>Feuille1!C756</f>
        <v>-20550.960191284357</v>
      </c>
    </row>
    <row r="748" spans="2:4" x14ac:dyDescent="0.3">
      <c r="B748">
        <f>Feuille1!A757</f>
        <v>224</v>
      </c>
      <c r="C748">
        <f>Feuille1!B757</f>
        <v>-5800.6766735104266</v>
      </c>
      <c r="D748">
        <f>Feuille1!C757</f>
        <v>-14192.755562795486</v>
      </c>
    </row>
    <row r="749" spans="2:4" x14ac:dyDescent="0.3">
      <c r="B749">
        <f>Feuille1!A758</f>
        <v>224.5</v>
      </c>
      <c r="C749">
        <f>Feuille1!B758</f>
        <v>610.16629160792752</v>
      </c>
      <c r="D749">
        <f>Feuille1!C758</f>
        <v>-8844.3186252344367</v>
      </c>
    </row>
    <row r="750" spans="2:4" x14ac:dyDescent="0.3">
      <c r="B750">
        <f>Feuille1!A759</f>
        <v>225</v>
      </c>
      <c r="C750">
        <f>Feuille1!B759</f>
        <v>6967.8145465345724</v>
      </c>
      <c r="D750">
        <f>Feuille1!C759</f>
        <v>-3711.0720802705882</v>
      </c>
    </row>
    <row r="751" spans="2:4" x14ac:dyDescent="0.3">
      <c r="B751">
        <f>Feuille1!A760</f>
        <v>225.5</v>
      </c>
      <c r="C751">
        <f>Feuille1!B760</f>
        <v>13310.39591088246</v>
      </c>
      <c r="D751">
        <f>Feuille1!C760</f>
        <v>1945.2243600993504</v>
      </c>
    </row>
    <row r="752" spans="2:4" x14ac:dyDescent="0.3">
      <c r="B752">
        <f>Feuille1!A761</f>
        <v>226</v>
      </c>
      <c r="C752">
        <f>Feuille1!B761</f>
        <v>19780.303219411828</v>
      </c>
      <c r="D752">
        <f>Feuille1!C761</f>
        <v>9112.9685582014536</v>
      </c>
    </row>
    <row r="753" spans="2:4" x14ac:dyDescent="0.3">
      <c r="B753">
        <f>Feuille1!A762</f>
        <v>226.5</v>
      </c>
      <c r="C753">
        <f>Feuille1!B762</f>
        <v>25844.61435462442</v>
      </c>
      <c r="D753">
        <f>Feuille1!C762</f>
        <v>19550.768347477388</v>
      </c>
    </row>
    <row r="754" spans="2:4" x14ac:dyDescent="0.3">
      <c r="B754">
        <f>Feuille1!A763</f>
        <v>227</v>
      </c>
      <c r="C754">
        <f>Feuille1!B763</f>
        <v>27608.865039355194</v>
      </c>
      <c r="D754">
        <f>Feuille1!C763</f>
        <v>30069.48743885908</v>
      </c>
    </row>
    <row r="755" spans="2:4" x14ac:dyDescent="0.3">
      <c r="B755">
        <f>Feuille1!A764</f>
        <v>227.5</v>
      </c>
      <c r="C755">
        <f>Feuille1!B764</f>
        <v>27165.755742963534</v>
      </c>
      <c r="D755">
        <f>Feuille1!C764</f>
        <v>37845.781491515227</v>
      </c>
    </row>
    <row r="756" spans="2:4" x14ac:dyDescent="0.3">
      <c r="B756">
        <f>Feuille1!A765</f>
        <v>228</v>
      </c>
      <c r="C756">
        <f>Feuille1!B765</f>
        <v>25730.638821423559</v>
      </c>
      <c r="D756">
        <f>Feuille1!C765</f>
        <v>43567.499107514144</v>
      </c>
    </row>
    <row r="757" spans="2:4" x14ac:dyDescent="0.3">
      <c r="B757">
        <f>Feuille1!A766</f>
        <v>228.5</v>
      </c>
      <c r="C757">
        <f>Feuille1!B766</f>
        <v>23736.953698954123</v>
      </c>
      <c r="D757">
        <f>Feuille1!C766</f>
        <v>47698.689708937272</v>
      </c>
    </row>
    <row r="758" spans="2:4" x14ac:dyDescent="0.3">
      <c r="B758">
        <f>Feuille1!A767</f>
        <v>229</v>
      </c>
      <c r="C758">
        <f>Feuille1!B767</f>
        <v>21386.550262624904</v>
      </c>
      <c r="D758">
        <f>Feuille1!C767</f>
        <v>50491.108595217498</v>
      </c>
    </row>
    <row r="759" spans="2:4" x14ac:dyDescent="0.3">
      <c r="B759">
        <f>Feuille1!A768</f>
        <v>229.5</v>
      </c>
      <c r="C759">
        <f>Feuille1!B768</f>
        <v>18796.865818477909</v>
      </c>
      <c r="D759">
        <f>Feuille1!C768</f>
        <v>52081.088023301985</v>
      </c>
    </row>
    <row r="760" spans="2:4" x14ac:dyDescent="0.3">
      <c r="B760">
        <f>Feuille1!A769</f>
        <v>230</v>
      </c>
      <c r="C760">
        <f>Feuille1!B769</f>
        <v>16050.012088816778</v>
      </c>
      <c r="D760">
        <f>Feuille1!C769</f>
        <v>52535.827363218123</v>
      </c>
    </row>
    <row r="761" spans="2:4" x14ac:dyDescent="0.3">
      <c r="B761">
        <f>Feuille1!A770</f>
        <v>230.5</v>
      </c>
      <c r="C761">
        <f>Feuille1!B770</f>
        <v>13214.167668493064</v>
      </c>
      <c r="D761">
        <f>Feuille1!C770</f>
        <v>51874.095138161814</v>
      </c>
    </row>
    <row r="762" spans="2:4" x14ac:dyDescent="0.3">
      <c r="B762">
        <f>Feuille1!A771</f>
        <v>231</v>
      </c>
      <c r="C762">
        <f>Feuille1!B771</f>
        <v>10356.37737297262</v>
      </c>
      <c r="D762">
        <f>Feuille1!C771</f>
        <v>50074.514886032026</v>
      </c>
    </row>
    <row r="763" spans="2:4" x14ac:dyDescent="0.3">
      <c r="B763">
        <f>Feuille1!A772</f>
        <v>231.5</v>
      </c>
      <c r="C763">
        <f>Feuille1!B772</f>
        <v>7553.8631397969275</v>
      </c>
      <c r="D763">
        <f>Feuille1!C772</f>
        <v>47077.280618158009</v>
      </c>
    </row>
    <row r="764" spans="2:4" x14ac:dyDescent="0.3">
      <c r="B764">
        <f>Feuille1!A773</f>
        <v>232</v>
      </c>
      <c r="C764">
        <f>Feuille1!B773</f>
        <v>4907.9057887822219</v>
      </c>
      <c r="D764">
        <f>Feuille1!C773</f>
        <v>42783.72631870491</v>
      </c>
    </row>
    <row r="765" spans="2:4" x14ac:dyDescent="0.3">
      <c r="B765">
        <f>Feuille1!A774</f>
        <v>232.5</v>
      </c>
      <c r="C765">
        <f>Feuille1!B774</f>
        <v>2562.3663871823223</v>
      </c>
      <c r="D765">
        <f>Feuille1!C774</f>
        <v>37064.553972928428</v>
      </c>
    </row>
    <row r="766" spans="2:4" x14ac:dyDescent="0.3">
      <c r="B766">
        <f>Feuille1!A775</f>
        <v>233</v>
      </c>
      <c r="C766">
        <f>Feuille1!B775</f>
        <v>716.53244649931491</v>
      </c>
      <c r="D766">
        <f>Feuille1!C775</f>
        <v>29817.704523442186</v>
      </c>
    </row>
    <row r="767" spans="2:4" x14ac:dyDescent="0.3">
      <c r="B767">
        <f>Feuille1!A776</f>
        <v>233.5</v>
      </c>
      <c r="C767">
        <f>Feuille1!B776</f>
        <v>-435.41965685064372</v>
      </c>
      <c r="D767">
        <f>Feuille1!C776</f>
        <v>21206.242212392772</v>
      </c>
    </row>
    <row r="768" spans="2:4" x14ac:dyDescent="0.3">
      <c r="B768">
        <f>Feuille1!A777</f>
        <v>234</v>
      </c>
      <c r="C768">
        <f>Feuille1!B777</f>
        <v>-908.61540989961497</v>
      </c>
      <c r="D768">
        <f>Feuille1!C777</f>
        <v>12106.477634171331</v>
      </c>
    </row>
    <row r="769" spans="2:4" x14ac:dyDescent="0.3">
      <c r="B769">
        <f>Feuille1!A778</f>
        <v>234.5</v>
      </c>
      <c r="C769">
        <f>Feuille1!B778</f>
        <v>-869.46508075329587</v>
      </c>
      <c r="D769">
        <f>Feuille1!C778</f>
        <v>3522.1469346010413</v>
      </c>
    </row>
    <row r="770" spans="2:4" x14ac:dyDescent="0.3">
      <c r="B770">
        <f>Feuille1!A779</f>
        <v>235</v>
      </c>
      <c r="C770">
        <f>Feuille1!B779</f>
        <v>-496.6929040989811</v>
      </c>
      <c r="D770">
        <f>Feuille1!C779</f>
        <v>-4463.7704612294883</v>
      </c>
    </row>
    <row r="771" spans="2:4" x14ac:dyDescent="0.3">
      <c r="B771">
        <f>Feuille1!A780</f>
        <v>235.5</v>
      </c>
      <c r="C771">
        <f>Feuille1!B780</f>
        <v>1.2370377304762883</v>
      </c>
      <c r="D771">
        <f>Feuille1!C780</f>
        <v>-12311.621087768775</v>
      </c>
    </row>
    <row r="772" spans="2:4" x14ac:dyDescent="0.3">
      <c r="B772">
        <f>Feuille1!A781</f>
        <v>236</v>
      </c>
      <c r="C772">
        <f>Feuille1!B781</f>
        <v>337.60867480513537</v>
      </c>
      <c r="D772">
        <f>Feuille1!C781</f>
        <v>-20774.154923205155</v>
      </c>
    </row>
    <row r="773" spans="2:4" x14ac:dyDescent="0.3">
      <c r="B773">
        <f>Feuille1!A782</f>
        <v>236.5</v>
      </c>
      <c r="C773">
        <f>Feuille1!B782</f>
        <v>-158.24285829260248</v>
      </c>
      <c r="D773">
        <f>Feuille1!C782</f>
        <v>-31062.632951167823</v>
      </c>
    </row>
    <row r="774" spans="2:4" x14ac:dyDescent="0.3">
      <c r="B774">
        <f>Feuille1!A783</f>
        <v>237</v>
      </c>
      <c r="C774">
        <f>Feuille1!B783</f>
        <v>-3691.0362007335707</v>
      </c>
      <c r="D774">
        <f>Feuille1!C783</f>
        <v>-43399.507513363416</v>
      </c>
    </row>
    <row r="775" spans="2:4" x14ac:dyDescent="0.3">
      <c r="B775">
        <f>Feuille1!A784</f>
        <v>237.5</v>
      </c>
      <c r="C775">
        <f>Feuille1!B784</f>
        <v>-7783.1044587845217</v>
      </c>
      <c r="D775">
        <f>Feuille1!C784</f>
        <v>-51520.230097722022</v>
      </c>
    </row>
    <row r="776" spans="2:4" x14ac:dyDescent="0.3">
      <c r="B776">
        <f>Feuille1!A785</f>
        <v>238</v>
      </c>
      <c r="C776">
        <f>Feuille1!B785</f>
        <v>-11436.793765899265</v>
      </c>
      <c r="D776">
        <f>Feuille1!C785</f>
        <v>-57051.350956140224</v>
      </c>
    </row>
    <row r="777" spans="2:4" x14ac:dyDescent="0.3">
      <c r="B777">
        <f>Feuille1!A786</f>
        <v>238.5</v>
      </c>
      <c r="C777">
        <f>Feuille1!B786</f>
        <v>-14615.649211591248</v>
      </c>
      <c r="D777">
        <f>Feuille1!C786</f>
        <v>-60889.784399141805</v>
      </c>
    </row>
    <row r="778" spans="2:4" x14ac:dyDescent="0.3">
      <c r="B778">
        <f>Feuille1!A787</f>
        <v>239</v>
      </c>
      <c r="C778">
        <f>Feuille1!B787</f>
        <v>-17350.278260747975</v>
      </c>
      <c r="D778">
        <f>Feuille1!C787</f>
        <v>-63456.117085427744</v>
      </c>
    </row>
    <row r="779" spans="2:4" x14ac:dyDescent="0.3">
      <c r="B779">
        <f>Feuille1!A788</f>
        <v>239.5</v>
      </c>
      <c r="C779">
        <f>Feuille1!B788</f>
        <v>-19663.500697596446</v>
      </c>
      <c r="D779">
        <f>Feuille1!C788</f>
        <v>-64973.62961410205</v>
      </c>
    </row>
    <row r="780" spans="2:4" x14ac:dyDescent="0.3">
      <c r="B780">
        <f>Feuille1!A789</f>
        <v>240</v>
      </c>
      <c r="C780">
        <f>Feuille1!B789</f>
        <v>-21564.212423650442</v>
      </c>
      <c r="D780">
        <f>Feuille1!C789</f>
        <v>-65569.192840371907</v>
      </c>
    </row>
    <row r="781" spans="2:4" x14ac:dyDescent="0.3">
      <c r="B781">
        <f>Feuille1!A790</f>
        <v>240.5</v>
      </c>
      <c r="C781">
        <f>Feuille1!B790</f>
        <v>-23047.547232747474</v>
      </c>
      <c r="D781">
        <f>Feuille1!C790</f>
        <v>-65314.081158996654</v>
      </c>
    </row>
    <row r="782" spans="2:4" x14ac:dyDescent="0.3">
      <c r="B782">
        <f>Feuille1!A791</f>
        <v>241</v>
      </c>
      <c r="C782">
        <f>Feuille1!B791</f>
        <v>-24094.175012087107</v>
      </c>
      <c r="D782">
        <f>Feuille1!C791</f>
        <v>-64241.872702042492</v>
      </c>
    </row>
    <row r="783" spans="2:4" x14ac:dyDescent="0.3">
      <c r="B783">
        <f>Feuille1!A792</f>
        <v>241.5</v>
      </c>
      <c r="C783">
        <f>Feuille1!B792</f>
        <v>-24667.268522832775</v>
      </c>
      <c r="D783">
        <f>Feuille1!C792</f>
        <v>-62355.68981036394</v>
      </c>
    </row>
    <row r="784" spans="2:4" x14ac:dyDescent="0.3">
      <c r="B784">
        <f>Feuille1!A793</f>
        <v>242</v>
      </c>
      <c r="C784">
        <f>Feuille1!B793</f>
        <v>-24705.583519666299</v>
      </c>
      <c r="D784">
        <f>Feuille1!C793</f>
        <v>-59628.887085891743</v>
      </c>
    </row>
    <row r="785" spans="2:4" x14ac:dyDescent="0.3">
      <c r="B785">
        <f>Feuille1!A794</f>
        <v>242.5</v>
      </c>
      <c r="C785">
        <f>Feuille1!B794</f>
        <v>-24109.028904947219</v>
      </c>
      <c r="D785">
        <f>Feuille1!C794</f>
        <v>-55999.768123849346</v>
      </c>
    </row>
    <row r="786" spans="2:4" x14ac:dyDescent="0.3">
      <c r="B786">
        <f>Feuille1!A795</f>
        <v>243</v>
      </c>
      <c r="C786">
        <f>Feuille1!B795</f>
        <v>-22707.164999279714</v>
      </c>
      <c r="D786">
        <f>Feuille1!C795</f>
        <v>-51358.478307690501</v>
      </c>
    </row>
    <row r="787" spans="2:4" x14ac:dyDescent="0.3">
      <c r="B787">
        <f>Feuille1!A796</f>
        <v>243.5</v>
      </c>
      <c r="C787">
        <f>Feuille1!B796</f>
        <v>-20182.201019581418</v>
      </c>
      <c r="D787">
        <f>Feuille1!C796</f>
        <v>-45523.271969384732</v>
      </c>
    </row>
    <row r="788" spans="2:4" x14ac:dyDescent="0.3">
      <c r="B788">
        <f>Feuille1!A797</f>
        <v>244</v>
      </c>
      <c r="C788">
        <f>Feuille1!B797</f>
        <v>-15851.185035606439</v>
      </c>
      <c r="D788">
        <f>Feuille1!C797</f>
        <v>-38229.612123190629</v>
      </c>
    </row>
    <row r="789" spans="2:4" x14ac:dyDescent="0.3">
      <c r="B789">
        <f>Feuille1!A798</f>
        <v>244.5</v>
      </c>
      <c r="C789">
        <f>Feuille1!B798</f>
        <v>-8120.4905902268911</v>
      </c>
      <c r="D789">
        <f>Feuille1!C798</f>
        <v>-29617.372115098464</v>
      </c>
    </row>
    <row r="790" spans="2:4" x14ac:dyDescent="0.3">
      <c r="B790">
        <f>Feuille1!A799</f>
        <v>245</v>
      </c>
      <c r="C790">
        <f>Feuille1!B799</f>
        <v>1715.9263049789033</v>
      </c>
      <c r="D790">
        <f>Feuille1!C799</f>
        <v>-23994.653037776035</v>
      </c>
    </row>
    <row r="791" spans="2:4" x14ac:dyDescent="0.3">
      <c r="B791">
        <f>Feuille1!A800</f>
        <v>245.5</v>
      </c>
      <c r="C791">
        <f>Feuille1!B800</f>
        <v>10004.438934669908</v>
      </c>
      <c r="D791">
        <f>Feuille1!C800</f>
        <v>-20433.748939279416</v>
      </c>
    </row>
    <row r="792" spans="2:4" x14ac:dyDescent="0.3">
      <c r="B792">
        <f>Feuille1!A801</f>
        <v>246</v>
      </c>
      <c r="C792">
        <f>Feuille1!B801</f>
        <v>17043.15802953524</v>
      </c>
      <c r="D792">
        <f>Feuille1!C801</f>
        <v>-17395.217683037063</v>
      </c>
    </row>
    <row r="793" spans="2:4" x14ac:dyDescent="0.3">
      <c r="B793">
        <f>Feuille1!A802</f>
        <v>246.5</v>
      </c>
      <c r="C793">
        <f>Feuille1!B802</f>
        <v>23142.269918386177</v>
      </c>
      <c r="D793">
        <f>Feuille1!C802</f>
        <v>-14242.122320930219</v>
      </c>
    </row>
    <row r="794" spans="2:4" x14ac:dyDescent="0.3">
      <c r="B794">
        <f>Feuille1!A803</f>
        <v>247</v>
      </c>
      <c r="C794">
        <f>Feuille1!B803</f>
        <v>28423.06363975798</v>
      </c>
      <c r="D794">
        <f>Feuille1!C803</f>
        <v>-10653.500281508046</v>
      </c>
    </row>
    <row r="795" spans="2:4" x14ac:dyDescent="0.3">
      <c r="B795">
        <f>Feuille1!A804</f>
        <v>247.5</v>
      </c>
      <c r="C795">
        <f>Feuille1!B804</f>
        <v>32876.957015194799</v>
      </c>
      <c r="D795">
        <f>Feuille1!C804</f>
        <v>-6443.862683407292</v>
      </c>
    </row>
    <row r="796" spans="2:4" x14ac:dyDescent="0.3">
      <c r="B796">
        <f>Feuille1!A805</f>
        <v>248</v>
      </c>
      <c r="C796">
        <f>Feuille1!B805</f>
        <v>36399.416849460271</v>
      </c>
      <c r="D796">
        <f>Feuille1!C805</f>
        <v>-1506.3006264034989</v>
      </c>
    </row>
    <row r="797" spans="2:4" x14ac:dyDescent="0.3">
      <c r="B797">
        <f>Feuille1!A806</f>
        <v>248.5</v>
      </c>
      <c r="C797">
        <f>Feuille1!B806</f>
        <v>38799.071496581731</v>
      </c>
      <c r="D797">
        <f>Feuille1!C806</f>
        <v>4201.1960995498448</v>
      </c>
    </row>
    <row r="798" spans="2:4" x14ac:dyDescent="0.3">
      <c r="B798">
        <f>Feuille1!A807</f>
        <v>249</v>
      </c>
      <c r="C798">
        <f>Feuille1!B807</f>
        <v>39790.053764195582</v>
      </c>
      <c r="D798">
        <f>Feuille1!C807</f>
        <v>10639.199507345054</v>
      </c>
    </row>
    <row r="799" spans="2:4" x14ac:dyDescent="0.3">
      <c r="B799">
        <f>Feuille1!A808</f>
        <v>249.5</v>
      </c>
      <c r="C799">
        <f>Feuille1!B808</f>
        <v>38980.659812670456</v>
      </c>
      <c r="D799">
        <f>Feuille1!C808</f>
        <v>17626.095381057898</v>
      </c>
    </row>
    <row r="800" spans="2:4" x14ac:dyDescent="0.3">
      <c r="B800">
        <f>Feuille1!A809</f>
        <v>250</v>
      </c>
      <c r="C800">
        <f>Feuille1!B809</f>
        <v>35906.811792588378</v>
      </c>
      <c r="D800">
        <f>Feuille1!C809</f>
        <v>24700.694268327199</v>
      </c>
    </row>
    <row r="801" spans="2:4" x14ac:dyDescent="0.3">
      <c r="B801">
        <f>Feuille1!A810</f>
        <v>250.5</v>
      </c>
      <c r="C801">
        <f>Feuille1!B810</f>
        <v>30265.701249347218</v>
      </c>
      <c r="D801">
        <f>Feuille1!C810</f>
        <v>30923.590795032891</v>
      </c>
    </row>
    <row r="802" spans="2:4" x14ac:dyDescent="0.3">
      <c r="B802">
        <f>Feuille1!A811</f>
        <v>251</v>
      </c>
      <c r="C802">
        <f>Feuille1!B811</f>
        <v>22510.220975904587</v>
      </c>
      <c r="D802">
        <f>Feuille1!C811</f>
        <v>34989.089120500292</v>
      </c>
    </row>
    <row r="803" spans="2:4" x14ac:dyDescent="0.3">
      <c r="B803">
        <f>Feuille1!A812</f>
        <v>251.5</v>
      </c>
      <c r="C803">
        <f>Feuille1!B812</f>
        <v>14014.63525854689</v>
      </c>
      <c r="D803">
        <f>Feuille1!C812</f>
        <v>36196.128143327929</v>
      </c>
    </row>
    <row r="804" spans="2:4" x14ac:dyDescent="0.3">
      <c r="B804">
        <f>Feuille1!A813</f>
        <v>252</v>
      </c>
      <c r="C804">
        <f>Feuille1!B813</f>
        <v>5940.377142243392</v>
      </c>
      <c r="D804">
        <f>Feuille1!C813</f>
        <v>34934.933962776864</v>
      </c>
    </row>
    <row r="805" spans="2:4" x14ac:dyDescent="0.3">
      <c r="B805">
        <f>Feuille1!A814</f>
        <v>252.5</v>
      </c>
      <c r="C805">
        <f>Feuille1!B814</f>
        <v>-1393.8135852626283</v>
      </c>
      <c r="D805">
        <f>Feuille1!C814</f>
        <v>31887.862597431475</v>
      </c>
    </row>
    <row r="806" spans="2:4" x14ac:dyDescent="0.3">
      <c r="B806">
        <f>Feuille1!A815</f>
        <v>253</v>
      </c>
      <c r="C806">
        <f>Feuille1!B815</f>
        <v>-8298.1650074860081</v>
      </c>
      <c r="D806">
        <f>Feuille1!C815</f>
        <v>27449.605485766097</v>
      </c>
    </row>
    <row r="807" spans="2:4" x14ac:dyDescent="0.3">
      <c r="B807">
        <f>Feuille1!A816</f>
        <v>253.5</v>
      </c>
      <c r="C807">
        <f>Feuille1!B816</f>
        <v>-15714.74694951608</v>
      </c>
      <c r="D807">
        <f>Feuille1!C816</f>
        <v>21517.383754964212</v>
      </c>
    </row>
    <row r="808" spans="2:4" x14ac:dyDescent="0.3">
      <c r="B808">
        <f>Feuille1!A817</f>
        <v>254</v>
      </c>
      <c r="C808">
        <f>Feuille1!B817</f>
        <v>-25292.947882499291</v>
      </c>
      <c r="D808">
        <f>Feuille1!C817</f>
        <v>14212.429216355809</v>
      </c>
    </row>
    <row r="809" spans="2:4" x14ac:dyDescent="0.3">
      <c r="B809">
        <f>Feuille1!A818</f>
        <v>254.5</v>
      </c>
      <c r="C809">
        <f>Feuille1!B818</f>
        <v>-32254.767299979369</v>
      </c>
      <c r="D809">
        <f>Feuille1!C818</f>
        <v>8849.3265227785396</v>
      </c>
    </row>
    <row r="810" spans="2:4" x14ac:dyDescent="0.3">
      <c r="B810">
        <f>Feuille1!A819</f>
        <v>255</v>
      </c>
      <c r="C810">
        <f>Feuille1!B819</f>
        <v>-37624.716760139861</v>
      </c>
      <c r="D810">
        <f>Feuille1!C819</f>
        <v>4203.1015948264467</v>
      </c>
    </row>
    <row r="811" spans="2:4" x14ac:dyDescent="0.3">
      <c r="B811">
        <f>Feuille1!A820</f>
        <v>255.5</v>
      </c>
      <c r="C811">
        <f>Feuille1!B820</f>
        <v>-41873.930088213041</v>
      </c>
      <c r="D811">
        <f>Feuille1!C820</f>
        <v>-117.9967578855647</v>
      </c>
    </row>
    <row r="812" spans="2:4" x14ac:dyDescent="0.3">
      <c r="B812">
        <f>Feuille1!A821</f>
        <v>256</v>
      </c>
      <c r="C812">
        <f>Feuille1!B821</f>
        <v>-45214.794914242571</v>
      </c>
      <c r="D812">
        <f>Feuille1!C821</f>
        <v>-4259.0312231395501</v>
      </c>
    </row>
    <row r="813" spans="2:4" x14ac:dyDescent="0.3">
      <c r="B813">
        <f>Feuille1!A822</f>
        <v>256.5</v>
      </c>
      <c r="C813">
        <f>Feuille1!B822</f>
        <v>-47760.104439132221</v>
      </c>
      <c r="D813">
        <f>Feuille1!C822</f>
        <v>-8279.9985716000119</v>
      </c>
    </row>
    <row r="814" spans="2:4" x14ac:dyDescent="0.3">
      <c r="B814">
        <f>Feuille1!A823</f>
        <v>257</v>
      </c>
      <c r="C814">
        <f>Feuille1!B823</f>
        <v>-49576.103364857503</v>
      </c>
      <c r="D814">
        <f>Feuille1!C823</f>
        <v>-12204.706799648444</v>
      </c>
    </row>
    <row r="815" spans="2:4" x14ac:dyDescent="0.3">
      <c r="B815">
        <f>Feuille1!A824</f>
        <v>257.5</v>
      </c>
      <c r="C815">
        <f>Feuille1!B824</f>
        <v>-50703.159984588463</v>
      </c>
      <c r="D815">
        <f>Feuille1!C824</f>
        <v>-16039.223463911238</v>
      </c>
    </row>
    <row r="816" spans="2:4" x14ac:dyDescent="0.3">
      <c r="B816">
        <f>Feuille1!A825</f>
        <v>258</v>
      </c>
      <c r="C816">
        <f>Feuille1!B825</f>
        <v>-51164.773824691671</v>
      </c>
      <c r="D816">
        <f>Feuille1!C825</f>
        <v>-19779.790381185583</v>
      </c>
    </row>
    <row r="817" spans="2:4" x14ac:dyDescent="0.3">
      <c r="B817">
        <f>Feuille1!A826</f>
        <v>258.5</v>
      </c>
      <c r="C817">
        <f>Feuille1!B826</f>
        <v>-50971.613943253869</v>
      </c>
      <c r="D817">
        <f>Feuille1!C826</f>
        <v>-23416.340443147637</v>
      </c>
    </row>
    <row r="818" spans="2:4" x14ac:dyDescent="0.3">
      <c r="B818">
        <f>Feuille1!A827</f>
        <v>259</v>
      </c>
      <c r="C818">
        <f>Feuille1!B827</f>
        <v>-50123.021737498464</v>
      </c>
      <c r="D818">
        <f>Feuille1!C827</f>
        <v>-26933.843377992172</v>
      </c>
    </row>
    <row r="819" spans="2:4" x14ac:dyDescent="0.3">
      <c r="B819">
        <f>Feuille1!A828</f>
        <v>259.5</v>
      </c>
      <c r="C819">
        <f>Feuille1!B828</f>
        <v>-48606.85574357216</v>
      </c>
      <c r="D819">
        <f>Feuille1!C828</f>
        <v>-30312.312612604037</v>
      </c>
    </row>
    <row r="820" spans="2:4" x14ac:dyDescent="0.3">
      <c r="B820">
        <f>Feuille1!A829</f>
        <v>260</v>
      </c>
      <c r="C820">
        <f>Feuille1!B829</f>
        <v>-46397.828020918365</v>
      </c>
      <c r="D820">
        <f>Feuille1!C829</f>
        <v>-33525.646555615247</v>
      </c>
    </row>
    <row r="821" spans="2:4" x14ac:dyDescent="0.3">
      <c r="B821">
        <f>Feuille1!A830</f>
        <v>260.5</v>
      </c>
      <c r="C821">
        <f>Feuille1!B830</f>
        <v>-43453.952188295087</v>
      </c>
      <c r="D821">
        <f>Feuille1!C830</f>
        <v>-36538.960965374012</v>
      </c>
    </row>
    <row r="822" spans="2:4" x14ac:dyDescent="0.3">
      <c r="B822">
        <f>Feuille1!A831</f>
        <v>261</v>
      </c>
      <c r="C822">
        <f>Feuille1!B831</f>
        <v>-39710.052859105708</v>
      </c>
      <c r="D822">
        <f>Feuille1!C831</f>
        <v>-39303.29704396287</v>
      </c>
    </row>
    <row r="823" spans="2:4" x14ac:dyDescent="0.3">
      <c r="B823">
        <f>Feuille1!A832</f>
        <v>261.5</v>
      </c>
      <c r="C823">
        <f>Feuille1!B832</f>
        <v>-35066.086358280983</v>
      </c>
      <c r="D823">
        <f>Feuille1!C832</f>
        <v>-41744.846480826003</v>
      </c>
    </row>
    <row r="824" spans="2:4" x14ac:dyDescent="0.3">
      <c r="B824">
        <f>Feuille1!A833</f>
        <v>262</v>
      </c>
      <c r="C824">
        <f>Feuille1!B833</f>
        <v>-29365.654670164477</v>
      </c>
      <c r="D824">
        <f>Feuille1!C833</f>
        <v>-43740.971659839175</v>
      </c>
    </row>
    <row r="825" spans="2:4" x14ac:dyDescent="0.3">
      <c r="B825">
        <f>Feuille1!A834</f>
        <v>262.5</v>
      </c>
      <c r="C825">
        <f>Feuille1!B834</f>
        <v>-22356.480684974718</v>
      </c>
      <c r="D825">
        <f>Feuille1!C834</f>
        <v>-45059.37178911081</v>
      </c>
    </row>
    <row r="826" spans="2:4" x14ac:dyDescent="0.3">
      <c r="B826">
        <f>Feuille1!A835</f>
        <v>263</v>
      </c>
      <c r="C826">
        <f>Feuille1!B835</f>
        <v>-13636.477782991873</v>
      </c>
      <c r="D826">
        <f>Feuille1!C835</f>
        <v>-45176.741848987054</v>
      </c>
    </row>
    <row r="827" spans="2:4" x14ac:dyDescent="0.3">
      <c r="B827">
        <f>Feuille1!A836</f>
        <v>263.5</v>
      </c>
      <c r="C827">
        <f>Feuille1!B836</f>
        <v>-2891.9588278348383</v>
      </c>
      <c r="D827">
        <f>Feuille1!C836</f>
        <v>-42706.893312604319</v>
      </c>
    </row>
    <row r="828" spans="2:4" x14ac:dyDescent="0.3">
      <c r="B828">
        <f>Feuille1!A837</f>
        <v>264</v>
      </c>
      <c r="C828">
        <f>Feuille1!B837</f>
        <v>6845.216116716354</v>
      </c>
      <c r="D828">
        <f>Feuille1!C837</f>
        <v>-36055.441709925166</v>
      </c>
    </row>
    <row r="829" spans="2:4" x14ac:dyDescent="0.3">
      <c r="B829">
        <f>Feuille1!A838</f>
        <v>264.5</v>
      </c>
      <c r="C829">
        <f>Feuille1!B838</f>
        <v>13286.154322939909</v>
      </c>
      <c r="D829">
        <f>Feuille1!C838</f>
        <v>-28693.101165413595</v>
      </c>
    </row>
    <row r="830" spans="2:4" x14ac:dyDescent="0.3">
      <c r="B830">
        <f>Feuille1!A839</f>
        <v>265</v>
      </c>
      <c r="C830">
        <f>Feuille1!B839</f>
        <v>17843.518023196055</v>
      </c>
      <c r="D830">
        <f>Feuille1!C839</f>
        <v>-21442.611224934506</v>
      </c>
    </row>
    <row r="831" spans="2:4" x14ac:dyDescent="0.3">
      <c r="B831">
        <f>Feuille1!A840</f>
        <v>265.5</v>
      </c>
      <c r="C831">
        <f>Feuille1!B840</f>
        <v>21272.399985918717</v>
      </c>
      <c r="D831">
        <f>Feuille1!C840</f>
        <v>-14133.063095421205</v>
      </c>
    </row>
    <row r="832" spans="2:4" x14ac:dyDescent="0.3">
      <c r="B832">
        <f>Feuille1!A841</f>
        <v>266</v>
      </c>
      <c r="C832">
        <f>Feuille1!B841</f>
        <v>23891.211985465503</v>
      </c>
      <c r="D832">
        <f>Feuille1!C841</f>
        <v>-6424.6483790857201</v>
      </c>
    </row>
    <row r="833" spans="2:4" x14ac:dyDescent="0.3">
      <c r="B833">
        <f>Feuille1!A842</f>
        <v>266.5</v>
      </c>
      <c r="C833">
        <f>Feuille1!B842</f>
        <v>25752.745469729707</v>
      </c>
      <c r="D833">
        <f>Feuille1!C842</f>
        <v>2169.903810347846</v>
      </c>
    </row>
    <row r="834" spans="2:4" x14ac:dyDescent="0.3">
      <c r="B834">
        <f>Feuille1!A843</f>
        <v>267</v>
      </c>
      <c r="C834">
        <f>Feuille1!B843</f>
        <v>26516.818505071264</v>
      </c>
      <c r="D834">
        <f>Feuille1!C843</f>
        <v>12466.037441078168</v>
      </c>
    </row>
    <row r="835" spans="2:4" x14ac:dyDescent="0.3">
      <c r="B835">
        <f>Feuille1!A844</f>
        <v>267.5</v>
      </c>
      <c r="C835">
        <f>Feuille1!B844</f>
        <v>24455.193620038335</v>
      </c>
      <c r="D835">
        <f>Feuille1!C844</f>
        <v>25347.95864271907</v>
      </c>
    </row>
    <row r="836" spans="2:4" x14ac:dyDescent="0.3">
      <c r="B836">
        <f>Feuille1!A845</f>
        <v>268</v>
      </c>
      <c r="C836">
        <f>Feuille1!B845</f>
        <v>19462.261186022439</v>
      </c>
      <c r="D836">
        <f>Feuille1!C845</f>
        <v>34901.131143099417</v>
      </c>
    </row>
    <row r="837" spans="2:4" x14ac:dyDescent="0.3">
      <c r="B837">
        <f>Feuille1!A846</f>
        <v>268.5</v>
      </c>
      <c r="C837">
        <f>Feuille1!B846</f>
        <v>14237.902702107436</v>
      </c>
      <c r="D837">
        <f>Feuille1!C846</f>
        <v>41481.510069276694</v>
      </c>
    </row>
    <row r="838" spans="2:4" x14ac:dyDescent="0.3">
      <c r="B838">
        <f>Feuille1!A847</f>
        <v>269</v>
      </c>
      <c r="C838">
        <f>Feuille1!B847</f>
        <v>9127.1209028295289</v>
      </c>
      <c r="D838">
        <f>Feuille1!C847</f>
        <v>46186.515479083384</v>
      </c>
    </row>
    <row r="839" spans="2:4" x14ac:dyDescent="0.3">
      <c r="B839">
        <f>Feuille1!A848</f>
        <v>269.5</v>
      </c>
      <c r="C839">
        <f>Feuille1!B848</f>
        <v>4164.9738594583887</v>
      </c>
      <c r="D839">
        <f>Feuille1!C848</f>
        <v>49514.133437376375</v>
      </c>
    </row>
    <row r="840" spans="2:4" x14ac:dyDescent="0.3">
      <c r="B840">
        <f>Feuille1!A849</f>
        <v>270</v>
      </c>
      <c r="C840">
        <f>Feuille1!B849</f>
        <v>-643.0548244753187</v>
      </c>
      <c r="D840">
        <f>Feuille1!C849</f>
        <v>51709.668275076037</v>
      </c>
    </row>
    <row r="841" spans="2:4" x14ac:dyDescent="0.3">
      <c r="B841">
        <f>Feuille1!A850</f>
        <v>270.5</v>
      </c>
      <c r="C841">
        <f>Feuille1!B850</f>
        <v>-5286.3863514430259</v>
      </c>
      <c r="D841">
        <f>Feuille1!C850</f>
        <v>52905.41530512421</v>
      </c>
    </row>
    <row r="842" spans="2:4" x14ac:dyDescent="0.3">
      <c r="B842">
        <f>Feuille1!A851</f>
        <v>271</v>
      </c>
      <c r="C842">
        <f>Feuille1!B851</f>
        <v>-9745.580601987047</v>
      </c>
      <c r="D842">
        <f>Feuille1!C851</f>
        <v>53174.715825075327</v>
      </c>
    </row>
    <row r="843" spans="2:4" x14ac:dyDescent="0.3">
      <c r="B843">
        <f>Feuille1!A852</f>
        <v>271.5</v>
      </c>
      <c r="C843">
        <f>Feuille1!B852</f>
        <v>-13992.115579574098</v>
      </c>
      <c r="D843">
        <f>Feuille1!C852</f>
        <v>52554.500128419924</v>
      </c>
    </row>
    <row r="844" spans="2:4" x14ac:dyDescent="0.3">
      <c r="B844">
        <f>Feuille1!A853</f>
        <v>272</v>
      </c>
      <c r="C844">
        <f>Feuille1!B853</f>
        <v>-17987.120605995813</v>
      </c>
      <c r="D844">
        <f>Feuille1!C853</f>
        <v>51054.500675770993</v>
      </c>
    </row>
    <row r="845" spans="2:4" x14ac:dyDescent="0.3">
      <c r="B845">
        <f>Feuille1!A854</f>
        <v>272.5</v>
      </c>
      <c r="C845">
        <f>Feuille1!B854</f>
        <v>-21677.596373462791</v>
      </c>
      <c r="D845">
        <f>Feuille1!C854</f>
        <v>48659.526648965999</v>
      </c>
    </row>
    <row r="846" spans="2:4" x14ac:dyDescent="0.3">
      <c r="B846">
        <f>Feuille1!A855</f>
        <v>273</v>
      </c>
      <c r="C846">
        <f>Feuille1!B855</f>
        <v>-24988.105706652925</v>
      </c>
      <c r="D846">
        <f>Feuille1!C855</f>
        <v>45326.807246507728</v>
      </c>
    </row>
    <row r="847" spans="2:4" x14ac:dyDescent="0.3">
      <c r="B847">
        <f>Feuille1!A856</f>
        <v>273.5</v>
      </c>
      <c r="C847">
        <f>Feuille1!B856</f>
        <v>-27803.035648419882</v>
      </c>
      <c r="D847">
        <f>Feuille1!C856</f>
        <v>40978.565000874099</v>
      </c>
    </row>
    <row r="848" spans="2:4" x14ac:dyDescent="0.3">
      <c r="B848">
        <f>Feuille1!A857</f>
        <v>274</v>
      </c>
      <c r="C848">
        <f>Feuille1!B857</f>
        <v>-29926.361662497922</v>
      </c>
      <c r="D848">
        <f>Feuille1!C857</f>
        <v>35490.80449129131</v>
      </c>
    </row>
    <row r="849" spans="2:4" x14ac:dyDescent="0.3">
      <c r="B849">
        <f>Feuille1!A858</f>
        <v>274.5</v>
      </c>
      <c r="C849">
        <f>Feuille1!B858</f>
        <v>-30982.987601620771</v>
      </c>
      <c r="D849">
        <f>Feuille1!C858</f>
        <v>28694.913091017806</v>
      </c>
    </row>
    <row r="850" spans="2:4" x14ac:dyDescent="0.3">
      <c r="B850">
        <f>Feuille1!A859</f>
        <v>275</v>
      </c>
      <c r="C850">
        <f>Feuille1!B859</f>
        <v>-30190.580313816336</v>
      </c>
      <c r="D850">
        <f>Feuille1!C859</f>
        <v>20527.616830520667</v>
      </c>
    </row>
    <row r="851" spans="2:4" x14ac:dyDescent="0.3">
      <c r="B851">
        <f>Feuille1!A860</f>
        <v>275.5</v>
      </c>
      <c r="C851">
        <f>Feuille1!B860</f>
        <v>-26387.924310956827</v>
      </c>
      <c r="D851">
        <f>Feuille1!C860</f>
        <v>11979.939623294324</v>
      </c>
    </row>
    <row r="852" spans="2:4" x14ac:dyDescent="0.3">
      <c r="B852">
        <f>Feuille1!A861</f>
        <v>276</v>
      </c>
      <c r="C852">
        <f>Feuille1!B861</f>
        <v>-20438.209547612612</v>
      </c>
      <c r="D852">
        <f>Feuille1!C861</f>
        <v>5124.1970997810804</v>
      </c>
    </row>
    <row r="853" spans="2:4" x14ac:dyDescent="0.3">
      <c r="B853">
        <f>Feuille1!A862</f>
        <v>276.5</v>
      </c>
      <c r="C853">
        <f>Feuille1!B862</f>
        <v>-13762.476336441974</v>
      </c>
      <c r="D853">
        <f>Feuille1!C862</f>
        <v>-386.61569283295194</v>
      </c>
    </row>
    <row r="854" spans="2:4" x14ac:dyDescent="0.3">
      <c r="B854">
        <f>Feuille1!A863</f>
        <v>277</v>
      </c>
      <c r="C854">
        <f>Feuille1!B863</f>
        <v>-6665.1090379787765</v>
      </c>
      <c r="D854">
        <f>Feuille1!C863</f>
        <v>-5365.7596921099775</v>
      </c>
    </row>
    <row r="855" spans="2:4" x14ac:dyDescent="0.3">
      <c r="B855">
        <f>Feuille1!A864</f>
        <v>277.5</v>
      </c>
      <c r="C855">
        <f>Feuille1!B864</f>
        <v>720.97061163005355</v>
      </c>
      <c r="D855">
        <f>Feuille1!C864</f>
        <v>-10359.714845547256</v>
      </c>
    </row>
    <row r="856" spans="2:4" x14ac:dyDescent="0.3">
      <c r="B856">
        <f>Feuille1!A865</f>
        <v>278</v>
      </c>
      <c r="C856">
        <f>Feuille1!B865</f>
        <v>7988.8056636811107</v>
      </c>
      <c r="D856">
        <f>Feuille1!C865</f>
        <v>-15718.779224074715</v>
      </c>
    </row>
    <row r="857" spans="2:4" x14ac:dyDescent="0.3">
      <c r="B857">
        <f>Feuille1!A866</f>
        <v>278.5</v>
      </c>
      <c r="C857">
        <f>Feuille1!B866</f>
        <v>14476.320782276473</v>
      </c>
      <c r="D857">
        <f>Feuille1!C866</f>
        <v>-21496.654707930531</v>
      </c>
    </row>
    <row r="858" spans="2:4" x14ac:dyDescent="0.3">
      <c r="B858">
        <f>Feuille1!A867</f>
        <v>279</v>
      </c>
      <c r="C858">
        <f>Feuille1!B867</f>
        <v>19724.114584343766</v>
      </c>
      <c r="D858">
        <f>Feuille1!C867</f>
        <v>-27423.197318388658</v>
      </c>
    </row>
    <row r="859" spans="2:4" x14ac:dyDescent="0.3">
      <c r="B859">
        <f>Feuille1!A868</f>
        <v>279.5</v>
      </c>
      <c r="C859">
        <f>Feuille1!B868</f>
        <v>23671.841873464091</v>
      </c>
      <c r="D859">
        <f>Feuille1!C868</f>
        <v>-33181.074294414902</v>
      </c>
    </row>
    <row r="860" spans="2:4" x14ac:dyDescent="0.3">
      <c r="B860">
        <f>Feuille1!A869</f>
        <v>280</v>
      </c>
      <c r="C860">
        <f>Feuille1!B869</f>
        <v>26458.445932259605</v>
      </c>
      <c r="D860">
        <f>Feuille1!C869</f>
        <v>-38571.810432611426</v>
      </c>
    </row>
    <row r="861" spans="2:4" x14ac:dyDescent="0.3">
      <c r="B861">
        <f>Feuille1!A870</f>
        <v>280.5</v>
      </c>
      <c r="C861">
        <f>Feuille1!B870</f>
        <v>28254.728490413967</v>
      </c>
      <c r="D861">
        <f>Feuille1!C870</f>
        <v>-43499.204083190787</v>
      </c>
    </row>
    <row r="862" spans="2:4" x14ac:dyDescent="0.3">
      <c r="B862">
        <f>Feuille1!A871</f>
        <v>281</v>
      </c>
      <c r="C862">
        <f>Feuille1!B871</f>
        <v>29206.886522029305</v>
      </c>
      <c r="D862">
        <f>Feuille1!C871</f>
        <v>-47921.42588965052</v>
      </c>
    </row>
    <row r="863" spans="2:4" x14ac:dyDescent="0.3">
      <c r="B863">
        <f>Feuille1!A872</f>
        <v>281.5</v>
      </c>
      <c r="C863">
        <f>Feuille1!B872</f>
        <v>29428.380868412598</v>
      </c>
      <c r="D863">
        <f>Feuille1!C872</f>
        <v>-51820.366482735466</v>
      </c>
    </row>
    <row r="864" spans="2:4" x14ac:dyDescent="0.3">
      <c r="B864">
        <f>Feuille1!A873</f>
        <v>282</v>
      </c>
      <c r="C864">
        <f>Feuille1!B873</f>
        <v>29004.600746480297</v>
      </c>
      <c r="D864">
        <f>Feuille1!C873</f>
        <v>-55185.947362550891</v>
      </c>
    </row>
    <row r="865" spans="2:4" x14ac:dyDescent="0.3">
      <c r="B865">
        <f>Feuille1!A874</f>
        <v>282.5</v>
      </c>
      <c r="C865">
        <f>Feuille1!B874</f>
        <v>27999.028489374676</v>
      </c>
      <c r="D865">
        <f>Feuille1!C874</f>
        <v>-58008.24586962485</v>
      </c>
    </row>
    <row r="866" spans="2:4" x14ac:dyDescent="0.3">
      <c r="B866">
        <f>Feuille1!A875</f>
        <v>283</v>
      </c>
      <c r="C866">
        <f>Feuille1!B875</f>
        <v>26458.237790170231</v>
      </c>
      <c r="D866">
        <f>Feuille1!C875</f>
        <v>-60273.105234219503</v>
      </c>
    </row>
    <row r="867" spans="2:4" x14ac:dyDescent="0.3">
      <c r="B867">
        <f>Feuille1!A876</f>
        <v>283.5</v>
      </c>
      <c r="C867">
        <f>Feuille1!B876</f>
        <v>24415.441413960973</v>
      </c>
      <c r="D867">
        <f>Feuille1!C876</f>
        <v>-61958.987174924252</v>
      </c>
    </row>
    <row r="868" spans="2:4" x14ac:dyDescent="0.3">
      <c r="B868">
        <f>Feuille1!A877</f>
        <v>284</v>
      </c>
      <c r="C868">
        <f>Feuille1!B877</f>
        <v>21892.820145210815</v>
      </c>
      <c r="D868">
        <f>Feuille1!C877</f>
        <v>-63033.778762608374</v>
      </c>
    </row>
    <row r="869" spans="2:4" x14ac:dyDescent="0.3">
      <c r="B869">
        <f>Feuille1!A878</f>
        <v>284.5</v>
      </c>
      <c r="C869">
        <f>Feuille1!B878</f>
        <v>18902.899879769648</v>
      </c>
      <c r="D869">
        <f>Feuille1!C878</f>
        <v>-63450.500810491409</v>
      </c>
    </row>
    <row r="870" spans="2:4" x14ac:dyDescent="0.3">
      <c r="B870">
        <f>Feuille1!A879</f>
        <v>285</v>
      </c>
      <c r="C870">
        <f>Feuille1!B879</f>
        <v>15449.208849791012</v>
      </c>
      <c r="D870">
        <f>Feuille1!C879</f>
        <v>-63140.531667141855</v>
      </c>
    </row>
    <row r="871" spans="2:4" x14ac:dyDescent="0.3">
      <c r="B871">
        <f>Feuille1!A880</f>
        <v>285.5</v>
      </c>
      <c r="C871">
        <f>Feuille1!B880</f>
        <v>11526.53942683206</v>
      </c>
      <c r="D871">
        <f>Feuille1!C880</f>
        <v>-62001.800868499005</v>
      </c>
    </row>
    <row r="872" spans="2:4" x14ac:dyDescent="0.3">
      <c r="B872">
        <f>Feuille1!A881</f>
        <v>286</v>
      </c>
      <c r="C872">
        <f>Feuille1!B881</f>
        <v>7121.8031241227718</v>
      </c>
      <c r="D872">
        <f>Feuille1!C881</f>
        <v>-59876.367242159751</v>
      </c>
    </row>
    <row r="873" spans="2:4" x14ac:dyDescent="0.3">
      <c r="B873">
        <f>Feuille1!A882</f>
        <v>286.5</v>
      </c>
      <c r="C873">
        <f>Feuille1!B882</f>
        <v>2219.7549377292085</v>
      </c>
      <c r="D873">
        <f>Feuille1!C882</f>
        <v>-56503.544340797642</v>
      </c>
    </row>
    <row r="874" spans="2:4" x14ac:dyDescent="0.3">
      <c r="B874">
        <f>Feuille1!A883</f>
        <v>287</v>
      </c>
      <c r="C874">
        <f>Feuille1!B883</f>
        <v>-3164.2863404140789</v>
      </c>
      <c r="D874">
        <f>Feuille1!C883</f>
        <v>-51411.219273267612</v>
      </c>
    </row>
    <row r="875" spans="2:4" x14ac:dyDescent="0.3">
      <c r="B875">
        <f>Feuille1!A884</f>
        <v>287.5</v>
      </c>
      <c r="C875">
        <f>Feuille1!B884</f>
        <v>-8782.1216010416902</v>
      </c>
      <c r="D875">
        <f>Feuille1!C884</f>
        <v>-43662.971157261076</v>
      </c>
    </row>
    <row r="876" spans="2:4" x14ac:dyDescent="0.3">
      <c r="B876">
        <f>Feuille1!A885</f>
        <v>288</v>
      </c>
      <c r="C876">
        <f>Feuille1!B885</f>
        <v>-12815.930897340244</v>
      </c>
      <c r="D876">
        <f>Feuille1!C885</f>
        <v>-32119.881880445158</v>
      </c>
    </row>
    <row r="877" spans="2:4" x14ac:dyDescent="0.3">
      <c r="B877">
        <f>Feuille1!A886</f>
        <v>288.5</v>
      </c>
      <c r="C877">
        <f>Feuille1!B886</f>
        <v>-13021.041943952692</v>
      </c>
      <c r="D877">
        <f>Feuille1!C886</f>
        <v>-21534.851057070413</v>
      </c>
    </row>
    <row r="878" spans="2:4" x14ac:dyDescent="0.3">
      <c r="B878">
        <f>Feuille1!A887</f>
        <v>289</v>
      </c>
      <c r="C878">
        <f>Feuille1!B887</f>
        <v>-11746.8874813005</v>
      </c>
      <c r="D878">
        <f>Feuille1!C887</f>
        <v>-12585.151886027732</v>
      </c>
    </row>
    <row r="879" spans="2:4" x14ac:dyDescent="0.3">
      <c r="B879">
        <f>Feuille1!A888</f>
        <v>289.5</v>
      </c>
      <c r="C879">
        <f>Feuille1!B888</f>
        <v>-9822.6638986097933</v>
      </c>
      <c r="D879">
        <f>Feuille1!C888</f>
        <v>-4297.4655318163504</v>
      </c>
    </row>
    <row r="880" spans="2:4" x14ac:dyDescent="0.3">
      <c r="B880">
        <f>Feuille1!A889</f>
        <v>290</v>
      </c>
      <c r="C880">
        <f>Feuille1!B889</f>
        <v>-7517.4382347103374</v>
      </c>
      <c r="D880">
        <f>Feuille1!C889</f>
        <v>4095.8647537049019</v>
      </c>
    </row>
    <row r="881" spans="2:4" x14ac:dyDescent="0.3">
      <c r="B881">
        <f>Feuille1!A890</f>
        <v>290.5</v>
      </c>
      <c r="C881">
        <f>Feuille1!B890</f>
        <v>-5044.3821763711157</v>
      </c>
      <c r="D881">
        <f>Feuille1!C890</f>
        <v>13149.653928974316</v>
      </c>
    </row>
    <row r="882" spans="2:4" x14ac:dyDescent="0.3">
      <c r="B882">
        <f>Feuille1!A891</f>
        <v>291</v>
      </c>
      <c r="C882">
        <f>Feuille1!B891</f>
        <v>-2663.4829835747851</v>
      </c>
      <c r="D882">
        <f>Feuille1!C891</f>
        <v>22712.626751938078</v>
      </c>
    </row>
    <row r="883" spans="2:4" x14ac:dyDescent="0.3">
      <c r="B883">
        <f>Feuille1!A892</f>
        <v>291.5</v>
      </c>
      <c r="C883">
        <f>Feuille1!B892</f>
        <v>-57.059722298663189</v>
      </c>
      <c r="D883">
        <f>Feuille1!C892</f>
        <v>31589.21306992989</v>
      </c>
    </row>
    <row r="884" spans="2:4" x14ac:dyDescent="0.3">
      <c r="B884">
        <f>Feuille1!A893</f>
        <v>292</v>
      </c>
      <c r="C884">
        <f>Feuille1!B893</f>
        <v>3105.3962651126112</v>
      </c>
      <c r="D884">
        <f>Feuille1!C893</f>
        <v>39056.621965718383</v>
      </c>
    </row>
    <row r="885" spans="2:4" x14ac:dyDescent="0.3">
      <c r="B885">
        <f>Feuille1!A894</f>
        <v>292.5</v>
      </c>
      <c r="C885">
        <f>Feuille1!B894</f>
        <v>6695.8428992772242</v>
      </c>
      <c r="D885">
        <f>Feuille1!C894</f>
        <v>45024.111611468441</v>
      </c>
    </row>
    <row r="886" spans="2:4" x14ac:dyDescent="0.3">
      <c r="B886">
        <f>Feuille1!A895</f>
        <v>293</v>
      </c>
      <c r="C886">
        <f>Feuille1!B895</f>
        <v>10504.509415787681</v>
      </c>
      <c r="D886">
        <f>Feuille1!C895</f>
        <v>49615.998982869831</v>
      </c>
    </row>
    <row r="887" spans="2:4" x14ac:dyDescent="0.3">
      <c r="B887">
        <f>Feuille1!A896</f>
        <v>293.5</v>
      </c>
      <c r="C887">
        <f>Feuille1!B896</f>
        <v>14371.378430164237</v>
      </c>
      <c r="D887">
        <f>Feuille1!C896</f>
        <v>52985.869496864725</v>
      </c>
    </row>
    <row r="888" spans="2:4" x14ac:dyDescent="0.3">
      <c r="B888">
        <f>Feuille1!A897</f>
        <v>294</v>
      </c>
      <c r="C888">
        <f>Feuille1!B897</f>
        <v>18185.884869419027</v>
      </c>
      <c r="D888">
        <f>Feuille1!C897</f>
        <v>55264.263638734359</v>
      </c>
    </row>
    <row r="889" spans="2:4" x14ac:dyDescent="0.3">
      <c r="B889">
        <f>Feuille1!A898</f>
        <v>294.5</v>
      </c>
      <c r="C889">
        <f>Feuille1!B898</f>
        <v>21868.575903852998</v>
      </c>
      <c r="D889">
        <f>Feuille1!C898</f>
        <v>56550.769851693047</v>
      </c>
    </row>
    <row r="890" spans="2:4" x14ac:dyDescent="0.3">
      <c r="B890">
        <f>Feuille1!A899</f>
        <v>295</v>
      </c>
      <c r="C890">
        <f>Feuille1!B899</f>
        <v>25356.771316450329</v>
      </c>
      <c r="D890">
        <f>Feuille1!C899</f>
        <v>56917.140944914245</v>
      </c>
    </row>
    <row r="891" spans="2:4" x14ac:dyDescent="0.3">
      <c r="B891">
        <f>Feuille1!A900</f>
        <v>295.5</v>
      </c>
      <c r="C891">
        <f>Feuille1!B900</f>
        <v>28594.843526255423</v>
      </c>
      <c r="D891">
        <f>Feuille1!C900</f>
        <v>56411.715668255296</v>
      </c>
    </row>
    <row r="892" spans="2:4" x14ac:dyDescent="0.3">
      <c r="B892">
        <f>Feuille1!A901</f>
        <v>296</v>
      </c>
      <c r="C892">
        <f>Feuille1!B901</f>
        <v>31527.045369471358</v>
      </c>
      <c r="D892">
        <f>Feuille1!C901</f>
        <v>55062.751459711413</v>
      </c>
    </row>
    <row r="893" spans="2:4" x14ac:dyDescent="0.3">
      <c r="B893">
        <f>Feuille1!A902</f>
        <v>296.5</v>
      </c>
      <c r="C893">
        <f>Feuille1!B902</f>
        <v>34091.003886431572</v>
      </c>
      <c r="D893">
        <f>Feuille1!C902</f>
        <v>52880.237432179696</v>
      </c>
    </row>
    <row r="894" spans="2:4" x14ac:dyDescent="0.3">
      <c r="B894">
        <f>Feuille1!A903</f>
        <v>297</v>
      </c>
      <c r="C894">
        <f>Feuille1!B903</f>
        <v>36210.091379444326</v>
      </c>
      <c r="D894">
        <f>Feuille1!C903</f>
        <v>49856.182521159542</v>
      </c>
    </row>
    <row r="895" spans="2:4" x14ac:dyDescent="0.3">
      <c r="B895">
        <f>Feuille1!A904</f>
        <v>297.5</v>
      </c>
      <c r="C895">
        <f>Feuille1!B904</f>
        <v>37782.256945410903</v>
      </c>
      <c r="D895">
        <f>Feuille1!C904</f>
        <v>45963.45110679372</v>
      </c>
    </row>
    <row r="896" spans="2:4" x14ac:dyDescent="0.3">
      <c r="B896">
        <f>Feuille1!A905</f>
        <v>298</v>
      </c>
      <c r="C896">
        <f>Feuille1!B905</f>
        <v>38660.852574164936</v>
      </c>
      <c r="D896">
        <f>Feuille1!C905</f>
        <v>41153.565163081184</v>
      </c>
    </row>
    <row r="897" spans="2:4" x14ac:dyDescent="0.3">
      <c r="B897">
        <f>Feuille1!A906</f>
        <v>298.5</v>
      </c>
      <c r="C897">
        <f>Feuille1!B906</f>
        <v>38617.599710942486</v>
      </c>
      <c r="D897">
        <f>Feuille1!C906</f>
        <v>35356.04067466563</v>
      </c>
    </row>
    <row r="898" spans="2:4" x14ac:dyDescent="0.3">
      <c r="B898">
        <f>Feuille1!A907</f>
        <v>299</v>
      </c>
      <c r="C898">
        <f>Feuille1!B907</f>
        <v>37264.280993229026</v>
      </c>
      <c r="D898">
        <f>Feuille1!C907</f>
        <v>28493.322292715467</v>
      </c>
    </row>
    <row r="899" spans="2:4" x14ac:dyDescent="0.3">
      <c r="B899">
        <f>Feuille1!A908</f>
        <v>299.5</v>
      </c>
      <c r="C899">
        <f>Feuille1!B908</f>
        <v>33886.683623615943</v>
      </c>
      <c r="D899">
        <f>Feuille1!C908</f>
        <v>20589.373457340906</v>
      </c>
    </row>
    <row r="900" spans="2:4" x14ac:dyDescent="0.3">
      <c r="B900">
        <f>Feuille1!A909</f>
        <v>300</v>
      </c>
      <c r="C900">
        <f>Feuille1!B909</f>
        <v>27307.388663750324</v>
      </c>
      <c r="D900">
        <f>Feuille1!C909</f>
        <v>12379.998861111349</v>
      </c>
    </row>
    <row r="901" spans="2:4" x14ac:dyDescent="0.3">
      <c r="B901">
        <f>Feuille1!A910</f>
        <v>300.5</v>
      </c>
      <c r="C901">
        <f>Feuille1!B910</f>
        <v>17846.830853317228</v>
      </c>
      <c r="D901">
        <f>Feuille1!C910</f>
        <v>6549.7107391741883</v>
      </c>
    </row>
    <row r="902" spans="2:4" x14ac:dyDescent="0.3">
      <c r="B902">
        <f>Feuille1!A911</f>
        <v>301</v>
      </c>
      <c r="C902">
        <f>Feuille1!B911</f>
        <v>8347.9289962564308</v>
      </c>
      <c r="D902">
        <f>Feuille1!C911</f>
        <v>3361.1386820475859</v>
      </c>
    </row>
    <row r="903" spans="2:4" x14ac:dyDescent="0.3">
      <c r="B903">
        <f>Feuille1!A912</f>
        <v>301.5</v>
      </c>
      <c r="C903">
        <f>Feuille1!B912</f>
        <v>-683.20216404198743</v>
      </c>
      <c r="D903">
        <f>Feuille1!C912</f>
        <v>1355.3918470658175</v>
      </c>
    </row>
    <row r="904" spans="2:4" x14ac:dyDescent="0.3">
      <c r="B904">
        <f>Feuille1!A913</f>
        <v>302</v>
      </c>
      <c r="C904">
        <f>Feuille1!B913</f>
        <v>-9431.919081484788</v>
      </c>
      <c r="D904">
        <f>Feuille1!C913</f>
        <v>-138.28508679074855</v>
      </c>
    </row>
    <row r="905" spans="2:4" x14ac:dyDescent="0.3">
      <c r="B905">
        <f>Feuille1!A914</f>
        <v>302.5</v>
      </c>
      <c r="C905">
        <f>Feuille1!B914</f>
        <v>-17883.225619445548</v>
      </c>
      <c r="D905">
        <f>Feuille1!C914</f>
        <v>-1194.8090450515328</v>
      </c>
    </row>
    <row r="906" spans="2:4" x14ac:dyDescent="0.3">
      <c r="B906">
        <f>Feuille1!A915</f>
        <v>303</v>
      </c>
      <c r="C906">
        <f>Feuille1!B915</f>
        <v>-25726.941740999246</v>
      </c>
      <c r="D906">
        <f>Feuille1!C915</f>
        <v>-1705.0076330928414</v>
      </c>
    </row>
    <row r="907" spans="2:4" x14ac:dyDescent="0.3">
      <c r="B907">
        <f>Feuille1!A916</f>
        <v>303.5</v>
      </c>
      <c r="C907">
        <f>Feuille1!B916</f>
        <v>-32667.772571100795</v>
      </c>
      <c r="D907">
        <f>Feuille1!C916</f>
        <v>-1715.6887081083185</v>
      </c>
    </row>
    <row r="908" spans="2:4" x14ac:dyDescent="0.3">
      <c r="B908">
        <f>Feuille1!A917</f>
        <v>304</v>
      </c>
      <c r="C908">
        <f>Feuille1!B917</f>
        <v>-38623.189897285549</v>
      </c>
      <c r="D908">
        <f>Feuille1!C917</f>
        <v>-1372.4210074593746</v>
      </c>
    </row>
    <row r="909" spans="2:4" x14ac:dyDescent="0.3">
      <c r="B909">
        <f>Feuille1!A918</f>
        <v>304.5</v>
      </c>
      <c r="C909">
        <f>Feuille1!B918</f>
        <v>-43637.766803885919</v>
      </c>
      <c r="D909">
        <f>Feuille1!C918</f>
        <v>-798.95573888543481</v>
      </c>
    </row>
    <row r="910" spans="2:4" x14ac:dyDescent="0.3">
      <c r="B910">
        <f>Feuille1!A919</f>
        <v>305</v>
      </c>
      <c r="C910">
        <f>Feuille1!B919</f>
        <v>-47789.180252805723</v>
      </c>
      <c r="D910">
        <f>Feuille1!C919</f>
        <v>-76.656265783240372</v>
      </c>
    </row>
    <row r="911" spans="2:4" x14ac:dyDescent="0.3">
      <c r="B911">
        <f>Feuille1!A920</f>
        <v>305.5</v>
      </c>
      <c r="C911">
        <f>Feuille1!B920</f>
        <v>-51150.698457350969</v>
      </c>
      <c r="D911">
        <f>Feuille1!C920</f>
        <v>743.31698375673352</v>
      </c>
    </row>
    <row r="912" spans="2:4" x14ac:dyDescent="0.3">
      <c r="B912">
        <f>Feuille1!A921</f>
        <v>306</v>
      </c>
      <c r="C912">
        <f>Feuille1!B921</f>
        <v>-53781.457310650949</v>
      </c>
      <c r="D912">
        <f>Feuille1!C921</f>
        <v>1628.103876199149</v>
      </c>
    </row>
    <row r="913" spans="2:4" x14ac:dyDescent="0.3">
      <c r="B913">
        <f>Feuille1!A922</f>
        <v>306.5</v>
      </c>
      <c r="C913">
        <f>Feuille1!B922</f>
        <v>-55725.7341923684</v>
      </c>
      <c r="D913">
        <f>Feuille1!C922</f>
        <v>2555.7299349134196</v>
      </c>
    </row>
    <row r="914" spans="2:4" x14ac:dyDescent="0.3">
      <c r="B914">
        <f>Feuille1!A923</f>
        <v>307</v>
      </c>
      <c r="C914">
        <f>Feuille1!B923</f>
        <v>-57014.374543250495</v>
      </c>
      <c r="D914">
        <f>Feuille1!C923</f>
        <v>3510.8566681942248</v>
      </c>
    </row>
    <row r="915" spans="2:4" x14ac:dyDescent="0.3">
      <c r="B915">
        <f>Feuille1!A924</f>
        <v>307.5</v>
      </c>
      <c r="C915">
        <f>Feuille1!B924</f>
        <v>-57666.249476845107</v>
      </c>
      <c r="D915">
        <f>Feuille1!C924</f>
        <v>4482.3652308506043</v>
      </c>
    </row>
    <row r="916" spans="2:4" x14ac:dyDescent="0.3">
      <c r="B916">
        <f>Feuille1!A925</f>
        <v>308</v>
      </c>
      <c r="C916">
        <f>Feuille1!B925</f>
        <v>-57689.132140557296</v>
      </c>
      <c r="D916">
        <f>Feuille1!C925</f>
        <v>5461.9891003127286</v>
      </c>
    </row>
    <row r="917" spans="2:4" x14ac:dyDescent="0.3">
      <c r="B917">
        <f>Feuille1!A926</f>
        <v>308.5</v>
      </c>
      <c r="C917">
        <f>Feuille1!B926</f>
        <v>-57079.784665043087</v>
      </c>
      <c r="D917">
        <f>Feuille1!C926</f>
        <v>6443.5950597561396</v>
      </c>
    </row>
    <row r="918" spans="2:4" x14ac:dyDescent="0.3">
      <c r="B918">
        <f>Feuille1!A927</f>
        <v>309</v>
      </c>
      <c r="C918">
        <f>Feuille1!B927</f>
        <v>-55823.063653452649</v>
      </c>
      <c r="D918">
        <f>Feuille1!C927</f>
        <v>7422.9517318766793</v>
      </c>
    </row>
    <row r="919" spans="2:4" x14ac:dyDescent="0.3">
      <c r="B919">
        <f>Feuille1!A928</f>
        <v>309.5</v>
      </c>
      <c r="C919">
        <f>Feuille1!B928</f>
        <v>-53889.664998975364</v>
      </c>
      <c r="D919">
        <f>Feuille1!C928</f>
        <v>8398.0179878642757</v>
      </c>
    </row>
    <row r="920" spans="2:4" x14ac:dyDescent="0.3">
      <c r="B920">
        <f>Feuille1!A929</f>
        <v>310</v>
      </c>
      <c r="C920">
        <f>Feuille1!B929</f>
        <v>-51231.683955888984</v>
      </c>
      <c r="D920">
        <f>Feuille1!C929</f>
        <v>9370.0478730451359</v>
      </c>
    </row>
    <row r="921" spans="2:4" x14ac:dyDescent="0.3">
      <c r="B921">
        <f>Feuille1!A930</f>
        <v>310.5</v>
      </c>
      <c r="C921">
        <f>Feuille1!B930</f>
        <v>-47774.14298776762</v>
      </c>
      <c r="D921">
        <f>Feuille1!C930</f>
        <v>10346.385471196763</v>
      </c>
    </row>
    <row r="922" spans="2:4" x14ac:dyDescent="0.3">
      <c r="B922">
        <f>Feuille1!A931</f>
        <v>311</v>
      </c>
      <c r="C922">
        <f>Feuille1!B931</f>
        <v>-43398.024748428172</v>
      </c>
      <c r="D922">
        <f>Feuille1!C931</f>
        <v>11347.462422498313</v>
      </c>
    </row>
    <row r="923" spans="2:4" x14ac:dyDescent="0.3">
      <c r="B923">
        <f>Feuille1!A932</f>
        <v>311.5</v>
      </c>
      <c r="C923">
        <f>Feuille1!B932</f>
        <v>-37902.732463616288</v>
      </c>
      <c r="D923">
        <f>Feuille1!C932</f>
        <v>12426.209505322813</v>
      </c>
    </row>
    <row r="924" spans="2:4" x14ac:dyDescent="0.3">
      <c r="B924">
        <f>Feuille1!A933</f>
        <v>312</v>
      </c>
      <c r="C924">
        <f>Feuille1!B933</f>
        <v>-30911.062958938586</v>
      </c>
      <c r="D924">
        <f>Feuille1!C933</f>
        <v>13733.250480018454</v>
      </c>
    </row>
    <row r="925" spans="2:4" x14ac:dyDescent="0.3">
      <c r="B925">
        <f>Feuille1!A934</f>
        <v>312.5</v>
      </c>
      <c r="C925">
        <f>Feuille1!B934</f>
        <v>-21627.361011218571</v>
      </c>
      <c r="D925">
        <f>Feuille1!C934</f>
        <v>15810.691291466035</v>
      </c>
    </row>
    <row r="926" spans="2:4" x14ac:dyDescent="0.3">
      <c r="B926">
        <f>Feuille1!A935</f>
        <v>313</v>
      </c>
      <c r="C926">
        <f>Feuille1!B935</f>
        <v>-10558.433957566293</v>
      </c>
      <c r="D926">
        <f>Feuille1!C935</f>
        <v>20519.798827115876</v>
      </c>
    </row>
    <row r="927" spans="2:4" x14ac:dyDescent="0.3">
      <c r="B927">
        <f>Feuille1!A936</f>
        <v>313.5</v>
      </c>
      <c r="C927">
        <f>Feuille1!B936</f>
        <v>-1159.3063350099192</v>
      </c>
      <c r="D927">
        <f>Feuille1!C936</f>
        <v>24746.684259043002</v>
      </c>
    </row>
    <row r="928" spans="2:4" x14ac:dyDescent="0.3">
      <c r="B928">
        <f>Feuille1!A937</f>
        <v>314</v>
      </c>
      <c r="C928">
        <f>Feuille1!B937</f>
        <v>8760.0975582920819</v>
      </c>
      <c r="D928">
        <f>Feuille1!C937</f>
        <v>28054.441277846254</v>
      </c>
    </row>
    <row r="929" spans="2:4" x14ac:dyDescent="0.3">
      <c r="B929">
        <f>Feuille1!A938</f>
        <v>314.5</v>
      </c>
      <c r="C929">
        <f>Feuille1!B938</f>
        <v>20474.660742443579</v>
      </c>
      <c r="D929">
        <f>Feuille1!C938</f>
        <v>29281.766772269119</v>
      </c>
    </row>
    <row r="930" spans="2:4" x14ac:dyDescent="0.3">
      <c r="B930">
        <f>Feuille1!A939</f>
        <v>315</v>
      </c>
      <c r="C930">
        <f>Feuille1!B939</f>
        <v>31628.692996362985</v>
      </c>
      <c r="D930">
        <f>Feuille1!C939</f>
        <v>26425.811233955152</v>
      </c>
    </row>
    <row r="931" spans="2:4" x14ac:dyDescent="0.3">
      <c r="B931">
        <f>Feuille1!A940</f>
        <v>315.5</v>
      </c>
      <c r="C931">
        <f>Feuille1!B940</f>
        <v>39842.724388554736</v>
      </c>
      <c r="D931">
        <f>Feuille1!C940</f>
        <v>21911.987556417524</v>
      </c>
    </row>
    <row r="932" spans="2:4" x14ac:dyDescent="0.3">
      <c r="B932">
        <f>Feuille1!A941</f>
        <v>316</v>
      </c>
      <c r="C932">
        <f>Feuille1!B941</f>
        <v>45917.970047873117</v>
      </c>
      <c r="D932">
        <f>Feuille1!C941</f>
        <v>17060.708942338057</v>
      </c>
    </row>
    <row r="933" spans="2:4" x14ac:dyDescent="0.3">
      <c r="B933">
        <f>Feuille1!A942</f>
        <v>316.5</v>
      </c>
      <c r="C933">
        <f>Feuille1!B942</f>
        <v>50493.589996251889</v>
      </c>
      <c r="D933">
        <f>Feuille1!C942</f>
        <v>12218.714774283886</v>
      </c>
    </row>
    <row r="934" spans="2:4" x14ac:dyDescent="0.3">
      <c r="B934">
        <f>Feuille1!A943</f>
        <v>317</v>
      </c>
      <c r="C934">
        <f>Feuille1!B943</f>
        <v>53932.314652476009</v>
      </c>
      <c r="D934">
        <f>Feuille1!C943</f>
        <v>7490.2086604824408</v>
      </c>
    </row>
    <row r="935" spans="2:4" x14ac:dyDescent="0.3">
      <c r="B935">
        <f>Feuille1!A944</f>
        <v>317.5</v>
      </c>
      <c r="C935">
        <f>Feuille1!B944</f>
        <v>56449.494699186922</v>
      </c>
      <c r="D935">
        <f>Feuille1!C944</f>
        <v>2912.5211660806112</v>
      </c>
    </row>
    <row r="936" spans="2:4" x14ac:dyDescent="0.3">
      <c r="B936">
        <f>Feuille1!A945</f>
        <v>318</v>
      </c>
      <c r="C936">
        <f>Feuille1!B945</f>
        <v>58181.741795891074</v>
      </c>
      <c r="D936">
        <f>Feuille1!C945</f>
        <v>-1498.1784986408729</v>
      </c>
    </row>
    <row r="937" spans="2:4" x14ac:dyDescent="0.3">
      <c r="B937">
        <f>Feuille1!A946</f>
        <v>318.5</v>
      </c>
      <c r="C937">
        <f>Feuille1!B946</f>
        <v>59220.364031281213</v>
      </c>
      <c r="D937">
        <f>Feuille1!C946</f>
        <v>-5732.7743202458332</v>
      </c>
    </row>
    <row r="938" spans="2:4" x14ac:dyDescent="0.3">
      <c r="B938">
        <f>Feuille1!A947</f>
        <v>319</v>
      </c>
      <c r="C938">
        <f>Feuille1!B947</f>
        <v>59628.550640490401</v>
      </c>
      <c r="D938">
        <f>Feuille1!C947</f>
        <v>-9784.2151429925525</v>
      </c>
    </row>
    <row r="939" spans="2:4" x14ac:dyDescent="0.3">
      <c r="B939">
        <f>Feuille1!A948</f>
        <v>319.5</v>
      </c>
      <c r="C939">
        <f>Feuille1!B948</f>
        <v>59450.76530012369</v>
      </c>
      <c r="D939">
        <f>Feuille1!C948</f>
        <v>-13645.547186123145</v>
      </c>
    </row>
    <row r="940" spans="2:4" x14ac:dyDescent="0.3">
      <c r="B940">
        <f>Feuille1!A949</f>
        <v>320</v>
      </c>
      <c r="C940">
        <f>Feuille1!B949</f>
        <v>58718.123565345253</v>
      </c>
      <c r="D940">
        <f>Feuille1!C949</f>
        <v>-17309.043753220045</v>
      </c>
    </row>
    <row r="941" spans="2:4" x14ac:dyDescent="0.3">
      <c r="B941">
        <f>Feuille1!A950</f>
        <v>320.5</v>
      </c>
      <c r="C941">
        <f>Feuille1!B950</f>
        <v>57451.527094752186</v>
      </c>
      <c r="D941">
        <f>Feuille1!C950</f>
        <v>-20765.747208676923</v>
      </c>
    </row>
    <row r="942" spans="2:4" x14ac:dyDescent="0.3">
      <c r="B942">
        <f>Feuille1!A951</f>
        <v>321</v>
      </c>
      <c r="C942">
        <f>Feuille1!B951</f>
        <v>55663.418448274417</v>
      </c>
      <c r="D942">
        <f>Feuille1!C951</f>
        <v>-24005.150909334789</v>
      </c>
    </row>
    <row r="943" spans="2:4" x14ac:dyDescent="0.3">
      <c r="B943">
        <f>Feuille1!A952</f>
        <v>321.5</v>
      </c>
      <c r="C943">
        <f>Feuille1!B952</f>
        <v>53358.565292190426</v>
      </c>
      <c r="D943">
        <f>Feuille1!C952</f>
        <v>-27014.895308783074</v>
      </c>
    </row>
    <row r="944" spans="2:4" x14ac:dyDescent="0.3">
      <c r="B944">
        <f>Feuille1!A953</f>
        <v>322</v>
      </c>
      <c r="C944">
        <f>Feuille1!B953</f>
        <v>50534.012891784871</v>
      </c>
      <c r="D944">
        <f>Feuille1!C953</f>
        <v>-29780.39971500542</v>
      </c>
    </row>
    <row r="945" spans="2:4" x14ac:dyDescent="0.3">
      <c r="B945">
        <f>Feuille1!A954</f>
        <v>322.5</v>
      </c>
      <c r="C945">
        <f>Feuille1!B954</f>
        <v>47178.12462457113</v>
      </c>
      <c r="D945">
        <f>Feuille1!C954</f>
        <v>-32284.348917981661</v>
      </c>
    </row>
    <row r="946" spans="2:4" x14ac:dyDescent="0.3">
      <c r="B946">
        <f>Feuille1!A955</f>
        <v>323</v>
      </c>
      <c r="C946">
        <f>Feuille1!B955</f>
        <v>43268.358719719021</v>
      </c>
      <c r="D946">
        <f>Feuille1!C955</f>
        <v>-34505.904944785485</v>
      </c>
    </row>
    <row r="947" spans="2:4" x14ac:dyDescent="0.3">
      <c r="B947">
        <f>Feuille1!A956</f>
        <v>323.5</v>
      </c>
      <c r="C947">
        <f>Feuille1!B956</f>
        <v>38766.95558070371</v>
      </c>
      <c r="D947">
        <f>Feuille1!C956</f>
        <v>-36419.379663759144</v>
      </c>
    </row>
    <row r="948" spans="2:4" x14ac:dyDescent="0.3">
      <c r="B948">
        <f>Feuille1!A957</f>
        <v>324</v>
      </c>
      <c r="C948">
        <f>Feuille1!B957</f>
        <v>33612.697588284798</v>
      </c>
      <c r="D948">
        <f>Feuille1!C957</f>
        <v>-37991.753160539673</v>
      </c>
    </row>
    <row r="949" spans="2:4" x14ac:dyDescent="0.3">
      <c r="B949">
        <f>Feuille1!A958</f>
        <v>324.5</v>
      </c>
      <c r="C949">
        <f>Feuille1!B958</f>
        <v>27704.421125980971</v>
      </c>
      <c r="D949">
        <f>Feuille1!C958</f>
        <v>-39177.427288224288</v>
      </c>
    </row>
    <row r="950" spans="2:4" x14ac:dyDescent="0.3">
      <c r="B950">
        <f>Feuille1!A959</f>
        <v>325</v>
      </c>
      <c r="C950">
        <f>Feuille1!B959</f>
        <v>20865.022392181869</v>
      </c>
      <c r="D950">
        <f>Feuille1!C959</f>
        <v>-39905.349573422143</v>
      </c>
    </row>
    <row r="951" spans="2:4" x14ac:dyDescent="0.3">
      <c r="B951">
        <f>Feuille1!A960</f>
        <v>325.5</v>
      </c>
      <c r="C951">
        <f>Feuille1!B960</f>
        <v>12752.380487784745</v>
      </c>
      <c r="D951">
        <f>Feuille1!C960</f>
        <v>-40040.615316713331</v>
      </c>
    </row>
    <row r="952" spans="2:4" x14ac:dyDescent="0.3">
      <c r="B952">
        <f>Feuille1!A961</f>
        <v>326</v>
      </c>
      <c r="C952">
        <f>Feuille1!B961</f>
        <v>2608.4941427622043</v>
      </c>
      <c r="D952">
        <f>Feuille1!C961</f>
        <v>-39233.461348836143</v>
      </c>
    </row>
    <row r="953" spans="2:4" x14ac:dyDescent="0.3">
      <c r="B953">
        <f>Feuille1!A962</f>
        <v>326.5</v>
      </c>
      <c r="C953">
        <f>Feuille1!B962</f>
        <v>-10925.262230849341</v>
      </c>
      <c r="D953">
        <f>Feuille1!C962</f>
        <v>-36149.257576397351</v>
      </c>
    </row>
    <row r="954" spans="2:4" x14ac:dyDescent="0.3">
      <c r="B954">
        <f>Feuille1!A963</f>
        <v>327</v>
      </c>
      <c r="C954">
        <f>Feuille1!B963</f>
        <v>-20472.303150655716</v>
      </c>
      <c r="D954">
        <f>Feuille1!C963</f>
        <v>-31935.621687961404</v>
      </c>
    </row>
    <row r="955" spans="2:4" x14ac:dyDescent="0.3">
      <c r="B955">
        <f>Feuille1!A964</f>
        <v>327.5</v>
      </c>
      <c r="C955">
        <f>Feuille1!B964</f>
        <v>-27386.683247172608</v>
      </c>
      <c r="D955">
        <f>Feuille1!C964</f>
        <v>-27838.629557246779</v>
      </c>
    </row>
    <row r="956" spans="2:4" x14ac:dyDescent="0.3">
      <c r="B956">
        <f>Feuille1!A965</f>
        <v>328</v>
      </c>
      <c r="C956">
        <f>Feuille1!B965</f>
        <v>-32703.530262330289</v>
      </c>
      <c r="D956">
        <f>Feuille1!C965</f>
        <v>-23815.63457987782</v>
      </c>
    </row>
    <row r="957" spans="2:4" x14ac:dyDescent="0.3">
      <c r="B957">
        <f>Feuille1!A966</f>
        <v>328.5</v>
      </c>
      <c r="C957">
        <f>Feuille1!B966</f>
        <v>-36858.009215819817</v>
      </c>
      <c r="D957">
        <f>Feuille1!C966</f>
        <v>-19792.649342322769</v>
      </c>
    </row>
    <row r="958" spans="2:4" x14ac:dyDescent="0.3">
      <c r="B958">
        <f>Feuille1!A967</f>
        <v>329</v>
      </c>
      <c r="C958">
        <f>Feuille1!B967</f>
        <v>-40057.856297346392</v>
      </c>
      <c r="D958">
        <f>Feuille1!C967</f>
        <v>-15719.886565480987</v>
      </c>
    </row>
    <row r="959" spans="2:4" x14ac:dyDescent="0.3">
      <c r="B959">
        <f>Feuille1!A968</f>
        <v>329.5</v>
      </c>
      <c r="C959">
        <f>Feuille1!B968</f>
        <v>-42407.600839644787</v>
      </c>
      <c r="D959">
        <f>Feuille1!C968</f>
        <v>-11565.267791087794</v>
      </c>
    </row>
    <row r="960" spans="2:4" x14ac:dyDescent="0.3">
      <c r="B960">
        <f>Feuille1!A969</f>
        <v>330</v>
      </c>
      <c r="C960">
        <f>Feuille1!B969</f>
        <v>-43954.973967349557</v>
      </c>
      <c r="D960">
        <f>Feuille1!C969</f>
        <v>-7307.5634687617157</v>
      </c>
    </row>
    <row r="961" spans="2:4" x14ac:dyDescent="0.3">
      <c r="B961">
        <f>Feuille1!A970</f>
        <v>330.5</v>
      </c>
      <c r="C961">
        <f>Feuille1!B970</f>
        <v>-44709.265382730882</v>
      </c>
      <c r="D961">
        <f>Feuille1!C970</f>
        <v>-2931.9660906264371</v>
      </c>
    </row>
    <row r="962" spans="2:4" x14ac:dyDescent="0.3">
      <c r="B962">
        <f>Feuille1!A971</f>
        <v>331</v>
      </c>
      <c r="C962">
        <f>Feuille1!B971</f>
        <v>-44646.544550036393</v>
      </c>
      <c r="D962">
        <f>Feuille1!C971</f>
        <v>1572.4959276937579</v>
      </c>
    </row>
    <row r="963" spans="2:4" x14ac:dyDescent="0.3">
      <c r="B963">
        <f>Feuille1!A972</f>
        <v>331.5</v>
      </c>
      <c r="C963">
        <f>Feuille1!B972</f>
        <v>-43705.602023724241</v>
      </c>
      <c r="D963">
        <f>Feuille1!C972</f>
        <v>6213.7892827623846</v>
      </c>
    </row>
    <row r="964" spans="2:4" x14ac:dyDescent="0.3">
      <c r="B964">
        <f>Feuille1!A973</f>
        <v>332</v>
      </c>
      <c r="C964">
        <f>Feuille1!B973</f>
        <v>-41772.618722021158</v>
      </c>
      <c r="D964">
        <f>Feuille1!C973</f>
        <v>10994.520113055243</v>
      </c>
    </row>
    <row r="965" spans="2:4" x14ac:dyDescent="0.3">
      <c r="B965">
        <f>Feuille1!A974</f>
        <v>332.5</v>
      </c>
      <c r="C965">
        <f>Feuille1!B974</f>
        <v>-38645.197531964957</v>
      </c>
      <c r="D965">
        <f>Feuille1!C974</f>
        <v>15899.96264701671</v>
      </c>
    </row>
    <row r="966" spans="2:4" x14ac:dyDescent="0.3">
      <c r="B966">
        <f>Feuille1!A975</f>
        <v>333</v>
      </c>
      <c r="C966">
        <f>Feuille1!B975</f>
        <v>-33951.882943101322</v>
      </c>
      <c r="D966">
        <f>Feuille1!C975</f>
        <v>20848.012336674608</v>
      </c>
    </row>
    <row r="967" spans="2:4" x14ac:dyDescent="0.3">
      <c r="B967">
        <f>Feuille1!A976</f>
        <v>333.5</v>
      </c>
      <c r="C967">
        <f>Feuille1!B976</f>
        <v>-27008.608552435977</v>
      </c>
      <c r="D967">
        <f>Feuille1!C976</f>
        <v>25455.537719834465</v>
      </c>
    </row>
    <row r="968" spans="2:4" x14ac:dyDescent="0.3">
      <c r="B968">
        <f>Feuille1!A977</f>
        <v>334</v>
      </c>
      <c r="C968">
        <f>Feuille1!B977</f>
        <v>-17346.646330454281</v>
      </c>
      <c r="D968">
        <f>Feuille1!C977</f>
        <v>28070.582967020218</v>
      </c>
    </row>
    <row r="969" spans="2:4" x14ac:dyDescent="0.3">
      <c r="B969">
        <f>Feuille1!A978</f>
        <v>334.5</v>
      </c>
      <c r="C969">
        <f>Feuille1!B978</f>
        <v>-7898.16041904349</v>
      </c>
      <c r="D969">
        <f>Feuille1!C978</f>
        <v>27585.331317069969</v>
      </c>
    </row>
    <row r="970" spans="2:4" x14ac:dyDescent="0.3">
      <c r="B970">
        <f>Feuille1!A979</f>
        <v>335</v>
      </c>
      <c r="C970">
        <f>Feuille1!B979</f>
        <v>1103.6765680365957</v>
      </c>
      <c r="D970">
        <f>Feuille1!C979</f>
        <v>25638.97189289541</v>
      </c>
    </row>
    <row r="971" spans="2:4" x14ac:dyDescent="0.3">
      <c r="B971">
        <f>Feuille1!A980</f>
        <v>335.5</v>
      </c>
      <c r="C971">
        <f>Feuille1!B980</f>
        <v>11010.278070694041</v>
      </c>
      <c r="D971">
        <f>Feuille1!C980</f>
        <v>22636.581213554306</v>
      </c>
    </row>
    <row r="972" spans="2:4" x14ac:dyDescent="0.3">
      <c r="B972">
        <f>Feuille1!A981</f>
        <v>336</v>
      </c>
      <c r="C972">
        <f>Feuille1!B981</f>
        <v>23999.509446058662</v>
      </c>
      <c r="D972">
        <f>Feuille1!C981</f>
        <v>18247.9272945503</v>
      </c>
    </row>
    <row r="973" spans="2:4" x14ac:dyDescent="0.3">
      <c r="B973">
        <f>Feuille1!A982</f>
        <v>336.5</v>
      </c>
      <c r="C973">
        <f>Feuille1!B982</f>
        <v>33371.019965005093</v>
      </c>
      <c r="D973">
        <f>Feuille1!C982</f>
        <v>15041.678273904088</v>
      </c>
    </row>
    <row r="974" spans="2:4" x14ac:dyDescent="0.3">
      <c r="B974">
        <f>Feuille1!A983</f>
        <v>337</v>
      </c>
      <c r="C974">
        <f>Feuille1!B983</f>
        <v>39758.428908313785</v>
      </c>
      <c r="D974">
        <f>Feuille1!C983</f>
        <v>12633.458570452463</v>
      </c>
    </row>
    <row r="975" spans="2:4" x14ac:dyDescent="0.3">
      <c r="B975">
        <f>Feuille1!A984</f>
        <v>337.5</v>
      </c>
      <c r="C975">
        <f>Feuille1!B984</f>
        <v>44212.972396704266</v>
      </c>
      <c r="D975">
        <f>Feuille1!C984</f>
        <v>10677.206962092323</v>
      </c>
    </row>
    <row r="976" spans="2:4" x14ac:dyDescent="0.3">
      <c r="B976">
        <f>Feuille1!A985</f>
        <v>338</v>
      </c>
      <c r="C976">
        <f>Feuille1!B985</f>
        <v>47200.190896965134</v>
      </c>
      <c r="D976">
        <f>Feuille1!C985</f>
        <v>9040.0412140209901</v>
      </c>
    </row>
    <row r="977" spans="2:4" x14ac:dyDescent="0.3">
      <c r="B977">
        <f>Feuille1!A986</f>
        <v>338.5</v>
      </c>
      <c r="C977">
        <f>Feuille1!B986</f>
        <v>48951.701052685734</v>
      </c>
      <c r="D977">
        <f>Feuille1!C986</f>
        <v>7666.7530075612449</v>
      </c>
    </row>
    <row r="978" spans="2:4" x14ac:dyDescent="0.3">
      <c r="B978">
        <f>Feuille1!A987</f>
        <v>339</v>
      </c>
      <c r="C978">
        <f>Feuille1!B987</f>
        <v>49587.337885608453</v>
      </c>
      <c r="D978">
        <f>Feuille1!C987</f>
        <v>6538.0215157273387</v>
      </c>
    </row>
    <row r="979" spans="2:4" x14ac:dyDescent="0.3">
      <c r="B979">
        <f>Feuille1!A988</f>
        <v>339.5</v>
      </c>
      <c r="C979">
        <f>Feuille1!B988</f>
        <v>49160.88287133316</v>
      </c>
      <c r="D979">
        <f>Feuille1!C988</f>
        <v>5656.9694108089143</v>
      </c>
    </row>
    <row r="980" spans="2:4" x14ac:dyDescent="0.3">
      <c r="B980">
        <f>Feuille1!A989</f>
        <v>340</v>
      </c>
      <c r="C980">
        <f>Feuille1!B989</f>
        <v>47677.531023245145</v>
      </c>
      <c r="D980">
        <f>Feuille1!C989</f>
        <v>5046.7264525396395</v>
      </c>
    </row>
    <row r="981" spans="2:4" x14ac:dyDescent="0.3">
      <c r="B981">
        <f>Feuille1!A990</f>
        <v>340.5</v>
      </c>
      <c r="C981">
        <f>Feuille1!B990</f>
        <v>45097.48920262327</v>
      </c>
      <c r="D981">
        <f>Feuille1!C990</f>
        <v>4755.5201486359238</v>
      </c>
    </row>
    <row r="982" spans="2:4" x14ac:dyDescent="0.3">
      <c r="B982">
        <f>Feuille1!A991</f>
        <v>341</v>
      </c>
      <c r="C982">
        <f>Feuille1!B991</f>
        <v>41329.256962560852</v>
      </c>
      <c r="D982">
        <f>Feuille1!C991</f>
        <v>4872.3997751717816</v>
      </c>
    </row>
    <row r="983" spans="2:4" x14ac:dyDescent="0.3">
      <c r="B983">
        <f>Feuille1!A992</f>
        <v>341.5</v>
      </c>
      <c r="C983">
        <f>Feuille1!B992</f>
        <v>36211.534932322924</v>
      </c>
      <c r="D983">
        <f>Feuille1!C992</f>
        <v>5566.9183032647861</v>
      </c>
    </row>
    <row r="984" spans="2:4" x14ac:dyDescent="0.3">
      <c r="B984">
        <f>Feuille1!A993</f>
        <v>342</v>
      </c>
      <c r="C984">
        <f>Feuille1!B993</f>
        <v>29486.588107522653</v>
      </c>
      <c r="D984">
        <f>Feuille1!C993</f>
        <v>7197.1014157362079</v>
      </c>
    </row>
    <row r="985" spans="2:4" x14ac:dyDescent="0.3">
      <c r="B985">
        <f>Feuille1!A994</f>
        <v>342.5</v>
      </c>
      <c r="C985">
        <f>Feuille1!B994</f>
        <v>20865.633377494523</v>
      </c>
      <c r="D985">
        <f>Feuille1!C994</f>
        <v>10630.777651588372</v>
      </c>
    </row>
    <row r="986" spans="2:4" x14ac:dyDescent="0.3">
      <c r="B986">
        <f>Feuille1!A995</f>
        <v>343</v>
      </c>
      <c r="C986">
        <f>Feuille1!B995</f>
        <v>11434.80738769655</v>
      </c>
      <c r="D986">
        <f>Feuille1!C995</f>
        <v>17605.335383977443</v>
      </c>
    </row>
    <row r="987" spans="2:4" x14ac:dyDescent="0.3">
      <c r="B987">
        <f>Feuille1!A996</f>
        <v>343.5</v>
      </c>
      <c r="C987">
        <f>Feuille1!B996</f>
        <v>5158.4638842290224</v>
      </c>
      <c r="D987">
        <f>Feuille1!C996</f>
        <v>25350.000086053307</v>
      </c>
    </row>
    <row r="988" spans="2:4" x14ac:dyDescent="0.3">
      <c r="B988">
        <f>Feuille1!A997</f>
        <v>344</v>
      </c>
      <c r="C988">
        <f>Feuille1!B997</f>
        <v>532.21359186658856</v>
      </c>
      <c r="D988">
        <f>Feuille1!C997</f>
        <v>31823.166948622802</v>
      </c>
    </row>
    <row r="989" spans="2:4" x14ac:dyDescent="0.3">
      <c r="B989">
        <f>Feuille1!A998</f>
        <v>344.5</v>
      </c>
      <c r="C989">
        <f>Feuille1!B998</f>
        <v>-3492.1181906399752</v>
      </c>
      <c r="D989">
        <f>Feuille1!C998</f>
        <v>36862.014294645553</v>
      </c>
    </row>
    <row r="990" spans="2:4" x14ac:dyDescent="0.3">
      <c r="B990">
        <f>Feuille1!A999</f>
        <v>345</v>
      </c>
      <c r="C990">
        <f>Feuille1!B999</f>
        <v>-7233.9469821848179</v>
      </c>
      <c r="D990">
        <f>Feuille1!C999</f>
        <v>40503.091500816263</v>
      </c>
    </row>
    <row r="991" spans="2:4" x14ac:dyDescent="0.3">
      <c r="B991">
        <f>Feuille1!A1000</f>
        <v>345.5</v>
      </c>
      <c r="C991">
        <f>Feuille1!B1000</f>
        <v>-10749.973306032156</v>
      </c>
      <c r="D991">
        <f>Feuille1!C1000</f>
        <v>42819.11743070888</v>
      </c>
    </row>
    <row r="992" spans="2:4" x14ac:dyDescent="0.3">
      <c r="B992">
        <f>Feuille1!A1001</f>
        <v>346</v>
      </c>
      <c r="C992">
        <f>Feuille1!B1001</f>
        <v>-14019.948078854844</v>
      </c>
      <c r="D992">
        <f>Feuille1!C1001</f>
        <v>43877.217632553373</v>
      </c>
    </row>
    <row r="993" spans="2:4" x14ac:dyDescent="0.3">
      <c r="B993">
        <f>Feuille1!A1002</f>
        <v>346.5</v>
      </c>
      <c r="C993">
        <f>Feuille1!B1002</f>
        <v>-17000.39636106414</v>
      </c>
      <c r="D993">
        <f>Feuille1!C1002</f>
        <v>43715.652736345066</v>
      </c>
    </row>
    <row r="994" spans="2:4" x14ac:dyDescent="0.3">
      <c r="B994">
        <f>Feuille1!A1003</f>
        <v>347</v>
      </c>
      <c r="C994">
        <f>Feuille1!B1003</f>
        <v>-19633.75867326614</v>
      </c>
      <c r="D994">
        <f>Feuille1!C1003</f>
        <v>42329.516925417025</v>
      </c>
    </row>
    <row r="995" spans="2:4" x14ac:dyDescent="0.3">
      <c r="B995">
        <f>Feuille1!A1004</f>
        <v>347.5</v>
      </c>
      <c r="C995">
        <f>Feuille1!B1004</f>
        <v>-21840.396316975701</v>
      </c>
      <c r="D995">
        <f>Feuille1!C1004</f>
        <v>39652.955106618567</v>
      </c>
    </row>
    <row r="996" spans="2:4" x14ac:dyDescent="0.3">
      <c r="B996">
        <f>Feuille1!A1005</f>
        <v>348</v>
      </c>
      <c r="C996">
        <f>Feuille1!B1005</f>
        <v>-23492.382912588491</v>
      </c>
      <c r="D996">
        <f>Feuille1!C1005</f>
        <v>35521.173548301944</v>
      </c>
    </row>
    <row r="997" spans="2:4" x14ac:dyDescent="0.3">
      <c r="B997">
        <f>Feuille1!A1006</f>
        <v>348.5</v>
      </c>
      <c r="C997">
        <f>Feuille1!B1006</f>
        <v>-24332.396601926372</v>
      </c>
      <c r="D997">
        <f>Feuille1!C1006</f>
        <v>29576.240918237505</v>
      </c>
    </row>
    <row r="998" spans="2:4" x14ac:dyDescent="0.3">
      <c r="B998">
        <f>Feuille1!A1007</f>
        <v>349</v>
      </c>
      <c r="C998">
        <f>Feuille1!B1007</f>
        <v>-23637.107907280704</v>
      </c>
      <c r="D998">
        <f>Feuille1!C1007</f>
        <v>21089.60974866134</v>
      </c>
    </row>
    <row r="999" spans="2:4" x14ac:dyDescent="0.3">
      <c r="B999">
        <f>Feuille1!A1008</f>
        <v>349.5</v>
      </c>
      <c r="C999">
        <f>Feuille1!B1008</f>
        <v>-19534.028372406363</v>
      </c>
      <c r="D999">
        <f>Feuille1!C1008</f>
        <v>11476.265819855462</v>
      </c>
    </row>
    <row r="1000" spans="2:4" x14ac:dyDescent="0.3">
      <c r="B1000">
        <f>Feuille1!A1009</f>
        <v>350</v>
      </c>
      <c r="C1000">
        <f>Feuille1!B1009</f>
        <v>-14890.514942335803</v>
      </c>
      <c r="D1000">
        <f>Feuille1!C1009</f>
        <v>4444.2479979352875</v>
      </c>
    </row>
    <row r="1001" spans="2:4" x14ac:dyDescent="0.3">
      <c r="B1001">
        <f>Feuille1!A1010</f>
        <v>350.5</v>
      </c>
      <c r="C1001">
        <f>Feuille1!B1010</f>
        <v>-9965.2764143615477</v>
      </c>
      <c r="D1001">
        <f>Feuille1!C1010</f>
        <v>-1507.4841030948846</v>
      </c>
    </row>
    <row r="1002" spans="2:4" x14ac:dyDescent="0.3">
      <c r="B1002">
        <f>Feuille1!A1011</f>
        <v>351</v>
      </c>
      <c r="C1002">
        <f>Feuille1!B1011</f>
        <v>-4702.1350318778368</v>
      </c>
      <c r="D1002">
        <f>Feuille1!C1011</f>
        <v>-7118.7254307925368</v>
      </c>
    </row>
    <row r="1003" spans="2:4" x14ac:dyDescent="0.3">
      <c r="B1003">
        <f>Feuille1!A1012</f>
        <v>351.5</v>
      </c>
      <c r="C1003">
        <f>Feuille1!B1012</f>
        <v>772.75232413236904</v>
      </c>
      <c r="D1003">
        <f>Feuille1!C1012</f>
        <v>-12898.95904065496</v>
      </c>
    </row>
    <row r="1004" spans="2:4" x14ac:dyDescent="0.3">
      <c r="B1004">
        <f>Feuille1!A1013</f>
        <v>352</v>
      </c>
      <c r="C1004">
        <f>Feuille1!B1013</f>
        <v>6009.337909985732</v>
      </c>
      <c r="D1004">
        <f>Feuille1!C1013</f>
        <v>-19327.041731577938</v>
      </c>
    </row>
    <row r="1005" spans="2:4" x14ac:dyDescent="0.3">
      <c r="B1005">
        <f>Feuille1!A1014</f>
        <v>352.5</v>
      </c>
      <c r="C1005">
        <f>Feuille1!B1014</f>
        <v>10160.745998083939</v>
      </c>
      <c r="D1005">
        <f>Feuille1!C1014</f>
        <v>-26668.670117618716</v>
      </c>
    </row>
    <row r="1006" spans="2:4" x14ac:dyDescent="0.3">
      <c r="B1006">
        <f>Feuille1!A1015</f>
        <v>353</v>
      </c>
      <c r="C1006">
        <f>Feuille1!B1015</f>
        <v>12319.728020122519</v>
      </c>
      <c r="D1006">
        <f>Feuille1!C1015</f>
        <v>-34540.181248444198</v>
      </c>
    </row>
    <row r="1007" spans="2:4" x14ac:dyDescent="0.3">
      <c r="B1007">
        <f>Feuille1!A1016</f>
        <v>353.5</v>
      </c>
      <c r="C1007">
        <f>Feuille1!B1016</f>
        <v>12192.564581556659</v>
      </c>
      <c r="D1007">
        <f>Feuille1!C1016</f>
        <v>-42034.170555406992</v>
      </c>
    </row>
    <row r="1008" spans="2:4" x14ac:dyDescent="0.3">
      <c r="B1008">
        <f>Feuille1!A1017</f>
        <v>354</v>
      </c>
      <c r="C1008">
        <f>Feuille1!B1017</f>
        <v>10130.523455010818</v>
      </c>
      <c r="D1008">
        <f>Feuille1!C1017</f>
        <v>-48392.185831958595</v>
      </c>
    </row>
    <row r="1009" spans="2:4" x14ac:dyDescent="0.3">
      <c r="B1009">
        <f>Feuille1!A1018</f>
        <v>354.5</v>
      </c>
      <c r="C1009">
        <f>Feuille1!B1018</f>
        <v>6678.1149898638369</v>
      </c>
      <c r="D1009">
        <f>Feuille1!C1018</f>
        <v>-53229.591651325776</v>
      </c>
    </row>
    <row r="1010" spans="2:4" x14ac:dyDescent="0.3">
      <c r="B1010">
        <f>Feuille1!A1019</f>
        <v>355</v>
      </c>
      <c r="C1010">
        <f>Feuille1!B1019</f>
        <v>2327.1610556804471</v>
      </c>
      <c r="D1010">
        <f>Feuille1!C1019</f>
        <v>-56396.690340109926</v>
      </c>
    </row>
    <row r="1011" spans="2:4" x14ac:dyDescent="0.3">
      <c r="B1011">
        <f>Feuille1!A1020</f>
        <v>355.5</v>
      </c>
      <c r="C1011">
        <f>Feuille1!B1020</f>
        <v>-2517.1285732412116</v>
      </c>
      <c r="D1011">
        <f>Feuille1!C1020</f>
        <v>-57840.057665825741</v>
      </c>
    </row>
    <row r="1012" spans="2:4" x14ac:dyDescent="0.3">
      <c r="B1012">
        <f>Feuille1!A1021</f>
        <v>356</v>
      </c>
      <c r="C1012">
        <f>Feuille1!B1021</f>
        <v>-7501.5577270327176</v>
      </c>
      <c r="D1012">
        <f>Feuille1!C1021</f>
        <v>-57532.280408098137</v>
      </c>
    </row>
    <row r="1013" spans="2:4" x14ac:dyDescent="0.3">
      <c r="B1013">
        <f>Feuille1!A1022</f>
        <v>356.5</v>
      </c>
      <c r="C1013">
        <f>Feuille1!B1022</f>
        <v>-12276.808650847797</v>
      </c>
      <c r="D1013">
        <f>Feuille1!C1022</f>
        <v>-55446.297923568796</v>
      </c>
    </row>
    <row r="1014" spans="2:4" x14ac:dyDescent="0.3">
      <c r="B1014">
        <f>Feuille1!A1023</f>
        <v>357</v>
      </c>
      <c r="C1014">
        <f>Feuille1!B1023</f>
        <v>-16443.081336208954</v>
      </c>
      <c r="D1014">
        <f>Feuille1!C1023</f>
        <v>-51560.033584431694</v>
      </c>
    </row>
    <row r="1015" spans="2:4" x14ac:dyDescent="0.3">
      <c r="B1015">
        <f>Feuille1!A1024</f>
        <v>357.5</v>
      </c>
      <c r="C1015">
        <f>Feuille1!B1024</f>
        <v>-19487.066535365462</v>
      </c>
      <c r="D1015">
        <f>Feuille1!C1024</f>
        <v>-45902.68419864621</v>
      </c>
    </row>
    <row r="1016" spans="2:4" x14ac:dyDescent="0.3">
      <c r="B1016">
        <f>Feuille1!A1025</f>
        <v>358</v>
      </c>
      <c r="C1016">
        <f>Feuille1!B1025</f>
        <v>-20734.188213509042</v>
      </c>
      <c r="D1016">
        <f>Feuille1!C1025</f>
        <v>-38690.097934084508</v>
      </c>
    </row>
    <row r="1017" spans="2:4" x14ac:dyDescent="0.3">
      <c r="B1017">
        <f>Feuille1!A1026</f>
        <v>358.5</v>
      </c>
      <c r="C1017">
        <f>Feuille1!B1026</f>
        <v>-19465.376572254969</v>
      </c>
      <c r="D1017">
        <f>Feuille1!C1026</f>
        <v>-30599.444120636839</v>
      </c>
    </row>
    <row r="1018" spans="2:4" x14ac:dyDescent="0.3">
      <c r="B1018">
        <f>Feuille1!A1027</f>
        <v>359</v>
      </c>
      <c r="C1018">
        <f>Feuille1!B1027</f>
        <v>-15504.900300410767</v>
      </c>
      <c r="D1018">
        <f>Feuille1!C1027</f>
        <v>-22887.174374415219</v>
      </c>
    </row>
    <row r="1019" spans="2:4" x14ac:dyDescent="0.3">
      <c r="B1019">
        <f>Feuille1!A1028</f>
        <v>359.5</v>
      </c>
      <c r="C1019">
        <f>Feuille1!B1028</f>
        <v>-9737.2256438773475</v>
      </c>
      <c r="D1019">
        <f>Feuille1!C1028</f>
        <v>-16534.131448388198</v>
      </c>
    </row>
    <row r="1020" spans="2:4" x14ac:dyDescent="0.3">
      <c r="B1020">
        <f>Feuille1!A1029</f>
        <v>360</v>
      </c>
      <c r="C1020">
        <f>Feuille1!B1029</f>
        <v>-3287.7846691180139</v>
      </c>
      <c r="D1020">
        <f>Feuille1!C1029</f>
        <v>-11441.002685783573</v>
      </c>
    </row>
    <row r="1021" spans="2:4" x14ac:dyDescent="0.3">
      <c r="B1021">
        <f>Feuille1!A1030</f>
        <v>360.5</v>
      </c>
      <c r="C1021">
        <f>Feuille1!B1030</f>
        <v>3241.3421157602083</v>
      </c>
      <c r="D1021">
        <f>Feuille1!C1030</f>
        <v>-6962.9217646110628</v>
      </c>
    </row>
    <row r="1022" spans="2:4" x14ac:dyDescent="0.3">
      <c r="B1022">
        <f>Feuille1!A1031</f>
        <v>361</v>
      </c>
      <c r="C1022">
        <f>Feuille1!B1031</f>
        <v>9696.9353332747851</v>
      </c>
      <c r="D1022">
        <f>Feuille1!C1031</f>
        <v>-2417.870953562604</v>
      </c>
    </row>
    <row r="1023" spans="2:4" x14ac:dyDescent="0.3">
      <c r="B1023">
        <f>Feuille1!A1032</f>
        <v>361.5</v>
      </c>
      <c r="C1023">
        <f>Feuille1!B1032</f>
        <v>16134.549584881555</v>
      </c>
      <c r="D1023">
        <f>Feuille1!C1032</f>
        <v>2922.1843304774166</v>
      </c>
    </row>
    <row r="1024" spans="2:4" x14ac:dyDescent="0.3">
      <c r="B1024">
        <f>Feuille1!A1033</f>
        <v>362</v>
      </c>
      <c r="C1024">
        <f>Feuille1!B1033</f>
        <v>22529.48740082419</v>
      </c>
      <c r="D1024">
        <f>Feuille1!C1033</f>
        <v>10129.66571790238</v>
      </c>
    </row>
    <row r="1025" spans="2:4" x14ac:dyDescent="0.3">
      <c r="B1025">
        <f>Feuille1!A1034</f>
        <v>362.5</v>
      </c>
      <c r="C1025">
        <f>Feuille1!B1034</f>
        <v>27568.250849723398</v>
      </c>
      <c r="D1025">
        <f>Feuille1!C1034</f>
        <v>20646.286888349197</v>
      </c>
    </row>
    <row r="1026" spans="2:4" x14ac:dyDescent="0.3">
      <c r="B1026">
        <f>Feuille1!A1035</f>
        <v>363</v>
      </c>
      <c r="C1026">
        <f>Feuille1!B1035</f>
        <v>28254.904137340563</v>
      </c>
      <c r="D1026">
        <f>Feuille1!C1035</f>
        <v>30608.273361109739</v>
      </c>
    </row>
    <row r="1027" spans="2:4" x14ac:dyDescent="0.3">
      <c r="B1027">
        <f>Feuille1!A1036</f>
        <v>363.5</v>
      </c>
      <c r="C1027">
        <f>Feuille1!B1036</f>
        <v>26811.727376275572</v>
      </c>
      <c r="D1027">
        <f>Feuille1!C1036</f>
        <v>37994.501638973969</v>
      </c>
    </row>
    <row r="1028" spans="2:4" x14ac:dyDescent="0.3">
      <c r="B1028">
        <f>Feuille1!A1037</f>
        <v>364</v>
      </c>
      <c r="C1028">
        <f>Feuille1!B1037</f>
        <v>24412.858104542265</v>
      </c>
      <c r="D1028">
        <f>Feuille1!C1037</f>
        <v>43310.998893402786</v>
      </c>
    </row>
    <row r="1029" spans="2:4" x14ac:dyDescent="0.3">
      <c r="B1029">
        <f>Feuille1!A1038</f>
        <v>364.5</v>
      </c>
      <c r="C1029">
        <f>Feuille1!B1038</f>
        <v>21509.990026754156</v>
      </c>
      <c r="D1029">
        <f>Feuille1!C1038</f>
        <v>46964.628420175788</v>
      </c>
    </row>
    <row r="1030" spans="2:4" x14ac:dyDescent="0.3">
      <c r="B1030">
        <f>Feuille1!A1039</f>
        <v>365</v>
      </c>
      <c r="C1030">
        <f>Feuille1!B1039</f>
        <v>18321.809762095836</v>
      </c>
      <c r="D1030">
        <f>Feuille1!C1039</f>
        <v>49189.754713305294</v>
      </c>
    </row>
    <row r="1031" spans="2:4" x14ac:dyDescent="0.3">
      <c r="B1031">
        <f>Feuille1!A1040</f>
        <v>365.5</v>
      </c>
      <c r="C1031">
        <f>Feuille1!B1040</f>
        <v>14980.818283829933</v>
      </c>
      <c r="D1031">
        <f>Feuille1!C1040</f>
        <v>50114.822953829454</v>
      </c>
    </row>
    <row r="1032" spans="2:4" x14ac:dyDescent="0.3">
      <c r="B1032">
        <f>Feuille1!A1041</f>
        <v>366</v>
      </c>
      <c r="C1032">
        <f>Feuille1!B1041</f>
        <v>11585.206171166261</v>
      </c>
      <c r="D1032">
        <f>Feuille1!C1041</f>
        <v>49800.927309720973</v>
      </c>
    </row>
    <row r="1033" spans="2:4" x14ac:dyDescent="0.3">
      <c r="B1033">
        <f>Feuille1!A1042</f>
        <v>366.5</v>
      </c>
      <c r="C1033">
        <f>Feuille1!B1042</f>
        <v>8222.2292758535659</v>
      </c>
      <c r="D1033">
        <f>Feuille1!C1042</f>
        <v>48260.828359275532</v>
      </c>
    </row>
    <row r="1034" spans="2:4" x14ac:dyDescent="0.3">
      <c r="B1034">
        <f>Feuille1!A1043</f>
        <v>367</v>
      </c>
      <c r="C1034">
        <f>Feuille1!B1043</f>
        <v>4981.8516340535471</v>
      </c>
      <c r="D1034">
        <f>Feuille1!C1043</f>
        <v>45468.293750743149</v>
      </c>
    </row>
    <row r="1035" spans="2:4" x14ac:dyDescent="0.3">
      <c r="B1035">
        <f>Feuille1!A1044</f>
        <v>367.5</v>
      </c>
      <c r="C1035">
        <f>Feuille1!B1044</f>
        <v>1965.4710907249009</v>
      </c>
      <c r="D1035">
        <f>Feuille1!C1044</f>
        <v>41364.68624450011</v>
      </c>
    </row>
    <row r="1036" spans="2:4" x14ac:dyDescent="0.3">
      <c r="B1036">
        <f>Feuille1!A1045</f>
        <v>368</v>
      </c>
      <c r="C1036">
        <f>Feuille1!B1045</f>
        <v>-716.10856329142405</v>
      </c>
      <c r="D1036">
        <f>Feuille1!C1045</f>
        <v>35872.929731966236</v>
      </c>
    </row>
    <row r="1037" spans="2:4" x14ac:dyDescent="0.3">
      <c r="B1037">
        <f>Feuille1!A1046</f>
        <v>368.5</v>
      </c>
      <c r="C1037">
        <f>Feuille1!B1046</f>
        <v>-2989.2902407278766</v>
      </c>
      <c r="D1037">
        <f>Feuille1!C1046</f>
        <v>28946.65051148949</v>
      </c>
    </row>
    <row r="1038" spans="2:4" x14ac:dyDescent="0.3">
      <c r="B1038">
        <f>Feuille1!A1047</f>
        <v>369</v>
      </c>
      <c r="C1038">
        <f>Feuille1!B1047</f>
        <v>-5004.6207305762637</v>
      </c>
      <c r="D1038">
        <f>Feuille1!C1047</f>
        <v>20745.37081766146</v>
      </c>
    </row>
    <row r="1039" spans="2:4" x14ac:dyDescent="0.3">
      <c r="B1039">
        <f>Feuille1!A1048</f>
        <v>369.5</v>
      </c>
      <c r="C1039">
        <f>Feuille1!B1048</f>
        <v>-7313.6946776272825</v>
      </c>
      <c r="D1039">
        <f>Feuille1!C1048</f>
        <v>12101.65359572435</v>
      </c>
    </row>
    <row r="1040" spans="2:4" x14ac:dyDescent="0.3">
      <c r="B1040">
        <f>Feuille1!A1049</f>
        <v>370</v>
      </c>
      <c r="C1040">
        <f>Feuille1!B1049</f>
        <v>-9953.0707665518876</v>
      </c>
      <c r="D1040">
        <f>Feuille1!C1049</f>
        <v>4189.2445419672185</v>
      </c>
    </row>
    <row r="1041" spans="2:4" x14ac:dyDescent="0.3">
      <c r="B1041">
        <f>Feuille1!A1050</f>
        <v>370.5</v>
      </c>
      <c r="C1041">
        <f>Feuille1!B1050</f>
        <v>-12440.968879116133</v>
      </c>
      <c r="D1041">
        <f>Feuille1!C1050</f>
        <v>-2950.8416301917705</v>
      </c>
    </row>
    <row r="1042" spans="2:4" x14ac:dyDescent="0.3">
      <c r="B1042">
        <f>Feuille1!A1051</f>
        <v>371</v>
      </c>
      <c r="C1042">
        <f>Feuille1!B1051</f>
        <v>-14489.285560557557</v>
      </c>
      <c r="D1042">
        <f>Feuille1!C1051</f>
        <v>-9820.7775103974654</v>
      </c>
    </row>
    <row r="1043" spans="2:4" x14ac:dyDescent="0.3">
      <c r="B1043">
        <f>Feuille1!A1052</f>
        <v>371.5</v>
      </c>
      <c r="C1043">
        <f>Feuille1!B1052</f>
        <v>-15858.156609236428</v>
      </c>
      <c r="D1043">
        <f>Feuille1!C1052</f>
        <v>-16980.055173148332</v>
      </c>
    </row>
    <row r="1044" spans="2:4" x14ac:dyDescent="0.3">
      <c r="B1044">
        <f>Feuille1!A1053</f>
        <v>372</v>
      </c>
      <c r="C1044">
        <f>Feuille1!B1053</f>
        <v>-16107.80147795142</v>
      </c>
      <c r="D1044">
        <f>Feuille1!C1053</f>
        <v>-25004.632038166281</v>
      </c>
    </row>
    <row r="1045" spans="2:4" x14ac:dyDescent="0.3">
      <c r="B1045">
        <f>Feuille1!A1054</f>
        <v>372.5</v>
      </c>
      <c r="C1045">
        <f>Feuille1!B1054</f>
        <v>-14189.672612201341</v>
      </c>
      <c r="D1045">
        <f>Feuille1!C1054</f>
        <v>-34345.27540688654</v>
      </c>
    </row>
    <row r="1046" spans="2:4" x14ac:dyDescent="0.3">
      <c r="B1046">
        <f>Feuille1!A1055</f>
        <v>373</v>
      </c>
      <c r="C1046">
        <f>Feuille1!B1055</f>
        <v>-8331.3017318920938</v>
      </c>
      <c r="D1046">
        <f>Feuille1!C1055</f>
        <v>-43578.352730361163</v>
      </c>
    </row>
    <row r="1047" spans="2:4" x14ac:dyDescent="0.3">
      <c r="B1047">
        <f>Feuille1!A1056</f>
        <v>373.5</v>
      </c>
      <c r="C1047">
        <f>Feuille1!B1056</f>
        <v>-1020.3210391885111</v>
      </c>
      <c r="D1047">
        <f>Feuille1!C1056</f>
        <v>-48917.419663896013</v>
      </c>
    </row>
    <row r="1048" spans="2:4" x14ac:dyDescent="0.3">
      <c r="B1048">
        <f>Feuille1!A1057</f>
        <v>374</v>
      </c>
      <c r="C1048">
        <f>Feuille1!B1057</f>
        <v>5555.2282969775524</v>
      </c>
      <c r="D1048">
        <f>Feuille1!C1057</f>
        <v>-51293.440231028384</v>
      </c>
    </row>
    <row r="1049" spans="2:4" x14ac:dyDescent="0.3">
      <c r="B1049">
        <f>Feuille1!A1058</f>
        <v>374.5</v>
      </c>
      <c r="C1049">
        <f>Feuille1!B1058</f>
        <v>11076.589038533652</v>
      </c>
      <c r="D1049">
        <f>Feuille1!C1058</f>
        <v>-51755.943324314649</v>
      </c>
    </row>
    <row r="1050" spans="2:4" x14ac:dyDescent="0.3">
      <c r="B1050">
        <f>Feuille1!A1059</f>
        <v>375</v>
      </c>
      <c r="C1050">
        <f>Feuille1!B1059</f>
        <v>15545.951915476087</v>
      </c>
      <c r="D1050">
        <f>Feuille1!C1059</f>
        <v>-50860.310509033829</v>
      </c>
    </row>
    <row r="1051" spans="2:4" x14ac:dyDescent="0.3">
      <c r="B1051">
        <f>Feuille1!A1060</f>
        <v>375.5</v>
      </c>
      <c r="C1051">
        <f>Feuille1!B1060</f>
        <v>18990.504052186785</v>
      </c>
      <c r="D1051">
        <f>Feuille1!C1060</f>
        <v>-48916.485319924526</v>
      </c>
    </row>
    <row r="1052" spans="2:4" x14ac:dyDescent="0.3">
      <c r="B1052">
        <f>Feuille1!A1061</f>
        <v>376</v>
      </c>
      <c r="C1052">
        <f>Feuille1!B1061</f>
        <v>21416.367736523451</v>
      </c>
      <c r="D1052">
        <f>Feuille1!C1061</f>
        <v>-46117.039473147328</v>
      </c>
    </row>
    <row r="1053" spans="2:4" x14ac:dyDescent="0.3">
      <c r="B1053">
        <f>Feuille1!A1062</f>
        <v>376.5</v>
      </c>
      <c r="C1053">
        <f>Feuille1!B1062</f>
        <v>22802.186144735795</v>
      </c>
      <c r="D1053">
        <f>Feuille1!C1062</f>
        <v>-42596.466424159611</v>
      </c>
    </row>
    <row r="1054" spans="2:4" x14ac:dyDescent="0.3">
      <c r="B1054">
        <f>Feuille1!A1063</f>
        <v>377</v>
      </c>
      <c r="C1054">
        <f>Feuille1!B1063</f>
        <v>23099.303414334972</v>
      </c>
      <c r="D1054">
        <f>Feuille1!C1063</f>
        <v>-38463.415682269493</v>
      </c>
    </row>
    <row r="1055" spans="2:4" x14ac:dyDescent="0.3">
      <c r="B1055">
        <f>Feuille1!A1064</f>
        <v>377.5</v>
      </c>
      <c r="C1055">
        <f>Feuille1!B1064</f>
        <v>22234.707664269561</v>
      </c>
      <c r="D1055">
        <f>Feuille1!C1064</f>
        <v>-33823.83431394193</v>
      </c>
    </row>
    <row r="1056" spans="2:4" x14ac:dyDescent="0.3">
      <c r="B1056">
        <f>Feuille1!A1065</f>
        <v>378</v>
      </c>
      <c r="C1056">
        <f>Feuille1!B1065</f>
        <v>20121.606480898088</v>
      </c>
      <c r="D1056">
        <f>Feuille1!C1065</f>
        <v>-28803.587905414093</v>
      </c>
    </row>
    <row r="1057" spans="2:4" x14ac:dyDescent="0.3">
      <c r="B1057">
        <f>Feuille1!A1066</f>
        <v>378.5</v>
      </c>
      <c r="C1057">
        <f>Feuille1!B1066</f>
        <v>16691.728146073878</v>
      </c>
      <c r="D1057">
        <f>Feuille1!C1066</f>
        <v>-23572.658227660486</v>
      </c>
    </row>
    <row r="1058" spans="2:4" x14ac:dyDescent="0.3">
      <c r="B1058">
        <f>Feuille1!A1067</f>
        <v>379</v>
      </c>
      <c r="C1058">
        <f>Feuille1!B1067</f>
        <v>11973.351154524193</v>
      </c>
      <c r="D1058">
        <f>Feuille1!C1067</f>
        <v>-18357.056801351329</v>
      </c>
    </row>
    <row r="1059" spans="2:4" x14ac:dyDescent="0.3">
      <c r="B1059">
        <f>Feuille1!A1068</f>
        <v>379.5</v>
      </c>
      <c r="C1059">
        <f>Feuille1!B1068</f>
        <v>6213.1998454421437</v>
      </c>
      <c r="D1059">
        <f>Feuille1!C1068</f>
        <v>-13391.387720259658</v>
      </c>
    </row>
    <row r="1060" spans="2:4" x14ac:dyDescent="0.3">
      <c r="B1060">
        <f>Feuille1!A1069</f>
        <v>380</v>
      </c>
      <c r="C1060">
        <f>Feuille1!B1069</f>
        <v>-91.296840816937561</v>
      </c>
      <c r="D1060">
        <f>Feuille1!C1069</f>
        <v>-8780.9780034991436</v>
      </c>
    </row>
    <row r="1061" spans="2:4" x14ac:dyDescent="0.3">
      <c r="B1061">
        <f>Feuille1!A1070</f>
        <v>380.5</v>
      </c>
      <c r="C1061">
        <f>Feuille1!B1070</f>
        <v>-6416.0874485175609</v>
      </c>
      <c r="D1061">
        <f>Feuille1!C1070</f>
        <v>-4404.6739979650556</v>
      </c>
    </row>
    <row r="1062" spans="2:4" x14ac:dyDescent="0.3">
      <c r="B1062">
        <f>Feuille1!A1071</f>
        <v>381</v>
      </c>
      <c r="C1062">
        <f>Feuille1!B1071</f>
        <v>-12461.674169882099</v>
      </c>
      <c r="D1062">
        <f>Feuille1!C1071</f>
        <v>38.585255079614512</v>
      </c>
    </row>
    <row r="1063" spans="2:4" x14ac:dyDescent="0.3">
      <c r="B1063">
        <f>Feuille1!A1072</f>
        <v>381.5</v>
      </c>
      <c r="C1063">
        <f>Feuille1!B1072</f>
        <v>-18141.090082576782</v>
      </c>
      <c r="D1063">
        <f>Feuille1!C1072</f>
        <v>5014.9824454126374</v>
      </c>
    </row>
    <row r="1064" spans="2:4" x14ac:dyDescent="0.3">
      <c r="B1064">
        <f>Feuille1!A1073</f>
        <v>382</v>
      </c>
      <c r="C1064">
        <f>Feuille1!B1073</f>
        <v>-23318.431207131347</v>
      </c>
      <c r="D1064">
        <f>Feuille1!C1073</f>
        <v>11294.036680667868</v>
      </c>
    </row>
    <row r="1065" spans="2:4" x14ac:dyDescent="0.3">
      <c r="B1065">
        <f>Feuille1!A1074</f>
        <v>382.5</v>
      </c>
      <c r="C1065">
        <f>Feuille1!B1074</f>
        <v>-26900.625795746451</v>
      </c>
      <c r="D1065">
        <f>Feuille1!C1074</f>
        <v>19821.447484015483</v>
      </c>
    </row>
    <row r="1066" spans="2:4" x14ac:dyDescent="0.3">
      <c r="B1066">
        <f>Feuille1!A1075</f>
        <v>383</v>
      </c>
      <c r="C1066">
        <f>Feuille1!B1075</f>
        <v>-26794.48487610152</v>
      </c>
      <c r="D1066">
        <f>Feuille1!C1075</f>
        <v>28164.252412426147</v>
      </c>
    </row>
    <row r="1067" spans="2:4" x14ac:dyDescent="0.3">
      <c r="B1067">
        <f>Feuille1!A1076</f>
        <v>383.5</v>
      </c>
      <c r="C1067">
        <f>Feuille1!B1076</f>
        <v>-24636.554373662977</v>
      </c>
      <c r="D1067">
        <f>Feuille1!C1076</f>
        <v>34356.102709124003</v>
      </c>
    </row>
    <row r="1068" spans="2:4" x14ac:dyDescent="0.3">
      <c r="B1068">
        <f>Feuille1!A1077</f>
        <v>384</v>
      </c>
      <c r="C1068">
        <f>Feuille1!B1077</f>
        <v>-21501.834576595626</v>
      </c>
      <c r="D1068">
        <f>Feuille1!C1077</f>
        <v>38677.233973760209</v>
      </c>
    </row>
    <row r="1069" spans="2:4" x14ac:dyDescent="0.3">
      <c r="B1069">
        <f>Feuille1!A1078</f>
        <v>384.5</v>
      </c>
      <c r="C1069">
        <f>Feuille1!B1078</f>
        <v>-17803.21584193311</v>
      </c>
      <c r="D1069">
        <f>Feuille1!C1078</f>
        <v>41446.296822940094</v>
      </c>
    </row>
    <row r="1070" spans="2:4" x14ac:dyDescent="0.3">
      <c r="B1070">
        <f>Feuille1!A1079</f>
        <v>385</v>
      </c>
      <c r="C1070">
        <f>Feuille1!B1079</f>
        <v>-13727.11087665093</v>
      </c>
      <c r="D1070">
        <f>Feuille1!C1079</f>
        <v>42848.786693946538</v>
      </c>
    </row>
    <row r="1071" spans="2:4" x14ac:dyDescent="0.3">
      <c r="B1071">
        <f>Feuille1!A1080</f>
        <v>385.5</v>
      </c>
      <c r="C1071">
        <f>Feuille1!B1080</f>
        <v>-9368.9753810984203</v>
      </c>
      <c r="D1071">
        <f>Feuille1!C1080</f>
        <v>42978.316882188774</v>
      </c>
    </row>
    <row r="1072" spans="2:4" x14ac:dyDescent="0.3">
      <c r="B1072">
        <f>Feuille1!A1081</f>
        <v>386</v>
      </c>
      <c r="C1072">
        <f>Feuille1!B1081</f>
        <v>-4771.5114784685147</v>
      </c>
      <c r="D1072">
        <f>Feuille1!C1081</f>
        <v>41864.284915332188</v>
      </c>
    </row>
    <row r="1073" spans="2:4" x14ac:dyDescent="0.3">
      <c r="B1073">
        <f>Feuille1!A1082</f>
        <v>386.5</v>
      </c>
      <c r="C1073">
        <f>Feuille1!B1082</f>
        <v>76.812290756662435</v>
      </c>
      <c r="D1073">
        <f>Feuille1!C1082</f>
        <v>39476.380972978572</v>
      </c>
    </row>
    <row r="1074" spans="2:4" x14ac:dyDescent="0.3">
      <c r="B1074">
        <f>Feuille1!A1083</f>
        <v>387</v>
      </c>
      <c r="C1074">
        <f>Feuille1!B1083</f>
        <v>5279.8817732627685</v>
      </c>
      <c r="D1074">
        <f>Feuille1!C1083</f>
        <v>35695.561367003938</v>
      </c>
    </row>
    <row r="1075" spans="2:4" x14ac:dyDescent="0.3">
      <c r="B1075">
        <f>Feuille1!A1084</f>
        <v>387.5</v>
      </c>
      <c r="C1075">
        <f>Feuille1!B1084</f>
        <v>11144.77317699832</v>
      </c>
      <c r="D1075">
        <f>Feuille1!C1084</f>
        <v>30199.564133055261</v>
      </c>
    </row>
    <row r="1076" spans="2:4" x14ac:dyDescent="0.3">
      <c r="B1076">
        <f>Feuille1!A1085</f>
        <v>388</v>
      </c>
      <c r="C1076">
        <f>Feuille1!B1085</f>
        <v>18474.265256624727</v>
      </c>
      <c r="D1076">
        <f>Feuille1!C1085</f>
        <v>22092.978085828905</v>
      </c>
    </row>
    <row r="1077" spans="2:4" x14ac:dyDescent="0.3">
      <c r="B1077">
        <f>Feuille1!A1086</f>
        <v>388.5</v>
      </c>
      <c r="C1077">
        <f>Feuille1!B1086</f>
        <v>26814.22496755511</v>
      </c>
      <c r="D1077">
        <f>Feuille1!C1086</f>
        <v>11735.140630854619</v>
      </c>
    </row>
    <row r="1078" spans="2:4" x14ac:dyDescent="0.3">
      <c r="B1078">
        <f>Feuille1!A1087</f>
        <v>389</v>
      </c>
      <c r="C1078">
        <f>Feuille1!B1087</f>
        <v>32486.467685800821</v>
      </c>
      <c r="D1078">
        <f>Feuille1!C1087</f>
        <v>3908.6217332617766</v>
      </c>
    </row>
    <row r="1079" spans="2:4" x14ac:dyDescent="0.3">
      <c r="B1079">
        <f>Feuille1!A1088</f>
        <v>389.5</v>
      </c>
      <c r="C1079">
        <f>Feuille1!B1088</f>
        <v>36637.939111533517</v>
      </c>
      <c r="D1079">
        <f>Feuille1!C1088</f>
        <v>-2670.5093525720818</v>
      </c>
    </row>
    <row r="1080" spans="2:4" x14ac:dyDescent="0.3">
      <c r="B1080">
        <f>Feuille1!A1089</f>
        <v>390</v>
      </c>
      <c r="C1080">
        <f>Feuille1!B1089</f>
        <v>39721.410398601896</v>
      </c>
      <c r="D1080">
        <f>Feuille1!C1089</f>
        <v>-8523.6549404335929</v>
      </c>
    </row>
    <row r="1081" spans="2:4" x14ac:dyDescent="0.3">
      <c r="B1081">
        <f>Feuille1!A1090</f>
        <v>390.5</v>
      </c>
      <c r="C1081">
        <f>Feuille1!B1090</f>
        <v>41941.56472043386</v>
      </c>
      <c r="D1081">
        <f>Feuille1!C1090</f>
        <v>-13876.80904864148</v>
      </c>
    </row>
    <row r="1082" spans="2:4" x14ac:dyDescent="0.3">
      <c r="B1082">
        <f>Feuille1!A1091</f>
        <v>391</v>
      </c>
      <c r="C1082">
        <f>Feuille1!B1091</f>
        <v>43408.629121908394</v>
      </c>
      <c r="D1082">
        <f>Feuille1!C1091</f>
        <v>-18839.323430600693</v>
      </c>
    </row>
    <row r="1083" spans="2:4" x14ac:dyDescent="0.3">
      <c r="B1083">
        <f>Feuille1!A1092</f>
        <v>391.5</v>
      </c>
      <c r="C1083">
        <f>Feuille1!B1092</f>
        <v>44189.21019785307</v>
      </c>
      <c r="D1083">
        <f>Feuille1!C1092</f>
        <v>-23466.223117232959</v>
      </c>
    </row>
    <row r="1084" spans="2:4" x14ac:dyDescent="0.3">
      <c r="B1084">
        <f>Feuille1!A1093</f>
        <v>392</v>
      </c>
      <c r="C1084">
        <f>Feuille1!B1093</f>
        <v>44326.116916360246</v>
      </c>
      <c r="D1084">
        <f>Feuille1!C1093</f>
        <v>-27783.82976374399</v>
      </c>
    </row>
    <row r="1085" spans="2:4" x14ac:dyDescent="0.3">
      <c r="B1085">
        <f>Feuille1!A1094</f>
        <v>392.5</v>
      </c>
      <c r="C1085">
        <f>Feuille1!B1094</f>
        <v>43847.010010101716</v>
      </c>
      <c r="D1085">
        <f>Feuille1!C1094</f>
        <v>-31801.505273233241</v>
      </c>
    </row>
    <row r="1086" spans="2:4" x14ac:dyDescent="0.3">
      <c r="B1086">
        <f>Feuille1!A1095</f>
        <v>393</v>
      </c>
      <c r="C1086">
        <f>Feuille1!B1095</f>
        <v>42768.360219719631</v>
      </c>
      <c r="D1086">
        <f>Feuille1!C1095</f>
        <v>-35517.253041810065</v>
      </c>
    </row>
    <row r="1087" spans="2:4" x14ac:dyDescent="0.3">
      <c r="B1087">
        <f>Feuille1!A1096</f>
        <v>393.5</v>
      </c>
      <c r="C1087">
        <f>Feuille1!B1096</f>
        <v>41097.112553217463</v>
      </c>
      <c r="D1087">
        <f>Feuille1!C1096</f>
        <v>-38920.180736121554</v>
      </c>
    </row>
    <row r="1088" spans="2:4" x14ac:dyDescent="0.3">
      <c r="B1088">
        <f>Feuille1!A1097</f>
        <v>394</v>
      </c>
      <c r="C1088">
        <f>Feuille1!B1097</f>
        <v>38830.975646235551</v>
      </c>
      <c r="D1088">
        <f>Feuille1!C1097</f>
        <v>-41991.0363892838</v>
      </c>
    </row>
    <row r="1089" spans="2:4" x14ac:dyDescent="0.3">
      <c r="B1089">
        <f>Feuille1!A1098</f>
        <v>394.5</v>
      </c>
      <c r="C1089">
        <f>Feuille1!B1098</f>
        <v>35957.612279177847</v>
      </c>
      <c r="D1089">
        <f>Feuille1!C1098</f>
        <v>-44701.177423538473</v>
      </c>
    </row>
    <row r="1090" spans="2:4" x14ac:dyDescent="0.3">
      <c r="B1090">
        <f>Feuille1!A1099</f>
        <v>395</v>
      </c>
      <c r="C1090">
        <f>Feuille1!B1099</f>
        <v>32452.628298806147</v>
      </c>
      <c r="D1090">
        <f>Feuille1!C1099</f>
        <v>-47009.726825175458</v>
      </c>
    </row>
    <row r="1091" spans="2:4" x14ac:dyDescent="0.3">
      <c r="B1091">
        <f>Feuille1!A1100</f>
        <v>395.5</v>
      </c>
      <c r="C1091">
        <f>Feuille1!B1100</f>
        <v>28275.904589672144</v>
      </c>
      <c r="D1091">
        <f>Feuille1!C1100</f>
        <v>-48857.904426741152</v>
      </c>
    </row>
    <row r="1092" spans="2:4" x14ac:dyDescent="0.3">
      <c r="B1092">
        <f>Feuille1!A1101</f>
        <v>396</v>
      </c>
      <c r="C1092">
        <f>Feuille1!B1101</f>
        <v>23365.35030878376</v>
      </c>
      <c r="D1092">
        <f>Feuille1!C1101</f>
        <v>-50158.011020981707</v>
      </c>
    </row>
    <row r="1093" spans="2:4" x14ac:dyDescent="0.3">
      <c r="B1093">
        <f>Feuille1!A1102</f>
        <v>396.5</v>
      </c>
      <c r="C1093">
        <f>Feuille1!B1102</f>
        <v>17626.581639706044</v>
      </c>
      <c r="D1093">
        <f>Feuille1!C1102</f>
        <v>-50770.800973175385</v>
      </c>
    </row>
    <row r="1094" spans="2:4" x14ac:dyDescent="0.3">
      <c r="B1094">
        <f>Feuille1!A1103</f>
        <v>397</v>
      </c>
      <c r="C1094">
        <f>Feuille1!B1103</f>
        <v>10917.614735992183</v>
      </c>
      <c r="D1094">
        <f>Feuille1!C1103</f>
        <v>-50454.284742443837</v>
      </c>
    </row>
    <row r="1095" spans="2:4" x14ac:dyDescent="0.3">
      <c r="B1095">
        <f>Feuille1!A1104</f>
        <v>397.5</v>
      </c>
      <c r="C1095">
        <f>Feuille1!B1104</f>
        <v>3041.956845244546</v>
      </c>
      <c r="D1095">
        <f>Feuille1!C1104</f>
        <v>-48733.339644095999</v>
      </c>
    </row>
    <row r="1096" spans="2:4" x14ac:dyDescent="0.3">
      <c r="B1096">
        <f>Feuille1!A1105</f>
        <v>398</v>
      </c>
      <c r="C1096">
        <f>Feuille1!B1105</f>
        <v>-6085.2402094277222</v>
      </c>
      <c r="D1096">
        <f>Feuille1!C1105</f>
        <v>-44554.602259655076</v>
      </c>
    </row>
    <row r="1097" spans="2:4" x14ac:dyDescent="0.3">
      <c r="B1097">
        <f>Feuille1!A1106</f>
        <v>398.5</v>
      </c>
      <c r="C1097">
        <f>Feuille1!B1106</f>
        <v>-14733.679600664365</v>
      </c>
      <c r="D1097">
        <f>Feuille1!C1106</f>
        <v>-36316.866917315143</v>
      </c>
    </row>
    <row r="1098" spans="2:4" x14ac:dyDescent="0.3">
      <c r="B1098">
        <f>Feuille1!A1107</f>
        <v>399</v>
      </c>
      <c r="C1098">
        <f>Feuille1!B1107</f>
        <v>-19574.769507827983</v>
      </c>
      <c r="D1098">
        <f>Feuille1!C1107</f>
        <v>-27219.628116558375</v>
      </c>
    </row>
    <row r="1099" spans="2:4" x14ac:dyDescent="0.3">
      <c r="B1099">
        <f>Feuille1!A1108</f>
        <v>399.5</v>
      </c>
      <c r="C1099">
        <f>Feuille1!B1108</f>
        <v>-22128.460564773592</v>
      </c>
      <c r="D1099">
        <f>Feuille1!C1108</f>
        <v>-18819.792077871956</v>
      </c>
    </row>
    <row r="1100" spans="2:4" x14ac:dyDescent="0.3">
      <c r="B1100">
        <f>Feuille1!A1109</f>
        <v>400</v>
      </c>
      <c r="C1100">
        <f>Feuille1!B1109</f>
        <v>-23370.019753737946</v>
      </c>
      <c r="D1100">
        <f>Feuille1!C1109</f>
        <v>-10890.758250236655</v>
      </c>
    </row>
    <row r="1101" spans="2:4" x14ac:dyDescent="0.3">
      <c r="B1101">
        <f>Feuille1!A1110</f>
        <v>400.5</v>
      </c>
      <c r="C1101">
        <f>Feuille1!B1110</f>
        <v>-23679.639553125045</v>
      </c>
      <c r="D1101">
        <f>Feuille1!C1110</f>
        <v>-3033.4543896456926</v>
      </c>
    </row>
    <row r="1102" spans="2:4" x14ac:dyDescent="0.3">
      <c r="B1102">
        <f>Feuille1!A1111</f>
        <v>401</v>
      </c>
      <c r="C1102">
        <f>Feuille1!B1111</f>
        <v>-23153.246566617498</v>
      </c>
      <c r="D1102">
        <f>Feuille1!C1111</f>
        <v>5242.5772724366561</v>
      </c>
    </row>
    <row r="1103" spans="2:4" x14ac:dyDescent="0.3">
      <c r="B1103">
        <f>Feuille1!A1112</f>
        <v>401.5</v>
      </c>
      <c r="C1103">
        <f>Feuille1!B1112</f>
        <v>-21638.604937776065</v>
      </c>
      <c r="D1103">
        <f>Feuille1!C1112</f>
        <v>14804.077134091947</v>
      </c>
    </row>
    <row r="1104" spans="2:4" x14ac:dyDescent="0.3">
      <c r="B1104">
        <f>Feuille1!A1113</f>
        <v>402</v>
      </c>
      <c r="C1104">
        <f>Feuille1!B1113</f>
        <v>-18497.738432650509</v>
      </c>
      <c r="D1104">
        <f>Feuille1!C1113</f>
        <v>27164.250714459693</v>
      </c>
    </row>
    <row r="1105" spans="2:4" x14ac:dyDescent="0.3">
      <c r="B1105">
        <f>Feuille1!A1114</f>
        <v>402.5</v>
      </c>
      <c r="C1105">
        <f>Feuille1!B1114</f>
        <v>-15324.962672648344</v>
      </c>
      <c r="D1105">
        <f>Feuille1!C1114</f>
        <v>36154.31066253272</v>
      </c>
    </row>
    <row r="1106" spans="2:4" x14ac:dyDescent="0.3">
      <c r="B1106">
        <f>Feuille1!A1115</f>
        <v>403</v>
      </c>
      <c r="C1106">
        <f>Feuille1!B1115</f>
        <v>-11938.751165928612</v>
      </c>
      <c r="D1106">
        <f>Feuille1!C1115</f>
        <v>43346.40444497412</v>
      </c>
    </row>
    <row r="1107" spans="2:4" x14ac:dyDescent="0.3">
      <c r="B1107">
        <f>Feuille1!A1116</f>
        <v>403.5</v>
      </c>
      <c r="C1107">
        <f>Feuille1!B1116</f>
        <v>-8292.714632681982</v>
      </c>
      <c r="D1107">
        <f>Feuille1!C1116</f>
        <v>49298.773279499219</v>
      </c>
    </row>
    <row r="1108" spans="2:4" x14ac:dyDescent="0.3">
      <c r="B1108">
        <f>Feuille1!A1117</f>
        <v>404</v>
      </c>
      <c r="C1108">
        <f>Feuille1!B1117</f>
        <v>-4421.4274638241222</v>
      </c>
      <c r="D1108">
        <f>Feuille1!C1117</f>
        <v>54235.711567284867</v>
      </c>
    </row>
    <row r="1109" spans="2:4" x14ac:dyDescent="0.3">
      <c r="B1109">
        <f>Feuille1!A1118</f>
        <v>404.5</v>
      </c>
      <c r="C1109">
        <f>Feuille1!B1118</f>
        <v>-381.22215508912609</v>
      </c>
      <c r="D1109">
        <f>Feuille1!C1118</f>
        <v>58276.909506948912</v>
      </c>
    </row>
    <row r="1110" spans="2:4" x14ac:dyDescent="0.3">
      <c r="B1110">
        <f>Feuille1!A1119</f>
        <v>405</v>
      </c>
      <c r="C1110">
        <f>Feuille1!B1119</f>
        <v>3769.6818014399219</v>
      </c>
      <c r="D1110">
        <f>Feuille1!C1119</f>
        <v>61500.361266902168</v>
      </c>
    </row>
    <row r="1111" spans="2:4" x14ac:dyDescent="0.3">
      <c r="B1111">
        <f>Feuille1!A1120</f>
        <v>405.5</v>
      </c>
      <c r="C1111">
        <f>Feuille1!B1120</f>
        <v>7977.3039997441965</v>
      </c>
      <c r="D1111">
        <f>Feuille1!C1120</f>
        <v>63963.079611051777</v>
      </c>
    </row>
    <row r="1112" spans="2:4" x14ac:dyDescent="0.3">
      <c r="B1112">
        <f>Feuille1!A1121</f>
        <v>406</v>
      </c>
      <c r="C1112">
        <f>Feuille1!B1121</f>
        <v>12193.018858839716</v>
      </c>
      <c r="D1112">
        <f>Feuille1!C1121</f>
        <v>65709.116675624784</v>
      </c>
    </row>
    <row r="1113" spans="2:4" x14ac:dyDescent="0.3">
      <c r="B1113">
        <f>Feuille1!A1122</f>
        <v>406.5</v>
      </c>
      <c r="C1113">
        <f>Feuille1!B1122</f>
        <v>16372.862984093726</v>
      </c>
      <c r="D1113">
        <f>Feuille1!C1122</f>
        <v>66773.206786609066</v>
      </c>
    </row>
    <row r="1114" spans="2:4" x14ac:dyDescent="0.3">
      <c r="B1114">
        <f>Feuille1!A1123</f>
        <v>407</v>
      </c>
      <c r="C1114">
        <f>Feuille1!B1123</f>
        <v>20476.248108220367</v>
      </c>
      <c r="D1114">
        <f>Feuille1!C1123</f>
        <v>67182.700086353536</v>
      </c>
    </row>
    <row r="1115" spans="2:4" x14ac:dyDescent="0.3">
      <c r="B1115">
        <f>Feuille1!A1124</f>
        <v>407.5</v>
      </c>
      <c r="C1115">
        <f>Feuille1!B1124</f>
        <v>24464.515606731962</v>
      </c>
      <c r="D1115">
        <f>Feuille1!C1124</f>
        <v>66958.733067633395</v>
      </c>
    </row>
    <row r="1116" spans="2:4" x14ac:dyDescent="0.3">
      <c r="B1116">
        <f>Feuille1!A1125</f>
        <v>408</v>
      </c>
      <c r="C1116">
        <f>Feuille1!B1125</f>
        <v>28299.449789114064</v>
      </c>
      <c r="D1116">
        <f>Feuille1!C1125</f>
        <v>66117.005720815025</v>
      </c>
    </row>
    <row r="1117" spans="2:4" x14ac:dyDescent="0.3">
      <c r="B1117">
        <f>Feuille1!A1126</f>
        <v>408.5</v>
      </c>
      <c r="C1117">
        <f>Feuille1!B1126</f>
        <v>31941.728329672256</v>
      </c>
      <c r="D1117">
        <f>Feuille1!C1126</f>
        <v>64668.330223290381</v>
      </c>
    </row>
    <row r="1118" spans="2:4" x14ac:dyDescent="0.3">
      <c r="B1118">
        <f>Feuille1!A1127</f>
        <v>409</v>
      </c>
      <c r="C1118">
        <f>Feuille1!B1127</f>
        <v>35349.215532067596</v>
      </c>
      <c r="D1118">
        <f>Feuille1!C1127</f>
        <v>62619.044473803355</v>
      </c>
    </row>
    <row r="1119" spans="2:4" x14ac:dyDescent="0.3">
      <c r="B1119">
        <f>Feuille1!A1128</f>
        <v>409.5</v>
      </c>
      <c r="C1119">
        <f>Feuille1!B1128</f>
        <v>38474.946434919708</v>
      </c>
      <c r="D1119">
        <f>Feuille1!C1128</f>
        <v>59971.369832659533</v>
      </c>
    </row>
    <row r="1120" spans="2:4" x14ac:dyDescent="0.3">
      <c r="B1120">
        <f>Feuille1!A1129</f>
        <v>410</v>
      </c>
      <c r="C1120">
        <f>Feuille1!B1129</f>
        <v>41264.578735094721</v>
      </c>
      <c r="D1120">
        <f>Feuille1!C1129</f>
        <v>56723.818777272143</v>
      </c>
    </row>
    <row r="1121" spans="2:4" x14ac:dyDescent="0.3">
      <c r="B1121">
        <f>Feuille1!A1130</f>
        <v>410.5</v>
      </c>
      <c r="C1121">
        <f>Feuille1!B1130</f>
        <v>43652.982727544033</v>
      </c>
      <c r="D1121">
        <f>Feuille1!C1130</f>
        <v>52871.838799324039</v>
      </c>
    </row>
    <row r="1122" spans="2:4" x14ac:dyDescent="0.3">
      <c r="B1122">
        <f>Feuille1!A1131</f>
        <v>411</v>
      </c>
      <c r="C1122">
        <f>Feuille1!B1131</f>
        <v>45559.474346549323</v>
      </c>
      <c r="D1122">
        <f>Feuille1!C1131</f>
        <v>48409.064942059013</v>
      </c>
    </row>
    <row r="1123" spans="2:4" x14ac:dyDescent="0.3">
      <c r="B1123">
        <f>Feuille1!A1132</f>
        <v>411.5</v>
      </c>
      <c r="C1123">
        <f>Feuille1!B1132</f>
        <v>46880.958990523126</v>
      </c>
      <c r="D1123">
        <f>Feuille1!C1132</f>
        <v>43329.970274329789</v>
      </c>
    </row>
    <row r="1124" spans="2:4" x14ac:dyDescent="0.3">
      <c r="B1124">
        <f>Feuille1!A1133</f>
        <v>412</v>
      </c>
      <c r="C1124">
        <f>Feuille1!B1133</f>
        <v>47481.999951964572</v>
      </c>
      <c r="D1124">
        <f>Feuille1!C1133</f>
        <v>37635.644825421405</v>
      </c>
    </row>
    <row r="1125" spans="2:4" x14ac:dyDescent="0.3">
      <c r="B1125">
        <f>Feuille1!A1134</f>
        <v>412.5</v>
      </c>
      <c r="C1125">
        <f>Feuille1!B1134</f>
        <v>47180.949828519086</v>
      </c>
      <c r="D1125">
        <f>Feuille1!C1134</f>
        <v>31346.556830567137</v>
      </c>
    </row>
    <row r="1126" spans="2:4" x14ac:dyDescent="0.3">
      <c r="B1126">
        <f>Feuille1!A1135</f>
        <v>413</v>
      </c>
      <c r="C1126">
        <f>Feuille1!B1135</f>
        <v>45733.575007317202</v>
      </c>
      <c r="D1126">
        <f>Feuille1!C1135</f>
        <v>24530.678654855354</v>
      </c>
    </row>
    <row r="1127" spans="2:4" x14ac:dyDescent="0.3">
      <c r="B1127">
        <f>Feuille1!A1136</f>
        <v>413.5</v>
      </c>
      <c r="C1127">
        <f>Feuille1!B1136</f>
        <v>42826.758087096394</v>
      </c>
      <c r="D1127">
        <f>Feuille1!C1136</f>
        <v>17362.691514175684</v>
      </c>
    </row>
    <row r="1128" spans="2:4" x14ac:dyDescent="0.3">
      <c r="B1128">
        <f>Feuille1!A1137</f>
        <v>414</v>
      </c>
      <c r="C1128">
        <f>Feuille1!B1137</f>
        <v>38132.494756364875</v>
      </c>
      <c r="D1128">
        <f>Feuille1!C1137</f>
        <v>10226.469194594949</v>
      </c>
    </row>
    <row r="1129" spans="2:4" x14ac:dyDescent="0.3">
      <c r="B1129">
        <f>Feuille1!A1138</f>
        <v>414.5</v>
      </c>
      <c r="C1129">
        <f>Feuille1!B1138</f>
        <v>31530.397289626908</v>
      </c>
      <c r="D1129">
        <f>Feuille1!C1138</f>
        <v>3780.8454029095537</v>
      </c>
    </row>
    <row r="1130" spans="2:4" x14ac:dyDescent="0.3">
      <c r="B1130">
        <f>Feuille1!A1139</f>
        <v>415</v>
      </c>
      <c r="C1130">
        <f>Feuille1!B1139</f>
        <v>23425.463893081509</v>
      </c>
      <c r="D1130">
        <f>Feuille1!C1139</f>
        <v>-1328.831970402221</v>
      </c>
    </row>
    <row r="1131" spans="2:4" x14ac:dyDescent="0.3">
      <c r="B1131">
        <f>Feuille1!A1140</f>
        <v>415.5</v>
      </c>
      <c r="C1131">
        <f>Feuille1!B1140</f>
        <v>14534.499245494506</v>
      </c>
      <c r="D1131">
        <f>Feuille1!C1140</f>
        <v>-5067.876031006047</v>
      </c>
    </row>
    <row r="1132" spans="2:4" x14ac:dyDescent="0.3">
      <c r="B1132">
        <f>Feuille1!A1141</f>
        <v>416</v>
      </c>
      <c r="C1132">
        <f>Feuille1!B1141</f>
        <v>5291.2901668119275</v>
      </c>
      <c r="D1132">
        <f>Feuille1!C1141</f>
        <v>-7998.5554846070763</v>
      </c>
    </row>
    <row r="1133" spans="2:4" x14ac:dyDescent="0.3">
      <c r="B1133">
        <f>Feuille1!A1142</f>
        <v>416.5</v>
      </c>
      <c r="C1133">
        <f>Feuille1!B1142</f>
        <v>-4143.1792084021999</v>
      </c>
      <c r="D1133">
        <f>Feuille1!C1142</f>
        <v>-10853.233780515644</v>
      </c>
    </row>
    <row r="1134" spans="2:4" x14ac:dyDescent="0.3">
      <c r="B1134">
        <f>Feuille1!A1143</f>
        <v>417</v>
      </c>
      <c r="C1134">
        <f>Feuille1!B1143</f>
        <v>-13433.77404224402</v>
      </c>
      <c r="D1134">
        <f>Feuille1!C1143</f>
        <v>-14266.613535446026</v>
      </c>
    </row>
    <row r="1135" spans="2:4" x14ac:dyDescent="0.3">
      <c r="B1135">
        <f>Feuille1!A1144</f>
        <v>417.5</v>
      </c>
      <c r="C1135">
        <f>Feuille1!B1144</f>
        <v>-21902.427359889774</v>
      </c>
      <c r="D1135">
        <f>Feuille1!C1144</f>
        <v>-18446.307876935636</v>
      </c>
    </row>
    <row r="1136" spans="2:4" x14ac:dyDescent="0.3">
      <c r="B1136">
        <f>Feuille1!A1145</f>
        <v>418</v>
      </c>
      <c r="C1136">
        <f>Feuille1!B1145</f>
        <v>-29081.770734845293</v>
      </c>
      <c r="D1136">
        <f>Feuille1!C1145</f>
        <v>-23100.689127994945</v>
      </c>
    </row>
    <row r="1137" spans="2:4" x14ac:dyDescent="0.3">
      <c r="B1137">
        <f>Feuille1!A1146</f>
        <v>418.5</v>
      </c>
      <c r="C1137">
        <f>Feuille1!B1146</f>
        <v>-34957.728593561005</v>
      </c>
      <c r="D1137">
        <f>Feuille1!C1146</f>
        <v>-27870.286500194812</v>
      </c>
    </row>
    <row r="1138" spans="2:4" x14ac:dyDescent="0.3">
      <c r="B1138">
        <f>Feuille1!A1147</f>
        <v>419</v>
      </c>
      <c r="C1138">
        <f>Feuille1!B1147</f>
        <v>-39703.615530597795</v>
      </c>
      <c r="D1138">
        <f>Feuille1!C1147</f>
        <v>-32538.011485178085</v>
      </c>
    </row>
    <row r="1139" spans="2:4" x14ac:dyDescent="0.3">
      <c r="B1139">
        <f>Feuille1!A1148</f>
        <v>419.5</v>
      </c>
      <c r="C1139">
        <f>Feuille1!B1148</f>
        <v>-43503.955367924042</v>
      </c>
      <c r="D1139">
        <f>Feuille1!C1148</f>
        <v>-36998.543853125004</v>
      </c>
    </row>
    <row r="1140" spans="2:4" x14ac:dyDescent="0.3">
      <c r="B1140">
        <f>Feuille1!A1149</f>
        <v>420</v>
      </c>
      <c r="C1140">
        <f>Feuille1!B1149</f>
        <v>-46508.946857043004</v>
      </c>
      <c r="D1140">
        <f>Feuille1!C1149</f>
        <v>-41204.6691020859</v>
      </c>
    </row>
    <row r="1141" spans="2:4" x14ac:dyDescent="0.3">
      <c r="B1141">
        <f>Feuille1!A1150</f>
        <v>420.5</v>
      </c>
      <c r="C1141">
        <f>Feuille1!B1150</f>
        <v>-48833.209501475721</v>
      </c>
      <c r="D1141">
        <f>Feuille1!C1150</f>
        <v>-45136.413013035999</v>
      </c>
    </row>
    <row r="1142" spans="2:4" x14ac:dyDescent="0.3">
      <c r="B1142">
        <f>Feuille1!A1151</f>
        <v>421</v>
      </c>
      <c r="C1142">
        <f>Feuille1!B1151</f>
        <v>-50563.308558232966</v>
      </c>
      <c r="D1142">
        <f>Feuille1!C1151</f>
        <v>-48786.076652542062</v>
      </c>
    </row>
    <row r="1143" spans="2:4" x14ac:dyDescent="0.3">
      <c r="B1143">
        <f>Feuille1!A1152</f>
        <v>421.5</v>
      </c>
      <c r="C1143">
        <f>Feuille1!B1152</f>
        <v>-51765.006822798947</v>
      </c>
      <c r="D1143">
        <f>Feuille1!C1152</f>
        <v>-52151.138272300042</v>
      </c>
    </row>
    <row r="1144" spans="2:4" x14ac:dyDescent="0.3">
      <c r="B1144">
        <f>Feuille1!A1153</f>
        <v>422</v>
      </c>
      <c r="C1144">
        <f>Feuille1!B1153</f>
        <v>-52488.730631137609</v>
      </c>
      <c r="D1144">
        <f>Feuille1!C1153</f>
        <v>-55230.812830476723</v>
      </c>
    </row>
    <row r="1145" spans="2:4" x14ac:dyDescent="0.3">
      <c r="B1145">
        <f>Feuille1!A1154</f>
        <v>422.5</v>
      </c>
      <c r="C1145">
        <f>Feuille1!B1154</f>
        <v>-52773.438065088383</v>
      </c>
      <c r="D1145">
        <f>Feuille1!C1154</f>
        <v>-58024.313188600659</v>
      </c>
    </row>
    <row r="1146" spans="2:4" x14ac:dyDescent="0.3">
      <c r="B1146">
        <f>Feuille1!A1155</f>
        <v>423</v>
      </c>
      <c r="C1146">
        <f>Feuille1!B1155</f>
        <v>-52649.313409364848</v>
      </c>
      <c r="D1146">
        <f>Feuille1!C1155</f>
        <v>-60529.90899333499</v>
      </c>
    </row>
    <row r="1147" spans="2:4" x14ac:dyDescent="0.3">
      <c r="B1147">
        <f>Feuille1!A1156</f>
        <v>423.5</v>
      </c>
      <c r="C1147">
        <f>Feuille1!B1156</f>
        <v>-52139.639431598378</v>
      </c>
      <c r="D1147">
        <f>Feuille1!C1156</f>
        <v>-62744.351456514953</v>
      </c>
    </row>
    <row r="1148" spans="2:4" x14ac:dyDescent="0.3">
      <c r="B1148">
        <f>Feuille1!A1157</f>
        <v>424</v>
      </c>
      <c r="C1148">
        <f>Feuille1!B1157</f>
        <v>-51262.093844649564</v>
      </c>
      <c r="D1148">
        <f>Feuille1!C1157</f>
        <v>-64662.445056499331</v>
      </c>
    </row>
    <row r="1149" spans="2:4" x14ac:dyDescent="0.3">
      <c r="B1149">
        <f>Feuille1!A1158</f>
        <v>424.5</v>
      </c>
      <c r="C1149">
        <f>Feuille1!B1158</f>
        <v>-50029.632662244177</v>
      </c>
      <c r="D1149">
        <f>Feuille1!C1158</f>
        <v>-66276.642649965434</v>
      </c>
    </row>
    <row r="1150" spans="2:4" x14ac:dyDescent="0.3">
      <c r="B1150">
        <f>Feuille1!A1159</f>
        <v>425</v>
      </c>
      <c r="C1150">
        <f>Feuille1!B1159</f>
        <v>-48451.063727332235</v>
      </c>
      <c r="D1150">
        <f>Feuille1!C1159</f>
        <v>-67576.579581724305</v>
      </c>
    </row>
    <row r="1151" spans="2:4" x14ac:dyDescent="0.3">
      <c r="B1151">
        <f>Feuille1!A1160</f>
        <v>425.5</v>
      </c>
      <c r="C1151">
        <f>Feuille1!B1160</f>
        <v>-46531.371535889426</v>
      </c>
      <c r="D1151">
        <f>Feuille1!C1160</f>
        <v>-68548.470286557436</v>
      </c>
    </row>
    <row r="1152" spans="2:4" x14ac:dyDescent="0.3">
      <c r="B1152">
        <f>Feuille1!A1161</f>
        <v>426</v>
      </c>
      <c r="C1152">
        <f>Feuille1!B1161</f>
        <v>-44271.822499828872</v>
      </c>
      <c r="D1152">
        <f>Feuille1!C1161</f>
        <v>-69174.275554952575</v>
      </c>
    </row>
    <row r="1153" spans="2:4" x14ac:dyDescent="0.3">
      <c r="B1153">
        <f>Feuille1!A1162</f>
        <v>426.5</v>
      </c>
      <c r="C1153">
        <f>Feuille1!B1162</f>
        <v>-41669.852062945538</v>
      </c>
      <c r="D1153">
        <f>Feuille1!C1162</f>
        <v>-69430.507012242655</v>
      </c>
    </row>
    <row r="1154" spans="2:4" x14ac:dyDescent="0.3">
      <c r="B1154">
        <f>Feuille1!A1163</f>
        <v>427</v>
      </c>
      <c r="C1154">
        <f>Feuille1!B1163</f>
        <v>-38718.70632947269</v>
      </c>
      <c r="D1154">
        <f>Feuille1!C1163</f>
        <v>-69286.452152951242</v>
      </c>
    </row>
    <row r="1155" spans="2:4" x14ac:dyDescent="0.3">
      <c r="B1155">
        <f>Feuille1!A1164</f>
        <v>427.5</v>
      </c>
      <c r="C1155">
        <f>Feuille1!B1164</f>
        <v>-35406.775872122715</v>
      </c>
      <c r="D1155">
        <f>Feuille1!C1164</f>
        <v>-68701.441341547834</v>
      </c>
    </row>
    <row r="1156" spans="2:4" x14ac:dyDescent="0.3">
      <c r="B1156">
        <f>Feuille1!A1165</f>
        <v>428</v>
      </c>
      <c r="C1156">
        <f>Feuille1!B1165</f>
        <v>-31716.513958280957</v>
      </c>
      <c r="D1156">
        <f>Feuille1!C1165</f>
        <v>-67620.451045284542</v>
      </c>
    </row>
    <row r="1157" spans="2:4" x14ac:dyDescent="0.3">
      <c r="B1157">
        <f>Feuille1!A1166</f>
        <v>428.5</v>
      </c>
      <c r="C1157">
        <f>Feuille1!B1166</f>
        <v>-27622.781547025694</v>
      </c>
      <c r="D1157">
        <f>Feuille1!C1166</f>
        <v>-65966.633073057426</v>
      </c>
    </row>
    <row r="1158" spans="2:4" x14ac:dyDescent="0.3">
      <c r="B1158">
        <f>Feuille1!A1167</f>
        <v>429</v>
      </c>
      <c r="C1158">
        <f>Feuille1!B1167</f>
        <v>-23090.47466506315</v>
      </c>
      <c r="D1158">
        <f>Feuille1!C1167</f>
        <v>-63627.712836759332</v>
      </c>
    </row>
    <row r="1159" spans="2:4" x14ac:dyDescent="0.3">
      <c r="B1159">
        <f>Feuille1!A1168</f>
        <v>429.5</v>
      </c>
      <c r="C1159">
        <f>Feuille1!B1168</f>
        <v>-18071.78238620863</v>
      </c>
      <c r="D1159">
        <f>Feuille1!C1168</f>
        <v>-60428.949892907804</v>
      </c>
    </row>
    <row r="1160" spans="2:4" x14ac:dyDescent="0.3">
      <c r="B1160">
        <f>Feuille1!A1169</f>
        <v>430</v>
      </c>
      <c r="C1160">
        <f>Feuille1!B1169</f>
        <v>-12506.966497438443</v>
      </c>
      <c r="D1160">
        <f>Feuille1!C1169</f>
        <v>-56073.104084264145</v>
      </c>
    </row>
    <row r="1161" spans="2:4" x14ac:dyDescent="0.3">
      <c r="B1161">
        <f>Feuille1!A1170</f>
        <v>430.5</v>
      </c>
      <c r="C1161">
        <f>Feuille1!B1170</f>
        <v>-6357.8507984354701</v>
      </c>
      <c r="D1161">
        <f>Feuille1!C1170</f>
        <v>-49989.841748907522</v>
      </c>
    </row>
    <row r="1162" spans="2:4" x14ac:dyDescent="0.3">
      <c r="B1162">
        <f>Feuille1!A1171</f>
        <v>431</v>
      </c>
      <c r="C1162">
        <f>Feuille1!B1171</f>
        <v>76.69707757891166</v>
      </c>
      <c r="D1162">
        <f>Feuille1!C1171</f>
        <v>-40974.136994157852</v>
      </c>
    </row>
    <row r="1163" spans="2:4" x14ac:dyDescent="0.3">
      <c r="B1163">
        <f>Feuille1!A1172</f>
        <v>431.5</v>
      </c>
      <c r="C1163">
        <f>Feuille1!B1172</f>
        <v>3956.5389760756257</v>
      </c>
      <c r="D1163">
        <f>Feuille1!C1172</f>
        <v>-28555.068967298179</v>
      </c>
    </row>
    <row r="1164" spans="2:4" x14ac:dyDescent="0.3">
      <c r="B1164">
        <f>Feuille1!A1173</f>
        <v>432</v>
      </c>
      <c r="C1164">
        <f>Feuille1!B1173</f>
        <v>5036.5654428450871</v>
      </c>
      <c r="D1164">
        <f>Feuille1!C1173</f>
        <v>-17661.550374663329</v>
      </c>
    </row>
    <row r="1165" spans="2:4" x14ac:dyDescent="0.3">
      <c r="B1165">
        <f>Feuille1!A1174</f>
        <v>432.5</v>
      </c>
      <c r="C1165">
        <f>Feuille1!B1174</f>
        <v>5257.2204806427344</v>
      </c>
      <c r="D1165">
        <f>Feuille1!C1174</f>
        <v>-7634.6865005224245</v>
      </c>
    </row>
    <row r="1166" spans="2:4" x14ac:dyDescent="0.3">
      <c r="B1166">
        <f>Feuille1!A1175</f>
        <v>433</v>
      </c>
      <c r="C1166">
        <f>Feuille1!B1175</f>
        <v>5306.3915767663293</v>
      </c>
      <c r="D1166">
        <f>Feuille1!C1175</f>
        <v>2498.0204559222707</v>
      </c>
    </row>
    <row r="1167" spans="2:4" x14ac:dyDescent="0.3">
      <c r="B1167">
        <f>Feuille1!A1176</f>
        <v>433.5</v>
      </c>
      <c r="C1167">
        <f>Feuille1!B1176</f>
        <v>5757.9787575976688</v>
      </c>
      <c r="D1167">
        <f>Feuille1!C1176</f>
        <v>13497.080728138973</v>
      </c>
    </row>
    <row r="1168" spans="2:4" x14ac:dyDescent="0.3">
      <c r="B1168">
        <f>Feuille1!A1177</f>
        <v>434</v>
      </c>
      <c r="C1168">
        <f>Feuille1!B1177</f>
        <v>7802.4784131952065</v>
      </c>
      <c r="D1168">
        <f>Feuille1!C1177</f>
        <v>25331.197897073569</v>
      </c>
    </row>
    <row r="1169" spans="2:4" x14ac:dyDescent="0.3">
      <c r="B1169">
        <f>Feuille1!A1178</f>
        <v>434.5</v>
      </c>
      <c r="C1169">
        <f>Feuille1!B1178</f>
        <v>11974.097644591162</v>
      </c>
      <c r="D1169">
        <f>Feuille1!C1178</f>
        <v>35584.355412225304</v>
      </c>
    </row>
    <row r="1170" spans="2:4" x14ac:dyDescent="0.3">
      <c r="B1170">
        <f>Feuille1!A1179</f>
        <v>435</v>
      </c>
      <c r="C1170">
        <f>Feuille1!B1179</f>
        <v>16769.312501471846</v>
      </c>
      <c r="D1170">
        <f>Feuille1!C1179</f>
        <v>43491.786432099696</v>
      </c>
    </row>
    <row r="1171" spans="2:4" x14ac:dyDescent="0.3">
      <c r="B1171">
        <f>Feuille1!A1180</f>
        <v>435.5</v>
      </c>
      <c r="C1171">
        <f>Feuille1!B1180</f>
        <v>21495.934037776333</v>
      </c>
      <c r="D1171">
        <f>Feuille1!C1180</f>
        <v>49662.898394277989</v>
      </c>
    </row>
    <row r="1172" spans="2:4" x14ac:dyDescent="0.3">
      <c r="B1172">
        <f>Feuille1!A1181</f>
        <v>436</v>
      </c>
      <c r="C1172">
        <f>Feuille1!B1181</f>
        <v>25971.016376100182</v>
      </c>
      <c r="D1172">
        <f>Feuille1!C1181</f>
        <v>54584.617880615158</v>
      </c>
    </row>
    <row r="1173" spans="2:4" x14ac:dyDescent="0.3">
      <c r="B1173">
        <f>Feuille1!A1182</f>
        <v>436.5</v>
      </c>
      <c r="C1173">
        <f>Feuille1!B1182</f>
        <v>30154.18406899376</v>
      </c>
      <c r="D1173">
        <f>Feuille1!C1182</f>
        <v>58558.145007504201</v>
      </c>
    </row>
    <row r="1174" spans="2:4" x14ac:dyDescent="0.3">
      <c r="B1174">
        <f>Feuille1!A1183</f>
        <v>437</v>
      </c>
      <c r="C1174">
        <f>Feuille1!B1183</f>
        <v>34044.236978124565</v>
      </c>
      <c r="D1174">
        <f>Feuille1!C1183</f>
        <v>61773.989424036328</v>
      </c>
    </row>
    <row r="1175" spans="2:4" x14ac:dyDescent="0.3">
      <c r="B1175">
        <f>Feuille1!A1184</f>
        <v>437.5</v>
      </c>
      <c r="C1175">
        <f>Feuille1!B1184</f>
        <v>37650.372654897219</v>
      </c>
      <c r="D1175">
        <f>Feuille1!C1184</f>
        <v>64359.041386418518</v>
      </c>
    </row>
    <row r="1176" spans="2:4" x14ac:dyDescent="0.3">
      <c r="B1176">
        <f>Feuille1!A1185</f>
        <v>438</v>
      </c>
      <c r="C1176">
        <f>Feuille1!B1185</f>
        <v>40983.4882785718</v>
      </c>
      <c r="D1176">
        <f>Feuille1!C1185</f>
        <v>66401.876256352989</v>
      </c>
    </row>
    <row r="1177" spans="2:4" x14ac:dyDescent="0.3">
      <c r="B1177">
        <f>Feuille1!A1186</f>
        <v>438.5</v>
      </c>
      <c r="C1177">
        <f>Feuille1!B1186</f>
        <v>44053.44548833384</v>
      </c>
      <c r="D1177">
        <f>Feuille1!C1186</f>
        <v>67966.684106703411</v>
      </c>
    </row>
    <row r="1178" spans="2:4" x14ac:dyDescent="0.3">
      <c r="B1178">
        <f>Feuille1!A1187</f>
        <v>439</v>
      </c>
      <c r="C1178">
        <f>Feuille1!B1187</f>
        <v>46868.259777600426</v>
      </c>
      <c r="D1178">
        <f>Feuille1!C1187</f>
        <v>69101.327421371694</v>
      </c>
    </row>
    <row r="1179" spans="2:4" x14ac:dyDescent="0.3">
      <c r="B1179">
        <f>Feuille1!A1188</f>
        <v>439.5</v>
      </c>
      <c r="C1179">
        <f>Feuille1!B1188</f>
        <v>49433.931890133288</v>
      </c>
      <c r="D1179">
        <f>Feuille1!C1188</f>
        <v>69842.235701656813</v>
      </c>
    </row>
    <row r="1180" spans="2:4" x14ac:dyDescent="0.3">
      <c r="B1180">
        <f>Feuille1!A1189</f>
        <v>440</v>
      </c>
      <c r="C1180">
        <f>Feuille1!B1189</f>
        <v>51754.479541237401</v>
      </c>
      <c r="D1180">
        <f>Feuille1!C1189</f>
        <v>70217.507124104275</v>
      </c>
    </row>
    <row r="1181" spans="2:4" x14ac:dyDescent="0.3">
      <c r="B1181">
        <f>Feuille1!A1190</f>
        <v>440.5</v>
      </c>
      <c r="C1181">
        <f>Feuille1!B1190</f>
        <v>53832.00852150008</v>
      </c>
      <c r="D1181">
        <f>Feuille1!C1190</f>
        <v>70248.942662156871</v>
      </c>
    </row>
    <row r="1182" spans="2:4" x14ac:dyDescent="0.3">
      <c r="B1182">
        <f>Feuille1!A1191</f>
        <v>441</v>
      </c>
      <c r="C1182">
        <f>Feuille1!B1191</f>
        <v>55666.761870339782</v>
      </c>
      <c r="D1182">
        <f>Feuille1!C1191</f>
        <v>69953.414733947589</v>
      </c>
    </row>
    <row r="1183" spans="2:4" x14ac:dyDescent="0.3">
      <c r="B1183">
        <f>Feuille1!A1192</f>
        <v>441.5</v>
      </c>
      <c r="C1183">
        <f>Feuille1!B1192</f>
        <v>57257.121728401959</v>
      </c>
      <c r="D1183">
        <f>Feuille1!C1192</f>
        <v>69343.802387466814</v>
      </c>
    </row>
    <row r="1184" spans="2:4" x14ac:dyDescent="0.3">
      <c r="B1184">
        <f>Feuille1!A1193</f>
        <v>442</v>
      </c>
      <c r="C1184">
        <f>Feuille1!B1193</f>
        <v>58599.550148994924</v>
      </c>
      <c r="D1184">
        <f>Feuille1!C1193</f>
        <v>68429.631228687169</v>
      </c>
    </row>
    <row r="1185" spans="2:4" x14ac:dyDescent="0.3">
      <c r="B1185">
        <f>Feuille1!A1194</f>
        <v>442.5</v>
      </c>
      <c r="C1185">
        <f>Feuille1!B1194</f>
        <v>59688.456526688948</v>
      </c>
      <c r="D1185">
        <f>Feuille1!C1194</f>
        <v>67217.501991866447</v>
      </c>
    </row>
    <row r="1186" spans="2:4" x14ac:dyDescent="0.3">
      <c r="B1186">
        <f>Feuille1!A1195</f>
        <v>443</v>
      </c>
      <c r="C1186">
        <f>Feuille1!B1195</f>
        <v>60515.975182511043</v>
      </c>
      <c r="D1186">
        <f>Feuille1!C1195</f>
        <v>65711.358488740938</v>
      </c>
    </row>
    <row r="1187" spans="2:4" x14ac:dyDescent="0.3">
      <c r="B1187">
        <f>Feuille1!A1196</f>
        <v>443.5</v>
      </c>
      <c r="C1187">
        <f>Feuille1!B1196</f>
        <v>61071.628036163624</v>
      </c>
      <c r="D1187">
        <f>Feuille1!C1196</f>
        <v>63912.624002241544</v>
      </c>
    </row>
    <row r="1188" spans="2:4" x14ac:dyDescent="0.3">
      <c r="B1188">
        <f>Feuille1!A1197</f>
        <v>444</v>
      </c>
      <c r="C1188">
        <f>Feuille1!B1197</f>
        <v>61341.833043386687</v>
      </c>
      <c r="D1188">
        <f>Feuille1!C1197</f>
        <v>61820.219603525948</v>
      </c>
    </row>
    <row r="1189" spans="2:4" x14ac:dyDescent="0.3">
      <c r="B1189">
        <f>Feuille1!A1198</f>
        <v>444.5</v>
      </c>
      <c r="C1189">
        <f>Feuille1!B1198</f>
        <v>61309.195882091459</v>
      </c>
      <c r="D1189">
        <f>Feuille1!C1198</f>
        <v>59430.465057682035</v>
      </c>
    </row>
    <row r="1190" spans="2:4" x14ac:dyDescent="0.3">
      <c r="B1190">
        <f>Feuille1!A1199</f>
        <v>445</v>
      </c>
      <c r="C1190">
        <f>Feuille1!B1199</f>
        <v>60951.483549480276</v>
      </c>
      <c r="D1190">
        <f>Feuille1!C1199</f>
        <v>56736.850660489414</v>
      </c>
    </row>
    <row r="1191" spans="2:4" x14ac:dyDescent="0.3">
      <c r="B1191">
        <f>Feuille1!A1200</f>
        <v>445.5</v>
      </c>
      <c r="C1191">
        <f>Feuille1!B1200</f>
        <v>60240.110824625328</v>
      </c>
      <c r="D1191">
        <f>Feuille1!C1200</f>
        <v>53729.654823104473</v>
      </c>
    </row>
    <row r="1192" spans="2:4" x14ac:dyDescent="0.3">
      <c r="B1192">
        <f>Feuille1!A1201</f>
        <v>446</v>
      </c>
      <c r="C1192">
        <f>Feuille1!B1201</f>
        <v>59137.846681606738</v>
      </c>
      <c r="D1192">
        <f>Feuille1!C1201</f>
        <v>50395.366734962961</v>
      </c>
    </row>
    <row r="1193" spans="2:4" x14ac:dyDescent="0.3">
      <c r="B1193">
        <f>Feuille1!A1202</f>
        <v>446.5</v>
      </c>
      <c r="C1193">
        <f>Feuille1!B1202</f>
        <v>57595.208438899863</v>
      </c>
      <c r="D1193">
        <f>Feuille1!C1202</f>
        <v>46715.858723035512</v>
      </c>
    </row>
    <row r="1194" spans="2:4" x14ac:dyDescent="0.3">
      <c r="B1194">
        <f>Feuille1!A1203</f>
        <v>447</v>
      </c>
      <c r="C1194">
        <f>Feuille1!B1203</f>
        <v>55544.519153261419</v>
      </c>
      <c r="D1194">
        <f>Feuille1!C1203</f>
        <v>42667.256088243936</v>
      </c>
    </row>
    <row r="1195" spans="2:4" x14ac:dyDescent="0.3">
      <c r="B1195">
        <f>Feuille1!A1204</f>
        <v>447.5</v>
      </c>
      <c r="C1195">
        <f>Feuille1!B1204</f>
        <v>52889.514201607024</v>
      </c>
      <c r="D1195">
        <f>Feuille1!C1204</f>
        <v>38218.550157747079</v>
      </c>
    </row>
    <row r="1196" spans="2:4" x14ac:dyDescent="0.3">
      <c r="B1196">
        <f>Feuille1!A1205</f>
        <v>448</v>
      </c>
      <c r="C1196">
        <f>Feuille1!B1205</f>
        <v>49485.759150319042</v>
      </c>
      <c r="D1196">
        <f>Feuille1!C1205</f>
        <v>33330.535154853176</v>
      </c>
    </row>
    <row r="1197" spans="2:4" x14ac:dyDescent="0.3">
      <c r="B1197">
        <f>Feuille1!A1206</f>
        <v>448.5</v>
      </c>
      <c r="C1197">
        <f>Feuille1!B1206</f>
        <v>45100.222885112962</v>
      </c>
      <c r="D1197">
        <f>Feuille1!C1206</f>
        <v>27958.284953070852</v>
      </c>
    </row>
    <row r="1198" spans="2:4" x14ac:dyDescent="0.3">
      <c r="B1198">
        <f>Feuille1!A1207</f>
        <v>449</v>
      </c>
      <c r="C1198">
        <f>Feuille1!B1207</f>
        <v>39318.971726432108</v>
      </c>
      <c r="D1198">
        <f>Feuille1!C1207</f>
        <v>22074.597451099464</v>
      </c>
    </row>
    <row r="1199" spans="2:4" x14ac:dyDescent="0.3">
      <c r="B1199">
        <f>Feuille1!A1208</f>
        <v>449.5</v>
      </c>
      <c r="C1199">
        <f>Feuille1!B1208</f>
        <v>31331.403956519069</v>
      </c>
      <c r="D1199">
        <f>Feuille1!C1208</f>
        <v>15823.582817142631</v>
      </c>
    </row>
    <row r="1200" spans="2:4" x14ac:dyDescent="0.3">
      <c r="B1200">
        <f>Feuille1!A1209</f>
        <v>450</v>
      </c>
      <c r="C1200">
        <f>Feuille1!B1209</f>
        <v>19920.812138880625</v>
      </c>
      <c r="D1200">
        <f>Feuille1!C1209</f>
        <v>10512.848900996611</v>
      </c>
    </row>
    <row r="1201" spans="2:4" x14ac:dyDescent="0.3">
      <c r="B1201">
        <f>Feuille1!A1210</f>
        <v>450.5</v>
      </c>
      <c r="C1201">
        <f>Feuille1!B1210</f>
        <v>8072.0705417299605</v>
      </c>
      <c r="D1201">
        <f>Feuille1!C1210</f>
        <v>8741.8311399780996</v>
      </c>
    </row>
    <row r="1202" spans="2:4" x14ac:dyDescent="0.3">
      <c r="B1202">
        <f>Feuille1!A1211</f>
        <v>451</v>
      </c>
      <c r="C1202">
        <f>Feuille1!B1211</f>
        <v>-2640.2503763841401</v>
      </c>
      <c r="D1202">
        <f>Feuille1!C1211</f>
        <v>8382.3105460467996</v>
      </c>
    </row>
    <row r="1203" spans="2:4" x14ac:dyDescent="0.3">
      <c r="B1203">
        <f>Feuille1!A1212</f>
        <v>451.5</v>
      </c>
      <c r="C1203">
        <f>Feuille1!B1212</f>
        <v>-13052.162775446872</v>
      </c>
      <c r="D1203">
        <f>Feuille1!C1212</f>
        <v>8661.9229816932402</v>
      </c>
    </row>
    <row r="1204" spans="2:4" x14ac:dyDescent="0.3">
      <c r="B1204">
        <f>Feuille1!A1213</f>
        <v>452</v>
      </c>
      <c r="C1204">
        <f>Feuille1!B1213</f>
        <v>-23650.494267514834</v>
      </c>
      <c r="D1204">
        <f>Feuille1!C1213</f>
        <v>10330.391199287871</v>
      </c>
    </row>
    <row r="1205" spans="2:4" x14ac:dyDescent="0.3">
      <c r="B1205">
        <f>Feuille1!A1214</f>
        <v>452.5</v>
      </c>
      <c r="C1205">
        <f>Feuille1!B1214</f>
        <v>-32740.826815369608</v>
      </c>
      <c r="D1205">
        <f>Feuille1!C1214</f>
        <v>14047.066260552199</v>
      </c>
    </row>
    <row r="1206" spans="2:4" x14ac:dyDescent="0.3">
      <c r="B1206">
        <f>Feuille1!A1215</f>
        <v>453</v>
      </c>
      <c r="C1206">
        <f>Feuille1!B1215</f>
        <v>-39712.641080796093</v>
      </c>
      <c r="D1206">
        <f>Feuille1!C1215</f>
        <v>18282.916380177852</v>
      </c>
    </row>
    <row r="1207" spans="2:4" x14ac:dyDescent="0.3">
      <c r="B1207">
        <f>Feuille1!A1216</f>
        <v>453.5</v>
      </c>
      <c r="C1207">
        <f>Feuille1!B1216</f>
        <v>-45179.699849068005</v>
      </c>
      <c r="D1207">
        <f>Feuille1!C1216</f>
        <v>22412.387895542874</v>
      </c>
    </row>
    <row r="1208" spans="2:4" x14ac:dyDescent="0.3">
      <c r="B1208">
        <f>Feuille1!A1217</f>
        <v>454</v>
      </c>
      <c r="C1208">
        <f>Feuille1!B1217</f>
        <v>-49567.560229048337</v>
      </c>
      <c r="D1208">
        <f>Feuille1!C1217</f>
        <v>26294.285973514823</v>
      </c>
    </row>
    <row r="1209" spans="2:4" x14ac:dyDescent="0.3">
      <c r="B1209">
        <f>Feuille1!A1218</f>
        <v>454.5</v>
      </c>
      <c r="C1209">
        <f>Feuille1!B1218</f>
        <v>-53125.149014083196</v>
      </c>
      <c r="D1209">
        <f>Feuille1!C1218</f>
        <v>29903.3562981697</v>
      </c>
    </row>
    <row r="1210" spans="2:4" x14ac:dyDescent="0.3">
      <c r="B1210">
        <f>Feuille1!A1219</f>
        <v>455</v>
      </c>
      <c r="C1210">
        <f>Feuille1!B1219</f>
        <v>-56006.506260886992</v>
      </c>
      <c r="D1210">
        <f>Feuille1!C1219</f>
        <v>33242.557261093221</v>
      </c>
    </row>
    <row r="1211" spans="2:4" x14ac:dyDescent="0.3">
      <c r="B1211">
        <f>Feuille1!A1220</f>
        <v>455.5</v>
      </c>
      <c r="C1211">
        <f>Feuille1!B1220</f>
        <v>-58313.458897323559</v>
      </c>
      <c r="D1211">
        <f>Feuille1!C1220</f>
        <v>36321.131924663743</v>
      </c>
    </row>
    <row r="1212" spans="2:4" x14ac:dyDescent="0.3">
      <c r="B1212">
        <f>Feuille1!A1221</f>
        <v>456</v>
      </c>
      <c r="C1212">
        <f>Feuille1!B1221</f>
        <v>-60116.919819894334</v>
      </c>
      <c r="D1212">
        <f>Feuille1!C1221</f>
        <v>39148.523669094189</v>
      </c>
    </row>
    <row r="1213" spans="2:4" x14ac:dyDescent="0.3">
      <c r="B1213">
        <f>Feuille1!A1222</f>
        <v>456.5</v>
      </c>
      <c r="C1213">
        <f>Feuille1!B1222</f>
        <v>-61468.177335929904</v>
      </c>
      <c r="D1213">
        <f>Feuille1!C1222</f>
        <v>41732.63994782931</v>
      </c>
    </row>
    <row r="1214" spans="2:4" x14ac:dyDescent="0.3">
      <c r="B1214">
        <f>Feuille1!A1223</f>
        <v>457</v>
      </c>
      <c r="C1214">
        <f>Feuille1!B1223</f>
        <v>-62405.29068336069</v>
      </c>
      <c r="D1214">
        <f>Feuille1!C1223</f>
        <v>44079.419116077996</v>
      </c>
    </row>
    <row r="1215" spans="2:4" x14ac:dyDescent="0.3">
      <c r="B1215">
        <f>Feuille1!A1224</f>
        <v>457.5</v>
      </c>
      <c r="C1215">
        <f>Feuille1!B1224</f>
        <v>-62956.92521860516</v>
      </c>
      <c r="D1215">
        <f>Feuille1!C1224</f>
        <v>46192.788945348293</v>
      </c>
    </row>
    <row r="1216" spans="2:4" x14ac:dyDescent="0.3">
      <c r="B1216">
        <f>Feuille1!A1225</f>
        <v>458</v>
      </c>
      <c r="C1216">
        <f>Feuille1!B1225</f>
        <v>-63144.756822170217</v>
      </c>
      <c r="D1216">
        <f>Feuille1!C1225</f>
        <v>48074.718873336911</v>
      </c>
    </row>
    <row r="1217" spans="2:4" x14ac:dyDescent="0.3">
      <c r="B1217">
        <f>Feuille1!A1226</f>
        <v>458.5</v>
      </c>
      <c r="C1217">
        <f>Feuille1!B1226</f>
        <v>-62985.02673753284</v>
      </c>
      <c r="D1217">
        <f>Feuille1!C1226</f>
        <v>49725.262009094266</v>
      </c>
    </row>
    <row r="1218" spans="2:4" x14ac:dyDescent="0.3">
      <c r="B1218">
        <f>Feuille1!A1227</f>
        <v>459</v>
      </c>
      <c r="C1218">
        <f>Feuille1!B1227</f>
        <v>-62489.562007581</v>
      </c>
      <c r="D1218">
        <f>Feuille1!C1227</f>
        <v>51142.547169148369</v>
      </c>
    </row>
    <row r="1219" spans="2:4" x14ac:dyDescent="0.3">
      <c r="B1219">
        <f>Feuille1!A1228</f>
        <v>459.5</v>
      </c>
      <c r="C1219">
        <f>Feuille1!B1228</f>
        <v>-61666.439145931625</v>
      </c>
      <c r="D1219">
        <f>Feuille1!C1228</f>
        <v>52322.701169654581</v>
      </c>
    </row>
    <row r="1220" spans="2:4" x14ac:dyDescent="0.3">
      <c r="B1220">
        <f>Feuille1!A1229</f>
        <v>460</v>
      </c>
      <c r="C1220">
        <f>Feuille1!B1229</f>
        <v>-60520.39286852529</v>
      </c>
      <c r="D1220">
        <f>Feuille1!C1229</f>
        <v>53259.684442539256</v>
      </c>
    </row>
    <row r="1221" spans="2:4" x14ac:dyDescent="0.3">
      <c r="B1221">
        <f>Feuille1!A1230</f>
        <v>460.5</v>
      </c>
      <c r="C1221">
        <f>Feuille1!B1230</f>
        <v>-59053.026716124106</v>
      </c>
      <c r="D1221">
        <f>Feuille1!C1230</f>
        <v>53945.017385075596</v>
      </c>
    </row>
    <row r="1222" spans="2:4" x14ac:dyDescent="0.3">
      <c r="B1222">
        <f>Feuille1!A1231</f>
        <v>461</v>
      </c>
      <c r="C1222">
        <f>Feuille1!B1231</f>
        <v>-57262.852898481091</v>
      </c>
      <c r="D1222">
        <f>Feuille1!C1231</f>
        <v>54367.362327556715</v>
      </c>
    </row>
    <row r="1223" spans="2:4" x14ac:dyDescent="0.3">
      <c r="B1223">
        <f>Feuille1!A1232</f>
        <v>461.5</v>
      </c>
      <c r="C1223">
        <f>Feuille1!B1232</f>
        <v>-55145.166372940745</v>
      </c>
      <c r="D1223">
        <f>Feuille1!C1232</f>
        <v>54511.90447442919</v>
      </c>
    </row>
    <row r="1224" spans="2:4" x14ac:dyDescent="0.3">
      <c r="B1224">
        <f>Feuille1!A1233</f>
        <v>462</v>
      </c>
      <c r="C1224">
        <f>Feuille1!B1233</f>
        <v>-52691.737910844735</v>
      </c>
      <c r="D1224">
        <f>Feuille1!C1233</f>
        <v>54359.438597762659</v>
      </c>
    </row>
    <row r="1225" spans="2:4" x14ac:dyDescent="0.3">
      <c r="B1225">
        <f>Feuille1!A1234</f>
        <v>462.5</v>
      </c>
      <c r="C1225">
        <f>Feuille1!B1234</f>
        <v>-49890.289112254548</v>
      </c>
      <c r="D1225">
        <f>Feuille1!C1234</f>
        <v>53885.00395639996</v>
      </c>
    </row>
    <row r="1226" spans="2:4" x14ac:dyDescent="0.3">
      <c r="B1226">
        <f>Feuille1!A1235</f>
        <v>463</v>
      </c>
      <c r="C1226">
        <f>Feuille1!B1235</f>
        <v>-46723.686948369294</v>
      </c>
      <c r="D1226">
        <f>Feuille1!C1235</f>
        <v>53055.791425665979</v>
      </c>
    </row>
    <row r="1227" spans="2:4" x14ac:dyDescent="0.3">
      <c r="B1227">
        <f>Feuille1!A1236</f>
        <v>463.5</v>
      </c>
      <c r="C1227">
        <f>Feuille1!B1236</f>
        <v>-43168.7695995541</v>
      </c>
      <c r="D1227">
        <f>Feuille1!C1236</f>
        <v>51827.816554688252</v>
      </c>
    </row>
    <row r="1228" spans="2:4" x14ac:dyDescent="0.3">
      <c r="B1228">
        <f>Feuille1!A1237</f>
        <v>464</v>
      </c>
      <c r="C1228">
        <f>Feuille1!B1237</f>
        <v>-39194.714819348643</v>
      </c>
      <c r="D1228">
        <f>Feuille1!C1237</f>
        <v>50140.377752936976</v>
      </c>
    </row>
    <row r="1229" spans="2:4" x14ac:dyDescent="0.3">
      <c r="B1229">
        <f>Feuille1!A1238</f>
        <v>464.5</v>
      </c>
      <c r="C1229">
        <f>Feuille1!B1238</f>
        <v>-34761.010617915614</v>
      </c>
      <c r="D1229">
        <f>Feuille1!C1238</f>
        <v>47906.278510960779</v>
      </c>
    </row>
    <row r="1230" spans="2:4" x14ac:dyDescent="0.3">
      <c r="B1230">
        <f>Feuille1!A1239</f>
        <v>465</v>
      </c>
      <c r="C1230">
        <f>Feuille1!B1239</f>
        <v>-29815.955688194997</v>
      </c>
      <c r="D1230">
        <f>Feuille1!C1239</f>
        <v>44993.383022736271</v>
      </c>
    </row>
    <row r="1231" spans="2:4" x14ac:dyDescent="0.3">
      <c r="B1231">
        <f>Feuille1!A1240</f>
        <v>465.5</v>
      </c>
      <c r="C1231">
        <f>Feuille1!B1240</f>
        <v>-24300.979998752842</v>
      </c>
      <c r="D1231">
        <f>Feuille1!C1240</f>
        <v>41187.483515873253</v>
      </c>
    </row>
    <row r="1232" spans="2:4" x14ac:dyDescent="0.3">
      <c r="B1232">
        <f>Feuille1!A1241</f>
        <v>466</v>
      </c>
      <c r="C1232">
        <f>Feuille1!B1241</f>
        <v>-18188.525357645241</v>
      </c>
      <c r="D1232">
        <f>Feuille1!C1241</f>
        <v>36117.539815391603</v>
      </c>
    </row>
    <row r="1233" spans="2:4" x14ac:dyDescent="0.3">
      <c r="B1233">
        <f>Feuille1!A1242</f>
        <v>466.5</v>
      </c>
      <c r="C1233">
        <f>Feuille1!B1242</f>
        <v>-11688.956525804795</v>
      </c>
      <c r="D1233">
        <f>Feuille1!C1242</f>
        <v>29177.538985022202</v>
      </c>
    </row>
    <row r="1234" spans="2:4" x14ac:dyDescent="0.3">
      <c r="B1234">
        <f>Feuille1!A1243</f>
        <v>467</v>
      </c>
      <c r="C1234">
        <f>Feuille1!B1243</f>
        <v>-5745.3430147077279</v>
      </c>
      <c r="D1234">
        <f>Feuille1!C1243</f>
        <v>20225.389861621603</v>
      </c>
    </row>
    <row r="1235" spans="2:4" x14ac:dyDescent="0.3">
      <c r="B1235">
        <f>Feuille1!A1244</f>
        <v>467.5</v>
      </c>
      <c r="C1235">
        <f>Feuille1!B1244</f>
        <v>-267.18838102844006</v>
      </c>
      <c r="D1235">
        <f>Feuille1!C1244</f>
        <v>10907.324483530698</v>
      </c>
    </row>
    <row r="1236" spans="2:4" x14ac:dyDescent="0.3">
      <c r="B1236">
        <f>Feuille1!A1245</f>
        <v>468</v>
      </c>
      <c r="C1236">
        <f>Feuille1!B1245</f>
        <v>5779.5729662989997</v>
      </c>
      <c r="D1236">
        <f>Feuille1!C1245</f>
        <v>2184.1656373222031</v>
      </c>
    </row>
    <row r="1237" spans="2:4" x14ac:dyDescent="0.3">
      <c r="B1237">
        <f>Feuille1!A1246</f>
        <v>468.5</v>
      </c>
      <c r="C1237">
        <f>Feuille1!B1246</f>
        <v>12206.671511594774</v>
      </c>
      <c r="D1237">
        <f>Feuille1!C1246</f>
        <v>-5656.1008293438499</v>
      </c>
    </row>
    <row r="1238" spans="2:4" x14ac:dyDescent="0.3">
      <c r="B1238">
        <f>Feuille1!A1247</f>
        <v>469</v>
      </c>
      <c r="C1238">
        <f>Feuille1!B1247</f>
        <v>18343.763776969437</v>
      </c>
      <c r="D1238">
        <f>Feuille1!C1247</f>
        <v>-12853.042999724441</v>
      </c>
    </row>
    <row r="1239" spans="2:4" x14ac:dyDescent="0.3">
      <c r="B1239">
        <f>Feuille1!A1248</f>
        <v>469.5</v>
      </c>
      <c r="C1239">
        <f>Feuille1!B1248</f>
        <v>23730.718800451003</v>
      </c>
      <c r="D1239">
        <f>Feuille1!C1248</f>
        <v>-19677.812735273252</v>
      </c>
    </row>
    <row r="1240" spans="2:4" x14ac:dyDescent="0.3">
      <c r="B1240">
        <f>Feuille1!A1249</f>
        <v>470</v>
      </c>
      <c r="C1240">
        <f>Feuille1!B1249</f>
        <v>28189.222674413508</v>
      </c>
      <c r="D1240">
        <f>Feuille1!C1249</f>
        <v>-26209.050515867697</v>
      </c>
    </row>
    <row r="1241" spans="2:4" x14ac:dyDescent="0.3">
      <c r="B1241">
        <f>Feuille1!A1250</f>
        <v>470.5</v>
      </c>
      <c r="C1241">
        <f>Feuille1!B1250</f>
        <v>31725.107002149944</v>
      </c>
      <c r="D1241">
        <f>Feuille1!C1250</f>
        <v>-32422.076962603569</v>
      </c>
    </row>
    <row r="1242" spans="2:4" x14ac:dyDescent="0.3">
      <c r="B1242">
        <f>Feuille1!A1251</f>
        <v>471</v>
      </c>
      <c r="C1242">
        <f>Feuille1!B1251</f>
        <v>34424.828931692427</v>
      </c>
      <c r="D1242">
        <f>Feuille1!C1251</f>
        <v>-38278.06720712869</v>
      </c>
    </row>
    <row r="1243" spans="2:4" x14ac:dyDescent="0.3">
      <c r="B1243">
        <f>Feuille1!A1252</f>
        <v>471.5</v>
      </c>
      <c r="C1243">
        <f>Feuille1!B1252</f>
        <v>36393.208725972334</v>
      </c>
      <c r="D1243">
        <f>Feuille1!C1252</f>
        <v>-43752.143893693974</v>
      </c>
    </row>
    <row r="1244" spans="2:4" x14ac:dyDescent="0.3">
      <c r="B1244">
        <f>Feuille1!A1253</f>
        <v>472</v>
      </c>
      <c r="C1244">
        <f>Feuille1!B1253</f>
        <v>37727.481697904106</v>
      </c>
      <c r="D1244">
        <f>Feuille1!C1253</f>
        <v>-48833.781451053139</v>
      </c>
    </row>
    <row r="1245" spans="2:4" x14ac:dyDescent="0.3">
      <c r="B1245">
        <f>Feuille1!A1254</f>
        <v>472.5</v>
      </c>
      <c r="C1245">
        <f>Feuille1!B1254</f>
        <v>38510.013789618235</v>
      </c>
      <c r="D1245">
        <f>Feuille1!C1254</f>
        <v>-53521.485566059557</v>
      </c>
    </row>
    <row r="1246" spans="2:4" x14ac:dyDescent="0.3">
      <c r="B1246">
        <f>Feuille1!A1255</f>
        <v>473</v>
      </c>
      <c r="C1246">
        <f>Feuille1!B1255</f>
        <v>38808.277074274411</v>
      </c>
      <c r="D1246">
        <f>Feuille1!C1255</f>
        <v>-57818.254652918069</v>
      </c>
    </row>
    <row r="1247" spans="2:4" x14ac:dyDescent="0.3">
      <c r="B1247">
        <f>Feuille1!A1256</f>
        <v>473.5</v>
      </c>
      <c r="C1247">
        <f>Feuille1!B1256</f>
        <v>38676.994100567143</v>
      </c>
      <c r="D1247">
        <f>Feuille1!C1256</f>
        <v>-61728.665916336424</v>
      </c>
    </row>
    <row r="1248" spans="2:4" x14ac:dyDescent="0.3">
      <c r="B1248">
        <f>Feuille1!A1257</f>
        <v>474</v>
      </c>
      <c r="C1248">
        <f>Feuille1!B1257</f>
        <v>38160.56241044301</v>
      </c>
      <c r="D1248">
        <f>Feuille1!C1257</f>
        <v>-65257.167413692616</v>
      </c>
    </row>
    <row r="1249" spans="2:4" x14ac:dyDescent="0.3">
      <c r="B1249">
        <f>Feuille1!A1258</f>
        <v>474.5</v>
      </c>
      <c r="C1249">
        <f>Feuille1!B1258</f>
        <v>37295.175422690634</v>
      </c>
      <c r="D1249">
        <f>Feuille1!C1258</f>
        <v>-68407.09962784352</v>
      </c>
    </row>
    <row r="1250" spans="2:4" x14ac:dyDescent="0.3">
      <c r="B1250">
        <f>Feuille1!A1259</f>
        <v>475</v>
      </c>
      <c r="C1250">
        <f>Feuille1!B1259</f>
        <v>36110.528254197743</v>
      </c>
      <c r="D1250">
        <f>Feuille1!C1259</f>
        <v>-71180.117653654786</v>
      </c>
    </row>
    <row r="1251" spans="2:4" x14ac:dyDescent="0.3">
      <c r="B1251">
        <f>Feuille1!A1260</f>
        <v>475.5</v>
      </c>
      <c r="C1251">
        <f>Feuille1!B1260</f>
        <v>34631.147385824574</v>
      </c>
      <c r="D1251">
        <f>Feuille1!C1260</f>
        <v>-73575.81194098515</v>
      </c>
    </row>
    <row r="1252" spans="2:4" x14ac:dyDescent="0.3">
      <c r="B1252">
        <f>Feuille1!A1261</f>
        <v>476</v>
      </c>
      <c r="C1252">
        <f>Feuille1!B1261</f>
        <v>32877.418135579879</v>
      </c>
      <c r="D1252">
        <f>Feuille1!C1261</f>
        <v>-75591.404950629425</v>
      </c>
    </row>
    <row r="1253" spans="2:4" x14ac:dyDescent="0.3">
      <c r="B1253">
        <f>Feuille1!A1262</f>
        <v>476.5</v>
      </c>
      <c r="C1253">
        <f>Feuille1!B1262</f>
        <v>30866.381735770632</v>
      </c>
      <c r="D1253">
        <f>Feuille1!C1262</f>
        <v>-77221.444474954667</v>
      </c>
    </row>
    <row r="1254" spans="2:4" x14ac:dyDescent="0.3">
      <c r="B1254">
        <f>Feuille1!A1263</f>
        <v>477</v>
      </c>
      <c r="C1254">
        <f>Feuille1!B1263</f>
        <v>28612.362621641842</v>
      </c>
      <c r="D1254">
        <f>Feuille1!C1263</f>
        <v>-78457.434127241489</v>
      </c>
    </row>
    <row r="1255" spans="2:4" x14ac:dyDescent="0.3">
      <c r="B1255">
        <f>Feuille1!A1264</f>
        <v>477.5</v>
      </c>
      <c r="C1255">
        <f>Feuille1!B1264</f>
        <v>26127.476141712505</v>
      </c>
      <c r="D1255">
        <f>Feuille1!C1264</f>
        <v>-79287.344984260781</v>
      </c>
    </row>
    <row r="1256" spans="2:4" x14ac:dyDescent="0.3">
      <c r="B1256">
        <f>Feuille1!A1265</f>
        <v>478</v>
      </c>
      <c r="C1256">
        <f>Feuille1!B1265</f>
        <v>23422.060893956412</v>
      </c>
      <c r="D1256">
        <f>Feuille1!C1265</f>
        <v>-79694.942137101782</v>
      </c>
    </row>
    <row r="1257" spans="2:4" x14ac:dyDescent="0.3">
      <c r="B1257">
        <f>Feuille1!A1266</f>
        <v>478.5</v>
      </c>
      <c r="C1257">
        <f>Feuille1!B1266</f>
        <v>20505.080631504818</v>
      </c>
      <c r="D1257">
        <f>Feuille1!C1266</f>
        <v>-79658.834073839724</v>
      </c>
    </row>
    <row r="1258" spans="2:4" x14ac:dyDescent="0.3">
      <c r="B1258">
        <f>Feuille1!A1267</f>
        <v>479</v>
      </c>
      <c r="C1258">
        <f>Feuille1!B1267</f>
        <v>17384.552117257725</v>
      </c>
      <c r="D1258">
        <f>Feuille1!C1267</f>
        <v>-79151.104000843945</v>
      </c>
    </row>
    <row r="1259" spans="2:4" x14ac:dyDescent="0.3">
      <c r="B1259">
        <f>Feuille1!A1268</f>
        <v>479.5</v>
      </c>
      <c r="C1259">
        <f>Feuille1!B1268</f>
        <v>14068.08651587142</v>
      </c>
      <c r="D1259">
        <f>Feuille1!C1268</f>
        <v>-78135.293898822216</v>
      </c>
    </row>
    <row r="1260" spans="2:4" x14ac:dyDescent="0.3">
      <c r="B1260">
        <f>Feuille1!A1269</f>
        <v>480</v>
      </c>
      <c r="C1260">
        <f>Feuille1!B1269</f>
        <v>10563.704901517052</v>
      </c>
      <c r="D1260">
        <f>Feuille1!C1269</f>
        <v>-76563.349779600045</v>
      </c>
    </row>
    <row r="1261" spans="2:4" x14ac:dyDescent="0.3">
      <c r="B1261">
        <f>Feuille1!A1270</f>
        <v>480.5</v>
      </c>
      <c r="C1261">
        <f>Feuille1!B1270</f>
        <v>6881.2592647651654</v>
      </c>
      <c r="D1261">
        <f>Feuille1!C1270</f>
        <v>-74370.826909284224</v>
      </c>
    </row>
    <row r="1262" spans="2:4" x14ac:dyDescent="0.3">
      <c r="B1262">
        <f>Feuille1!A1271</f>
        <v>481</v>
      </c>
      <c r="C1262">
        <f>Feuille1!B1271</f>
        <v>3035.2123170554987</v>
      </c>
      <c r="D1262">
        <f>Feuille1!C1271</f>
        <v>-71469.035389834418</v>
      </c>
    </row>
    <row r="1263" spans="2:4" x14ac:dyDescent="0.3">
      <c r="B1263">
        <f>Feuille1!A1272</f>
        <v>481.5</v>
      </c>
      <c r="C1263">
        <f>Feuille1!B1272</f>
        <v>-949.33742505400494</v>
      </c>
      <c r="D1263">
        <f>Feuille1!C1272</f>
        <v>-67731.516062707335</v>
      </c>
    </row>
    <row r="1264" spans="2:4" x14ac:dyDescent="0.3">
      <c r="B1264">
        <f>Feuille1!A1273</f>
        <v>482</v>
      </c>
      <c r="C1264">
        <f>Feuille1!B1273</f>
        <v>-5022.1087310674566</v>
      </c>
      <c r="D1264">
        <f>Feuille1!C1273</f>
        <v>-62969.491697741374</v>
      </c>
    </row>
    <row r="1265" spans="2:4" x14ac:dyDescent="0.3">
      <c r="B1265">
        <f>Feuille1!A1274</f>
        <v>482.5</v>
      </c>
      <c r="C1265">
        <f>Feuille1!B1274</f>
        <v>-9067.7471603415725</v>
      </c>
      <c r="D1265">
        <f>Feuille1!C1274</f>
        <v>-56885.732691374134</v>
      </c>
    </row>
    <row r="1266" spans="2:4" x14ac:dyDescent="0.3">
      <c r="B1266">
        <f>Feuille1!A1275</f>
        <v>483</v>
      </c>
      <c r="C1266">
        <f>Feuille1!B1275</f>
        <v>-12778.981016527736</v>
      </c>
      <c r="D1266">
        <f>Feuille1!C1275</f>
        <v>-48996.518086737102</v>
      </c>
    </row>
    <row r="1267" spans="2:4" x14ac:dyDescent="0.3">
      <c r="B1267">
        <f>Feuille1!A1276</f>
        <v>483.5</v>
      </c>
      <c r="C1267">
        <f>Feuille1!B1276</f>
        <v>-15215.862454210301</v>
      </c>
      <c r="D1267">
        <f>Feuille1!C1276</f>
        <v>-38662.365904233244</v>
      </c>
    </row>
    <row r="1268" spans="2:4" x14ac:dyDescent="0.3">
      <c r="B1268">
        <f>Feuille1!A1277</f>
        <v>484</v>
      </c>
      <c r="C1268">
        <f>Feuille1!B1277</f>
        <v>-14224.654488757078</v>
      </c>
      <c r="D1268">
        <f>Feuille1!C1277</f>
        <v>-26798.962615794753</v>
      </c>
    </row>
    <row r="1269" spans="2:4" x14ac:dyDescent="0.3">
      <c r="B1269">
        <f>Feuille1!A1278</f>
        <v>484.5</v>
      </c>
      <c r="C1269">
        <f>Feuille1!B1278</f>
        <v>-10676.022510761108</v>
      </c>
      <c r="D1269">
        <f>Feuille1!C1278</f>
        <v>-16607.912348780814</v>
      </c>
    </row>
    <row r="1270" spans="2:4" x14ac:dyDescent="0.3">
      <c r="B1270">
        <f>Feuille1!A1279</f>
        <v>485</v>
      </c>
      <c r="C1270">
        <f>Feuille1!B1279</f>
        <v>-6355.3064871442975</v>
      </c>
      <c r="D1270">
        <f>Feuille1!C1279</f>
        <v>-7633.3282108134181</v>
      </c>
    </row>
    <row r="1271" spans="2:4" x14ac:dyDescent="0.3">
      <c r="B1271">
        <f>Feuille1!A1280</f>
        <v>485.5</v>
      </c>
      <c r="C1271">
        <f>Feuille1!B1280</f>
        <v>-1755.3380924695571</v>
      </c>
      <c r="D1271">
        <f>Feuille1!C1280</f>
        <v>1115.8591789159934</v>
      </c>
    </row>
    <row r="1272" spans="2:4" x14ac:dyDescent="0.3">
      <c r="B1272">
        <f>Feuille1!A1281</f>
        <v>486</v>
      </c>
      <c r="C1272">
        <f>Feuille1!B1281</f>
        <v>3111.230802229943</v>
      </c>
      <c r="D1272">
        <f>Feuille1!C1281</f>
        <v>10341.331521886004</v>
      </c>
    </row>
    <row r="1273" spans="2:4" x14ac:dyDescent="0.3">
      <c r="B1273">
        <f>Feuille1!A1282</f>
        <v>486.5</v>
      </c>
      <c r="C1273">
        <f>Feuille1!B1282</f>
        <v>8904.683389299109</v>
      </c>
      <c r="D1273">
        <f>Feuille1!C1282</f>
        <v>20364.472741958096</v>
      </c>
    </row>
    <row r="1274" spans="2:4" x14ac:dyDescent="0.3">
      <c r="B1274">
        <f>Feuille1!A1283</f>
        <v>487</v>
      </c>
      <c r="C1274">
        <f>Feuille1!B1283</f>
        <v>17532.44959984225</v>
      </c>
      <c r="D1274">
        <f>Feuille1!C1283</f>
        <v>29968.070249189121</v>
      </c>
    </row>
    <row r="1275" spans="2:4" x14ac:dyDescent="0.3">
      <c r="B1275">
        <f>Feuille1!A1284</f>
        <v>487.5</v>
      </c>
      <c r="C1275">
        <f>Feuille1!B1284</f>
        <v>26644.504499278555</v>
      </c>
      <c r="D1275">
        <f>Feuille1!C1284</f>
        <v>35738.476706643822</v>
      </c>
    </row>
    <row r="1276" spans="2:4" x14ac:dyDescent="0.3">
      <c r="B1276">
        <f>Feuille1!A1285</f>
        <v>488</v>
      </c>
      <c r="C1276">
        <f>Feuille1!B1285</f>
        <v>34588.457836647074</v>
      </c>
      <c r="D1276">
        <f>Feuille1!C1285</f>
        <v>39160.804369110389</v>
      </c>
    </row>
    <row r="1277" spans="2:4" x14ac:dyDescent="0.3">
      <c r="B1277">
        <f>Feuille1!A1286</f>
        <v>488.5</v>
      </c>
      <c r="C1277">
        <f>Feuille1!B1286</f>
        <v>41455.553793874838</v>
      </c>
      <c r="D1277">
        <f>Feuille1!C1286</f>
        <v>41271.904789557659</v>
      </c>
    </row>
    <row r="1278" spans="2:4" x14ac:dyDescent="0.3">
      <c r="B1278">
        <f>Feuille1!A1287</f>
        <v>489</v>
      </c>
      <c r="C1278">
        <f>Feuille1!B1287</f>
        <v>47441.436819218434</v>
      </c>
      <c r="D1278">
        <f>Feuille1!C1287</f>
        <v>42541.321635327062</v>
      </c>
    </row>
    <row r="1279" spans="2:4" x14ac:dyDescent="0.3">
      <c r="B1279">
        <f>Feuille1!A1288</f>
        <v>489.5</v>
      </c>
      <c r="C1279">
        <f>Feuille1!B1288</f>
        <v>52690.571863979538</v>
      </c>
      <c r="D1279">
        <f>Feuille1!C1288</f>
        <v>43210.373576296734</v>
      </c>
    </row>
    <row r="1280" spans="2:4" x14ac:dyDescent="0.3">
      <c r="B1280">
        <f>Feuille1!A1289</f>
        <v>490</v>
      </c>
      <c r="C1280">
        <f>Feuille1!B1289</f>
        <v>57303.397531053422</v>
      </c>
      <c r="D1280">
        <f>Feuille1!C1289</f>
        <v>43419.529238490577</v>
      </c>
    </row>
    <row r="1281" spans="2:4" x14ac:dyDescent="0.3">
      <c r="B1281">
        <f>Feuille1!A1290</f>
        <v>490.5</v>
      </c>
      <c r="C1281">
        <f>Feuille1!B1290</f>
        <v>61350.776125363322</v>
      </c>
      <c r="D1281">
        <f>Feuille1!C1290</f>
        <v>43258.506754370406</v>
      </c>
    </row>
    <row r="1282" spans="2:4" x14ac:dyDescent="0.3">
      <c r="B1282">
        <f>Feuille1!A1291</f>
        <v>491</v>
      </c>
      <c r="C1282">
        <f>Feuille1!B1291</f>
        <v>64883.767603660119</v>
      </c>
      <c r="D1282">
        <f>Feuille1!C1291</f>
        <v>42788.67501191378</v>
      </c>
    </row>
    <row r="1283" spans="2:4" x14ac:dyDescent="0.3">
      <c r="B1283">
        <f>Feuille1!A1292</f>
        <v>491.5</v>
      </c>
      <c r="C1283">
        <f>Feuille1!B1292</f>
        <v>67939.697943026011</v>
      </c>
      <c r="D1283">
        <f>Feuille1!C1292</f>
        <v>42054.248334993674</v>
      </c>
    </row>
    <row r="1284" spans="2:4" x14ac:dyDescent="0.3">
      <c r="B1284">
        <f>Feuille1!A1293</f>
        <v>492</v>
      </c>
      <c r="C1284">
        <f>Feuille1!B1293</f>
        <v>70545.948630026323</v>
      </c>
      <c r="D1284">
        <f>Feuille1!C1293</f>
        <v>41088.402570042716</v>
      </c>
    </row>
    <row r="1285" spans="2:4" x14ac:dyDescent="0.3">
      <c r="B1285">
        <f>Feuille1!A1294</f>
        <v>492.5</v>
      </c>
      <c r="C1285">
        <f>Feuille1!B1294</f>
        <v>72722.371161886447</v>
      </c>
      <c r="D1285">
        <f>Feuille1!C1294</f>
        <v>39916.865703877258</v>
      </c>
    </row>
    <row r="1286" spans="2:4" x14ac:dyDescent="0.3">
      <c r="B1286">
        <f>Feuille1!A1295</f>
        <v>493</v>
      </c>
      <c r="C1286">
        <f>Feuille1!B1295</f>
        <v>74482.848397929585</v>
      </c>
      <c r="D1286">
        <f>Feuille1!C1295</f>
        <v>38560.155837417238</v>
      </c>
    </row>
    <row r="1287" spans="2:4" x14ac:dyDescent="0.3">
      <c r="B1287">
        <f>Feuille1!A1296</f>
        <v>493.5</v>
      </c>
      <c r="C1287">
        <f>Feuille1!B1296</f>
        <v>75836.302528757064</v>
      </c>
      <c r="D1287">
        <f>Feuille1!C1296</f>
        <v>37035.051246641429</v>
      </c>
    </row>
    <row r="1288" spans="2:4" x14ac:dyDescent="0.3">
      <c r="B1288">
        <f>Feuille1!A1297</f>
        <v>494</v>
      </c>
      <c r="C1288">
        <f>Feuille1!B1297</f>
        <v>76787.32331522723</v>
      </c>
      <c r="D1288">
        <f>Feuille1!C1297</f>
        <v>35355.605484303589</v>
      </c>
    </row>
    <row r="1289" spans="2:4" x14ac:dyDescent="0.3">
      <c r="B1289">
        <f>Feuille1!A1298</f>
        <v>494.5</v>
      </c>
      <c r="C1289">
        <f>Feuille1!B1298</f>
        <v>77336.516455202887</v>
      </c>
      <c r="D1289">
        <f>Feuille1!C1298</f>
        <v>33533.886592788229</v>
      </c>
    </row>
    <row r="1290" spans="2:4" x14ac:dyDescent="0.3">
      <c r="B1290">
        <f>Feuille1!A1299</f>
        <v>495</v>
      </c>
      <c r="C1290">
        <f>Feuille1!B1299</f>
        <v>77480.625994559057</v>
      </c>
      <c r="D1290">
        <f>Feuille1!C1299</f>
        <v>31580.550736341913</v>
      </c>
    </row>
    <row r="1291" spans="2:4" x14ac:dyDescent="0.3">
      <c r="B1291">
        <f>Feuille1!A1300</f>
        <v>495.5</v>
      </c>
      <c r="C1291">
        <f>Feuille1!B1300</f>
        <v>77212.453014186045</v>
      </c>
      <c r="D1291">
        <f>Feuille1!C1300</f>
        <v>29505.325300113091</v>
      </c>
    </row>
    <row r="1292" spans="2:4" x14ac:dyDescent="0.3">
      <c r="B1292">
        <f>Feuille1!A1301</f>
        <v>496</v>
      </c>
      <c r="C1292">
        <f>Feuille1!B1301</f>
        <v>76520.567283471595</v>
      </c>
      <c r="D1292">
        <f>Feuille1!C1301</f>
        <v>27317.46072887471</v>
      </c>
    </row>
    <row r="1293" spans="2:4" x14ac:dyDescent="0.3">
      <c r="B1293">
        <f>Feuille1!A1302</f>
        <v>496.5</v>
      </c>
      <c r="C1293">
        <f>Feuille1!B1302</f>
        <v>75388.783480737678</v>
      </c>
      <c r="D1293">
        <f>Feuille1!C1302</f>
        <v>25026.208680658041</v>
      </c>
    </row>
    <row r="1294" spans="2:4" x14ac:dyDescent="0.3">
      <c r="B1294">
        <f>Feuille1!A1303</f>
        <v>497</v>
      </c>
      <c r="C1294">
        <f>Feuille1!B1303</f>
        <v>73795.343793472057</v>
      </c>
      <c r="D1294">
        <f>Feuille1!C1303</f>
        <v>22641.396566495576</v>
      </c>
    </row>
    <row r="1295" spans="2:4" x14ac:dyDescent="0.3">
      <c r="B1295">
        <f>Feuille1!A1304</f>
        <v>497.5</v>
      </c>
      <c r="C1295">
        <f>Feuille1!B1304</f>
        <v>71711.708210987577</v>
      </c>
      <c r="D1295">
        <f>Feuille1!C1304</f>
        <v>20174.201077984377</v>
      </c>
    </row>
    <row r="1296" spans="2:4" x14ac:dyDescent="0.3">
      <c r="B1296">
        <f>Feuille1!A1305</f>
        <v>498</v>
      </c>
      <c r="C1296">
        <f>Feuille1!B1305</f>
        <v>69100.794516181297</v>
      </c>
      <c r="D1296">
        <f>Feuille1!C1305</f>
        <v>17638.291044928308</v>
      </c>
    </row>
    <row r="1297" spans="2:4" x14ac:dyDescent="0.3">
      <c r="B1297">
        <f>Feuille1!A1306</f>
        <v>498.5</v>
      </c>
      <c r="C1297">
        <f>Feuille1!B1306</f>
        <v>65914.42132240154</v>
      </c>
      <c r="D1297">
        <f>Feuille1!C1306</f>
        <v>15051.647365928466</v>
      </c>
    </row>
    <row r="1298" spans="2:4" x14ac:dyDescent="0.3">
      <c r="B1298">
        <f>Feuille1!A1307</f>
        <v>499</v>
      </c>
      <c r="C1298">
        <f>Feuille1!B1307</f>
        <v>62089.581055909919</v>
      </c>
      <c r="D1298">
        <f>Feuille1!C1307</f>
        <v>12439.653374987261</v>
      </c>
    </row>
    <row r="1299" spans="2:4" x14ac:dyDescent="0.3">
      <c r="B1299">
        <f>Feuille1!A1308</f>
        <v>499.5</v>
      </c>
      <c r="C1299">
        <f>Feuille1!B1308</f>
        <v>57543.027914478873</v>
      </c>
      <c r="D1299">
        <f>Feuille1!C1308</f>
        <v>9840.6679254349383</v>
      </c>
    </row>
    <row r="1300" spans="2:4" x14ac:dyDescent="0.3">
      <c r="B1300">
        <f>Feuille1!A1309</f>
        <v>500</v>
      </c>
      <c r="C1300">
        <f>Feuille1!B1309</f>
        <v>52163.700803635016</v>
      </c>
      <c r="D1300">
        <f>Feuille1!C1309</f>
        <v>7316.6929880664238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121920</xdr:colOff>
                <xdr:row>1</xdr:row>
                <xdr:rowOff>38100</xdr:rowOff>
              </from>
              <to>
                <xdr:col>13</xdr:col>
                <xdr:colOff>2308860</xdr:colOff>
                <xdr:row>3</xdr:row>
                <xdr:rowOff>106680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Jonathan Robinson</cp:lastModifiedBy>
  <dcterms:created xsi:type="dcterms:W3CDTF">2022-03-03T15:55:20Z</dcterms:created>
  <dcterms:modified xsi:type="dcterms:W3CDTF">2022-03-30T22:52:31Z</dcterms:modified>
</cp:coreProperties>
</file>