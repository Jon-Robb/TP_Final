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Outils_Gestion\Excel\TP_FINAL\TP_Final\"/>
    </mc:Choice>
  </mc:AlternateContent>
  <bookViews>
    <workbookView xWindow="0" yWindow="0" windowWidth="15570" windowHeight="783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6" i="1" l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K6" i="1"/>
  <c r="H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6" i="1"/>
  <c r="B7" i="1"/>
</calcChain>
</file>

<file path=xl/sharedStrings.xml><?xml version="1.0" encoding="utf-8"?>
<sst xmlns="http://schemas.openxmlformats.org/spreadsheetml/2006/main" count="17" uniqueCount="14">
  <si>
    <t>TP FINAL</t>
  </si>
  <si>
    <t>n</t>
  </si>
  <si>
    <t>angle</t>
  </si>
  <si>
    <t>x</t>
  </si>
  <si>
    <t>y</t>
  </si>
  <si>
    <t>Planète 1</t>
  </si>
  <si>
    <t>Planète deux</t>
  </si>
  <si>
    <t>Planète trois</t>
  </si>
  <si>
    <t>rayon</t>
  </si>
  <si>
    <t>position x</t>
  </si>
  <si>
    <t>position y</t>
  </si>
  <si>
    <t>Rayon</t>
  </si>
  <si>
    <t>Position X</t>
  </si>
  <si>
    <t>Position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</si>
</sst>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Simulateur</a:t>
            </a:r>
            <a:r>
              <a:rPr lang="fr-CA" baseline="0"/>
              <a:t> de gravité</a:t>
            </a:r>
            <a:endParaRPr lang="fr-CA"/>
          </a:p>
        </c:rich>
      </c:tx>
      <c:layout>
        <c:manualLayout>
          <c:xMode val="edge"/>
          <c:yMode val="edge"/>
          <c:x val="0.37909532716793343"/>
          <c:y val="2.9556650246305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Feuil1!$D$2</c:f>
              <c:strCache>
                <c:ptCount val="1"/>
                <c:pt idx="0">
                  <c:v>Planète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Feuil1!$D$6:$D$26</c:f>
              <c:numCache>
                <c:formatCode>General</c:formatCode>
                <c:ptCount val="21"/>
                <c:pt idx="0">
                  <c:v>26400</c:v>
                </c:pt>
                <c:pt idx="1">
                  <c:v>26282.53563910837</c:v>
                </c:pt>
                <c:pt idx="2">
                  <c:v>25941.640786499873</c:v>
                </c:pt>
                <c:pt idx="3">
                  <c:v>25410.684605501934</c:v>
                </c:pt>
                <c:pt idx="4">
                  <c:v>24741.640786499873</c:v>
                </c:pt>
                <c:pt idx="5">
                  <c:v>24000</c:v>
                </c:pt>
                <c:pt idx="6">
                  <c:v>23258.359213500127</c:v>
                </c:pt>
                <c:pt idx="7">
                  <c:v>22589.315394498066</c:v>
                </c:pt>
                <c:pt idx="8">
                  <c:v>22058.359213500127</c:v>
                </c:pt>
                <c:pt idx="9">
                  <c:v>21717.46436089163</c:v>
                </c:pt>
                <c:pt idx="10">
                  <c:v>21600</c:v>
                </c:pt>
                <c:pt idx="11">
                  <c:v>21717.46436089163</c:v>
                </c:pt>
                <c:pt idx="12">
                  <c:v>22058.359213500127</c:v>
                </c:pt>
                <c:pt idx="13">
                  <c:v>22589.315394498066</c:v>
                </c:pt>
                <c:pt idx="14">
                  <c:v>23258.359213500127</c:v>
                </c:pt>
                <c:pt idx="15">
                  <c:v>24000</c:v>
                </c:pt>
                <c:pt idx="16">
                  <c:v>24741.640786499873</c:v>
                </c:pt>
                <c:pt idx="17">
                  <c:v>25410.684605501934</c:v>
                </c:pt>
                <c:pt idx="18">
                  <c:v>25941.640786499873</c:v>
                </c:pt>
                <c:pt idx="19">
                  <c:v>26282.53563910837</c:v>
                </c:pt>
                <c:pt idx="20">
                  <c:v>26400</c:v>
                </c:pt>
              </c:numCache>
            </c:numRef>
          </c:xVal>
          <c:yVal>
            <c:numRef>
              <c:f>Feuil1!$E$6:$E$26</c:f>
              <c:numCache>
                <c:formatCode>General</c:formatCode>
                <c:ptCount val="21"/>
                <c:pt idx="0">
                  <c:v>24000</c:v>
                </c:pt>
                <c:pt idx="1">
                  <c:v>24741.640786499873</c:v>
                </c:pt>
                <c:pt idx="2">
                  <c:v>25410.684605501934</c:v>
                </c:pt>
                <c:pt idx="3">
                  <c:v>25941.640786499873</c:v>
                </c:pt>
                <c:pt idx="4">
                  <c:v>26282.53563910837</c:v>
                </c:pt>
                <c:pt idx="5">
                  <c:v>26400</c:v>
                </c:pt>
                <c:pt idx="6">
                  <c:v>26282.53563910837</c:v>
                </c:pt>
                <c:pt idx="7">
                  <c:v>25941.640786499873</c:v>
                </c:pt>
                <c:pt idx="8">
                  <c:v>25410.684605501934</c:v>
                </c:pt>
                <c:pt idx="9">
                  <c:v>24741.640786499873</c:v>
                </c:pt>
                <c:pt idx="10">
                  <c:v>24000</c:v>
                </c:pt>
                <c:pt idx="11">
                  <c:v>23258.359213500127</c:v>
                </c:pt>
                <c:pt idx="12">
                  <c:v>22589.315394498066</c:v>
                </c:pt>
                <c:pt idx="13">
                  <c:v>22058.359213500127</c:v>
                </c:pt>
                <c:pt idx="14">
                  <c:v>21717.46436089163</c:v>
                </c:pt>
                <c:pt idx="15">
                  <c:v>21600</c:v>
                </c:pt>
                <c:pt idx="16">
                  <c:v>21717.46436089163</c:v>
                </c:pt>
                <c:pt idx="17">
                  <c:v>22058.359213500127</c:v>
                </c:pt>
                <c:pt idx="18">
                  <c:v>22589.315394498066</c:v>
                </c:pt>
                <c:pt idx="19">
                  <c:v>23258.359213500127</c:v>
                </c:pt>
                <c:pt idx="20">
                  <c:v>24000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20-460D-B7ED-52DC733FEE51}"/>
            </c:ext>
          </c:extLst>
        </c:ser>
        <c:ser>
          <c:idx val="1"/>
          <c:order val="1"/>
          <c:tx>
            <c:strRef>
              <c:f>Feuil1!$G$2</c:f>
              <c:strCache>
                <c:ptCount val="1"/>
                <c:pt idx="0">
                  <c:v>Planète deux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Feuil1!$G$6:$G$26</c:f>
              <c:numCache>
                <c:formatCode>General</c:formatCode>
                <c:ptCount val="21"/>
                <c:pt idx="0">
                  <c:v>34000</c:v>
                </c:pt>
                <c:pt idx="1">
                  <c:v>33167.960777017608</c:v>
                </c:pt>
                <c:pt idx="2">
                  <c:v>30753.288904374109</c:v>
                </c:pt>
                <c:pt idx="3">
                  <c:v>26992.349288972044</c:v>
                </c:pt>
                <c:pt idx="4">
                  <c:v>22253.288904374109</c:v>
                </c:pt>
                <c:pt idx="5">
                  <c:v>17000</c:v>
                </c:pt>
                <c:pt idx="6">
                  <c:v>11746.711095625895</c:v>
                </c:pt>
                <c:pt idx="7">
                  <c:v>7007.6507110279581</c:v>
                </c:pt>
                <c:pt idx="8">
                  <c:v>3246.7110956258948</c:v>
                </c:pt>
                <c:pt idx="9">
                  <c:v>832.03922298239013</c:v>
                </c:pt>
                <c:pt idx="10">
                  <c:v>0</c:v>
                </c:pt>
                <c:pt idx="11">
                  <c:v>832.03922298238649</c:v>
                </c:pt>
                <c:pt idx="12">
                  <c:v>3246.7110956258912</c:v>
                </c:pt>
                <c:pt idx="13">
                  <c:v>7007.6507110279545</c:v>
                </c:pt>
                <c:pt idx="14">
                  <c:v>11746.711095625891</c:v>
                </c:pt>
                <c:pt idx="15">
                  <c:v>16999.999999999996</c:v>
                </c:pt>
                <c:pt idx="16">
                  <c:v>22253.288904374102</c:v>
                </c:pt>
                <c:pt idx="17">
                  <c:v>26992.34928897204</c:v>
                </c:pt>
                <c:pt idx="18">
                  <c:v>30753.288904374105</c:v>
                </c:pt>
                <c:pt idx="19">
                  <c:v>33167.960777017608</c:v>
                </c:pt>
                <c:pt idx="20">
                  <c:v>34000</c:v>
                </c:pt>
              </c:numCache>
            </c:numRef>
          </c:xVal>
          <c:yVal>
            <c:numRef>
              <c:f>Feuil1!$H$6:$H$26</c:f>
              <c:numCache>
                <c:formatCode>General</c:formatCode>
                <c:ptCount val="21"/>
                <c:pt idx="0">
                  <c:v>-17000</c:v>
                </c:pt>
                <c:pt idx="1">
                  <c:v>-11746.711095625895</c:v>
                </c:pt>
                <c:pt idx="2">
                  <c:v>-7007.6507110279563</c:v>
                </c:pt>
                <c:pt idx="3">
                  <c:v>-3246.711095625893</c:v>
                </c:pt>
                <c:pt idx="4">
                  <c:v>-832.03922298239013</c:v>
                </c:pt>
                <c:pt idx="5">
                  <c:v>0</c:v>
                </c:pt>
                <c:pt idx="6">
                  <c:v>-832.03922298238831</c:v>
                </c:pt>
                <c:pt idx="7">
                  <c:v>-3246.711095625893</c:v>
                </c:pt>
                <c:pt idx="8">
                  <c:v>-7007.6507110279545</c:v>
                </c:pt>
                <c:pt idx="9">
                  <c:v>-11746.711095625891</c:v>
                </c:pt>
                <c:pt idx="10">
                  <c:v>-16999.999999999996</c:v>
                </c:pt>
                <c:pt idx="11">
                  <c:v>-22253.288904374098</c:v>
                </c:pt>
                <c:pt idx="12">
                  <c:v>-26992.349288972044</c:v>
                </c:pt>
                <c:pt idx="13">
                  <c:v>-30753.288904374105</c:v>
                </c:pt>
                <c:pt idx="14">
                  <c:v>-33167.960777017608</c:v>
                </c:pt>
                <c:pt idx="15">
                  <c:v>-34000</c:v>
                </c:pt>
                <c:pt idx="16">
                  <c:v>-33167.960777017608</c:v>
                </c:pt>
                <c:pt idx="17">
                  <c:v>-30753.288904374109</c:v>
                </c:pt>
                <c:pt idx="18">
                  <c:v>-26992.349288972047</c:v>
                </c:pt>
                <c:pt idx="19">
                  <c:v>-22253.288904374109</c:v>
                </c:pt>
                <c:pt idx="20">
                  <c:v>-17000.000000000004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20-460D-B7ED-52DC733FEE51}"/>
            </c:ext>
          </c:extLst>
        </c:ser>
        <c:ser>
          <c:idx val="2"/>
          <c:order val="2"/>
          <c:tx>
            <c:strRef>
              <c:f>Feuil1!$J$2</c:f>
              <c:strCache>
                <c:ptCount val="1"/>
                <c:pt idx="0">
                  <c:v>Planète trois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Feuil1!$J$6:$J$26</c:f>
              <c:numCache>
                <c:formatCode>General</c:formatCode>
                <c:ptCount val="21"/>
                <c:pt idx="0">
                  <c:v>-13334</c:v>
                </c:pt>
                <c:pt idx="1">
                  <c:v>-13660.257262376506</c:v>
                </c:pt>
                <c:pt idx="2">
                  <c:v>-14607.092715496601</c:v>
                </c:pt>
                <c:pt idx="3">
                  <c:v>-16081.823508218375</c:v>
                </c:pt>
                <c:pt idx="4">
                  <c:v>-17940.092715496601</c:v>
                </c:pt>
                <c:pt idx="5">
                  <c:v>-20000</c:v>
                </c:pt>
                <c:pt idx="6">
                  <c:v>-22059.907284503399</c:v>
                </c:pt>
                <c:pt idx="7">
                  <c:v>-23918.176491781625</c:v>
                </c:pt>
                <c:pt idx="8">
                  <c:v>-25392.907284503399</c:v>
                </c:pt>
                <c:pt idx="9">
                  <c:v>-26339.742737623492</c:v>
                </c:pt>
                <c:pt idx="10">
                  <c:v>-26666</c:v>
                </c:pt>
                <c:pt idx="11">
                  <c:v>-26339.742737623495</c:v>
                </c:pt>
                <c:pt idx="12">
                  <c:v>-25392.907284503402</c:v>
                </c:pt>
                <c:pt idx="13">
                  <c:v>-23918.176491781625</c:v>
                </c:pt>
                <c:pt idx="14">
                  <c:v>-22059.907284503402</c:v>
                </c:pt>
                <c:pt idx="15">
                  <c:v>-20000</c:v>
                </c:pt>
                <c:pt idx="16">
                  <c:v>-17940.092715496601</c:v>
                </c:pt>
                <c:pt idx="17">
                  <c:v>-16081.823508218375</c:v>
                </c:pt>
                <c:pt idx="18">
                  <c:v>-14607.092715496601</c:v>
                </c:pt>
                <c:pt idx="19">
                  <c:v>-13660.257262376506</c:v>
                </c:pt>
                <c:pt idx="20">
                  <c:v>-13334</c:v>
                </c:pt>
              </c:numCache>
            </c:numRef>
          </c:xVal>
          <c:yVal>
            <c:numRef>
              <c:f>Feuil1!$K$6:$K$26</c:f>
              <c:numCache>
                <c:formatCode>General</c:formatCode>
                <c:ptCount val="21"/>
                <c:pt idx="0">
                  <c:v>7777</c:v>
                </c:pt>
                <c:pt idx="1">
                  <c:v>9836.9072845033988</c:v>
                </c:pt>
                <c:pt idx="2">
                  <c:v>11695.176491781625</c:v>
                </c:pt>
                <c:pt idx="3">
                  <c:v>13169.907284503399</c:v>
                </c:pt>
                <c:pt idx="4">
                  <c:v>14116.742737623494</c:v>
                </c:pt>
                <c:pt idx="5">
                  <c:v>14443</c:v>
                </c:pt>
                <c:pt idx="6">
                  <c:v>14116.742737623495</c:v>
                </c:pt>
                <c:pt idx="7">
                  <c:v>13169.907284503399</c:v>
                </c:pt>
                <c:pt idx="8">
                  <c:v>11695.176491781627</c:v>
                </c:pt>
                <c:pt idx="9">
                  <c:v>9836.9072845034007</c:v>
                </c:pt>
                <c:pt idx="10">
                  <c:v>7777.0000000000009</c:v>
                </c:pt>
                <c:pt idx="11">
                  <c:v>5717.0927154966039</c:v>
                </c:pt>
                <c:pt idx="12">
                  <c:v>3858.8235082183746</c:v>
                </c:pt>
                <c:pt idx="13">
                  <c:v>2384.0927154966012</c:v>
                </c:pt>
                <c:pt idx="14">
                  <c:v>1437.2572623765063</c:v>
                </c:pt>
                <c:pt idx="15">
                  <c:v>1111</c:v>
                </c:pt>
                <c:pt idx="16">
                  <c:v>1437.2572623765054</c:v>
                </c:pt>
                <c:pt idx="17">
                  <c:v>2384.0927154965993</c:v>
                </c:pt>
                <c:pt idx="18">
                  <c:v>3858.8235082183728</c:v>
                </c:pt>
                <c:pt idx="19">
                  <c:v>5717.0927154965993</c:v>
                </c:pt>
                <c:pt idx="20">
                  <c:v>7776.9999999999982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D20-460D-B7ED-52DC733FE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1891231"/>
        <c:axId val="1811894975"/>
      </c:scatterChart>
      <c:valAx>
        <c:axId val="1811891231"/>
        <c:scaling>
          <c:orientation val="minMax"/>
          <c:max val="50000"/>
          <c:min val="-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1894975"/>
        <c:crosses val="autoZero"/>
        <c:crossBetween val="midCat"/>
      </c:valAx>
      <c:valAx>
        <c:axId val="1811894975"/>
        <c:scaling>
          <c:orientation val="minMax"/>
          <c:max val="50000"/>
          <c:min val="-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1891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481011</xdr:colOff>
      <xdr:row>5</xdr:row>
      <xdr:rowOff>9525</xdr:rowOff>
    </xdr:from>
    <xdr:to>
      <xdr:col>19</xdr:col>
      <xdr:colOff>85725</xdr:colOff>
      <xdr:row>25</xdr:row>
      <xdr:rowOff>180975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workbookViewId="0">
      <selection activeCell="K32" sqref="K32"/>
    </sheetView>
  </sheetViews>
  <sheetFormatPr baseColWidth="10" defaultRowHeight="15" x14ac:dyDescent="0.25"/>
  <sheetData>
    <row r="1" spans="1:11" x14ac:dyDescent="0.25">
      <c r="A1" s="1" t="s">
        <v>0</v>
      </c>
      <c r="B1" s="1"/>
      <c r="C1" s="1"/>
    </row>
    <row r="2" spans="1:11" x14ac:dyDescent="0.25">
      <c r="A2" s="1"/>
      <c r="B2" s="1"/>
      <c r="C2" s="1"/>
      <c r="D2" s="1" t="s">
        <v>5</v>
      </c>
      <c r="E2" s="1"/>
      <c r="G2" s="1" t="s">
        <v>6</v>
      </c>
      <c r="H2" s="1"/>
      <c r="J2" s="1" t="s">
        <v>7</v>
      </c>
      <c r="K2" s="1"/>
    </row>
    <row r="4" spans="1:11" x14ac:dyDescent="0.25">
      <c r="A4" t="s">
        <v>1</v>
      </c>
      <c r="B4" t="s">
        <v>2</v>
      </c>
      <c r="D4" t="s">
        <v>3</v>
      </c>
      <c r="E4" t="s">
        <v>4</v>
      </c>
    </row>
    <row r="6" spans="1:11" x14ac:dyDescent="0.25">
      <c r="A6">
        <v>0</v>
      </c>
      <c r="B6">
        <f>A6*2*PI()/20</f>
        <v>0</v>
      </c>
      <c r="D6">
        <f>$E$29*COS(B6)+$E$30</f>
        <v>26400</v>
      </c>
      <c r="E6">
        <f>$E$29*SIN(B6)+$E$31</f>
        <v>24000</v>
      </c>
      <c r="G6">
        <f>$H$29*COS(B6)+$H$30</f>
        <v>34000</v>
      </c>
      <c r="H6">
        <f>$H$29*SIN(B6)+$H$31</f>
        <v>-17000</v>
      </c>
      <c r="J6">
        <f>$K$29*COS(B6)+$K$30</f>
        <v>-13334</v>
      </c>
      <c r="K6">
        <f>$K$29*SIN(B6)+$K$31</f>
        <v>7777</v>
      </c>
    </row>
    <row r="7" spans="1:11" x14ac:dyDescent="0.25">
      <c r="A7">
        <v>1</v>
      </c>
      <c r="B7">
        <f>A7*2*PI()/20</f>
        <v>0.31415926535897931</v>
      </c>
      <c r="D7">
        <f t="shared" ref="D7:D26" si="0">$E$29*COS(B7)+$E$30</f>
        <v>26282.53563910837</v>
      </c>
      <c r="E7">
        <f t="shared" ref="E7:E26" si="1">$E$29*SIN(B7)+$E$31</f>
        <v>24741.640786499873</v>
      </c>
      <c r="G7">
        <f t="shared" ref="G7:G26" si="2">$H$29*COS(B7)+$H$30</f>
        <v>33167.960777017608</v>
      </c>
      <c r="H7">
        <f t="shared" ref="H7:H26" si="3">$H$29*SIN(B7)+$H$31</f>
        <v>-11746.711095625895</v>
      </c>
      <c r="J7">
        <f>$K$29*COS(B7)+$K$30</f>
        <v>-13660.257262376506</v>
      </c>
      <c r="K7">
        <f t="shared" ref="K7:K26" si="4">$K$29*SIN(B7)+$K$31</f>
        <v>9836.9072845033988</v>
      </c>
    </row>
    <row r="8" spans="1:11" x14ac:dyDescent="0.25">
      <c r="A8">
        <v>2</v>
      </c>
      <c r="B8">
        <f t="shared" ref="B8:B36" si="5">A8*2*PI()/20</f>
        <v>0.62831853071795862</v>
      </c>
      <c r="D8">
        <f t="shared" si="0"/>
        <v>25941.640786499873</v>
      </c>
      <c r="E8">
        <f t="shared" si="1"/>
        <v>25410.684605501934</v>
      </c>
      <c r="G8">
        <f t="shared" si="2"/>
        <v>30753.288904374109</v>
      </c>
      <c r="H8">
        <f t="shared" si="3"/>
        <v>-7007.6507110279563</v>
      </c>
      <c r="J8">
        <f t="shared" ref="J7:J26" si="6">$K$29*COS(B8)+$K$30</f>
        <v>-14607.092715496601</v>
      </c>
      <c r="K8">
        <f t="shared" si="4"/>
        <v>11695.176491781625</v>
      </c>
    </row>
    <row r="9" spans="1:11" x14ac:dyDescent="0.25">
      <c r="A9">
        <v>3</v>
      </c>
      <c r="B9">
        <f t="shared" si="5"/>
        <v>0.94247779607693793</v>
      </c>
      <c r="D9">
        <f t="shared" si="0"/>
        <v>25410.684605501934</v>
      </c>
      <c r="E9">
        <f t="shared" si="1"/>
        <v>25941.640786499873</v>
      </c>
      <c r="G9">
        <f t="shared" si="2"/>
        <v>26992.349288972044</v>
      </c>
      <c r="H9">
        <f t="shared" si="3"/>
        <v>-3246.711095625893</v>
      </c>
      <c r="J9">
        <f t="shared" si="6"/>
        <v>-16081.823508218375</v>
      </c>
      <c r="K9">
        <f t="shared" si="4"/>
        <v>13169.907284503399</v>
      </c>
    </row>
    <row r="10" spans="1:11" x14ac:dyDescent="0.25">
      <c r="A10">
        <v>4</v>
      </c>
      <c r="B10">
        <f t="shared" si="5"/>
        <v>1.2566370614359172</v>
      </c>
      <c r="D10">
        <f t="shared" si="0"/>
        <v>24741.640786499873</v>
      </c>
      <c r="E10">
        <f t="shared" si="1"/>
        <v>26282.53563910837</v>
      </c>
      <c r="G10">
        <f t="shared" si="2"/>
        <v>22253.288904374109</v>
      </c>
      <c r="H10">
        <f t="shared" si="3"/>
        <v>-832.03922298239013</v>
      </c>
      <c r="J10">
        <f t="shared" si="6"/>
        <v>-17940.092715496601</v>
      </c>
      <c r="K10">
        <f t="shared" si="4"/>
        <v>14116.742737623494</v>
      </c>
    </row>
    <row r="11" spans="1:11" x14ac:dyDescent="0.25">
      <c r="A11">
        <v>5</v>
      </c>
      <c r="B11">
        <f t="shared" si="5"/>
        <v>1.5707963267948966</v>
      </c>
      <c r="D11">
        <f t="shared" si="0"/>
        <v>24000</v>
      </c>
      <c r="E11">
        <f t="shared" si="1"/>
        <v>26400</v>
      </c>
      <c r="G11">
        <f t="shared" si="2"/>
        <v>17000</v>
      </c>
      <c r="H11">
        <f t="shared" si="3"/>
        <v>0</v>
      </c>
      <c r="J11">
        <f t="shared" si="6"/>
        <v>-20000</v>
      </c>
      <c r="K11">
        <f t="shared" si="4"/>
        <v>14443</v>
      </c>
    </row>
    <row r="12" spans="1:11" x14ac:dyDescent="0.25">
      <c r="A12">
        <v>6</v>
      </c>
      <c r="B12">
        <f t="shared" si="5"/>
        <v>1.8849555921538759</v>
      </c>
      <c r="D12">
        <f t="shared" si="0"/>
        <v>23258.359213500127</v>
      </c>
      <c r="E12">
        <f t="shared" si="1"/>
        <v>26282.53563910837</v>
      </c>
      <c r="G12">
        <f t="shared" si="2"/>
        <v>11746.711095625895</v>
      </c>
      <c r="H12">
        <f t="shared" si="3"/>
        <v>-832.03922298238831</v>
      </c>
      <c r="J12">
        <f t="shared" si="6"/>
        <v>-22059.907284503399</v>
      </c>
      <c r="K12">
        <f t="shared" si="4"/>
        <v>14116.742737623495</v>
      </c>
    </row>
    <row r="13" spans="1:11" x14ac:dyDescent="0.25">
      <c r="A13">
        <v>7</v>
      </c>
      <c r="B13">
        <f t="shared" si="5"/>
        <v>2.1991148575128552</v>
      </c>
      <c r="D13">
        <f t="shared" si="0"/>
        <v>22589.315394498066</v>
      </c>
      <c r="E13">
        <f t="shared" si="1"/>
        <v>25941.640786499873</v>
      </c>
      <c r="G13">
        <f t="shared" si="2"/>
        <v>7007.6507110279581</v>
      </c>
      <c r="H13">
        <f t="shared" si="3"/>
        <v>-3246.711095625893</v>
      </c>
      <c r="J13">
        <f t="shared" si="6"/>
        <v>-23918.176491781625</v>
      </c>
      <c r="K13">
        <f t="shared" si="4"/>
        <v>13169.907284503399</v>
      </c>
    </row>
    <row r="14" spans="1:11" x14ac:dyDescent="0.25">
      <c r="A14">
        <v>8</v>
      </c>
      <c r="B14">
        <f t="shared" si="5"/>
        <v>2.5132741228718345</v>
      </c>
      <c r="D14">
        <f t="shared" si="0"/>
        <v>22058.359213500127</v>
      </c>
      <c r="E14">
        <f t="shared" si="1"/>
        <v>25410.684605501934</v>
      </c>
      <c r="G14">
        <f t="shared" si="2"/>
        <v>3246.7110956258948</v>
      </c>
      <c r="H14">
        <f t="shared" si="3"/>
        <v>-7007.6507110279545</v>
      </c>
      <c r="J14">
        <f t="shared" si="6"/>
        <v>-25392.907284503399</v>
      </c>
      <c r="K14">
        <f t="shared" si="4"/>
        <v>11695.176491781627</v>
      </c>
    </row>
    <row r="15" spans="1:11" x14ac:dyDescent="0.25">
      <c r="A15">
        <v>9</v>
      </c>
      <c r="B15">
        <f t="shared" si="5"/>
        <v>2.8274333882308138</v>
      </c>
      <c r="D15">
        <f t="shared" si="0"/>
        <v>21717.46436089163</v>
      </c>
      <c r="E15">
        <f t="shared" si="1"/>
        <v>24741.640786499873</v>
      </c>
      <c r="G15">
        <f t="shared" si="2"/>
        <v>832.03922298239013</v>
      </c>
      <c r="H15">
        <f t="shared" si="3"/>
        <v>-11746.711095625891</v>
      </c>
      <c r="J15">
        <f t="shared" si="6"/>
        <v>-26339.742737623492</v>
      </c>
      <c r="K15">
        <f t="shared" si="4"/>
        <v>9836.9072845034007</v>
      </c>
    </row>
    <row r="16" spans="1:11" x14ac:dyDescent="0.25">
      <c r="A16">
        <v>10</v>
      </c>
      <c r="B16">
        <f t="shared" si="5"/>
        <v>3.1415926535897931</v>
      </c>
      <c r="D16">
        <f t="shared" si="0"/>
        <v>21600</v>
      </c>
      <c r="E16">
        <f t="shared" si="1"/>
        <v>24000</v>
      </c>
      <c r="G16">
        <f t="shared" si="2"/>
        <v>0</v>
      </c>
      <c r="H16">
        <f t="shared" si="3"/>
        <v>-16999.999999999996</v>
      </c>
      <c r="J16">
        <f t="shared" si="6"/>
        <v>-26666</v>
      </c>
      <c r="K16">
        <f t="shared" si="4"/>
        <v>7777.0000000000009</v>
      </c>
    </row>
    <row r="17" spans="1:11" x14ac:dyDescent="0.25">
      <c r="A17">
        <v>11</v>
      </c>
      <c r="B17">
        <f t="shared" si="5"/>
        <v>3.455751918948772</v>
      </c>
      <c r="D17">
        <f t="shared" si="0"/>
        <v>21717.46436089163</v>
      </c>
      <c r="E17">
        <f t="shared" si="1"/>
        <v>23258.359213500127</v>
      </c>
      <c r="G17">
        <f t="shared" si="2"/>
        <v>832.03922298238649</v>
      </c>
      <c r="H17">
        <f t="shared" si="3"/>
        <v>-22253.288904374098</v>
      </c>
      <c r="J17">
        <f t="shared" si="6"/>
        <v>-26339.742737623495</v>
      </c>
      <c r="K17">
        <f t="shared" si="4"/>
        <v>5717.0927154966039</v>
      </c>
    </row>
    <row r="18" spans="1:11" x14ac:dyDescent="0.25">
      <c r="A18">
        <v>12</v>
      </c>
      <c r="B18">
        <f t="shared" si="5"/>
        <v>3.7699111843077517</v>
      </c>
      <c r="D18">
        <f t="shared" si="0"/>
        <v>22058.359213500127</v>
      </c>
      <c r="E18">
        <f t="shared" si="1"/>
        <v>22589.315394498066</v>
      </c>
      <c r="G18">
        <f t="shared" si="2"/>
        <v>3246.7110956258912</v>
      </c>
      <c r="H18">
        <f t="shared" si="3"/>
        <v>-26992.349288972044</v>
      </c>
      <c r="J18">
        <f t="shared" si="6"/>
        <v>-25392.907284503402</v>
      </c>
      <c r="K18">
        <f t="shared" si="4"/>
        <v>3858.8235082183746</v>
      </c>
    </row>
    <row r="19" spans="1:11" x14ac:dyDescent="0.25">
      <c r="A19">
        <v>13</v>
      </c>
      <c r="B19">
        <f t="shared" si="5"/>
        <v>4.0840704496667311</v>
      </c>
      <c r="D19">
        <f t="shared" si="0"/>
        <v>22589.315394498066</v>
      </c>
      <c r="E19">
        <f t="shared" si="1"/>
        <v>22058.359213500127</v>
      </c>
      <c r="G19">
        <f t="shared" si="2"/>
        <v>7007.6507110279545</v>
      </c>
      <c r="H19">
        <f t="shared" si="3"/>
        <v>-30753.288904374105</v>
      </c>
      <c r="J19">
        <f t="shared" si="6"/>
        <v>-23918.176491781625</v>
      </c>
      <c r="K19">
        <f t="shared" si="4"/>
        <v>2384.0927154966012</v>
      </c>
    </row>
    <row r="20" spans="1:11" x14ac:dyDescent="0.25">
      <c r="A20">
        <v>14</v>
      </c>
      <c r="B20">
        <f t="shared" si="5"/>
        <v>4.3982297150257104</v>
      </c>
      <c r="D20">
        <f t="shared" si="0"/>
        <v>23258.359213500127</v>
      </c>
      <c r="E20">
        <f t="shared" si="1"/>
        <v>21717.46436089163</v>
      </c>
      <c r="G20">
        <f t="shared" si="2"/>
        <v>11746.711095625891</v>
      </c>
      <c r="H20">
        <f t="shared" si="3"/>
        <v>-33167.960777017608</v>
      </c>
      <c r="J20">
        <f t="shared" si="6"/>
        <v>-22059.907284503402</v>
      </c>
      <c r="K20">
        <f t="shared" si="4"/>
        <v>1437.2572623765063</v>
      </c>
    </row>
    <row r="21" spans="1:11" x14ac:dyDescent="0.25">
      <c r="A21">
        <v>15</v>
      </c>
      <c r="B21">
        <f t="shared" si="5"/>
        <v>4.7123889803846897</v>
      </c>
      <c r="D21">
        <f t="shared" si="0"/>
        <v>24000</v>
      </c>
      <c r="E21">
        <f t="shared" si="1"/>
        <v>21600</v>
      </c>
      <c r="G21">
        <f t="shared" si="2"/>
        <v>16999.999999999996</v>
      </c>
      <c r="H21">
        <f t="shared" si="3"/>
        <v>-34000</v>
      </c>
      <c r="J21">
        <f t="shared" si="6"/>
        <v>-20000</v>
      </c>
      <c r="K21">
        <f t="shared" si="4"/>
        <v>1111</v>
      </c>
    </row>
    <row r="22" spans="1:11" x14ac:dyDescent="0.25">
      <c r="A22">
        <v>16</v>
      </c>
      <c r="B22">
        <f t="shared" si="5"/>
        <v>5.026548245743669</v>
      </c>
      <c r="D22">
        <f t="shared" si="0"/>
        <v>24741.640786499873</v>
      </c>
      <c r="E22">
        <f t="shared" si="1"/>
        <v>21717.46436089163</v>
      </c>
      <c r="G22">
        <f t="shared" si="2"/>
        <v>22253.288904374102</v>
      </c>
      <c r="H22">
        <f t="shared" si="3"/>
        <v>-33167.960777017608</v>
      </c>
      <c r="J22">
        <f t="shared" si="6"/>
        <v>-17940.092715496601</v>
      </c>
      <c r="K22">
        <f t="shared" si="4"/>
        <v>1437.2572623765054</v>
      </c>
    </row>
    <row r="23" spans="1:11" x14ac:dyDescent="0.25">
      <c r="A23">
        <v>17</v>
      </c>
      <c r="B23">
        <f t="shared" si="5"/>
        <v>5.3407075111026483</v>
      </c>
      <c r="D23">
        <f t="shared" si="0"/>
        <v>25410.684605501934</v>
      </c>
      <c r="E23">
        <f t="shared" si="1"/>
        <v>22058.359213500127</v>
      </c>
      <c r="G23">
        <f t="shared" si="2"/>
        <v>26992.34928897204</v>
      </c>
      <c r="H23">
        <f t="shared" si="3"/>
        <v>-30753.288904374109</v>
      </c>
      <c r="J23">
        <f t="shared" si="6"/>
        <v>-16081.823508218375</v>
      </c>
      <c r="K23">
        <f t="shared" si="4"/>
        <v>2384.0927154965993</v>
      </c>
    </row>
    <row r="24" spans="1:11" x14ac:dyDescent="0.25">
      <c r="A24">
        <v>18</v>
      </c>
      <c r="B24">
        <f t="shared" si="5"/>
        <v>5.6548667764616276</v>
      </c>
      <c r="D24">
        <f t="shared" si="0"/>
        <v>25941.640786499873</v>
      </c>
      <c r="E24">
        <f t="shared" si="1"/>
        <v>22589.315394498066</v>
      </c>
      <c r="G24">
        <f t="shared" si="2"/>
        <v>30753.288904374105</v>
      </c>
      <c r="H24">
        <f t="shared" si="3"/>
        <v>-26992.349288972047</v>
      </c>
      <c r="J24">
        <f t="shared" si="6"/>
        <v>-14607.092715496601</v>
      </c>
      <c r="K24">
        <f t="shared" si="4"/>
        <v>3858.8235082183728</v>
      </c>
    </row>
    <row r="25" spans="1:11" x14ac:dyDescent="0.25">
      <c r="A25">
        <v>19</v>
      </c>
      <c r="B25">
        <f t="shared" si="5"/>
        <v>5.9690260418206069</v>
      </c>
      <c r="D25">
        <f t="shared" si="0"/>
        <v>26282.53563910837</v>
      </c>
      <c r="E25">
        <f t="shared" si="1"/>
        <v>23258.359213500127</v>
      </c>
      <c r="G25">
        <f t="shared" si="2"/>
        <v>33167.960777017608</v>
      </c>
      <c r="H25">
        <f t="shared" si="3"/>
        <v>-22253.288904374109</v>
      </c>
      <c r="J25">
        <f t="shared" si="6"/>
        <v>-13660.257262376506</v>
      </c>
      <c r="K25">
        <f t="shared" si="4"/>
        <v>5717.0927154965993</v>
      </c>
    </row>
    <row r="26" spans="1:11" x14ac:dyDescent="0.25">
      <c r="A26">
        <v>20</v>
      </c>
      <c r="B26">
        <f t="shared" si="5"/>
        <v>6.2831853071795862</v>
      </c>
      <c r="D26">
        <f t="shared" si="0"/>
        <v>26400</v>
      </c>
      <c r="E26">
        <f t="shared" si="1"/>
        <v>24000</v>
      </c>
      <c r="G26">
        <f t="shared" si="2"/>
        <v>34000</v>
      </c>
      <c r="H26">
        <f t="shared" si="3"/>
        <v>-17000.000000000004</v>
      </c>
      <c r="J26">
        <f t="shared" si="6"/>
        <v>-13334</v>
      </c>
      <c r="K26">
        <f t="shared" si="4"/>
        <v>7776.9999999999982</v>
      </c>
    </row>
    <row r="29" spans="1:11" x14ac:dyDescent="0.25">
      <c r="D29" t="s">
        <v>8</v>
      </c>
      <c r="E29">
        <v>2400</v>
      </c>
      <c r="G29" t="s">
        <v>11</v>
      </c>
      <c r="H29">
        <v>17000</v>
      </c>
      <c r="J29" t="s">
        <v>11</v>
      </c>
      <c r="K29">
        <v>6666</v>
      </c>
    </row>
    <row r="30" spans="1:11" x14ac:dyDescent="0.25">
      <c r="D30" t="s">
        <v>9</v>
      </c>
      <c r="E30">
        <v>24000</v>
      </c>
      <c r="G30" t="s">
        <v>9</v>
      </c>
      <c r="H30">
        <v>17000</v>
      </c>
      <c r="J30" t="s">
        <v>12</v>
      </c>
      <c r="K30">
        <v>-20000</v>
      </c>
    </row>
    <row r="31" spans="1:11" x14ac:dyDescent="0.25">
      <c r="D31" t="s">
        <v>10</v>
      </c>
      <c r="E31">
        <v>24000</v>
      </c>
      <c r="G31" t="s">
        <v>10</v>
      </c>
      <c r="H31">
        <v>-17000</v>
      </c>
      <c r="J31" t="s">
        <v>13</v>
      </c>
      <c r="K31">
        <v>7777</v>
      </c>
    </row>
  </sheetData>
  <mergeCells count="4">
    <mergeCell ref="A1:C2"/>
    <mergeCell ref="D2:E2"/>
    <mergeCell ref="G2:H2"/>
    <mergeCell ref="J2:K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CVM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cvm</dc:creator>
  <cp:lastModifiedBy>cvm</cp:lastModifiedBy>
  <dcterms:created xsi:type="dcterms:W3CDTF">2022-03-03T15:55:20Z</dcterms:created>
  <dcterms:modified xsi:type="dcterms:W3CDTF">2022-03-03T18:03:28Z</dcterms:modified>
</cp:coreProperties>
</file>